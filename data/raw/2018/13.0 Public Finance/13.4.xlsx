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3. PUBLIC FINANCE\"/>
    </mc:Choice>
  </mc:AlternateContent>
  <bookViews>
    <workbookView xWindow="0" yWindow="0" windowWidth="28800" windowHeight="12330" tabRatio="688" firstSheet="3" activeTab="3"/>
  </bookViews>
  <sheets>
    <sheet name="13.5" sheetId="14" state="hidden" r:id="rId1"/>
    <sheet name="13.6" sheetId="16" state="hidden" r:id="rId2"/>
    <sheet name="13.7" sheetId="15" state="hidden" r:id="rId3"/>
    <sheet name="13.4" sheetId="4" r:id="rId4"/>
    <sheet name="Fig 1.5 &amp; 1.6" sheetId="17" state="hidden" r:id="rId5"/>
  </sheets>
  <externalReferences>
    <externalReference r:id="rId6"/>
  </externalReferences>
  <definedNames>
    <definedName name="_xlnm.Print_Area" localSheetId="3">'13.4'!$A$1:$U$42</definedName>
    <definedName name="_xlnm.Print_Area" localSheetId="0">'13.5'!$A$1:$T$34</definedName>
    <definedName name="_xlnm.Print_Area" localSheetId="1">'13.6'!$A$1:$Y$37</definedName>
    <definedName name="_xlnm.Print_Area" localSheetId="2">'13.7'!$A$1:$Z$34</definedName>
    <definedName name="_xlnm.Print_Area" localSheetId="4">'Fig 1.5 &amp; 1.6'!$A$1:$O$62</definedName>
  </definedNames>
  <calcPr calcId="162913"/>
</workbook>
</file>

<file path=xl/calcChain.xml><?xml version="1.0" encoding="utf-8"?>
<calcChain xmlns="http://schemas.openxmlformats.org/spreadsheetml/2006/main">
  <c r="S8" i="4" l="1"/>
  <c r="S24" i="4" l="1"/>
  <c r="S21" i="4"/>
  <c r="S19" i="4"/>
  <c r="S18" i="4"/>
  <c r="S11" i="4"/>
  <c r="S10" i="4"/>
  <c r="S9" i="4"/>
  <c r="Q8" i="4"/>
  <c r="Q9" i="4"/>
  <c r="Q39" i="4"/>
  <c r="Q38" i="4"/>
  <c r="Q35" i="4"/>
  <c r="Q34" i="4"/>
  <c r="Q33" i="4"/>
  <c r="Q32" i="4"/>
  <c r="Q31" i="4"/>
  <c r="Q30" i="4"/>
  <c r="Q29" i="4"/>
  <c r="Q28" i="4"/>
  <c r="Q27" i="4"/>
  <c r="Q26" i="4"/>
  <c r="Q23" i="4"/>
  <c r="Q21" i="4"/>
  <c r="Q19" i="4"/>
  <c r="Q18" i="4"/>
  <c r="Q17" i="4"/>
  <c r="Q16" i="4"/>
  <c r="Q15" i="4"/>
  <c r="Q14" i="4"/>
  <c r="Q13" i="4"/>
  <c r="Q12" i="4"/>
  <c r="Q11" i="4"/>
  <c r="Q10" i="4"/>
  <c r="K29" i="4" l="1"/>
  <c r="K28" i="4" s="1"/>
  <c r="L29" i="4"/>
  <c r="L28" i="4" s="1"/>
  <c r="M29" i="4"/>
  <c r="M28" i="4" s="1"/>
  <c r="N29" i="4"/>
  <c r="N28" i="4" s="1"/>
  <c r="O29" i="4"/>
  <c r="O28" i="4" s="1"/>
  <c r="K25" i="4"/>
  <c r="L25" i="4"/>
  <c r="M25" i="4"/>
  <c r="N25" i="4"/>
  <c r="O25" i="4"/>
  <c r="K11" i="4"/>
  <c r="L11" i="4"/>
  <c r="M11" i="4"/>
  <c r="N11" i="4"/>
  <c r="O11" i="4"/>
  <c r="M10" i="4" l="1"/>
  <c r="O10" i="4"/>
  <c r="O9" i="4" s="1"/>
  <c r="K10" i="4"/>
  <c r="L10" i="4"/>
  <c r="O8" i="4"/>
  <c r="N10" i="4"/>
  <c r="L8" i="4" l="1"/>
  <c r="L9" i="4"/>
  <c r="M8" i="4"/>
  <c r="M9" i="4"/>
  <c r="N8" i="4"/>
  <c r="N9" i="4"/>
  <c r="K8" i="4"/>
  <c r="K9" i="4"/>
  <c r="S21" i="15" l="1"/>
  <c r="S15" i="15"/>
  <c r="S10" i="15"/>
  <c r="X31" i="15"/>
  <c r="X30" i="15"/>
  <c r="X28" i="15"/>
  <c r="X27" i="15"/>
  <c r="X26" i="15"/>
  <c r="X25" i="15"/>
  <c r="X24" i="15"/>
  <c r="X23" i="15"/>
  <c r="X22" i="15"/>
  <c r="X20" i="15"/>
  <c r="X18" i="15"/>
  <c r="X17" i="15"/>
  <c r="X16" i="15"/>
  <c r="X14" i="15"/>
  <c r="X13" i="15"/>
  <c r="X12" i="15"/>
  <c r="X11" i="15"/>
  <c r="S20" i="16"/>
  <c r="S14" i="16"/>
  <c r="S9" i="16"/>
  <c r="W27" i="16"/>
  <c r="W26" i="16"/>
  <c r="W25" i="16"/>
  <c r="W24" i="16"/>
  <c r="W23" i="16"/>
  <c r="W22" i="16"/>
  <c r="W21" i="16"/>
  <c r="W19" i="16"/>
  <c r="W17" i="16"/>
  <c r="W16" i="16"/>
  <c r="W15" i="16"/>
  <c r="W13" i="16"/>
  <c r="W12" i="16"/>
  <c r="W11" i="16"/>
  <c r="W10" i="16"/>
  <c r="S33" i="14"/>
  <c r="S31" i="14"/>
  <c r="S30" i="14"/>
  <c r="S29" i="14"/>
  <c r="S28" i="14"/>
  <c r="S27" i="14"/>
  <c r="S26" i="14"/>
  <c r="S25" i="14"/>
  <c r="S24" i="14"/>
  <c r="S22" i="14"/>
  <c r="S20" i="14"/>
  <c r="S19" i="14"/>
  <c r="S18" i="14"/>
  <c r="S16" i="14"/>
  <c r="S15" i="14"/>
  <c r="S14" i="14"/>
  <c r="S13" i="14"/>
  <c r="S11" i="14"/>
  <c r="O23" i="14"/>
  <c r="O17" i="14"/>
  <c r="O10" i="14"/>
  <c r="S35" i="4"/>
  <c r="S34" i="4"/>
  <c r="S33" i="4"/>
  <c r="S32" i="4"/>
  <c r="S30" i="4"/>
  <c r="S27" i="4"/>
  <c r="S26" i="4"/>
  <c r="S23" i="4"/>
  <c r="S17" i="4"/>
  <c r="S16" i="4"/>
  <c r="S15" i="4"/>
  <c r="S14" i="4"/>
  <c r="S13" i="4"/>
  <c r="S12" i="4"/>
  <c r="S9" i="15" l="1"/>
  <c r="S8" i="15" s="1"/>
  <c r="S8" i="16"/>
  <c r="R10" i="15" l="1"/>
  <c r="R15" i="15"/>
  <c r="R21" i="15"/>
  <c r="R9" i="16"/>
  <c r="R14" i="16"/>
  <c r="R20" i="16"/>
  <c r="N12" i="14"/>
  <c r="N10" i="14" s="1"/>
  <c r="N17" i="14"/>
  <c r="N23" i="14"/>
  <c r="R9" i="15" l="1"/>
  <c r="R8" i="15" s="1"/>
  <c r="R8" i="16"/>
  <c r="W11" i="15" l="1"/>
  <c r="W12" i="15"/>
  <c r="W13" i="15"/>
  <c r="W14" i="15"/>
  <c r="W16" i="15"/>
  <c r="W17" i="15"/>
  <c r="W18" i="15"/>
  <c r="W20" i="15"/>
  <c r="W22" i="15"/>
  <c r="W23" i="15"/>
  <c r="W24" i="15"/>
  <c r="W25" i="15"/>
  <c r="W26" i="15"/>
  <c r="W27" i="15"/>
  <c r="W28" i="15"/>
  <c r="W30" i="15"/>
  <c r="W31" i="15"/>
  <c r="V10" i="16"/>
  <c r="V11" i="16"/>
  <c r="V12" i="16"/>
  <c r="V13" i="16"/>
  <c r="V15" i="16"/>
  <c r="V16" i="16"/>
  <c r="V17" i="16"/>
  <c r="V19" i="16"/>
  <c r="V21" i="16"/>
  <c r="V22" i="16"/>
  <c r="V23" i="16"/>
  <c r="V24" i="16"/>
  <c r="V25" i="16"/>
  <c r="V26" i="16"/>
  <c r="V27" i="16"/>
  <c r="Q21" i="15" l="1"/>
  <c r="Q15" i="15"/>
  <c r="Q10" i="15"/>
  <c r="Q20" i="16"/>
  <c r="Q14" i="16"/>
  <c r="Q9" i="16"/>
  <c r="I12" i="14"/>
  <c r="M23" i="14"/>
  <c r="M17" i="14"/>
  <c r="M12" i="14"/>
  <c r="M10" i="14" s="1"/>
  <c r="R33" i="14"/>
  <c r="R31" i="14"/>
  <c r="R30" i="14"/>
  <c r="R29" i="14"/>
  <c r="R28" i="14"/>
  <c r="R27" i="14"/>
  <c r="R26" i="14"/>
  <c r="R25" i="14"/>
  <c r="R24" i="14"/>
  <c r="R22" i="14"/>
  <c r="R20" i="14"/>
  <c r="R19" i="14"/>
  <c r="R18" i="14"/>
  <c r="R16" i="14"/>
  <c r="R15" i="14"/>
  <c r="R14" i="14"/>
  <c r="R13" i="14"/>
  <c r="R11" i="14"/>
  <c r="H25" i="4"/>
  <c r="I25" i="4"/>
  <c r="J25" i="4"/>
  <c r="S25" i="4" l="1"/>
  <c r="Q9" i="15"/>
  <c r="Q8" i="15" s="1"/>
  <c r="Q8" i="16"/>
  <c r="I11" i="4"/>
  <c r="I29" i="4"/>
  <c r="I28" i="4" s="1"/>
  <c r="J29" i="4"/>
  <c r="J28" i="4" s="1"/>
  <c r="J11" i="4"/>
  <c r="S29" i="4" l="1"/>
  <c r="J10" i="4"/>
  <c r="J9" i="4" s="1"/>
  <c r="S28" i="4" l="1"/>
  <c r="C15" i="15" l="1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B15" i="15"/>
  <c r="K20" i="16"/>
  <c r="L20" i="16"/>
  <c r="M20" i="16"/>
  <c r="N20" i="16"/>
  <c r="O20" i="16"/>
  <c r="P20" i="16"/>
  <c r="J20" i="16"/>
  <c r="K14" i="16"/>
  <c r="L14" i="16"/>
  <c r="M14" i="16"/>
  <c r="N14" i="16"/>
  <c r="O14" i="16"/>
  <c r="P14" i="16"/>
  <c r="J14" i="16"/>
  <c r="G17" i="14"/>
  <c r="H17" i="14"/>
  <c r="I17" i="14"/>
  <c r="J17" i="14"/>
  <c r="K17" i="14"/>
  <c r="L17" i="14"/>
  <c r="F17" i="14"/>
  <c r="L12" i="14"/>
  <c r="G12" i="14"/>
  <c r="H12" i="14"/>
  <c r="J12" i="14"/>
  <c r="K12" i="14"/>
  <c r="F12" i="14"/>
  <c r="X15" i="15" l="1"/>
  <c r="W20" i="16"/>
  <c r="W14" i="16"/>
  <c r="S12" i="14"/>
  <c r="S17" i="14"/>
  <c r="W15" i="15"/>
  <c r="V20" i="16"/>
  <c r="V14" i="16"/>
  <c r="R12" i="14"/>
  <c r="R17" i="14"/>
  <c r="P21" i="15" l="1"/>
  <c r="P10" i="15"/>
  <c r="P9" i="16"/>
  <c r="K23" i="14"/>
  <c r="K10" i="14"/>
  <c r="P8" i="16" l="1"/>
  <c r="Q24" i="4"/>
  <c r="Q25" i="4"/>
  <c r="P9" i="15"/>
  <c r="F38" i="17"/>
  <c r="E38" i="17"/>
  <c r="D38" i="17"/>
  <c r="C38" i="17"/>
  <c r="B38" i="17"/>
  <c r="G7" i="17"/>
  <c r="F7" i="17"/>
  <c r="E7" i="17"/>
  <c r="D7" i="17"/>
  <c r="C7" i="17"/>
  <c r="B7" i="17"/>
  <c r="F37" i="17"/>
  <c r="E37" i="17"/>
  <c r="D37" i="17"/>
  <c r="C37" i="17"/>
  <c r="B37" i="17"/>
  <c r="G6" i="17"/>
  <c r="F6" i="17"/>
  <c r="E6" i="17"/>
  <c r="D6" i="17"/>
  <c r="C6" i="17"/>
  <c r="B6" i="17"/>
  <c r="F36" i="17"/>
  <c r="E36" i="17"/>
  <c r="D36" i="17"/>
  <c r="C36" i="17"/>
  <c r="B36" i="17"/>
  <c r="G5" i="17"/>
  <c r="F5" i="17"/>
  <c r="E5" i="17"/>
  <c r="D5" i="17"/>
  <c r="C5" i="17"/>
  <c r="B5" i="17"/>
  <c r="O21" i="15"/>
  <c r="X21" i="15" s="1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O10" i="15"/>
  <c r="X10" i="15" s="1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H14" i="16"/>
  <c r="I20" i="16"/>
  <c r="H20" i="16"/>
  <c r="G20" i="16"/>
  <c r="F20" i="16"/>
  <c r="E20" i="16"/>
  <c r="D20" i="16"/>
  <c r="C20" i="16"/>
  <c r="B20" i="16"/>
  <c r="I14" i="16"/>
  <c r="G14" i="16"/>
  <c r="F14" i="16"/>
  <c r="E14" i="16"/>
  <c r="D14" i="16"/>
  <c r="C14" i="16"/>
  <c r="B14" i="16"/>
  <c r="O9" i="16"/>
  <c r="W9" i="16" s="1"/>
  <c r="N9" i="16"/>
  <c r="N8" i="16" s="1"/>
  <c r="M9" i="16"/>
  <c r="L9" i="16"/>
  <c r="L8" i="16" s="1"/>
  <c r="K9" i="16"/>
  <c r="K8" i="16" s="1"/>
  <c r="J9" i="16"/>
  <c r="J8" i="16" s="1"/>
  <c r="I9" i="16"/>
  <c r="H9" i="16"/>
  <c r="G9" i="16"/>
  <c r="F9" i="16"/>
  <c r="E9" i="16"/>
  <c r="D9" i="16"/>
  <c r="C9" i="16"/>
  <c r="B9" i="16"/>
  <c r="P8" i="15" l="1"/>
  <c r="R21" i="14"/>
  <c r="Q25" i="14"/>
  <c r="Q33" i="14"/>
  <c r="Q24" i="14"/>
  <c r="Q16" i="14"/>
  <c r="Q31" i="14"/>
  <c r="Q15" i="14"/>
  <c r="S21" i="14"/>
  <c r="Q30" i="14"/>
  <c r="Q22" i="14"/>
  <c r="Q14" i="14"/>
  <c r="Q18" i="14"/>
  <c r="Q29" i="14"/>
  <c r="Q21" i="14"/>
  <c r="Q13" i="14"/>
  <c r="Q26" i="14"/>
  <c r="Q28" i="14"/>
  <c r="Q20" i="14"/>
  <c r="Q27" i="14"/>
  <c r="Q19" i="14"/>
  <c r="Q11" i="14"/>
  <c r="Q17" i="14"/>
  <c r="Q12" i="14"/>
  <c r="D9" i="15"/>
  <c r="D8" i="15" s="1"/>
  <c r="H9" i="15"/>
  <c r="H8" i="15" s="1"/>
  <c r="L9" i="15"/>
  <c r="L8" i="15" s="1"/>
  <c r="F9" i="15"/>
  <c r="F8" i="15" s="1"/>
  <c r="N9" i="15"/>
  <c r="E9" i="15"/>
  <c r="E8" i="15" s="1"/>
  <c r="P23" i="14"/>
  <c r="P10" i="14"/>
  <c r="W21" i="15"/>
  <c r="W10" i="15"/>
  <c r="I9" i="15"/>
  <c r="I8" i="15" s="1"/>
  <c r="J9" i="15"/>
  <c r="J8" i="15" s="1"/>
  <c r="G9" i="15"/>
  <c r="G8" i="15" s="1"/>
  <c r="O9" i="15"/>
  <c r="X9" i="15" s="1"/>
  <c r="C9" i="15"/>
  <c r="C8" i="15" s="1"/>
  <c r="K9" i="15"/>
  <c r="K8" i="15" s="1"/>
  <c r="D8" i="16"/>
  <c r="V9" i="16"/>
  <c r="O8" i="16"/>
  <c r="W8" i="16" s="1"/>
  <c r="B8" i="16"/>
  <c r="P18" i="14"/>
  <c r="P26" i="14"/>
  <c r="P11" i="14"/>
  <c r="P19" i="14"/>
  <c r="P27" i="14"/>
  <c r="P20" i="14"/>
  <c r="P28" i="14"/>
  <c r="P13" i="14"/>
  <c r="P21" i="14"/>
  <c r="P29" i="14"/>
  <c r="P16" i="14"/>
  <c r="P24" i="14"/>
  <c r="P25" i="14"/>
  <c r="P14" i="14"/>
  <c r="P22" i="14"/>
  <c r="P30" i="14"/>
  <c r="P15" i="14"/>
  <c r="P31" i="14"/>
  <c r="P33" i="14"/>
  <c r="P9" i="14"/>
  <c r="P12" i="14"/>
  <c r="P17" i="14"/>
  <c r="F8" i="16"/>
  <c r="B9" i="15"/>
  <c r="B8" i="15" s="1"/>
  <c r="H8" i="16"/>
  <c r="N8" i="15"/>
  <c r="C8" i="16"/>
  <c r="G8" i="16"/>
  <c r="E8" i="16"/>
  <c r="I8" i="16"/>
  <c r="M8" i="16"/>
  <c r="M9" i="15"/>
  <c r="U9" i="15" l="1"/>
  <c r="T10" i="15"/>
  <c r="U28" i="15"/>
  <c r="U20" i="15"/>
  <c r="U11" i="15"/>
  <c r="U18" i="15"/>
  <c r="U26" i="15"/>
  <c r="U17" i="15"/>
  <c r="U25" i="15"/>
  <c r="U16" i="15"/>
  <c r="U23" i="15"/>
  <c r="U27" i="15"/>
  <c r="U24" i="15"/>
  <c r="U14" i="15"/>
  <c r="U31" i="15"/>
  <c r="U22" i="15"/>
  <c r="U13" i="15"/>
  <c r="U30" i="15"/>
  <c r="U12" i="15"/>
  <c r="U15" i="15"/>
  <c r="U10" i="15"/>
  <c r="U21" i="15"/>
  <c r="U27" i="16"/>
  <c r="U19" i="16"/>
  <c r="U11" i="16"/>
  <c r="U10" i="16"/>
  <c r="U25" i="16"/>
  <c r="U24" i="16"/>
  <c r="U16" i="16"/>
  <c r="U23" i="16"/>
  <c r="U15" i="16"/>
  <c r="U18" i="16"/>
  <c r="U17" i="16"/>
  <c r="W18" i="16"/>
  <c r="U22" i="16"/>
  <c r="U26" i="16"/>
  <c r="U21" i="16"/>
  <c r="U13" i="16"/>
  <c r="U12" i="16"/>
  <c r="U20" i="16"/>
  <c r="U14" i="16"/>
  <c r="U9" i="16"/>
  <c r="U8" i="16"/>
  <c r="V8" i="16"/>
  <c r="V18" i="16"/>
  <c r="T21" i="15"/>
  <c r="W9" i="15"/>
  <c r="T14" i="15"/>
  <c r="T18" i="15"/>
  <c r="T22" i="15"/>
  <c r="T26" i="15"/>
  <c r="T31" i="15"/>
  <c r="T13" i="15"/>
  <c r="T25" i="15"/>
  <c r="T11" i="15"/>
  <c r="T23" i="15"/>
  <c r="T27" i="15"/>
  <c r="T9" i="15"/>
  <c r="T30" i="15"/>
  <c r="T12" i="15"/>
  <c r="T16" i="15"/>
  <c r="T20" i="15"/>
  <c r="T24" i="15"/>
  <c r="T28" i="15"/>
  <c r="T17" i="15"/>
  <c r="T15" i="15"/>
  <c r="O8" i="15"/>
  <c r="W8" i="15" s="1"/>
  <c r="T9" i="16"/>
  <c r="T12" i="16"/>
  <c r="T8" i="16"/>
  <c r="T13" i="16"/>
  <c r="T21" i="16"/>
  <c r="T22" i="16"/>
  <c r="T15" i="16"/>
  <c r="T23" i="16"/>
  <c r="T27" i="16"/>
  <c r="T16" i="16"/>
  <c r="T24" i="16"/>
  <c r="T17" i="16"/>
  <c r="T25" i="16"/>
  <c r="T10" i="16"/>
  <c r="T18" i="16"/>
  <c r="T26" i="16"/>
  <c r="T11" i="16"/>
  <c r="T19" i="16"/>
  <c r="T20" i="16"/>
  <c r="T14" i="16"/>
  <c r="M8" i="15"/>
  <c r="X8" i="15" l="1"/>
  <c r="L23" i="14"/>
  <c r="J23" i="14"/>
  <c r="R23" i="14" s="1"/>
  <c r="I23" i="14"/>
  <c r="H23" i="14"/>
  <c r="G23" i="14"/>
  <c r="F23" i="14"/>
  <c r="E23" i="14"/>
  <c r="D23" i="14"/>
  <c r="C23" i="14"/>
  <c r="B23" i="14"/>
  <c r="E17" i="14"/>
  <c r="D17" i="14"/>
  <c r="C17" i="14"/>
  <c r="B17" i="14"/>
  <c r="L10" i="14"/>
  <c r="J10" i="14"/>
  <c r="I10" i="14"/>
  <c r="H10" i="14"/>
  <c r="G10" i="14"/>
  <c r="F10" i="14"/>
  <c r="E10" i="14"/>
  <c r="D10" i="14"/>
  <c r="C10" i="14"/>
  <c r="B10" i="14"/>
  <c r="G9" i="14" l="1"/>
  <c r="Q10" i="14"/>
  <c r="S10" i="14"/>
  <c r="S23" i="14"/>
  <c r="Q23" i="14"/>
  <c r="F9" i="14"/>
  <c r="F8" i="14" s="1"/>
  <c r="C9" i="14"/>
  <c r="C8" i="14" s="1"/>
  <c r="D9" i="14"/>
  <c r="D8" i="14" s="1"/>
  <c r="R10" i="14"/>
  <c r="J9" i="14"/>
  <c r="E9" i="14"/>
  <c r="E8" i="14" s="1"/>
  <c r="B9" i="14"/>
  <c r="B8" i="14" s="1"/>
  <c r="H9" i="14"/>
  <c r="G8" i="14"/>
  <c r="I9" i="14"/>
  <c r="S8" i="14" l="1"/>
  <c r="Q9" i="14"/>
  <c r="S9" i="14"/>
  <c r="R9" i="14"/>
  <c r="J8" i="14"/>
  <c r="I8" i="14"/>
  <c r="H8" i="14"/>
  <c r="R8" i="14" l="1"/>
  <c r="H29" i="4" l="1"/>
  <c r="H28" i="4" s="1"/>
  <c r="G29" i="4"/>
  <c r="G28" i="4" s="1"/>
  <c r="F29" i="4"/>
  <c r="F28" i="4" s="1"/>
  <c r="E29" i="4"/>
  <c r="E28" i="4" s="1"/>
  <c r="D29" i="4"/>
  <c r="D28" i="4" s="1"/>
  <c r="C29" i="4"/>
  <c r="C28" i="4" s="1"/>
  <c r="B29" i="4"/>
  <c r="B28" i="4" s="1"/>
  <c r="G25" i="4"/>
  <c r="F25" i="4"/>
  <c r="E25" i="4"/>
  <c r="D25" i="4"/>
  <c r="C25" i="4"/>
  <c r="B25" i="4"/>
  <c r="H11" i="4"/>
  <c r="H10" i="4" s="1"/>
  <c r="G11" i="4"/>
  <c r="F11" i="4"/>
  <c r="E11" i="4"/>
  <c r="D11" i="4"/>
  <c r="C11" i="4"/>
  <c r="B11" i="4"/>
  <c r="H9" i="4" l="1"/>
  <c r="C10" i="4"/>
  <c r="G10" i="4"/>
  <c r="D10" i="4"/>
  <c r="E10" i="4"/>
  <c r="F10" i="4"/>
  <c r="B10" i="4"/>
  <c r="I10" i="4"/>
  <c r="I9" i="4" s="1"/>
  <c r="H8" i="4"/>
  <c r="D8" i="4" l="1"/>
  <c r="D9" i="4"/>
  <c r="C8" i="4"/>
  <c r="C9" i="4"/>
  <c r="B8" i="4"/>
  <c r="B9" i="4"/>
  <c r="G8" i="4"/>
  <c r="G9" i="4"/>
  <c r="F8" i="4"/>
  <c r="F9" i="4"/>
  <c r="E8" i="4"/>
  <c r="E9" i="4"/>
  <c r="I8" i="4"/>
  <c r="J8" i="4"/>
</calcChain>
</file>

<file path=xl/sharedStrings.xml><?xml version="1.0" encoding="utf-8"?>
<sst xmlns="http://schemas.openxmlformats.org/spreadsheetml/2006/main" count="337" uniqueCount="240">
  <si>
    <t>Particulars</t>
  </si>
  <si>
    <t>(iawfiverukuhWlcsia)</t>
  </si>
  <si>
    <t>clIBcfwt</t>
  </si>
  <si>
    <t>Actual</t>
  </si>
  <si>
    <t>(MTEF)</t>
  </si>
  <si>
    <t>Revised</t>
  </si>
  <si>
    <t>(cTejwbWtcsWrudem)</t>
  </si>
  <si>
    <t>Expenditure and net lending</t>
  </si>
  <si>
    <t>Total Expenditure</t>
  </si>
  <si>
    <t>udwrwK</t>
  </si>
  <si>
    <t>Current expenditure</t>
  </si>
  <si>
    <t>udwrwK Wditenivua</t>
  </si>
  <si>
    <t>Net lending</t>
  </si>
  <si>
    <t>IkWbufWs egInwrwd EverukUd</t>
  </si>
  <si>
    <t>Source:  Ministry of Finance and Treasury</t>
  </si>
  <si>
    <t>IrwRercT cDcnea cscnEnif cfoa IrcTcsinim :ctWrwf ivcaedutWmUluAwm</t>
  </si>
  <si>
    <t>(cniaWyifur cnwyilim)</t>
  </si>
  <si>
    <t>ikWbufWs egInwrwd EverukUd iaWdwrwK wlcmuj</t>
  </si>
  <si>
    <t>Expenditure on goods and services</t>
  </si>
  <si>
    <t>udwrwK unuveruk cSwtwmcdiK iaWSwCcaekwt</t>
  </si>
  <si>
    <t xml:space="preserve">  Salaries and wages</t>
  </si>
  <si>
    <t>wrUjua iaWawrWsum</t>
  </si>
  <si>
    <t xml:space="preserve">  Other allowances</t>
  </si>
  <si>
    <t>Eved cSwncnufwzcawvum cnutogctog cnehinehea</t>
  </si>
  <si>
    <t xml:space="preserve">  Other benefits and gratuities</t>
  </si>
  <si>
    <t>Wsiawf EdcSwkwtog cnUn cSwkwtwmcdiKikwv</t>
  </si>
  <si>
    <t xml:space="preserve">  Travel expenses</t>
  </si>
  <si>
    <t>udwrwK egumurukurutwd</t>
  </si>
  <si>
    <t xml:space="preserve">  Supplies and requisites</t>
  </si>
  <si>
    <t>cnudOh itekwt iaWSwmutwgitekwt</t>
  </si>
  <si>
    <t xml:space="preserve">  Repairs and maintenance</t>
  </si>
  <si>
    <t>cSwmuTcaeheleb iaWSwmurukutWmWrwm</t>
  </si>
  <si>
    <t xml:space="preserve">  Transportation, communication,</t>
  </si>
  <si>
    <t>EverukcnunEb iaWtWlwBWvum iaWmulufua itekwt</t>
  </si>
  <si>
    <t xml:space="preserve">  utilities, and other services </t>
  </si>
  <si>
    <t>udwrwK egutwmcdiK</t>
  </si>
  <si>
    <t xml:space="preserve">  Subscriptions, membership fees, etc,</t>
  </si>
  <si>
    <t>egWtcnwt iaWkwtctwAWmwj ikeaikea egurEb</t>
  </si>
  <si>
    <t xml:space="preserve">  to international organizations </t>
  </si>
  <si>
    <t>Wsiawf Eved cSwaWdcnwC</t>
  </si>
  <si>
    <t xml:space="preserve">  Social welfare contributions and transfers</t>
  </si>
  <si>
    <t>Wsiawf egIheaEved iawkwTcSwaWdiawf egutwAWmwj</t>
  </si>
  <si>
    <t>Interest payments</t>
  </si>
  <si>
    <t>udwrwK egutwmcdiK Eved cSwaWsiawf Wviawfigen cSwNcnwrwd</t>
  </si>
  <si>
    <t>Subsidies and transfers</t>
  </si>
  <si>
    <t>cSwmurukulwdwb iaWSwaIDiscbws</t>
  </si>
  <si>
    <t xml:space="preserve">  Food, medicine and other  </t>
  </si>
  <si>
    <t>cSwaIDiscbws eguhEb iaWCcaekwtObWk</t>
  </si>
  <si>
    <t xml:space="preserve">  Pension</t>
  </si>
  <si>
    <t xml:space="preserve">cSwnwxcnep </t>
  </si>
  <si>
    <t>Capital expenditure and net lending</t>
  </si>
  <si>
    <t>IkWbufWs egInwrwd EverukUd idwa udwrwK ivinwncnuhimed</t>
  </si>
  <si>
    <t xml:space="preserve">  Development expenditure</t>
  </si>
  <si>
    <t>udwrwK Everuk iawkwTcSwaIqcawrwt</t>
  </si>
  <si>
    <t xml:space="preserve">  Foreign loan-financed</t>
  </si>
  <si>
    <t>udwrwK Everuk cnunOlEbil cnurEb</t>
  </si>
  <si>
    <t>1_/ cnutogctog cnehinehea</t>
  </si>
  <si>
    <t>Memorandum item:</t>
  </si>
  <si>
    <t>caeacmwTiawa Wviawfiveruk cDrOker iawkwTcSwnWdwh</t>
  </si>
  <si>
    <t>Capital contributions to</t>
  </si>
  <si>
    <t>Wtcnwt iaWkwtctwAWmwj ikeaikea egurEb</t>
  </si>
  <si>
    <t xml:space="preserve">      foreign organizations </t>
  </si>
  <si>
    <t>cSwmukcaed cSwlWmcsuawr</t>
  </si>
  <si>
    <t>Current Expenditure</t>
  </si>
  <si>
    <t>urwvcnimivurutia</t>
  </si>
  <si>
    <t>% change</t>
  </si>
  <si>
    <t>Total Expenditure and Net Lending</t>
  </si>
  <si>
    <t>IkWbufWs egInwrwd EverukUd iaWdwrwK</t>
  </si>
  <si>
    <t>Public services</t>
  </si>
  <si>
    <t>ctwmcdiK umcaWA EvedcSwncnutiycawr</t>
  </si>
  <si>
    <t xml:space="preserve">  General administration</t>
  </si>
  <si>
    <t>EhebWmugcnih</t>
  </si>
  <si>
    <t xml:space="preserve">  Defence</t>
  </si>
  <si>
    <t xml:space="preserve"> cnuTcaeheleb cSwtcawtcnwkIaWfid</t>
  </si>
  <si>
    <t xml:space="preserve">        Military Defence</t>
  </si>
  <si>
    <t xml:space="preserve">        Civil Defence</t>
  </si>
  <si>
    <t xml:space="preserve">  Public order and Internal security</t>
  </si>
  <si>
    <t>cnuTcaeleb cSokiretWkcawrcnwmwa iaWmurukcmiaWq ufWscniauludwa</t>
  </si>
  <si>
    <t xml:space="preserve"> Environmental Protection</t>
  </si>
  <si>
    <t>cnuTcaeleb iaWmurukiretWkcawr iSevWmit</t>
  </si>
  <si>
    <t>Social services</t>
  </si>
  <si>
    <t>Ihea EvediaWdwrwK Everuk cSwaIqcawrwt eguAwmwtcjum</t>
  </si>
  <si>
    <t xml:space="preserve">  Education</t>
  </si>
  <si>
    <t>cmIluAwt</t>
  </si>
  <si>
    <t xml:space="preserve">  Health </t>
  </si>
  <si>
    <t>utwHcaiB</t>
  </si>
  <si>
    <t xml:space="preserve">  Social security and welfare services</t>
  </si>
  <si>
    <t>ctwmcdiK egrwaefcleviaWmuTcaeheleb cSokiretWkcawr uAwmwtcjum</t>
  </si>
  <si>
    <t>udwrwK Everuk iawkwTcSwaWdiawf egutwAWmwj</t>
  </si>
  <si>
    <t>Economic services</t>
  </si>
  <si>
    <t>ctwmcdiK IdWBitcqia</t>
  </si>
  <si>
    <t xml:space="preserve">  Fisheries and Agriculture</t>
  </si>
  <si>
    <t>cnwkirevcswm iaWmwkirevuDnwd</t>
  </si>
  <si>
    <t xml:space="preserve">  Transportation</t>
  </si>
  <si>
    <t>udwrwK EhebWrutwfurutwd</t>
  </si>
  <si>
    <t xml:space="preserve">  Communication</t>
  </si>
  <si>
    <t>ctwmcdiK ugetWlwBWvum</t>
  </si>
  <si>
    <t xml:space="preserve">  Tourism</t>
  </si>
  <si>
    <t>cmwzirUT</t>
  </si>
  <si>
    <t xml:space="preserve">  Trade and Industries</t>
  </si>
  <si>
    <t>cnwkiretctwkcawswm iaWairWfwyiv</t>
  </si>
  <si>
    <t xml:space="preserve">  Electricity</t>
  </si>
  <si>
    <t>cTcnwrwk</t>
  </si>
  <si>
    <t>Interest on public debt</t>
  </si>
  <si>
    <t>udwrwK egutwmcdiK EvedcSwaWsiawf WviawfigencSwNcnwrwd</t>
  </si>
  <si>
    <t>Loans disbursements</t>
  </si>
  <si>
    <t>ލޯނުން ޚަރަދު ކުރެވުނު</t>
  </si>
  <si>
    <t>ބެހިފައިވާ ގޮތް އިން ސައްތައިން</t>
  </si>
  <si>
    <t>Percentage Share</t>
  </si>
  <si>
    <t>Percentage Change</t>
  </si>
  <si>
    <t>އިތުރުވި މިންވަރު</t>
  </si>
  <si>
    <t>(In million MVR)</t>
  </si>
  <si>
    <t xml:space="preserve"> cniawfis</t>
  </si>
  <si>
    <t>cnuhuluf</t>
  </si>
  <si>
    <t xml:space="preserve"> (In million MVR)</t>
  </si>
  <si>
    <t>cawtunOl egEretea</t>
  </si>
  <si>
    <t xml:space="preserve">  Training expenses</t>
  </si>
  <si>
    <t>unIrcmwt</t>
  </si>
  <si>
    <t>(Rev.)</t>
  </si>
  <si>
    <t>% Share</t>
  </si>
  <si>
    <t xml:space="preserve">   Public services</t>
  </si>
  <si>
    <t xml:space="preserve">cawtctwmcdiK EvedcSwncnutiycawr  </t>
  </si>
  <si>
    <t xml:space="preserve">      General administration</t>
  </si>
  <si>
    <t xml:space="preserve">EhebWmugcnih       </t>
  </si>
  <si>
    <t xml:space="preserve">      Defence</t>
  </si>
  <si>
    <t xml:space="preserve">cnuTcaeheleb cSwtcawtcnwkIaWfid       </t>
  </si>
  <si>
    <t xml:space="preserve">      Public order and Internal security</t>
  </si>
  <si>
    <t xml:space="preserve"> cnuTcaeheleb cSokiretWkcawr   cnwmwa iaWmurukcmiaWq ufWscniauludwa       </t>
  </si>
  <si>
    <t xml:space="preserve">      Environmental Protection</t>
  </si>
  <si>
    <t xml:space="preserve">cnuTcaeleb iaWmurukiretWkcawr iSevWmit       </t>
  </si>
  <si>
    <t xml:space="preserve">   Social services</t>
  </si>
  <si>
    <t xml:space="preserve">Ihea EvediaWdwrwK Everuk cSwaIqcawrwt eguAwmwtcjum  </t>
  </si>
  <si>
    <t xml:space="preserve">      Education</t>
  </si>
  <si>
    <t xml:space="preserve">cmIluAwt       </t>
  </si>
  <si>
    <t xml:space="preserve">      Health 1_/</t>
  </si>
  <si>
    <t xml:space="preserve">1_/ utwHcaiB       </t>
  </si>
  <si>
    <t xml:space="preserve">      Social security &amp; Welfare</t>
  </si>
  <si>
    <t xml:space="preserve">rwaefclev iaWmuTcaeheleb cSokiretWkcawr uAwmwtcjum       </t>
  </si>
  <si>
    <t xml:space="preserve">      Community programmes</t>
  </si>
  <si>
    <t xml:space="preserve">udwrwK Everuk iawkwTcSwaWdiawf egutwAWmwj       </t>
  </si>
  <si>
    <t xml:space="preserve">   Economic services</t>
  </si>
  <si>
    <t xml:space="preserve">      Fisheries and Agriculture</t>
  </si>
  <si>
    <t xml:space="preserve">                            cnwkirevcswm iaWmwkirevuDnwd    </t>
  </si>
  <si>
    <t xml:space="preserve">      Transportation</t>
  </si>
  <si>
    <t xml:space="preserve">                                 udwrwK EhebWrutwfurutwd   </t>
  </si>
  <si>
    <t xml:space="preserve">      Communication</t>
  </si>
  <si>
    <t xml:space="preserve">                              ctwmcdiK ugetWlwBWvum</t>
  </si>
  <si>
    <t xml:space="preserve">      Tourism</t>
  </si>
  <si>
    <t xml:space="preserve">                                          cmwzirUT   </t>
  </si>
  <si>
    <t xml:space="preserve">      Trade and Industries</t>
  </si>
  <si>
    <t xml:space="preserve">                          cnwkiretctwkcawswm iaWairWfwyiv   </t>
  </si>
  <si>
    <t xml:space="preserve">   Interest payments</t>
  </si>
  <si>
    <t>udwrwK egutwmcdiK EvedcSwaWsiawf Wviawfigen cSwNcnwrwd</t>
  </si>
  <si>
    <t>1_/     Expenses for water and sanitation is included in the health sector</t>
  </si>
  <si>
    <t>.eveawgiawbEhebWtwHcaiB Inwviawfinemih cawtudwrwK Wviawfiveruk cSwa WnWKWf iaWnef  1_/</t>
  </si>
  <si>
    <t>ބެހިފައިވަ ގޮތް އިންސައްތައިން</t>
  </si>
  <si>
    <t>(Revised )</t>
  </si>
  <si>
    <t>Capital Expenditure and net lending</t>
  </si>
  <si>
    <t>IkWb ufWs egInwrwd EverukUd iaWdwrwK ivinwncnuhimed</t>
  </si>
  <si>
    <t xml:space="preserve">   Capital expenditure</t>
  </si>
  <si>
    <t xml:space="preserve">udwrwK ivinwncnuhimed  </t>
  </si>
  <si>
    <t xml:space="preserve">      Public services</t>
  </si>
  <si>
    <t xml:space="preserve">ctwmcdiK umcaWA EvedcSwncnutiycawr    </t>
  </si>
  <si>
    <t xml:space="preserve">         General administration</t>
  </si>
  <si>
    <t xml:space="preserve">         Defence</t>
  </si>
  <si>
    <t xml:space="preserve">         Public order and Internal security</t>
  </si>
  <si>
    <t xml:space="preserve">cnuTcaeheleb cSokiretWkcawr cnwmwa iaWmurukcmiaWq ufWscniauludwa       </t>
  </si>
  <si>
    <t xml:space="preserve">         Environmental Protection</t>
  </si>
  <si>
    <t xml:space="preserve">      Social services</t>
  </si>
  <si>
    <t xml:space="preserve">IheaEvedev iaWrwK EverukcSwa Iqcawrwt eguAwmwtcjum    </t>
  </si>
  <si>
    <t xml:space="preserve">         Education</t>
  </si>
  <si>
    <t xml:space="preserve">         Health </t>
  </si>
  <si>
    <t xml:space="preserve">utwHcaiB       </t>
  </si>
  <si>
    <t xml:space="preserve">         Social security &amp; Welfare</t>
  </si>
  <si>
    <t xml:space="preserve">         Community programmes</t>
  </si>
  <si>
    <t xml:space="preserve">udwrWK EverukiawkwTcSwaWdiawf egutwAWmwj       </t>
  </si>
  <si>
    <t xml:space="preserve">        Fisheries and Agriculture</t>
  </si>
  <si>
    <t xml:space="preserve">cnwkirevcswm iaWmwkirevuDnwd      </t>
  </si>
  <si>
    <t xml:space="preserve">        Transportation</t>
  </si>
  <si>
    <t xml:space="preserve">udwrwK EhebWrutwfurutwd      </t>
  </si>
  <si>
    <t xml:space="preserve">        Communication</t>
  </si>
  <si>
    <t xml:space="preserve">ctWlwBWvum      </t>
  </si>
  <si>
    <t xml:space="preserve">        Tourism</t>
  </si>
  <si>
    <t xml:space="preserve">cnwkirevurutwf      </t>
  </si>
  <si>
    <t xml:space="preserve">        Trade and industries</t>
  </si>
  <si>
    <t xml:space="preserve">cnwkiretctwkcawswm iaWairWfwyiv      </t>
  </si>
  <si>
    <t xml:space="preserve">        Electricity</t>
  </si>
  <si>
    <t xml:space="preserve">cTcnwrwk      </t>
  </si>
  <si>
    <t xml:space="preserve">   Net lending  2_/</t>
  </si>
  <si>
    <t xml:space="preserve">                                    2_/  IkWbufWs egInwrwd EverukUd</t>
  </si>
  <si>
    <t xml:space="preserve"> Memorandum item:</t>
  </si>
  <si>
    <t xml:space="preserve"> Foreign-loans disbursements</t>
  </si>
  <si>
    <t>unuverukudwrwK egunOl egurEb</t>
  </si>
  <si>
    <t xml:space="preserve"> Amortization</t>
  </si>
  <si>
    <t>ލޯނު އަނބުރާ ދެއްކުން</t>
  </si>
  <si>
    <t>2_/   Includes capital contributions to public enterprises.</t>
  </si>
  <si>
    <t>.eveaenemih iawgiawbim clwTipek EverukUd cSwkwtcsiawrcprwTcnea ckilcbwp 2_/</t>
  </si>
  <si>
    <t>Capital Expenditure</t>
  </si>
  <si>
    <t xml:space="preserve">  Religion, Culture and Entertainment</t>
  </si>
  <si>
    <t xml:space="preserve">      Religion, Culture and Entertainment</t>
  </si>
  <si>
    <t xml:space="preserve">      Electricity</t>
  </si>
  <si>
    <t xml:space="preserve">        Religion, Culture and Entertainment</t>
  </si>
  <si>
    <t xml:space="preserve">  Domestic Loan</t>
  </si>
  <si>
    <t xml:space="preserve">  Grant Financed</t>
  </si>
  <si>
    <t xml:space="preserve">  Domestic PSIP</t>
  </si>
  <si>
    <t>ދީނީ، ސަޤާފީ، މުނިފޫހިފިލުވުން</t>
  </si>
  <si>
    <t>2015-2016</t>
  </si>
  <si>
    <r>
      <rPr>
        <b/>
        <sz val="8"/>
        <color theme="1"/>
        <rFont val="Faruma"/>
      </rPr>
      <t>ބެހިފައިވާ ގޮތް އިން ސައްތައިން</t>
    </r>
    <r>
      <rPr>
        <b/>
        <sz val="8"/>
        <color theme="1"/>
        <rFont val="Arial"/>
        <family val="2"/>
      </rPr>
      <t xml:space="preserve"> % share</t>
    </r>
  </si>
  <si>
    <t>2015 - 2016</t>
  </si>
  <si>
    <t>Estimate</t>
  </si>
  <si>
    <t xml:space="preserve">  Community programmes*</t>
  </si>
  <si>
    <t>* From 2015 onwards, "community programmes" included in "Religion, Culture and Entertainment".</t>
  </si>
  <si>
    <t>2016 Rev</t>
  </si>
  <si>
    <t>2017 Est</t>
  </si>
  <si>
    <t>2018 Est</t>
  </si>
  <si>
    <t>2019 Est</t>
  </si>
  <si>
    <t>ގްރާންޓް ފައިނާންސްޑް</t>
  </si>
  <si>
    <t>ޑޮމެސްޓިކް ފީ.އެސް.އައި.ޕީ</t>
  </si>
  <si>
    <t>2016-2017</t>
  </si>
  <si>
    <t>2020 -2013 ,ctogWviawfiverukudwrwK cnuTejwb egurWkurws cnutogegukwtiawb WviawfiLeawDnwk cSwmugcnihudwrwK : 13.5 ulwvWt</t>
  </si>
  <si>
    <t>Table  13.5 :  FUNCTIONAL CLASSIFICATION OF CENTRAL GOVERNMENT EXPENDITURE, 2013- 2020</t>
  </si>
  <si>
    <t>2020-2013 ,ctogEverukudwrwK Wditenivua cnurWkurws cnutog egukwtiawb WviawfiLeawDnwk cSwmugcnihudwrwK : 13.6 ulwvWt</t>
  </si>
  <si>
    <t>Table  13.6 :  FUNCTIONAL CLASSIFICATION OF CENTRAL GOVERNMENT  CURRENT EXPENDITURE, 2013 - 2020</t>
  </si>
  <si>
    <t>2016 - 2017</t>
  </si>
  <si>
    <t>2020 -2013 ,ctEverukudwrwK ivinwncnuhimed cnurWkurws cnutog egukwtiawb WviawfiLeawDnwk cSwmugcnihudwrwK : 13.7 ulwvWt</t>
  </si>
  <si>
    <t>Table  13.7 :  FUNCTIONAL CLASSIFICATION OF CENTRAL GOVERNMENT  CAPITAL EXPENDITURE, 2013 - 2020</t>
  </si>
  <si>
    <t>2020 Est</t>
  </si>
  <si>
    <t xml:space="preserve">Revised </t>
  </si>
  <si>
    <t xml:space="preserve">      Transfers to sovereign development Fund</t>
  </si>
  <si>
    <t xml:space="preserve">   cSwmukcaed cSwlWmcsuawr</t>
  </si>
  <si>
    <t>2020 - 2011 ,IkWbufWs egInwrwd iaWdwrwK EverukcnurWkurws cnutogegukwtiawb IdWBitcqia : 13.4 ulwvWt</t>
  </si>
  <si>
    <t>Table  13.4 :  ECONOMIC CLASSIFICATION OF CENTRAL GOVERNMENT EXPENDITURE AND NET LENDING, 2011 - 2020</t>
  </si>
  <si>
    <r>
      <t>Other</t>
    </r>
    <r>
      <rPr>
        <vertAlign val="superscript"/>
        <sz val="9"/>
        <color theme="1"/>
        <rFont val="Calibri"/>
        <family val="2"/>
        <scheme val="minor"/>
      </rPr>
      <t xml:space="preserve"> 2_/</t>
    </r>
  </si>
  <si>
    <t xml:space="preserve"> 2_/  Comprises development expenditure financed from domestic sources and by foreign grants. </t>
  </si>
  <si>
    <t xml:space="preserve"> Note:  1_/  Data revised</t>
  </si>
  <si>
    <r>
      <t>2011</t>
    </r>
    <r>
      <rPr>
        <b/>
        <vertAlign val="superscript"/>
        <sz val="9"/>
        <color theme="1"/>
        <rFont val="Calibri"/>
        <family val="2"/>
        <scheme val="minor"/>
      </rPr>
      <t>1_/</t>
    </r>
  </si>
  <si>
    <r>
      <t xml:space="preserve">udwrwK </t>
    </r>
    <r>
      <rPr>
        <b/>
        <sz val="9"/>
        <color theme="1"/>
        <rFont val="Faruma"/>
      </rPr>
      <t>ޖުމްލަ</t>
    </r>
  </si>
  <si>
    <t>Wsiawf EverukudwrwK cSwaIqcawrwt  cnegibil iawgutog egIhea Elih egurEb iaWncnEjcaWr Inenemih iawgiawbim 2_/</t>
  </si>
  <si>
    <r>
      <t xml:space="preserve">ނޯޓް: </t>
    </r>
    <r>
      <rPr>
        <i/>
        <sz val="9"/>
        <color theme="1"/>
        <rFont val="Faruma"/>
      </rPr>
      <t>/_1</t>
    </r>
    <r>
      <rPr>
        <sz val="9"/>
        <color theme="1"/>
        <rFont val="Faruma"/>
      </rPr>
      <t xml:space="preserve">  އިސްލާޙުކުރެވިފައި</t>
    </r>
  </si>
  <si>
    <r>
      <t>Total expenditure</t>
    </r>
    <r>
      <rPr>
        <b/>
        <vertAlign val="superscript"/>
        <sz val="9"/>
        <color theme="1"/>
        <rFont val="Calibri"/>
        <family val="2"/>
        <scheme val="minor"/>
      </rPr>
      <t>1_/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</si>
</sst>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8" formatCode="0.0"/>
    <numFmt numFmtId="169" formatCode="0.0_);\(0.0\)"/>
    <numFmt numFmtId="170" formatCode="_-* #,##0.00_-;\-* #,##0.00_-;_-* &quot;-&quot;??_-;_-@_-"/>
    <numFmt numFmtId="171" formatCode="#,##0.00\ ;&quot; (&quot;#,##0.00\);&quot; -&quot;#\ ;@\ 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b/>
      <sz val="8"/>
      <color theme="1"/>
      <name val="Arial"/>
      <family val="2"/>
    </font>
    <font>
      <sz val="9"/>
      <color theme="1"/>
      <name val="A_Randhoo"/>
    </font>
    <font>
      <sz val="9"/>
      <color theme="1"/>
      <name val="Akuru"/>
      <family val="2"/>
      <charset val="2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b/>
      <sz val="9"/>
      <color theme="1"/>
      <name val="Akuru"/>
      <family val="2"/>
      <charset val="2"/>
    </font>
    <font>
      <b/>
      <sz val="9"/>
      <color theme="1"/>
      <name val="A_Utheem"/>
    </font>
    <font>
      <sz val="9"/>
      <color theme="1"/>
      <name val="A_Utheem"/>
    </font>
    <font>
      <b/>
      <sz val="8"/>
      <color theme="1"/>
      <name val="Faruma"/>
    </font>
    <font>
      <b/>
      <sz val="9"/>
      <color theme="1"/>
      <name val="Win Ahamedey PRB"/>
      <family val="2"/>
    </font>
    <font>
      <sz val="10"/>
      <color theme="1"/>
      <name val="Courier"/>
      <family val="3"/>
    </font>
    <font>
      <sz val="9"/>
      <color theme="1"/>
      <name val="Courier"/>
      <family val="3"/>
    </font>
    <font>
      <sz val="10"/>
      <color indexed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vertAlign val="superscript"/>
      <sz val="9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i/>
      <sz val="9"/>
      <color theme="1"/>
      <name val="Farum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5" fillId="0" borderId="0" applyFont="0" applyFill="0" applyBorder="0" applyAlignment="0" applyProtection="0"/>
    <xf numFmtId="0" fontId="2" fillId="0" borderId="0"/>
    <xf numFmtId="170" fontId="1" fillId="0" borderId="0" applyFont="0" applyFill="0" applyBorder="0" applyAlignment="0" applyProtection="0"/>
    <xf numFmtId="0" fontId="7" fillId="0" borderId="0"/>
    <xf numFmtId="171" fontId="7" fillId="0" borderId="0"/>
    <xf numFmtId="0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7" fillId="0" borderId="0" applyFont="0" applyFill="0" applyBorder="0" applyAlignment="0" applyProtection="0"/>
    <xf numFmtId="0" fontId="36" fillId="0" borderId="0" applyNumberFormat="0" applyFill="0" applyBorder="0" applyAlignment="0" applyProtection="0"/>
  </cellStyleXfs>
  <cellXfs count="339">
    <xf numFmtId="0" fontId="0" fillId="0" borderId="0" xfId="0"/>
    <xf numFmtId="164" fontId="4" fillId="2" borderId="0" xfId="4" applyNumberFormat="1" applyFont="1" applyFill="1" applyAlignment="1" applyProtection="1">
      <alignment horizontal="left" vertical="center"/>
    </xf>
    <xf numFmtId="164" fontId="4" fillId="2" borderId="0" xfId="4" applyNumberFormat="1" applyFont="1" applyFill="1"/>
    <xf numFmtId="2" fontId="4" fillId="2" borderId="0" xfId="4" applyNumberFormat="1" applyFont="1" applyFill="1"/>
    <xf numFmtId="164" fontId="3" fillId="2" borderId="0" xfId="4" applyNumberFormat="1" applyFont="1" applyFill="1" applyBorder="1" applyAlignment="1">
      <alignment horizontal="center"/>
    </xf>
    <xf numFmtId="1" fontId="3" fillId="2" borderId="10" xfId="4" applyNumberFormat="1" applyFont="1" applyFill="1" applyBorder="1"/>
    <xf numFmtId="164" fontId="3" fillId="2" borderId="10" xfId="4" applyNumberFormat="1" applyFont="1" applyFill="1" applyBorder="1"/>
    <xf numFmtId="164" fontId="3" fillId="2" borderId="10" xfId="4" applyNumberFormat="1" applyFont="1" applyFill="1" applyBorder="1" applyAlignment="1" applyProtection="1">
      <alignment horizontal="left" vertical="center"/>
    </xf>
    <xf numFmtId="167" fontId="4" fillId="2" borderId="10" xfId="1" applyNumberFormat="1" applyFont="1" applyFill="1" applyBorder="1"/>
    <xf numFmtId="164" fontId="4" fillId="2" borderId="0" xfId="4" applyNumberFormat="1" applyFont="1" applyFill="1" applyAlignment="1"/>
    <xf numFmtId="165" fontId="6" fillId="2" borderId="0" xfId="2" applyNumberFormat="1" applyFont="1" applyFill="1" applyBorder="1" applyAlignment="1" applyProtection="1">
      <alignment horizontal="right" vertical="center"/>
      <protection locked="0"/>
    </xf>
    <xf numFmtId="164" fontId="11" fillId="2" borderId="0" xfId="2" applyNumberFormat="1" applyFont="1" applyFill="1" applyBorder="1" applyAlignment="1" applyProtection="1">
      <alignment horizontal="right" vertical="center"/>
      <protection locked="0"/>
    </xf>
    <xf numFmtId="164" fontId="11" fillId="2" borderId="2" xfId="2" applyNumberFormat="1" applyFont="1" applyFill="1" applyBorder="1" applyAlignment="1">
      <alignment horizontal="right" vertical="center"/>
    </xf>
    <xf numFmtId="164" fontId="6" fillId="2" borderId="0" xfId="2" applyNumberFormat="1" applyFont="1" applyFill="1" applyBorder="1" applyAlignment="1" applyProtection="1">
      <alignment horizontal="right" vertical="center"/>
      <protection locked="0"/>
    </xf>
    <xf numFmtId="164" fontId="6" fillId="2" borderId="1" xfId="2" applyNumberFormat="1" applyFont="1" applyFill="1" applyBorder="1" applyAlignment="1" applyProtection="1">
      <alignment horizontal="right" vertical="center"/>
    </xf>
    <xf numFmtId="164" fontId="21" fillId="2" borderId="0" xfId="2" applyNumberFormat="1" applyFont="1" applyFill="1" applyAlignment="1">
      <alignment vertical="center"/>
    </xf>
    <xf numFmtId="164" fontId="22" fillId="2" borderId="0" xfId="2" applyNumberFormat="1" applyFont="1" applyFill="1" applyAlignment="1">
      <alignment vertical="center"/>
    </xf>
    <xf numFmtId="164" fontId="6" fillId="2" borderId="0" xfId="2" applyNumberFormat="1" applyFont="1" applyFill="1" applyAlignment="1" applyProtection="1">
      <alignment horizontal="left" vertical="center"/>
    </xf>
    <xf numFmtId="165" fontId="9" fillId="2" borderId="0" xfId="2" applyNumberFormat="1" applyFont="1" applyFill="1" applyAlignment="1">
      <alignment horizontal="right" vertical="center"/>
    </xf>
    <xf numFmtId="165" fontId="13" fillId="2" borderId="0" xfId="2" applyNumberFormat="1" applyFont="1" applyFill="1" applyBorder="1" applyAlignment="1" applyProtection="1">
      <alignment horizontal="right" vertical="center"/>
    </xf>
    <xf numFmtId="164" fontId="10" fillId="2" borderId="0" xfId="2" applyNumberFormat="1" applyFont="1" applyFill="1" applyAlignment="1">
      <alignment vertical="center"/>
    </xf>
    <xf numFmtId="164" fontId="27" fillId="2" borderId="0" xfId="2" applyNumberFormat="1" applyFont="1" applyFill="1" applyAlignment="1">
      <alignment vertical="center"/>
    </xf>
    <xf numFmtId="164" fontId="19" fillId="2" borderId="0" xfId="2" applyNumberFormat="1" applyFont="1" applyFill="1" applyAlignment="1" applyProtection="1">
      <alignment horizontal="left" vertical="center"/>
    </xf>
    <xf numFmtId="164" fontId="17" fillId="2" borderId="0" xfId="2" applyNumberFormat="1" applyFont="1" applyFill="1" applyAlignment="1">
      <alignment vertical="center"/>
    </xf>
    <xf numFmtId="164" fontId="13" fillId="2" borderId="0" xfId="2" applyNumberFormat="1" applyFont="1" applyFill="1" applyAlignment="1">
      <alignment horizontal="center" vertical="center"/>
    </xf>
    <xf numFmtId="164" fontId="21" fillId="2" borderId="0" xfId="2" applyNumberFormat="1" applyFont="1" applyFill="1" applyAlignment="1">
      <alignment horizontal="center" vertical="center"/>
    </xf>
    <xf numFmtId="164" fontId="27" fillId="2" borderId="0" xfId="2" applyNumberFormat="1" applyFont="1" applyFill="1" applyBorder="1" applyAlignment="1">
      <alignment vertical="center"/>
    </xf>
    <xf numFmtId="165" fontId="13" fillId="2" borderId="0" xfId="2" applyNumberFormat="1" applyFont="1" applyFill="1" applyBorder="1" applyAlignment="1" applyProtection="1">
      <alignment horizontal="right" vertical="center"/>
      <protection locked="0"/>
    </xf>
    <xf numFmtId="164" fontId="17" fillId="2" borderId="2" xfId="2" applyNumberFormat="1" applyFont="1" applyFill="1" applyBorder="1" applyAlignment="1" applyProtection="1">
      <alignment horizontal="left" vertical="center"/>
    </xf>
    <xf numFmtId="41" fontId="28" fillId="2" borderId="2" xfId="3" applyNumberFormat="1" applyFont="1" applyFill="1" applyBorder="1" applyAlignment="1" applyProtection="1">
      <alignment horizontal="right" vertical="center"/>
      <protection locked="0"/>
    </xf>
    <xf numFmtId="164" fontId="25" fillId="2" borderId="2" xfId="2" applyNumberFormat="1" applyFont="1" applyFill="1" applyBorder="1" applyAlignment="1">
      <alignment horizontal="right" vertical="center"/>
    </xf>
    <xf numFmtId="164" fontId="25" fillId="2" borderId="0" xfId="2" applyNumberFormat="1" applyFont="1" applyFill="1" applyAlignment="1">
      <alignment horizontal="right" vertical="center"/>
    </xf>
    <xf numFmtId="164" fontId="10" fillId="2" borderId="0" xfId="2" applyNumberFormat="1" applyFont="1" applyFill="1" applyBorder="1" applyAlignment="1">
      <alignment vertical="center"/>
    </xf>
    <xf numFmtId="164" fontId="11" fillId="2" borderId="2" xfId="2" applyNumberFormat="1" applyFont="1" applyFill="1" applyBorder="1" applyAlignment="1" applyProtection="1">
      <alignment horizontal="right" vertical="center"/>
    </xf>
    <xf numFmtId="41" fontId="28" fillId="2" borderId="0" xfId="3" applyNumberFormat="1" applyFont="1" applyFill="1" applyAlignment="1" applyProtection="1">
      <alignment horizontal="right" vertical="center"/>
      <protection locked="0"/>
    </xf>
    <xf numFmtId="37" fontId="17" fillId="2" borderId="0" xfId="2" applyNumberFormat="1" applyFont="1" applyFill="1" applyAlignment="1" applyProtection="1">
      <alignment vertical="center"/>
    </xf>
    <xf numFmtId="164" fontId="21" fillId="2" borderId="0" xfId="2" applyNumberFormat="1" applyFont="1" applyFill="1" applyBorder="1" applyAlignment="1">
      <alignment vertical="center"/>
    </xf>
    <xf numFmtId="164" fontId="10" fillId="2" borderId="3" xfId="2" applyNumberFormat="1" applyFont="1" applyFill="1" applyBorder="1" applyAlignment="1" applyProtection="1">
      <alignment horizontal="center" vertical="center"/>
    </xf>
    <xf numFmtId="1" fontId="10" fillId="2" borderId="2" xfId="2" applyNumberFormat="1" applyFont="1" applyFill="1" applyBorder="1" applyAlignment="1">
      <alignment vertical="center"/>
    </xf>
    <xf numFmtId="164" fontId="11" fillId="2" borderId="0" xfId="2" applyNumberFormat="1" applyFont="1" applyFill="1" applyAlignment="1" applyProtection="1">
      <alignment horizontal="left" vertical="center"/>
    </xf>
    <xf numFmtId="165" fontId="11" fillId="2" borderId="0" xfId="2" applyNumberFormat="1" applyFont="1" applyFill="1" applyAlignment="1" applyProtection="1">
      <alignment horizontal="right" vertical="center"/>
    </xf>
    <xf numFmtId="165" fontId="11" fillId="2" borderId="0" xfId="2" applyNumberFormat="1" applyFont="1" applyFill="1" applyAlignment="1" applyProtection="1">
      <alignment horizontal="right" vertical="center"/>
      <protection locked="0"/>
    </xf>
    <xf numFmtId="164" fontId="9" fillId="2" borderId="0" xfId="2" applyNumberFormat="1" applyFont="1" applyFill="1" applyAlignment="1">
      <alignment horizontal="right" vertical="center"/>
    </xf>
    <xf numFmtId="164" fontId="17" fillId="2" borderId="0" xfId="2" applyNumberFormat="1" applyFont="1" applyFill="1" applyAlignment="1" applyProtection="1">
      <alignment horizontal="left" vertical="center"/>
    </xf>
    <xf numFmtId="167" fontId="17" fillId="2" borderId="0" xfId="1" applyNumberFormat="1" applyFont="1" applyFill="1" applyBorder="1" applyAlignment="1" applyProtection="1">
      <alignment horizontal="center" vertical="center"/>
      <protection locked="0"/>
    </xf>
    <xf numFmtId="165" fontId="17" fillId="2" borderId="0" xfId="2" applyNumberFormat="1" applyFont="1" applyFill="1" applyBorder="1" applyAlignment="1" applyProtection="1">
      <alignment horizontal="center" vertical="center"/>
      <protection locked="0"/>
    </xf>
    <xf numFmtId="164" fontId="11" fillId="2" borderId="0" xfId="2" applyNumberFormat="1" applyFont="1" applyFill="1" applyAlignment="1">
      <alignment horizontal="right" vertical="center"/>
    </xf>
    <xf numFmtId="164" fontId="17" fillId="2" borderId="0" xfId="2" applyNumberFormat="1" applyFont="1" applyFill="1" applyAlignment="1" applyProtection="1">
      <alignment vertical="center"/>
    </xf>
    <xf numFmtId="164" fontId="26" fillId="2" borderId="0" xfId="2" applyNumberFormat="1" applyFont="1" applyFill="1" applyAlignment="1">
      <alignment horizontal="right" vertical="center"/>
    </xf>
    <xf numFmtId="169" fontId="11" fillId="2" borderId="0" xfId="2" applyNumberFormat="1" applyFont="1" applyFill="1" applyAlignment="1" applyProtection="1">
      <alignment horizontal="right" vertical="center"/>
      <protection locked="0"/>
    </xf>
    <xf numFmtId="41" fontId="28" fillId="2" borderId="0" xfId="3" applyNumberFormat="1" applyFont="1" applyFill="1" applyBorder="1" applyAlignment="1" applyProtection="1">
      <alignment horizontal="right" vertical="center"/>
      <protection locked="0"/>
    </xf>
    <xf numFmtId="164" fontId="29" fillId="2" borderId="0" xfId="2" applyNumberFormat="1" applyFont="1" applyFill="1" applyAlignment="1">
      <alignment horizontal="right" vertical="center"/>
    </xf>
    <xf numFmtId="164" fontId="17" fillId="2" borderId="0" xfId="2" applyNumberFormat="1" applyFont="1" applyFill="1" applyBorder="1" applyAlignment="1" applyProtection="1">
      <alignment horizontal="left" vertical="center"/>
    </xf>
    <xf numFmtId="165" fontId="17" fillId="2" borderId="0" xfId="2" applyNumberFormat="1" applyFont="1" applyFill="1" applyBorder="1" applyAlignment="1" applyProtection="1">
      <alignment horizontal="right" vertical="center"/>
    </xf>
    <xf numFmtId="165" fontId="17" fillId="2" borderId="2" xfId="2" applyNumberFormat="1" applyFont="1" applyFill="1" applyBorder="1" applyAlignment="1" applyProtection="1">
      <alignment horizontal="right" vertical="center"/>
      <protection locked="0"/>
    </xf>
    <xf numFmtId="165" fontId="11" fillId="2" borderId="2" xfId="2" applyNumberFormat="1" applyFont="1" applyFill="1" applyBorder="1" applyAlignment="1" applyProtection="1">
      <alignment horizontal="right" vertical="center"/>
      <protection locked="0"/>
    </xf>
    <xf numFmtId="168" fontId="17" fillId="2" borderId="0" xfId="2" applyNumberFormat="1" applyFont="1" applyFill="1" applyAlignment="1" applyProtection="1">
      <alignment horizontal="right" vertical="center"/>
    </xf>
    <xf numFmtId="168" fontId="27" fillId="2" borderId="0" xfId="2" applyNumberFormat="1" applyFont="1" applyFill="1" applyAlignment="1">
      <alignment horizontal="right" vertical="center"/>
    </xf>
    <xf numFmtId="1" fontId="27" fillId="2" borderId="0" xfId="2" applyNumberFormat="1" applyFont="1" applyFill="1" applyAlignment="1">
      <alignment vertical="center"/>
    </xf>
    <xf numFmtId="168" fontId="21" fillId="2" borderId="0" xfId="2" applyNumberFormat="1" applyFont="1" applyFill="1" applyAlignment="1">
      <alignment horizontal="right" vertical="center"/>
    </xf>
    <xf numFmtId="1" fontId="21" fillId="2" borderId="0" xfId="2" applyNumberFormat="1" applyFont="1" applyFill="1" applyAlignment="1">
      <alignment vertical="center"/>
    </xf>
    <xf numFmtId="164" fontId="31" fillId="2" borderId="0" xfId="2" applyNumberFormat="1" applyFont="1" applyFill="1" applyAlignment="1">
      <alignment vertical="center" wrapText="1"/>
    </xf>
    <xf numFmtId="164" fontId="24" fillId="2" borderId="3" xfId="2" applyNumberFormat="1" applyFont="1" applyFill="1" applyBorder="1" applyAlignment="1">
      <alignment vertical="center"/>
    </xf>
    <xf numFmtId="164" fontId="23" fillId="2" borderId="0" xfId="2" applyNumberFormat="1" applyFont="1" applyFill="1" applyBorder="1" applyAlignment="1"/>
    <xf numFmtId="164" fontId="23" fillId="2" borderId="0" xfId="2" applyNumberFormat="1" applyFont="1" applyFill="1" applyBorder="1" applyAlignment="1">
      <alignment horizontal="center"/>
    </xf>
    <xf numFmtId="164" fontId="24" fillId="2" borderId="0" xfId="2" applyNumberFormat="1" applyFont="1" applyFill="1" applyBorder="1" applyAlignment="1">
      <alignment vertical="center"/>
    </xf>
    <xf numFmtId="164" fontId="10" fillId="2" borderId="0" xfId="2" applyNumberFormat="1" applyFont="1" applyFill="1" applyBorder="1" applyAlignment="1" applyProtection="1">
      <alignment horizontal="right" vertical="center"/>
      <protection locked="0"/>
    </xf>
    <xf numFmtId="164" fontId="24" fillId="2" borderId="0" xfId="2" applyNumberFormat="1" applyFont="1" applyFill="1" applyBorder="1" applyAlignment="1" applyProtection="1">
      <alignment horizontal="center" vertical="center"/>
      <protection locked="0"/>
    </xf>
    <xf numFmtId="164" fontId="24" fillId="2" borderId="0" xfId="2" applyNumberFormat="1" applyFont="1" applyFill="1" applyBorder="1" applyAlignment="1" applyProtection="1">
      <alignment horizontal="right" vertical="center"/>
      <protection locked="0"/>
    </xf>
    <xf numFmtId="168" fontId="11" fillId="2" borderId="18" xfId="2" applyNumberFormat="1" applyFont="1" applyFill="1" applyBorder="1" applyAlignment="1">
      <alignment horizontal="right" vertical="center"/>
    </xf>
    <xf numFmtId="164" fontId="33" fillId="2" borderId="2" xfId="2" applyNumberFormat="1" applyFont="1" applyFill="1" applyBorder="1" applyAlignment="1">
      <alignment horizontal="right" vertical="center"/>
    </xf>
    <xf numFmtId="3" fontId="6" fillId="2" borderId="0" xfId="2" applyNumberFormat="1" applyFont="1" applyFill="1" applyBorder="1" applyAlignment="1" applyProtection="1">
      <alignment horizontal="right" vertical="center"/>
    </xf>
    <xf numFmtId="3" fontId="6" fillId="2" borderId="3" xfId="2" applyNumberFormat="1" applyFont="1" applyFill="1" applyBorder="1" applyAlignment="1" applyProtection="1">
      <alignment horizontal="right" vertical="center"/>
    </xf>
    <xf numFmtId="165" fontId="6" fillId="2" borderId="3" xfId="2" applyNumberFormat="1" applyFont="1" applyFill="1" applyBorder="1" applyAlignment="1" applyProtection="1">
      <alignment horizontal="right" vertical="center"/>
    </xf>
    <xf numFmtId="168" fontId="6" fillId="2" borderId="0" xfId="2" applyNumberFormat="1" applyFont="1" applyFill="1" applyBorder="1" applyAlignment="1" applyProtection="1">
      <alignment horizontal="right" vertical="center"/>
      <protection locked="0"/>
    </xf>
    <xf numFmtId="3" fontId="6" fillId="2" borderId="0" xfId="2" applyNumberFormat="1" applyFont="1" applyFill="1" applyBorder="1" applyAlignment="1" applyProtection="1">
      <alignment horizontal="right" vertical="center"/>
      <protection locked="0"/>
    </xf>
    <xf numFmtId="168" fontId="6" fillId="2" borderId="11" xfId="2" applyNumberFormat="1" applyFont="1" applyFill="1" applyBorder="1" applyAlignment="1" applyProtection="1">
      <alignment vertical="center"/>
      <protection locked="0"/>
    </xf>
    <xf numFmtId="164" fontId="13" fillId="2" borderId="0" xfId="2" applyNumberFormat="1" applyFont="1" applyFill="1" applyAlignment="1" applyProtection="1">
      <alignment horizontal="left" vertical="center"/>
    </xf>
    <xf numFmtId="3" fontId="13" fillId="2" borderId="0" xfId="2" applyNumberFormat="1" applyFont="1" applyFill="1" applyBorder="1" applyAlignment="1" applyProtection="1">
      <alignment horizontal="right" vertical="center"/>
      <protection locked="0"/>
    </xf>
    <xf numFmtId="168" fontId="13" fillId="2" borderId="0" xfId="2" applyNumberFormat="1" applyFont="1" applyFill="1" applyBorder="1" applyAlignment="1" applyProtection="1">
      <alignment vertical="center"/>
      <protection locked="0"/>
    </xf>
    <xf numFmtId="168" fontId="13" fillId="2" borderId="11" xfId="2" applyNumberFormat="1" applyFont="1" applyFill="1" applyBorder="1" applyAlignment="1" applyProtection="1">
      <alignment vertical="center"/>
      <protection locked="0"/>
    </xf>
    <xf numFmtId="168" fontId="13" fillId="2" borderId="0" xfId="2" applyNumberFormat="1" applyFont="1" applyFill="1" applyBorder="1" applyAlignment="1" applyProtection="1">
      <alignment horizontal="right" vertical="center"/>
      <protection locked="0"/>
    </xf>
    <xf numFmtId="164" fontId="25" fillId="2" borderId="0" xfId="2" applyNumberFormat="1" applyFont="1" applyFill="1" applyAlignment="1">
      <alignment horizontal="right" vertical="center" indent="3"/>
    </xf>
    <xf numFmtId="3" fontId="13" fillId="2" borderId="0" xfId="2" applyNumberFormat="1" applyFont="1" applyFill="1" applyBorder="1" applyAlignment="1">
      <alignment vertical="center"/>
    </xf>
    <xf numFmtId="164" fontId="18" fillId="2" borderId="0" xfId="2" applyNumberFormat="1" applyFont="1" applyFill="1" applyAlignment="1">
      <alignment horizontal="right" vertical="center"/>
    </xf>
    <xf numFmtId="3" fontId="13" fillId="2" borderId="0" xfId="2" applyNumberFormat="1" applyFont="1" applyFill="1" applyBorder="1" applyAlignment="1" applyProtection="1">
      <alignment horizontal="right" vertical="center"/>
    </xf>
    <xf numFmtId="164" fontId="13" fillId="2" borderId="2" xfId="2" applyNumberFormat="1" applyFont="1" applyFill="1" applyBorder="1" applyAlignment="1" applyProtection="1">
      <alignment horizontal="left" vertical="center"/>
    </xf>
    <xf numFmtId="3" fontId="13" fillId="2" borderId="2" xfId="2" applyNumberFormat="1" applyFont="1" applyFill="1" applyBorder="1" applyAlignment="1" applyProtection="1">
      <alignment horizontal="center" vertical="center"/>
      <protection locked="0"/>
    </xf>
    <xf numFmtId="3" fontId="13" fillId="2" borderId="2" xfId="2" applyNumberFormat="1" applyFont="1" applyFill="1" applyBorder="1" applyAlignment="1" applyProtection="1">
      <alignment horizontal="right" vertical="center"/>
      <protection locked="0"/>
    </xf>
    <xf numFmtId="165" fontId="13" fillId="2" borderId="2" xfId="2" applyNumberFormat="1" applyFont="1" applyFill="1" applyBorder="1" applyAlignment="1" applyProtection="1">
      <alignment horizontal="right" vertical="center"/>
      <protection locked="0"/>
    </xf>
    <xf numFmtId="168" fontId="13" fillId="2" borderId="12" xfId="2" applyNumberFormat="1" applyFont="1" applyFill="1" applyBorder="1" applyAlignment="1" applyProtection="1">
      <alignment vertical="center"/>
      <protection locked="0"/>
    </xf>
    <xf numFmtId="168" fontId="13" fillId="2" borderId="2" xfId="2" applyNumberFormat="1" applyFont="1" applyFill="1" applyBorder="1" applyAlignment="1" applyProtection="1">
      <alignment horizontal="right" vertical="center"/>
      <protection locked="0"/>
    </xf>
    <xf numFmtId="164" fontId="18" fillId="2" borderId="2" xfId="2" applyNumberFormat="1" applyFont="1" applyFill="1" applyBorder="1" applyAlignment="1">
      <alignment horizontal="right" vertical="center"/>
    </xf>
    <xf numFmtId="37" fontId="17" fillId="2" borderId="0" xfId="2" applyNumberFormat="1" applyFont="1" applyFill="1" applyAlignment="1" applyProtection="1">
      <alignment horizontal="center" vertical="center"/>
    </xf>
    <xf numFmtId="168" fontId="17" fillId="2" borderId="0" xfId="2" applyNumberFormat="1" applyFont="1" applyFill="1" applyAlignment="1" applyProtection="1">
      <alignment horizontal="center" vertical="center"/>
    </xf>
    <xf numFmtId="168" fontId="21" fillId="2" borderId="0" xfId="2" applyNumberFormat="1" applyFont="1" applyFill="1" applyAlignment="1">
      <alignment horizontal="center" vertical="center"/>
    </xf>
    <xf numFmtId="165" fontId="10" fillId="2" borderId="0" xfId="2" applyNumberFormat="1" applyFont="1" applyFill="1" applyAlignment="1" applyProtection="1">
      <alignment horizontal="right" vertical="center"/>
    </xf>
    <xf numFmtId="165" fontId="10" fillId="2" borderId="0" xfId="2" applyNumberFormat="1" applyFont="1" applyFill="1" applyAlignment="1" applyProtection="1">
      <alignment horizontal="right" vertical="center"/>
      <protection locked="0"/>
    </xf>
    <xf numFmtId="164" fontId="9" fillId="2" borderId="0" xfId="2" applyNumberFormat="1" applyFont="1" applyFill="1" applyBorder="1" applyAlignment="1"/>
    <xf numFmtId="164" fontId="9" fillId="2" borderId="3" xfId="2" applyNumberFormat="1" applyFont="1" applyFill="1" applyBorder="1" applyAlignment="1">
      <alignment horizontal="center"/>
    </xf>
    <xf numFmtId="0" fontId="15" fillId="2" borderId="3" xfId="2" applyFont="1" applyFill="1" applyBorder="1" applyAlignment="1" applyProtection="1">
      <alignment horizontal="center" vertical="center"/>
    </xf>
    <xf numFmtId="164" fontId="10" fillId="2" borderId="0" xfId="2" applyNumberFormat="1" applyFont="1" applyFill="1" applyBorder="1" applyAlignment="1" applyProtection="1">
      <alignment horizontal="left" vertical="center"/>
    </xf>
    <xf numFmtId="164" fontId="10" fillId="2" borderId="0" xfId="2" applyNumberFormat="1" applyFont="1" applyFill="1" applyBorder="1" applyAlignment="1">
      <alignment horizontal="right"/>
    </xf>
    <xf numFmtId="1" fontId="11" fillId="2" borderId="2" xfId="2" applyNumberFormat="1" applyFont="1" applyFill="1" applyBorder="1" applyAlignment="1" applyProtection="1">
      <alignment horizontal="right" vertical="center"/>
    </xf>
    <xf numFmtId="1" fontId="11" fillId="2" borderId="2" xfId="2" applyNumberFormat="1" applyFont="1" applyFill="1" applyBorder="1" applyAlignment="1" applyProtection="1">
      <alignment horizontal="center" vertical="center"/>
    </xf>
    <xf numFmtId="1" fontId="11" fillId="2" borderId="2" xfId="2" applyNumberFormat="1" applyFont="1" applyFill="1" applyBorder="1" applyAlignment="1">
      <alignment horizontal="right" vertical="center"/>
    </xf>
    <xf numFmtId="1" fontId="11" fillId="2" borderId="0" xfId="2" applyNumberFormat="1" applyFont="1" applyFill="1" applyAlignment="1">
      <alignment horizontal="right" vertical="center"/>
    </xf>
    <xf numFmtId="165" fontId="11" fillId="2" borderId="0" xfId="2" applyNumberFormat="1" applyFont="1" applyFill="1" applyAlignment="1">
      <alignment horizontal="right" vertical="center"/>
    </xf>
    <xf numFmtId="165" fontId="11" fillId="2" borderId="0" xfId="2" applyNumberFormat="1" applyFont="1" applyFill="1" applyBorder="1" applyAlignment="1">
      <alignment horizontal="right" vertical="center"/>
    </xf>
    <xf numFmtId="165" fontId="11" fillId="2" borderId="0" xfId="2" applyNumberFormat="1" applyFont="1" applyFill="1" applyBorder="1" applyAlignment="1">
      <alignment horizontal="right" vertical="center" indent="3"/>
    </xf>
    <xf numFmtId="165" fontId="17" fillId="2" borderId="0" xfId="2" applyNumberFormat="1" applyFont="1" applyFill="1" applyAlignment="1">
      <alignment horizontal="right" vertical="center"/>
    </xf>
    <xf numFmtId="165" fontId="17" fillId="2" borderId="0" xfId="2" applyNumberFormat="1" applyFont="1" applyFill="1" applyBorder="1" applyAlignment="1">
      <alignment horizontal="right" vertical="center"/>
    </xf>
    <xf numFmtId="165" fontId="17" fillId="2" borderId="0" xfId="2" applyNumberFormat="1" applyFont="1" applyFill="1" applyBorder="1" applyAlignment="1">
      <alignment horizontal="right" vertical="center" indent="3"/>
    </xf>
    <xf numFmtId="164" fontId="18" fillId="2" borderId="0" xfId="2" applyNumberFormat="1" applyFont="1" applyFill="1" applyAlignment="1">
      <alignment horizontal="right" vertical="center" indent="4"/>
    </xf>
    <xf numFmtId="165" fontId="17" fillId="2" borderId="0" xfId="2" applyNumberFormat="1" applyFont="1" applyFill="1" applyAlignment="1" applyProtection="1">
      <alignment horizontal="right" vertical="center"/>
    </xf>
    <xf numFmtId="168" fontId="17" fillId="2" borderId="0" xfId="2" applyNumberFormat="1" applyFont="1" applyFill="1" applyBorder="1" applyAlignment="1" applyProtection="1">
      <alignment horizontal="right" vertical="center"/>
      <protection locked="0"/>
    </xf>
    <xf numFmtId="168" fontId="17" fillId="2" borderId="0" xfId="2" applyNumberFormat="1" applyFont="1" applyFill="1" applyAlignment="1">
      <alignment vertical="center"/>
    </xf>
    <xf numFmtId="164" fontId="25" fillId="2" borderId="0" xfId="2" applyNumberFormat="1" applyFont="1" applyFill="1" applyBorder="1" applyAlignment="1">
      <alignment horizontal="right" vertical="center"/>
    </xf>
    <xf numFmtId="168" fontId="17" fillId="2" borderId="2" xfId="2" applyNumberFormat="1" applyFont="1" applyFill="1" applyBorder="1" applyAlignment="1" applyProtection="1">
      <alignment horizontal="right" vertical="center"/>
      <protection locked="0"/>
    </xf>
    <xf numFmtId="164" fontId="17" fillId="2" borderId="0" xfId="2" applyNumberFormat="1" applyFont="1" applyFill="1" applyAlignment="1">
      <alignment horizontal="center" vertical="center"/>
    </xf>
    <xf numFmtId="164" fontId="34" fillId="2" borderId="0" xfId="2" applyNumberFormat="1" applyFont="1" applyFill="1"/>
    <xf numFmtId="164" fontId="6" fillId="2" borderId="0" xfId="2" applyNumberFormat="1" applyFont="1" applyFill="1" applyBorder="1" applyAlignment="1">
      <alignment horizontal="right" vertical="center"/>
    </xf>
    <xf numFmtId="164" fontId="6" fillId="2" borderId="0" xfId="2" applyNumberFormat="1" applyFont="1" applyFill="1" applyAlignment="1">
      <alignment horizontal="right" vertical="center"/>
    </xf>
    <xf numFmtId="164" fontId="11" fillId="2" borderId="0" xfId="2" applyNumberFormat="1" applyFont="1" applyFill="1" applyBorder="1" applyAlignment="1">
      <alignment horizontal="right"/>
    </xf>
    <xf numFmtId="164" fontId="11" fillId="2" borderId="3" xfId="2" applyNumberFormat="1" applyFont="1" applyFill="1" applyBorder="1" applyAlignment="1">
      <alignment horizontal="right"/>
    </xf>
    <xf numFmtId="0" fontId="16" fillId="2" borderId="0" xfId="2" applyFont="1" applyFill="1" applyBorder="1" applyAlignment="1" applyProtection="1">
      <alignment horizontal="center" vertical="center"/>
    </xf>
    <xf numFmtId="164" fontId="22" fillId="2" borderId="0" xfId="2" applyNumberFormat="1" applyFont="1" applyFill="1" applyBorder="1" applyAlignment="1">
      <alignment horizontal="center" vertical="center"/>
    </xf>
    <xf numFmtId="164" fontId="11" fillId="2" borderId="0" xfId="2" applyNumberFormat="1" applyFont="1" applyFill="1" applyBorder="1" applyAlignment="1">
      <alignment horizontal="right" vertical="center"/>
    </xf>
    <xf numFmtId="168" fontId="11" fillId="2" borderId="0" xfId="2" applyNumberFormat="1" applyFont="1" applyFill="1" applyBorder="1" applyAlignment="1" applyProtection="1">
      <alignment horizontal="center" vertical="center"/>
      <protection locked="0"/>
    </xf>
    <xf numFmtId="168" fontId="11" fillId="2" borderId="2" xfId="2" applyNumberFormat="1" applyFont="1" applyFill="1" applyBorder="1" applyAlignment="1">
      <alignment horizontal="right" vertical="center"/>
    </xf>
    <xf numFmtId="164" fontId="33" fillId="2" borderId="2" xfId="2" applyNumberFormat="1" applyFont="1" applyFill="1" applyBorder="1" applyAlignment="1">
      <alignment vertical="center"/>
    </xf>
    <xf numFmtId="165" fontId="11" fillId="2" borderId="0" xfId="2" applyNumberFormat="1" applyFont="1" applyFill="1" applyBorder="1" applyAlignment="1" applyProtection="1">
      <alignment horizontal="right" vertical="center"/>
    </xf>
    <xf numFmtId="168" fontId="11" fillId="2" borderId="0" xfId="2" applyNumberFormat="1" applyFont="1" applyFill="1" applyBorder="1" applyAlignment="1" applyProtection="1">
      <alignment horizontal="right" vertical="center"/>
    </xf>
    <xf numFmtId="168" fontId="17" fillId="2" borderId="0" xfId="2" applyNumberFormat="1" applyFont="1" applyFill="1" applyBorder="1" applyAlignment="1" applyProtection="1">
      <alignment horizontal="right" vertical="center"/>
    </xf>
    <xf numFmtId="164" fontId="17" fillId="2" borderId="0" xfId="2" applyNumberFormat="1" applyFont="1" applyFill="1" applyBorder="1" applyAlignment="1">
      <alignment vertical="center"/>
    </xf>
    <xf numFmtId="165" fontId="17" fillId="2" borderId="0" xfId="2" applyNumberFormat="1" applyFont="1" applyFill="1" applyBorder="1" applyAlignment="1" applyProtection="1">
      <alignment horizontal="right"/>
    </xf>
    <xf numFmtId="164" fontId="25" fillId="2" borderId="0" xfId="2" applyNumberFormat="1" applyFont="1" applyFill="1" applyAlignment="1">
      <alignment horizontal="center" vertical="center"/>
    </xf>
    <xf numFmtId="164" fontId="25" fillId="2" borderId="0" xfId="2" applyNumberFormat="1" applyFont="1" applyFill="1" applyBorder="1" applyAlignment="1">
      <alignment horizontal="center" vertical="center"/>
    </xf>
    <xf numFmtId="165" fontId="11" fillId="2" borderId="2" xfId="2" applyNumberFormat="1" applyFont="1" applyFill="1" applyBorder="1" applyAlignment="1" applyProtection="1">
      <alignment horizontal="right" vertical="center"/>
    </xf>
    <xf numFmtId="168" fontId="11" fillId="2" borderId="2" xfId="2" applyNumberFormat="1" applyFont="1" applyFill="1" applyBorder="1" applyAlignment="1" applyProtection="1">
      <alignment horizontal="right" vertical="center"/>
    </xf>
    <xf numFmtId="164" fontId="9" fillId="2" borderId="2" xfId="2" applyNumberFormat="1" applyFont="1" applyFill="1" applyBorder="1" applyAlignment="1">
      <alignment horizontal="right" vertical="center"/>
    </xf>
    <xf numFmtId="168" fontId="17" fillId="2" borderId="0" xfId="2" applyNumberFormat="1" applyFont="1" applyFill="1" applyAlignment="1">
      <alignment horizontal="center" vertical="center"/>
    </xf>
    <xf numFmtId="164" fontId="17" fillId="2" borderId="0" xfId="2" applyNumberFormat="1" applyFont="1" applyFill="1"/>
    <xf numFmtId="164" fontId="17" fillId="2" borderId="0" xfId="2" applyNumberFormat="1" applyFont="1" applyFill="1" applyAlignment="1">
      <alignment horizontal="center"/>
    </xf>
    <xf numFmtId="168" fontId="17" fillId="2" borderId="0" xfId="2" applyNumberFormat="1" applyFont="1" applyFill="1" applyAlignment="1">
      <alignment horizontal="center"/>
    </xf>
    <xf numFmtId="164" fontId="35" fillId="2" borderId="0" xfId="2" applyNumberFormat="1" applyFont="1" applyFill="1"/>
    <xf numFmtId="164" fontId="35" fillId="2" borderId="0" xfId="2" applyNumberFormat="1" applyFont="1" applyFill="1" applyAlignment="1">
      <alignment horizontal="center"/>
    </xf>
    <xf numFmtId="168" fontId="35" fillId="2" borderId="0" xfId="2" applyNumberFormat="1" applyFont="1" applyFill="1" applyAlignment="1">
      <alignment horizontal="center"/>
    </xf>
    <xf numFmtId="164" fontId="34" fillId="2" borderId="0" xfId="2" applyNumberFormat="1" applyFont="1" applyFill="1" applyAlignment="1">
      <alignment horizontal="center"/>
    </xf>
    <xf numFmtId="168" fontId="34" fillId="2" borderId="0" xfId="2" applyNumberFormat="1" applyFont="1" applyFill="1" applyAlignment="1">
      <alignment horizontal="center"/>
    </xf>
    <xf numFmtId="164" fontId="6" fillId="2" borderId="8" xfId="2" applyNumberFormat="1" applyFont="1" applyFill="1" applyBorder="1" applyAlignment="1" applyProtection="1">
      <alignment horizontal="center" vertical="center"/>
      <protection locked="0"/>
    </xf>
    <xf numFmtId="164" fontId="27" fillId="2" borderId="2" xfId="2" applyNumberFormat="1" applyFont="1" applyFill="1" applyBorder="1" applyAlignment="1">
      <alignment vertical="center"/>
    </xf>
    <xf numFmtId="164" fontId="10" fillId="2" borderId="11" xfId="2" applyNumberFormat="1" applyFont="1" applyFill="1" applyBorder="1" applyAlignment="1">
      <alignment vertical="center"/>
    </xf>
    <xf numFmtId="168" fontId="15" fillId="2" borderId="3" xfId="2" applyNumberFormat="1" applyFont="1" applyFill="1" applyBorder="1" applyAlignment="1" applyProtection="1">
      <alignment vertical="center"/>
      <protection hidden="1"/>
    </xf>
    <xf numFmtId="1" fontId="6" fillId="2" borderId="0" xfId="2" applyNumberFormat="1" applyFont="1" applyFill="1" applyBorder="1" applyAlignment="1" applyProtection="1">
      <alignment vertical="center"/>
      <protection locked="0"/>
    </xf>
    <xf numFmtId="165" fontId="17" fillId="2" borderId="2" xfId="2" applyNumberFormat="1" applyFont="1" applyFill="1" applyBorder="1" applyAlignment="1">
      <alignment horizontal="right" vertical="center" indent="3"/>
    </xf>
    <xf numFmtId="167" fontId="11" fillId="2" borderId="0" xfId="1" applyNumberFormat="1" applyFont="1" applyFill="1" applyAlignment="1">
      <alignment horizontal="right" vertical="center"/>
    </xf>
    <xf numFmtId="167" fontId="17" fillId="2" borderId="0" xfId="1" applyNumberFormat="1" applyFont="1" applyFill="1" applyBorder="1" applyAlignment="1" applyProtection="1">
      <alignment horizontal="right" vertical="center"/>
    </xf>
    <xf numFmtId="167" fontId="17" fillId="2" borderId="0" xfId="1" applyNumberFormat="1" applyFont="1" applyFill="1" applyAlignment="1">
      <alignment horizontal="right" vertical="center"/>
    </xf>
    <xf numFmtId="167" fontId="11" fillId="2" borderId="0" xfId="1" applyNumberFormat="1" applyFont="1" applyFill="1" applyAlignment="1" applyProtection="1">
      <alignment horizontal="right" vertical="center"/>
    </xf>
    <xf numFmtId="167" fontId="17" fillId="2" borderId="0" xfId="1" applyNumberFormat="1" applyFont="1" applyFill="1" applyAlignment="1" applyProtection="1">
      <alignment horizontal="right" vertical="center"/>
    </xf>
    <xf numFmtId="167" fontId="17" fillId="2" borderId="0" xfId="1" applyNumberFormat="1" applyFont="1" applyFill="1" applyAlignment="1">
      <alignment vertical="center"/>
    </xf>
    <xf numFmtId="167" fontId="17" fillId="2" borderId="2" xfId="1" applyNumberFormat="1" applyFont="1" applyFill="1" applyBorder="1" applyAlignment="1" applyProtection="1">
      <alignment horizontal="right" vertical="center"/>
      <protection locked="0"/>
    </xf>
    <xf numFmtId="1" fontId="3" fillId="2" borderId="10" xfId="4" applyNumberFormat="1" applyFont="1" applyFill="1" applyBorder="1" applyAlignment="1">
      <alignment horizontal="center" vertical="center"/>
    </xf>
    <xf numFmtId="164" fontId="3" fillId="2" borderId="10" xfId="4" applyNumberFormat="1" applyFont="1" applyFill="1" applyBorder="1" applyAlignment="1">
      <alignment horizontal="center" vertical="center"/>
    </xf>
    <xf numFmtId="167" fontId="4" fillId="2" borderId="10" xfId="1" applyNumberFormat="1" applyFont="1" applyFill="1" applyBorder="1" applyAlignment="1" applyProtection="1">
      <alignment horizontal="right" vertical="center"/>
    </xf>
    <xf numFmtId="164" fontId="3" fillId="0" borderId="10" xfId="4" applyNumberFormat="1" applyFont="1" applyFill="1" applyBorder="1" applyAlignment="1">
      <alignment horizontal="center" vertical="center"/>
    </xf>
    <xf numFmtId="164" fontId="9" fillId="2" borderId="0" xfId="2" applyNumberFormat="1" applyFont="1" applyFill="1" applyBorder="1" applyAlignment="1">
      <alignment horizontal="right" vertical="center"/>
    </xf>
    <xf numFmtId="164" fontId="6" fillId="2" borderId="0" xfId="2" applyNumberFormat="1" applyFont="1" applyFill="1" applyBorder="1" applyAlignment="1">
      <alignment horizontal="center" vertical="center"/>
    </xf>
    <xf numFmtId="165" fontId="17" fillId="2" borderId="0" xfId="2" applyNumberFormat="1" applyFont="1" applyFill="1" applyAlignment="1" applyProtection="1">
      <alignment horizontal="right" vertical="center"/>
      <protection locked="0"/>
    </xf>
    <xf numFmtId="165" fontId="17" fillId="2" borderId="0" xfId="2" applyNumberFormat="1" applyFont="1" applyFill="1" applyBorder="1" applyAlignment="1" applyProtection="1">
      <alignment horizontal="right" vertical="center"/>
      <protection locked="0"/>
    </xf>
    <xf numFmtId="164" fontId="11" fillId="2" borderId="0" xfId="2" applyNumberFormat="1" applyFont="1" applyFill="1" applyBorder="1" applyAlignment="1" applyProtection="1">
      <alignment horizontal="left" vertical="center"/>
    </xf>
    <xf numFmtId="164" fontId="11" fillId="2" borderId="2" xfId="2" applyNumberFormat="1" applyFont="1" applyFill="1" applyBorder="1" applyAlignment="1" applyProtection="1">
      <alignment horizontal="left" vertical="center"/>
    </xf>
    <xf numFmtId="164" fontId="22" fillId="2" borderId="0" xfId="2" applyNumberFormat="1" applyFont="1" applyFill="1" applyBorder="1" applyAlignment="1" applyProtection="1">
      <alignment horizontal="center" vertical="center"/>
    </xf>
    <xf numFmtId="164" fontId="37" fillId="2" borderId="0" xfId="2" applyNumberFormat="1" applyFont="1" applyFill="1" applyAlignment="1">
      <alignment vertical="center"/>
    </xf>
    <xf numFmtId="164" fontId="38" fillId="2" borderId="0" xfId="2" applyNumberFormat="1" applyFont="1" applyFill="1" applyAlignment="1">
      <alignment horizontal="center" vertical="center"/>
    </xf>
    <xf numFmtId="168" fontId="38" fillId="2" borderId="0" xfId="2" applyNumberFormat="1" applyFont="1" applyFill="1" applyAlignment="1">
      <alignment horizontal="center" vertical="center"/>
    </xf>
    <xf numFmtId="164" fontId="38" fillId="2" borderId="0" xfId="2" applyNumberFormat="1" applyFont="1" applyFill="1" applyAlignment="1">
      <alignment horizontal="right" vertical="center"/>
    </xf>
    <xf numFmtId="164" fontId="38" fillId="2" borderId="0" xfId="2" applyNumberFormat="1" applyFont="1" applyFill="1" applyAlignment="1">
      <alignment vertical="center"/>
    </xf>
    <xf numFmtId="167" fontId="17" fillId="2" borderId="0" xfId="1" applyNumberFormat="1" applyFont="1" applyFill="1" applyAlignment="1">
      <alignment horizontal="right" vertical="center" indent="2"/>
    </xf>
    <xf numFmtId="164" fontId="6" fillId="5" borderId="0" xfId="2" applyNumberFormat="1" applyFont="1" applyFill="1" applyBorder="1" applyAlignment="1" applyProtection="1">
      <alignment horizontal="right" vertical="center"/>
      <protection locked="0"/>
    </xf>
    <xf numFmtId="164" fontId="6" fillId="5" borderId="1" xfId="2" applyNumberFormat="1" applyFont="1" applyFill="1" applyBorder="1" applyAlignment="1" applyProtection="1">
      <alignment horizontal="right" vertical="center"/>
    </xf>
    <xf numFmtId="165" fontId="6" fillId="5" borderId="0" xfId="2" applyNumberFormat="1" applyFont="1" applyFill="1" applyBorder="1" applyAlignment="1" applyProtection="1">
      <alignment horizontal="right" vertical="center"/>
      <protection locked="0"/>
    </xf>
    <xf numFmtId="164" fontId="23" fillId="2" borderId="15" xfId="2" applyNumberFormat="1" applyFont="1" applyFill="1" applyBorder="1" applyAlignment="1">
      <alignment vertical="center"/>
    </xf>
    <xf numFmtId="165" fontId="13" fillId="5" borderId="12" xfId="2" applyNumberFormat="1" applyFont="1" applyFill="1" applyBorder="1" applyAlignment="1" applyProtection="1">
      <alignment horizontal="right" vertical="center"/>
      <protection locked="0"/>
    </xf>
    <xf numFmtId="165" fontId="13" fillId="5" borderId="11" xfId="2" applyNumberFormat="1" applyFont="1" applyFill="1" applyBorder="1" applyAlignment="1" applyProtection="1">
      <alignment horizontal="right" vertical="center"/>
      <protection locked="0"/>
    </xf>
    <xf numFmtId="164" fontId="6" fillId="5" borderId="17" xfId="2" applyNumberFormat="1" applyFont="1" applyFill="1" applyBorder="1" applyAlignment="1" applyProtection="1">
      <alignment horizontal="right" vertical="center"/>
      <protection locked="0"/>
    </xf>
    <xf numFmtId="164" fontId="6" fillId="5" borderId="23" xfId="2" applyNumberFormat="1" applyFont="1" applyFill="1" applyBorder="1" applyAlignment="1" applyProtection="1">
      <alignment horizontal="right" vertical="center"/>
    </xf>
    <xf numFmtId="165" fontId="6" fillId="5" borderId="3" xfId="2" applyNumberFormat="1" applyFont="1" applyFill="1" applyBorder="1" applyAlignment="1" applyProtection="1">
      <alignment horizontal="right" vertical="center"/>
    </xf>
    <xf numFmtId="165" fontId="6" fillId="5" borderId="13" xfId="2" applyNumberFormat="1" applyFont="1" applyFill="1" applyBorder="1" applyAlignment="1" applyProtection="1">
      <alignment horizontal="right" vertical="center"/>
    </xf>
    <xf numFmtId="165" fontId="6" fillId="5" borderId="11" xfId="2" applyNumberFormat="1" applyFont="1" applyFill="1" applyBorder="1" applyAlignment="1" applyProtection="1">
      <alignment horizontal="right" vertical="center"/>
      <protection locked="0"/>
    </xf>
    <xf numFmtId="165" fontId="13" fillId="5" borderId="0" xfId="2" applyNumberFormat="1" applyFont="1" applyFill="1" applyBorder="1" applyAlignment="1" applyProtection="1">
      <alignment horizontal="right" vertical="center"/>
      <protection locked="0"/>
    </xf>
    <xf numFmtId="165" fontId="13" fillId="5" borderId="2" xfId="2" applyNumberFormat="1" applyFont="1" applyFill="1" applyBorder="1" applyAlignment="1" applyProtection="1">
      <alignment horizontal="right" vertical="center"/>
      <protection locked="0"/>
    </xf>
    <xf numFmtId="164" fontId="23" fillId="2" borderId="15" xfId="2" applyNumberFormat="1" applyFont="1" applyFill="1" applyBorder="1" applyAlignment="1">
      <alignment horizontal="center"/>
    </xf>
    <xf numFmtId="164" fontId="24" fillId="2" borderId="15" xfId="2" applyNumberFormat="1" applyFont="1" applyFill="1" applyBorder="1" applyAlignment="1">
      <alignment vertical="center"/>
    </xf>
    <xf numFmtId="164" fontId="11" fillId="5" borderId="26" xfId="2" applyNumberFormat="1" applyFont="1" applyFill="1" applyBorder="1" applyAlignment="1">
      <alignment horizontal="right" vertical="center"/>
    </xf>
    <xf numFmtId="164" fontId="10" fillId="5" borderId="11" xfId="2" applyNumberFormat="1" applyFont="1" applyFill="1" applyBorder="1" applyAlignment="1">
      <alignment vertical="center"/>
    </xf>
    <xf numFmtId="168" fontId="6" fillId="5" borderId="11" xfId="2" applyNumberFormat="1" applyFont="1" applyFill="1" applyBorder="1" applyAlignment="1" applyProtection="1">
      <alignment vertical="center"/>
      <protection locked="0"/>
    </xf>
    <xf numFmtId="168" fontId="13" fillId="5" borderId="11" xfId="2" applyNumberFormat="1" applyFont="1" applyFill="1" applyBorder="1" applyAlignment="1" applyProtection="1">
      <alignment vertical="center"/>
      <protection locked="0"/>
    </xf>
    <xf numFmtId="168" fontId="13" fillId="5" borderId="12" xfId="2" applyNumberFormat="1" applyFont="1" applyFill="1" applyBorder="1" applyAlignment="1" applyProtection="1">
      <alignment vertical="center"/>
      <protection locked="0"/>
    </xf>
    <xf numFmtId="168" fontId="11" fillId="5" borderId="18" xfId="2" applyNumberFormat="1" applyFont="1" applyFill="1" applyBorder="1" applyAlignment="1">
      <alignment horizontal="right" vertical="center"/>
    </xf>
    <xf numFmtId="168" fontId="6" fillId="5" borderId="0" xfId="2" applyNumberFormat="1" applyFont="1" applyFill="1" applyBorder="1" applyAlignment="1" applyProtection="1">
      <alignment horizontal="right" vertical="center"/>
      <protection locked="0"/>
    </xf>
    <xf numFmtId="168" fontId="13" fillId="5" borderId="0" xfId="2" applyNumberFormat="1" applyFont="1" applyFill="1" applyBorder="1" applyAlignment="1" applyProtection="1">
      <alignment horizontal="right" vertical="center"/>
      <protection locked="0"/>
    </xf>
    <xf numFmtId="168" fontId="13" fillId="5" borderId="0" xfId="2" applyNumberFormat="1" applyFont="1" applyFill="1" applyBorder="1" applyAlignment="1" applyProtection="1">
      <alignment vertical="center"/>
      <protection locked="0"/>
    </xf>
    <xf numFmtId="168" fontId="13" fillId="5" borderId="2" xfId="2" applyNumberFormat="1" applyFont="1" applyFill="1" applyBorder="1" applyAlignment="1" applyProtection="1">
      <alignment horizontal="right" vertical="center"/>
      <protection locked="0"/>
    </xf>
    <xf numFmtId="164" fontId="39" fillId="2" borderId="0" xfId="2" applyNumberFormat="1" applyFont="1" applyFill="1" applyBorder="1" applyAlignment="1" applyProtection="1">
      <alignment horizontal="right" vertical="center"/>
      <protection locked="0"/>
    </xf>
    <xf numFmtId="164" fontId="39" fillId="5" borderId="25" xfId="2" applyNumberFormat="1" applyFont="1" applyFill="1" applyBorder="1" applyAlignment="1" applyProtection="1">
      <alignment horizontal="right" vertical="center"/>
      <protection locked="0"/>
    </xf>
    <xf numFmtId="168" fontId="11" fillId="2" borderId="6" xfId="2" applyNumberFormat="1" applyFont="1" applyFill="1" applyBorder="1" applyAlignment="1">
      <alignment horizontal="right" vertical="center"/>
    </xf>
    <xf numFmtId="164" fontId="11" fillId="2" borderId="24" xfId="2" applyNumberFormat="1" applyFont="1" applyFill="1" applyBorder="1" applyAlignment="1" applyProtection="1">
      <alignment horizontal="right" vertical="center"/>
    </xf>
    <xf numFmtId="165" fontId="11" fillId="2" borderId="27" xfId="2" applyNumberFormat="1" applyFont="1" applyFill="1" applyBorder="1" applyAlignment="1" applyProtection="1">
      <alignment horizontal="right" vertical="center"/>
    </xf>
    <xf numFmtId="165" fontId="17" fillId="2" borderId="27" xfId="2" applyNumberFormat="1" applyFont="1" applyFill="1" applyBorder="1" applyAlignment="1" applyProtection="1">
      <alignment horizontal="right" vertical="center"/>
    </xf>
    <xf numFmtId="165" fontId="11" fillId="2" borderId="26" xfId="2" applyNumberFormat="1" applyFont="1" applyFill="1" applyBorder="1" applyAlignment="1" applyProtection="1">
      <alignment horizontal="right" vertical="center"/>
    </xf>
    <xf numFmtId="165" fontId="17" fillId="5" borderId="0" xfId="2" applyNumberFormat="1" applyFont="1" applyFill="1" applyBorder="1" applyAlignment="1" applyProtection="1">
      <alignment horizontal="right" vertical="center"/>
    </xf>
    <xf numFmtId="165" fontId="11" fillId="5" borderId="2" xfId="2" applyNumberFormat="1" applyFont="1" applyFill="1" applyBorder="1" applyAlignment="1" applyProtection="1">
      <alignment horizontal="right" vertical="center"/>
    </xf>
    <xf numFmtId="165" fontId="11" fillId="5" borderId="0" xfId="2" applyNumberFormat="1" applyFont="1" applyFill="1" applyBorder="1" applyAlignment="1" applyProtection="1">
      <alignment horizontal="right" vertical="center"/>
    </xf>
    <xf numFmtId="164" fontId="11" fillId="5" borderId="22" xfId="2" applyNumberFormat="1" applyFont="1" applyFill="1" applyBorder="1" applyAlignment="1" applyProtection="1">
      <alignment horizontal="right" vertical="center"/>
    </xf>
    <xf numFmtId="165" fontId="11" fillId="5" borderId="11" xfId="2" applyNumberFormat="1" applyFont="1" applyFill="1" applyBorder="1" applyAlignment="1" applyProtection="1">
      <alignment horizontal="right" vertical="center"/>
    </xf>
    <xf numFmtId="165" fontId="17" fillId="5" borderId="11" xfId="2" applyNumberFormat="1" applyFont="1" applyFill="1" applyBorder="1" applyAlignment="1" applyProtection="1">
      <alignment horizontal="right" vertical="center"/>
    </xf>
    <xf numFmtId="165" fontId="11" fillId="5" borderId="12" xfId="2" applyNumberFormat="1" applyFont="1" applyFill="1" applyBorder="1" applyAlignment="1" applyProtection="1">
      <alignment horizontal="right" vertical="center"/>
    </xf>
    <xf numFmtId="168" fontId="11" fillId="5" borderId="0" xfId="2" applyNumberFormat="1" applyFont="1" applyFill="1" applyBorder="1" applyAlignment="1" applyProtection="1">
      <alignment horizontal="right" vertical="center"/>
    </xf>
    <xf numFmtId="168" fontId="17" fillId="5" borderId="0" xfId="2" applyNumberFormat="1" applyFont="1" applyFill="1" applyBorder="1" applyAlignment="1" applyProtection="1">
      <alignment horizontal="right" vertical="center"/>
    </xf>
    <xf numFmtId="168" fontId="11" fillId="5" borderId="2" xfId="2" applyNumberFormat="1" applyFont="1" applyFill="1" applyBorder="1" applyAlignment="1" applyProtection="1">
      <alignment horizontal="right" vertical="center"/>
    </xf>
    <xf numFmtId="168" fontId="11" fillId="5" borderId="2" xfId="2" applyNumberFormat="1" applyFont="1" applyFill="1" applyBorder="1" applyAlignment="1">
      <alignment horizontal="right" vertical="center"/>
    </xf>
    <xf numFmtId="1" fontId="11" fillId="2" borderId="26" xfId="2" applyNumberFormat="1" applyFont="1" applyFill="1" applyBorder="1" applyAlignment="1" applyProtection="1">
      <alignment horizontal="right" vertical="center"/>
    </xf>
    <xf numFmtId="165" fontId="11" fillId="2" borderId="28" xfId="2" applyNumberFormat="1" applyFont="1" applyFill="1" applyBorder="1" applyAlignment="1">
      <alignment horizontal="right" vertical="center"/>
    </xf>
    <xf numFmtId="165" fontId="11" fillId="2" borderId="27" xfId="2" applyNumberFormat="1" applyFont="1" applyFill="1" applyBorder="1" applyAlignment="1">
      <alignment horizontal="right" vertical="center"/>
    </xf>
    <xf numFmtId="165" fontId="17" fillId="2" borderId="27" xfId="2" applyNumberFormat="1" applyFont="1" applyFill="1" applyBorder="1" applyAlignment="1">
      <alignment horizontal="right" vertical="center"/>
    </xf>
    <xf numFmtId="167" fontId="17" fillId="2" borderId="27" xfId="1" applyNumberFormat="1" applyFont="1" applyFill="1" applyBorder="1" applyAlignment="1">
      <alignment horizontal="right" vertical="center"/>
    </xf>
    <xf numFmtId="165" fontId="17" fillId="2" borderId="26" xfId="2" applyNumberFormat="1" applyFont="1" applyFill="1" applyBorder="1" applyAlignment="1">
      <alignment horizontal="right" vertical="center"/>
    </xf>
    <xf numFmtId="167" fontId="17" fillId="5" borderId="0" xfId="1" applyNumberFormat="1" applyFont="1" applyFill="1" applyBorder="1" applyAlignment="1" applyProtection="1">
      <alignment horizontal="right" vertical="center"/>
    </xf>
    <xf numFmtId="167" fontId="17" fillId="5" borderId="0" xfId="1" applyNumberFormat="1" applyFont="1" applyFill="1" applyAlignment="1">
      <alignment horizontal="right" vertical="center"/>
    </xf>
    <xf numFmtId="167" fontId="17" fillId="5" borderId="0" xfId="1" applyNumberFormat="1" applyFont="1" applyFill="1" applyAlignment="1">
      <alignment vertical="center"/>
    </xf>
    <xf numFmtId="167" fontId="17" fillId="5" borderId="2" xfId="1" applyNumberFormat="1" applyFont="1" applyFill="1" applyBorder="1" applyAlignment="1" applyProtection="1">
      <alignment horizontal="right" vertical="center"/>
      <protection locked="0"/>
    </xf>
    <xf numFmtId="167" fontId="11" fillId="5" borderId="0" xfId="1" applyNumberFormat="1" applyFont="1" applyFill="1" applyAlignment="1">
      <alignment horizontal="right" vertical="center"/>
    </xf>
    <xf numFmtId="167" fontId="11" fillId="5" borderId="0" xfId="1" applyNumberFormat="1" applyFont="1" applyFill="1" applyAlignment="1" applyProtection="1">
      <alignment horizontal="right" vertical="center"/>
    </xf>
    <xf numFmtId="167" fontId="17" fillId="5" borderId="0" xfId="1" applyNumberFormat="1" applyFont="1" applyFill="1" applyAlignment="1" applyProtection="1">
      <alignment horizontal="right" vertical="center"/>
    </xf>
    <xf numFmtId="1" fontId="11" fillId="5" borderId="12" xfId="2" applyNumberFormat="1" applyFont="1" applyFill="1" applyBorder="1" applyAlignment="1" applyProtection="1">
      <alignment horizontal="right" vertical="center"/>
    </xf>
    <xf numFmtId="165" fontId="11" fillId="5" borderId="13" xfId="2" applyNumberFormat="1" applyFont="1" applyFill="1" applyBorder="1" applyAlignment="1">
      <alignment horizontal="right" vertical="center"/>
    </xf>
    <xf numFmtId="165" fontId="11" fillId="5" borderId="11" xfId="2" applyNumberFormat="1" applyFont="1" applyFill="1" applyBorder="1" applyAlignment="1">
      <alignment horizontal="right" vertical="center"/>
    </xf>
    <xf numFmtId="165" fontId="17" fillId="5" borderId="11" xfId="2" applyNumberFormat="1" applyFont="1" applyFill="1" applyBorder="1" applyAlignment="1">
      <alignment horizontal="right" vertical="center"/>
    </xf>
    <xf numFmtId="167" fontId="17" fillId="5" borderId="11" xfId="1" applyNumberFormat="1" applyFont="1" applyFill="1" applyBorder="1" applyAlignment="1">
      <alignment horizontal="right" vertical="center"/>
    </xf>
    <xf numFmtId="165" fontId="17" fillId="5" borderId="12" xfId="2" applyNumberFormat="1" applyFont="1" applyFill="1" applyBorder="1" applyAlignment="1">
      <alignment horizontal="right" vertical="center"/>
    </xf>
    <xf numFmtId="1" fontId="11" fillId="5" borderId="2" xfId="2" applyNumberFormat="1" applyFont="1" applyFill="1" applyBorder="1" applyAlignment="1" applyProtection="1">
      <alignment horizontal="center" vertical="center"/>
    </xf>
    <xf numFmtId="165" fontId="11" fillId="5" borderId="0" xfId="2" applyNumberFormat="1" applyFont="1" applyFill="1" applyBorder="1" applyAlignment="1">
      <alignment horizontal="right" vertical="center" indent="3"/>
    </xf>
    <xf numFmtId="165" fontId="17" fillId="5" borderId="0" xfId="2" applyNumberFormat="1" applyFont="1" applyFill="1" applyBorder="1" applyAlignment="1">
      <alignment horizontal="right" vertical="center" indent="3"/>
    </xf>
    <xf numFmtId="167" fontId="17" fillId="5" borderId="0" xfId="1" applyNumberFormat="1" applyFont="1" applyFill="1" applyAlignment="1">
      <alignment horizontal="right" vertical="center" indent="2"/>
    </xf>
    <xf numFmtId="165" fontId="17" fillId="5" borderId="2" xfId="2" applyNumberFormat="1" applyFont="1" applyFill="1" applyBorder="1" applyAlignment="1">
      <alignment horizontal="right" vertical="center" indent="3"/>
    </xf>
    <xf numFmtId="164" fontId="40" fillId="3" borderId="10" xfId="4" applyNumberFormat="1" applyFont="1" applyFill="1" applyBorder="1" applyAlignment="1">
      <alignment horizontal="center" vertical="center"/>
    </xf>
    <xf numFmtId="167" fontId="41" fillId="4" borderId="10" xfId="1" applyNumberFormat="1" applyFont="1" applyFill="1" applyBorder="1"/>
    <xf numFmtId="167" fontId="41" fillId="4" borderId="10" xfId="1" applyNumberFormat="1" applyFont="1" applyFill="1" applyBorder="1" applyAlignment="1" applyProtection="1">
      <alignment horizontal="right" vertical="center"/>
    </xf>
    <xf numFmtId="168" fontId="16" fillId="2" borderId="3" xfId="2" applyNumberFormat="1" applyFont="1" applyFill="1" applyBorder="1" applyAlignment="1" applyProtection="1">
      <alignment horizontal="center" vertical="center"/>
      <protection hidden="1"/>
    </xf>
    <xf numFmtId="164" fontId="11" fillId="2" borderId="0" xfId="2" applyNumberFormat="1" applyFont="1" applyFill="1" applyBorder="1" applyAlignment="1" applyProtection="1">
      <alignment horizontal="center" vertical="center"/>
      <protection locked="0"/>
    </xf>
    <xf numFmtId="43" fontId="17" fillId="2" borderId="0" xfId="1" applyFont="1" applyFill="1" applyAlignment="1">
      <alignment horizontal="right" vertical="center"/>
    </xf>
    <xf numFmtId="43" fontId="17" fillId="2" borderId="2" xfId="1" applyFont="1" applyFill="1" applyBorder="1" applyAlignment="1" applyProtection="1">
      <alignment horizontal="right" vertical="center"/>
      <protection locked="0"/>
    </xf>
    <xf numFmtId="165" fontId="11" fillId="2" borderId="0" xfId="2" applyNumberFormat="1" applyFont="1" applyFill="1" applyAlignment="1" applyProtection="1">
      <alignment vertical="center"/>
      <protection locked="0"/>
    </xf>
    <xf numFmtId="43" fontId="28" fillId="2" borderId="0" xfId="1" applyFont="1" applyFill="1" applyAlignment="1" applyProtection="1">
      <alignment horizontal="right" vertical="center"/>
      <protection locked="0"/>
    </xf>
    <xf numFmtId="43" fontId="17" fillId="2" borderId="0" xfId="1" applyFont="1" applyFill="1" applyAlignment="1" applyProtection="1">
      <alignment horizontal="right" vertical="center"/>
      <protection locked="0"/>
    </xf>
    <xf numFmtId="164" fontId="11" fillId="2" borderId="12" xfId="2" applyNumberFormat="1" applyFont="1" applyFill="1" applyBorder="1" applyAlignment="1" applyProtection="1">
      <alignment horizontal="center" vertical="center"/>
    </xf>
    <xf numFmtId="164" fontId="16" fillId="2" borderId="13" xfId="2" applyNumberFormat="1" applyFont="1" applyFill="1" applyBorder="1" applyAlignment="1" applyProtection="1">
      <alignment horizontal="center" vertical="center" wrapText="1"/>
    </xf>
    <xf numFmtId="164" fontId="11" fillId="2" borderId="14" xfId="2" applyNumberFormat="1" applyFont="1" applyFill="1" applyBorder="1" applyAlignment="1" applyProtection="1">
      <alignment horizontal="center" vertical="center" wrapText="1"/>
      <protection locked="0"/>
    </xf>
    <xf numFmtId="164" fontId="16" fillId="2" borderId="7" xfId="2" applyNumberFormat="1" applyFont="1" applyFill="1" applyBorder="1" applyAlignment="1" applyProtection="1">
      <alignment horizontal="center" vertical="center" wrapText="1"/>
    </xf>
    <xf numFmtId="168" fontId="16" fillId="2" borderId="3" xfId="2" applyNumberFormat="1" applyFont="1" applyFill="1" applyBorder="1" applyAlignment="1" applyProtection="1">
      <alignment horizontal="center" vertical="center" wrapText="1"/>
      <protection hidden="1"/>
    </xf>
    <xf numFmtId="164" fontId="11" fillId="2" borderId="9" xfId="2" applyNumberFormat="1" applyFont="1" applyFill="1" applyBorder="1" applyAlignment="1" applyProtection="1">
      <alignment horizontal="center" vertical="center" wrapText="1"/>
      <protection locked="0"/>
    </xf>
    <xf numFmtId="164" fontId="11" fillId="2" borderId="5" xfId="2" applyNumberFormat="1" applyFont="1" applyFill="1" applyBorder="1" applyAlignment="1" applyProtection="1">
      <alignment horizontal="center" vertical="center" wrapText="1"/>
      <protection locked="0"/>
    </xf>
    <xf numFmtId="168" fontId="11" fillId="2" borderId="19" xfId="2" applyNumberFormat="1" applyFont="1" applyFill="1" applyBorder="1" applyAlignment="1" applyProtection="1">
      <alignment horizontal="center" vertical="center"/>
      <protection locked="0"/>
    </xf>
    <xf numFmtId="164" fontId="11" fillId="2" borderId="21" xfId="2" applyNumberFormat="1" applyFont="1" applyFill="1" applyBorder="1" applyAlignment="1" applyProtection="1">
      <alignment horizontal="center" vertical="center"/>
    </xf>
    <xf numFmtId="165" fontId="25" fillId="2" borderId="0" xfId="2" applyNumberFormat="1" applyFont="1" applyFill="1" applyAlignment="1">
      <alignment horizontal="right" vertical="center" indent="1"/>
    </xf>
    <xf numFmtId="165" fontId="18" fillId="2" borderId="0" xfId="2" applyNumberFormat="1" applyFont="1" applyFill="1" applyAlignment="1">
      <alignment horizontal="right" vertical="center" indent="1"/>
    </xf>
    <xf numFmtId="165" fontId="25" fillId="2" borderId="0" xfId="2" applyNumberFormat="1" applyFont="1" applyFill="1" applyBorder="1" applyAlignment="1">
      <alignment horizontal="right" vertical="center" indent="1"/>
    </xf>
    <xf numFmtId="165" fontId="25" fillId="2" borderId="2" xfId="2" applyNumberFormat="1" applyFont="1" applyFill="1" applyBorder="1" applyAlignment="1">
      <alignment horizontal="right" vertical="center" indent="1"/>
    </xf>
    <xf numFmtId="164" fontId="19" fillId="2" borderId="0" xfId="2" applyNumberFormat="1" applyFont="1" applyFill="1" applyAlignment="1">
      <alignment vertical="center"/>
    </xf>
    <xf numFmtId="1" fontId="18" fillId="2" borderId="0" xfId="2" applyNumberFormat="1" applyFont="1" applyFill="1" applyAlignment="1">
      <alignment horizontal="right" vertical="center"/>
    </xf>
    <xf numFmtId="165" fontId="11" fillId="2" borderId="7" xfId="2" applyNumberFormat="1" applyFont="1" applyFill="1" applyBorder="1" applyAlignment="1" applyProtection="1">
      <alignment horizontal="center" vertical="center"/>
      <protection locked="0"/>
    </xf>
    <xf numFmtId="165" fontId="11" fillId="2" borderId="11" xfId="2" applyNumberFormat="1" applyFont="1" applyFill="1" applyBorder="1" applyAlignment="1" applyProtection="1">
      <alignment horizontal="center" vertical="center"/>
      <protection locked="0"/>
    </xf>
    <xf numFmtId="165" fontId="11" fillId="2" borderId="5" xfId="2" applyNumberFormat="1" applyFont="1" applyFill="1" applyBorder="1" applyAlignment="1" applyProtection="1">
      <alignment horizontal="center" vertical="center"/>
      <protection locked="0"/>
    </xf>
    <xf numFmtId="165" fontId="17" fillId="2" borderId="11" xfId="2" applyNumberFormat="1" applyFont="1" applyFill="1" applyBorder="1" applyAlignment="1" applyProtection="1">
      <alignment horizontal="center" vertical="center"/>
      <protection locked="0"/>
    </xf>
    <xf numFmtId="168" fontId="17" fillId="2" borderId="0" xfId="1" applyNumberFormat="1" applyFont="1" applyFill="1" applyBorder="1" applyAlignment="1" applyProtection="1">
      <alignment horizontal="center" vertical="center"/>
    </xf>
    <xf numFmtId="41" fontId="28" fillId="2" borderId="11" xfId="3" applyNumberFormat="1" applyFont="1" applyFill="1" applyBorder="1" applyAlignment="1" applyProtection="1">
      <alignment horizontal="center" vertical="center"/>
      <protection locked="0"/>
    </xf>
    <xf numFmtId="165" fontId="17" fillId="2" borderId="6" xfId="2" applyNumberFormat="1" applyFont="1" applyFill="1" applyBorder="1" applyAlignment="1" applyProtection="1">
      <alignment horizontal="center" vertical="center"/>
      <protection locked="0"/>
    </xf>
    <xf numFmtId="165" fontId="17" fillId="2" borderId="12" xfId="2" applyNumberFormat="1" applyFont="1" applyFill="1" applyBorder="1" applyAlignment="1" applyProtection="1">
      <alignment horizontal="center" vertical="center"/>
      <protection locked="0"/>
    </xf>
    <xf numFmtId="168" fontId="17" fillId="2" borderId="2" xfId="1" applyNumberFormat="1" applyFont="1" applyFill="1" applyBorder="1" applyAlignment="1" applyProtection="1">
      <alignment horizontal="center" vertical="center"/>
    </xf>
    <xf numFmtId="168" fontId="11" fillId="2" borderId="0" xfId="1" applyNumberFormat="1" applyFont="1" applyFill="1" applyBorder="1" applyAlignment="1" applyProtection="1">
      <alignment horizontal="right" vertical="center" indent="3"/>
    </xf>
    <xf numFmtId="164" fontId="19" fillId="2" borderId="0" xfId="2" applyNumberFormat="1" applyFont="1" applyFill="1" applyAlignment="1" applyProtection="1">
      <alignment horizontal="left" vertical="center" indent="4"/>
    </xf>
    <xf numFmtId="164" fontId="10" fillId="2" borderId="0" xfId="2" applyNumberFormat="1" applyFont="1" applyFill="1" applyBorder="1" applyAlignment="1" applyProtection="1">
      <alignment horizontal="center" vertical="center"/>
    </xf>
    <xf numFmtId="164" fontId="9" fillId="2" borderId="0" xfId="2" applyNumberFormat="1" applyFont="1" applyFill="1" applyBorder="1" applyAlignment="1">
      <alignment horizontal="right" vertical="center"/>
    </xf>
    <xf numFmtId="164" fontId="11" fillId="2" borderId="0" xfId="2" applyNumberFormat="1" applyFont="1" applyFill="1" applyBorder="1" applyAlignment="1" applyProtection="1">
      <alignment horizontal="left" vertical="center"/>
    </xf>
    <xf numFmtId="164" fontId="11" fillId="2" borderId="2" xfId="2" applyNumberFormat="1" applyFont="1" applyFill="1" applyBorder="1" applyAlignment="1" applyProtection="1">
      <alignment horizontal="left" vertical="center"/>
    </xf>
    <xf numFmtId="168" fontId="17" fillId="2" borderId="0" xfId="1" applyNumberFormat="1" applyFont="1" applyFill="1" applyBorder="1" applyAlignment="1" applyProtection="1">
      <alignment horizontal="right" vertical="center" indent="3"/>
    </xf>
    <xf numFmtId="164" fontId="17" fillId="2" borderId="0" xfId="2" applyNumberFormat="1" applyFont="1" applyFill="1" applyAlignment="1">
      <alignment horizontal="right" vertical="center"/>
    </xf>
    <xf numFmtId="165" fontId="17" fillId="2" borderId="0" xfId="2" applyNumberFormat="1" applyFont="1" applyFill="1" applyAlignment="1" applyProtection="1">
      <alignment horizontal="right" vertical="center"/>
      <protection locked="0"/>
    </xf>
    <xf numFmtId="165" fontId="17" fillId="2" borderId="5" xfId="2" applyNumberFormat="1" applyFont="1" applyFill="1" applyBorder="1" applyAlignment="1" applyProtection="1">
      <alignment horizontal="center" vertical="center"/>
      <protection locked="0"/>
    </xf>
    <xf numFmtId="37" fontId="28" fillId="2" borderId="5" xfId="3" applyNumberFormat="1" applyFont="1" applyFill="1" applyBorder="1" applyAlignment="1" applyProtection="1">
      <alignment horizontal="right" vertical="center" indent="4"/>
      <protection locked="0"/>
    </xf>
    <xf numFmtId="164" fontId="20" fillId="2" borderId="0" xfId="2" applyNumberFormat="1" applyFont="1" applyFill="1" applyAlignment="1">
      <alignment horizontal="center" vertical="center"/>
    </xf>
    <xf numFmtId="164" fontId="12" fillId="2" borderId="0" xfId="2" applyNumberFormat="1" applyFont="1" applyFill="1" applyBorder="1" applyAlignment="1" applyProtection="1">
      <alignment horizontal="center" vertical="center"/>
    </xf>
    <xf numFmtId="164" fontId="14" fillId="2" borderId="0" xfId="2" applyNumberFormat="1" applyFont="1" applyFill="1" applyBorder="1" applyAlignment="1" applyProtection="1">
      <alignment horizontal="center" vertical="center" wrapText="1"/>
    </xf>
    <xf numFmtId="164" fontId="30" fillId="2" borderId="0" xfId="2" applyNumberFormat="1" applyFont="1" applyFill="1" applyAlignment="1">
      <alignment horizontal="center" vertical="center" wrapText="1"/>
    </xf>
    <xf numFmtId="164" fontId="22" fillId="2" borderId="2" xfId="2" applyNumberFormat="1" applyFont="1" applyFill="1" applyBorder="1" applyAlignment="1">
      <alignment horizontal="center" vertical="center"/>
    </xf>
    <xf numFmtId="164" fontId="11" fillId="2" borderId="3" xfId="2" applyNumberFormat="1" applyFont="1" applyFill="1" applyBorder="1" applyAlignment="1" applyProtection="1">
      <alignment horizontal="left" vertical="center"/>
    </xf>
    <xf numFmtId="164" fontId="11" fillId="2" borderId="0" xfId="2" applyNumberFormat="1" applyFont="1" applyFill="1" applyBorder="1" applyAlignment="1" applyProtection="1">
      <alignment horizontal="left" vertical="center"/>
    </xf>
    <xf numFmtId="164" fontId="11" fillId="2" borderId="2" xfId="2" applyNumberFormat="1" applyFont="1" applyFill="1" applyBorder="1" applyAlignment="1" applyProtection="1">
      <alignment horizontal="left" vertical="center"/>
    </xf>
    <xf numFmtId="164" fontId="23" fillId="2" borderId="15" xfId="2" applyNumberFormat="1" applyFont="1" applyFill="1" applyBorder="1" applyAlignment="1">
      <alignment horizontal="center" vertical="center"/>
    </xf>
    <xf numFmtId="164" fontId="23" fillId="2" borderId="20" xfId="2" applyNumberFormat="1" applyFont="1" applyFill="1" applyBorder="1" applyAlignment="1">
      <alignment horizontal="center" vertical="center"/>
    </xf>
    <xf numFmtId="164" fontId="24" fillId="2" borderId="16" xfId="2" applyNumberFormat="1" applyFont="1" applyFill="1" applyBorder="1" applyAlignment="1">
      <alignment horizontal="center" vertical="center"/>
    </xf>
    <xf numFmtId="164" fontId="24" fillId="2" borderId="20" xfId="2" applyNumberFormat="1" applyFont="1" applyFill="1" applyBorder="1" applyAlignment="1">
      <alignment horizontal="center" vertical="center"/>
    </xf>
    <xf numFmtId="168" fontId="23" fillId="2" borderId="7" xfId="2" applyNumberFormat="1" applyFont="1" applyFill="1" applyBorder="1" applyAlignment="1" applyProtection="1">
      <alignment horizontal="center" vertical="center"/>
      <protection hidden="1"/>
    </xf>
    <xf numFmtId="168" fontId="23" fillId="2" borderId="3" xfId="2" applyNumberFormat="1" applyFont="1" applyFill="1" applyBorder="1" applyAlignment="1" applyProtection="1">
      <alignment horizontal="center" vertical="center"/>
      <protection hidden="1"/>
    </xf>
    <xf numFmtId="168" fontId="24" fillId="2" borderId="6" xfId="2" applyNumberFormat="1" applyFont="1" applyFill="1" applyBorder="1" applyAlignment="1" applyProtection="1">
      <alignment horizontal="center" vertical="center"/>
      <protection locked="0"/>
    </xf>
    <xf numFmtId="168" fontId="24" fillId="2" borderId="2" xfId="2" applyNumberFormat="1" applyFont="1" applyFill="1" applyBorder="1" applyAlignment="1" applyProtection="1">
      <alignment horizontal="center" vertical="center"/>
      <protection locked="0"/>
    </xf>
    <xf numFmtId="164" fontId="11" fillId="2" borderId="9" xfId="2" applyNumberFormat="1" applyFont="1" applyFill="1" applyBorder="1" applyAlignment="1" applyProtection="1">
      <alignment horizontal="center" vertical="center"/>
      <protection locked="0"/>
    </xf>
    <xf numFmtId="164" fontId="11" fillId="2" borderId="14" xfId="2" applyNumberFormat="1" applyFont="1" applyFill="1" applyBorder="1" applyAlignment="1" applyProtection="1">
      <alignment horizontal="center" vertical="center"/>
      <protection locked="0"/>
    </xf>
    <xf numFmtId="164" fontId="22" fillId="2" borderId="0" xfId="2" applyNumberFormat="1" applyFont="1" applyFill="1" applyBorder="1" applyAlignment="1" applyProtection="1">
      <alignment horizontal="center" vertical="center"/>
    </xf>
    <xf numFmtId="164" fontId="31" fillId="2" borderId="0" xfId="2" applyNumberFormat="1" applyFont="1" applyFill="1" applyAlignment="1">
      <alignment horizontal="center" vertical="center" wrapText="1"/>
    </xf>
    <xf numFmtId="164" fontId="11" fillId="2" borderId="15" xfId="2" applyNumberFormat="1" applyFont="1" applyFill="1" applyBorder="1" applyAlignment="1">
      <alignment horizontal="right"/>
    </xf>
    <xf numFmtId="0" fontId="16" fillId="2" borderId="7" xfId="2" applyFont="1" applyFill="1" applyBorder="1" applyAlignment="1" applyProtection="1">
      <alignment horizontal="center" vertical="center"/>
    </xf>
    <xf numFmtId="0" fontId="16" fillId="2" borderId="13" xfId="2" applyFont="1" applyFill="1" applyBorder="1" applyAlignment="1" applyProtection="1">
      <alignment horizontal="center" vertical="center"/>
    </xf>
    <xf numFmtId="0" fontId="16" fillId="2" borderId="3" xfId="2" applyFont="1" applyFill="1" applyBorder="1" applyAlignment="1" applyProtection="1">
      <alignment horizontal="center" vertical="center"/>
    </xf>
    <xf numFmtId="168" fontId="11" fillId="2" borderId="9" xfId="2" applyNumberFormat="1" applyFont="1" applyFill="1" applyBorder="1" applyAlignment="1" applyProtection="1">
      <alignment horizontal="center" vertical="center"/>
      <protection locked="0"/>
    </xf>
    <xf numFmtId="168" fontId="11" fillId="2" borderId="8" xfId="2" applyNumberFormat="1" applyFont="1" applyFill="1" applyBorder="1" applyAlignment="1" applyProtection="1">
      <alignment horizontal="center" vertical="center"/>
      <protection locked="0"/>
    </xf>
    <xf numFmtId="1" fontId="6" fillId="2" borderId="8" xfId="2" applyNumberFormat="1" applyFont="1" applyFill="1" applyBorder="1" applyAlignment="1" applyProtection="1">
      <alignment horizontal="center" vertical="center"/>
      <protection locked="0"/>
    </xf>
    <xf numFmtId="164" fontId="6" fillId="2" borderId="9" xfId="2" applyNumberFormat="1" applyFont="1" applyFill="1" applyBorder="1" applyAlignment="1" applyProtection="1">
      <alignment horizontal="center" vertical="center"/>
      <protection locked="0"/>
    </xf>
    <xf numFmtId="164" fontId="6" fillId="2" borderId="14" xfId="2" applyNumberFormat="1" applyFont="1" applyFill="1" applyBorder="1" applyAlignment="1" applyProtection="1">
      <alignment horizontal="center" vertical="center"/>
      <protection locked="0"/>
    </xf>
    <xf numFmtId="0" fontId="15" fillId="2" borderId="7" xfId="2" applyFont="1" applyFill="1" applyBorder="1" applyAlignment="1" applyProtection="1">
      <alignment horizontal="center" vertical="center"/>
    </xf>
    <xf numFmtId="0" fontId="15" fillId="2" borderId="13" xfId="2" applyFont="1" applyFill="1" applyBorder="1" applyAlignment="1" applyProtection="1">
      <alignment horizontal="center" vertical="center"/>
    </xf>
    <xf numFmtId="164" fontId="9" fillId="2" borderId="15" xfId="2" applyNumberFormat="1" applyFont="1" applyFill="1" applyBorder="1" applyAlignment="1">
      <alignment horizontal="center"/>
    </xf>
    <xf numFmtId="168" fontId="15" fillId="2" borderId="3" xfId="2" applyNumberFormat="1" applyFont="1" applyFill="1" applyBorder="1" applyAlignment="1" applyProtection="1">
      <alignment horizontal="center" vertical="center"/>
      <protection hidden="1"/>
    </xf>
    <xf numFmtId="165" fontId="17" fillId="2" borderId="5" xfId="2" applyNumberFormat="1" applyFont="1" applyFill="1" applyBorder="1" applyAlignment="1" applyProtection="1">
      <alignment horizontal="center" vertical="center"/>
      <protection locked="0"/>
    </xf>
    <xf numFmtId="164" fontId="25" fillId="2" borderId="0" xfId="2" applyNumberFormat="1" applyFont="1" applyFill="1" applyAlignment="1">
      <alignment horizontal="center" vertical="center" wrapText="1"/>
    </xf>
    <xf numFmtId="164" fontId="11" fillId="2" borderId="2" xfId="2" applyNumberFormat="1" applyFont="1" applyFill="1" applyBorder="1" applyAlignment="1" applyProtection="1">
      <alignment horizontal="center" vertical="center"/>
    </xf>
    <xf numFmtId="164" fontId="17" fillId="2" borderId="0" xfId="2" applyNumberFormat="1" applyFont="1" applyFill="1" applyAlignment="1">
      <alignment horizontal="right" vertical="center"/>
    </xf>
    <xf numFmtId="165" fontId="17" fillId="2" borderId="0" xfId="2" applyNumberFormat="1" applyFont="1" applyFill="1" applyAlignment="1" applyProtection="1">
      <alignment horizontal="right" vertical="center"/>
      <protection locked="0"/>
    </xf>
    <xf numFmtId="165" fontId="17" fillId="2" borderId="0" xfId="1" applyNumberFormat="1" applyFont="1" applyFill="1" applyAlignment="1" applyProtection="1">
      <alignment horizontal="right" vertical="center"/>
      <protection locked="0"/>
    </xf>
    <xf numFmtId="167" fontId="17" fillId="2" borderId="0" xfId="1" applyNumberFormat="1" applyFont="1" applyFill="1" applyAlignment="1" applyProtection="1">
      <alignment horizontal="right" vertical="center"/>
      <protection locked="0"/>
    </xf>
    <xf numFmtId="168" fontId="17" fillId="2" borderId="0" xfId="1" applyNumberFormat="1" applyFont="1" applyFill="1" applyBorder="1" applyAlignment="1" applyProtection="1">
      <alignment horizontal="right" vertical="center" indent="3"/>
    </xf>
    <xf numFmtId="164" fontId="4" fillId="2" borderId="0" xfId="4" applyNumberFormat="1" applyFont="1" applyFill="1" applyAlignment="1">
      <alignment horizontal="center"/>
    </xf>
    <xf numFmtId="164" fontId="3" fillId="2" borderId="4" xfId="4" applyNumberFormat="1" applyFont="1" applyFill="1" applyBorder="1" applyAlignment="1">
      <alignment horizontal="center"/>
    </xf>
    <xf numFmtId="164" fontId="3" fillId="2" borderId="2" xfId="4" applyNumberFormat="1" applyFont="1" applyFill="1" applyBorder="1" applyAlignment="1">
      <alignment horizontal="center"/>
    </xf>
    <xf numFmtId="165" fontId="17" fillId="2" borderId="0" xfId="1" applyNumberFormat="1" applyFont="1" applyFill="1" applyAlignment="1">
      <alignment horizontal="right" vertical="center"/>
    </xf>
    <xf numFmtId="167" fontId="17" fillId="2" borderId="0" xfId="1" applyNumberFormat="1" applyFont="1" applyFill="1" applyAlignment="1" applyProtection="1">
      <alignment horizontal="center" vertical="center"/>
      <protection locked="0"/>
    </xf>
    <xf numFmtId="165" fontId="17" fillId="2" borderId="0" xfId="2" applyNumberFormat="1" applyFont="1" applyFill="1" applyBorder="1" applyAlignment="1" applyProtection="1">
      <alignment horizontal="right" vertical="center"/>
      <protection locked="0"/>
    </xf>
  </cellXfs>
  <cellStyles count="13">
    <cellStyle name="Comma" xfId="1" builtinId="3"/>
    <cellStyle name="Comma 2" xfId="8"/>
    <cellStyle name="Comma 3" xfId="9"/>
    <cellStyle name="Comma 4" xfId="5"/>
    <cellStyle name="Comma 6" xfId="11"/>
    <cellStyle name="Comma_13 Public Finance_done" xfId="3"/>
    <cellStyle name="Excel Built-in Comma" xfId="7"/>
    <cellStyle name="Excel Built-in Normal" xfId="6"/>
    <cellStyle name="Normal" xfId="0" builtinId="0"/>
    <cellStyle name="Normal 2" xfId="12"/>
    <cellStyle name="Normal 4" xfId="10"/>
    <cellStyle name="Normal_13 Public Finance" xfId="4"/>
    <cellStyle name="Normal_13 Public Finance_done" xfId="2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312046444122113E-2"/>
          <c:y val="0.15951433801640189"/>
          <c:w val="0.92146745995902646"/>
          <c:h val="0.74368999066310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1.6'!$A$5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1.6'!$B$5:$N$5</c:f>
              <c:numCache>
                <c:formatCode>_(* #,##0.0_);_(* \(#,##0.0\);_(* "-"??_);_(@_)</c:formatCode>
                <c:ptCount val="13"/>
                <c:pt idx="0">
                  <c:v>808.9</c:v>
                </c:pt>
                <c:pt idx="1">
                  <c:v>498.79999999999995</c:v>
                </c:pt>
                <c:pt idx="2">
                  <c:v>696.52141600000004</c:v>
                </c:pt>
                <c:pt idx="3">
                  <c:v>635.70163600000001</c:v>
                </c:pt>
                <c:pt idx="4">
                  <c:v>1285.636868</c:v>
                </c:pt>
                <c:pt idx="5">
                  <c:v>1139.8289990000001</c:v>
                </c:pt>
                <c:pt idx="6">
                  <c:v>462.58586595999998</c:v>
                </c:pt>
                <c:pt idx="7">
                  <c:v>679.01722999999993</c:v>
                </c:pt>
                <c:pt idx="8">
                  <c:v>2079.0821064299998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4-4F91-9D75-AA0B0E910D10}"/>
            </c:ext>
          </c:extLst>
        </c:ser>
        <c:ser>
          <c:idx val="1"/>
          <c:order val="1"/>
          <c:tx>
            <c:strRef>
              <c:f>'Fig 1.5 &amp; 1.6'!$A$6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1.6'!$B$6:$N$6</c:f>
              <c:numCache>
                <c:formatCode>_(* #,##0.0_);_(* \(#,##0.0\);_(* "-"??_);_(@_)</c:formatCode>
                <c:ptCount val="13"/>
                <c:pt idx="0">
                  <c:v>626.5</c:v>
                </c:pt>
                <c:pt idx="1">
                  <c:v>1443.3</c:v>
                </c:pt>
                <c:pt idx="2">
                  <c:v>1087.278699</c:v>
                </c:pt>
                <c:pt idx="3">
                  <c:v>1816.638207</c:v>
                </c:pt>
                <c:pt idx="4">
                  <c:v>1383.244537</c:v>
                </c:pt>
                <c:pt idx="5">
                  <c:v>1081.7647489999999</c:v>
                </c:pt>
                <c:pt idx="6">
                  <c:v>1108.2257616500001</c:v>
                </c:pt>
                <c:pt idx="7">
                  <c:v>1155.5744520000001</c:v>
                </c:pt>
                <c:pt idx="8">
                  <c:v>1812.3305333000001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4-4F91-9D75-AA0B0E910D10}"/>
            </c:ext>
          </c:extLst>
        </c:ser>
        <c:ser>
          <c:idx val="2"/>
          <c:order val="2"/>
          <c:tx>
            <c:strRef>
              <c:f>'Fig 1.5 &amp; 1.6'!$A$7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1.6'!$B$7:$N$7</c:f>
              <c:numCache>
                <c:formatCode>_(* #,##0.0_);_(* \(#,##0.0\);_(* "-"??_);_(@_)</c:formatCode>
                <c:ptCount val="13"/>
                <c:pt idx="0">
                  <c:v>329.9</c:v>
                </c:pt>
                <c:pt idx="1">
                  <c:v>937.10000000000014</c:v>
                </c:pt>
                <c:pt idx="2">
                  <c:v>581.73487699999998</c:v>
                </c:pt>
                <c:pt idx="3">
                  <c:v>174.8779509</c:v>
                </c:pt>
                <c:pt idx="4">
                  <c:v>919.10181</c:v>
                </c:pt>
                <c:pt idx="5">
                  <c:v>662.15555800000004</c:v>
                </c:pt>
                <c:pt idx="6">
                  <c:v>522.22979633</c:v>
                </c:pt>
                <c:pt idx="7">
                  <c:v>750.4553719999999</c:v>
                </c:pt>
                <c:pt idx="8">
                  <c:v>870.97274229999994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D4-4F91-9D75-AA0B0E91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688928"/>
        <c:axId val="548690496"/>
      </c:barChart>
      <c:catAx>
        <c:axId val="548688928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690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8690496"/>
        <c:scaling>
          <c:orientation val="minMax"/>
          <c:max val="4600"/>
          <c:min val="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Consolas" pitchFamily="49" charset="0"/>
              </a:defRPr>
            </a:pPr>
            <a:endParaRPr lang="en-US"/>
          </a:p>
        </c:txPr>
        <c:crossAx val="548688928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468926160777695"/>
          <c:y val="0.25138335112514176"/>
          <c:w val="0.46469349034450158"/>
          <c:h val="7.1604981436259069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798419707551499E-2"/>
          <c:y val="0.19661511118581726"/>
          <c:w val="0.91825806671102561"/>
          <c:h val="0.68562922290296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1.6'!$A$36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1.6'!$B$36:$N$36</c:f>
              <c:numCache>
                <c:formatCode>_(* #,##0.0_);_(* \(#,##0.0\);_(* "-"??_);_(@_)</c:formatCode>
                <c:ptCount val="13"/>
                <c:pt idx="0">
                  <c:v>2241.8999999999996</c:v>
                </c:pt>
                <c:pt idx="1">
                  <c:v>3209.7</c:v>
                </c:pt>
                <c:pt idx="2">
                  <c:v>3519.7833220000007</c:v>
                </c:pt>
                <c:pt idx="3">
                  <c:v>3978.9039029999999</c:v>
                </c:pt>
                <c:pt idx="4">
                  <c:v>4596.1388089999991</c:v>
                </c:pt>
                <c:pt idx="5">
                  <c:v>4774.492886</c:v>
                </c:pt>
                <c:pt idx="6">
                  <c:v>4784.0412950399996</c:v>
                </c:pt>
                <c:pt idx="7">
                  <c:v>5537.7483140000004</c:v>
                </c:pt>
                <c:pt idx="8">
                  <c:v>6243.3481799699994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D-4ABA-B365-334D662F221F}"/>
            </c:ext>
          </c:extLst>
        </c:ser>
        <c:ser>
          <c:idx val="1"/>
          <c:order val="1"/>
          <c:tx>
            <c:strRef>
              <c:f>'Fig 1.5 &amp; 1.6'!$A$37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1.6'!$B$37:$N$37</c:f>
              <c:numCache>
                <c:formatCode>_(* #,##0.0_);_(* \(#,##0.0\);_(* "-"??_);_(@_)</c:formatCode>
                <c:ptCount val="13"/>
                <c:pt idx="0">
                  <c:v>3817.6</c:v>
                </c:pt>
                <c:pt idx="1">
                  <c:v>3679.5</c:v>
                </c:pt>
                <c:pt idx="2">
                  <c:v>4345.2921539999998</c:v>
                </c:pt>
                <c:pt idx="3">
                  <c:v>3462.622922</c:v>
                </c:pt>
                <c:pt idx="4">
                  <c:v>3544.46576</c:v>
                </c:pt>
                <c:pt idx="5">
                  <c:v>4225.7286190000004</c:v>
                </c:pt>
                <c:pt idx="6">
                  <c:v>5531.6275246499999</c:v>
                </c:pt>
                <c:pt idx="7">
                  <c:v>7089.9977030000009</c:v>
                </c:pt>
                <c:pt idx="8">
                  <c:v>8742.95622215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D-4ABA-B365-334D662F221F}"/>
            </c:ext>
          </c:extLst>
        </c:ser>
        <c:ser>
          <c:idx val="2"/>
          <c:order val="2"/>
          <c:tx>
            <c:strRef>
              <c:f>'Fig 1.5 &amp; 1.6'!$A$38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1.6'!$B$38:$N$38</c:f>
              <c:numCache>
                <c:formatCode>_(* #,##0.0_);_(* \(#,##0.0\);_(* "-"??_);_(@_)</c:formatCode>
                <c:ptCount val="13"/>
                <c:pt idx="0">
                  <c:v>266.3</c:v>
                </c:pt>
                <c:pt idx="1">
                  <c:v>293.99999999999994</c:v>
                </c:pt>
                <c:pt idx="2">
                  <c:v>255.78124300000002</c:v>
                </c:pt>
                <c:pt idx="3">
                  <c:v>265.56214700000004</c:v>
                </c:pt>
                <c:pt idx="4">
                  <c:v>209.35414899999998</c:v>
                </c:pt>
                <c:pt idx="5">
                  <c:v>209.18252100000001</c:v>
                </c:pt>
                <c:pt idx="6">
                  <c:v>300.81956875999992</c:v>
                </c:pt>
                <c:pt idx="7">
                  <c:v>348.30320599999999</c:v>
                </c:pt>
                <c:pt idx="8">
                  <c:v>344.55713775999999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D-4ABA-B365-334D662F22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9648080"/>
        <c:axId val="381618720"/>
      </c:barChart>
      <c:catAx>
        <c:axId val="77964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618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81618720"/>
        <c:scaling>
          <c:orientation val="minMax"/>
          <c:max val="900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9648080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1186390480266962E-2"/>
          <c:y val="0.25358228873347843"/>
          <c:w val="0.46865950012487517"/>
          <c:h val="8.1005945668923038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8</xdr:row>
      <xdr:rowOff>128270</xdr:rowOff>
    </xdr:from>
    <xdr:to>
      <xdr:col>13</xdr:col>
      <xdr:colOff>638174</xdr:colOff>
      <xdr:row>30</xdr:row>
      <xdr:rowOff>63500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379325</xdr:colOff>
      <xdr:row>38</xdr:row>
      <xdr:rowOff>138545</xdr:rowOff>
    </xdr:from>
    <xdr:to>
      <xdr:col>13</xdr:col>
      <xdr:colOff>638174</xdr:colOff>
      <xdr:row>61</xdr:row>
      <xdr:rowOff>11353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439979</xdr:colOff>
      <xdr:row>41</xdr:row>
      <xdr:rowOff>72621</xdr:rowOff>
    </xdr:from>
    <xdr:to>
      <xdr:col>1</xdr:col>
      <xdr:colOff>419101</xdr:colOff>
      <xdr:row>42</xdr:row>
      <xdr:rowOff>68580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439979" y="6084801"/>
          <a:ext cx="1053542" cy="1407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In Million Rufiyaa</a:t>
          </a:r>
        </a:p>
      </xdr:txBody>
    </xdr:sp>
    <xdr:clientData/>
  </xdr:twoCellAnchor>
  <xdr:twoCellAnchor>
    <xdr:from>
      <xdr:col>1</xdr:col>
      <xdr:colOff>247649</xdr:colOff>
      <xdr:row>41</xdr:row>
      <xdr:rowOff>57149</xdr:rowOff>
    </xdr:from>
    <xdr:to>
      <xdr:col>13</xdr:col>
      <xdr:colOff>180974</xdr:colOff>
      <xdr:row>41</xdr:row>
      <xdr:rowOff>66674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1295399" y="6305549"/>
          <a:ext cx="6734175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85725</xdr:colOff>
      <xdr:row>10</xdr:row>
      <xdr:rowOff>133349</xdr:rowOff>
    </xdr:from>
    <xdr:to>
      <xdr:col>13</xdr:col>
      <xdr:colOff>66675</xdr:colOff>
      <xdr:row>10</xdr:row>
      <xdr:rowOff>142874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1133475" y="1657349"/>
          <a:ext cx="6781800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0.00834</cdr:x>
      <cdr:y>0.10397</cdr:y>
    </cdr:from>
    <cdr:to>
      <cdr:x>0.14233</cdr:x>
      <cdr:y>0.14452</cdr:y>
    </cdr:to>
    <cdr:sp macro="" textlink="">
      <cdr:nvSpPr>
        <cdr:cNvPr id="2355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84" y="324433"/>
          <a:ext cx="982834" cy="126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700" b="1" i="0" strike="noStrike">
              <a:solidFill>
                <a:srgbClr val="000000"/>
              </a:solidFill>
              <a:latin typeface="Arial"/>
              <a:cs typeface="Arial"/>
            </a:rPr>
            <a:t>In Million Rufiyaa</a:t>
          </a:r>
        </a:p>
      </cdr:txBody>
    </cdr:sp>
  </cdr:relSizeAnchor>
  <cdr:relSizeAnchor xmlns:cdr="http://schemas.openxmlformats.org/drawingml/2006/chartDrawing">
    <cdr:from>
      <cdr:x>0.09869</cdr:x>
      <cdr:y>0.03511</cdr:y>
    </cdr:from>
    <cdr:to>
      <cdr:x>0.98504</cdr:x>
      <cdr:y>0.1377</cdr:y>
    </cdr:to>
    <cdr:sp macro="" textlink="">
      <cdr:nvSpPr>
        <cdr:cNvPr id="2355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6897" y="115443"/>
          <a:ext cx="6348748" cy="3373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000" b="1" i="0" u="none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13.5: Functional Classification of Central Government Capital Expenditure, 2007 -  2019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0.08384</cdr:x>
      <cdr:y>0.03442</cdr:y>
    </cdr:from>
    <cdr:to>
      <cdr:x>0.9711</cdr:x>
      <cdr:y>0.10901</cdr:y>
    </cdr:to>
    <cdr:sp macro="" textlink="">
      <cdr:nvSpPr>
        <cdr:cNvPr id="2457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275" y="110229"/>
          <a:ext cx="6469380" cy="2389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13.6: Functional Classification of Central Government Current Expenditure, 2007 -  2019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Users\F.shifaza\AppData\Local\Microsoft\Windows\Temporary%20Internet%20Files\Content.Outlook\UI66VG49\Public%20Finance_%2013%206%2013%2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.6"/>
      <sheetName val="13.7"/>
      <sheetName val="graphs13.5&amp;13.6)"/>
    </sheetNames>
    <sheetDataSet>
      <sheetData sheetId="0">
        <row r="9">
          <cell r="B9">
            <v>2241.8999999999996</v>
          </cell>
          <cell r="C9">
            <v>3209.7</v>
          </cell>
          <cell r="H9">
            <v>3519.7833220000007</v>
          </cell>
          <cell r="I9">
            <v>3978.9039029999999</v>
          </cell>
          <cell r="J9">
            <v>4596.1388089999991</v>
          </cell>
        </row>
        <row r="14">
          <cell r="B14">
            <v>3817.6</v>
          </cell>
          <cell r="C14">
            <v>3679.5</v>
          </cell>
          <cell r="H14">
            <v>4345.2921539999998</v>
          </cell>
          <cell r="I14">
            <v>3462.622922</v>
          </cell>
          <cell r="J14">
            <v>3544.46576</v>
          </cell>
        </row>
        <row r="19">
          <cell r="B19">
            <v>266.3</v>
          </cell>
          <cell r="C19">
            <v>293.99999999999994</v>
          </cell>
          <cell r="H19">
            <v>255.78124300000002</v>
          </cell>
          <cell r="I19">
            <v>265.56214700000004</v>
          </cell>
          <cell r="J19">
            <v>209.35414899999998</v>
          </cell>
        </row>
      </sheetData>
      <sheetData sheetId="1">
        <row r="10">
          <cell r="B10">
            <v>808.9</v>
          </cell>
          <cell r="C10">
            <v>498.79999999999995</v>
          </cell>
          <cell r="H10">
            <v>696.52141600000004</v>
          </cell>
          <cell r="I10">
            <v>635.70163600000001</v>
          </cell>
          <cell r="J10">
            <v>1285.636868</v>
          </cell>
          <cell r="K10">
            <v>1139.8289990000001</v>
          </cell>
        </row>
        <row r="15">
          <cell r="B15">
            <v>626.5</v>
          </cell>
          <cell r="C15">
            <v>1443.3</v>
          </cell>
          <cell r="H15">
            <v>1087.278699</v>
          </cell>
          <cell r="I15">
            <v>1816.638207</v>
          </cell>
          <cell r="J15">
            <v>1383.244537</v>
          </cell>
          <cell r="K15">
            <v>1081.7647489999999</v>
          </cell>
        </row>
        <row r="20">
          <cell r="B20">
            <v>329.9</v>
          </cell>
          <cell r="C20">
            <v>937.10000000000014</v>
          </cell>
          <cell r="H20">
            <v>581.73487699999998</v>
          </cell>
          <cell r="I20">
            <v>174.8779509</v>
          </cell>
          <cell r="J20">
            <v>919.10181</v>
          </cell>
          <cell r="K20">
            <v>662.15555800000004</v>
          </cell>
        </row>
      </sheetData>
      <sheetData sheetId="2">
        <row r="4">
          <cell r="B4">
            <v>2007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8"/>
  <sheetViews>
    <sheetView zoomScale="130" zoomScaleNormal="130" workbookViewId="0">
      <selection activeCell="L27" sqref="L27"/>
    </sheetView>
  </sheetViews>
  <sheetFormatPr defaultColWidth="8.85546875" defaultRowHeight="12.75"/>
  <cols>
    <col min="1" max="1" width="32.7109375" style="15" customWidth="1"/>
    <col min="2" max="7" width="8.85546875" style="25" hidden="1" customWidth="1"/>
    <col min="8" max="8" width="8.85546875" style="25"/>
    <col min="9" max="15" width="10.7109375" style="25" customWidth="1"/>
    <col min="16" max="17" width="12.7109375" style="25" customWidth="1"/>
    <col min="18" max="19" width="10.7109375" style="95" customWidth="1"/>
    <col min="20" max="20" width="39" style="15" customWidth="1"/>
    <col min="21" max="16384" width="8.85546875" style="15"/>
  </cols>
  <sheetData>
    <row r="1" spans="1:21" ht="19.5">
      <c r="A1" s="292" t="s">
        <v>219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</row>
    <row r="2" spans="1:21" ht="15.75">
      <c r="A2" s="294" t="s">
        <v>220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</row>
    <row r="3" spans="1:21" ht="14.25">
      <c r="A3" s="295" t="s">
        <v>16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61"/>
    </row>
    <row r="4" spans="1:21" s="16" customFormat="1">
      <c r="A4" s="296" t="s">
        <v>114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296"/>
    </row>
    <row r="5" spans="1:21" s="65" customFormat="1" ht="26.45" customHeight="1">
      <c r="A5" s="297" t="s">
        <v>0</v>
      </c>
      <c r="B5" s="62"/>
      <c r="C5" s="63"/>
      <c r="D5" s="63"/>
      <c r="E5" s="63"/>
      <c r="F5" s="63"/>
      <c r="G5" s="64"/>
      <c r="H5" s="193"/>
      <c r="I5" s="194"/>
      <c r="J5" s="183"/>
      <c r="K5" s="183"/>
      <c r="L5" s="300" t="s">
        <v>6</v>
      </c>
      <c r="M5" s="300"/>
      <c r="N5" s="300"/>
      <c r="O5" s="301"/>
      <c r="P5" s="302" t="s">
        <v>207</v>
      </c>
      <c r="Q5" s="303"/>
      <c r="R5" s="304" t="s">
        <v>64</v>
      </c>
      <c r="S5" s="305"/>
    </row>
    <row r="6" spans="1:21" s="32" customFormat="1" ht="15">
      <c r="A6" s="298"/>
      <c r="C6" s="66"/>
      <c r="D6" s="66"/>
      <c r="E6" s="66"/>
      <c r="F6" s="66"/>
      <c r="G6" s="67"/>
      <c r="H6" s="67" t="s">
        <v>3</v>
      </c>
      <c r="I6" s="68" t="s">
        <v>3</v>
      </c>
      <c r="J6" s="13" t="s">
        <v>3</v>
      </c>
      <c r="K6" s="180" t="s">
        <v>3</v>
      </c>
      <c r="L6" s="180" t="s">
        <v>227</v>
      </c>
      <c r="M6" s="180" t="s">
        <v>209</v>
      </c>
      <c r="N6" s="180" t="s">
        <v>209</v>
      </c>
      <c r="O6" s="186" t="s">
        <v>209</v>
      </c>
      <c r="P6" s="205" t="s">
        <v>3</v>
      </c>
      <c r="Q6" s="206" t="s">
        <v>3</v>
      </c>
      <c r="R6" s="306" t="s">
        <v>65</v>
      </c>
      <c r="S6" s="307"/>
      <c r="T6" s="167" t="s">
        <v>2</v>
      </c>
    </row>
    <row r="7" spans="1:21" s="20" customFormat="1">
      <c r="A7" s="299"/>
      <c r="B7" s="12">
        <v>2007</v>
      </c>
      <c r="C7" s="12">
        <v>2008</v>
      </c>
      <c r="D7" s="12">
        <v>2009</v>
      </c>
      <c r="E7" s="12">
        <v>2010</v>
      </c>
      <c r="F7" s="12">
        <v>2011</v>
      </c>
      <c r="G7" s="12">
        <v>2012</v>
      </c>
      <c r="H7" s="12">
        <v>2013</v>
      </c>
      <c r="I7" s="12">
        <v>2014</v>
      </c>
      <c r="J7" s="14">
        <v>2015</v>
      </c>
      <c r="K7" s="181">
        <v>2016</v>
      </c>
      <c r="L7" s="181">
        <v>2017</v>
      </c>
      <c r="M7" s="181">
        <v>2018</v>
      </c>
      <c r="N7" s="181">
        <v>2019</v>
      </c>
      <c r="O7" s="187">
        <v>2020</v>
      </c>
      <c r="P7" s="12">
        <v>2016</v>
      </c>
      <c r="Q7" s="195">
        <v>2017</v>
      </c>
      <c r="R7" s="69" t="s">
        <v>206</v>
      </c>
      <c r="S7" s="200" t="s">
        <v>218</v>
      </c>
      <c r="T7" s="70"/>
    </row>
    <row r="8" spans="1:21" s="20" customFormat="1" ht="15">
      <c r="A8" s="17" t="s">
        <v>66</v>
      </c>
      <c r="B8" s="71">
        <f t="shared" ref="B8:J8" si="0">SUM(B9,B31)</f>
        <v>8200.9</v>
      </c>
      <c r="C8" s="72">
        <f t="shared" si="0"/>
        <v>10175.996671999999</v>
      </c>
      <c r="D8" s="72">
        <f t="shared" si="0"/>
        <v>10953.434156000003</v>
      </c>
      <c r="E8" s="72">
        <f t="shared" si="0"/>
        <v>10815.062102899999</v>
      </c>
      <c r="F8" s="73">
        <f t="shared" si="0"/>
        <v>12264.741933000001</v>
      </c>
      <c r="G8" s="73">
        <f t="shared" si="0"/>
        <v>13110.002924999997</v>
      </c>
      <c r="H8" s="73">
        <f t="shared" si="0"/>
        <v>13530.77100239</v>
      </c>
      <c r="I8" s="73">
        <f t="shared" si="0"/>
        <v>16417.281596000001</v>
      </c>
      <c r="J8" s="73">
        <f t="shared" si="0"/>
        <v>21336.878536910001</v>
      </c>
      <c r="K8" s="188"/>
      <c r="L8" s="188"/>
      <c r="M8" s="188"/>
      <c r="N8" s="188"/>
      <c r="O8" s="189"/>
      <c r="P8" s="152"/>
      <c r="Q8" s="196"/>
      <c r="R8" s="74">
        <f t="shared" ref="R8:S31" si="1">+((K8/J8)-1)*100</f>
        <v>-100</v>
      </c>
      <c r="S8" s="201" t="e">
        <f t="shared" si="1"/>
        <v>#DIV/0!</v>
      </c>
      <c r="T8" s="42" t="s">
        <v>67</v>
      </c>
    </row>
    <row r="9" spans="1:21" s="20" customFormat="1" ht="15">
      <c r="A9" s="17" t="s">
        <v>8</v>
      </c>
      <c r="B9" s="75">
        <f t="shared" ref="B9:J9" si="2">SUM(B10,B17,B23,B30)</f>
        <v>8325.4</v>
      </c>
      <c r="C9" s="75">
        <f t="shared" si="2"/>
        <v>10342.396671999999</v>
      </c>
      <c r="D9" s="75">
        <f t="shared" si="2"/>
        <v>11104.270489000002</v>
      </c>
      <c r="E9" s="75">
        <f t="shared" si="2"/>
        <v>10996.362102899999</v>
      </c>
      <c r="F9" s="10">
        <f t="shared" si="2"/>
        <v>12663.741933000001</v>
      </c>
      <c r="G9" s="10">
        <f t="shared" si="2"/>
        <v>13200.234560999997</v>
      </c>
      <c r="H9" s="10">
        <f t="shared" si="2"/>
        <v>13666.256009389999</v>
      </c>
      <c r="I9" s="10">
        <f t="shared" si="2"/>
        <v>16539.443646</v>
      </c>
      <c r="J9" s="10">
        <f t="shared" si="2"/>
        <v>21440.89678291</v>
      </c>
      <c r="K9" s="182"/>
      <c r="L9" s="182"/>
      <c r="M9" s="182"/>
      <c r="N9" s="182"/>
      <c r="O9" s="190"/>
      <c r="P9" s="76" t="e">
        <f>+(K9/$K$9)*100</f>
        <v>#DIV/0!</v>
      </c>
      <c r="Q9" s="197" t="e">
        <f>+(L9/$K$9)*100</f>
        <v>#DIV/0!</v>
      </c>
      <c r="R9" s="74">
        <f t="shared" si="1"/>
        <v>-100</v>
      </c>
      <c r="S9" s="201" t="e">
        <f t="shared" si="1"/>
        <v>#DIV/0!</v>
      </c>
      <c r="T9" s="42" t="s">
        <v>9</v>
      </c>
    </row>
    <row r="10" spans="1:21" s="20" customFormat="1" ht="15">
      <c r="A10" s="17" t="s">
        <v>68</v>
      </c>
      <c r="B10" s="75">
        <f>SUM(B11,B12,B15,B16)</f>
        <v>3050.7999999999997</v>
      </c>
      <c r="C10" s="75">
        <f t="shared" ref="C10:L10" si="3">SUM(C11,C12,C15,C16)</f>
        <v>3708.5</v>
      </c>
      <c r="D10" s="75">
        <f t="shared" si="3"/>
        <v>4216.3047380000016</v>
      </c>
      <c r="E10" s="75">
        <f t="shared" si="3"/>
        <v>4614.6055389999992</v>
      </c>
      <c r="F10" s="10">
        <f>SUM(F11,F12,F15,F16)</f>
        <v>5881.7756770000005</v>
      </c>
      <c r="G10" s="10">
        <f t="shared" si="3"/>
        <v>5914.3218849999994</v>
      </c>
      <c r="H10" s="10">
        <f t="shared" si="3"/>
        <v>5246.6271609999994</v>
      </c>
      <c r="I10" s="10">
        <f t="shared" si="3"/>
        <v>6216.7655439999999</v>
      </c>
      <c r="J10" s="10">
        <f t="shared" si="3"/>
        <v>8322.4302864000001</v>
      </c>
      <c r="K10" s="182">
        <f t="shared" ref="K10" si="4">SUM(K11,K12,K15,K16)</f>
        <v>0</v>
      </c>
      <c r="L10" s="182">
        <f t="shared" si="3"/>
        <v>0</v>
      </c>
      <c r="M10" s="182">
        <f t="shared" ref="M10:N10" si="5">SUM(M11,M12,M15,M16)</f>
        <v>0</v>
      </c>
      <c r="N10" s="182">
        <f t="shared" si="5"/>
        <v>0</v>
      </c>
      <c r="O10" s="190">
        <f t="shared" ref="O10" si="6">SUM(O11,O12,O15,O16)</f>
        <v>0</v>
      </c>
      <c r="P10" s="76" t="e">
        <f>+(K10/$K$9)*100</f>
        <v>#DIV/0!</v>
      </c>
      <c r="Q10" s="197" t="e">
        <f>+(L10/$K$9)*100</f>
        <v>#DIV/0!</v>
      </c>
      <c r="R10" s="74">
        <f t="shared" si="1"/>
        <v>-100</v>
      </c>
      <c r="S10" s="201" t="e">
        <f t="shared" si="1"/>
        <v>#DIV/0!</v>
      </c>
      <c r="T10" s="42" t="s">
        <v>69</v>
      </c>
    </row>
    <row r="11" spans="1:21" s="21" customFormat="1" ht="15">
      <c r="A11" s="77" t="s">
        <v>70</v>
      </c>
      <c r="B11" s="78">
        <v>1607.3</v>
      </c>
      <c r="C11" s="78">
        <v>2043.9</v>
      </c>
      <c r="D11" s="78">
        <v>2197.6652670000008</v>
      </c>
      <c r="E11" s="78">
        <v>2684.2828549999995</v>
      </c>
      <c r="F11" s="27">
        <v>3414.360107</v>
      </c>
      <c r="G11" s="27">
        <v>3431.8828060000001</v>
      </c>
      <c r="H11" s="27">
        <v>2539.0598371399997</v>
      </c>
      <c r="I11" s="27">
        <v>3189.9729499999999</v>
      </c>
      <c r="J11" s="27">
        <v>3623.5494148099997</v>
      </c>
      <c r="K11" s="191"/>
      <c r="L11" s="191"/>
      <c r="M11" s="191"/>
      <c r="N11" s="191"/>
      <c r="O11" s="185"/>
      <c r="P11" s="80" t="e">
        <f t="shared" ref="P11:Q33" si="7">+(K11/$K$9)*100</f>
        <v>#DIV/0!</v>
      </c>
      <c r="Q11" s="198" t="e">
        <f t="shared" si="7"/>
        <v>#DIV/0!</v>
      </c>
      <c r="R11" s="81">
        <f t="shared" si="1"/>
        <v>-100</v>
      </c>
      <c r="S11" s="202" t="e">
        <f t="shared" si="1"/>
        <v>#DIV/0!</v>
      </c>
      <c r="T11" s="31" t="s">
        <v>71</v>
      </c>
    </row>
    <row r="12" spans="1:21" s="21" customFormat="1" ht="15">
      <c r="A12" s="77" t="s">
        <v>72</v>
      </c>
      <c r="B12" s="78">
        <v>475.70000000000005</v>
      </c>
      <c r="C12" s="78">
        <v>586.4</v>
      </c>
      <c r="D12" s="78">
        <v>752.52470600000004</v>
      </c>
      <c r="E12" s="78">
        <v>669.42846799999995</v>
      </c>
      <c r="F12" s="10">
        <f>SUM(F13:F14)</f>
        <v>910.58722000000012</v>
      </c>
      <c r="G12" s="10">
        <f t="shared" ref="G12:L12" si="8">SUM(G13:G14)</f>
        <v>812.66227900000001</v>
      </c>
      <c r="H12" s="10">
        <f t="shared" si="8"/>
        <v>796.60127067999997</v>
      </c>
      <c r="I12" s="10">
        <f>SUM(I13:I14)</f>
        <v>923.31431999999995</v>
      </c>
      <c r="J12" s="10">
        <f t="shared" si="8"/>
        <v>1195.3441013700001</v>
      </c>
      <c r="K12" s="182">
        <f t="shared" si="8"/>
        <v>0</v>
      </c>
      <c r="L12" s="182">
        <f t="shared" si="8"/>
        <v>0</v>
      </c>
      <c r="M12" s="182">
        <f t="shared" ref="M12:N12" si="9">SUM(M13:M14)</f>
        <v>0</v>
      </c>
      <c r="N12" s="182">
        <f t="shared" si="9"/>
        <v>0</v>
      </c>
      <c r="O12" s="190"/>
      <c r="P12" s="80" t="e">
        <f t="shared" si="7"/>
        <v>#DIV/0!</v>
      </c>
      <c r="Q12" s="198" t="e">
        <f t="shared" si="7"/>
        <v>#DIV/0!</v>
      </c>
      <c r="R12" s="74">
        <f t="shared" si="1"/>
        <v>-100</v>
      </c>
      <c r="S12" s="201" t="e">
        <f t="shared" si="1"/>
        <v>#DIV/0!</v>
      </c>
      <c r="T12" s="31" t="s">
        <v>73</v>
      </c>
    </row>
    <row r="13" spans="1:21" s="21" customFormat="1" ht="15">
      <c r="A13" s="77" t="s">
        <v>74</v>
      </c>
      <c r="B13" s="78">
        <v>0</v>
      </c>
      <c r="C13" s="78">
        <v>0</v>
      </c>
      <c r="D13" s="78">
        <v>0</v>
      </c>
      <c r="E13" s="78">
        <v>0</v>
      </c>
      <c r="F13" s="27">
        <v>777.54432100000008</v>
      </c>
      <c r="G13" s="27">
        <v>800.809574</v>
      </c>
      <c r="H13" s="27">
        <v>787.97938867999994</v>
      </c>
      <c r="I13" s="27">
        <v>913.25778199999991</v>
      </c>
      <c r="J13" s="27">
        <v>1178.86784837</v>
      </c>
      <c r="K13" s="191"/>
      <c r="L13" s="191"/>
      <c r="M13" s="191"/>
      <c r="N13" s="191"/>
      <c r="O13" s="185"/>
      <c r="P13" s="80" t="e">
        <f t="shared" si="7"/>
        <v>#DIV/0!</v>
      </c>
      <c r="Q13" s="198" t="e">
        <f t="shared" si="7"/>
        <v>#DIV/0!</v>
      </c>
      <c r="R13" s="81">
        <f t="shared" si="1"/>
        <v>-100</v>
      </c>
      <c r="S13" s="202" t="e">
        <f t="shared" si="1"/>
        <v>#DIV/0!</v>
      </c>
      <c r="T13" s="82" t="s">
        <v>112</v>
      </c>
    </row>
    <row r="14" spans="1:21" s="21" customFormat="1" ht="15">
      <c r="A14" s="77" t="s">
        <v>75</v>
      </c>
      <c r="B14" s="78">
        <v>0</v>
      </c>
      <c r="C14" s="78">
        <v>0</v>
      </c>
      <c r="D14" s="78">
        <v>0</v>
      </c>
      <c r="E14" s="78">
        <v>0</v>
      </c>
      <c r="F14" s="27">
        <v>133.04289900000001</v>
      </c>
      <c r="G14" s="27">
        <v>11.852705</v>
      </c>
      <c r="H14" s="27">
        <v>8.6218819999999994</v>
      </c>
      <c r="I14" s="27">
        <v>10.056538</v>
      </c>
      <c r="J14" s="27">
        <v>16.476253</v>
      </c>
      <c r="K14" s="191"/>
      <c r="L14" s="191"/>
      <c r="M14" s="191"/>
      <c r="N14" s="191"/>
      <c r="O14" s="185"/>
      <c r="P14" s="80" t="e">
        <f t="shared" si="7"/>
        <v>#DIV/0!</v>
      </c>
      <c r="Q14" s="198" t="e">
        <f t="shared" si="7"/>
        <v>#DIV/0!</v>
      </c>
      <c r="R14" s="81">
        <f t="shared" si="1"/>
        <v>-100</v>
      </c>
      <c r="S14" s="202" t="e">
        <f t="shared" si="1"/>
        <v>#DIV/0!</v>
      </c>
      <c r="T14" s="82" t="s">
        <v>113</v>
      </c>
    </row>
    <row r="15" spans="1:21" s="21" customFormat="1" ht="15">
      <c r="A15" s="77" t="s">
        <v>76</v>
      </c>
      <c r="B15" s="78">
        <v>825.69999999999993</v>
      </c>
      <c r="C15" s="83">
        <v>982.5</v>
      </c>
      <c r="D15" s="78">
        <v>1170.997198</v>
      </c>
      <c r="E15" s="78">
        <v>1192.3427610000001</v>
      </c>
      <c r="F15" s="27">
        <v>1364.5149330000002</v>
      </c>
      <c r="G15" s="27">
        <v>1525.6040499999999</v>
      </c>
      <c r="H15" s="27">
        <v>1725.97350061</v>
      </c>
      <c r="I15" s="27">
        <v>1982.1994500000001</v>
      </c>
      <c r="J15" s="27">
        <v>2681.8339682300002</v>
      </c>
      <c r="K15" s="191"/>
      <c r="L15" s="191"/>
      <c r="M15" s="191"/>
      <c r="N15" s="191"/>
      <c r="O15" s="185"/>
      <c r="P15" s="80" t="e">
        <f t="shared" si="7"/>
        <v>#DIV/0!</v>
      </c>
      <c r="Q15" s="198" t="e">
        <f t="shared" si="7"/>
        <v>#DIV/0!</v>
      </c>
      <c r="R15" s="81">
        <f t="shared" si="1"/>
        <v>-100</v>
      </c>
      <c r="S15" s="202" t="e">
        <f t="shared" si="1"/>
        <v>#DIV/0!</v>
      </c>
      <c r="T15" s="31" t="s">
        <v>77</v>
      </c>
    </row>
    <row r="16" spans="1:21" s="21" customFormat="1" ht="15">
      <c r="A16" s="77" t="s">
        <v>78</v>
      </c>
      <c r="B16" s="78">
        <v>142.1</v>
      </c>
      <c r="C16" s="78">
        <v>95.7</v>
      </c>
      <c r="D16" s="78">
        <v>95.117567000000008</v>
      </c>
      <c r="E16" s="78">
        <v>68.551455000000004</v>
      </c>
      <c r="F16" s="27">
        <v>192.31341699999999</v>
      </c>
      <c r="G16" s="27">
        <v>144.17275000000001</v>
      </c>
      <c r="H16" s="27">
        <v>184.99255256999999</v>
      </c>
      <c r="I16" s="27">
        <v>121.27882399999999</v>
      </c>
      <c r="J16" s="27">
        <v>821.70280199000001</v>
      </c>
      <c r="K16" s="191"/>
      <c r="L16" s="191"/>
      <c r="M16" s="191"/>
      <c r="N16" s="191"/>
      <c r="O16" s="185"/>
      <c r="P16" s="80" t="e">
        <f t="shared" si="7"/>
        <v>#DIV/0!</v>
      </c>
      <c r="Q16" s="198" t="e">
        <f t="shared" si="7"/>
        <v>#DIV/0!</v>
      </c>
      <c r="R16" s="81">
        <f t="shared" si="1"/>
        <v>-100</v>
      </c>
      <c r="S16" s="202" t="e">
        <f t="shared" si="1"/>
        <v>#DIV/0!</v>
      </c>
      <c r="T16" s="31" t="s">
        <v>79</v>
      </c>
    </row>
    <row r="17" spans="1:20" s="20" customFormat="1" ht="15">
      <c r="A17" s="17" t="s">
        <v>80</v>
      </c>
      <c r="B17" s="75">
        <f>SUM(B18:B21)</f>
        <v>4444.1000000000004</v>
      </c>
      <c r="C17" s="75">
        <f>SUM(C18:C21)</f>
        <v>5122.8</v>
      </c>
      <c r="D17" s="75">
        <f>SUM(D18:D21)</f>
        <v>5432.5708530000002</v>
      </c>
      <c r="E17" s="75">
        <f>SUM(E18:E21)</f>
        <v>5279.2611290000004</v>
      </c>
      <c r="F17" s="10">
        <f>SUM(F18:F22)</f>
        <v>4927.7102970000005</v>
      </c>
      <c r="G17" s="10">
        <f t="shared" ref="G17:L17" si="10">SUM(G18:G22)</f>
        <v>5307.4933679999995</v>
      </c>
      <c r="H17" s="10">
        <f t="shared" si="10"/>
        <v>6639.8532862999991</v>
      </c>
      <c r="I17" s="10">
        <f t="shared" si="10"/>
        <v>8245.5721549999998</v>
      </c>
      <c r="J17" s="10">
        <f t="shared" si="10"/>
        <v>10555.286755449999</v>
      </c>
      <c r="K17" s="182">
        <f t="shared" si="10"/>
        <v>0</v>
      </c>
      <c r="L17" s="182">
        <f t="shared" si="10"/>
        <v>0</v>
      </c>
      <c r="M17" s="182">
        <f t="shared" ref="M17:N17" si="11">SUM(M18:M22)</f>
        <v>0</v>
      </c>
      <c r="N17" s="182">
        <f t="shared" si="11"/>
        <v>0</v>
      </c>
      <c r="O17" s="190">
        <f t="shared" ref="O17" si="12">SUM(O18:O22)</f>
        <v>0</v>
      </c>
      <c r="P17" s="76" t="e">
        <f t="shared" si="7"/>
        <v>#DIV/0!</v>
      </c>
      <c r="Q17" s="197" t="e">
        <f t="shared" si="7"/>
        <v>#DIV/0!</v>
      </c>
      <c r="R17" s="74">
        <f t="shared" si="1"/>
        <v>-100</v>
      </c>
      <c r="S17" s="201" t="e">
        <f t="shared" si="1"/>
        <v>#DIV/0!</v>
      </c>
      <c r="T17" s="42" t="s">
        <v>81</v>
      </c>
    </row>
    <row r="18" spans="1:20" s="21" customFormat="1" ht="15">
      <c r="A18" s="77" t="s">
        <v>82</v>
      </c>
      <c r="B18" s="78">
        <v>1313.8000000000002</v>
      </c>
      <c r="C18" s="78">
        <v>1630.5</v>
      </c>
      <c r="D18" s="78">
        <v>1935.0878400000001</v>
      </c>
      <c r="E18" s="78">
        <v>1643.137213</v>
      </c>
      <c r="F18" s="27">
        <v>1796.661055</v>
      </c>
      <c r="G18" s="27">
        <v>2203.168764</v>
      </c>
      <c r="H18" s="27">
        <v>2002.2797697200001</v>
      </c>
      <c r="I18" s="27">
        <v>2212.015058</v>
      </c>
      <c r="J18" s="27">
        <v>2933.05047655</v>
      </c>
      <c r="K18" s="191"/>
      <c r="L18" s="191"/>
      <c r="M18" s="191"/>
      <c r="N18" s="191"/>
      <c r="O18" s="185"/>
      <c r="P18" s="80" t="e">
        <f t="shared" si="7"/>
        <v>#DIV/0!</v>
      </c>
      <c r="Q18" s="198" t="e">
        <f t="shared" si="7"/>
        <v>#DIV/0!</v>
      </c>
      <c r="R18" s="81">
        <f t="shared" si="1"/>
        <v>-100</v>
      </c>
      <c r="S18" s="202" t="e">
        <f t="shared" si="1"/>
        <v>#DIV/0!</v>
      </c>
      <c r="T18" s="31" t="s">
        <v>83</v>
      </c>
    </row>
    <row r="19" spans="1:20" s="21" customFormat="1" ht="15">
      <c r="A19" s="77" t="s">
        <v>84</v>
      </c>
      <c r="B19" s="78">
        <v>782.19999999999993</v>
      </c>
      <c r="C19" s="78">
        <v>1326.4</v>
      </c>
      <c r="D19" s="78">
        <v>1396.1558639999998</v>
      </c>
      <c r="E19" s="78">
        <v>990.87232799999992</v>
      </c>
      <c r="F19" s="27">
        <v>368.31382600000001</v>
      </c>
      <c r="G19" s="27">
        <v>296.66393599999998</v>
      </c>
      <c r="H19" s="27">
        <v>1391.70545487</v>
      </c>
      <c r="I19" s="27">
        <v>1866.0390179999999</v>
      </c>
      <c r="J19" s="27">
        <v>2525.9593407700004</v>
      </c>
      <c r="K19" s="191"/>
      <c r="L19" s="191"/>
      <c r="M19" s="191"/>
      <c r="N19" s="191"/>
      <c r="O19" s="185"/>
      <c r="P19" s="80" t="e">
        <f t="shared" si="7"/>
        <v>#DIV/0!</v>
      </c>
      <c r="Q19" s="198" t="e">
        <f t="shared" si="7"/>
        <v>#DIV/0!</v>
      </c>
      <c r="R19" s="81">
        <f t="shared" si="1"/>
        <v>-100</v>
      </c>
      <c r="S19" s="202" t="e">
        <f t="shared" si="1"/>
        <v>#DIV/0!</v>
      </c>
      <c r="T19" s="31" t="s">
        <v>85</v>
      </c>
    </row>
    <row r="20" spans="1:20" s="21" customFormat="1" ht="15">
      <c r="A20" s="77" t="s">
        <v>86</v>
      </c>
      <c r="B20" s="78">
        <v>235.5</v>
      </c>
      <c r="C20" s="78">
        <v>640.6</v>
      </c>
      <c r="D20" s="78">
        <v>464.54098499999998</v>
      </c>
      <c r="E20" s="78">
        <v>578.16290700000002</v>
      </c>
      <c r="F20" s="27">
        <v>1135.3461150000001</v>
      </c>
      <c r="G20" s="27">
        <v>1578.1540559999999</v>
      </c>
      <c r="H20" s="27">
        <v>1959.2764668599998</v>
      </c>
      <c r="I20" s="27">
        <v>2925.2288200000003</v>
      </c>
      <c r="J20" s="27">
        <v>3222.1829934400002</v>
      </c>
      <c r="K20" s="191"/>
      <c r="L20" s="191"/>
      <c r="M20" s="191"/>
      <c r="N20" s="191"/>
      <c r="O20" s="185"/>
      <c r="P20" s="80" t="e">
        <f t="shared" si="7"/>
        <v>#DIV/0!</v>
      </c>
      <c r="Q20" s="198" t="e">
        <f t="shared" si="7"/>
        <v>#DIV/0!</v>
      </c>
      <c r="R20" s="81">
        <f t="shared" si="1"/>
        <v>-100</v>
      </c>
      <c r="S20" s="202" t="e">
        <f t="shared" si="1"/>
        <v>#DIV/0!</v>
      </c>
      <c r="T20" s="31" t="s">
        <v>87</v>
      </c>
    </row>
    <row r="21" spans="1:20" s="21" customFormat="1" ht="15">
      <c r="A21" s="77" t="s">
        <v>210</v>
      </c>
      <c r="B21" s="78">
        <v>2112.6</v>
      </c>
      <c r="C21" s="78">
        <v>1525.3000000000002</v>
      </c>
      <c r="D21" s="78">
        <v>1636.7861640000001</v>
      </c>
      <c r="E21" s="78">
        <v>2067.0886810000002</v>
      </c>
      <c r="F21" s="27">
        <v>1627.3893010000002</v>
      </c>
      <c r="G21" s="27">
        <v>1229.5066119999999</v>
      </c>
      <c r="H21" s="27">
        <v>979.91802029999997</v>
      </c>
      <c r="I21" s="27">
        <v>772.59129199999995</v>
      </c>
      <c r="J21" s="27">
        <v>0</v>
      </c>
      <c r="K21" s="191"/>
      <c r="L21" s="191"/>
      <c r="M21" s="191"/>
      <c r="N21" s="191"/>
      <c r="O21" s="185"/>
      <c r="P21" s="80" t="e">
        <f t="shared" si="7"/>
        <v>#DIV/0!</v>
      </c>
      <c r="Q21" s="198" t="e">
        <f t="shared" si="7"/>
        <v>#DIV/0!</v>
      </c>
      <c r="R21" s="79" t="e">
        <f t="shared" ref="R21:S21" si="13">+(M21/$K$9)*100</f>
        <v>#DIV/0!</v>
      </c>
      <c r="S21" s="203" t="e">
        <f t="shared" si="13"/>
        <v>#DIV/0!</v>
      </c>
      <c r="T21" s="31" t="s">
        <v>88</v>
      </c>
    </row>
    <row r="22" spans="1:20" s="21" customFormat="1" ht="17.25">
      <c r="A22" s="77" t="s">
        <v>198</v>
      </c>
      <c r="B22" s="78"/>
      <c r="C22" s="78"/>
      <c r="D22" s="78"/>
      <c r="E22" s="78"/>
      <c r="F22" s="27"/>
      <c r="G22" s="50">
        <v>0</v>
      </c>
      <c r="H22" s="27">
        <v>306.67357454999978</v>
      </c>
      <c r="I22" s="27">
        <v>469.69796699999995</v>
      </c>
      <c r="J22" s="27">
        <v>1874.0939446899999</v>
      </c>
      <c r="K22" s="191"/>
      <c r="L22" s="191"/>
      <c r="M22" s="191"/>
      <c r="N22" s="191"/>
      <c r="O22" s="185"/>
      <c r="P22" s="80" t="e">
        <f t="shared" si="7"/>
        <v>#DIV/0!</v>
      </c>
      <c r="Q22" s="198" t="e">
        <f t="shared" si="7"/>
        <v>#DIV/0!</v>
      </c>
      <c r="R22" s="81">
        <f t="shared" si="1"/>
        <v>-100</v>
      </c>
      <c r="S22" s="202" t="e">
        <f t="shared" si="1"/>
        <v>#DIV/0!</v>
      </c>
      <c r="T22" s="84" t="s">
        <v>205</v>
      </c>
    </row>
    <row r="23" spans="1:20" s="20" customFormat="1" ht="15">
      <c r="A23" s="17" t="s">
        <v>89</v>
      </c>
      <c r="B23" s="75">
        <f t="shared" ref="B23:L23" si="14">SUM(B24:B29)</f>
        <v>596.20000000000005</v>
      </c>
      <c r="C23" s="75">
        <f t="shared" si="14"/>
        <v>1231.0999999999999</v>
      </c>
      <c r="D23" s="75">
        <f t="shared" si="14"/>
        <v>837.51612</v>
      </c>
      <c r="E23" s="75">
        <f t="shared" si="14"/>
        <v>440.44009790000001</v>
      </c>
      <c r="F23" s="10">
        <f t="shared" si="14"/>
        <v>1128.4559589999999</v>
      </c>
      <c r="G23" s="10">
        <f t="shared" si="14"/>
        <v>871.33807899999999</v>
      </c>
      <c r="H23" s="10">
        <f t="shared" si="14"/>
        <v>823.04936508999992</v>
      </c>
      <c r="I23" s="10">
        <f t="shared" si="14"/>
        <v>1098.7585779999999</v>
      </c>
      <c r="J23" s="10">
        <f t="shared" si="14"/>
        <v>1215.5298800600001</v>
      </c>
      <c r="K23" s="182">
        <f t="shared" ref="K23" si="15">SUM(K24:K29)</f>
        <v>0</v>
      </c>
      <c r="L23" s="182">
        <f t="shared" si="14"/>
        <v>0</v>
      </c>
      <c r="M23" s="182">
        <f t="shared" ref="M23:N23" si="16">SUM(M24:M29)</f>
        <v>0</v>
      </c>
      <c r="N23" s="182">
        <f t="shared" si="16"/>
        <v>0</v>
      </c>
      <c r="O23" s="190">
        <f t="shared" ref="O23" si="17">SUM(O24:O29)</f>
        <v>0</v>
      </c>
      <c r="P23" s="76" t="e">
        <f t="shared" si="7"/>
        <v>#DIV/0!</v>
      </c>
      <c r="Q23" s="197" t="e">
        <f t="shared" si="7"/>
        <v>#DIV/0!</v>
      </c>
      <c r="R23" s="74">
        <f t="shared" si="1"/>
        <v>-100</v>
      </c>
      <c r="S23" s="201" t="e">
        <f t="shared" si="1"/>
        <v>#DIV/0!</v>
      </c>
      <c r="T23" s="42" t="s">
        <v>90</v>
      </c>
    </row>
    <row r="24" spans="1:20" s="21" customFormat="1" ht="15">
      <c r="A24" s="77" t="s">
        <v>91</v>
      </c>
      <c r="B24" s="78">
        <v>179.9</v>
      </c>
      <c r="C24" s="78">
        <v>159.79999999999998</v>
      </c>
      <c r="D24" s="78">
        <v>58.986502000000002</v>
      </c>
      <c r="E24" s="78">
        <v>146.70229599999999</v>
      </c>
      <c r="F24" s="27">
        <v>93.345458000000008</v>
      </c>
      <c r="G24" s="27">
        <v>70.257467000000005</v>
      </c>
      <c r="H24" s="27">
        <v>70.500645059999997</v>
      </c>
      <c r="I24" s="27">
        <v>93.968531999999996</v>
      </c>
      <c r="J24" s="27">
        <v>67.21094626</v>
      </c>
      <c r="K24" s="191"/>
      <c r="L24" s="191"/>
      <c r="M24" s="191"/>
      <c r="N24" s="191"/>
      <c r="O24" s="185"/>
      <c r="P24" s="80" t="e">
        <f t="shared" si="7"/>
        <v>#DIV/0!</v>
      </c>
      <c r="Q24" s="198" t="e">
        <f t="shared" si="7"/>
        <v>#DIV/0!</v>
      </c>
      <c r="R24" s="81">
        <f t="shared" si="1"/>
        <v>-100</v>
      </c>
      <c r="S24" s="202" t="e">
        <f t="shared" si="1"/>
        <v>#DIV/0!</v>
      </c>
      <c r="T24" s="31" t="s">
        <v>92</v>
      </c>
    </row>
    <row r="25" spans="1:20" s="21" customFormat="1" ht="15">
      <c r="A25" s="77" t="s">
        <v>93</v>
      </c>
      <c r="B25" s="78">
        <v>172.2</v>
      </c>
      <c r="C25" s="78">
        <v>837.8</v>
      </c>
      <c r="D25" s="78">
        <v>106.089237</v>
      </c>
      <c r="E25" s="78">
        <v>120.04688899999999</v>
      </c>
      <c r="F25" s="27">
        <v>471.08129199999996</v>
      </c>
      <c r="G25" s="27">
        <v>607.73237199999994</v>
      </c>
      <c r="H25" s="27">
        <v>404.45810542000004</v>
      </c>
      <c r="I25" s="27">
        <v>735.60389299999997</v>
      </c>
      <c r="J25" s="27">
        <v>846.79535526999996</v>
      </c>
      <c r="K25" s="191"/>
      <c r="L25" s="191"/>
      <c r="M25" s="191"/>
      <c r="N25" s="191"/>
      <c r="O25" s="185"/>
      <c r="P25" s="80" t="e">
        <f t="shared" si="7"/>
        <v>#DIV/0!</v>
      </c>
      <c r="Q25" s="198" t="e">
        <f t="shared" si="7"/>
        <v>#DIV/0!</v>
      </c>
      <c r="R25" s="81">
        <f t="shared" si="1"/>
        <v>-100</v>
      </c>
      <c r="S25" s="202" t="e">
        <f t="shared" si="1"/>
        <v>#DIV/0!</v>
      </c>
      <c r="T25" s="31" t="s">
        <v>94</v>
      </c>
    </row>
    <row r="26" spans="1:20" s="21" customFormat="1" ht="15">
      <c r="A26" s="77" t="s">
        <v>95</v>
      </c>
      <c r="B26" s="78">
        <v>88.9</v>
      </c>
      <c r="C26" s="78">
        <v>35.700000000000003</v>
      </c>
      <c r="D26" s="78">
        <v>62.029623999999998</v>
      </c>
      <c r="E26" s="78">
        <v>43.271078000000003</v>
      </c>
      <c r="F26" s="27">
        <v>59.675843</v>
      </c>
      <c r="G26" s="27">
        <v>66.77496099999999</v>
      </c>
      <c r="H26" s="27">
        <v>31.982870659999989</v>
      </c>
      <c r="I26" s="27">
        <v>75.050148000000007</v>
      </c>
      <c r="J26" s="27">
        <v>52.374541500000007</v>
      </c>
      <c r="K26" s="191"/>
      <c r="L26" s="191"/>
      <c r="M26" s="191"/>
      <c r="N26" s="191"/>
      <c r="O26" s="185"/>
      <c r="P26" s="80" t="e">
        <f t="shared" si="7"/>
        <v>#DIV/0!</v>
      </c>
      <c r="Q26" s="198" t="e">
        <f t="shared" si="7"/>
        <v>#DIV/0!</v>
      </c>
      <c r="R26" s="81">
        <f t="shared" si="1"/>
        <v>-100</v>
      </c>
      <c r="S26" s="202" t="e">
        <f t="shared" si="1"/>
        <v>#DIV/0!</v>
      </c>
      <c r="T26" s="31" t="s">
        <v>96</v>
      </c>
    </row>
    <row r="27" spans="1:20" s="20" customFormat="1" ht="15">
      <c r="A27" s="77" t="s">
        <v>97</v>
      </c>
      <c r="B27" s="78">
        <v>108.2</v>
      </c>
      <c r="C27" s="78">
        <v>93.3</v>
      </c>
      <c r="D27" s="78">
        <v>78.466514000000004</v>
      </c>
      <c r="E27" s="78">
        <v>46.860301</v>
      </c>
      <c r="F27" s="27">
        <v>33.749803</v>
      </c>
      <c r="G27" s="27">
        <v>52.519985999999996</v>
      </c>
      <c r="H27" s="27">
        <v>33.124519409999998</v>
      </c>
      <c r="I27" s="27">
        <v>49.642775</v>
      </c>
      <c r="J27" s="27">
        <v>103.70914999999999</v>
      </c>
      <c r="K27" s="191"/>
      <c r="L27" s="191"/>
      <c r="M27" s="191"/>
      <c r="N27" s="191"/>
      <c r="O27" s="185"/>
      <c r="P27" s="80" t="e">
        <f t="shared" si="7"/>
        <v>#DIV/0!</v>
      </c>
      <c r="Q27" s="198" t="e">
        <f t="shared" si="7"/>
        <v>#DIV/0!</v>
      </c>
      <c r="R27" s="81">
        <f t="shared" si="1"/>
        <v>-100</v>
      </c>
      <c r="S27" s="202" t="e">
        <f t="shared" si="1"/>
        <v>#DIV/0!</v>
      </c>
      <c r="T27" s="31" t="s">
        <v>98</v>
      </c>
    </row>
    <row r="28" spans="1:20" s="20" customFormat="1" ht="15">
      <c r="A28" s="77" t="s">
        <v>99</v>
      </c>
      <c r="B28" s="78">
        <v>42.8</v>
      </c>
      <c r="C28" s="78">
        <v>92.3</v>
      </c>
      <c r="D28" s="78">
        <v>505.93436100000002</v>
      </c>
      <c r="E28" s="78">
        <v>52.495815900000004</v>
      </c>
      <c r="F28" s="27">
        <v>80.384180000000001</v>
      </c>
      <c r="G28" s="27">
        <v>54.566487000000002</v>
      </c>
      <c r="H28" s="27">
        <v>168.21187463999996</v>
      </c>
      <c r="I28" s="27">
        <v>51.606206</v>
      </c>
      <c r="J28" s="27">
        <v>131.16637020000002</v>
      </c>
      <c r="K28" s="191"/>
      <c r="L28" s="191"/>
      <c r="M28" s="191"/>
      <c r="N28" s="191"/>
      <c r="O28" s="185"/>
      <c r="P28" s="80" t="e">
        <f t="shared" si="7"/>
        <v>#DIV/0!</v>
      </c>
      <c r="Q28" s="198" t="e">
        <f t="shared" si="7"/>
        <v>#DIV/0!</v>
      </c>
      <c r="R28" s="81">
        <f t="shared" si="1"/>
        <v>-100</v>
      </c>
      <c r="S28" s="202" t="e">
        <f t="shared" si="1"/>
        <v>#DIV/0!</v>
      </c>
      <c r="T28" s="31" t="s">
        <v>100</v>
      </c>
    </row>
    <row r="29" spans="1:20" s="21" customFormat="1" ht="15">
      <c r="A29" s="77" t="s">
        <v>101</v>
      </c>
      <c r="B29" s="78">
        <v>4.2</v>
      </c>
      <c r="C29" s="78">
        <v>12.2</v>
      </c>
      <c r="D29" s="78">
        <v>26.009882000000001</v>
      </c>
      <c r="E29" s="78">
        <v>31.063718000000001</v>
      </c>
      <c r="F29" s="27">
        <v>390.21938299999999</v>
      </c>
      <c r="G29" s="27">
        <v>19.486806000000001</v>
      </c>
      <c r="H29" s="27">
        <v>114.7713499</v>
      </c>
      <c r="I29" s="27">
        <v>92.887023999999997</v>
      </c>
      <c r="J29" s="27">
        <v>14.27351683</v>
      </c>
      <c r="K29" s="191"/>
      <c r="L29" s="191"/>
      <c r="M29" s="191"/>
      <c r="N29" s="191"/>
      <c r="O29" s="185"/>
      <c r="P29" s="80" t="e">
        <f t="shared" si="7"/>
        <v>#DIV/0!</v>
      </c>
      <c r="Q29" s="198" t="e">
        <f t="shared" si="7"/>
        <v>#DIV/0!</v>
      </c>
      <c r="R29" s="81">
        <f t="shared" si="1"/>
        <v>-100</v>
      </c>
      <c r="S29" s="202" t="e">
        <f t="shared" si="1"/>
        <v>#DIV/0!</v>
      </c>
      <c r="T29" s="31" t="s">
        <v>102</v>
      </c>
    </row>
    <row r="30" spans="1:20" s="20" customFormat="1" ht="15">
      <c r="A30" s="17" t="s">
        <v>103</v>
      </c>
      <c r="B30" s="75">
        <v>234.3</v>
      </c>
      <c r="C30" s="75">
        <v>279.99667199999999</v>
      </c>
      <c r="D30" s="75">
        <v>617.87877800000001</v>
      </c>
      <c r="E30" s="75">
        <v>662.05533700000001</v>
      </c>
      <c r="F30" s="10">
        <v>725.8</v>
      </c>
      <c r="G30" s="10">
        <v>1107.0812289999999</v>
      </c>
      <c r="H30" s="10">
        <v>956.72619699999996</v>
      </c>
      <c r="I30" s="10">
        <v>978.34736899999996</v>
      </c>
      <c r="J30" s="10">
        <v>1347.6498610000001</v>
      </c>
      <c r="K30" s="182"/>
      <c r="L30" s="182"/>
      <c r="M30" s="182"/>
      <c r="N30" s="182"/>
      <c r="O30" s="190"/>
      <c r="P30" s="76" t="e">
        <f t="shared" si="7"/>
        <v>#DIV/0!</v>
      </c>
      <c r="Q30" s="197" t="e">
        <f t="shared" si="7"/>
        <v>#DIV/0!</v>
      </c>
      <c r="R30" s="74">
        <f t="shared" si="1"/>
        <v>-100</v>
      </c>
      <c r="S30" s="201" t="e">
        <f t="shared" si="1"/>
        <v>#DIV/0!</v>
      </c>
      <c r="T30" s="42" t="s">
        <v>104</v>
      </c>
    </row>
    <row r="31" spans="1:20" s="20" customFormat="1" ht="15">
      <c r="A31" s="17" t="s">
        <v>12</v>
      </c>
      <c r="B31" s="75">
        <v>-124.5</v>
      </c>
      <c r="C31" s="75">
        <v>-166.4</v>
      </c>
      <c r="D31" s="75">
        <v>-150.836333</v>
      </c>
      <c r="E31" s="75">
        <v>-181.3</v>
      </c>
      <c r="F31" s="10">
        <v>-399</v>
      </c>
      <c r="G31" s="10">
        <v>-90.231635999999995</v>
      </c>
      <c r="H31" s="10">
        <v>-135.485007</v>
      </c>
      <c r="I31" s="10">
        <v>-122.16204999999999</v>
      </c>
      <c r="J31" s="10">
        <v>-104.018246</v>
      </c>
      <c r="K31" s="182"/>
      <c r="L31" s="182"/>
      <c r="M31" s="182"/>
      <c r="N31" s="182"/>
      <c r="O31" s="190"/>
      <c r="P31" s="76" t="e">
        <f t="shared" si="7"/>
        <v>#DIV/0!</v>
      </c>
      <c r="Q31" s="197" t="e">
        <f t="shared" si="7"/>
        <v>#DIV/0!</v>
      </c>
      <c r="R31" s="74">
        <f t="shared" si="1"/>
        <v>-100</v>
      </c>
      <c r="S31" s="201" t="e">
        <f t="shared" si="1"/>
        <v>#DIV/0!</v>
      </c>
      <c r="T31" s="42" t="s">
        <v>13</v>
      </c>
    </row>
    <row r="32" spans="1:20" s="21" customFormat="1" ht="15">
      <c r="A32" s="77" t="s">
        <v>57</v>
      </c>
      <c r="B32" s="85"/>
      <c r="C32" s="85"/>
      <c r="D32" s="85"/>
      <c r="E32" s="85"/>
      <c r="F32" s="19"/>
      <c r="G32" s="10"/>
      <c r="H32" s="10"/>
      <c r="I32" s="10"/>
      <c r="J32" s="10"/>
      <c r="K32" s="182"/>
      <c r="L32" s="182"/>
      <c r="M32" s="182"/>
      <c r="N32" s="182"/>
      <c r="O32" s="190"/>
      <c r="P32" s="76"/>
      <c r="Q32" s="197"/>
      <c r="R32" s="81"/>
      <c r="S32" s="202"/>
      <c r="T32" s="31" t="s">
        <v>58</v>
      </c>
    </row>
    <row r="33" spans="1:20" ht="17.25">
      <c r="A33" s="86" t="s">
        <v>105</v>
      </c>
      <c r="B33" s="87">
        <v>1007.8</v>
      </c>
      <c r="C33" s="87">
        <v>390.30930799999999</v>
      </c>
      <c r="D33" s="88">
        <v>584.5</v>
      </c>
      <c r="E33" s="88">
        <v>877.1</v>
      </c>
      <c r="F33" s="89">
        <v>987.6</v>
      </c>
      <c r="G33" s="89">
        <v>1145.8582073000002</v>
      </c>
      <c r="H33" s="89">
        <v>1187.19235</v>
      </c>
      <c r="I33" s="89">
        <v>188.39416600000001</v>
      </c>
      <c r="J33" s="89">
        <v>635.05139099999997</v>
      </c>
      <c r="K33" s="192"/>
      <c r="L33" s="192"/>
      <c r="M33" s="192"/>
      <c r="N33" s="192"/>
      <c r="O33" s="184"/>
      <c r="P33" s="90" t="e">
        <f t="shared" si="7"/>
        <v>#DIV/0!</v>
      </c>
      <c r="Q33" s="199" t="e">
        <f t="shared" si="7"/>
        <v>#DIV/0!</v>
      </c>
      <c r="R33" s="91">
        <f>+((K33/J33)-1)*100</f>
        <v>-100</v>
      </c>
      <c r="S33" s="204" t="e">
        <f>+((L33/K33)-1)*100</f>
        <v>#DIV/0!</v>
      </c>
      <c r="T33" s="92" t="s">
        <v>106</v>
      </c>
    </row>
    <row r="34" spans="1:20" ht="15">
      <c r="A34" s="22" t="s">
        <v>14</v>
      </c>
      <c r="B34" s="93"/>
      <c r="C34" s="93"/>
      <c r="D34" s="93"/>
      <c r="E34" s="93"/>
      <c r="F34" s="93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31" t="s">
        <v>15</v>
      </c>
    </row>
    <row r="35" spans="1:20" s="178" customFormat="1" ht="11.25">
      <c r="A35" s="174" t="s">
        <v>211</v>
      </c>
      <c r="B35" s="175"/>
      <c r="C35" s="175"/>
      <c r="D35" s="175"/>
      <c r="E35" s="175"/>
      <c r="F35" s="175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7"/>
    </row>
    <row r="36" spans="1:20"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</row>
    <row r="37" spans="1:20">
      <c r="B37" s="96"/>
      <c r="C37" s="96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</row>
    <row r="38" spans="1:20">
      <c r="B38" s="97"/>
      <c r="C38" s="97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</row>
    <row r="39" spans="1:20"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</row>
    <row r="40" spans="1:20">
      <c r="P40" s="95"/>
      <c r="Q40" s="95"/>
    </row>
    <row r="41" spans="1:20">
      <c r="P41" s="95"/>
      <c r="Q41" s="95"/>
    </row>
    <row r="42" spans="1:20"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</row>
    <row r="43" spans="1:20"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</row>
    <row r="44" spans="1:20"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</row>
    <row r="45" spans="1:20"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</row>
    <row r="46" spans="1:20"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</row>
    <row r="47" spans="1:20"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</row>
    <row r="48" spans="1:20"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</row>
    <row r="49" spans="7:17"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</row>
    <row r="50" spans="7:17"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</row>
    <row r="51" spans="7:17"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</row>
    <row r="52" spans="7:17"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</row>
    <row r="53" spans="7:17"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</row>
    <row r="54" spans="7:17"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</row>
    <row r="55" spans="7:17"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</row>
    <row r="56" spans="7:17"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</row>
    <row r="57" spans="7:17"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</row>
    <row r="58" spans="7:17"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</row>
    <row r="59" spans="7:17"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</row>
    <row r="60" spans="7:17"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</row>
    <row r="61" spans="7:17"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</row>
    <row r="62" spans="7:17"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</row>
    <row r="63" spans="7:17"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</row>
    <row r="64" spans="7:17"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</row>
    <row r="65" spans="7:17"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</row>
    <row r="66" spans="7:17"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</row>
    <row r="67" spans="7:17"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</row>
    <row r="68" spans="7:17"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</row>
  </sheetData>
  <mergeCells count="9">
    <mergeCell ref="A1:T1"/>
    <mergeCell ref="A2:T2"/>
    <mergeCell ref="A3:T3"/>
    <mergeCell ref="A4:T4"/>
    <mergeCell ref="A5:A7"/>
    <mergeCell ref="L5:O5"/>
    <mergeCell ref="P5:Q5"/>
    <mergeCell ref="R5:S5"/>
    <mergeCell ref="R6:S6"/>
  </mergeCells>
  <pageMargins left="0.17" right="0.16" top="0.75" bottom="0.75" header="0.3" footer="0.3"/>
  <pageSetup paperSize="9" scale="80" orientation="landscape" horizontalDpi="4294967295" verticalDpi="4294967295" r:id="rId1"/>
  <ignoredErrors>
    <ignoredError sqref="R9:R20 R23:R33 G30:J30 G17:N17 G10:N10 P23:P33 P9:P20 G11:J11 G14:J15 G16:J16 G18:J22 G25:J29 G31:J33 G9:J9" unlockedFormula="1"/>
    <ignoredError sqref="G12:N12 G23:N23 G13:J13 G24:J24" formulaRange="1" unlockedFormula="1"/>
    <ignoredError sqref="R21:R22 P21:P22" formula="1" unlockedFormula="1"/>
    <ignoredError sqref="T21:T22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37"/>
  <sheetViews>
    <sheetView zoomScaleNormal="100" workbookViewId="0">
      <selection activeCell="L27" sqref="L27"/>
    </sheetView>
  </sheetViews>
  <sheetFormatPr defaultColWidth="8.85546875" defaultRowHeight="12"/>
  <cols>
    <col min="1" max="1" width="32.42578125" style="120" customWidth="1"/>
    <col min="2" max="3" width="0" style="148" hidden="1" customWidth="1"/>
    <col min="4" max="4" width="12.7109375" style="148" hidden="1" customWidth="1"/>
    <col min="5" max="7" width="8.85546875" style="148" hidden="1" customWidth="1"/>
    <col min="8" max="11" width="0" style="148" hidden="1" customWidth="1"/>
    <col min="12" max="14" width="8.85546875" style="148"/>
    <col min="15" max="19" width="9.28515625" style="148" customWidth="1"/>
    <col min="20" max="21" width="11.28515625" style="148" customWidth="1"/>
    <col min="22" max="23" width="11" style="149" customWidth="1"/>
    <col min="24" max="24" width="7.7109375" style="149" customWidth="1"/>
    <col min="25" max="25" width="43.42578125" style="120" customWidth="1"/>
    <col min="26" max="26" width="17.28515625" style="120" customWidth="1"/>
    <col min="27" max="16384" width="8.85546875" style="120"/>
  </cols>
  <sheetData>
    <row r="1" spans="1:27" ht="19.5">
      <c r="A1" s="292" t="s">
        <v>221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</row>
    <row r="2" spans="1:27" ht="12.75">
      <c r="A2" s="310" t="s">
        <v>222</v>
      </c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</row>
    <row r="3" spans="1:27" s="16" customFormat="1" ht="14.25">
      <c r="A3" s="311" t="s">
        <v>16</v>
      </c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</row>
    <row r="4" spans="1:27" s="16" customFormat="1" ht="12.75">
      <c r="A4" s="296" t="s">
        <v>114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296"/>
      <c r="U4" s="296"/>
      <c r="V4" s="296"/>
      <c r="W4" s="296"/>
      <c r="X4" s="296"/>
      <c r="Y4" s="296"/>
    </row>
    <row r="5" spans="1:27" s="16" customFormat="1" ht="17.25">
      <c r="A5" s="168"/>
      <c r="B5" s="121"/>
      <c r="C5" s="122"/>
      <c r="D5" s="123" t="s">
        <v>1</v>
      </c>
      <c r="E5" s="312" t="s">
        <v>6</v>
      </c>
      <c r="F5" s="312"/>
      <c r="G5" s="312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313" t="s">
        <v>155</v>
      </c>
      <c r="U5" s="314"/>
      <c r="V5" s="313" t="s">
        <v>110</v>
      </c>
      <c r="W5" s="315"/>
      <c r="X5" s="125"/>
      <c r="Y5" s="126"/>
    </row>
    <row r="6" spans="1:27" s="20" customFormat="1" ht="15" customHeight="1">
      <c r="A6" s="171" t="s">
        <v>0</v>
      </c>
      <c r="B6" s="127"/>
      <c r="C6" s="11"/>
      <c r="D6" s="11" t="s">
        <v>118</v>
      </c>
      <c r="E6" s="11" t="s">
        <v>4</v>
      </c>
      <c r="F6" s="11" t="s">
        <v>4</v>
      </c>
      <c r="G6" s="11" t="s">
        <v>4</v>
      </c>
      <c r="H6" s="11"/>
      <c r="I6" s="11"/>
      <c r="J6" s="11"/>
      <c r="K6" s="11" t="s">
        <v>3</v>
      </c>
      <c r="L6" s="11" t="s">
        <v>3</v>
      </c>
      <c r="M6" s="11" t="s">
        <v>3</v>
      </c>
      <c r="N6" s="13" t="s">
        <v>3</v>
      </c>
      <c r="O6" s="180" t="s">
        <v>3</v>
      </c>
      <c r="P6" s="180" t="s">
        <v>227</v>
      </c>
      <c r="Q6" s="180" t="s">
        <v>209</v>
      </c>
      <c r="R6" s="180" t="s">
        <v>209</v>
      </c>
      <c r="S6" s="180" t="s">
        <v>209</v>
      </c>
      <c r="T6" s="308" t="s">
        <v>119</v>
      </c>
      <c r="U6" s="309"/>
      <c r="V6" s="316" t="s">
        <v>65</v>
      </c>
      <c r="W6" s="317"/>
      <c r="X6" s="128"/>
      <c r="Y6" s="167" t="s">
        <v>2</v>
      </c>
    </row>
    <row r="7" spans="1:27" s="20" customFormat="1" ht="12.75">
      <c r="A7" s="172"/>
      <c r="B7" s="33">
        <v>2007</v>
      </c>
      <c r="C7" s="33">
        <v>2008</v>
      </c>
      <c r="D7" s="33">
        <v>2009</v>
      </c>
      <c r="E7" s="33">
        <v>2010</v>
      </c>
      <c r="F7" s="33">
        <v>2011</v>
      </c>
      <c r="G7" s="33">
        <v>2012</v>
      </c>
      <c r="H7" s="33">
        <v>2009</v>
      </c>
      <c r="I7" s="33">
        <v>2010</v>
      </c>
      <c r="J7" s="33">
        <v>2011</v>
      </c>
      <c r="K7" s="33">
        <v>2012</v>
      </c>
      <c r="L7" s="33">
        <v>2013</v>
      </c>
      <c r="M7" s="33">
        <v>2014</v>
      </c>
      <c r="N7" s="14">
        <v>2015</v>
      </c>
      <c r="O7" s="181">
        <v>2016</v>
      </c>
      <c r="P7" s="181">
        <v>2017</v>
      </c>
      <c r="Q7" s="181">
        <v>2018</v>
      </c>
      <c r="R7" s="181">
        <v>2019</v>
      </c>
      <c r="S7" s="181">
        <v>2020</v>
      </c>
      <c r="T7" s="208">
        <v>2016</v>
      </c>
      <c r="U7" s="215">
        <v>2017</v>
      </c>
      <c r="V7" s="207" t="s">
        <v>208</v>
      </c>
      <c r="W7" s="222" t="s">
        <v>223</v>
      </c>
      <c r="X7" s="129"/>
      <c r="Y7" s="130"/>
      <c r="Z7" s="32"/>
      <c r="AA7" s="32"/>
    </row>
    <row r="8" spans="1:27" s="20" customFormat="1" ht="15">
      <c r="A8" s="39" t="s">
        <v>10</v>
      </c>
      <c r="B8" s="131">
        <f t="shared" ref="B8:O8" si="0">SUM(B9,B14,B20,B27)</f>
        <v>6560.1</v>
      </c>
      <c r="C8" s="131">
        <f t="shared" si="0"/>
        <v>7463.2</v>
      </c>
      <c r="D8" s="131">
        <f t="shared" si="0"/>
        <v>7942.4</v>
      </c>
      <c r="E8" s="131">
        <f t="shared" si="0"/>
        <v>9115.1999999999989</v>
      </c>
      <c r="F8" s="131">
        <f t="shared" si="0"/>
        <v>8659.1</v>
      </c>
      <c r="G8" s="131">
        <f t="shared" si="0"/>
        <v>8744.8993789999986</v>
      </c>
      <c r="H8" s="131">
        <f t="shared" si="0"/>
        <v>8738.7354969999997</v>
      </c>
      <c r="I8" s="131">
        <f t="shared" si="0"/>
        <v>8369.1443089999993</v>
      </c>
      <c r="J8" s="131">
        <f t="shared" si="0"/>
        <v>9075.7587179999991</v>
      </c>
      <c r="K8" s="131">
        <f t="shared" si="0"/>
        <v>10316.485255000001</v>
      </c>
      <c r="L8" s="131">
        <f t="shared" si="0"/>
        <v>11573.21458545</v>
      </c>
      <c r="M8" s="131">
        <f t="shared" si="0"/>
        <v>13954.396592000001</v>
      </c>
      <c r="N8" s="131">
        <f t="shared" si="0"/>
        <v>16678.511400880001</v>
      </c>
      <c r="O8" s="214">
        <f t="shared" si="0"/>
        <v>0</v>
      </c>
      <c r="P8" s="214">
        <f t="shared" ref="P8:Q8" si="1">SUM(P9,P14,P20,P27)</f>
        <v>0</v>
      </c>
      <c r="Q8" s="214">
        <f t="shared" si="1"/>
        <v>0</v>
      </c>
      <c r="R8" s="214">
        <f t="shared" ref="R8:S8" si="2">SUM(R9,R14,R20,R27)</f>
        <v>0</v>
      </c>
      <c r="S8" s="214">
        <f t="shared" si="2"/>
        <v>0</v>
      </c>
      <c r="T8" s="209" t="e">
        <f>+(O8/$O$8)*100</f>
        <v>#DIV/0!</v>
      </c>
      <c r="U8" s="216" t="e">
        <f>+(P8/$O$8)*100</f>
        <v>#DIV/0!</v>
      </c>
      <c r="V8" s="132">
        <f t="shared" ref="V8:W27" si="3">+((O8/N8)-1)*100</f>
        <v>-100</v>
      </c>
      <c r="W8" s="219" t="e">
        <f t="shared" si="3"/>
        <v>#DIV/0!</v>
      </c>
      <c r="X8" s="132"/>
      <c r="Y8" s="42" t="s">
        <v>11</v>
      </c>
    </row>
    <row r="9" spans="1:27" s="20" customFormat="1" ht="15">
      <c r="A9" s="39" t="s">
        <v>120</v>
      </c>
      <c r="B9" s="131">
        <f t="shared" ref="B9:O9" si="4">SUM(B10:B13)</f>
        <v>2241.8999999999996</v>
      </c>
      <c r="C9" s="131">
        <f t="shared" si="4"/>
        <v>3209.7</v>
      </c>
      <c r="D9" s="131">
        <f t="shared" si="4"/>
        <v>3276.6</v>
      </c>
      <c r="E9" s="131">
        <f t="shared" si="4"/>
        <v>4021.9</v>
      </c>
      <c r="F9" s="131">
        <f t="shared" si="4"/>
        <v>3529.1</v>
      </c>
      <c r="G9" s="131">
        <f t="shared" si="4"/>
        <v>3593.374147</v>
      </c>
      <c r="H9" s="131">
        <f t="shared" si="4"/>
        <v>3519.7833220000007</v>
      </c>
      <c r="I9" s="131">
        <f t="shared" si="4"/>
        <v>3978.9039029999999</v>
      </c>
      <c r="J9" s="131">
        <f t="shared" si="4"/>
        <v>4596.1388089999991</v>
      </c>
      <c r="K9" s="131">
        <f t="shared" si="4"/>
        <v>4774.492886</v>
      </c>
      <c r="L9" s="131">
        <f t="shared" si="4"/>
        <v>4784.0412950399996</v>
      </c>
      <c r="M9" s="131">
        <f t="shared" si="4"/>
        <v>5537.7483140000004</v>
      </c>
      <c r="N9" s="131">
        <f t="shared" si="4"/>
        <v>6243.3481799699994</v>
      </c>
      <c r="O9" s="214">
        <f t="shared" si="4"/>
        <v>0</v>
      </c>
      <c r="P9" s="214">
        <f t="shared" ref="P9:Q9" si="5">SUM(P10:P13)</f>
        <v>0</v>
      </c>
      <c r="Q9" s="214">
        <f t="shared" si="5"/>
        <v>0</v>
      </c>
      <c r="R9" s="214">
        <f t="shared" ref="R9:S9" si="6">SUM(R10:R13)</f>
        <v>0</v>
      </c>
      <c r="S9" s="214">
        <f t="shared" si="6"/>
        <v>0</v>
      </c>
      <c r="T9" s="209" t="e">
        <f t="shared" ref="T9:U27" si="7">+(O9/$O$8)*100</f>
        <v>#DIV/0!</v>
      </c>
      <c r="U9" s="216" t="e">
        <f t="shared" si="7"/>
        <v>#DIV/0!</v>
      </c>
      <c r="V9" s="132">
        <f t="shared" si="3"/>
        <v>-100</v>
      </c>
      <c r="W9" s="219" t="e">
        <f t="shared" si="3"/>
        <v>#DIV/0!</v>
      </c>
      <c r="X9" s="132"/>
      <c r="Y9" s="42" t="s">
        <v>121</v>
      </c>
    </row>
    <row r="10" spans="1:27" s="21" customFormat="1" ht="15">
      <c r="A10" s="43" t="s">
        <v>122</v>
      </c>
      <c r="B10" s="170">
        <v>1141.8</v>
      </c>
      <c r="C10" s="53">
        <v>1743.5</v>
      </c>
      <c r="D10" s="53">
        <v>1620.1</v>
      </c>
      <c r="E10" s="53">
        <v>2323.1</v>
      </c>
      <c r="F10" s="53">
        <v>1785</v>
      </c>
      <c r="G10" s="53">
        <v>1807.6922320000001</v>
      </c>
      <c r="H10" s="53">
        <v>1640.2071530000007</v>
      </c>
      <c r="I10" s="53">
        <v>2160.2136339999997</v>
      </c>
      <c r="J10" s="53">
        <v>2490.5053929999999</v>
      </c>
      <c r="K10" s="53">
        <v>2464.698202</v>
      </c>
      <c r="L10" s="53">
        <v>2284.8721354499999</v>
      </c>
      <c r="M10" s="53">
        <v>2757.612995</v>
      </c>
      <c r="N10" s="53">
        <v>2566.7069908099998</v>
      </c>
      <c r="O10" s="212"/>
      <c r="P10" s="212"/>
      <c r="Q10" s="212"/>
      <c r="R10" s="212"/>
      <c r="S10" s="212"/>
      <c r="T10" s="210" t="e">
        <f t="shared" si="7"/>
        <v>#DIV/0!</v>
      </c>
      <c r="U10" s="217" t="e">
        <f t="shared" si="7"/>
        <v>#DIV/0!</v>
      </c>
      <c r="V10" s="133">
        <f t="shared" si="3"/>
        <v>-100</v>
      </c>
      <c r="W10" s="220" t="e">
        <f t="shared" si="3"/>
        <v>#DIV/0!</v>
      </c>
      <c r="X10" s="133"/>
      <c r="Y10" s="31" t="s">
        <v>123</v>
      </c>
    </row>
    <row r="11" spans="1:27" s="21" customFormat="1" ht="15">
      <c r="A11" s="43" t="s">
        <v>124</v>
      </c>
      <c r="B11" s="170">
        <v>404.6</v>
      </c>
      <c r="C11" s="53">
        <v>549.1</v>
      </c>
      <c r="D11" s="53">
        <v>593.9</v>
      </c>
      <c r="E11" s="53">
        <v>551.20000000000005</v>
      </c>
      <c r="F11" s="53">
        <v>611.5</v>
      </c>
      <c r="G11" s="53">
        <v>637.60149200000001</v>
      </c>
      <c r="H11" s="53">
        <v>712.88716299999999</v>
      </c>
      <c r="I11" s="53">
        <v>651.41233499999998</v>
      </c>
      <c r="J11" s="53">
        <v>774.11099200000001</v>
      </c>
      <c r="K11" s="53">
        <v>800.63111700000002</v>
      </c>
      <c r="L11" s="53">
        <v>794.20175268000003</v>
      </c>
      <c r="M11" s="53">
        <v>834.3948089999999</v>
      </c>
      <c r="N11" s="53">
        <v>1023.3242030399999</v>
      </c>
      <c r="O11" s="212"/>
      <c r="P11" s="212"/>
      <c r="Q11" s="212"/>
      <c r="R11" s="212"/>
      <c r="S11" s="212"/>
      <c r="T11" s="210" t="e">
        <f t="shared" si="7"/>
        <v>#DIV/0!</v>
      </c>
      <c r="U11" s="217" t="e">
        <f t="shared" si="7"/>
        <v>#DIV/0!</v>
      </c>
      <c r="V11" s="133">
        <f t="shared" si="3"/>
        <v>-100</v>
      </c>
      <c r="W11" s="220" t="e">
        <f t="shared" si="3"/>
        <v>#DIV/0!</v>
      </c>
      <c r="X11" s="133"/>
      <c r="Y11" s="31" t="s">
        <v>125</v>
      </c>
    </row>
    <row r="12" spans="1:27" s="21" customFormat="1" ht="15">
      <c r="A12" s="43" t="s">
        <v>126</v>
      </c>
      <c r="B12" s="134">
        <v>600.29999999999995</v>
      </c>
      <c r="C12" s="53">
        <v>833.4</v>
      </c>
      <c r="D12" s="53">
        <v>968.9</v>
      </c>
      <c r="E12" s="53">
        <v>1055.0999999999999</v>
      </c>
      <c r="F12" s="53">
        <v>1052.7</v>
      </c>
      <c r="G12" s="53">
        <v>1066.94895</v>
      </c>
      <c r="H12" s="53">
        <v>1097.180717</v>
      </c>
      <c r="I12" s="53">
        <v>1132.7824310000001</v>
      </c>
      <c r="J12" s="53">
        <v>1296.9194520000001</v>
      </c>
      <c r="K12" s="53">
        <v>1470.4859779999999</v>
      </c>
      <c r="L12" s="53">
        <v>1659.45558701</v>
      </c>
      <c r="M12" s="53">
        <v>1876.671333</v>
      </c>
      <c r="N12" s="53">
        <v>2512.6496932300001</v>
      </c>
      <c r="O12" s="212"/>
      <c r="P12" s="212"/>
      <c r="Q12" s="212"/>
      <c r="R12" s="212"/>
      <c r="S12" s="212"/>
      <c r="T12" s="210" t="e">
        <f t="shared" si="7"/>
        <v>#DIV/0!</v>
      </c>
      <c r="U12" s="217" t="e">
        <f t="shared" si="7"/>
        <v>#DIV/0!</v>
      </c>
      <c r="V12" s="133">
        <f t="shared" si="3"/>
        <v>-100</v>
      </c>
      <c r="W12" s="220" t="e">
        <f t="shared" si="3"/>
        <v>#DIV/0!</v>
      </c>
      <c r="X12" s="133"/>
      <c r="Y12" s="31" t="s">
        <v>127</v>
      </c>
    </row>
    <row r="13" spans="1:27" s="21" customFormat="1" ht="15">
      <c r="A13" s="43" t="s">
        <v>128</v>
      </c>
      <c r="B13" s="111">
        <v>95.2</v>
      </c>
      <c r="C13" s="53">
        <v>83.7</v>
      </c>
      <c r="D13" s="53">
        <v>93.7</v>
      </c>
      <c r="E13" s="53">
        <v>92.5</v>
      </c>
      <c r="F13" s="53">
        <v>79.900000000000006</v>
      </c>
      <c r="G13" s="53">
        <v>81.131473</v>
      </c>
      <c r="H13" s="53">
        <v>69.508289000000005</v>
      </c>
      <c r="I13" s="53">
        <v>34.495502999999999</v>
      </c>
      <c r="J13" s="53">
        <v>34.602972000000001</v>
      </c>
      <c r="K13" s="53">
        <v>38.677588999999998</v>
      </c>
      <c r="L13" s="53">
        <v>45.511819899999999</v>
      </c>
      <c r="M13" s="53">
        <v>69.069176999999996</v>
      </c>
      <c r="N13" s="53">
        <v>140.66729289</v>
      </c>
      <c r="O13" s="212"/>
      <c r="P13" s="212"/>
      <c r="Q13" s="212"/>
      <c r="R13" s="212"/>
      <c r="S13" s="212"/>
      <c r="T13" s="210" t="e">
        <f t="shared" si="7"/>
        <v>#DIV/0!</v>
      </c>
      <c r="U13" s="217" t="e">
        <f t="shared" si="7"/>
        <v>#DIV/0!</v>
      </c>
      <c r="V13" s="133">
        <f t="shared" si="3"/>
        <v>-100</v>
      </c>
      <c r="W13" s="220" t="e">
        <f t="shared" si="3"/>
        <v>#DIV/0!</v>
      </c>
      <c r="X13" s="133"/>
      <c r="Y13" s="31" t="s">
        <v>129</v>
      </c>
    </row>
    <row r="14" spans="1:27" s="20" customFormat="1" ht="15">
      <c r="A14" s="39" t="s">
        <v>130</v>
      </c>
      <c r="B14" s="131">
        <f t="shared" ref="B14:I14" si="8">SUM(B15:B18)</f>
        <v>3817.6</v>
      </c>
      <c r="C14" s="131">
        <f t="shared" si="8"/>
        <v>3679.5</v>
      </c>
      <c r="D14" s="131">
        <f t="shared" si="8"/>
        <v>4016.4</v>
      </c>
      <c r="E14" s="131">
        <f t="shared" si="8"/>
        <v>4170.5</v>
      </c>
      <c r="F14" s="131">
        <f t="shared" si="8"/>
        <v>4282.6000000000004</v>
      </c>
      <c r="G14" s="131">
        <f t="shared" si="8"/>
        <v>4413.3455789999998</v>
      </c>
      <c r="H14" s="131">
        <f t="shared" si="8"/>
        <v>4345.2921539999998</v>
      </c>
      <c r="I14" s="131">
        <f t="shared" si="8"/>
        <v>3462.622922</v>
      </c>
      <c r="J14" s="131">
        <f>SUM(J15:J19)</f>
        <v>3544.46576</v>
      </c>
      <c r="K14" s="131">
        <f t="shared" ref="K14:Q14" si="9">SUM(K15:K19)</f>
        <v>4225.7286190000004</v>
      </c>
      <c r="L14" s="131">
        <f t="shared" si="9"/>
        <v>5531.6275246499999</v>
      </c>
      <c r="M14" s="131">
        <f t="shared" si="9"/>
        <v>7089.9977030000009</v>
      </c>
      <c r="N14" s="131">
        <f t="shared" si="9"/>
        <v>8742.95622215</v>
      </c>
      <c r="O14" s="214">
        <f t="shared" si="9"/>
        <v>0</v>
      </c>
      <c r="P14" s="214">
        <f t="shared" si="9"/>
        <v>0</v>
      </c>
      <c r="Q14" s="214">
        <f t="shared" si="9"/>
        <v>0</v>
      </c>
      <c r="R14" s="214">
        <f t="shared" ref="R14:S14" si="10">SUM(R15:R19)</f>
        <v>0</v>
      </c>
      <c r="S14" s="214">
        <f t="shared" si="10"/>
        <v>0</v>
      </c>
      <c r="T14" s="209" t="e">
        <f t="shared" si="7"/>
        <v>#DIV/0!</v>
      </c>
      <c r="U14" s="216" t="e">
        <f t="shared" si="7"/>
        <v>#DIV/0!</v>
      </c>
      <c r="V14" s="132">
        <f t="shared" si="3"/>
        <v>-100</v>
      </c>
      <c r="W14" s="219" t="e">
        <f t="shared" si="3"/>
        <v>#DIV/0!</v>
      </c>
      <c r="X14" s="132"/>
      <c r="Y14" s="42" t="s">
        <v>131</v>
      </c>
    </row>
    <row r="15" spans="1:27" s="21" customFormat="1" ht="15">
      <c r="A15" s="43" t="s">
        <v>132</v>
      </c>
      <c r="B15" s="170">
        <v>1149.4000000000001</v>
      </c>
      <c r="C15" s="53">
        <v>1467.1</v>
      </c>
      <c r="D15" s="53">
        <v>1958.3</v>
      </c>
      <c r="E15" s="53">
        <v>1632</v>
      </c>
      <c r="F15" s="53">
        <v>1703.1</v>
      </c>
      <c r="G15" s="53">
        <v>1731.0649900000001</v>
      </c>
      <c r="H15" s="53">
        <v>1801.544161</v>
      </c>
      <c r="I15" s="53">
        <v>1588.6194419999999</v>
      </c>
      <c r="J15" s="53">
        <v>1701.1680309999999</v>
      </c>
      <c r="K15" s="135">
        <v>2095.118363</v>
      </c>
      <c r="L15" s="53">
        <v>1927.3062449400002</v>
      </c>
      <c r="M15" s="53">
        <v>2111.528174</v>
      </c>
      <c r="N15" s="53">
        <v>2660.2240680199998</v>
      </c>
      <c r="O15" s="212"/>
      <c r="P15" s="212"/>
      <c r="Q15" s="212"/>
      <c r="R15" s="212"/>
      <c r="S15" s="212"/>
      <c r="T15" s="210" t="e">
        <f t="shared" si="7"/>
        <v>#DIV/0!</v>
      </c>
      <c r="U15" s="217" t="e">
        <f t="shared" si="7"/>
        <v>#DIV/0!</v>
      </c>
      <c r="V15" s="133">
        <f t="shared" si="3"/>
        <v>-100</v>
      </c>
      <c r="W15" s="220" t="e">
        <f t="shared" si="3"/>
        <v>#DIV/0!</v>
      </c>
      <c r="X15" s="133"/>
      <c r="Y15" s="31" t="s">
        <v>133</v>
      </c>
    </row>
    <row r="16" spans="1:27" s="21" customFormat="1" ht="15">
      <c r="A16" s="43" t="s">
        <v>134</v>
      </c>
      <c r="B16" s="170">
        <v>682.3</v>
      </c>
      <c r="C16" s="53">
        <v>1037.3</v>
      </c>
      <c r="D16" s="53">
        <v>798.5</v>
      </c>
      <c r="E16" s="53">
        <v>875.1</v>
      </c>
      <c r="F16" s="53">
        <v>922.4</v>
      </c>
      <c r="G16" s="53">
        <v>966.45820000000003</v>
      </c>
      <c r="H16" s="53">
        <v>1327.7892979999999</v>
      </c>
      <c r="I16" s="53">
        <v>946.95926599999996</v>
      </c>
      <c r="J16" s="53">
        <v>356.75031100000001</v>
      </c>
      <c r="K16" s="53">
        <v>288.929912</v>
      </c>
      <c r="L16" s="53">
        <v>1369.90178399</v>
      </c>
      <c r="M16" s="53">
        <v>1723.199959</v>
      </c>
      <c r="N16" s="53">
        <v>2233.1620040500002</v>
      </c>
      <c r="O16" s="212"/>
      <c r="P16" s="212"/>
      <c r="Q16" s="212"/>
      <c r="R16" s="212"/>
      <c r="S16" s="212"/>
      <c r="T16" s="210" t="e">
        <f t="shared" si="7"/>
        <v>#DIV/0!</v>
      </c>
      <c r="U16" s="217" t="e">
        <f t="shared" si="7"/>
        <v>#DIV/0!</v>
      </c>
      <c r="V16" s="133">
        <f t="shared" si="3"/>
        <v>-100</v>
      </c>
      <c r="W16" s="220" t="e">
        <f t="shared" si="3"/>
        <v>#DIV/0!</v>
      </c>
      <c r="X16" s="133"/>
      <c r="Y16" s="31" t="s">
        <v>135</v>
      </c>
    </row>
    <row r="17" spans="1:25" s="21" customFormat="1" ht="15">
      <c r="A17" s="43" t="s">
        <v>136</v>
      </c>
      <c r="B17" s="170">
        <v>231.4</v>
      </c>
      <c r="C17" s="53">
        <v>638.4</v>
      </c>
      <c r="D17" s="53">
        <v>772.2</v>
      </c>
      <c r="E17" s="53">
        <v>1202</v>
      </c>
      <c r="F17" s="53">
        <v>1115.4000000000001</v>
      </c>
      <c r="G17" s="53">
        <v>1165.9169099999999</v>
      </c>
      <c r="H17" s="53">
        <v>463.99557299999998</v>
      </c>
      <c r="I17" s="53">
        <v>577.73113499999999</v>
      </c>
      <c r="J17" s="53">
        <v>1132.764089</v>
      </c>
      <c r="K17" s="53">
        <v>1577.597278</v>
      </c>
      <c r="L17" s="53">
        <v>1958.0622446499999</v>
      </c>
      <c r="M17" s="53">
        <v>2924.2179980000001</v>
      </c>
      <c r="N17" s="53">
        <v>3212.2614754400001</v>
      </c>
      <c r="O17" s="212"/>
      <c r="P17" s="212"/>
      <c r="Q17" s="212"/>
      <c r="R17" s="212"/>
      <c r="S17" s="212"/>
      <c r="T17" s="210" t="e">
        <f t="shared" si="7"/>
        <v>#DIV/0!</v>
      </c>
      <c r="U17" s="217" t="e">
        <f t="shared" si="7"/>
        <v>#DIV/0!</v>
      </c>
      <c r="V17" s="133">
        <f t="shared" si="3"/>
        <v>-100</v>
      </c>
      <c r="W17" s="220" t="e">
        <f t="shared" si="3"/>
        <v>#DIV/0!</v>
      </c>
      <c r="X17" s="133"/>
      <c r="Y17" s="31" t="s">
        <v>137</v>
      </c>
    </row>
    <row r="18" spans="1:25" s="21" customFormat="1" ht="15">
      <c r="A18" s="43" t="s">
        <v>138</v>
      </c>
      <c r="B18" s="170">
        <v>1754.5</v>
      </c>
      <c r="C18" s="53">
        <v>536.70000000000005</v>
      </c>
      <c r="D18" s="53">
        <v>487.4</v>
      </c>
      <c r="E18" s="53">
        <v>461.4</v>
      </c>
      <c r="F18" s="53">
        <v>541.70000000000005</v>
      </c>
      <c r="G18" s="53">
        <v>549.90547900000001</v>
      </c>
      <c r="H18" s="53">
        <v>751.963122</v>
      </c>
      <c r="I18" s="53">
        <v>349.31307900000002</v>
      </c>
      <c r="J18" s="53">
        <v>353.78332899999998</v>
      </c>
      <c r="K18" s="53">
        <v>264.08306599999997</v>
      </c>
      <c r="L18" s="53">
        <v>4.6041600000000003</v>
      </c>
      <c r="M18" s="53">
        <v>3.837771</v>
      </c>
      <c r="N18" s="53">
        <v>0</v>
      </c>
      <c r="O18" s="212"/>
      <c r="P18" s="212"/>
      <c r="Q18" s="212"/>
      <c r="R18" s="212"/>
      <c r="S18" s="212"/>
      <c r="T18" s="210" t="e">
        <f t="shared" si="7"/>
        <v>#DIV/0!</v>
      </c>
      <c r="U18" s="217" t="e">
        <f t="shared" si="7"/>
        <v>#DIV/0!</v>
      </c>
      <c r="V18" s="53" t="e">
        <f t="shared" ref="V18:W18" si="11">+(Q18/$O$8)*100</f>
        <v>#DIV/0!</v>
      </c>
      <c r="W18" s="212" t="e">
        <f t="shared" si="11"/>
        <v>#DIV/0!</v>
      </c>
      <c r="X18" s="133"/>
      <c r="Y18" s="31" t="s">
        <v>139</v>
      </c>
    </row>
    <row r="19" spans="1:25" s="21" customFormat="1" ht="17.25">
      <c r="A19" s="43" t="s">
        <v>199</v>
      </c>
      <c r="B19" s="170"/>
      <c r="C19" s="53"/>
      <c r="D19" s="53"/>
      <c r="E19" s="53"/>
      <c r="F19" s="53"/>
      <c r="G19" s="53"/>
      <c r="H19" s="53"/>
      <c r="I19" s="53"/>
      <c r="J19" s="50">
        <v>0</v>
      </c>
      <c r="K19" s="50">
        <v>0</v>
      </c>
      <c r="L19" s="53">
        <v>271.75309106999975</v>
      </c>
      <c r="M19" s="53">
        <v>327.21380099999999</v>
      </c>
      <c r="N19" s="53">
        <v>637.30867463999994</v>
      </c>
      <c r="O19" s="212"/>
      <c r="P19" s="212"/>
      <c r="Q19" s="212"/>
      <c r="R19" s="212"/>
      <c r="S19" s="212"/>
      <c r="T19" s="210" t="e">
        <f t="shared" si="7"/>
        <v>#DIV/0!</v>
      </c>
      <c r="U19" s="217" t="e">
        <f t="shared" si="7"/>
        <v>#DIV/0!</v>
      </c>
      <c r="V19" s="133">
        <f t="shared" si="3"/>
        <v>-100</v>
      </c>
      <c r="W19" s="220" t="e">
        <f t="shared" si="3"/>
        <v>#DIV/0!</v>
      </c>
      <c r="X19" s="133"/>
      <c r="Y19" s="113" t="s">
        <v>205</v>
      </c>
    </row>
    <row r="20" spans="1:25" s="20" customFormat="1" ht="15">
      <c r="A20" s="39" t="s">
        <v>140</v>
      </c>
      <c r="B20" s="131">
        <f t="shared" ref="B20:I20" si="12">SUM(B21:B25)</f>
        <v>266.3</v>
      </c>
      <c r="C20" s="131">
        <f t="shared" si="12"/>
        <v>293.99999999999994</v>
      </c>
      <c r="D20" s="131">
        <f t="shared" si="12"/>
        <v>309.5</v>
      </c>
      <c r="E20" s="131">
        <f t="shared" si="12"/>
        <v>330.00000000000006</v>
      </c>
      <c r="F20" s="131">
        <f t="shared" si="12"/>
        <v>292.89999999999998</v>
      </c>
      <c r="G20" s="131">
        <f t="shared" si="12"/>
        <v>304.13394399999993</v>
      </c>
      <c r="H20" s="131">
        <f t="shared" si="12"/>
        <v>255.78124300000002</v>
      </c>
      <c r="I20" s="131">
        <f t="shared" si="12"/>
        <v>265.56214700000004</v>
      </c>
      <c r="J20" s="131">
        <f>SUM(J21:J26)</f>
        <v>209.35414899999998</v>
      </c>
      <c r="K20" s="131">
        <f t="shared" ref="K20:Q20" si="13">SUM(K21:K26)</f>
        <v>209.18252100000001</v>
      </c>
      <c r="L20" s="131">
        <f t="shared" si="13"/>
        <v>300.81956875999992</v>
      </c>
      <c r="M20" s="131">
        <f t="shared" si="13"/>
        <v>348.30320599999999</v>
      </c>
      <c r="N20" s="131">
        <f t="shared" si="13"/>
        <v>344.55713775999999</v>
      </c>
      <c r="O20" s="214">
        <f t="shared" si="13"/>
        <v>0</v>
      </c>
      <c r="P20" s="214">
        <f t="shared" si="13"/>
        <v>0</v>
      </c>
      <c r="Q20" s="214">
        <f t="shared" si="13"/>
        <v>0</v>
      </c>
      <c r="R20" s="214">
        <f t="shared" ref="R20:S20" si="14">SUM(R21:R26)</f>
        <v>0</v>
      </c>
      <c r="S20" s="214">
        <f t="shared" si="14"/>
        <v>0</v>
      </c>
      <c r="T20" s="209" t="e">
        <f t="shared" si="7"/>
        <v>#DIV/0!</v>
      </c>
      <c r="U20" s="216" t="e">
        <f t="shared" si="7"/>
        <v>#DIV/0!</v>
      </c>
      <c r="V20" s="132">
        <f t="shared" si="3"/>
        <v>-100</v>
      </c>
      <c r="W20" s="219" t="e">
        <f t="shared" si="3"/>
        <v>#DIV/0!</v>
      </c>
      <c r="X20" s="132"/>
      <c r="Y20" s="42" t="s">
        <v>90</v>
      </c>
    </row>
    <row r="21" spans="1:25" s="21" customFormat="1" ht="15">
      <c r="A21" s="43" t="s">
        <v>141</v>
      </c>
      <c r="B21" s="170">
        <v>25.8</v>
      </c>
      <c r="C21" s="53">
        <v>30.1</v>
      </c>
      <c r="D21" s="53">
        <v>36.9</v>
      </c>
      <c r="E21" s="53">
        <v>61.7</v>
      </c>
      <c r="F21" s="53">
        <v>63.7</v>
      </c>
      <c r="G21" s="53">
        <v>56.472088999999997</v>
      </c>
      <c r="H21" s="53">
        <v>35.399478999999999</v>
      </c>
      <c r="I21" s="53">
        <v>108.925563</v>
      </c>
      <c r="J21" s="53">
        <v>59.694450000000003</v>
      </c>
      <c r="K21" s="53">
        <v>45.578457</v>
      </c>
      <c r="L21" s="53">
        <v>62.856177169999995</v>
      </c>
      <c r="M21" s="53">
        <v>77.722431999999998</v>
      </c>
      <c r="N21" s="53">
        <v>44.379290109999999</v>
      </c>
      <c r="O21" s="212"/>
      <c r="P21" s="212"/>
      <c r="Q21" s="212"/>
      <c r="R21" s="212"/>
      <c r="S21" s="212"/>
      <c r="T21" s="210" t="e">
        <f t="shared" si="7"/>
        <v>#DIV/0!</v>
      </c>
      <c r="U21" s="217" t="e">
        <f t="shared" si="7"/>
        <v>#DIV/0!</v>
      </c>
      <c r="V21" s="133">
        <f t="shared" si="3"/>
        <v>-100</v>
      </c>
      <c r="W21" s="220" t="e">
        <f t="shared" si="3"/>
        <v>#DIV/0!</v>
      </c>
      <c r="X21" s="133"/>
      <c r="Y21" s="136" t="s">
        <v>142</v>
      </c>
    </row>
    <row r="22" spans="1:25" s="21" customFormat="1" ht="15">
      <c r="A22" s="43" t="s">
        <v>143</v>
      </c>
      <c r="B22" s="170">
        <v>97.5</v>
      </c>
      <c r="C22" s="53">
        <v>145</v>
      </c>
      <c r="D22" s="53">
        <v>134</v>
      </c>
      <c r="E22" s="53">
        <v>176.9</v>
      </c>
      <c r="F22" s="53">
        <v>139.5</v>
      </c>
      <c r="G22" s="53">
        <v>154.75196</v>
      </c>
      <c r="H22" s="53">
        <v>95.280591000000001</v>
      </c>
      <c r="I22" s="53">
        <v>81.075993999999994</v>
      </c>
      <c r="J22" s="53">
        <v>78.940620999999993</v>
      </c>
      <c r="K22" s="53">
        <v>67.993539999999996</v>
      </c>
      <c r="L22" s="53">
        <v>35.804027499999997</v>
      </c>
      <c r="M22" s="53">
        <v>155.90539000000001</v>
      </c>
      <c r="N22" s="53">
        <v>71.299115999999998</v>
      </c>
      <c r="O22" s="212"/>
      <c r="P22" s="212"/>
      <c r="Q22" s="212"/>
      <c r="R22" s="212"/>
      <c r="S22" s="212"/>
      <c r="T22" s="210" t="e">
        <f t="shared" si="7"/>
        <v>#DIV/0!</v>
      </c>
      <c r="U22" s="217" t="e">
        <f t="shared" si="7"/>
        <v>#DIV/0!</v>
      </c>
      <c r="V22" s="133">
        <f t="shared" si="3"/>
        <v>-100</v>
      </c>
      <c r="W22" s="220" t="e">
        <f t="shared" si="3"/>
        <v>#DIV/0!</v>
      </c>
      <c r="X22" s="133"/>
      <c r="Y22" s="136" t="s">
        <v>144</v>
      </c>
    </row>
    <row r="23" spans="1:25" s="21" customFormat="1" ht="15">
      <c r="A23" s="43" t="s">
        <v>145</v>
      </c>
      <c r="B23" s="170">
        <v>16.899999999999999</v>
      </c>
      <c r="C23" s="53">
        <v>18.600000000000001</v>
      </c>
      <c r="D23" s="53">
        <v>32.700000000000003</v>
      </c>
      <c r="E23" s="53">
        <v>28.6</v>
      </c>
      <c r="F23" s="53">
        <v>33.5</v>
      </c>
      <c r="G23" s="53">
        <v>33.484577000000002</v>
      </c>
      <c r="H23" s="53">
        <v>29.27197</v>
      </c>
      <c r="I23" s="53">
        <v>17.173514000000001</v>
      </c>
      <c r="J23" s="53">
        <v>20.235569000000002</v>
      </c>
      <c r="K23" s="53">
        <v>27.574041999999999</v>
      </c>
      <c r="L23" s="53">
        <v>26.957459039999989</v>
      </c>
      <c r="M23" s="53">
        <v>32.610194</v>
      </c>
      <c r="N23" s="53">
        <v>31.466308000000001</v>
      </c>
      <c r="O23" s="212"/>
      <c r="P23" s="212"/>
      <c r="Q23" s="212"/>
      <c r="R23" s="212"/>
      <c r="S23" s="212"/>
      <c r="T23" s="210" t="e">
        <f t="shared" si="7"/>
        <v>#DIV/0!</v>
      </c>
      <c r="U23" s="217" t="e">
        <f t="shared" si="7"/>
        <v>#DIV/0!</v>
      </c>
      <c r="V23" s="133">
        <f t="shared" si="3"/>
        <v>-100</v>
      </c>
      <c r="W23" s="220" t="e">
        <f t="shared" si="3"/>
        <v>#DIV/0!</v>
      </c>
      <c r="X23" s="133"/>
      <c r="Y23" s="136" t="s">
        <v>146</v>
      </c>
    </row>
    <row r="24" spans="1:25" s="21" customFormat="1" ht="15">
      <c r="A24" s="52" t="s">
        <v>147</v>
      </c>
      <c r="B24" s="170">
        <v>107.8</v>
      </c>
      <c r="C24" s="53">
        <v>80.099999999999994</v>
      </c>
      <c r="D24" s="53">
        <v>87.7</v>
      </c>
      <c r="E24" s="53">
        <v>48.5</v>
      </c>
      <c r="F24" s="53">
        <v>38.9</v>
      </c>
      <c r="G24" s="53">
        <v>42.022793999999998</v>
      </c>
      <c r="H24" s="53">
        <v>78.335824000000002</v>
      </c>
      <c r="I24" s="53">
        <v>43.838565000000003</v>
      </c>
      <c r="J24" s="53">
        <v>33.652334000000003</v>
      </c>
      <c r="K24" s="53">
        <v>52.352131999999997</v>
      </c>
      <c r="L24" s="53">
        <v>33.053981409999999</v>
      </c>
      <c r="M24" s="53">
        <v>48.876987999999997</v>
      </c>
      <c r="N24" s="53">
        <v>103.028464</v>
      </c>
      <c r="O24" s="212"/>
      <c r="P24" s="212"/>
      <c r="Q24" s="212"/>
      <c r="R24" s="212"/>
      <c r="S24" s="212"/>
      <c r="T24" s="210" t="e">
        <f t="shared" si="7"/>
        <v>#DIV/0!</v>
      </c>
      <c r="U24" s="217" t="e">
        <f t="shared" si="7"/>
        <v>#DIV/0!</v>
      </c>
      <c r="V24" s="133">
        <f t="shared" si="3"/>
        <v>-100</v>
      </c>
      <c r="W24" s="220" t="e">
        <f t="shared" si="3"/>
        <v>#DIV/0!</v>
      </c>
      <c r="X24" s="133"/>
      <c r="Y24" s="136" t="s">
        <v>148</v>
      </c>
    </row>
    <row r="25" spans="1:25" s="21" customFormat="1" ht="15">
      <c r="A25" s="52" t="s">
        <v>149</v>
      </c>
      <c r="B25" s="170">
        <v>18.3</v>
      </c>
      <c r="C25" s="53">
        <v>20.2</v>
      </c>
      <c r="D25" s="53">
        <v>18.2</v>
      </c>
      <c r="E25" s="53">
        <v>14.3</v>
      </c>
      <c r="F25" s="53">
        <v>17.3</v>
      </c>
      <c r="G25" s="53">
        <v>17.402524</v>
      </c>
      <c r="H25" s="53">
        <v>17.493379000000001</v>
      </c>
      <c r="I25" s="53">
        <v>14.548511</v>
      </c>
      <c r="J25" s="53">
        <v>16.831175000000002</v>
      </c>
      <c r="K25" s="53">
        <v>15.68435</v>
      </c>
      <c r="L25" s="53">
        <v>140.28595263999998</v>
      </c>
      <c r="M25" s="53">
        <v>31.397749000000001</v>
      </c>
      <c r="N25" s="53">
        <v>92.426890650000004</v>
      </c>
      <c r="O25" s="212"/>
      <c r="P25" s="212"/>
      <c r="Q25" s="212"/>
      <c r="R25" s="212"/>
      <c r="S25" s="212"/>
      <c r="T25" s="210" t="e">
        <f t="shared" si="7"/>
        <v>#DIV/0!</v>
      </c>
      <c r="U25" s="217" t="e">
        <f t="shared" si="7"/>
        <v>#DIV/0!</v>
      </c>
      <c r="V25" s="133">
        <f t="shared" si="3"/>
        <v>-100</v>
      </c>
      <c r="W25" s="220" t="e">
        <f t="shared" si="3"/>
        <v>#DIV/0!</v>
      </c>
      <c r="X25" s="133"/>
      <c r="Y25" s="137" t="s">
        <v>150</v>
      </c>
    </row>
    <row r="26" spans="1:25" s="21" customFormat="1" ht="15">
      <c r="A26" s="52" t="s">
        <v>200</v>
      </c>
      <c r="B26" s="170"/>
      <c r="C26" s="53"/>
      <c r="D26" s="53"/>
      <c r="E26" s="53"/>
      <c r="F26" s="53"/>
      <c r="G26" s="53"/>
      <c r="H26" s="53"/>
      <c r="I26" s="53"/>
      <c r="J26" s="53">
        <v>0</v>
      </c>
      <c r="K26" s="53">
        <v>0</v>
      </c>
      <c r="L26" s="53">
        <v>1.861971</v>
      </c>
      <c r="M26" s="53">
        <v>1.7904530000000001</v>
      </c>
      <c r="N26" s="53">
        <v>1.9570689999999999</v>
      </c>
      <c r="O26" s="212"/>
      <c r="P26" s="212"/>
      <c r="Q26" s="212"/>
      <c r="R26" s="212"/>
      <c r="S26" s="212"/>
      <c r="T26" s="210" t="e">
        <f t="shared" si="7"/>
        <v>#DIV/0!</v>
      </c>
      <c r="U26" s="217" t="e">
        <f t="shared" si="7"/>
        <v>#DIV/0!</v>
      </c>
      <c r="V26" s="133">
        <f t="shared" si="3"/>
        <v>-100</v>
      </c>
      <c r="W26" s="220" t="e">
        <f t="shared" si="3"/>
        <v>#DIV/0!</v>
      </c>
      <c r="X26" s="133"/>
      <c r="Y26" s="137"/>
    </row>
    <row r="27" spans="1:25" s="20" customFormat="1" ht="15">
      <c r="A27" s="172" t="s">
        <v>151</v>
      </c>
      <c r="B27" s="55">
        <v>234.3</v>
      </c>
      <c r="C27" s="138">
        <v>280</v>
      </c>
      <c r="D27" s="138">
        <v>339.9</v>
      </c>
      <c r="E27" s="138">
        <v>592.79999999999995</v>
      </c>
      <c r="F27" s="138">
        <v>554.5</v>
      </c>
      <c r="G27" s="138">
        <v>434.04570899999999</v>
      </c>
      <c r="H27" s="138">
        <v>617.87877800000001</v>
      </c>
      <c r="I27" s="138">
        <v>662.05533700000001</v>
      </c>
      <c r="J27" s="138">
        <v>725.8</v>
      </c>
      <c r="K27" s="138">
        <v>1107.0812289999999</v>
      </c>
      <c r="L27" s="138">
        <v>956.72619699999996</v>
      </c>
      <c r="M27" s="138">
        <v>978.34736899999996</v>
      </c>
      <c r="N27" s="138">
        <v>1347.6498610000001</v>
      </c>
      <c r="O27" s="213"/>
      <c r="P27" s="213"/>
      <c r="Q27" s="213"/>
      <c r="R27" s="213"/>
      <c r="S27" s="213"/>
      <c r="T27" s="211" t="e">
        <f t="shared" si="7"/>
        <v>#DIV/0!</v>
      </c>
      <c r="U27" s="218" t="e">
        <f t="shared" si="7"/>
        <v>#DIV/0!</v>
      </c>
      <c r="V27" s="139">
        <f t="shared" si="3"/>
        <v>-100</v>
      </c>
      <c r="W27" s="221" t="e">
        <f t="shared" si="3"/>
        <v>#DIV/0!</v>
      </c>
      <c r="X27" s="139"/>
      <c r="Y27" s="140" t="s">
        <v>152</v>
      </c>
    </row>
    <row r="28" spans="1:25" s="21" customFormat="1" ht="15">
      <c r="A28" s="22" t="s">
        <v>14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4"/>
      <c r="W28" s="94"/>
      <c r="X28" s="94"/>
      <c r="Y28" s="31" t="s">
        <v>15</v>
      </c>
    </row>
    <row r="29" spans="1:25" s="21" customFormat="1" ht="15">
      <c r="A29" s="22" t="s">
        <v>153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4"/>
      <c r="W29" s="94"/>
      <c r="X29" s="94"/>
      <c r="Y29" s="31" t="s">
        <v>154</v>
      </c>
    </row>
    <row r="30" spans="1:25" s="21" customFormat="1">
      <c r="A30" s="22"/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41"/>
      <c r="W30" s="141"/>
      <c r="X30" s="141"/>
    </row>
    <row r="31" spans="1:25" s="145" customFormat="1" ht="12.75">
      <c r="A31" s="142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4"/>
      <c r="W31" s="144"/>
      <c r="X31" s="144"/>
    </row>
    <row r="32" spans="1:25" s="145" customFormat="1" ht="12.75">
      <c r="A32" s="142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4"/>
      <c r="W32" s="144"/>
      <c r="X32" s="144"/>
    </row>
    <row r="33" spans="1:24" s="145" customFormat="1" ht="12.75">
      <c r="A33" s="142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4"/>
      <c r="W33" s="144"/>
      <c r="X33" s="144"/>
    </row>
    <row r="34" spans="1:24" s="145" customFormat="1" ht="12.75">
      <c r="A34" s="142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4"/>
      <c r="W34" s="144"/>
      <c r="X34" s="144"/>
    </row>
    <row r="35" spans="1:24" s="145" customFormat="1" ht="12.75">
      <c r="A35" s="142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4"/>
      <c r="W35" s="144"/>
      <c r="X35" s="144"/>
    </row>
    <row r="36" spans="1:24" s="145" customFormat="1" ht="12.75">
      <c r="A36" s="142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4"/>
      <c r="W36" s="144"/>
      <c r="X36" s="144"/>
    </row>
    <row r="37" spans="1:24" s="145" customFormat="1"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7"/>
      <c r="W37" s="147"/>
      <c r="X37" s="147"/>
    </row>
  </sheetData>
  <mergeCells count="9">
    <mergeCell ref="T6:U6"/>
    <mergeCell ref="A1:Y1"/>
    <mergeCell ref="A2:Y2"/>
    <mergeCell ref="A3:Y3"/>
    <mergeCell ref="A4:Y4"/>
    <mergeCell ref="E5:G5"/>
    <mergeCell ref="T5:U5"/>
    <mergeCell ref="V5:W5"/>
    <mergeCell ref="V6:W6"/>
  </mergeCells>
  <pageMargins left="0.17" right="0.16" top="0.75" bottom="0.75" header="0.3" footer="0.3"/>
  <pageSetup paperSize="9" scale="75" orientation="landscape" horizontalDpi="4294967295" verticalDpi="4294967295" r:id="rId1"/>
  <colBreaks count="1" manualBreakCount="1">
    <brk id="2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35"/>
  <sheetViews>
    <sheetView zoomScaleNormal="100" workbookViewId="0">
      <selection activeCell="L27" sqref="L27"/>
    </sheetView>
  </sheetViews>
  <sheetFormatPr defaultColWidth="8.85546875" defaultRowHeight="12.75"/>
  <cols>
    <col min="1" max="1" width="29.140625" style="15" customWidth="1"/>
    <col min="2" max="11" width="8.85546875" style="25" hidden="1" customWidth="1"/>
    <col min="12" max="12" width="8.85546875" style="25"/>
    <col min="13" max="13" width="10.140625" style="25" customWidth="1"/>
    <col min="14" max="14" width="11.5703125" style="25" customWidth="1"/>
    <col min="15" max="19" width="8.85546875" style="25"/>
    <col min="20" max="21" width="10.28515625" style="25" customWidth="1"/>
    <col min="22" max="22" width="1.28515625" style="25" customWidth="1"/>
    <col min="23" max="24" width="12.5703125" style="25" customWidth="1"/>
    <col min="25" max="25" width="3.85546875" style="25" customWidth="1"/>
    <col min="26" max="26" width="42" style="15" customWidth="1"/>
    <col min="27" max="16384" width="8.85546875" style="15"/>
  </cols>
  <sheetData>
    <row r="1" spans="1:26" ht="19.5">
      <c r="A1" s="292" t="s">
        <v>224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</row>
    <row r="2" spans="1:26">
      <c r="A2" s="310" t="s">
        <v>225</v>
      </c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</row>
    <row r="3" spans="1:26" ht="14.25">
      <c r="A3" s="311" t="s">
        <v>16</v>
      </c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</row>
    <row r="4" spans="1:26" s="16" customFormat="1">
      <c r="A4" s="296" t="s">
        <v>114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296"/>
      <c r="U4" s="296"/>
      <c r="V4" s="296"/>
      <c r="W4" s="296"/>
      <c r="X4" s="296"/>
      <c r="Y4" s="296"/>
      <c r="Z4" s="296"/>
    </row>
    <row r="5" spans="1:26" s="16" customFormat="1" ht="18.75">
      <c r="A5" s="173"/>
      <c r="B5" s="173"/>
      <c r="D5" s="98" t="s">
        <v>1</v>
      </c>
      <c r="E5" s="323" t="s">
        <v>6</v>
      </c>
      <c r="F5" s="323"/>
      <c r="G5" s="323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321" t="s">
        <v>155</v>
      </c>
      <c r="U5" s="322"/>
      <c r="V5" s="100"/>
      <c r="W5" s="324" t="s">
        <v>110</v>
      </c>
      <c r="X5" s="324"/>
      <c r="Y5" s="153"/>
    </row>
    <row r="6" spans="1:26" s="32" customFormat="1" ht="15">
      <c r="A6" s="101" t="s">
        <v>0</v>
      </c>
      <c r="D6" s="66" t="s">
        <v>156</v>
      </c>
      <c r="E6" s="102" t="s">
        <v>4</v>
      </c>
      <c r="F6" s="102" t="s">
        <v>4</v>
      </c>
      <c r="G6" s="102" t="s">
        <v>4</v>
      </c>
      <c r="H6" s="102"/>
      <c r="I6" s="102"/>
      <c r="J6" s="102"/>
      <c r="K6" s="102" t="s">
        <v>3</v>
      </c>
      <c r="L6" s="102" t="s">
        <v>3</v>
      </c>
      <c r="M6" s="102" t="s">
        <v>3</v>
      </c>
      <c r="N6" s="13" t="s">
        <v>3</v>
      </c>
      <c r="O6" s="180" t="s">
        <v>3</v>
      </c>
      <c r="P6" s="180" t="s">
        <v>227</v>
      </c>
      <c r="Q6" s="180" t="s">
        <v>209</v>
      </c>
      <c r="R6" s="180" t="s">
        <v>209</v>
      </c>
      <c r="S6" s="180" t="s">
        <v>209</v>
      </c>
      <c r="T6" s="319" t="s">
        <v>119</v>
      </c>
      <c r="U6" s="320"/>
      <c r="V6" s="150"/>
      <c r="W6" s="318" t="s">
        <v>65</v>
      </c>
      <c r="X6" s="318"/>
      <c r="Y6" s="154"/>
      <c r="Z6" s="167" t="s">
        <v>2</v>
      </c>
    </row>
    <row r="7" spans="1:26" s="106" customFormat="1">
      <c r="A7" s="103"/>
      <c r="B7" s="103">
        <v>2007</v>
      </c>
      <c r="C7" s="103">
        <v>2008</v>
      </c>
      <c r="D7" s="103">
        <v>2009</v>
      </c>
      <c r="E7" s="103">
        <v>2010</v>
      </c>
      <c r="F7" s="103">
        <v>2011</v>
      </c>
      <c r="G7" s="103">
        <v>2012</v>
      </c>
      <c r="H7" s="103">
        <v>2009</v>
      </c>
      <c r="I7" s="103">
        <v>2010</v>
      </c>
      <c r="J7" s="103">
        <v>2011</v>
      </c>
      <c r="K7" s="103">
        <v>2012</v>
      </c>
      <c r="L7" s="103">
        <v>2013</v>
      </c>
      <c r="M7" s="103">
        <v>2014</v>
      </c>
      <c r="N7" s="14">
        <v>2015</v>
      </c>
      <c r="O7" s="181">
        <v>2016</v>
      </c>
      <c r="P7" s="181">
        <v>2017</v>
      </c>
      <c r="Q7" s="181">
        <v>2018</v>
      </c>
      <c r="R7" s="181">
        <v>2019</v>
      </c>
      <c r="S7" s="181">
        <v>2020</v>
      </c>
      <c r="T7" s="223">
        <v>2016</v>
      </c>
      <c r="U7" s="236">
        <v>2017</v>
      </c>
      <c r="V7" s="103"/>
      <c r="W7" s="104" t="s">
        <v>208</v>
      </c>
      <c r="X7" s="242" t="s">
        <v>223</v>
      </c>
      <c r="Y7" s="105"/>
      <c r="Z7" s="105"/>
    </row>
    <row r="8" spans="1:26" s="20" customFormat="1" ht="18" customHeight="1">
      <c r="A8" s="39" t="s">
        <v>157</v>
      </c>
      <c r="B8" s="107">
        <f t="shared" ref="B8:O8" si="0">SUM(B9,B28)</f>
        <v>1640.8000000000002</v>
      </c>
      <c r="C8" s="107">
        <f t="shared" si="0"/>
        <v>2712.7999999999997</v>
      </c>
      <c r="D8" s="107">
        <f t="shared" si="0"/>
        <v>2938.9670029999997</v>
      </c>
      <c r="E8" s="107">
        <f t="shared" si="0"/>
        <v>1791.4</v>
      </c>
      <c r="F8" s="107">
        <f t="shared" si="0"/>
        <v>1261.8</v>
      </c>
      <c r="G8" s="107">
        <f t="shared" si="0"/>
        <v>1398.8000000000002</v>
      </c>
      <c r="H8" s="107">
        <f t="shared" si="0"/>
        <v>2214.6986589999997</v>
      </c>
      <c r="I8" s="107">
        <f t="shared" si="0"/>
        <v>2445.9177938999997</v>
      </c>
      <c r="J8" s="107">
        <f t="shared" si="0"/>
        <v>3188.9832150000002</v>
      </c>
      <c r="K8" s="107">
        <f t="shared" si="0"/>
        <v>2793.5176700000002</v>
      </c>
      <c r="L8" s="156">
        <f t="shared" si="0"/>
        <v>1957.5564169399997</v>
      </c>
      <c r="M8" s="156">
        <f t="shared" si="0"/>
        <v>2462.8850039999998</v>
      </c>
      <c r="N8" s="156">
        <f t="shared" si="0"/>
        <v>4658.3671360299995</v>
      </c>
      <c r="O8" s="233">
        <f t="shared" si="0"/>
        <v>0</v>
      </c>
      <c r="P8" s="233">
        <f t="shared" ref="P8" si="1">SUM(P9,P28)</f>
        <v>0</v>
      </c>
      <c r="Q8" s="233">
        <f t="shared" ref="Q8:R8" si="2">SUM(Q9,Q28)</f>
        <v>0</v>
      </c>
      <c r="R8" s="233">
        <f t="shared" si="2"/>
        <v>0</v>
      </c>
      <c r="S8" s="233">
        <f t="shared" ref="S8" si="3">SUM(S9,S28)</f>
        <v>0</v>
      </c>
      <c r="T8" s="224"/>
      <c r="U8" s="237"/>
      <c r="V8" s="108"/>
      <c r="W8" s="109">
        <f t="shared" ref="W8:X28" si="4">+((O8/N8)-1)*100</f>
        <v>-100</v>
      </c>
      <c r="X8" s="243" t="e">
        <f>+((P8/O8)-1)*100</f>
        <v>#DIV/0!</v>
      </c>
      <c r="Z8" s="42" t="s">
        <v>158</v>
      </c>
    </row>
    <row r="9" spans="1:26" s="20" customFormat="1" ht="18" customHeight="1">
      <c r="A9" s="39" t="s">
        <v>159</v>
      </c>
      <c r="B9" s="107">
        <f t="shared" ref="B9:O9" si="5">SUM(B10,B15,B21)</f>
        <v>1765.3000000000002</v>
      </c>
      <c r="C9" s="107">
        <f t="shared" si="5"/>
        <v>2879.2</v>
      </c>
      <c r="D9" s="107">
        <f t="shared" si="5"/>
        <v>3007.8670029999998</v>
      </c>
      <c r="E9" s="107">
        <f t="shared" si="5"/>
        <v>2038.9</v>
      </c>
      <c r="F9" s="107">
        <f t="shared" si="5"/>
        <v>1537</v>
      </c>
      <c r="G9" s="107">
        <f t="shared" si="5"/>
        <v>1645.0000000000002</v>
      </c>
      <c r="H9" s="107">
        <f t="shared" si="5"/>
        <v>2365.5349919999999</v>
      </c>
      <c r="I9" s="107">
        <f t="shared" si="5"/>
        <v>2627.2177938999998</v>
      </c>
      <c r="J9" s="107">
        <f t="shared" si="5"/>
        <v>3587.9832150000002</v>
      </c>
      <c r="K9" s="107">
        <f t="shared" si="5"/>
        <v>2883.7493060000002</v>
      </c>
      <c r="L9" s="156">
        <f t="shared" si="5"/>
        <v>2093.0414239399997</v>
      </c>
      <c r="M9" s="156">
        <f t="shared" si="5"/>
        <v>2585.0470539999997</v>
      </c>
      <c r="N9" s="156">
        <f t="shared" si="5"/>
        <v>4762.3853820299992</v>
      </c>
      <c r="O9" s="233">
        <f t="shared" si="5"/>
        <v>0</v>
      </c>
      <c r="P9" s="233">
        <f t="shared" ref="P9:Q9" si="6">SUM(P10,P15,P21)</f>
        <v>0</v>
      </c>
      <c r="Q9" s="233">
        <f t="shared" si="6"/>
        <v>0</v>
      </c>
      <c r="R9" s="233">
        <f t="shared" ref="R9:S9" si="7">SUM(R10,R15,R21)</f>
        <v>0</v>
      </c>
      <c r="S9" s="233">
        <f t="shared" si="7"/>
        <v>0</v>
      </c>
      <c r="T9" s="225" t="e">
        <f>+(O9/$O$9)*100</f>
        <v>#DIV/0!</v>
      </c>
      <c r="U9" s="238" t="e">
        <f>+(P9/$O$9)*100</f>
        <v>#DIV/0!</v>
      </c>
      <c r="V9" s="108"/>
      <c r="W9" s="109">
        <f t="shared" si="4"/>
        <v>-100</v>
      </c>
      <c r="X9" s="243" t="e">
        <f t="shared" si="4"/>
        <v>#DIV/0!</v>
      </c>
      <c r="Z9" s="42" t="s">
        <v>160</v>
      </c>
    </row>
    <row r="10" spans="1:26" s="20" customFormat="1" ht="18" customHeight="1">
      <c r="A10" s="39" t="s">
        <v>161</v>
      </c>
      <c r="B10" s="107">
        <f t="shared" ref="B10:O10" si="8">SUM(B11:B14)</f>
        <v>808.9</v>
      </c>
      <c r="C10" s="107">
        <f t="shared" si="8"/>
        <v>498.79999999999995</v>
      </c>
      <c r="D10" s="107">
        <f t="shared" si="8"/>
        <v>867.71007999999995</v>
      </c>
      <c r="E10" s="107">
        <f t="shared" si="8"/>
        <v>495.4</v>
      </c>
      <c r="F10" s="107">
        <f t="shared" si="8"/>
        <v>381.3</v>
      </c>
      <c r="G10" s="107">
        <f t="shared" si="8"/>
        <v>709.7</v>
      </c>
      <c r="H10" s="107">
        <f t="shared" si="8"/>
        <v>696.52141600000004</v>
      </c>
      <c r="I10" s="107">
        <f t="shared" si="8"/>
        <v>635.70163600000001</v>
      </c>
      <c r="J10" s="107">
        <f t="shared" si="8"/>
        <v>1285.636868</v>
      </c>
      <c r="K10" s="107">
        <f t="shared" si="8"/>
        <v>1139.8289990000001</v>
      </c>
      <c r="L10" s="156">
        <f t="shared" si="8"/>
        <v>462.58586595999998</v>
      </c>
      <c r="M10" s="156">
        <f t="shared" si="8"/>
        <v>679.01722999999993</v>
      </c>
      <c r="N10" s="156">
        <f t="shared" si="8"/>
        <v>2079.0821064299998</v>
      </c>
      <c r="O10" s="233">
        <f t="shared" si="8"/>
        <v>0</v>
      </c>
      <c r="P10" s="233">
        <f t="shared" ref="P10:Q10" si="9">SUM(P11:P14)</f>
        <v>0</v>
      </c>
      <c r="Q10" s="233">
        <f t="shared" si="9"/>
        <v>0</v>
      </c>
      <c r="R10" s="233">
        <f t="shared" ref="R10:S10" si="10">SUM(R11:R14)</f>
        <v>0</v>
      </c>
      <c r="S10" s="233">
        <f t="shared" si="10"/>
        <v>0</v>
      </c>
      <c r="T10" s="225" t="e">
        <f t="shared" ref="T10:U31" si="11">+(O10/$O$9)*100</f>
        <v>#DIV/0!</v>
      </c>
      <c r="U10" s="238" t="e">
        <f t="shared" si="11"/>
        <v>#DIV/0!</v>
      </c>
      <c r="V10" s="108"/>
      <c r="W10" s="109">
        <f t="shared" si="4"/>
        <v>-100</v>
      </c>
      <c r="X10" s="243" t="e">
        <f t="shared" si="4"/>
        <v>#DIV/0!</v>
      </c>
      <c r="Z10" s="42" t="s">
        <v>162</v>
      </c>
    </row>
    <row r="11" spans="1:26" s="21" customFormat="1" ht="18" customHeight="1">
      <c r="A11" s="43" t="s">
        <v>163</v>
      </c>
      <c r="B11" s="169">
        <v>465.50000000000006</v>
      </c>
      <c r="C11" s="110">
        <v>300.39999999999998</v>
      </c>
      <c r="D11" s="110">
        <v>659</v>
      </c>
      <c r="E11" s="110">
        <v>197</v>
      </c>
      <c r="F11" s="110">
        <v>230.9</v>
      </c>
      <c r="G11" s="110">
        <v>523.29999999999995</v>
      </c>
      <c r="H11" s="110">
        <v>557.45811400000002</v>
      </c>
      <c r="I11" s="110">
        <v>524.06922099999997</v>
      </c>
      <c r="J11" s="110">
        <v>923.85471400000006</v>
      </c>
      <c r="K11" s="110">
        <v>967.18460399999992</v>
      </c>
      <c r="L11" s="157">
        <v>254.18770169000001</v>
      </c>
      <c r="M11" s="157">
        <v>432.35995500000001</v>
      </c>
      <c r="N11" s="157">
        <v>1056.8424239999999</v>
      </c>
      <c r="O11" s="229"/>
      <c r="P11" s="229"/>
      <c r="Q11" s="229"/>
      <c r="R11" s="229"/>
      <c r="S11" s="229"/>
      <c r="T11" s="226" t="e">
        <f t="shared" si="11"/>
        <v>#DIV/0!</v>
      </c>
      <c r="U11" s="239" t="e">
        <f t="shared" si="11"/>
        <v>#DIV/0!</v>
      </c>
      <c r="V11" s="111"/>
      <c r="W11" s="112">
        <f t="shared" si="4"/>
        <v>-100</v>
      </c>
      <c r="X11" s="244" t="e">
        <f t="shared" si="4"/>
        <v>#DIV/0!</v>
      </c>
      <c r="Z11" s="31" t="s">
        <v>123</v>
      </c>
    </row>
    <row r="12" spans="1:26" s="21" customFormat="1" ht="18" customHeight="1">
      <c r="A12" s="43" t="s">
        <v>164</v>
      </c>
      <c r="B12" s="169">
        <v>71.099999999999994</v>
      </c>
      <c r="C12" s="110">
        <v>37.299999999999997</v>
      </c>
      <c r="D12" s="110">
        <v>41.634203999999997</v>
      </c>
      <c r="E12" s="110">
        <v>33</v>
      </c>
      <c r="F12" s="110">
        <v>26.7</v>
      </c>
      <c r="G12" s="110">
        <v>21.2</v>
      </c>
      <c r="H12" s="110">
        <v>39.637543000000001</v>
      </c>
      <c r="I12" s="110">
        <v>18.016133</v>
      </c>
      <c r="J12" s="110">
        <v>136.47622799999999</v>
      </c>
      <c r="K12" s="110">
        <v>12.031162</v>
      </c>
      <c r="L12" s="157">
        <v>2.399518</v>
      </c>
      <c r="M12" s="157">
        <v>88.919511</v>
      </c>
      <c r="N12" s="157">
        <v>172.01989833000002</v>
      </c>
      <c r="O12" s="229"/>
      <c r="P12" s="229"/>
      <c r="Q12" s="229"/>
      <c r="R12" s="229"/>
      <c r="S12" s="229"/>
      <c r="T12" s="226" t="e">
        <f t="shared" si="11"/>
        <v>#DIV/0!</v>
      </c>
      <c r="U12" s="239" t="e">
        <f t="shared" si="11"/>
        <v>#DIV/0!</v>
      </c>
      <c r="V12" s="111"/>
      <c r="W12" s="112">
        <f t="shared" si="4"/>
        <v>-100</v>
      </c>
      <c r="X12" s="244" t="e">
        <f t="shared" si="4"/>
        <v>#DIV/0!</v>
      </c>
      <c r="Z12" s="31" t="s">
        <v>125</v>
      </c>
    </row>
    <row r="13" spans="1:26" s="20" customFormat="1" ht="18" customHeight="1">
      <c r="A13" s="43" t="s">
        <v>165</v>
      </c>
      <c r="B13" s="110">
        <v>225.4</v>
      </c>
      <c r="C13" s="110">
        <v>149.1</v>
      </c>
      <c r="D13" s="110">
        <v>145.506271</v>
      </c>
      <c r="E13" s="110">
        <v>227.5</v>
      </c>
      <c r="F13" s="110">
        <v>86.3</v>
      </c>
      <c r="G13" s="110">
        <v>118</v>
      </c>
      <c r="H13" s="110">
        <v>73.816480999999996</v>
      </c>
      <c r="I13" s="110">
        <v>59.56033</v>
      </c>
      <c r="J13" s="110">
        <v>67.595481000000007</v>
      </c>
      <c r="K13" s="110">
        <v>55.118071999999998</v>
      </c>
      <c r="L13" s="157">
        <v>66.5179136</v>
      </c>
      <c r="M13" s="157">
        <v>105.52811699999999</v>
      </c>
      <c r="N13" s="157">
        <v>169.18427500000001</v>
      </c>
      <c r="O13" s="229"/>
      <c r="P13" s="229"/>
      <c r="Q13" s="229"/>
      <c r="R13" s="229"/>
      <c r="S13" s="229"/>
      <c r="T13" s="226" t="e">
        <f t="shared" si="11"/>
        <v>#DIV/0!</v>
      </c>
      <c r="U13" s="239" t="e">
        <f t="shared" si="11"/>
        <v>#DIV/0!</v>
      </c>
      <c r="V13" s="111"/>
      <c r="W13" s="112">
        <f t="shared" si="4"/>
        <v>-100</v>
      </c>
      <c r="X13" s="244" t="e">
        <f t="shared" si="4"/>
        <v>#DIV/0!</v>
      </c>
      <c r="Z13" s="31" t="s">
        <v>166</v>
      </c>
    </row>
    <row r="14" spans="1:26" s="21" customFormat="1" ht="18" customHeight="1">
      <c r="A14" s="43" t="s">
        <v>167</v>
      </c>
      <c r="B14" s="169">
        <v>46.9</v>
      </c>
      <c r="C14" s="110">
        <v>12</v>
      </c>
      <c r="D14" s="110">
        <v>21.569604999999999</v>
      </c>
      <c r="E14" s="110">
        <v>37.9</v>
      </c>
      <c r="F14" s="110">
        <v>37.4</v>
      </c>
      <c r="G14" s="110">
        <v>47.2</v>
      </c>
      <c r="H14" s="110">
        <v>25.609278</v>
      </c>
      <c r="I14" s="110">
        <v>34.055951999999998</v>
      </c>
      <c r="J14" s="110">
        <v>157.71044499999999</v>
      </c>
      <c r="K14" s="110">
        <v>105.495161</v>
      </c>
      <c r="L14" s="158">
        <v>139.48073266999998</v>
      </c>
      <c r="M14" s="158">
        <v>52.209646999999997</v>
      </c>
      <c r="N14" s="158">
        <v>681.03550910000001</v>
      </c>
      <c r="O14" s="230"/>
      <c r="P14" s="230"/>
      <c r="Q14" s="230"/>
      <c r="R14" s="230"/>
      <c r="S14" s="230"/>
      <c r="T14" s="226" t="e">
        <f t="shared" si="11"/>
        <v>#DIV/0!</v>
      </c>
      <c r="U14" s="239" t="e">
        <f t="shared" si="11"/>
        <v>#DIV/0!</v>
      </c>
      <c r="V14" s="111"/>
      <c r="W14" s="112">
        <f t="shared" si="4"/>
        <v>-100</v>
      </c>
      <c r="X14" s="244" t="e">
        <f t="shared" si="4"/>
        <v>#DIV/0!</v>
      </c>
      <c r="Z14" s="31" t="s">
        <v>129</v>
      </c>
    </row>
    <row r="15" spans="1:26" s="20" customFormat="1" ht="18" customHeight="1">
      <c r="A15" s="39" t="s">
        <v>168</v>
      </c>
      <c r="B15" s="107">
        <f>SUM(B16:B20)</f>
        <v>626.5</v>
      </c>
      <c r="C15" s="107">
        <f t="shared" ref="C15:P15" si="12">SUM(C16:C20)</f>
        <v>1443.3</v>
      </c>
      <c r="D15" s="107">
        <f t="shared" si="12"/>
        <v>849.36242600000003</v>
      </c>
      <c r="E15" s="107">
        <f t="shared" si="12"/>
        <v>896.5</v>
      </c>
      <c r="F15" s="107">
        <f t="shared" si="12"/>
        <v>834.6</v>
      </c>
      <c r="G15" s="107">
        <f t="shared" si="12"/>
        <v>734.1</v>
      </c>
      <c r="H15" s="107">
        <f t="shared" si="12"/>
        <v>1087.278699</v>
      </c>
      <c r="I15" s="107">
        <f t="shared" si="12"/>
        <v>1816.638207</v>
      </c>
      <c r="J15" s="107">
        <f t="shared" si="12"/>
        <v>1383.244537</v>
      </c>
      <c r="K15" s="107">
        <f t="shared" si="12"/>
        <v>1081.7647489999999</v>
      </c>
      <c r="L15" s="156">
        <f t="shared" si="12"/>
        <v>1108.2257616500001</v>
      </c>
      <c r="M15" s="156">
        <f t="shared" si="12"/>
        <v>1155.5744520000001</v>
      </c>
      <c r="N15" s="156">
        <f t="shared" si="12"/>
        <v>1812.3305333000001</v>
      </c>
      <c r="O15" s="233">
        <f t="shared" si="12"/>
        <v>0</v>
      </c>
      <c r="P15" s="233">
        <f t="shared" si="12"/>
        <v>0</v>
      </c>
      <c r="Q15" s="233">
        <f t="shared" ref="Q15:R15" si="13">SUM(Q16:Q20)</f>
        <v>0</v>
      </c>
      <c r="R15" s="233">
        <f t="shared" si="13"/>
        <v>0</v>
      </c>
      <c r="S15" s="233">
        <f t="shared" ref="S15" si="14">SUM(S16:S20)</f>
        <v>0</v>
      </c>
      <c r="T15" s="225" t="e">
        <f t="shared" si="11"/>
        <v>#DIV/0!</v>
      </c>
      <c r="U15" s="238" t="e">
        <f t="shared" si="11"/>
        <v>#DIV/0!</v>
      </c>
      <c r="V15" s="108"/>
      <c r="W15" s="109">
        <f t="shared" si="4"/>
        <v>-100</v>
      </c>
      <c r="X15" s="243" t="e">
        <f t="shared" si="4"/>
        <v>#DIV/0!</v>
      </c>
      <c r="Z15" s="42" t="s">
        <v>169</v>
      </c>
    </row>
    <row r="16" spans="1:26" s="21" customFormat="1" ht="18" customHeight="1">
      <c r="A16" s="43" t="s">
        <v>170</v>
      </c>
      <c r="B16" s="169">
        <v>164.4</v>
      </c>
      <c r="C16" s="110">
        <v>163.4</v>
      </c>
      <c r="D16" s="110">
        <v>108.19257</v>
      </c>
      <c r="E16" s="110">
        <v>68.400000000000006</v>
      </c>
      <c r="F16" s="110">
        <v>36.6</v>
      </c>
      <c r="G16" s="110">
        <v>29.5</v>
      </c>
      <c r="H16" s="110">
        <v>133.543679</v>
      </c>
      <c r="I16" s="110">
        <v>54.517771000000003</v>
      </c>
      <c r="J16" s="110">
        <v>95.493024000000005</v>
      </c>
      <c r="K16" s="110">
        <v>108.05040099999999</v>
      </c>
      <c r="L16" s="157">
        <v>74.973524780000005</v>
      </c>
      <c r="M16" s="157">
        <v>100.486884</v>
      </c>
      <c r="N16" s="157">
        <v>272.82640853000004</v>
      </c>
      <c r="O16" s="229"/>
      <c r="P16" s="229"/>
      <c r="Q16" s="229"/>
      <c r="R16" s="229"/>
      <c r="S16" s="229"/>
      <c r="T16" s="226" t="e">
        <f t="shared" si="11"/>
        <v>#DIV/0!</v>
      </c>
      <c r="U16" s="239" t="e">
        <f t="shared" si="11"/>
        <v>#DIV/0!</v>
      </c>
      <c r="V16" s="111"/>
      <c r="W16" s="112">
        <f t="shared" si="4"/>
        <v>-100</v>
      </c>
      <c r="X16" s="244" t="e">
        <f t="shared" si="4"/>
        <v>#DIV/0!</v>
      </c>
      <c r="Z16" s="31" t="s">
        <v>133</v>
      </c>
    </row>
    <row r="17" spans="1:26" s="20" customFormat="1" ht="18" customHeight="1">
      <c r="A17" s="43" t="s">
        <v>171</v>
      </c>
      <c r="B17" s="169">
        <v>99.9</v>
      </c>
      <c r="C17" s="110">
        <v>289.10000000000002</v>
      </c>
      <c r="D17" s="110">
        <v>46.711798999999999</v>
      </c>
      <c r="E17" s="110">
        <v>45.4</v>
      </c>
      <c r="F17" s="110">
        <v>27.2</v>
      </c>
      <c r="G17" s="110">
        <v>25.5</v>
      </c>
      <c r="H17" s="110">
        <v>68.366566000000006</v>
      </c>
      <c r="I17" s="110">
        <v>43.913061999999996</v>
      </c>
      <c r="J17" s="110">
        <v>11.563515000000001</v>
      </c>
      <c r="K17" s="110">
        <v>7.7340239999999998</v>
      </c>
      <c r="L17" s="157">
        <v>21.803670879999999</v>
      </c>
      <c r="M17" s="157">
        <v>142.83905899999999</v>
      </c>
      <c r="N17" s="157">
        <v>292.79733672000003</v>
      </c>
      <c r="O17" s="229"/>
      <c r="P17" s="229"/>
      <c r="Q17" s="229"/>
      <c r="R17" s="229"/>
      <c r="S17" s="229"/>
      <c r="T17" s="226" t="e">
        <f t="shared" si="11"/>
        <v>#DIV/0!</v>
      </c>
      <c r="U17" s="239" t="e">
        <f t="shared" si="11"/>
        <v>#DIV/0!</v>
      </c>
      <c r="V17" s="111"/>
      <c r="W17" s="112">
        <f t="shared" si="4"/>
        <v>-100</v>
      </c>
      <c r="X17" s="244" t="e">
        <f t="shared" si="4"/>
        <v>#DIV/0!</v>
      </c>
      <c r="Z17" s="31" t="s">
        <v>172</v>
      </c>
    </row>
    <row r="18" spans="1:26" s="20" customFormat="1" ht="18" customHeight="1">
      <c r="A18" s="43" t="s">
        <v>173</v>
      </c>
      <c r="B18" s="169">
        <v>4.0999999999999996</v>
      </c>
      <c r="C18" s="110">
        <v>2.2000000000000002</v>
      </c>
      <c r="D18" s="110">
        <v>0.68482100000000001</v>
      </c>
      <c r="E18" s="110">
        <v>8.4</v>
      </c>
      <c r="F18" s="110">
        <v>0.7</v>
      </c>
      <c r="G18" s="110">
        <v>1</v>
      </c>
      <c r="H18" s="110">
        <v>0.54541200000000001</v>
      </c>
      <c r="I18" s="110">
        <v>0.43177199999999999</v>
      </c>
      <c r="J18" s="110">
        <v>2.5820259999999999</v>
      </c>
      <c r="K18" s="110">
        <v>0.556778</v>
      </c>
      <c r="L18" s="157">
        <v>1.21422221</v>
      </c>
      <c r="M18" s="157">
        <v>1.0108220000000001</v>
      </c>
      <c r="N18" s="157">
        <v>9.9215180000000007</v>
      </c>
      <c r="O18" s="229"/>
      <c r="P18" s="229"/>
      <c r="Q18" s="229"/>
      <c r="R18" s="229"/>
      <c r="S18" s="229"/>
      <c r="T18" s="226" t="e">
        <f t="shared" si="11"/>
        <v>#DIV/0!</v>
      </c>
      <c r="U18" s="239" t="e">
        <f t="shared" si="11"/>
        <v>#DIV/0!</v>
      </c>
      <c r="V18" s="111"/>
      <c r="W18" s="112">
        <f t="shared" si="4"/>
        <v>-100</v>
      </c>
      <c r="X18" s="244" t="e">
        <f t="shared" si="4"/>
        <v>#DIV/0!</v>
      </c>
      <c r="Z18" s="31" t="s">
        <v>137</v>
      </c>
    </row>
    <row r="19" spans="1:26" s="21" customFormat="1" ht="18" customHeight="1">
      <c r="A19" s="43" t="s">
        <v>174</v>
      </c>
      <c r="B19" s="169">
        <v>358.1</v>
      </c>
      <c r="C19" s="110">
        <v>988.6</v>
      </c>
      <c r="D19" s="110">
        <v>693.773236</v>
      </c>
      <c r="E19" s="110">
        <v>774.3</v>
      </c>
      <c r="F19" s="110">
        <v>770.1</v>
      </c>
      <c r="G19" s="110">
        <v>678.1</v>
      </c>
      <c r="H19" s="110">
        <v>884.82304199999999</v>
      </c>
      <c r="I19" s="110">
        <v>1717.7756019999999</v>
      </c>
      <c r="J19" s="110">
        <v>1273.6059720000001</v>
      </c>
      <c r="K19" s="110">
        <v>965.42354599999999</v>
      </c>
      <c r="L19" s="158">
        <v>975.31386029999999</v>
      </c>
      <c r="M19" s="158">
        <v>768.75352099999998</v>
      </c>
      <c r="N19" s="158">
        <v>0</v>
      </c>
      <c r="O19" s="230"/>
      <c r="P19" s="230"/>
      <c r="Q19" s="230"/>
      <c r="R19" s="230"/>
      <c r="S19" s="230"/>
      <c r="T19" s="227">
        <v>0</v>
      </c>
      <c r="U19" s="240">
        <v>0</v>
      </c>
      <c r="V19" s="111"/>
      <c r="W19" s="179">
        <v>0</v>
      </c>
      <c r="X19" s="245">
        <v>0</v>
      </c>
      <c r="Z19" s="31" t="s">
        <v>175</v>
      </c>
    </row>
    <row r="20" spans="1:26" s="21" customFormat="1" ht="18" customHeight="1">
      <c r="A20" s="43" t="s">
        <v>201</v>
      </c>
      <c r="B20" s="169"/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158">
        <v>34.920483480000001</v>
      </c>
      <c r="M20" s="158">
        <v>142.48416599999999</v>
      </c>
      <c r="N20" s="158">
        <v>1236.78527005</v>
      </c>
      <c r="O20" s="230"/>
      <c r="P20" s="230"/>
      <c r="Q20" s="230"/>
      <c r="R20" s="230"/>
      <c r="S20" s="230"/>
      <c r="T20" s="226" t="e">
        <f t="shared" si="11"/>
        <v>#DIV/0!</v>
      </c>
      <c r="U20" s="239" t="e">
        <f t="shared" si="11"/>
        <v>#DIV/0!</v>
      </c>
      <c r="V20" s="111"/>
      <c r="W20" s="112">
        <f t="shared" si="4"/>
        <v>-100</v>
      </c>
      <c r="X20" s="244" t="e">
        <f t="shared" si="4"/>
        <v>#DIV/0!</v>
      </c>
      <c r="Z20" s="113" t="s">
        <v>205</v>
      </c>
    </row>
    <row r="21" spans="1:26" s="20" customFormat="1" ht="18" customHeight="1">
      <c r="A21" s="39" t="s">
        <v>140</v>
      </c>
      <c r="B21" s="40">
        <f t="shared" ref="B21:O21" si="15">SUM(B22:B27)</f>
        <v>329.9</v>
      </c>
      <c r="C21" s="40">
        <f t="shared" si="15"/>
        <v>937.10000000000014</v>
      </c>
      <c r="D21" s="40">
        <f t="shared" si="15"/>
        <v>1290.7944969999999</v>
      </c>
      <c r="E21" s="40">
        <f t="shared" si="15"/>
        <v>647</v>
      </c>
      <c r="F21" s="40">
        <f t="shared" si="15"/>
        <v>321.10000000000002</v>
      </c>
      <c r="G21" s="40">
        <f t="shared" si="15"/>
        <v>201.2</v>
      </c>
      <c r="H21" s="40">
        <f t="shared" si="15"/>
        <v>581.73487699999998</v>
      </c>
      <c r="I21" s="40">
        <f t="shared" si="15"/>
        <v>174.8779509</v>
      </c>
      <c r="J21" s="40">
        <f t="shared" si="15"/>
        <v>919.10181</v>
      </c>
      <c r="K21" s="40">
        <f t="shared" si="15"/>
        <v>662.15555800000004</v>
      </c>
      <c r="L21" s="159">
        <f t="shared" si="15"/>
        <v>522.22979633</v>
      </c>
      <c r="M21" s="159">
        <f t="shared" si="15"/>
        <v>750.4553719999999</v>
      </c>
      <c r="N21" s="159">
        <f t="shared" si="15"/>
        <v>870.97274229999994</v>
      </c>
      <c r="O21" s="234">
        <f t="shared" si="15"/>
        <v>0</v>
      </c>
      <c r="P21" s="234">
        <f t="shared" ref="P21:Q21" si="16">SUM(P22:P27)</f>
        <v>0</v>
      </c>
      <c r="Q21" s="234">
        <f t="shared" si="16"/>
        <v>0</v>
      </c>
      <c r="R21" s="234">
        <f t="shared" ref="R21:S21" si="17">SUM(R22:R27)</f>
        <v>0</v>
      </c>
      <c r="S21" s="234">
        <f t="shared" si="17"/>
        <v>0</v>
      </c>
      <c r="T21" s="225" t="e">
        <f t="shared" si="11"/>
        <v>#DIV/0!</v>
      </c>
      <c r="U21" s="238" t="e">
        <f t="shared" si="11"/>
        <v>#DIV/0!</v>
      </c>
      <c r="V21" s="108"/>
      <c r="W21" s="109">
        <f t="shared" si="4"/>
        <v>-100</v>
      </c>
      <c r="X21" s="243" t="e">
        <f t="shared" si="4"/>
        <v>#DIV/0!</v>
      </c>
      <c r="Z21" s="42" t="s">
        <v>90</v>
      </c>
    </row>
    <row r="22" spans="1:26" s="21" customFormat="1" ht="18" customHeight="1">
      <c r="A22" s="43" t="s">
        <v>176</v>
      </c>
      <c r="B22" s="169">
        <v>154.1</v>
      </c>
      <c r="C22" s="110">
        <v>129.69999999999999</v>
      </c>
      <c r="D22" s="110">
        <v>42.402295000000002</v>
      </c>
      <c r="E22" s="110">
        <v>60.5</v>
      </c>
      <c r="F22" s="110">
        <v>71.900000000000006</v>
      </c>
      <c r="G22" s="110">
        <v>64.2</v>
      </c>
      <c r="H22" s="110">
        <v>23.587022999999999</v>
      </c>
      <c r="I22" s="110">
        <v>37.776733</v>
      </c>
      <c r="J22" s="110">
        <v>33.651007999999997</v>
      </c>
      <c r="K22" s="110">
        <v>24.679010000000002</v>
      </c>
      <c r="L22" s="157">
        <v>7.6444678900000005</v>
      </c>
      <c r="M22" s="157">
        <v>16.246099999999998</v>
      </c>
      <c r="N22" s="157">
        <v>22.831656149999997</v>
      </c>
      <c r="O22" s="229"/>
      <c r="P22" s="229"/>
      <c r="Q22" s="229"/>
      <c r="R22" s="229"/>
      <c r="S22" s="229"/>
      <c r="T22" s="226" t="e">
        <f t="shared" si="11"/>
        <v>#DIV/0!</v>
      </c>
      <c r="U22" s="239" t="e">
        <f t="shared" si="11"/>
        <v>#DIV/0!</v>
      </c>
      <c r="V22" s="111"/>
      <c r="W22" s="112">
        <f t="shared" si="4"/>
        <v>-100</v>
      </c>
      <c r="X22" s="244" t="e">
        <f t="shared" si="4"/>
        <v>#DIV/0!</v>
      </c>
      <c r="Z22" s="31" t="s">
        <v>177</v>
      </c>
    </row>
    <row r="23" spans="1:26" s="21" customFormat="1" ht="18" customHeight="1">
      <c r="A23" s="43" t="s">
        <v>178</v>
      </c>
      <c r="B23" s="169">
        <v>74.7</v>
      </c>
      <c r="C23" s="110">
        <v>692.8</v>
      </c>
      <c r="D23" s="110">
        <v>318.28409399999998</v>
      </c>
      <c r="E23" s="110">
        <v>294.2</v>
      </c>
      <c r="F23" s="110">
        <v>118.6</v>
      </c>
      <c r="G23" s="110">
        <v>66.7</v>
      </c>
      <c r="H23" s="110">
        <v>10.808646</v>
      </c>
      <c r="I23" s="110">
        <v>38.970894999999999</v>
      </c>
      <c r="J23" s="110">
        <v>392.140671</v>
      </c>
      <c r="K23" s="110">
        <v>539.738832</v>
      </c>
      <c r="L23" s="157">
        <v>368.65407792000002</v>
      </c>
      <c r="M23" s="157">
        <v>579.69850299999996</v>
      </c>
      <c r="N23" s="157">
        <v>775.49623926999993</v>
      </c>
      <c r="O23" s="229"/>
      <c r="P23" s="229"/>
      <c r="Q23" s="229"/>
      <c r="R23" s="229"/>
      <c r="S23" s="229"/>
      <c r="T23" s="226" t="e">
        <f t="shared" si="11"/>
        <v>#DIV/0!</v>
      </c>
      <c r="U23" s="239" t="e">
        <f t="shared" si="11"/>
        <v>#DIV/0!</v>
      </c>
      <c r="V23" s="111"/>
      <c r="W23" s="112">
        <f t="shared" si="4"/>
        <v>-100</v>
      </c>
      <c r="X23" s="244" t="e">
        <f t="shared" si="4"/>
        <v>#DIV/0!</v>
      </c>
      <c r="Z23" s="31" t="s">
        <v>179</v>
      </c>
    </row>
    <row r="24" spans="1:26" s="21" customFormat="1" ht="18" customHeight="1">
      <c r="A24" s="43" t="s">
        <v>180</v>
      </c>
      <c r="B24" s="169">
        <v>72</v>
      </c>
      <c r="C24" s="110">
        <v>17.100000000000001</v>
      </c>
      <c r="D24" s="110">
        <v>26.934477000000001</v>
      </c>
      <c r="E24" s="110">
        <v>16.8</v>
      </c>
      <c r="F24" s="110">
        <v>7.5</v>
      </c>
      <c r="G24" s="110">
        <v>14</v>
      </c>
      <c r="H24" s="110">
        <v>32.757654000000002</v>
      </c>
      <c r="I24" s="110">
        <v>26.097563999999998</v>
      </c>
      <c r="J24" s="110">
        <v>39.440274000000002</v>
      </c>
      <c r="K24" s="110">
        <v>39.200918999999999</v>
      </c>
      <c r="L24" s="157">
        <v>5.0254116199999999</v>
      </c>
      <c r="M24" s="157">
        <v>42.439954</v>
      </c>
      <c r="N24" s="157">
        <v>20.908233500000001</v>
      </c>
      <c r="O24" s="229"/>
      <c r="P24" s="229"/>
      <c r="Q24" s="229"/>
      <c r="R24" s="229"/>
      <c r="S24" s="229"/>
      <c r="T24" s="226" t="e">
        <f t="shared" si="11"/>
        <v>#DIV/0!</v>
      </c>
      <c r="U24" s="239" t="e">
        <f t="shared" si="11"/>
        <v>#DIV/0!</v>
      </c>
      <c r="V24" s="111"/>
      <c r="W24" s="112">
        <f t="shared" si="4"/>
        <v>-100</v>
      </c>
      <c r="X24" s="244" t="e">
        <f t="shared" si="4"/>
        <v>#DIV/0!</v>
      </c>
      <c r="Z24" s="31" t="s">
        <v>181</v>
      </c>
    </row>
    <row r="25" spans="1:26" s="20" customFormat="1" ht="18" customHeight="1">
      <c r="A25" s="43" t="s">
        <v>182</v>
      </c>
      <c r="B25" s="169">
        <v>0.4</v>
      </c>
      <c r="C25" s="110">
        <v>13.2</v>
      </c>
      <c r="D25" s="110">
        <v>64.703819999999993</v>
      </c>
      <c r="E25" s="110">
        <v>0.5</v>
      </c>
      <c r="F25" s="110">
        <v>0.3</v>
      </c>
      <c r="G25" s="110">
        <v>0.4</v>
      </c>
      <c r="H25" s="110">
        <v>0.13069</v>
      </c>
      <c r="I25" s="110">
        <v>3.0217360000000002</v>
      </c>
      <c r="J25" s="110">
        <v>9.7469E-2</v>
      </c>
      <c r="K25" s="110">
        <v>0.167854</v>
      </c>
      <c r="L25" s="157">
        <v>7.0538000000000003E-2</v>
      </c>
      <c r="M25" s="157">
        <v>0.765787</v>
      </c>
      <c r="N25" s="157">
        <v>0.68068600000000001</v>
      </c>
      <c r="O25" s="229"/>
      <c r="P25" s="229"/>
      <c r="Q25" s="229"/>
      <c r="R25" s="229"/>
      <c r="S25" s="229"/>
      <c r="T25" s="226" t="e">
        <f t="shared" si="11"/>
        <v>#DIV/0!</v>
      </c>
      <c r="U25" s="239" t="e">
        <f t="shared" si="11"/>
        <v>#DIV/0!</v>
      </c>
      <c r="V25" s="111"/>
      <c r="W25" s="112">
        <f t="shared" si="4"/>
        <v>-100</v>
      </c>
      <c r="X25" s="244" t="e">
        <f t="shared" si="4"/>
        <v>#DIV/0!</v>
      </c>
      <c r="Z25" s="31" t="s">
        <v>183</v>
      </c>
    </row>
    <row r="26" spans="1:26" s="20" customFormat="1" ht="18" customHeight="1">
      <c r="A26" s="43" t="s">
        <v>184</v>
      </c>
      <c r="B26" s="169">
        <v>24.5</v>
      </c>
      <c r="C26" s="110">
        <v>72.099999999999994</v>
      </c>
      <c r="D26" s="110">
        <v>604.09765100000004</v>
      </c>
      <c r="E26" s="110">
        <v>178</v>
      </c>
      <c r="F26" s="110">
        <v>26.2</v>
      </c>
      <c r="G26" s="110">
        <v>0.6</v>
      </c>
      <c r="H26" s="110">
        <v>488.44098200000002</v>
      </c>
      <c r="I26" s="110">
        <v>37.947304900000006</v>
      </c>
      <c r="J26" s="110">
        <v>63.553004999999999</v>
      </c>
      <c r="K26" s="110">
        <v>38.882137</v>
      </c>
      <c r="L26" s="158">
        <v>27.925922</v>
      </c>
      <c r="M26" s="158">
        <v>20.208456999999999</v>
      </c>
      <c r="N26" s="158">
        <v>38.739479549999999</v>
      </c>
      <c r="O26" s="230"/>
      <c r="P26" s="230"/>
      <c r="Q26" s="230"/>
      <c r="R26" s="230"/>
      <c r="S26" s="230"/>
      <c r="T26" s="226" t="e">
        <f t="shared" si="11"/>
        <v>#DIV/0!</v>
      </c>
      <c r="U26" s="239" t="e">
        <f t="shared" si="11"/>
        <v>#DIV/0!</v>
      </c>
      <c r="V26" s="111"/>
      <c r="W26" s="112">
        <f t="shared" si="4"/>
        <v>-100</v>
      </c>
      <c r="X26" s="244" t="e">
        <f t="shared" si="4"/>
        <v>#DIV/0!</v>
      </c>
      <c r="Z26" s="31" t="s">
        <v>185</v>
      </c>
    </row>
    <row r="27" spans="1:26" s="20" customFormat="1" ht="18" customHeight="1">
      <c r="A27" s="43" t="s">
        <v>186</v>
      </c>
      <c r="B27" s="169">
        <v>4.2</v>
      </c>
      <c r="C27" s="110">
        <v>12.2</v>
      </c>
      <c r="D27" s="110">
        <v>234.37216000000001</v>
      </c>
      <c r="E27" s="110">
        <v>97</v>
      </c>
      <c r="F27" s="110">
        <v>96.6</v>
      </c>
      <c r="G27" s="110">
        <v>55.3</v>
      </c>
      <c r="H27" s="110">
        <v>26.009882000000001</v>
      </c>
      <c r="I27" s="110">
        <v>31.063718000000001</v>
      </c>
      <c r="J27" s="110">
        <v>390.21938299999999</v>
      </c>
      <c r="K27" s="110">
        <v>19.486806000000001</v>
      </c>
      <c r="L27" s="158">
        <v>112.90937890000001</v>
      </c>
      <c r="M27" s="158">
        <v>91.096570999999997</v>
      </c>
      <c r="N27" s="158">
        <v>12.31644783</v>
      </c>
      <c r="O27" s="230"/>
      <c r="P27" s="230"/>
      <c r="Q27" s="230"/>
      <c r="R27" s="230"/>
      <c r="S27" s="230"/>
      <c r="T27" s="226" t="e">
        <f t="shared" si="11"/>
        <v>#DIV/0!</v>
      </c>
      <c r="U27" s="239" t="e">
        <f t="shared" si="11"/>
        <v>#DIV/0!</v>
      </c>
      <c r="V27" s="111"/>
      <c r="W27" s="112">
        <f t="shared" si="4"/>
        <v>-100</v>
      </c>
      <c r="X27" s="244" t="e">
        <f t="shared" si="4"/>
        <v>#DIV/0!</v>
      </c>
      <c r="Z27" s="31" t="s">
        <v>187</v>
      </c>
    </row>
    <row r="28" spans="1:26" s="20" customFormat="1" ht="18" customHeight="1">
      <c r="A28" s="39" t="s">
        <v>188</v>
      </c>
      <c r="B28" s="41">
        <v>-124.5</v>
      </c>
      <c r="C28" s="107">
        <v>-166.4</v>
      </c>
      <c r="D28" s="107">
        <v>-68.900000000000006</v>
      </c>
      <c r="E28" s="107">
        <v>-247.5</v>
      </c>
      <c r="F28" s="107">
        <v>-275.2</v>
      </c>
      <c r="G28" s="107">
        <v>-246.2</v>
      </c>
      <c r="H28" s="107">
        <v>-150.836333</v>
      </c>
      <c r="I28" s="107">
        <v>-181.3</v>
      </c>
      <c r="J28" s="107">
        <v>-399</v>
      </c>
      <c r="K28" s="107">
        <v>-90.231635999999995</v>
      </c>
      <c r="L28" s="156">
        <v>-135.485007</v>
      </c>
      <c r="M28" s="156">
        <v>-122.16204999999999</v>
      </c>
      <c r="N28" s="156">
        <v>-104.018246</v>
      </c>
      <c r="O28" s="233"/>
      <c r="P28" s="233"/>
      <c r="Q28" s="233"/>
      <c r="R28" s="233"/>
      <c r="S28" s="233"/>
      <c r="T28" s="225" t="e">
        <f t="shared" si="11"/>
        <v>#DIV/0!</v>
      </c>
      <c r="U28" s="238" t="e">
        <f t="shared" si="11"/>
        <v>#DIV/0!</v>
      </c>
      <c r="V28" s="50"/>
      <c r="W28" s="109">
        <f t="shared" si="4"/>
        <v>-100</v>
      </c>
      <c r="X28" s="243" t="e">
        <f t="shared" si="4"/>
        <v>#DIV/0!</v>
      </c>
      <c r="Z28" s="42" t="s">
        <v>189</v>
      </c>
    </row>
    <row r="29" spans="1:26" s="21" customFormat="1" ht="18" customHeight="1">
      <c r="A29" s="43" t="s">
        <v>190</v>
      </c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60"/>
      <c r="M29" s="160"/>
      <c r="N29" s="160"/>
      <c r="O29" s="235"/>
      <c r="P29" s="235"/>
      <c r="Q29" s="235"/>
      <c r="R29" s="235"/>
      <c r="S29" s="235"/>
      <c r="T29" s="226"/>
      <c r="U29" s="239"/>
      <c r="V29" s="53"/>
      <c r="W29" s="112"/>
      <c r="X29" s="244"/>
      <c r="Y29" s="26"/>
      <c r="Z29" s="31" t="s">
        <v>58</v>
      </c>
    </row>
    <row r="30" spans="1:26" s="21" customFormat="1" ht="18" customHeight="1">
      <c r="A30" s="43" t="s">
        <v>191</v>
      </c>
      <c r="B30" s="115">
        <v>1007.8</v>
      </c>
      <c r="C30" s="116">
        <v>1137.6071899999999</v>
      </c>
      <c r="D30" s="116">
        <v>1774.5</v>
      </c>
      <c r="E30" s="116">
        <v>1441</v>
      </c>
      <c r="F30" s="116">
        <v>1100.8999999999999</v>
      </c>
      <c r="G30" s="116">
        <v>737.1</v>
      </c>
      <c r="H30" s="116">
        <v>778.8</v>
      </c>
      <c r="I30" s="116">
        <v>1283</v>
      </c>
      <c r="J30" s="116">
        <v>916.69999999999993</v>
      </c>
      <c r="K30" s="116">
        <v>1145.9000000000001</v>
      </c>
      <c r="L30" s="161">
        <v>1187.19235</v>
      </c>
      <c r="M30" s="161">
        <v>188.39416600000001</v>
      </c>
      <c r="N30" s="161">
        <v>648.39113899999995</v>
      </c>
      <c r="O30" s="231"/>
      <c r="P30" s="231"/>
      <c r="Q30" s="231"/>
      <c r="R30" s="231"/>
      <c r="S30" s="231"/>
      <c r="T30" s="226" t="e">
        <f t="shared" si="11"/>
        <v>#DIV/0!</v>
      </c>
      <c r="U30" s="239" t="e">
        <f t="shared" si="11"/>
        <v>#DIV/0!</v>
      </c>
      <c r="V30" s="50"/>
      <c r="W30" s="112">
        <f>+((O30/N30)-1)*100</f>
        <v>-100</v>
      </c>
      <c r="X30" s="244" t="e">
        <f>+((P30/O30)-1)*100</f>
        <v>#DIV/0!</v>
      </c>
      <c r="Y30" s="26"/>
      <c r="Z30" s="117" t="s">
        <v>192</v>
      </c>
    </row>
    <row r="31" spans="1:26" s="21" customFormat="1" ht="18" customHeight="1">
      <c r="A31" s="28" t="s">
        <v>193</v>
      </c>
      <c r="B31" s="118">
        <v>392.7</v>
      </c>
      <c r="C31" s="118">
        <v>390.3</v>
      </c>
      <c r="D31" s="118">
        <v>-993.3</v>
      </c>
      <c r="E31" s="118">
        <v>-1332</v>
      </c>
      <c r="F31" s="118">
        <v>-1393</v>
      </c>
      <c r="G31" s="118">
        <v>-668.6</v>
      </c>
      <c r="H31" s="118">
        <v>584.5</v>
      </c>
      <c r="I31" s="118">
        <v>877.1</v>
      </c>
      <c r="J31" s="118">
        <v>987.6</v>
      </c>
      <c r="K31" s="118">
        <v>1806.07971</v>
      </c>
      <c r="L31" s="162">
        <v>1632.2075219999999</v>
      </c>
      <c r="M31" s="162">
        <v>1413.2714820000001</v>
      </c>
      <c r="N31" s="162">
        <v>1171.8811539999999</v>
      </c>
      <c r="O31" s="232"/>
      <c r="P31" s="232"/>
      <c r="Q31" s="232"/>
      <c r="R31" s="232"/>
      <c r="S31" s="232"/>
      <c r="T31" s="228" t="e">
        <f t="shared" si="11"/>
        <v>#DIV/0!</v>
      </c>
      <c r="U31" s="241" t="e">
        <f t="shared" si="11"/>
        <v>#DIV/0!</v>
      </c>
      <c r="V31" s="29"/>
      <c r="W31" s="155">
        <f>+((O31/N31)-1)*100</f>
        <v>-100</v>
      </c>
      <c r="X31" s="246" t="e">
        <f>+((P31/O31)-1)*100</f>
        <v>#DIV/0!</v>
      </c>
      <c r="Y31" s="151"/>
      <c r="Z31" s="30" t="s">
        <v>194</v>
      </c>
    </row>
    <row r="32" spans="1:26" s="21" customFormat="1" ht="15">
      <c r="A32" s="22" t="s">
        <v>195</v>
      </c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31" t="s">
        <v>196</v>
      </c>
    </row>
    <row r="33" spans="1:26" s="21" customFormat="1" ht="15">
      <c r="A33" s="22" t="s">
        <v>14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31" t="s">
        <v>15</v>
      </c>
    </row>
    <row r="34" spans="1:26" s="21" customFormat="1" ht="12">
      <c r="A34" s="23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</row>
    <row r="35" spans="1:26">
      <c r="T35" s="24"/>
      <c r="U35" s="24"/>
      <c r="V35" s="24"/>
      <c r="W35" s="24"/>
      <c r="X35" s="24"/>
      <c r="Y35" s="24"/>
    </row>
  </sheetData>
  <mergeCells count="9">
    <mergeCell ref="W6:X6"/>
    <mergeCell ref="T6:U6"/>
    <mergeCell ref="T5:U5"/>
    <mergeCell ref="A2:Z2"/>
    <mergeCell ref="A1:Z1"/>
    <mergeCell ref="A3:Z3"/>
    <mergeCell ref="A4:Z4"/>
    <mergeCell ref="E5:G5"/>
    <mergeCell ref="W5:X5"/>
  </mergeCells>
  <pageMargins left="0.17" right="0.16" top="0.75" bottom="0.75" header="0.3" footer="0.3"/>
  <pageSetup paperSize="9" scale="74" orientation="landscape" horizontalDpi="4294967295" verticalDpi="4294967295" r:id="rId1"/>
  <colBreaks count="1" manualBreakCount="1">
    <brk id="26" max="1048575" man="1"/>
  </colBreaks>
  <ignoredErrors>
    <ignoredError sqref="M21:Q2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52"/>
  <sheetViews>
    <sheetView tabSelected="1" zoomScale="96" zoomScaleNormal="96" zoomScaleSheetLayoutView="89" workbookViewId="0">
      <pane ySplit="7" topLeftCell="A8" activePane="bottomLeft" state="frozen"/>
      <selection pane="bottomLeft" activeCell="S9" sqref="S9"/>
    </sheetView>
  </sheetViews>
  <sheetFormatPr defaultColWidth="9.140625" defaultRowHeight="12.75"/>
  <cols>
    <col min="1" max="1" width="36.140625" style="15" customWidth="1"/>
    <col min="2" max="3" width="9.140625" style="15" hidden="1" customWidth="1"/>
    <col min="4" max="4" width="10.28515625" style="15" hidden="1" customWidth="1"/>
    <col min="5" max="5" width="9.140625" style="15" customWidth="1"/>
    <col min="6" max="6" width="10.85546875" style="15" hidden="1" customWidth="1"/>
    <col min="7" max="8" width="9.140625" style="15" customWidth="1"/>
    <col min="9" max="9" width="9.140625" style="15"/>
    <col min="10" max="12" width="9.28515625" style="15" bestFit="1" customWidth="1"/>
    <col min="13" max="15" width="9.28515625" style="15" customWidth="1"/>
    <col min="16" max="16" width="2.28515625" style="15" customWidth="1"/>
    <col min="17" max="17" width="13" style="15" customWidth="1"/>
    <col min="18" max="18" width="1" style="15" customWidth="1"/>
    <col min="19" max="19" width="12.140625" style="59" customWidth="1"/>
    <col min="20" max="20" width="2.5703125" style="59" customWidth="1"/>
    <col min="21" max="21" width="42.28515625" style="60" bestFit="1" customWidth="1"/>
    <col min="22" max="16384" width="9.140625" style="15"/>
  </cols>
  <sheetData>
    <row r="1" spans="1:22" ht="19.5">
      <c r="A1" s="292" t="s">
        <v>230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</row>
    <row r="2" spans="1:22" ht="15">
      <c r="A2" s="293" t="s">
        <v>231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</row>
    <row r="3" spans="1:22" ht="15">
      <c r="A3" s="326" t="s">
        <v>16</v>
      </c>
      <c r="B3" s="326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</row>
    <row r="4" spans="1:22">
      <c r="A4" s="327" t="s">
        <v>111</v>
      </c>
      <c r="B4" s="327"/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7"/>
      <c r="P4" s="327"/>
      <c r="Q4" s="327"/>
      <c r="R4" s="327"/>
      <c r="S4" s="327"/>
      <c r="T4" s="327"/>
      <c r="U4" s="327"/>
      <c r="V4" s="36"/>
    </row>
    <row r="5" spans="1:22" ht="29.25" customHeight="1">
      <c r="A5" s="283"/>
      <c r="B5" s="37"/>
      <c r="C5" s="37"/>
      <c r="D5" s="37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60" t="s">
        <v>107</v>
      </c>
      <c r="R5" s="258"/>
      <c r="S5" s="261" t="s">
        <v>110</v>
      </c>
      <c r="T5" s="250"/>
      <c r="U5" s="37"/>
      <c r="V5" s="36"/>
    </row>
    <row r="6" spans="1:22" s="32" customFormat="1" ht="24">
      <c r="A6" s="285" t="s">
        <v>0</v>
      </c>
      <c r="B6" s="11"/>
      <c r="C6" s="11"/>
      <c r="D6" s="11"/>
      <c r="E6" s="11" t="s">
        <v>3</v>
      </c>
      <c r="F6" s="11" t="s">
        <v>5</v>
      </c>
      <c r="G6" s="11" t="s">
        <v>3</v>
      </c>
      <c r="H6" s="11" t="s">
        <v>3</v>
      </c>
      <c r="I6" s="11" t="s">
        <v>3</v>
      </c>
      <c r="J6" s="13" t="s">
        <v>3</v>
      </c>
      <c r="K6" s="13" t="s">
        <v>3</v>
      </c>
      <c r="L6" s="13" t="s">
        <v>227</v>
      </c>
      <c r="M6" s="13" t="s">
        <v>209</v>
      </c>
      <c r="N6" s="13" t="s">
        <v>209</v>
      </c>
      <c r="O6" s="13" t="s">
        <v>209</v>
      </c>
      <c r="P6" s="11"/>
      <c r="Q6" s="262" t="s">
        <v>108</v>
      </c>
      <c r="R6" s="259"/>
      <c r="S6" s="263" t="s">
        <v>109</v>
      </c>
      <c r="T6" s="251"/>
      <c r="U6" s="284" t="s">
        <v>2</v>
      </c>
    </row>
    <row r="7" spans="1:22" s="20" customFormat="1" ht="14.25">
      <c r="A7" s="286"/>
      <c r="B7" s="33">
        <v>2008</v>
      </c>
      <c r="C7" s="33">
        <v>2009</v>
      </c>
      <c r="D7" s="33">
        <v>2010</v>
      </c>
      <c r="E7" s="33" t="s">
        <v>235</v>
      </c>
      <c r="F7" s="33">
        <v>2012</v>
      </c>
      <c r="G7" s="33">
        <v>2012</v>
      </c>
      <c r="H7" s="33">
        <v>2013</v>
      </c>
      <c r="I7" s="33">
        <v>2014</v>
      </c>
      <c r="J7" s="14">
        <v>2015</v>
      </c>
      <c r="K7" s="14">
        <v>2016</v>
      </c>
      <c r="L7" s="14">
        <v>2017</v>
      </c>
      <c r="M7" s="14">
        <v>2018</v>
      </c>
      <c r="N7" s="14">
        <v>2019</v>
      </c>
      <c r="O7" s="14">
        <v>2020</v>
      </c>
      <c r="P7" s="33"/>
      <c r="Q7" s="265">
        <v>2017</v>
      </c>
      <c r="R7" s="257"/>
      <c r="S7" s="264" t="s">
        <v>218</v>
      </c>
      <c r="U7" s="38"/>
    </row>
    <row r="8" spans="1:22" s="20" customFormat="1" ht="21" customHeight="1">
      <c r="A8" s="39" t="s">
        <v>7</v>
      </c>
      <c r="B8" s="40">
        <f t="shared" ref="B8:O8" si="0">+B10+B28</f>
        <v>10176</v>
      </c>
      <c r="C8" s="40">
        <f t="shared" si="0"/>
        <v>10953.434156000001</v>
      </c>
      <c r="D8" s="40">
        <f t="shared" si="0"/>
        <v>10815.062102899999</v>
      </c>
      <c r="E8" s="40">
        <f t="shared" si="0"/>
        <v>12264.726665999999</v>
      </c>
      <c r="F8" s="40">
        <f t="shared" si="0"/>
        <v>14145.628022305787</v>
      </c>
      <c r="G8" s="41">
        <f t="shared" si="0"/>
        <v>13110.002924999999</v>
      </c>
      <c r="H8" s="41">
        <f t="shared" si="0"/>
        <v>13530.771002489999</v>
      </c>
      <c r="I8" s="41">
        <f t="shared" si="0"/>
        <v>16417.244472999999</v>
      </c>
      <c r="J8" s="41">
        <f t="shared" si="0"/>
        <v>21336.878134909999</v>
      </c>
      <c r="K8" s="41">
        <f t="shared" si="0"/>
        <v>25262.973192969999</v>
      </c>
      <c r="L8" s="41">
        <f t="shared" si="0"/>
        <v>22166.267867457802</v>
      </c>
      <c r="M8" s="41">
        <f t="shared" si="0"/>
        <v>24715.307919999999</v>
      </c>
      <c r="N8" s="41">
        <f t="shared" si="0"/>
        <v>24542.215140599998</v>
      </c>
      <c r="O8" s="41">
        <f t="shared" si="0"/>
        <v>23360.483905999998</v>
      </c>
      <c r="P8" s="41"/>
      <c r="Q8" s="272">
        <f t="shared" ref="Q8:Q18" si="1">L8/$L$8*100</f>
        <v>100</v>
      </c>
      <c r="R8" s="273"/>
      <c r="S8" s="281">
        <f>+(L8-K8)/K8*100</f>
        <v>-12.257881532225694</v>
      </c>
      <c r="U8" s="42" t="s">
        <v>17</v>
      </c>
    </row>
    <row r="9" spans="1:22" s="20" customFormat="1" ht="21" customHeight="1">
      <c r="A9" s="39" t="s">
        <v>239</v>
      </c>
      <c r="B9" s="40">
        <f>B10+B29</f>
        <v>10342.400000000001</v>
      </c>
      <c r="C9" s="40">
        <f t="shared" ref="C9:O9" si="2">C10+C29</f>
        <v>11104.270489000002</v>
      </c>
      <c r="D9" s="40">
        <f t="shared" si="2"/>
        <v>10996.362102899999</v>
      </c>
      <c r="E9" s="40">
        <f t="shared" si="2"/>
        <v>12663.726665999999</v>
      </c>
      <c r="F9" s="40">
        <f t="shared" si="2"/>
        <v>14215.928022305787</v>
      </c>
      <c r="G9" s="40">
        <f t="shared" si="2"/>
        <v>13200.234560999999</v>
      </c>
      <c r="H9" s="40">
        <f t="shared" si="2"/>
        <v>13666.256009489998</v>
      </c>
      <c r="I9" s="40">
        <f t="shared" si="2"/>
        <v>16539.406523000001</v>
      </c>
      <c r="J9" s="40">
        <f t="shared" si="2"/>
        <v>21440.896380909999</v>
      </c>
      <c r="K9" s="40">
        <f t="shared" si="2"/>
        <v>25306.509388119997</v>
      </c>
      <c r="L9" s="40">
        <f t="shared" si="2"/>
        <v>22228.421934657803</v>
      </c>
      <c r="M9" s="40">
        <f t="shared" si="2"/>
        <v>24894.624006999999</v>
      </c>
      <c r="N9" s="40">
        <f t="shared" si="2"/>
        <v>24724.7055396</v>
      </c>
      <c r="O9" s="40">
        <f t="shared" si="2"/>
        <v>23511.400990999995</v>
      </c>
      <c r="P9" s="41"/>
      <c r="Q9" s="274">
        <f t="shared" si="1"/>
        <v>100.28039933276838</v>
      </c>
      <c r="R9" s="273"/>
      <c r="S9" s="281">
        <f>+(L9-K9)/K9*100</f>
        <v>-12.163224118562892</v>
      </c>
      <c r="U9" s="42" t="s">
        <v>236</v>
      </c>
    </row>
    <row r="10" spans="1:22" s="20" customFormat="1" ht="21" customHeight="1">
      <c r="A10" s="39" t="s">
        <v>10</v>
      </c>
      <c r="B10" s="40">
        <f t="shared" ref="B10:O10" si="3">+B11+B24+B25</f>
        <v>7463.2000000000007</v>
      </c>
      <c r="C10" s="40">
        <f t="shared" si="3"/>
        <v>8764.9308290000008</v>
      </c>
      <c r="D10" s="40">
        <f t="shared" si="3"/>
        <v>8428.0733739999996</v>
      </c>
      <c r="E10" s="40">
        <f t="shared" si="3"/>
        <v>9075.7434510000003</v>
      </c>
      <c r="F10" s="40">
        <f t="shared" si="3"/>
        <v>10522.12938529569</v>
      </c>
      <c r="G10" s="41">
        <f t="shared" si="3"/>
        <v>10316.485255</v>
      </c>
      <c r="H10" s="41">
        <f t="shared" si="3"/>
        <v>11573.214585849999</v>
      </c>
      <c r="I10" s="41">
        <f t="shared" si="3"/>
        <v>13960.001397</v>
      </c>
      <c r="J10" s="41">
        <f t="shared" si="3"/>
        <v>16733.74419112</v>
      </c>
      <c r="K10" s="41">
        <f t="shared" si="3"/>
        <v>16141.004692499997</v>
      </c>
      <c r="L10" s="41">
        <f t="shared" si="3"/>
        <v>15105.86330292419</v>
      </c>
      <c r="M10" s="41">
        <f t="shared" si="3"/>
        <v>16066.226923999999</v>
      </c>
      <c r="N10" s="41">
        <f t="shared" si="3"/>
        <v>15948.499093999999</v>
      </c>
      <c r="O10" s="41">
        <f t="shared" si="3"/>
        <v>16108.904001999997</v>
      </c>
      <c r="P10" s="41"/>
      <c r="Q10" s="274">
        <f t="shared" si="1"/>
        <v>68.147977788814146</v>
      </c>
      <c r="R10" s="273"/>
      <c r="S10" s="281">
        <f>+(L10-K10)/K10*100</f>
        <v>-6.4131162173367731</v>
      </c>
      <c r="U10" s="18" t="s">
        <v>11</v>
      </c>
    </row>
    <row r="11" spans="1:22" s="21" customFormat="1" ht="21" customHeight="1">
      <c r="A11" s="39" t="s">
        <v>18</v>
      </c>
      <c r="B11" s="41">
        <f t="shared" ref="B11:H11" si="4">SUM(B12:B23)</f>
        <v>6704.0000000000009</v>
      </c>
      <c r="C11" s="41">
        <f t="shared" si="4"/>
        <v>7725.4148610000011</v>
      </c>
      <c r="D11" s="41">
        <f t="shared" si="4"/>
        <v>7113.477116</v>
      </c>
      <c r="E11" s="41">
        <f t="shared" si="4"/>
        <v>7352.3074530000004</v>
      </c>
      <c r="F11" s="41">
        <f t="shared" si="4"/>
        <v>8817.3874749850675</v>
      </c>
      <c r="G11" s="41">
        <f t="shared" si="4"/>
        <v>8519.2447279999997</v>
      </c>
      <c r="H11" s="41">
        <f t="shared" si="4"/>
        <v>8842.2643139699994</v>
      </c>
      <c r="I11" s="41">
        <f>SUM(I12:I23)</f>
        <v>10437.031647</v>
      </c>
      <c r="J11" s="41">
        <f t="shared" ref="J11:O11" si="5">SUM(J12:J23)</f>
        <v>13631.306274120001</v>
      </c>
      <c r="K11" s="41">
        <f t="shared" si="5"/>
        <v>13953.813229789997</v>
      </c>
      <c r="L11" s="41">
        <f t="shared" si="5"/>
        <v>13085.459871669191</v>
      </c>
      <c r="M11" s="41">
        <f t="shared" si="5"/>
        <v>13521.720299999999</v>
      </c>
      <c r="N11" s="41">
        <f t="shared" si="5"/>
        <v>13319.262460999998</v>
      </c>
      <c r="O11" s="41">
        <f t="shared" si="5"/>
        <v>13374.099202999998</v>
      </c>
      <c r="P11" s="41"/>
      <c r="Q11" s="274">
        <f t="shared" si="1"/>
        <v>59.033211860079945</v>
      </c>
      <c r="R11" s="273"/>
      <c r="S11" s="281">
        <f>+(L11-K11)/K11*100</f>
        <v>-6.2230541846938223</v>
      </c>
      <c r="U11" s="266" t="s">
        <v>19</v>
      </c>
    </row>
    <row r="12" spans="1:22" s="21" customFormat="1" ht="15">
      <c r="A12" s="43" t="s">
        <v>20</v>
      </c>
      <c r="B12" s="288">
        <v>2588.9</v>
      </c>
      <c r="C12" s="289">
        <v>2944.8222249999999</v>
      </c>
      <c r="D12" s="289">
        <v>2486.4620610000002</v>
      </c>
      <c r="E12" s="289">
        <v>2596.3040620000002</v>
      </c>
      <c r="F12" s="289">
        <v>2527.3335364730301</v>
      </c>
      <c r="G12" s="289">
        <v>2722.7159489999999</v>
      </c>
      <c r="H12" s="289">
        <v>3283.7425111899997</v>
      </c>
      <c r="I12" s="289">
        <v>3392.859852</v>
      </c>
      <c r="J12" s="289">
        <v>3929.2445547999996</v>
      </c>
      <c r="K12" s="289">
        <v>4029.6268312199995</v>
      </c>
      <c r="L12" s="289">
        <v>4002.0748706899944</v>
      </c>
      <c r="M12" s="289">
        <v>4092.0910159999999</v>
      </c>
      <c r="N12" s="289">
        <v>4073.2798750000002</v>
      </c>
      <c r="O12" s="289">
        <v>4073.2848749999998</v>
      </c>
      <c r="P12" s="289"/>
      <c r="Q12" s="290">
        <f t="shared" si="1"/>
        <v>18.054797923674933</v>
      </c>
      <c r="R12" s="275"/>
      <c r="S12" s="287">
        <f t="shared" ref="S12:S17" si="6">+(L12-K12)/K12*100</f>
        <v>-0.68373478944856858</v>
      </c>
      <c r="U12" s="266" t="s">
        <v>21</v>
      </c>
    </row>
    <row r="13" spans="1:22" s="21" customFormat="1" ht="15">
      <c r="A13" s="43" t="s">
        <v>22</v>
      </c>
      <c r="B13" s="288">
        <v>977.2</v>
      </c>
      <c r="C13" s="289">
        <v>1797.9487119999999</v>
      </c>
      <c r="D13" s="289">
        <v>1691.8551520000001</v>
      </c>
      <c r="E13" s="289">
        <v>1684.651282</v>
      </c>
      <c r="F13" s="289">
        <v>1693.9412848249981</v>
      </c>
      <c r="G13" s="289">
        <v>1836.5324539999999</v>
      </c>
      <c r="H13" s="289">
        <v>2321.9727118199999</v>
      </c>
      <c r="I13" s="289">
        <v>2435.6551049999998</v>
      </c>
      <c r="J13" s="289">
        <v>2891.4520778200003</v>
      </c>
      <c r="K13" s="289">
        <v>2868.9035563300004</v>
      </c>
      <c r="L13" s="289">
        <v>3085.6965324169978</v>
      </c>
      <c r="M13" s="289">
        <v>3465.873877</v>
      </c>
      <c r="N13" s="289">
        <v>3464.1750769999999</v>
      </c>
      <c r="O13" s="289">
        <v>3464.1750769999999</v>
      </c>
      <c r="P13" s="289"/>
      <c r="Q13" s="290">
        <f t="shared" si="1"/>
        <v>13.92068593083771</v>
      </c>
      <c r="R13" s="275"/>
      <c r="S13" s="287">
        <f t="shared" si="6"/>
        <v>7.5566491459310825</v>
      </c>
      <c r="U13" s="266" t="s">
        <v>23</v>
      </c>
    </row>
    <row r="14" spans="1:22" s="21" customFormat="1" ht="15">
      <c r="A14" s="43" t="s">
        <v>24</v>
      </c>
      <c r="B14" s="288">
        <v>126.3</v>
      </c>
      <c r="C14" s="289">
        <v>286.51753100000002</v>
      </c>
      <c r="D14" s="289">
        <v>155.387157</v>
      </c>
      <c r="E14" s="289">
        <v>146.63359800000001</v>
      </c>
      <c r="F14" s="289">
        <v>159.16254198666658</v>
      </c>
      <c r="G14" s="289">
        <v>157.925938</v>
      </c>
      <c r="H14" s="289">
        <v>321.28531844000003</v>
      </c>
      <c r="I14" s="289">
        <v>192.40862899999999</v>
      </c>
      <c r="J14" s="289">
        <v>904.71419108000009</v>
      </c>
      <c r="K14" s="289">
        <v>927.20913623999991</v>
      </c>
      <c r="L14" s="289">
        <v>944.85332624649971</v>
      </c>
      <c r="M14" s="289">
        <v>956.08498399999996</v>
      </c>
      <c r="N14" s="289">
        <v>970.34712200000001</v>
      </c>
      <c r="O14" s="289">
        <v>985.28073800000004</v>
      </c>
      <c r="P14" s="289"/>
      <c r="Q14" s="290">
        <f t="shared" si="1"/>
        <v>4.2625728963315224</v>
      </c>
      <c r="R14" s="275"/>
      <c r="S14" s="287">
        <f t="shared" si="6"/>
        <v>1.9029353051944857</v>
      </c>
      <c r="U14" s="266" t="s">
        <v>25</v>
      </c>
    </row>
    <row r="15" spans="1:22" s="21" customFormat="1" ht="15">
      <c r="A15" s="43" t="s">
        <v>26</v>
      </c>
      <c r="B15" s="288">
        <v>173.5</v>
      </c>
      <c r="C15" s="289">
        <v>133.39837399999999</v>
      </c>
      <c r="D15" s="289">
        <v>103.018094</v>
      </c>
      <c r="E15" s="289">
        <v>136.514331</v>
      </c>
      <c r="F15" s="289">
        <v>138.30028738441143</v>
      </c>
      <c r="G15" s="289">
        <v>139.60034300000001</v>
      </c>
      <c r="H15" s="289">
        <v>118.49545676999999</v>
      </c>
      <c r="I15" s="289">
        <v>133.54383899999999</v>
      </c>
      <c r="J15" s="289">
        <v>188.85908920000003</v>
      </c>
      <c r="K15" s="289">
        <v>186.86977014999999</v>
      </c>
      <c r="L15" s="289">
        <v>145.43727314</v>
      </c>
      <c r="M15" s="289">
        <v>100.316063</v>
      </c>
      <c r="N15" s="289">
        <v>91.989492999999996</v>
      </c>
      <c r="O15" s="289">
        <v>93.831228999999993</v>
      </c>
      <c r="P15" s="289"/>
      <c r="Q15" s="290">
        <f t="shared" si="1"/>
        <v>0.65611980334098463</v>
      </c>
      <c r="R15" s="275"/>
      <c r="S15" s="287">
        <f t="shared" si="6"/>
        <v>-22.171856355761665</v>
      </c>
      <c r="U15" s="266" t="s">
        <v>27</v>
      </c>
    </row>
    <row r="16" spans="1:22" s="21" customFormat="1" ht="15">
      <c r="A16" s="43" t="s">
        <v>116</v>
      </c>
      <c r="B16" s="252">
        <v>0</v>
      </c>
      <c r="C16" s="252">
        <v>0</v>
      </c>
      <c r="D16" s="252">
        <v>0</v>
      </c>
      <c r="E16" s="336">
        <v>225.83264</v>
      </c>
      <c r="F16" s="289"/>
      <c r="G16" s="289">
        <v>308.01030900000001</v>
      </c>
      <c r="H16" s="289">
        <v>274.06769034999996</v>
      </c>
      <c r="I16" s="289">
        <v>305.657895</v>
      </c>
      <c r="J16" s="289">
        <v>415.17217681</v>
      </c>
      <c r="K16" s="289">
        <v>456.03143373999984</v>
      </c>
      <c r="L16" s="289">
        <v>210.68096718000001</v>
      </c>
      <c r="M16" s="289">
        <v>293.49715600000002</v>
      </c>
      <c r="N16" s="289">
        <v>261.22220299999998</v>
      </c>
      <c r="O16" s="289">
        <v>265.02726000000001</v>
      </c>
      <c r="P16" s="289"/>
      <c r="Q16" s="290">
        <f t="shared" si="1"/>
        <v>0.95045755307008528</v>
      </c>
      <c r="R16" s="275"/>
      <c r="S16" s="287">
        <f t="shared" si="6"/>
        <v>-53.801218163369647</v>
      </c>
      <c r="U16" s="266" t="s">
        <v>117</v>
      </c>
    </row>
    <row r="17" spans="1:21" s="21" customFormat="1" ht="15">
      <c r="A17" s="43" t="s">
        <v>28</v>
      </c>
      <c r="B17" s="288">
        <v>435.7</v>
      </c>
      <c r="C17" s="289">
        <v>345.66474499999998</v>
      </c>
      <c r="D17" s="289">
        <v>315.84864700000003</v>
      </c>
      <c r="E17" s="289">
        <v>420.99627099999998</v>
      </c>
      <c r="F17" s="289">
        <v>387.57731545110539</v>
      </c>
      <c r="G17" s="289">
        <v>496.65301599999998</v>
      </c>
      <c r="H17" s="289">
        <v>537.30073173999995</v>
      </c>
      <c r="I17" s="289">
        <v>825.74070600000005</v>
      </c>
      <c r="J17" s="289">
        <v>1218.26251843</v>
      </c>
      <c r="K17" s="289">
        <v>1181.3357782100002</v>
      </c>
      <c r="L17" s="289">
        <v>1126.3111442700001</v>
      </c>
      <c r="M17" s="289">
        <v>1167.2636809999999</v>
      </c>
      <c r="N17" s="289">
        <v>1167.021665</v>
      </c>
      <c r="O17" s="289">
        <v>1183.462409</v>
      </c>
      <c r="P17" s="289"/>
      <c r="Q17" s="290">
        <f t="shared" si="1"/>
        <v>5.081194321952287</v>
      </c>
      <c r="R17" s="275"/>
      <c r="S17" s="287">
        <f t="shared" si="6"/>
        <v>-4.6578318336701221</v>
      </c>
      <c r="U17" s="266" t="s">
        <v>29</v>
      </c>
    </row>
    <row r="18" spans="1:21" s="21" customFormat="1" ht="15">
      <c r="A18" s="43" t="s">
        <v>30</v>
      </c>
      <c r="B18" s="288">
        <v>181.1</v>
      </c>
      <c r="C18" s="289">
        <v>138.21754999999999</v>
      </c>
      <c r="D18" s="289">
        <v>121.898888</v>
      </c>
      <c r="E18" s="289">
        <v>127.86300199999999</v>
      </c>
      <c r="F18" s="289">
        <v>121.2473748227352</v>
      </c>
      <c r="G18" s="289">
        <v>195.09169399999999</v>
      </c>
      <c r="H18" s="289">
        <v>99.355695399999988</v>
      </c>
      <c r="I18" s="289">
        <v>216.49781200000001</v>
      </c>
      <c r="J18" s="289">
        <v>386.44576319000004</v>
      </c>
      <c r="K18" s="289">
        <v>316.02278891999981</v>
      </c>
      <c r="L18" s="289">
        <v>181.05635178500003</v>
      </c>
      <c r="M18" s="289">
        <v>129.015919</v>
      </c>
      <c r="N18" s="289">
        <v>65.899173000000005</v>
      </c>
      <c r="O18" s="289">
        <v>67.140287000000001</v>
      </c>
      <c r="P18" s="289"/>
      <c r="Q18" s="290">
        <f t="shared" si="1"/>
        <v>0.81681026714834593</v>
      </c>
      <c r="R18" s="275"/>
      <c r="S18" s="287">
        <f>+(L18-K18)/K18*100</f>
        <v>-42.707817874857788</v>
      </c>
      <c r="U18" s="266" t="s">
        <v>31</v>
      </c>
    </row>
    <row r="19" spans="1:21" s="21" customFormat="1" ht="15" customHeight="1">
      <c r="A19" s="43" t="s">
        <v>32</v>
      </c>
      <c r="B19" s="328">
        <v>1044.5999999999999</v>
      </c>
      <c r="C19" s="329">
        <v>883.85667899999999</v>
      </c>
      <c r="D19" s="329">
        <v>864.94494099999997</v>
      </c>
      <c r="E19" s="330">
        <v>990.785977</v>
      </c>
      <c r="F19" s="331">
        <v>1009.8796036041454</v>
      </c>
      <c r="G19" s="331">
        <v>1035.3256839999999</v>
      </c>
      <c r="H19" s="331">
        <v>1038.28734955</v>
      </c>
      <c r="I19" s="331">
        <v>1366</v>
      </c>
      <c r="J19" s="331">
        <v>2050.2554301199998</v>
      </c>
      <c r="K19" s="337">
        <v>1633.9390962599996</v>
      </c>
      <c r="L19" s="337">
        <v>1614.2395357807</v>
      </c>
      <c r="M19" s="337">
        <v>1862.8661959999999</v>
      </c>
      <c r="N19" s="337">
        <v>1750.9196340000001</v>
      </c>
      <c r="O19" s="337">
        <v>1741.824836</v>
      </c>
      <c r="P19" s="44"/>
      <c r="Q19" s="325">
        <f>L19/L$8*100</f>
        <v>7.2824146375608763</v>
      </c>
      <c r="R19" s="275"/>
      <c r="S19" s="332">
        <f>+(L19-K19)/K19*100</f>
        <v>-1.2056483943857448</v>
      </c>
      <c r="U19" s="266" t="s">
        <v>33</v>
      </c>
    </row>
    <row r="20" spans="1:21" s="21" customFormat="1" ht="15">
      <c r="A20" s="43" t="s">
        <v>34</v>
      </c>
      <c r="B20" s="328"/>
      <c r="C20" s="329"/>
      <c r="D20" s="329"/>
      <c r="E20" s="330"/>
      <c r="F20" s="331"/>
      <c r="G20" s="331"/>
      <c r="H20" s="331"/>
      <c r="I20" s="331"/>
      <c r="J20" s="331"/>
      <c r="K20" s="337"/>
      <c r="L20" s="337"/>
      <c r="M20" s="337"/>
      <c r="N20" s="337"/>
      <c r="O20" s="337"/>
      <c r="P20" s="44"/>
      <c r="Q20" s="325"/>
      <c r="R20" s="275"/>
      <c r="S20" s="332"/>
      <c r="U20" s="266" t="s">
        <v>35</v>
      </c>
    </row>
    <row r="21" spans="1:21" s="21" customFormat="1" ht="15">
      <c r="A21" s="43" t="s">
        <v>36</v>
      </c>
      <c r="B21" s="328">
        <v>21.2</v>
      </c>
      <c r="C21" s="329">
        <v>16.188054000000001</v>
      </c>
      <c r="D21" s="329">
        <v>13.388978</v>
      </c>
      <c r="E21" s="329">
        <v>17.164441</v>
      </c>
      <c r="F21" s="329">
        <v>23.852456573333328</v>
      </c>
      <c r="G21" s="329">
        <v>32.124121000000002</v>
      </c>
      <c r="H21" s="329">
        <v>24.469034969999999</v>
      </c>
      <c r="I21" s="329">
        <v>29.4</v>
      </c>
      <c r="J21" s="329">
        <v>37.105308000000001</v>
      </c>
      <c r="K21" s="329">
        <v>26.478656230000009</v>
      </c>
      <c r="L21" s="338">
        <v>29.24299516</v>
      </c>
      <c r="M21" s="338">
        <v>28.499179000000002</v>
      </c>
      <c r="N21" s="338">
        <v>29.090969000000001</v>
      </c>
      <c r="O21" s="338">
        <v>29.699176000000001</v>
      </c>
      <c r="P21" s="45"/>
      <c r="Q21" s="325">
        <f>L21/L$8*100</f>
        <v>0.1319256599029533</v>
      </c>
      <c r="R21" s="275"/>
      <c r="S21" s="332">
        <f>+(L21-K21)/K21*100</f>
        <v>10.439876200620885</v>
      </c>
      <c r="U21" s="266" t="s">
        <v>37</v>
      </c>
    </row>
    <row r="22" spans="1:21" s="20" customFormat="1" ht="15">
      <c r="A22" s="43" t="s">
        <v>38</v>
      </c>
      <c r="B22" s="328"/>
      <c r="C22" s="329"/>
      <c r="D22" s="329"/>
      <c r="E22" s="329"/>
      <c r="F22" s="329"/>
      <c r="G22" s="329"/>
      <c r="H22" s="329"/>
      <c r="I22" s="329"/>
      <c r="J22" s="329"/>
      <c r="K22" s="329"/>
      <c r="L22" s="338"/>
      <c r="M22" s="338"/>
      <c r="N22" s="338"/>
      <c r="O22" s="338"/>
      <c r="P22" s="45"/>
      <c r="Q22" s="325"/>
      <c r="R22" s="275"/>
      <c r="S22" s="332"/>
      <c r="U22" s="266" t="s">
        <v>39</v>
      </c>
    </row>
    <row r="23" spans="1:21" s="20" customFormat="1" ht="15">
      <c r="A23" s="43" t="s">
        <v>40</v>
      </c>
      <c r="B23" s="288">
        <v>1155.5</v>
      </c>
      <c r="C23" s="289">
        <v>1178.8009910000001</v>
      </c>
      <c r="D23" s="289">
        <v>1360.673198</v>
      </c>
      <c r="E23" s="289">
        <v>1005.5618490000001</v>
      </c>
      <c r="F23" s="289">
        <v>2756.0930738646425</v>
      </c>
      <c r="G23" s="289">
        <v>1595.26522</v>
      </c>
      <c r="H23" s="289">
        <v>823.28781374000005</v>
      </c>
      <c r="I23" s="289">
        <v>1539.2678089999999</v>
      </c>
      <c r="J23" s="289">
        <v>1609.7951646700001</v>
      </c>
      <c r="K23" s="289">
        <v>2327.3961824900007</v>
      </c>
      <c r="L23" s="289">
        <v>1745.8668749999997</v>
      </c>
      <c r="M23" s="289">
        <v>1426.212229</v>
      </c>
      <c r="N23" s="289">
        <v>1445.3172500000001</v>
      </c>
      <c r="O23" s="289">
        <v>1470.3733159999999</v>
      </c>
      <c r="P23" s="289"/>
      <c r="Q23" s="290">
        <f t="shared" ref="Q23:Q35" si="7">L23/L$8*100</f>
        <v>7.8762328662602643</v>
      </c>
      <c r="R23" s="275"/>
      <c r="S23" s="287">
        <f t="shared" ref="S23:S30" si="8">+(L23-K23)/K23*100</f>
        <v>-24.986261980882123</v>
      </c>
      <c r="U23" s="266" t="s">
        <v>41</v>
      </c>
    </row>
    <row r="24" spans="1:21" s="21" customFormat="1" ht="15">
      <c r="A24" s="39" t="s">
        <v>42</v>
      </c>
      <c r="B24" s="46">
        <v>280</v>
      </c>
      <c r="C24" s="41">
        <v>617.87877800000001</v>
      </c>
      <c r="D24" s="41">
        <v>675.78201999999999</v>
      </c>
      <c r="E24" s="41">
        <v>725.78473299999996</v>
      </c>
      <c r="F24" s="41">
        <v>924.91904556651195</v>
      </c>
      <c r="G24" s="254">
        <v>1107.0812289999999</v>
      </c>
      <c r="H24" s="254">
        <v>956.72619699999996</v>
      </c>
      <c r="I24" s="254">
        <v>978.34736899999996</v>
      </c>
      <c r="J24" s="254">
        <v>1347.6498610000001</v>
      </c>
      <c r="K24" s="41">
        <v>1182.28911582</v>
      </c>
      <c r="L24" s="41">
        <v>1265.820565</v>
      </c>
      <c r="M24" s="41">
        <v>1436.5223129999999</v>
      </c>
      <c r="N24" s="41">
        <v>1510.737936</v>
      </c>
      <c r="O24" s="41">
        <v>1605.581428</v>
      </c>
      <c r="P24" s="41"/>
      <c r="Q24" s="274">
        <f t="shared" si="7"/>
        <v>5.7105714528440998</v>
      </c>
      <c r="R24" s="273"/>
      <c r="S24" s="281">
        <f t="shared" si="8"/>
        <v>7.0652303283757361</v>
      </c>
      <c r="U24" s="18" t="s">
        <v>43</v>
      </c>
    </row>
    <row r="25" spans="1:21" s="21" customFormat="1" ht="15">
      <c r="A25" s="39" t="s">
        <v>44</v>
      </c>
      <c r="B25" s="41">
        <f t="shared" ref="B25:O25" si="9">SUM(B26:B27)</f>
        <v>479.2</v>
      </c>
      <c r="C25" s="41">
        <f t="shared" si="9"/>
        <v>421.63718999999998</v>
      </c>
      <c r="D25" s="41">
        <f t="shared" si="9"/>
        <v>638.81423799999993</v>
      </c>
      <c r="E25" s="41">
        <f t="shared" si="9"/>
        <v>997.65126500000008</v>
      </c>
      <c r="F25" s="41">
        <f t="shared" si="9"/>
        <v>779.82286474411012</v>
      </c>
      <c r="G25" s="41">
        <f t="shared" si="9"/>
        <v>690.15929800000004</v>
      </c>
      <c r="H25" s="41">
        <f t="shared" si="9"/>
        <v>1774.22407488</v>
      </c>
      <c r="I25" s="41">
        <f t="shared" si="9"/>
        <v>2544.6223810000001</v>
      </c>
      <c r="J25" s="41">
        <f t="shared" si="9"/>
        <v>1754.7880560000001</v>
      </c>
      <c r="K25" s="41">
        <f t="shared" si="9"/>
        <v>1004.9023468899991</v>
      </c>
      <c r="L25" s="41">
        <f t="shared" si="9"/>
        <v>754.58286625499898</v>
      </c>
      <c r="M25" s="41">
        <f t="shared" si="9"/>
        <v>1107.9843110000002</v>
      </c>
      <c r="N25" s="41">
        <f t="shared" si="9"/>
        <v>1118.498697</v>
      </c>
      <c r="O25" s="41">
        <f t="shared" si="9"/>
        <v>1129.223371</v>
      </c>
      <c r="P25" s="41"/>
      <c r="Q25" s="274">
        <f t="shared" si="7"/>
        <v>3.4041944758900917</v>
      </c>
      <c r="R25" s="273"/>
      <c r="S25" s="281">
        <f t="shared" si="8"/>
        <v>-24.909831428864315</v>
      </c>
      <c r="U25" s="18" t="s">
        <v>45</v>
      </c>
    </row>
    <row r="26" spans="1:21" s="20" customFormat="1" ht="15">
      <c r="A26" s="47" t="s">
        <v>46</v>
      </c>
      <c r="B26" s="288">
        <v>409.5</v>
      </c>
      <c r="C26" s="289">
        <v>326.71006599999998</v>
      </c>
      <c r="D26" s="289">
        <v>389.53778699999998</v>
      </c>
      <c r="E26" s="289">
        <v>748.89331000000004</v>
      </c>
      <c r="F26" s="289">
        <v>524.65218775999983</v>
      </c>
      <c r="G26" s="289">
        <v>442.056106</v>
      </c>
      <c r="H26" s="289">
        <v>1308.5437119999999</v>
      </c>
      <c r="I26" s="289">
        <v>1338.103672</v>
      </c>
      <c r="J26" s="289">
        <v>1236.8888260000001</v>
      </c>
      <c r="K26" s="289">
        <v>492.59633237999998</v>
      </c>
      <c r="L26" s="289">
        <v>242.20929495999997</v>
      </c>
      <c r="M26" s="289">
        <v>594</v>
      </c>
      <c r="N26" s="289">
        <v>594.24</v>
      </c>
      <c r="O26" s="289">
        <v>594.48479999999995</v>
      </c>
      <c r="P26" s="289"/>
      <c r="Q26" s="290">
        <f t="shared" si="7"/>
        <v>1.0926931696769142</v>
      </c>
      <c r="R26" s="275"/>
      <c r="S26" s="287">
        <f t="shared" si="8"/>
        <v>-50.830065301185755</v>
      </c>
      <c r="U26" s="266" t="s">
        <v>47</v>
      </c>
    </row>
    <row r="27" spans="1:21" s="21" customFormat="1" ht="15">
      <c r="A27" s="43" t="s">
        <v>48</v>
      </c>
      <c r="B27" s="288">
        <v>69.7</v>
      </c>
      <c r="C27" s="289">
        <v>94.927124000000006</v>
      </c>
      <c r="D27" s="289">
        <v>249.27645100000001</v>
      </c>
      <c r="E27" s="289">
        <v>248.75795500000001</v>
      </c>
      <c r="F27" s="289">
        <v>255.17067698411032</v>
      </c>
      <c r="G27" s="289">
        <v>248.10319200000001</v>
      </c>
      <c r="H27" s="289">
        <v>465.68036288000002</v>
      </c>
      <c r="I27" s="289">
        <v>1206.5187089999999</v>
      </c>
      <c r="J27" s="289">
        <v>517.89922999999999</v>
      </c>
      <c r="K27" s="289">
        <v>512.30601450999905</v>
      </c>
      <c r="L27" s="289">
        <v>512.37357129499901</v>
      </c>
      <c r="M27" s="289">
        <v>513.98431100000005</v>
      </c>
      <c r="N27" s="289">
        <v>524.25869699999998</v>
      </c>
      <c r="O27" s="289">
        <v>534.73857099999998</v>
      </c>
      <c r="P27" s="289"/>
      <c r="Q27" s="290">
        <f t="shared" si="7"/>
        <v>2.3115013062131777</v>
      </c>
      <c r="R27" s="275"/>
      <c r="S27" s="287">
        <f t="shared" si="8"/>
        <v>1.3186803021350562E-2</v>
      </c>
      <c r="U27" s="266" t="s">
        <v>49</v>
      </c>
    </row>
    <row r="28" spans="1:21" s="20" customFormat="1" ht="15">
      <c r="A28" s="39" t="s">
        <v>50</v>
      </c>
      <c r="B28" s="40">
        <f t="shared" ref="B28:K28" si="10">+B29+B35</f>
        <v>2712.7999999999997</v>
      </c>
      <c r="C28" s="40">
        <f t="shared" si="10"/>
        <v>2188.5033270000004</v>
      </c>
      <c r="D28" s="40">
        <f t="shared" si="10"/>
        <v>2386.9887288999994</v>
      </c>
      <c r="E28" s="40">
        <f t="shared" si="10"/>
        <v>3188.9832149999993</v>
      </c>
      <c r="F28" s="40">
        <f t="shared" si="10"/>
        <v>3623.4986370100969</v>
      </c>
      <c r="G28" s="41">
        <f t="shared" si="10"/>
        <v>2793.5176699999997</v>
      </c>
      <c r="H28" s="41">
        <f t="shared" si="10"/>
        <v>1957.5564166399993</v>
      </c>
      <c r="I28" s="41">
        <f t="shared" si="10"/>
        <v>2457.2430760000007</v>
      </c>
      <c r="J28" s="41">
        <f t="shared" si="10"/>
        <v>4603.1339437899996</v>
      </c>
      <c r="K28" s="41">
        <f t="shared" si="10"/>
        <v>9121.9685004700004</v>
      </c>
      <c r="L28" s="41">
        <f t="shared" ref="L28:O28" si="11">+L29+L35</f>
        <v>7060.4045645336128</v>
      </c>
      <c r="M28" s="41">
        <f t="shared" si="11"/>
        <v>8649.0809960000006</v>
      </c>
      <c r="N28" s="41">
        <f t="shared" si="11"/>
        <v>8593.7160466000005</v>
      </c>
      <c r="O28" s="41">
        <f t="shared" si="11"/>
        <v>7251.5799039999993</v>
      </c>
      <c r="P28" s="41"/>
      <c r="Q28" s="274">
        <f t="shared" si="7"/>
        <v>31.852022211185862</v>
      </c>
      <c r="R28" s="273"/>
      <c r="S28" s="281">
        <f t="shared" si="8"/>
        <v>-22.599989638532161</v>
      </c>
      <c r="U28" s="18" t="s">
        <v>51</v>
      </c>
    </row>
    <row r="29" spans="1:21" s="21" customFormat="1" ht="15">
      <c r="A29" s="39" t="s">
        <v>52</v>
      </c>
      <c r="B29" s="41">
        <f t="shared" ref="B29:O29" si="12">SUM(B30:B34)</f>
        <v>2879.2</v>
      </c>
      <c r="C29" s="41">
        <f t="shared" si="12"/>
        <v>2339.3396600000005</v>
      </c>
      <c r="D29" s="41">
        <f t="shared" si="12"/>
        <v>2568.2887288999996</v>
      </c>
      <c r="E29" s="41">
        <f t="shared" si="12"/>
        <v>3587.9832149999993</v>
      </c>
      <c r="F29" s="41">
        <f t="shared" si="12"/>
        <v>3693.7986370100971</v>
      </c>
      <c r="G29" s="41">
        <f t="shared" si="12"/>
        <v>2883.7493059999997</v>
      </c>
      <c r="H29" s="41">
        <f t="shared" si="12"/>
        <v>2093.0414236399993</v>
      </c>
      <c r="I29" s="41">
        <f t="shared" si="12"/>
        <v>2579.4051260000006</v>
      </c>
      <c r="J29" s="41">
        <f t="shared" si="12"/>
        <v>4707.1521897899993</v>
      </c>
      <c r="K29" s="41">
        <f t="shared" si="12"/>
        <v>9165.5046956200003</v>
      </c>
      <c r="L29" s="41">
        <f t="shared" si="12"/>
        <v>7122.5586317336129</v>
      </c>
      <c r="M29" s="41">
        <f t="shared" si="12"/>
        <v>8828.3970829999998</v>
      </c>
      <c r="N29" s="41">
        <f t="shared" si="12"/>
        <v>8776.2064456000007</v>
      </c>
      <c r="O29" s="41">
        <f t="shared" si="12"/>
        <v>7402.4969889999993</v>
      </c>
      <c r="P29" s="41"/>
      <c r="Q29" s="274">
        <f t="shared" si="7"/>
        <v>32.132421543954223</v>
      </c>
      <c r="R29" s="273"/>
      <c r="S29" s="281">
        <f t="shared" si="8"/>
        <v>-22.289509762213836</v>
      </c>
      <c r="U29" s="18" t="s">
        <v>53</v>
      </c>
    </row>
    <row r="30" spans="1:21" s="20" customFormat="1" ht="15">
      <c r="A30" s="43" t="s">
        <v>54</v>
      </c>
      <c r="B30" s="289">
        <v>1098</v>
      </c>
      <c r="C30" s="289">
        <v>738.42376899999999</v>
      </c>
      <c r="D30" s="289">
        <v>1256.347945</v>
      </c>
      <c r="E30" s="289">
        <v>1327.61689</v>
      </c>
      <c r="F30" s="289">
        <v>1891.8309750000001</v>
      </c>
      <c r="G30" s="289">
        <v>1131.645327</v>
      </c>
      <c r="H30" s="289">
        <v>1176.9269400000001</v>
      </c>
      <c r="I30" s="289">
        <v>188.39416600000001</v>
      </c>
      <c r="J30" s="289">
        <v>635.05139099999997</v>
      </c>
      <c r="K30" s="289">
        <v>2801.4434660000002</v>
      </c>
      <c r="L30" s="289">
        <v>2401.456169</v>
      </c>
      <c r="M30" s="289">
        <v>2849.866575</v>
      </c>
      <c r="N30" s="289">
        <v>4436.4019790000002</v>
      </c>
      <c r="O30" s="289">
        <v>5253.0323340000004</v>
      </c>
      <c r="P30" s="289"/>
      <c r="Q30" s="290">
        <f t="shared" si="7"/>
        <v>10.833831763467801</v>
      </c>
      <c r="R30" s="275"/>
      <c r="S30" s="287">
        <f t="shared" si="8"/>
        <v>-14.277900013135589</v>
      </c>
      <c r="U30" s="266" t="s">
        <v>55</v>
      </c>
    </row>
    <row r="31" spans="1:21" s="20" customFormat="1" ht="15">
      <c r="A31" s="43" t="s">
        <v>202</v>
      </c>
      <c r="B31" s="255">
        <v>0</v>
      </c>
      <c r="C31" s="255">
        <v>0</v>
      </c>
      <c r="D31" s="255">
        <v>0</v>
      </c>
      <c r="E31" s="255">
        <v>0</v>
      </c>
      <c r="F31" s="255">
        <v>0</v>
      </c>
      <c r="G31" s="256">
        <v>0</v>
      </c>
      <c r="H31" s="256">
        <v>0</v>
      </c>
      <c r="I31" s="256">
        <v>0</v>
      </c>
      <c r="J31" s="256">
        <v>0</v>
      </c>
      <c r="K31" s="256">
        <v>0</v>
      </c>
      <c r="L31" s="256">
        <v>0</v>
      </c>
      <c r="M31" s="256">
        <v>0</v>
      </c>
      <c r="N31" s="256">
        <v>0</v>
      </c>
      <c r="O31" s="256">
        <v>0</v>
      </c>
      <c r="P31" s="289"/>
      <c r="Q31" s="290">
        <f t="shared" si="7"/>
        <v>0</v>
      </c>
      <c r="R31" s="275"/>
      <c r="S31" s="287">
        <v>2</v>
      </c>
      <c r="U31" s="266" t="s">
        <v>115</v>
      </c>
    </row>
    <row r="32" spans="1:21" s="20" customFormat="1" ht="14.25" customHeight="1">
      <c r="A32" s="43" t="s">
        <v>203</v>
      </c>
      <c r="B32" s="34">
        <v>0</v>
      </c>
      <c r="C32" s="34">
        <v>0</v>
      </c>
      <c r="D32" s="34">
        <v>0</v>
      </c>
      <c r="E32" s="34">
        <v>0</v>
      </c>
      <c r="F32" s="34">
        <v>0</v>
      </c>
      <c r="G32" s="289">
        <v>154.819729</v>
      </c>
      <c r="H32" s="289">
        <v>36.444533999999997</v>
      </c>
      <c r="I32" s="289">
        <v>84.145286999999996</v>
      </c>
      <c r="J32" s="289">
        <v>79.620881999999995</v>
      </c>
      <c r="K32" s="289">
        <v>129.85195100000001</v>
      </c>
      <c r="L32" s="289">
        <v>379.00210900000002</v>
      </c>
      <c r="M32" s="289">
        <v>570.95472800000005</v>
      </c>
      <c r="N32" s="289">
        <v>731.69551899999999</v>
      </c>
      <c r="O32" s="289">
        <v>589.62677099999996</v>
      </c>
      <c r="P32" s="289"/>
      <c r="Q32" s="290">
        <f t="shared" si="7"/>
        <v>1.7098147115528244</v>
      </c>
      <c r="R32" s="275"/>
      <c r="S32" s="287">
        <f>+(L32-K32)/K32*100</f>
        <v>191.87247945161792</v>
      </c>
      <c r="U32" s="267" t="s">
        <v>216</v>
      </c>
    </row>
    <row r="33" spans="1:25" s="20" customFormat="1" ht="17.25" customHeight="1">
      <c r="A33" s="43" t="s">
        <v>204</v>
      </c>
      <c r="B33" s="34">
        <v>0</v>
      </c>
      <c r="C33" s="34">
        <v>0</v>
      </c>
      <c r="D33" s="34">
        <v>0</v>
      </c>
      <c r="E33" s="34">
        <v>0</v>
      </c>
      <c r="F33" s="34">
        <v>0</v>
      </c>
      <c r="G33" s="289">
        <v>522.60649899999999</v>
      </c>
      <c r="H33" s="289">
        <v>645.19940499999996</v>
      </c>
      <c r="I33" s="289">
        <v>1702.5169109999999</v>
      </c>
      <c r="J33" s="289">
        <v>2402.6626430000001</v>
      </c>
      <c r="K33" s="289">
        <v>4149.4601480000001</v>
      </c>
      <c r="L33" s="289">
        <v>2961.0605380000002</v>
      </c>
      <c r="M33" s="289">
        <v>3666.609379</v>
      </c>
      <c r="N33" s="289">
        <v>2115.7243480000002</v>
      </c>
      <c r="O33" s="289">
        <v>739.47562700000003</v>
      </c>
      <c r="P33" s="289"/>
      <c r="Q33" s="290">
        <f t="shared" si="7"/>
        <v>13.358408170944823</v>
      </c>
      <c r="R33" s="275"/>
      <c r="S33" s="287">
        <f>+(L33-K33)/K33*100</f>
        <v>-28.639860791838117</v>
      </c>
      <c r="U33" s="267" t="s">
        <v>217</v>
      </c>
    </row>
    <row r="34" spans="1:25" s="21" customFormat="1" ht="17.25" customHeight="1">
      <c r="A34" s="43" t="s">
        <v>232</v>
      </c>
      <c r="B34" s="289">
        <v>1781.2</v>
      </c>
      <c r="C34" s="289">
        <v>1600.9158910000006</v>
      </c>
      <c r="D34" s="289">
        <v>1311.9407838999996</v>
      </c>
      <c r="E34" s="289">
        <v>2260.3663249999995</v>
      </c>
      <c r="F34" s="289">
        <v>1801.9676620100972</v>
      </c>
      <c r="G34" s="289">
        <v>1074.6777509999999</v>
      </c>
      <c r="H34" s="289">
        <v>234.47054463999962</v>
      </c>
      <c r="I34" s="289">
        <v>604.34876200000042</v>
      </c>
      <c r="J34" s="289">
        <v>1589.8172737899997</v>
      </c>
      <c r="K34" s="289">
        <v>2084.74913062</v>
      </c>
      <c r="L34" s="289">
        <v>1381.0398157336131</v>
      </c>
      <c r="M34" s="289">
        <v>1740.9664009999999</v>
      </c>
      <c r="N34" s="289">
        <v>1492.3845995999995</v>
      </c>
      <c r="O34" s="289">
        <v>820.36225699999909</v>
      </c>
      <c r="P34" s="289"/>
      <c r="Q34" s="290">
        <f t="shared" si="7"/>
        <v>6.2303668979887741</v>
      </c>
      <c r="R34" s="275"/>
      <c r="S34" s="287">
        <f>+(L34-K34)/K34*100</f>
        <v>-33.755107727379418</v>
      </c>
      <c r="U34" s="266" t="s">
        <v>56</v>
      </c>
      <c r="V34" s="31"/>
      <c r="Y34" s="48"/>
    </row>
    <row r="35" spans="1:25" s="20" customFormat="1" ht="17.25" customHeight="1">
      <c r="A35" s="39" t="s">
        <v>12</v>
      </c>
      <c r="B35" s="49">
        <v>-166.4</v>
      </c>
      <c r="C35" s="49">
        <v>-150.836333</v>
      </c>
      <c r="D35" s="49">
        <v>-181.3</v>
      </c>
      <c r="E35" s="49">
        <v>-399</v>
      </c>
      <c r="F35" s="49">
        <v>-70.3</v>
      </c>
      <c r="G35" s="49">
        <v>-90.231635999999995</v>
      </c>
      <c r="H35" s="49">
        <v>-135.485007</v>
      </c>
      <c r="I35" s="49">
        <v>-122.16204999999999</v>
      </c>
      <c r="J35" s="49">
        <v>-104.018246</v>
      </c>
      <c r="K35" s="49">
        <v>-43.536195150000012</v>
      </c>
      <c r="L35" s="49">
        <v>-62.1540672</v>
      </c>
      <c r="M35" s="49">
        <v>-179.31608699999998</v>
      </c>
      <c r="N35" s="49">
        <v>-182.490399</v>
      </c>
      <c r="O35" s="49">
        <v>-150.91708500000001</v>
      </c>
      <c r="P35" s="49"/>
      <c r="Q35" s="291">
        <f t="shared" si="7"/>
        <v>-0.28039933276836426</v>
      </c>
      <c r="R35" s="277"/>
      <c r="S35" s="281">
        <f>+(L35-K35)/K35*100</f>
        <v>42.764123015008082</v>
      </c>
      <c r="U35" s="18" t="s">
        <v>13</v>
      </c>
      <c r="V35" s="42"/>
      <c r="Y35" s="51"/>
    </row>
    <row r="36" spans="1:25" s="21" customFormat="1" ht="17.25" customHeight="1">
      <c r="A36" s="52" t="s">
        <v>57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274"/>
      <c r="R36" s="273"/>
      <c r="S36" s="276"/>
      <c r="U36" s="268" t="s">
        <v>58</v>
      </c>
    </row>
    <row r="37" spans="1:25" s="21" customFormat="1" ht="17.25" customHeight="1">
      <c r="A37" s="52" t="s">
        <v>59</v>
      </c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274"/>
      <c r="R37" s="273"/>
      <c r="S37" s="276"/>
      <c r="U37" s="268" t="s">
        <v>60</v>
      </c>
    </row>
    <row r="38" spans="1:25" s="21" customFormat="1" ht="17.25" customHeight="1">
      <c r="A38" s="43" t="s">
        <v>61</v>
      </c>
      <c r="B38" s="289">
        <v>0.2</v>
      </c>
      <c r="C38" s="289">
        <v>1.1656</v>
      </c>
      <c r="D38" s="289">
        <v>0</v>
      </c>
      <c r="E38" s="289">
        <v>8.7040279999999992</v>
      </c>
      <c r="F38" s="289">
        <v>61.816024759999998</v>
      </c>
      <c r="G38" s="289">
        <v>46.362653000000002</v>
      </c>
      <c r="H38" s="289">
        <v>0</v>
      </c>
      <c r="I38" s="289">
        <v>5.5719279999999998</v>
      </c>
      <c r="J38" s="289">
        <v>55.088943999999998</v>
      </c>
      <c r="K38" s="289">
        <v>113.76190484999999</v>
      </c>
      <c r="L38" s="289">
        <v>103.07790079999999</v>
      </c>
      <c r="M38" s="289">
        <v>32.828741000000001</v>
      </c>
      <c r="N38" s="289">
        <v>17.288874</v>
      </c>
      <c r="O38" s="289">
        <v>12.330347</v>
      </c>
      <c r="P38" s="289"/>
      <c r="Q38" s="290">
        <f>L38/L$8*100</f>
        <v>0.46502145248965521</v>
      </c>
      <c r="R38" s="275"/>
      <c r="S38" s="276">
        <v>1</v>
      </c>
      <c r="U38" s="268" t="s">
        <v>62</v>
      </c>
      <c r="V38" s="31"/>
      <c r="Y38" s="48"/>
    </row>
    <row r="39" spans="1:25" s="21" customFormat="1" ht="17.25" customHeight="1">
      <c r="A39" s="28" t="s">
        <v>228</v>
      </c>
      <c r="B39" s="253">
        <v>0</v>
      </c>
      <c r="C39" s="253">
        <v>0</v>
      </c>
      <c r="D39" s="253">
        <v>0</v>
      </c>
      <c r="E39" s="253">
        <v>0</v>
      </c>
      <c r="F39" s="253">
        <v>0</v>
      </c>
      <c r="G39" s="253">
        <v>0</v>
      </c>
      <c r="H39" s="253">
        <v>0</v>
      </c>
      <c r="I39" s="253">
        <v>0</v>
      </c>
      <c r="J39" s="253">
        <v>0</v>
      </c>
      <c r="K39" s="54">
        <v>0</v>
      </c>
      <c r="L39" s="54">
        <v>377</v>
      </c>
      <c r="M39" s="54">
        <v>855.10362099999998</v>
      </c>
      <c r="N39" s="54">
        <v>893.54424200000005</v>
      </c>
      <c r="O39" s="54">
        <v>931.87886800000001</v>
      </c>
      <c r="P39" s="54"/>
      <c r="Q39" s="278">
        <f>L39/L$8*100</f>
        <v>1.7007824783777516</v>
      </c>
      <c r="R39" s="279"/>
      <c r="S39" s="280"/>
      <c r="T39" s="151"/>
      <c r="U39" s="269" t="s">
        <v>229</v>
      </c>
      <c r="V39" s="31"/>
      <c r="Y39" s="48"/>
    </row>
    <row r="40" spans="1:25" ht="12" customHeight="1">
      <c r="A40" s="270" t="s">
        <v>234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57"/>
      <c r="T40" s="57"/>
      <c r="U40" s="271" t="s">
        <v>238</v>
      </c>
    </row>
    <row r="41" spans="1:25" s="21" customFormat="1" ht="15.75" customHeight="1">
      <c r="A41" s="282" t="s">
        <v>233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56"/>
      <c r="T41" s="56"/>
      <c r="U41" s="82" t="s">
        <v>237</v>
      </c>
    </row>
    <row r="42" spans="1:25" s="21" customFormat="1" ht="14.25" customHeight="1">
      <c r="A42" s="22" t="s">
        <v>14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56"/>
      <c r="T42" s="56"/>
      <c r="U42" s="31" t="s">
        <v>15</v>
      </c>
    </row>
    <row r="43" spans="1:25" s="21" customFormat="1" ht="12">
      <c r="S43" s="57"/>
      <c r="T43" s="57"/>
      <c r="U43" s="58"/>
    </row>
    <row r="44" spans="1:25" s="21" customFormat="1" ht="12">
      <c r="S44" s="57"/>
      <c r="T44" s="57"/>
      <c r="U44" s="58"/>
    </row>
    <row r="45" spans="1:25" s="21" customFormat="1" ht="12">
      <c r="S45" s="57"/>
      <c r="T45" s="57"/>
      <c r="U45" s="58"/>
    </row>
    <row r="46" spans="1:25" s="21" customFormat="1" ht="12">
      <c r="S46" s="57"/>
      <c r="T46" s="57"/>
      <c r="U46" s="58"/>
    </row>
    <row r="47" spans="1:25" s="21" customFormat="1" ht="12">
      <c r="S47" s="57"/>
      <c r="T47" s="57"/>
      <c r="U47" s="58"/>
    </row>
    <row r="48" spans="1:25" s="21" customFormat="1" ht="12">
      <c r="S48" s="57"/>
      <c r="T48" s="57"/>
      <c r="U48" s="58"/>
    </row>
    <row r="49" spans="19:21" s="21" customFormat="1" ht="12">
      <c r="S49" s="57"/>
      <c r="T49" s="57"/>
      <c r="U49" s="58"/>
    </row>
    <row r="50" spans="19:21" s="21" customFormat="1" ht="12">
      <c r="S50" s="57"/>
      <c r="T50" s="57"/>
      <c r="U50" s="58"/>
    </row>
    <row r="51" spans="19:21" s="21" customFormat="1" ht="12">
      <c r="S51" s="57"/>
      <c r="T51" s="57"/>
      <c r="U51" s="58"/>
    </row>
    <row r="52" spans="19:21" s="21" customFormat="1" ht="12">
      <c r="S52" s="57"/>
      <c r="T52" s="57"/>
      <c r="U52" s="58"/>
    </row>
  </sheetData>
  <mergeCells count="36">
    <mergeCell ref="J19:J20"/>
    <mergeCell ref="K19:K20"/>
    <mergeCell ref="L19:L20"/>
    <mergeCell ref="N19:N20"/>
    <mergeCell ref="S21:S22"/>
    <mergeCell ref="Q19:Q20"/>
    <mergeCell ref="N21:N22"/>
    <mergeCell ref="M21:M22"/>
    <mergeCell ref="O19:O20"/>
    <mergeCell ref="O21:O22"/>
    <mergeCell ref="H21:H22"/>
    <mergeCell ref="I21:I22"/>
    <mergeCell ref="J21:J22"/>
    <mergeCell ref="K21:K22"/>
    <mergeCell ref="L21:L22"/>
    <mergeCell ref="C21:C22"/>
    <mergeCell ref="D21:D22"/>
    <mergeCell ref="E21:E22"/>
    <mergeCell ref="F21:F22"/>
    <mergeCell ref="G21:G22"/>
    <mergeCell ref="Q21:Q22"/>
    <mergeCell ref="A1:U1"/>
    <mergeCell ref="A2:U2"/>
    <mergeCell ref="A3:U3"/>
    <mergeCell ref="A4:U4"/>
    <mergeCell ref="B19:B20"/>
    <mergeCell ref="C19:C20"/>
    <mergeCell ref="D19:D20"/>
    <mergeCell ref="E19:E20"/>
    <mergeCell ref="F19:F20"/>
    <mergeCell ref="G19:G20"/>
    <mergeCell ref="H19:H20"/>
    <mergeCell ref="I19:I20"/>
    <mergeCell ref="M19:M20"/>
    <mergeCell ref="S19:S20"/>
    <mergeCell ref="B21:B22"/>
  </mergeCells>
  <pageMargins left="0.17" right="0.16" top="0.35" bottom="0.27" header="0.17" footer="0.17"/>
  <pageSetup paperSize="9" scale="71" orientation="landscape" horizontalDpi="4294967295" verticalDpi="4294967295" r:id="rId1"/>
  <colBreaks count="1" manualBreakCount="1">
    <brk id="21" max="1048575" man="1"/>
  </colBreaks>
  <ignoredErrors>
    <ignoredError sqref="I28:J28 I25:J25 I10:J10 P35:P37 R10:R37 P11:P34 R8 I8:J8 Q35" unlockedFormula="1"/>
    <ignoredError sqref="I29:J29 I11:J11" formulaRange="1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53"/>
  <sheetViews>
    <sheetView zoomScaleNormal="100" workbookViewId="0">
      <selection activeCell="K36" sqref="K36:O38"/>
    </sheetView>
  </sheetViews>
  <sheetFormatPr defaultColWidth="8.85546875" defaultRowHeight="12"/>
  <cols>
    <col min="1" max="1" width="15.7109375" style="2" customWidth="1"/>
    <col min="2" max="2" width="8" style="2" bestFit="1" customWidth="1"/>
    <col min="3" max="3" width="8" style="3" bestFit="1" customWidth="1"/>
    <col min="4" max="9" width="8" style="2" bestFit="1" customWidth="1"/>
    <col min="10" max="10" width="8.85546875" style="2"/>
    <col min="11" max="14" width="9.7109375" style="2" bestFit="1" customWidth="1"/>
    <col min="15" max="16384" width="8.85546875" style="2"/>
  </cols>
  <sheetData>
    <row r="1" spans="1:21">
      <c r="R1" s="333"/>
      <c r="S1" s="333"/>
      <c r="T1" s="333"/>
      <c r="U1" s="333"/>
    </row>
    <row r="3" spans="1:21">
      <c r="B3" s="334" t="s">
        <v>197</v>
      </c>
      <c r="C3" s="335"/>
      <c r="D3" s="335"/>
      <c r="E3" s="335"/>
      <c r="F3" s="335"/>
      <c r="G3" s="335"/>
      <c r="H3" s="4"/>
      <c r="I3" s="4"/>
      <c r="J3" s="4"/>
      <c r="K3" s="4"/>
      <c r="L3" s="4"/>
    </row>
    <row r="4" spans="1:21">
      <c r="B4" s="163">
        <v>2007</v>
      </c>
      <c r="C4" s="164">
        <v>2008</v>
      </c>
      <c r="D4" s="164">
        <v>2009</v>
      </c>
      <c r="E4" s="164">
        <v>2010</v>
      </c>
      <c r="F4" s="164">
        <v>2011</v>
      </c>
      <c r="G4" s="164">
        <v>2012</v>
      </c>
      <c r="H4" s="166">
        <v>2013</v>
      </c>
      <c r="I4" s="166">
        <v>2014</v>
      </c>
      <c r="J4" s="164">
        <v>2015</v>
      </c>
      <c r="K4" s="247" t="s">
        <v>212</v>
      </c>
      <c r="L4" s="247" t="s">
        <v>213</v>
      </c>
      <c r="M4" s="247" t="s">
        <v>214</v>
      </c>
      <c r="N4" s="247" t="s">
        <v>215</v>
      </c>
      <c r="O4" s="247" t="s">
        <v>226</v>
      </c>
    </row>
    <row r="5" spans="1:21">
      <c r="A5" s="7" t="s">
        <v>68</v>
      </c>
      <c r="B5" s="8">
        <f>'[1]13.7'!B10</f>
        <v>808.9</v>
      </c>
      <c r="C5" s="8">
        <f>'[1]13.7'!C10</f>
        <v>498.79999999999995</v>
      </c>
      <c r="D5" s="8">
        <f>'[1]13.7'!H10</f>
        <v>696.52141600000004</v>
      </c>
      <c r="E5" s="8">
        <f>'[1]13.7'!I10</f>
        <v>635.70163600000001</v>
      </c>
      <c r="F5" s="8">
        <f>'[1]13.7'!J10</f>
        <v>1285.636868</v>
      </c>
      <c r="G5" s="8">
        <f>'[1]13.7'!K10</f>
        <v>1139.8289990000001</v>
      </c>
      <c r="H5" s="8">
        <v>462.58586595999998</v>
      </c>
      <c r="I5" s="8">
        <v>679.01722999999993</v>
      </c>
      <c r="J5" s="8">
        <v>2079.0821064299998</v>
      </c>
      <c r="K5" s="248"/>
      <c r="L5" s="248"/>
      <c r="M5" s="248"/>
      <c r="N5" s="248"/>
      <c r="O5" s="248"/>
    </row>
    <row r="6" spans="1:21">
      <c r="A6" s="7" t="s">
        <v>80</v>
      </c>
      <c r="B6" s="8">
        <f>'[1]13.7'!B15</f>
        <v>626.5</v>
      </c>
      <c r="C6" s="8">
        <f>'[1]13.7'!C15</f>
        <v>1443.3</v>
      </c>
      <c r="D6" s="8">
        <f>'[1]13.7'!H15</f>
        <v>1087.278699</v>
      </c>
      <c r="E6" s="8">
        <f>'[1]13.7'!I15</f>
        <v>1816.638207</v>
      </c>
      <c r="F6" s="8">
        <f>'[1]13.7'!J15</f>
        <v>1383.244537</v>
      </c>
      <c r="G6" s="8">
        <f>'[1]13.7'!K15</f>
        <v>1081.7647489999999</v>
      </c>
      <c r="H6" s="8">
        <v>1108.2257616500001</v>
      </c>
      <c r="I6" s="8">
        <v>1155.5744520000001</v>
      </c>
      <c r="J6" s="8">
        <v>1812.3305333000001</v>
      </c>
      <c r="K6" s="248"/>
      <c r="L6" s="248"/>
      <c r="M6" s="248"/>
      <c r="N6" s="248"/>
      <c r="O6" s="248"/>
    </row>
    <row r="7" spans="1:21">
      <c r="A7" s="7" t="s">
        <v>89</v>
      </c>
      <c r="B7" s="8">
        <f>'[1]13.7'!B20</f>
        <v>329.9</v>
      </c>
      <c r="C7" s="8">
        <f>'[1]13.7'!C20</f>
        <v>937.10000000000014</v>
      </c>
      <c r="D7" s="165">
        <f>'[1]13.7'!H20</f>
        <v>581.73487699999998</v>
      </c>
      <c r="E7" s="165">
        <f>'[1]13.7'!I20</f>
        <v>174.8779509</v>
      </c>
      <c r="F7" s="165">
        <f>'[1]13.7'!J20</f>
        <v>919.10181</v>
      </c>
      <c r="G7" s="165">
        <f>'[1]13.7'!K20</f>
        <v>662.15555800000004</v>
      </c>
      <c r="H7" s="165">
        <v>522.22979633</v>
      </c>
      <c r="I7" s="165">
        <v>750.4553719999999</v>
      </c>
      <c r="J7" s="165">
        <v>870.97274229999994</v>
      </c>
      <c r="K7" s="249"/>
      <c r="L7" s="249"/>
      <c r="M7" s="249"/>
      <c r="N7" s="249"/>
      <c r="O7" s="249"/>
    </row>
    <row r="34" spans="1:15">
      <c r="B34" s="334" t="s">
        <v>63</v>
      </c>
      <c r="C34" s="335"/>
      <c r="D34" s="335"/>
      <c r="E34" s="335"/>
      <c r="F34" s="335"/>
      <c r="G34" s="335"/>
    </row>
    <row r="35" spans="1:15">
      <c r="B35" s="5">
        <v>2007</v>
      </c>
      <c r="C35" s="6">
        <v>2008</v>
      </c>
      <c r="D35" s="6">
        <v>2009</v>
      </c>
      <c r="E35" s="6">
        <v>2010</v>
      </c>
      <c r="F35" s="6">
        <v>2011</v>
      </c>
      <c r="G35" s="6">
        <v>2012</v>
      </c>
      <c r="H35" s="6">
        <v>2013</v>
      </c>
      <c r="I35" s="6">
        <v>2014</v>
      </c>
      <c r="J35" s="164">
        <v>2015</v>
      </c>
      <c r="K35" s="247" t="s">
        <v>212</v>
      </c>
      <c r="L35" s="247" t="s">
        <v>213</v>
      </c>
      <c r="M35" s="247" t="s">
        <v>214</v>
      </c>
      <c r="N35" s="247" t="s">
        <v>215</v>
      </c>
      <c r="O35" s="247" t="s">
        <v>226</v>
      </c>
    </row>
    <row r="36" spans="1:15">
      <c r="A36" s="7" t="s">
        <v>68</v>
      </c>
      <c r="B36" s="8">
        <f>'[1]13.6'!B9</f>
        <v>2241.8999999999996</v>
      </c>
      <c r="C36" s="8">
        <f>'[1]13.6'!C9</f>
        <v>3209.7</v>
      </c>
      <c r="D36" s="8">
        <f>'[1]13.6'!H9</f>
        <v>3519.7833220000007</v>
      </c>
      <c r="E36" s="8">
        <f>'[1]13.6'!I9</f>
        <v>3978.9039029999999</v>
      </c>
      <c r="F36" s="8">
        <f>'[1]13.6'!J9</f>
        <v>4596.1388089999991</v>
      </c>
      <c r="G36" s="8">
        <v>4774.492886</v>
      </c>
      <c r="H36" s="8">
        <v>4784.0412950399996</v>
      </c>
      <c r="I36" s="8">
        <v>5537.7483140000004</v>
      </c>
      <c r="J36" s="8">
        <v>6243.3481799699994</v>
      </c>
      <c r="K36" s="248"/>
      <c r="L36" s="248"/>
      <c r="M36" s="248"/>
      <c r="N36" s="248"/>
      <c r="O36" s="248"/>
    </row>
    <row r="37" spans="1:15">
      <c r="A37" s="7" t="s">
        <v>80</v>
      </c>
      <c r="B37" s="8">
        <f>'[1]13.6'!B14</f>
        <v>3817.6</v>
      </c>
      <c r="C37" s="8">
        <f>'[1]13.6'!C14</f>
        <v>3679.5</v>
      </c>
      <c r="D37" s="8">
        <f>'[1]13.6'!H14</f>
        <v>4345.2921539999998</v>
      </c>
      <c r="E37" s="8">
        <f>'[1]13.6'!I14</f>
        <v>3462.622922</v>
      </c>
      <c r="F37" s="8">
        <f>'[1]13.6'!J14</f>
        <v>3544.46576</v>
      </c>
      <c r="G37" s="8">
        <v>4225.7286190000004</v>
      </c>
      <c r="H37" s="8">
        <v>5531.6275246499999</v>
      </c>
      <c r="I37" s="8">
        <v>7089.9977030000009</v>
      </c>
      <c r="J37" s="8">
        <v>8742.95622215</v>
      </c>
      <c r="K37" s="248"/>
      <c r="L37" s="248"/>
      <c r="M37" s="248"/>
      <c r="N37" s="248"/>
      <c r="O37" s="248"/>
    </row>
    <row r="38" spans="1:15">
      <c r="A38" s="7" t="s">
        <v>89</v>
      </c>
      <c r="B38" s="8">
        <f>'[1]13.6'!B19</f>
        <v>266.3</v>
      </c>
      <c r="C38" s="8">
        <f>'[1]13.6'!C19</f>
        <v>293.99999999999994</v>
      </c>
      <c r="D38" s="8">
        <f>'[1]13.6'!H19</f>
        <v>255.78124300000002</v>
      </c>
      <c r="E38" s="8">
        <f>'[1]13.6'!I19</f>
        <v>265.56214700000004</v>
      </c>
      <c r="F38" s="8">
        <f>'[1]13.6'!J19</f>
        <v>209.35414899999998</v>
      </c>
      <c r="G38" s="8">
        <v>209.18252100000001</v>
      </c>
      <c r="H38" s="8">
        <v>300.81956875999992</v>
      </c>
      <c r="I38" s="8">
        <v>348.30320599999999</v>
      </c>
      <c r="J38" s="8">
        <v>344.55713775999999</v>
      </c>
      <c r="K38" s="248"/>
      <c r="L38" s="248"/>
      <c r="M38" s="248"/>
      <c r="N38" s="248"/>
      <c r="O38" s="248"/>
    </row>
    <row r="41" spans="1:15">
      <c r="M41" s="9"/>
    </row>
    <row r="46" spans="1:15">
      <c r="A46" s="1"/>
    </row>
    <row r="48" spans="1:15">
      <c r="M48" s="9"/>
    </row>
    <row r="53" spans="1:1">
      <c r="A53" s="1"/>
    </row>
  </sheetData>
  <mergeCells count="4">
    <mergeCell ref="R1:S1"/>
    <mergeCell ref="T1:U1"/>
    <mergeCell ref="B3:G3"/>
    <mergeCell ref="B34:G34"/>
  </mergeCells>
  <pageMargins left="0.27" right="0.16" top="0.19" bottom="0.17" header="0.3" footer="0.17"/>
  <pageSetup paperSize="9" scale="8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13.5</vt:lpstr>
      <vt:lpstr>13.6</vt:lpstr>
      <vt:lpstr>13.7</vt:lpstr>
      <vt:lpstr>13.4</vt:lpstr>
      <vt:lpstr>Fig 1.5 &amp; 1.6</vt:lpstr>
      <vt:lpstr>'13.4'!Print_Area</vt:lpstr>
      <vt:lpstr>'13.5'!Print_Area</vt:lpstr>
      <vt:lpstr>'13.6'!Print_Area</vt:lpstr>
      <vt:lpstr>'13.7'!Print_Area</vt:lpstr>
      <vt:lpstr>'Fig 1.5 &amp; 1.6'!Print_Area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2018-04-17T05:50:27Z</cp:lastPrinted>
  <dcterms:created xsi:type="dcterms:W3CDTF">2014-03-06T08:38:12Z</dcterms:created>
  <dcterms:modified xsi:type="dcterms:W3CDTF">2018-04-17T05:50:49Z</dcterms:modified>
</cp:coreProperties>
</file>