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3. PUBLIC FINANCE\"/>
    </mc:Choice>
  </mc:AlternateContent>
  <bookViews>
    <workbookView xWindow="0" yWindow="0" windowWidth="28800" windowHeight="12330" tabRatio="688"/>
  </bookViews>
  <sheets>
    <sheet name="13.2" sheetId="2" r:id="rId1"/>
    <sheet name="13.5" sheetId="14" state="hidden" r:id="rId2"/>
    <sheet name="13.6" sheetId="16" state="hidden" r:id="rId3"/>
    <sheet name="13.7" sheetId="15" state="hidden" r:id="rId4"/>
    <sheet name="Fig 1.5 &amp; 1.6" sheetId="17" state="hidden" r:id="rId5"/>
  </sheets>
  <externalReferences>
    <externalReference r:id="rId6"/>
  </externalReferences>
  <definedNames>
    <definedName name="_xlnm.Print_Area" localSheetId="0">'13.2'!$A$1:$Q$32</definedName>
    <definedName name="_xlnm.Print_Area" localSheetId="1">'13.5'!$A$1:$T$34</definedName>
    <definedName name="_xlnm.Print_Area" localSheetId="2">'13.6'!$A$1:$Y$37</definedName>
    <definedName name="_xlnm.Print_Area" localSheetId="3">'13.7'!$A$1:$Z$34</definedName>
    <definedName name="_xlnm.Print_Area" localSheetId="4">'Fig 1.5 &amp; 1.6'!$A$1:$O$62</definedName>
  </definedNames>
  <calcPr calcId="162913"/>
</workbook>
</file>

<file path=xl/calcChain.xml><?xml version="1.0" encoding="utf-8"?>
<calcChain xmlns="http://schemas.openxmlformats.org/spreadsheetml/2006/main">
  <c r="P8" i="2" l="1"/>
  <c r="P19" i="2" l="1"/>
  <c r="J22" i="2"/>
  <c r="J21" i="2" s="1"/>
  <c r="K22" i="2"/>
  <c r="K21" i="2" s="1"/>
  <c r="L22" i="2"/>
  <c r="L21" i="2" s="1"/>
  <c r="M22" i="2"/>
  <c r="M21" i="2" s="1"/>
  <c r="N22" i="2"/>
  <c r="N21" i="2" s="1"/>
  <c r="S21" i="15" l="1"/>
  <c r="S15" i="15"/>
  <c r="S10" i="15"/>
  <c r="X31" i="15"/>
  <c r="X30" i="15"/>
  <c r="X28" i="15"/>
  <c r="X27" i="15"/>
  <c r="X26" i="15"/>
  <c r="X25" i="15"/>
  <c r="X24" i="15"/>
  <c r="X23" i="15"/>
  <c r="X22" i="15"/>
  <c r="X20" i="15"/>
  <c r="X18" i="15"/>
  <c r="X17" i="15"/>
  <c r="X16" i="15"/>
  <c r="X14" i="15"/>
  <c r="X13" i="15"/>
  <c r="X12" i="15"/>
  <c r="X11" i="15"/>
  <c r="S20" i="16"/>
  <c r="S14" i="16"/>
  <c r="S9" i="16"/>
  <c r="W27" i="16"/>
  <c r="W26" i="16"/>
  <c r="W25" i="16"/>
  <c r="W24" i="16"/>
  <c r="W23" i="16"/>
  <c r="W22" i="16"/>
  <c r="W21" i="16"/>
  <c r="W19" i="16"/>
  <c r="W17" i="16"/>
  <c r="W16" i="16"/>
  <c r="W15" i="16"/>
  <c r="W13" i="16"/>
  <c r="W12" i="16"/>
  <c r="W11" i="16"/>
  <c r="W10" i="16"/>
  <c r="S33" i="14"/>
  <c r="S31" i="14"/>
  <c r="S30" i="14"/>
  <c r="S29" i="14"/>
  <c r="S28" i="14"/>
  <c r="S27" i="14"/>
  <c r="S26" i="14"/>
  <c r="S25" i="14"/>
  <c r="S24" i="14"/>
  <c r="S22" i="14"/>
  <c r="S20" i="14"/>
  <c r="S19" i="14"/>
  <c r="S18" i="14"/>
  <c r="S16" i="14"/>
  <c r="S15" i="14"/>
  <c r="S14" i="14"/>
  <c r="S13" i="14"/>
  <c r="S11" i="14"/>
  <c r="O23" i="14"/>
  <c r="O17" i="14"/>
  <c r="O10" i="14"/>
  <c r="P25" i="2"/>
  <c r="P24" i="2"/>
  <c r="P23" i="2"/>
  <c r="P17" i="2"/>
  <c r="P16" i="2"/>
  <c r="P15" i="2"/>
  <c r="P12" i="2"/>
  <c r="P11" i="2"/>
  <c r="P10" i="2"/>
  <c r="S9" i="15" l="1"/>
  <c r="S8" i="15" s="1"/>
  <c r="S8" i="16"/>
  <c r="R10" i="15" l="1"/>
  <c r="R15" i="15"/>
  <c r="R21" i="15"/>
  <c r="R9" i="16"/>
  <c r="R14" i="16"/>
  <c r="R20" i="16"/>
  <c r="N12" i="14"/>
  <c r="N10" i="14" s="1"/>
  <c r="N17" i="14"/>
  <c r="N23" i="14"/>
  <c r="R9" i="15" l="1"/>
  <c r="R8" i="15" s="1"/>
  <c r="R8" i="16"/>
  <c r="W11" i="15" l="1"/>
  <c r="W12" i="15"/>
  <c r="W13" i="15"/>
  <c r="W14" i="15"/>
  <c r="W16" i="15"/>
  <c r="W17" i="15"/>
  <c r="W18" i="15"/>
  <c r="W20" i="15"/>
  <c r="W22" i="15"/>
  <c r="W23" i="15"/>
  <c r="W24" i="15"/>
  <c r="W25" i="15"/>
  <c r="W26" i="15"/>
  <c r="W27" i="15"/>
  <c r="W28" i="15"/>
  <c r="W30" i="15"/>
  <c r="W31" i="15"/>
  <c r="V10" i="16"/>
  <c r="V11" i="16"/>
  <c r="V12" i="16"/>
  <c r="V13" i="16"/>
  <c r="V15" i="16"/>
  <c r="V16" i="16"/>
  <c r="V17" i="16"/>
  <c r="V19" i="16"/>
  <c r="V21" i="16"/>
  <c r="V22" i="16"/>
  <c r="V23" i="16"/>
  <c r="V24" i="16"/>
  <c r="V25" i="16"/>
  <c r="V26" i="16"/>
  <c r="V27" i="16"/>
  <c r="Q21" i="15" l="1"/>
  <c r="Q15" i="15"/>
  <c r="Q10" i="15"/>
  <c r="Q20" i="16"/>
  <c r="Q14" i="16"/>
  <c r="Q9" i="16"/>
  <c r="I12" i="14"/>
  <c r="M23" i="14"/>
  <c r="M17" i="14"/>
  <c r="M12" i="14"/>
  <c r="M10" i="14" s="1"/>
  <c r="R33" i="14"/>
  <c r="R31" i="14"/>
  <c r="R30" i="14"/>
  <c r="R29" i="14"/>
  <c r="R28" i="14"/>
  <c r="R27" i="14"/>
  <c r="R26" i="14"/>
  <c r="R25" i="14"/>
  <c r="R24" i="14"/>
  <c r="R22" i="14"/>
  <c r="R20" i="14"/>
  <c r="R19" i="14"/>
  <c r="R18" i="14"/>
  <c r="R16" i="14"/>
  <c r="R15" i="14"/>
  <c r="R14" i="14"/>
  <c r="R13" i="14"/>
  <c r="R11" i="14"/>
  <c r="Q9" i="15" l="1"/>
  <c r="Q8" i="15" s="1"/>
  <c r="Q8" i="16"/>
  <c r="H9" i="2"/>
  <c r="H22" i="2" l="1"/>
  <c r="I22" i="2"/>
  <c r="G22" i="2"/>
  <c r="H14" i="2"/>
  <c r="G21" i="2" l="1"/>
  <c r="H21" i="2"/>
  <c r="I21" i="2"/>
  <c r="H13" i="2"/>
  <c r="P21" i="2"/>
  <c r="P22" i="2"/>
  <c r="I14" i="2"/>
  <c r="I9" i="2"/>
  <c r="H8" i="2"/>
  <c r="H18" i="2" l="1"/>
  <c r="I8" i="2"/>
  <c r="I18" i="2" s="1"/>
  <c r="I13" i="2"/>
  <c r="P9" i="2"/>
  <c r="P14" i="2"/>
  <c r="P13" i="2" l="1"/>
  <c r="P18" i="2" l="1"/>
  <c r="C15" i="15" l="1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B15" i="15"/>
  <c r="K20" i="16"/>
  <c r="L20" i="16"/>
  <c r="M20" i="16"/>
  <c r="N20" i="16"/>
  <c r="O20" i="16"/>
  <c r="P20" i="16"/>
  <c r="J20" i="16"/>
  <c r="K14" i="16"/>
  <c r="L14" i="16"/>
  <c r="M14" i="16"/>
  <c r="N14" i="16"/>
  <c r="O14" i="16"/>
  <c r="P14" i="16"/>
  <c r="J14" i="16"/>
  <c r="G17" i="14"/>
  <c r="H17" i="14"/>
  <c r="I17" i="14"/>
  <c r="J17" i="14"/>
  <c r="K17" i="14"/>
  <c r="L17" i="14"/>
  <c r="F17" i="14"/>
  <c r="L12" i="14"/>
  <c r="G12" i="14"/>
  <c r="H12" i="14"/>
  <c r="J12" i="14"/>
  <c r="K12" i="14"/>
  <c r="F12" i="14"/>
  <c r="X15" i="15" l="1"/>
  <c r="W20" i="16"/>
  <c r="W14" i="16"/>
  <c r="S12" i="14"/>
  <c r="S17" i="14"/>
  <c r="W15" i="15"/>
  <c r="V20" i="16"/>
  <c r="V14" i="16"/>
  <c r="R12" i="14"/>
  <c r="R17" i="14"/>
  <c r="P21" i="15" l="1"/>
  <c r="P10" i="15"/>
  <c r="P9" i="16"/>
  <c r="K23" i="14"/>
  <c r="K10" i="14"/>
  <c r="P8" i="16" l="1"/>
  <c r="P9" i="15"/>
  <c r="F38" i="17"/>
  <c r="E38" i="17"/>
  <c r="D38" i="17"/>
  <c r="C38" i="17"/>
  <c r="B38" i="17"/>
  <c r="G7" i="17"/>
  <c r="F7" i="17"/>
  <c r="E7" i="17"/>
  <c r="D7" i="17"/>
  <c r="C7" i="17"/>
  <c r="B7" i="17"/>
  <c r="F37" i="17"/>
  <c r="E37" i="17"/>
  <c r="D37" i="17"/>
  <c r="C37" i="17"/>
  <c r="B37" i="17"/>
  <c r="G6" i="17"/>
  <c r="F6" i="17"/>
  <c r="E6" i="17"/>
  <c r="D6" i="17"/>
  <c r="C6" i="17"/>
  <c r="B6" i="17"/>
  <c r="F36" i="17"/>
  <c r="E36" i="17"/>
  <c r="D36" i="17"/>
  <c r="C36" i="17"/>
  <c r="B36" i="17"/>
  <c r="G5" i="17"/>
  <c r="F5" i="17"/>
  <c r="E5" i="17"/>
  <c r="D5" i="17"/>
  <c r="C5" i="17"/>
  <c r="B5" i="17"/>
  <c r="O21" i="15"/>
  <c r="X21" i="15" s="1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O10" i="15"/>
  <c r="X10" i="15" s="1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H14" i="16"/>
  <c r="I20" i="16"/>
  <c r="H20" i="16"/>
  <c r="G20" i="16"/>
  <c r="F20" i="16"/>
  <c r="E20" i="16"/>
  <c r="D20" i="16"/>
  <c r="C20" i="16"/>
  <c r="B20" i="16"/>
  <c r="I14" i="16"/>
  <c r="G14" i="16"/>
  <c r="F14" i="16"/>
  <c r="E14" i="16"/>
  <c r="D14" i="16"/>
  <c r="C14" i="16"/>
  <c r="B14" i="16"/>
  <c r="O9" i="16"/>
  <c r="W9" i="16" s="1"/>
  <c r="N9" i="16"/>
  <c r="N8" i="16" s="1"/>
  <c r="M9" i="16"/>
  <c r="L9" i="16"/>
  <c r="L8" i="16" s="1"/>
  <c r="K9" i="16"/>
  <c r="K8" i="16" s="1"/>
  <c r="J9" i="16"/>
  <c r="J8" i="16" s="1"/>
  <c r="I9" i="16"/>
  <c r="H9" i="16"/>
  <c r="G9" i="16"/>
  <c r="F9" i="16"/>
  <c r="E9" i="16"/>
  <c r="D9" i="16"/>
  <c r="C9" i="16"/>
  <c r="B9" i="16"/>
  <c r="P8" i="15" l="1"/>
  <c r="R21" i="14"/>
  <c r="Q25" i="14"/>
  <c r="Q33" i="14"/>
  <c r="Q24" i="14"/>
  <c r="Q16" i="14"/>
  <c r="Q31" i="14"/>
  <c r="Q15" i="14"/>
  <c r="S21" i="14"/>
  <c r="Q30" i="14"/>
  <c r="Q22" i="14"/>
  <c r="Q14" i="14"/>
  <c r="Q18" i="14"/>
  <c r="Q29" i="14"/>
  <c r="Q21" i="14"/>
  <c r="Q13" i="14"/>
  <c r="Q26" i="14"/>
  <c r="Q28" i="14"/>
  <c r="Q20" i="14"/>
  <c r="Q27" i="14"/>
  <c r="Q19" i="14"/>
  <c r="Q11" i="14"/>
  <c r="Q17" i="14"/>
  <c r="Q12" i="14"/>
  <c r="D9" i="15"/>
  <c r="D8" i="15" s="1"/>
  <c r="H9" i="15"/>
  <c r="H8" i="15" s="1"/>
  <c r="L9" i="15"/>
  <c r="L8" i="15" s="1"/>
  <c r="F9" i="15"/>
  <c r="F8" i="15" s="1"/>
  <c r="N9" i="15"/>
  <c r="E9" i="15"/>
  <c r="E8" i="15" s="1"/>
  <c r="P23" i="14"/>
  <c r="P10" i="14"/>
  <c r="W21" i="15"/>
  <c r="W10" i="15"/>
  <c r="I9" i="15"/>
  <c r="I8" i="15" s="1"/>
  <c r="J9" i="15"/>
  <c r="J8" i="15" s="1"/>
  <c r="G9" i="15"/>
  <c r="G8" i="15" s="1"/>
  <c r="O9" i="15"/>
  <c r="X9" i="15" s="1"/>
  <c r="C9" i="15"/>
  <c r="C8" i="15" s="1"/>
  <c r="K9" i="15"/>
  <c r="K8" i="15" s="1"/>
  <c r="D8" i="16"/>
  <c r="V9" i="16"/>
  <c r="O8" i="16"/>
  <c r="W8" i="16" s="1"/>
  <c r="B8" i="16"/>
  <c r="P18" i="14"/>
  <c r="P26" i="14"/>
  <c r="P11" i="14"/>
  <c r="P19" i="14"/>
  <c r="P27" i="14"/>
  <c r="P20" i="14"/>
  <c r="P28" i="14"/>
  <c r="P13" i="14"/>
  <c r="P21" i="14"/>
  <c r="P29" i="14"/>
  <c r="P16" i="14"/>
  <c r="P24" i="14"/>
  <c r="P25" i="14"/>
  <c r="P14" i="14"/>
  <c r="P22" i="14"/>
  <c r="P30" i="14"/>
  <c r="P15" i="14"/>
  <c r="P31" i="14"/>
  <c r="P33" i="14"/>
  <c r="P9" i="14"/>
  <c r="P12" i="14"/>
  <c r="P17" i="14"/>
  <c r="F8" i="16"/>
  <c r="B9" i="15"/>
  <c r="B8" i="15" s="1"/>
  <c r="H8" i="16"/>
  <c r="N8" i="15"/>
  <c r="C8" i="16"/>
  <c r="G8" i="16"/>
  <c r="E8" i="16"/>
  <c r="I8" i="16"/>
  <c r="M8" i="16"/>
  <c r="M9" i="15"/>
  <c r="U9" i="15" l="1"/>
  <c r="T10" i="15"/>
  <c r="U28" i="15"/>
  <c r="U20" i="15"/>
  <c r="U11" i="15"/>
  <c r="U18" i="15"/>
  <c r="U26" i="15"/>
  <c r="U17" i="15"/>
  <c r="U25" i="15"/>
  <c r="U16" i="15"/>
  <c r="U23" i="15"/>
  <c r="U27" i="15"/>
  <c r="U24" i="15"/>
  <c r="U14" i="15"/>
  <c r="U31" i="15"/>
  <c r="U22" i="15"/>
  <c r="U13" i="15"/>
  <c r="U30" i="15"/>
  <c r="U12" i="15"/>
  <c r="U15" i="15"/>
  <c r="U10" i="15"/>
  <c r="U21" i="15"/>
  <c r="U27" i="16"/>
  <c r="U19" i="16"/>
  <c r="U11" i="16"/>
  <c r="U10" i="16"/>
  <c r="U25" i="16"/>
  <c r="U24" i="16"/>
  <c r="U16" i="16"/>
  <c r="U23" i="16"/>
  <c r="U15" i="16"/>
  <c r="U18" i="16"/>
  <c r="U17" i="16"/>
  <c r="W18" i="16"/>
  <c r="U22" i="16"/>
  <c r="U26" i="16"/>
  <c r="U21" i="16"/>
  <c r="U13" i="16"/>
  <c r="U12" i="16"/>
  <c r="U20" i="16"/>
  <c r="U14" i="16"/>
  <c r="U9" i="16"/>
  <c r="U8" i="16"/>
  <c r="V8" i="16"/>
  <c r="V18" i="16"/>
  <c r="T21" i="15"/>
  <c r="W9" i="15"/>
  <c r="T14" i="15"/>
  <c r="T18" i="15"/>
  <c r="T22" i="15"/>
  <c r="T26" i="15"/>
  <c r="T31" i="15"/>
  <c r="T13" i="15"/>
  <c r="T25" i="15"/>
  <c r="T11" i="15"/>
  <c r="T23" i="15"/>
  <c r="T27" i="15"/>
  <c r="T9" i="15"/>
  <c r="T30" i="15"/>
  <c r="T12" i="15"/>
  <c r="T16" i="15"/>
  <c r="T20" i="15"/>
  <c r="T24" i="15"/>
  <c r="T28" i="15"/>
  <c r="T17" i="15"/>
  <c r="T15" i="15"/>
  <c r="O8" i="15"/>
  <c r="W8" i="15" s="1"/>
  <c r="T9" i="16"/>
  <c r="T12" i="16"/>
  <c r="T8" i="16"/>
  <c r="T13" i="16"/>
  <c r="T21" i="16"/>
  <c r="T22" i="16"/>
  <c r="T15" i="16"/>
  <c r="T23" i="16"/>
  <c r="T27" i="16"/>
  <c r="T16" i="16"/>
  <c r="T24" i="16"/>
  <c r="T17" i="16"/>
  <c r="T25" i="16"/>
  <c r="T10" i="16"/>
  <c r="T18" i="16"/>
  <c r="T26" i="16"/>
  <c r="T11" i="16"/>
  <c r="T19" i="16"/>
  <c r="T20" i="16"/>
  <c r="T14" i="16"/>
  <c r="M8" i="15"/>
  <c r="X8" i="15" l="1"/>
  <c r="L23" i="14"/>
  <c r="J23" i="14"/>
  <c r="R23" i="14" s="1"/>
  <c r="I23" i="14"/>
  <c r="H23" i="14"/>
  <c r="G23" i="14"/>
  <c r="F23" i="14"/>
  <c r="E23" i="14"/>
  <c r="D23" i="14"/>
  <c r="C23" i="14"/>
  <c r="B23" i="14"/>
  <c r="E17" i="14"/>
  <c r="D17" i="14"/>
  <c r="C17" i="14"/>
  <c r="B17" i="14"/>
  <c r="L10" i="14"/>
  <c r="J10" i="14"/>
  <c r="I10" i="14"/>
  <c r="H10" i="14"/>
  <c r="G10" i="14"/>
  <c r="F10" i="14"/>
  <c r="E10" i="14"/>
  <c r="D10" i="14"/>
  <c r="C10" i="14"/>
  <c r="B10" i="14"/>
  <c r="G9" i="14" l="1"/>
  <c r="Q10" i="14"/>
  <c r="S10" i="14"/>
  <c r="S23" i="14"/>
  <c r="Q23" i="14"/>
  <c r="F9" i="14"/>
  <c r="F8" i="14" s="1"/>
  <c r="C9" i="14"/>
  <c r="C8" i="14" s="1"/>
  <c r="D9" i="14"/>
  <c r="D8" i="14" s="1"/>
  <c r="R10" i="14"/>
  <c r="J9" i="14"/>
  <c r="E9" i="14"/>
  <c r="E8" i="14" s="1"/>
  <c r="B9" i="14"/>
  <c r="B8" i="14" s="1"/>
  <c r="H9" i="14"/>
  <c r="G8" i="14"/>
  <c r="I9" i="14"/>
  <c r="S8" i="14" l="1"/>
  <c r="Q9" i="14"/>
  <c r="S9" i="14"/>
  <c r="R9" i="14"/>
  <c r="J8" i="14"/>
  <c r="I8" i="14"/>
  <c r="H8" i="14"/>
  <c r="R8" i="14" l="1"/>
  <c r="D22" i="2" l="1"/>
  <c r="D21" i="2" s="1"/>
  <c r="E22" i="2"/>
  <c r="E21" i="2" s="1"/>
  <c r="C22" i="2"/>
  <c r="C21" i="2" s="1"/>
  <c r="B22" i="2"/>
  <c r="B21" i="2" s="1"/>
  <c r="B18" i="2"/>
  <c r="G14" i="2"/>
  <c r="F14" i="2"/>
  <c r="D14" i="2"/>
  <c r="C14" i="2"/>
  <c r="C13" i="2" s="1"/>
  <c r="B14" i="2"/>
  <c r="G9" i="2"/>
  <c r="F9" i="2"/>
  <c r="F8" i="2" s="1"/>
  <c r="D9" i="2"/>
  <c r="C9" i="2"/>
  <c r="B9" i="2"/>
  <c r="G8" i="2" l="1"/>
  <c r="G18" i="2" s="1"/>
  <c r="G13" i="2"/>
  <c r="F13" i="2"/>
  <c r="C8" i="2"/>
  <c r="C18" i="2" s="1"/>
  <c r="F22" i="2"/>
  <c r="F21" i="2" l="1"/>
  <c r="F18" i="2"/>
</calcChain>
</file>

<file path=xl/sharedStrings.xml><?xml version="1.0" encoding="utf-8"?>
<sst xmlns="http://schemas.openxmlformats.org/spreadsheetml/2006/main" count="310" uniqueCount="219">
  <si>
    <t>(cniaWyifur cnwailim)</t>
  </si>
  <si>
    <t>Particulars</t>
  </si>
  <si>
    <t>(iawfiverukuhWlcsia)</t>
  </si>
  <si>
    <t>clIBcfwt</t>
  </si>
  <si>
    <t>Actual</t>
  </si>
  <si>
    <t>(MTEF)</t>
  </si>
  <si>
    <t>IrwRercT cDcnea cscnEnif cfoa IrcTcsinim :ctWrwfivcaed utWmUluAwm</t>
  </si>
  <si>
    <t>Source:  Ministry of Finance and Treasury.</t>
  </si>
  <si>
    <t>(cTejwbWtcsWrudem)</t>
  </si>
  <si>
    <t>(urwvcnimivurutia)</t>
  </si>
  <si>
    <t>Actuals</t>
  </si>
  <si>
    <t>Total Revenue and grants</t>
  </si>
  <si>
    <t>Wsiawf unubil iawgutogegIhea egurEb iaWaInwdcmWa</t>
  </si>
  <si>
    <t>Total  Revenue</t>
  </si>
  <si>
    <t>InwdcmWa</t>
  </si>
  <si>
    <t>Current Revenue</t>
  </si>
  <si>
    <t>InwdcmWA cTcnwrwk</t>
  </si>
  <si>
    <t>1_/ unubil iawgutogegIhea egurEb</t>
  </si>
  <si>
    <t>Expenditure and net lending</t>
  </si>
  <si>
    <t>IkWbufWs egInwrwdEverukUd iaWdwrwK</t>
  </si>
  <si>
    <t>Total Expenditure</t>
  </si>
  <si>
    <t>udwrwK</t>
  </si>
  <si>
    <t>Current expenditure</t>
  </si>
  <si>
    <t>udwrwK Wditenivua</t>
  </si>
  <si>
    <t xml:space="preserve">Capital expenditure </t>
  </si>
  <si>
    <t>Net lending</t>
  </si>
  <si>
    <t>IkWbufWs egInwrwd EverukUd</t>
  </si>
  <si>
    <t>Financing</t>
  </si>
  <si>
    <t xml:space="preserve"> ctogunuscaejwmwh udwrwK ivurutia eruvcSwaInwdcmWa egcTejwb iLum</t>
  </si>
  <si>
    <t>Foreign (net)</t>
  </si>
  <si>
    <t>IkWbufWs egWsiawf unubilcnurEb</t>
  </si>
  <si>
    <t>Disbursements</t>
  </si>
  <si>
    <t>unuverukudwrwK cnunOl</t>
  </si>
  <si>
    <t>Repayments  (-)</t>
  </si>
  <si>
    <t>(-) cSwmukcaedWrubwa cnunOl</t>
  </si>
  <si>
    <t>1_/  Excludes grants for direct expenditure by donors.</t>
  </si>
  <si>
    <t>.eveaevun caeawfinemih udwrwK Wruk WdIs ctWrwf EdIhea 1_/</t>
  </si>
  <si>
    <t>Source:  Ministry of Finance and Treasury</t>
  </si>
  <si>
    <t>IrwRercT cDcnea cscnEnif cfoa IrcTcsinim :ctWrwf ivcaedutWmUluAwm</t>
  </si>
  <si>
    <t>(cniaWyifur cnwyilim)</t>
  </si>
  <si>
    <t>Memorandum item:</t>
  </si>
  <si>
    <t>caeacmwTiawa Wviawfiveruk cDrOker iawkwTcSwnWdwh</t>
  </si>
  <si>
    <t>Current Expenditure</t>
  </si>
  <si>
    <t>urwvcnimivurutia</t>
  </si>
  <si>
    <t>% change</t>
  </si>
  <si>
    <t>Total Expenditure and Net Lending</t>
  </si>
  <si>
    <t>IkWbufWs egInwrwd EverukUd iaWdwrwK</t>
  </si>
  <si>
    <t>Public services</t>
  </si>
  <si>
    <t>ctwmcdiK umcaWA EvedcSwncnutiycawr</t>
  </si>
  <si>
    <t xml:space="preserve">  General administration</t>
  </si>
  <si>
    <t>EhebWmugcnih</t>
  </si>
  <si>
    <t xml:space="preserve">  Defence</t>
  </si>
  <si>
    <t xml:space="preserve"> cnuTcaeheleb cSwtcawtcnwkIaWfid</t>
  </si>
  <si>
    <t xml:space="preserve">        Military Defence</t>
  </si>
  <si>
    <t xml:space="preserve">        Civil Defence</t>
  </si>
  <si>
    <t xml:space="preserve">  Public order and Internal security</t>
  </si>
  <si>
    <t>cnuTcaeleb cSokiretWkcawrcnwmwa iaWmurukcmiaWq ufWscniauludwa</t>
  </si>
  <si>
    <t xml:space="preserve"> Environmental Protection</t>
  </si>
  <si>
    <t>cnuTcaeleb iaWmurukiretWkcawr iSevWmit</t>
  </si>
  <si>
    <t>Social services</t>
  </si>
  <si>
    <t>Ihea EvediaWdwrwK Everuk cSwaIqcawrwt eguAwmwtcjum</t>
  </si>
  <si>
    <t xml:space="preserve">  Education</t>
  </si>
  <si>
    <t>cmIluAwt</t>
  </si>
  <si>
    <t xml:space="preserve">  Health </t>
  </si>
  <si>
    <t>utwHcaiB</t>
  </si>
  <si>
    <t xml:space="preserve">  Social security and welfare services</t>
  </si>
  <si>
    <t>ctwmcdiK egrwaefcleviaWmuTcaeheleb cSokiretWkcawr uAwmwtcjum</t>
  </si>
  <si>
    <t>udwrwK Everuk iawkwTcSwaWdiawf egutwAWmwj</t>
  </si>
  <si>
    <t>Economic services</t>
  </si>
  <si>
    <t>ctwmcdiK IdWBitcqia</t>
  </si>
  <si>
    <t xml:space="preserve">  Fisheries and Agriculture</t>
  </si>
  <si>
    <t>cnwkirevcswm iaWmwkirevuDnwd</t>
  </si>
  <si>
    <t xml:space="preserve">  Transportation</t>
  </si>
  <si>
    <t>udwrwK EhebWrutwfurutwd</t>
  </si>
  <si>
    <t xml:space="preserve">  Communication</t>
  </si>
  <si>
    <t>ctwmcdiK ugetWlwBWvum</t>
  </si>
  <si>
    <t xml:space="preserve">  Tourism</t>
  </si>
  <si>
    <t>cmwzirUT</t>
  </si>
  <si>
    <t xml:space="preserve">  Trade and Industries</t>
  </si>
  <si>
    <t>cnwkiretctwkcawswm iaWairWfwyiv</t>
  </si>
  <si>
    <t xml:space="preserve">  Electricity</t>
  </si>
  <si>
    <t>cTcnwrwk</t>
  </si>
  <si>
    <t>Interest on public debt</t>
  </si>
  <si>
    <t>udwrwK egutwmcdiK EvedcSwaWsiawf WviawfigencSwNcnwrwd</t>
  </si>
  <si>
    <t>Loans disbursements</t>
  </si>
  <si>
    <t>ލޯނުން ޚަރަދު ކުރެވުނު</t>
  </si>
  <si>
    <t>Percentage Change</t>
  </si>
  <si>
    <t>އިތުރުވި މިންވަރު</t>
  </si>
  <si>
    <t>(In million MVR)</t>
  </si>
  <si>
    <t xml:space="preserve"> cniawfis</t>
  </si>
  <si>
    <t>cnuhuluf</t>
  </si>
  <si>
    <t xml:space="preserve"> (In million MVR)</t>
  </si>
  <si>
    <t>(Rev.)</t>
  </si>
  <si>
    <t>% Share</t>
  </si>
  <si>
    <t xml:space="preserve">   Public services</t>
  </si>
  <si>
    <t xml:space="preserve">cawtctwmcdiK EvedcSwncnutiycawr  </t>
  </si>
  <si>
    <t xml:space="preserve">      General administration</t>
  </si>
  <si>
    <t xml:space="preserve">EhebWmugcnih       </t>
  </si>
  <si>
    <t xml:space="preserve">      Defence</t>
  </si>
  <si>
    <t xml:space="preserve">cnuTcaeheleb cSwtcawtcnwkIaWfid       </t>
  </si>
  <si>
    <t xml:space="preserve">      Public order and Internal security</t>
  </si>
  <si>
    <t xml:space="preserve"> cnuTcaeheleb cSokiretWkcawr   cnwmwa iaWmurukcmiaWq ufWscniauludwa       </t>
  </si>
  <si>
    <t xml:space="preserve">      Environmental Protection</t>
  </si>
  <si>
    <t xml:space="preserve">cnuTcaeleb iaWmurukiretWkcawr iSevWmit       </t>
  </si>
  <si>
    <t xml:space="preserve">   Social services</t>
  </si>
  <si>
    <t xml:space="preserve">Ihea EvediaWdwrwK Everuk cSwaIqcawrwt eguAwmwtcjum  </t>
  </si>
  <si>
    <t xml:space="preserve">      Education</t>
  </si>
  <si>
    <t xml:space="preserve">cmIluAwt       </t>
  </si>
  <si>
    <t xml:space="preserve">      Health 1_/</t>
  </si>
  <si>
    <t xml:space="preserve">1_/ utwHcaiB       </t>
  </si>
  <si>
    <t xml:space="preserve">      Social security &amp; Welfare</t>
  </si>
  <si>
    <t xml:space="preserve">rwaefclev iaWmuTcaeheleb cSokiretWkcawr uAwmwtcjum       </t>
  </si>
  <si>
    <t xml:space="preserve">      Community programmes</t>
  </si>
  <si>
    <t xml:space="preserve">udwrwK Everuk iawkwTcSwaWdiawf egutwAWmwj       </t>
  </si>
  <si>
    <t xml:space="preserve">   Economic services</t>
  </si>
  <si>
    <t xml:space="preserve">      Fisheries and Agriculture</t>
  </si>
  <si>
    <t xml:space="preserve">                            cnwkirevcswm iaWmwkirevuDnwd    </t>
  </si>
  <si>
    <t xml:space="preserve">      Transportation</t>
  </si>
  <si>
    <t xml:space="preserve">                                 udwrwK EhebWrutwfurutwd   </t>
  </si>
  <si>
    <t xml:space="preserve">      Communication</t>
  </si>
  <si>
    <t xml:space="preserve">                              ctwmcdiK ugetWlwBWvum</t>
  </si>
  <si>
    <t xml:space="preserve">      Tourism</t>
  </si>
  <si>
    <t xml:space="preserve">                                          cmwzirUT   </t>
  </si>
  <si>
    <t xml:space="preserve">      Trade and Industries</t>
  </si>
  <si>
    <t xml:space="preserve">                          cnwkiretctwkcawswm iaWairWfwyiv   </t>
  </si>
  <si>
    <t xml:space="preserve">   Interest payments</t>
  </si>
  <si>
    <t>udwrwK egutwmcdiK EvedcSwaWsiawf Wviawfigen cSwNcnwrwd</t>
  </si>
  <si>
    <t>1_/     Expenses for water and sanitation is included in the health sector</t>
  </si>
  <si>
    <t>.eveawgiawbEhebWtwHcaiB Inwviawfinemih cawtudwrwK Wviawfiveruk cSwa WnWKWf iaWnef  1_/</t>
  </si>
  <si>
    <t>ބެހިފައިވަ ގޮތް އިންސައްތައިން</t>
  </si>
  <si>
    <t>(Revised )</t>
  </si>
  <si>
    <t>Capital Expenditure and net lending</t>
  </si>
  <si>
    <t>IkWb ufWs egInwrwd EverukUd iaWdwrwK ivinwncnuhimed</t>
  </si>
  <si>
    <t xml:space="preserve">   Capital expenditure</t>
  </si>
  <si>
    <t xml:space="preserve">udwrwK ivinwncnuhimed  </t>
  </si>
  <si>
    <t xml:space="preserve">      Public services</t>
  </si>
  <si>
    <t xml:space="preserve">ctwmcdiK umcaWA EvedcSwncnutiycawr    </t>
  </si>
  <si>
    <t xml:space="preserve">         General administration</t>
  </si>
  <si>
    <t xml:space="preserve">         Defence</t>
  </si>
  <si>
    <t xml:space="preserve">         Public order and Internal security</t>
  </si>
  <si>
    <t xml:space="preserve">cnuTcaeheleb cSokiretWkcawr cnwmwa iaWmurukcmiaWq ufWscniauludwa       </t>
  </si>
  <si>
    <t xml:space="preserve">         Environmental Protection</t>
  </si>
  <si>
    <t xml:space="preserve">      Social services</t>
  </si>
  <si>
    <t xml:space="preserve">IheaEvedev iaWrwK EverukcSwa Iqcawrwt eguAwmwtcjum    </t>
  </si>
  <si>
    <t xml:space="preserve">         Education</t>
  </si>
  <si>
    <t xml:space="preserve">         Health </t>
  </si>
  <si>
    <t xml:space="preserve">utwHcaiB       </t>
  </si>
  <si>
    <t xml:space="preserve">         Social security &amp; Welfare</t>
  </si>
  <si>
    <t xml:space="preserve">         Community programmes</t>
  </si>
  <si>
    <t xml:space="preserve">udwrWK EverukiawkwTcSwaWdiawf egutwAWmwj       </t>
  </si>
  <si>
    <t xml:space="preserve">        Fisheries and Agriculture</t>
  </si>
  <si>
    <t xml:space="preserve">cnwkirevcswm iaWmwkirevuDnwd      </t>
  </si>
  <si>
    <t xml:space="preserve">        Transportation</t>
  </si>
  <si>
    <t xml:space="preserve">udwrwK EhebWrutwfurutwd      </t>
  </si>
  <si>
    <t xml:space="preserve">        Communication</t>
  </si>
  <si>
    <t xml:space="preserve">ctWlwBWvum      </t>
  </si>
  <si>
    <t xml:space="preserve">        Tourism</t>
  </si>
  <si>
    <t xml:space="preserve">cnwkirevurutwf      </t>
  </si>
  <si>
    <t xml:space="preserve">        Trade and industries</t>
  </si>
  <si>
    <t xml:space="preserve">cnwkiretctwkcawswm iaWairWfwyiv      </t>
  </si>
  <si>
    <t xml:space="preserve">        Electricity</t>
  </si>
  <si>
    <t xml:space="preserve">cTcnwrwk      </t>
  </si>
  <si>
    <t xml:space="preserve">   Net lending  2_/</t>
  </si>
  <si>
    <t xml:space="preserve">                                    2_/  IkWbufWs egInwrwd EverukUd</t>
  </si>
  <si>
    <t xml:space="preserve"> Memorandum item:</t>
  </si>
  <si>
    <t xml:space="preserve"> Foreign-loans disbursements</t>
  </si>
  <si>
    <t>unuverukudwrwK egunOl egurEb</t>
  </si>
  <si>
    <t xml:space="preserve"> Amortization</t>
  </si>
  <si>
    <t>ލޯނު އަނބުރާ ދެއްކުން</t>
  </si>
  <si>
    <t>2_/   Includes capital contributions to public enterprises.</t>
  </si>
  <si>
    <t>.eveaenemih iawgiawbim clwTipek EverukUd cSwkwtcsiawrcprwTcnea ckilcbwp 2_/</t>
  </si>
  <si>
    <t>Capital Expenditure</t>
  </si>
  <si>
    <t xml:space="preserve">  Religion, Culture and Entertainment</t>
  </si>
  <si>
    <t xml:space="preserve">      Religion, Culture and Entertainment</t>
  </si>
  <si>
    <t xml:space="preserve">      Electricity</t>
  </si>
  <si>
    <t xml:space="preserve">        Religion, Culture and Entertainment</t>
  </si>
  <si>
    <t>ދީނީ، ސަޤާފީ، މުނިފޫހިފިލުވުން</t>
  </si>
  <si>
    <t>2015-2016</t>
  </si>
  <si>
    <r>
      <t>udwrwK ivinwncnuhimed</t>
    </r>
    <r>
      <rPr>
        <sz val="9"/>
        <color theme="1"/>
        <rFont val="Akuru"/>
        <family val="2"/>
        <charset val="2"/>
      </rPr>
      <t xml:space="preserve">    </t>
    </r>
  </si>
  <si>
    <r>
      <rPr>
        <b/>
        <sz val="8"/>
        <color theme="1"/>
        <rFont val="Faruma"/>
      </rPr>
      <t>ބެހިފައިވާ ގޮތް އިން ސައްތައިން</t>
    </r>
    <r>
      <rPr>
        <b/>
        <sz val="8"/>
        <color theme="1"/>
        <rFont val="Arial"/>
        <family val="2"/>
      </rPr>
      <t xml:space="preserve"> % share</t>
    </r>
  </si>
  <si>
    <t>2015 - 2016</t>
  </si>
  <si>
    <t>Estimate</t>
  </si>
  <si>
    <t xml:space="preserve">  Community programmes*</t>
  </si>
  <si>
    <t>* From 2015 onwards, "community programmes" included in "Religion, Culture and Entertainment".</t>
  </si>
  <si>
    <t>2016 Rev</t>
  </si>
  <si>
    <t>2017 Est</t>
  </si>
  <si>
    <t>2018 Est</t>
  </si>
  <si>
    <t>2019 Est</t>
  </si>
  <si>
    <t>2016-2017</t>
  </si>
  <si>
    <t xml:space="preserve">Table  13.2 :   SUMMARY OF CENTRAL GOVERNMENT FINANCE, 2013 - 2020
</t>
  </si>
  <si>
    <t>2020 -2013 ,ctogWviawfiverukudwrwK cnuTejwb egurWkurws cnutogegukwtiawb WviawfiLeawDnwk cSwmugcnihudwrwK : 13.5 ulwvWt</t>
  </si>
  <si>
    <t>Table  13.5 :  FUNCTIONAL CLASSIFICATION OF CENTRAL GOVERNMENT EXPENDITURE, 2013- 2020</t>
  </si>
  <si>
    <t>2020-2013 ,ctogEverukudwrwK Wditenivua cnurWkurws cnutog egukwtiawb WviawfiLeawDnwk cSwmugcnihudwrwK : 13.6 ulwvWt</t>
  </si>
  <si>
    <t>Table  13.6 :  FUNCTIONAL CLASSIFICATION OF CENTRAL GOVERNMENT  CURRENT EXPENDITURE, 2013 - 2020</t>
  </si>
  <si>
    <t>2016 - 2017</t>
  </si>
  <si>
    <t>2020 -2013 ,ctEverukudwrwK ivinwncnuhimed cnurWkurws cnutog egukwtiawb WviawfiLeawDnwk cSwmugcnihudwrwK : 13.7 ulwvWt</t>
  </si>
  <si>
    <t>Table  13.7 :  FUNCTIONAL CLASSIFICATION OF CENTRAL GOVERNMENT  CAPITAL EXPENDITURE, 2013 - 2020</t>
  </si>
  <si>
    <t>2020 Est</t>
  </si>
  <si>
    <t xml:space="preserve">Revised </t>
  </si>
  <si>
    <t xml:space="preserve">Capital Revenue </t>
  </si>
  <si>
    <r>
      <t xml:space="preserve">Grants  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</si>
  <si>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r>
      <t xml:space="preserve">Overall Balance </t>
    </r>
    <r>
      <rPr>
        <b/>
        <sz val="10"/>
        <color theme="1"/>
        <rFont val="Calibri"/>
        <family val="2"/>
      </rPr>
      <t xml:space="preserve"> </t>
    </r>
    <r>
      <rPr>
        <b/>
        <vertAlign val="superscript"/>
        <sz val="10"/>
        <color theme="1"/>
        <rFont val="Calibri"/>
        <family val="2"/>
      </rPr>
      <t>2_/</t>
    </r>
  </si>
  <si>
    <r>
      <t xml:space="preserve">Primary Balance </t>
    </r>
    <r>
      <rPr>
        <b/>
        <vertAlign val="superscript"/>
        <sz val="10"/>
        <color theme="1"/>
        <rFont val="Calibri"/>
        <family val="2"/>
        <scheme val="minor"/>
      </rPr>
      <t>3_/</t>
    </r>
  </si>
  <si>
    <r>
      <t xml:space="preserve">Domestic </t>
    </r>
    <r>
      <rPr>
        <b/>
        <vertAlign val="superscript"/>
        <sz val="10"/>
        <color theme="1"/>
        <rFont val="Calibri"/>
        <family val="2"/>
        <scheme val="minor"/>
      </rPr>
      <t>4_/</t>
    </r>
  </si>
  <si>
    <t>4_/  Domestic Financing primarily reflects borrowings from MMA</t>
  </si>
  <si>
    <t>.everwvcnim Wviawfigencnia Ea.cmea.cmea Inediawkcawd iawgcaetoguDnwgiawm 4_/</t>
  </si>
  <si>
    <t>InwdcmWA clwTipek</t>
  </si>
  <si>
    <t>/-2 އޯވަރޯލް ބެލެންސްގެ ގޮތުގައި ހިމެނިފައިވަނީ މުޅިބަޖެޓް އާމްދަނީ އަށް ވުރެޚަރަދު އިތުރުވި މިންވަރު (ޖުމްލަ އާމްދަނީއާއި ހިލޭ އެހީ ހިމަނައިގެން)</t>
  </si>
  <si>
    <t>/-3 ޕްރައިމަރީ ބެލެންސްގެ ގޮތުގައި ހިމެނިފައިވަނީ މުޅިބަޖެޓް އާމްދަނީ އަށް ވުރެޚަރަދު އިތުރުވި މިންވަރު (ލޯން ހިދުމަތުގެ ޚަރަދު އުނިކުރުމަށްފަހު)</t>
  </si>
  <si>
    <r>
      <rPr>
        <vertAlign val="superscript"/>
        <sz val="9"/>
        <color theme="1"/>
        <rFont val="A_Randhoo"/>
      </rPr>
      <t>4_/ c</t>
    </r>
    <r>
      <rPr>
        <sz val="9"/>
        <color theme="1"/>
        <rFont val="A_Randhoo"/>
      </rPr>
      <t>niaejcaWr</t>
    </r>
  </si>
  <si>
    <t>3_/  Primary Balance is excluding Loan repayment</t>
  </si>
  <si>
    <t>2_/  Overall Balance including Grants (Starting from 2012, Overall balance is calculated excluding net lending)</t>
  </si>
  <si>
    <t>ނޯޓް: އިސްލާޙުކުރެވިފައި</t>
  </si>
  <si>
    <t>5_/  Data Revised</t>
  </si>
  <si>
    <r>
      <t>2016</t>
    </r>
    <r>
      <rPr>
        <b/>
        <vertAlign val="superscript"/>
        <sz val="10"/>
        <color theme="1"/>
        <rFont val="Calibri"/>
        <family val="2"/>
        <scheme val="minor"/>
      </rPr>
      <t>5_/</t>
    </r>
  </si>
  <si>
    <t>2020- 2008 ,WsWluK egutogWviawfihebutwycailWm egurWkurws  : 13.2 ulwvWt</t>
  </si>
  <si>
    <r>
      <rPr>
        <sz val="9"/>
        <color theme="1"/>
        <rFont val="A_Randhoo"/>
      </rPr>
      <t>iawfiverukuhWlcsia</t>
    </r>
    <r>
      <rPr>
        <sz val="7"/>
        <color theme="1"/>
        <rFont val="A_Randhoo"/>
      </rPr>
      <t xml:space="preserve"> </t>
    </r>
    <r>
      <rPr>
        <sz val="9"/>
        <color theme="1"/>
        <rFont val="A_Randhoo"/>
      </rPr>
      <t>5</t>
    </r>
    <r>
      <rPr>
        <sz val="7"/>
        <color theme="1"/>
        <rFont val="A_Randhoo"/>
      </rPr>
      <t>_/</t>
    </r>
  </si>
  <si>
    <r>
      <t>އޯވަރޯލް ބެލެންސް</t>
    </r>
    <r>
      <rPr>
        <b/>
        <sz val="11"/>
        <color theme="1"/>
        <rFont val="Faruma"/>
      </rPr>
      <t xml:space="preserve"> </t>
    </r>
    <r>
      <rPr>
        <b/>
        <vertAlign val="superscript"/>
        <sz val="11"/>
        <color theme="1"/>
        <rFont val="Faruma"/>
      </rPr>
      <t>/- 2</t>
    </r>
  </si>
  <si>
    <r>
      <t xml:space="preserve">ޕްރައިމަރީ ބެލެންސް </t>
    </r>
    <r>
      <rPr>
        <b/>
        <vertAlign val="superscript"/>
        <sz val="9"/>
        <color theme="1"/>
        <rFont val="Faruma"/>
      </rPr>
      <t xml:space="preserve"> /- 3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</si>
</sst>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8" formatCode="0.0"/>
    <numFmt numFmtId="170" formatCode="_-* #,##0.00_-;\-* #,##0.00_-;_-* &quot;-&quot;??_-;_-@_-"/>
    <numFmt numFmtId="171" formatCode="#,##0.00\ ;&quot; (&quot;#,##0.00\);&quot; -&quot;#\ ;@\ 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1"/>
      <color theme="1"/>
      <name val="Faruma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10"/>
      <color theme="1"/>
      <name val="Faruma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8"/>
      <color theme="1"/>
      <name val="Arial"/>
      <family val="2"/>
    </font>
    <font>
      <sz val="9"/>
      <color theme="1"/>
      <name val="A_Randhoo"/>
    </font>
    <font>
      <sz val="9"/>
      <color theme="1"/>
      <name val="Akuru"/>
      <family val="2"/>
      <charset val="2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i/>
      <sz val="9.5"/>
      <color theme="1"/>
      <name val="Calibri"/>
      <family val="2"/>
      <scheme val="minor"/>
    </font>
    <font>
      <sz val="7"/>
      <color theme="1"/>
      <name val="A_Randhoo"/>
    </font>
    <font>
      <b/>
      <sz val="9"/>
      <color theme="1"/>
      <name val="A_Utheem"/>
    </font>
    <font>
      <sz val="9"/>
      <color theme="1"/>
      <name val="A_Utheem"/>
    </font>
    <font>
      <b/>
      <sz val="8"/>
      <color theme="1"/>
      <name val="Faruma"/>
    </font>
    <font>
      <b/>
      <sz val="9"/>
      <color theme="1"/>
      <name val="Win Ahamedey PRB"/>
      <family val="2"/>
    </font>
    <font>
      <sz val="10"/>
      <color theme="1"/>
      <name val="Courier"/>
      <family val="3"/>
    </font>
    <font>
      <sz val="9"/>
      <color theme="1"/>
      <name val="Courier"/>
      <family val="3"/>
    </font>
    <font>
      <sz val="10"/>
      <color indexed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</font>
    <font>
      <vertAlign val="superscript"/>
      <sz val="9"/>
      <color theme="1"/>
      <name val="A_Randhoo"/>
    </font>
    <font>
      <b/>
      <vertAlign val="superscript"/>
      <sz val="11"/>
      <color theme="1"/>
      <name val="Faruma"/>
    </font>
    <font>
      <b/>
      <vertAlign val="superscript"/>
      <sz val="9"/>
      <color theme="1"/>
      <name val="Farum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  <border>
      <left style="hair">
        <color indexed="64"/>
      </left>
      <right/>
      <top/>
      <bottom style="thin">
        <color theme="1" tint="4.9989318521683403E-2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5" fillId="0" borderId="0" applyFont="0" applyFill="0" applyBorder="0" applyAlignment="0" applyProtection="0"/>
    <xf numFmtId="0" fontId="6" fillId="0" borderId="0"/>
    <xf numFmtId="0" fontId="2" fillId="0" borderId="0"/>
    <xf numFmtId="170" fontId="1" fillId="0" borderId="0" applyFont="0" applyFill="0" applyBorder="0" applyAlignment="0" applyProtection="0"/>
    <xf numFmtId="0" fontId="9" fillId="0" borderId="0"/>
    <xf numFmtId="171" fontId="9" fillId="0" borderId="0"/>
    <xf numFmtId="0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9" fillId="0" borderId="0" applyFont="0" applyFill="0" applyBorder="0" applyAlignment="0" applyProtection="0"/>
    <xf numFmtId="0" fontId="41" fillId="0" borderId="0" applyNumberFormat="0" applyFill="0" applyBorder="0" applyAlignment="0" applyProtection="0"/>
  </cellStyleXfs>
  <cellXfs count="318">
    <xf numFmtId="0" fontId="0" fillId="0" borderId="0" xfId="0"/>
    <xf numFmtId="164" fontId="4" fillId="2" borderId="0" xfId="5" applyNumberFormat="1" applyFont="1" applyFill="1" applyAlignment="1" applyProtection="1">
      <alignment horizontal="left" vertical="center"/>
    </xf>
    <xf numFmtId="164" fontId="4" fillId="2" borderId="0" xfId="5" applyNumberFormat="1" applyFont="1" applyFill="1"/>
    <xf numFmtId="2" fontId="4" fillId="2" borderId="0" xfId="5" applyNumberFormat="1" applyFont="1" applyFill="1"/>
    <xf numFmtId="164" fontId="3" fillId="2" borderId="0" xfId="5" applyNumberFormat="1" applyFont="1" applyFill="1" applyBorder="1" applyAlignment="1">
      <alignment horizontal="center"/>
    </xf>
    <xf numFmtId="1" fontId="3" fillId="2" borderId="10" xfId="5" applyNumberFormat="1" applyFont="1" applyFill="1" applyBorder="1"/>
    <xf numFmtId="164" fontId="3" fillId="2" borderId="10" xfId="5" applyNumberFormat="1" applyFont="1" applyFill="1" applyBorder="1"/>
    <xf numFmtId="164" fontId="3" fillId="2" borderId="10" xfId="5" applyNumberFormat="1" applyFont="1" applyFill="1" applyBorder="1" applyAlignment="1" applyProtection="1">
      <alignment horizontal="left" vertical="center"/>
    </xf>
    <xf numFmtId="167" fontId="4" fillId="2" borderId="10" xfId="1" applyNumberFormat="1" applyFont="1" applyFill="1" applyBorder="1"/>
    <xf numFmtId="164" fontId="4" fillId="2" borderId="0" xfId="5" applyNumberFormat="1" applyFont="1" applyFill="1" applyAlignment="1"/>
    <xf numFmtId="165" fontId="8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2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 applyProtection="1">
      <alignment horizontal="right" vertical="center"/>
      <protection locked="0"/>
    </xf>
    <xf numFmtId="164" fontId="8" fillId="2" borderId="1" xfId="2" applyNumberFormat="1" applyFont="1" applyFill="1" applyBorder="1" applyAlignment="1" applyProtection="1">
      <alignment horizontal="right" vertical="center"/>
    </xf>
    <xf numFmtId="164" fontId="24" fillId="2" borderId="0" xfId="2" applyNumberFormat="1" applyFont="1" applyFill="1" applyAlignment="1">
      <alignment vertical="center"/>
    </xf>
    <xf numFmtId="164" fontId="25" fillId="2" borderId="0" xfId="2" applyNumberFormat="1" applyFont="1" applyFill="1" applyAlignment="1">
      <alignment vertical="center"/>
    </xf>
    <xf numFmtId="164" fontId="8" fillId="2" borderId="3" xfId="2" applyNumberFormat="1" applyFont="1" applyFill="1" applyBorder="1" applyAlignment="1">
      <alignment vertical="center"/>
    </xf>
    <xf numFmtId="164" fontId="8" fillId="2" borderId="3" xfId="2" applyNumberFormat="1" applyFont="1" applyFill="1" applyBorder="1" applyAlignment="1">
      <alignment horizontal="center" vertical="center"/>
    </xf>
    <xf numFmtId="164" fontId="26" fillId="2" borderId="3" xfId="2" applyNumberFormat="1" applyFont="1" applyFill="1" applyBorder="1" applyAlignment="1">
      <alignment horizontal="right" vertical="center"/>
    </xf>
    <xf numFmtId="164" fontId="8" fillId="2" borderId="2" xfId="2" applyNumberFormat="1" applyFont="1" applyFill="1" applyBorder="1" applyAlignment="1" applyProtection="1">
      <alignment horizontal="right" vertical="center"/>
    </xf>
    <xf numFmtId="164" fontId="8" fillId="2" borderId="1" xfId="2" applyNumberFormat="1" applyFont="1" applyFill="1" applyBorder="1" applyAlignment="1">
      <alignment horizontal="right" vertical="center"/>
    </xf>
    <xf numFmtId="165" fontId="8" fillId="2" borderId="0" xfId="2" applyNumberFormat="1" applyFont="1" applyFill="1" applyBorder="1" applyAlignment="1" applyProtection="1">
      <alignment horizontal="right" vertical="center"/>
    </xf>
    <xf numFmtId="164" fontId="8" fillId="2" borderId="0" xfId="2" applyNumberFormat="1" applyFont="1" applyFill="1" applyAlignment="1" applyProtection="1">
      <alignment horizontal="left" vertical="center"/>
    </xf>
    <xf numFmtId="165" fontId="11" fillId="2" borderId="0" xfId="2" applyNumberFormat="1" applyFont="1" applyFill="1" applyAlignment="1">
      <alignment horizontal="right" vertical="center"/>
    </xf>
    <xf numFmtId="164" fontId="15" fillId="2" borderId="0" xfId="2" applyNumberFormat="1" applyFont="1" applyFill="1" applyAlignment="1" applyProtection="1">
      <alignment horizontal="left" vertical="center" indent="1"/>
    </xf>
    <xf numFmtId="165" fontId="15" fillId="2" borderId="0" xfId="2" applyNumberFormat="1" applyFont="1" applyFill="1" applyBorder="1" applyAlignment="1" applyProtection="1">
      <alignment horizontal="right" vertical="center"/>
    </xf>
    <xf numFmtId="165" fontId="28" fillId="2" borderId="0" xfId="2" applyNumberFormat="1" applyFont="1" applyFill="1" applyAlignment="1">
      <alignment horizontal="right" vertical="center"/>
    </xf>
    <xf numFmtId="164" fontId="8" fillId="2" borderId="0" xfId="2" applyNumberFormat="1" applyFont="1" applyFill="1" applyAlignment="1" applyProtection="1">
      <alignment vertical="center"/>
    </xf>
    <xf numFmtId="164" fontId="12" fillId="2" borderId="0" xfId="2" applyNumberFormat="1" applyFont="1" applyFill="1" applyAlignment="1">
      <alignment vertical="center"/>
    </xf>
    <xf numFmtId="164" fontId="8" fillId="2" borderId="0" xfId="2" applyNumberFormat="1" applyFont="1" applyFill="1" applyBorder="1" applyAlignment="1" applyProtection="1">
      <alignment vertical="center"/>
    </xf>
    <xf numFmtId="164" fontId="31" fillId="2" borderId="0" xfId="2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165" fontId="15" fillId="2" borderId="0" xfId="2" applyNumberFormat="1" applyFont="1" applyFill="1" applyBorder="1" applyAlignment="1">
      <alignment vertical="center"/>
    </xf>
    <xf numFmtId="164" fontId="8" fillId="2" borderId="2" xfId="2" applyNumberFormat="1" applyFont="1" applyFill="1" applyBorder="1" applyAlignment="1" applyProtection="1">
      <alignment vertical="center"/>
    </xf>
    <xf numFmtId="165" fontId="8" fillId="2" borderId="2" xfId="2" applyNumberFormat="1" applyFont="1" applyFill="1" applyBorder="1" applyAlignment="1" applyProtection="1">
      <alignment horizontal="right" vertical="center"/>
      <protection locked="0"/>
    </xf>
    <xf numFmtId="165" fontId="8" fillId="2" borderId="2" xfId="2" applyNumberFormat="1" applyFont="1" applyFill="1" applyBorder="1" applyAlignment="1" applyProtection="1">
      <alignment horizontal="right" vertical="center"/>
    </xf>
    <xf numFmtId="164" fontId="22" fillId="2" borderId="0" xfId="2" applyNumberFormat="1" applyFont="1" applyFill="1" applyAlignment="1" applyProtection="1">
      <alignment horizontal="left" vertical="center"/>
    </xf>
    <xf numFmtId="165" fontId="19" fillId="2" borderId="0" xfId="2" applyNumberFormat="1" applyFont="1" applyFill="1" applyAlignment="1" applyProtection="1">
      <alignment horizontal="center" vertical="center"/>
    </xf>
    <xf numFmtId="164" fontId="19" fillId="2" borderId="0" xfId="2" applyNumberFormat="1" applyFont="1" applyFill="1" applyAlignment="1">
      <alignment vertical="center"/>
    </xf>
    <xf numFmtId="165" fontId="31" fillId="2" borderId="0" xfId="2" applyNumberFormat="1" applyFont="1" applyFill="1" applyAlignment="1" applyProtection="1">
      <alignment horizontal="center" vertical="center"/>
    </xf>
    <xf numFmtId="164" fontId="15" fillId="2" borderId="0" xfId="2" applyNumberFormat="1" applyFont="1" applyFill="1" applyAlignment="1">
      <alignment vertical="center"/>
    </xf>
    <xf numFmtId="165" fontId="28" fillId="2" borderId="0" xfId="2" applyNumberFormat="1" applyFont="1" applyFill="1" applyBorder="1" applyAlignment="1">
      <alignment horizontal="right" vertical="center"/>
    </xf>
    <xf numFmtId="164" fontId="15" fillId="2" borderId="0" xfId="2" applyNumberFormat="1" applyFont="1" applyFill="1" applyAlignment="1">
      <alignment horizontal="center" vertical="center"/>
    </xf>
    <xf numFmtId="164" fontId="24" fillId="2" borderId="0" xfId="2" applyNumberFormat="1" applyFont="1" applyFill="1" applyAlignment="1">
      <alignment horizontal="center" vertical="center"/>
    </xf>
    <xf numFmtId="43" fontId="24" fillId="2" borderId="0" xfId="1" applyFont="1" applyFill="1" applyAlignment="1">
      <alignment horizontal="center" vertical="center"/>
    </xf>
    <xf numFmtId="1" fontId="1" fillId="2" borderId="0" xfId="0" applyNumberFormat="1" applyFont="1" applyFill="1"/>
    <xf numFmtId="164" fontId="31" fillId="2" borderId="0" xfId="2" applyNumberFormat="1" applyFont="1" applyFill="1" applyBorder="1" applyAlignment="1">
      <alignment vertical="center"/>
    </xf>
    <xf numFmtId="165" fontId="15" fillId="2" borderId="0" xfId="2" applyNumberFormat="1" applyFont="1" applyFill="1" applyBorder="1" applyAlignment="1" applyProtection="1">
      <alignment horizontal="right" vertical="center"/>
      <protection locked="0"/>
    </xf>
    <xf numFmtId="164" fontId="19" fillId="2" borderId="2" xfId="2" applyNumberFormat="1" applyFont="1" applyFill="1" applyBorder="1" applyAlignment="1" applyProtection="1">
      <alignment horizontal="left" vertical="center"/>
    </xf>
    <xf numFmtId="41" fontId="32" fillId="2" borderId="2" xfId="3" applyNumberFormat="1" applyFont="1" applyFill="1" applyBorder="1" applyAlignment="1" applyProtection="1">
      <alignment horizontal="right" vertical="center"/>
      <protection locked="0"/>
    </xf>
    <xf numFmtId="164" fontId="28" fillId="2" borderId="2" xfId="2" applyNumberFormat="1" applyFont="1" applyFill="1" applyBorder="1" applyAlignment="1">
      <alignment horizontal="right" vertical="center"/>
    </xf>
    <xf numFmtId="164" fontId="33" fillId="2" borderId="0" xfId="2" applyNumberFormat="1" applyFont="1" applyFill="1" applyAlignment="1" applyProtection="1">
      <alignment horizontal="left" vertical="center"/>
    </xf>
    <xf numFmtId="164" fontId="34" fillId="2" borderId="0" xfId="2" applyNumberFormat="1" applyFont="1" applyFill="1" applyAlignment="1">
      <alignment horizontal="right" vertical="center"/>
    </xf>
    <xf numFmtId="164" fontId="28" fillId="2" borderId="0" xfId="2" applyNumberFormat="1" applyFont="1" applyFill="1" applyAlignment="1">
      <alignment horizontal="right" vertical="center"/>
    </xf>
    <xf numFmtId="164" fontId="12" fillId="2" borderId="0" xfId="2" applyNumberFormat="1" applyFont="1" applyFill="1" applyBorder="1" applyAlignment="1">
      <alignment vertical="center"/>
    </xf>
    <xf numFmtId="164" fontId="13" fillId="2" borderId="2" xfId="2" applyNumberFormat="1" applyFont="1" applyFill="1" applyBorder="1" applyAlignment="1" applyProtection="1">
      <alignment horizontal="right" vertical="center"/>
    </xf>
    <xf numFmtId="164" fontId="13" fillId="2" borderId="0" xfId="2" applyNumberFormat="1" applyFont="1" applyFill="1" applyAlignment="1" applyProtection="1">
      <alignment horizontal="left" vertical="center"/>
    </xf>
    <xf numFmtId="165" fontId="13" fillId="2" borderId="0" xfId="2" applyNumberFormat="1" applyFont="1" applyFill="1" applyAlignment="1" applyProtection="1">
      <alignment horizontal="right" vertical="center"/>
    </xf>
    <xf numFmtId="165" fontId="13" fillId="2" borderId="0" xfId="2" applyNumberFormat="1" applyFont="1" applyFill="1" applyAlignment="1" applyProtection="1">
      <alignment horizontal="right" vertical="center"/>
      <protection locked="0"/>
    </xf>
    <xf numFmtId="164" fontId="11" fillId="2" borderId="0" xfId="2" applyNumberFormat="1" applyFont="1" applyFill="1" applyAlignment="1">
      <alignment horizontal="right" vertical="center"/>
    </xf>
    <xf numFmtId="164" fontId="19" fillId="2" borderId="0" xfId="2" applyNumberFormat="1" applyFont="1" applyFill="1" applyAlignment="1" applyProtection="1">
      <alignment horizontal="left" vertical="center"/>
    </xf>
    <xf numFmtId="41" fontId="32" fillId="2" borderId="0" xfId="3" applyNumberFormat="1" applyFont="1" applyFill="1" applyBorder="1" applyAlignment="1" applyProtection="1">
      <alignment horizontal="right" vertical="center"/>
      <protection locked="0"/>
    </xf>
    <xf numFmtId="164" fontId="19" fillId="2" borderId="0" xfId="2" applyNumberFormat="1" applyFont="1" applyFill="1" applyBorder="1" applyAlignment="1" applyProtection="1">
      <alignment horizontal="left" vertical="center"/>
    </xf>
    <xf numFmtId="165" fontId="19" fillId="2" borderId="0" xfId="2" applyNumberFormat="1" applyFont="1" applyFill="1" applyBorder="1" applyAlignment="1" applyProtection="1">
      <alignment horizontal="right" vertical="center"/>
    </xf>
    <xf numFmtId="165" fontId="13" fillId="2" borderId="2" xfId="2" applyNumberFormat="1" applyFont="1" applyFill="1" applyBorder="1" applyAlignment="1" applyProtection="1">
      <alignment horizontal="right" vertical="center"/>
      <protection locked="0"/>
    </xf>
    <xf numFmtId="164" fontId="36" fillId="2" borderId="0" xfId="2" applyNumberFormat="1" applyFont="1" applyFill="1" applyAlignment="1">
      <alignment vertical="center" wrapText="1"/>
    </xf>
    <xf numFmtId="164" fontId="27" fillId="2" borderId="3" xfId="2" applyNumberFormat="1" applyFont="1" applyFill="1" applyBorder="1" applyAlignment="1">
      <alignment vertical="center"/>
    </xf>
    <xf numFmtId="164" fontId="26" fillId="2" borderId="0" xfId="2" applyNumberFormat="1" applyFont="1" applyFill="1" applyBorder="1" applyAlignment="1"/>
    <xf numFmtId="164" fontId="26" fillId="2" borderId="0" xfId="2" applyNumberFormat="1" applyFont="1" applyFill="1" applyBorder="1" applyAlignment="1">
      <alignment horizontal="center"/>
    </xf>
    <xf numFmtId="164" fontId="27" fillId="2" borderId="0" xfId="2" applyNumberFormat="1" applyFont="1" applyFill="1" applyBorder="1" applyAlignment="1">
      <alignment vertical="center"/>
    </xf>
    <xf numFmtId="164" fontId="12" fillId="2" borderId="0" xfId="2" applyNumberFormat="1" applyFont="1" applyFill="1" applyBorder="1" applyAlignment="1" applyProtection="1">
      <alignment horizontal="right" vertical="center"/>
      <protection locked="0"/>
    </xf>
    <xf numFmtId="164" fontId="27" fillId="2" borderId="0" xfId="2" applyNumberFormat="1" applyFont="1" applyFill="1" applyBorder="1" applyAlignment="1" applyProtection="1">
      <alignment horizontal="center" vertical="center"/>
      <protection locked="0"/>
    </xf>
    <xf numFmtId="164" fontId="27" fillId="2" borderId="0" xfId="2" applyNumberFormat="1" applyFont="1" applyFill="1" applyBorder="1" applyAlignment="1" applyProtection="1">
      <alignment horizontal="right" vertical="center"/>
      <protection locked="0"/>
    </xf>
    <xf numFmtId="168" fontId="13" fillId="2" borderId="18" xfId="2" applyNumberFormat="1" applyFont="1" applyFill="1" applyBorder="1" applyAlignment="1">
      <alignment horizontal="right" vertical="center"/>
    </xf>
    <xf numFmtId="164" fontId="38" fillId="2" borderId="2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 applyProtection="1">
      <alignment horizontal="right" vertical="center"/>
    </xf>
    <xf numFmtId="3" fontId="8" fillId="2" borderId="3" xfId="2" applyNumberFormat="1" applyFont="1" applyFill="1" applyBorder="1" applyAlignment="1" applyProtection="1">
      <alignment horizontal="right" vertical="center"/>
    </xf>
    <xf numFmtId="165" fontId="8" fillId="2" borderId="3" xfId="2" applyNumberFormat="1" applyFont="1" applyFill="1" applyBorder="1" applyAlignment="1" applyProtection="1">
      <alignment horizontal="right" vertical="center"/>
    </xf>
    <xf numFmtId="168" fontId="8" fillId="2" borderId="0" xfId="2" applyNumberFormat="1" applyFont="1" applyFill="1" applyBorder="1" applyAlignment="1" applyProtection="1">
      <alignment horizontal="right" vertical="center"/>
      <protection locked="0"/>
    </xf>
    <xf numFmtId="3" fontId="8" fillId="2" borderId="0" xfId="2" applyNumberFormat="1" applyFont="1" applyFill="1" applyBorder="1" applyAlignment="1" applyProtection="1">
      <alignment horizontal="right" vertical="center"/>
      <protection locked="0"/>
    </xf>
    <xf numFmtId="168" fontId="8" fillId="2" borderId="11" xfId="2" applyNumberFormat="1" applyFont="1" applyFill="1" applyBorder="1" applyAlignment="1" applyProtection="1">
      <alignment vertical="center"/>
      <protection locked="0"/>
    </xf>
    <xf numFmtId="164" fontId="15" fillId="2" borderId="0" xfId="2" applyNumberFormat="1" applyFont="1" applyFill="1" applyAlignment="1" applyProtection="1">
      <alignment horizontal="left" vertical="center"/>
    </xf>
    <xf numFmtId="3" fontId="15" fillId="2" borderId="0" xfId="2" applyNumberFormat="1" applyFont="1" applyFill="1" applyBorder="1" applyAlignment="1" applyProtection="1">
      <alignment horizontal="right" vertical="center"/>
      <protection locked="0"/>
    </xf>
    <xf numFmtId="168" fontId="15" fillId="2" borderId="0" xfId="2" applyNumberFormat="1" applyFont="1" applyFill="1" applyBorder="1" applyAlignment="1" applyProtection="1">
      <alignment vertical="center"/>
      <protection locked="0"/>
    </xf>
    <xf numFmtId="168" fontId="15" fillId="2" borderId="11" xfId="2" applyNumberFormat="1" applyFont="1" applyFill="1" applyBorder="1" applyAlignment="1" applyProtection="1">
      <alignment vertical="center"/>
      <protection locked="0"/>
    </xf>
    <xf numFmtId="168" fontId="15" fillId="2" borderId="0" xfId="2" applyNumberFormat="1" applyFont="1" applyFill="1" applyBorder="1" applyAlignment="1" applyProtection="1">
      <alignment horizontal="right" vertical="center"/>
      <protection locked="0"/>
    </xf>
    <xf numFmtId="164" fontId="28" fillId="2" borderId="0" xfId="2" applyNumberFormat="1" applyFont="1" applyFill="1" applyAlignment="1">
      <alignment horizontal="right" vertical="center" indent="3"/>
    </xf>
    <xf numFmtId="3" fontId="15" fillId="2" borderId="0" xfId="2" applyNumberFormat="1" applyFont="1" applyFill="1" applyBorder="1" applyAlignment="1">
      <alignment vertical="center"/>
    </xf>
    <xf numFmtId="164" fontId="21" fillId="2" borderId="0" xfId="2" applyNumberFormat="1" applyFont="1" applyFill="1" applyAlignment="1">
      <alignment horizontal="right" vertical="center"/>
    </xf>
    <xf numFmtId="3" fontId="15" fillId="2" borderId="0" xfId="2" applyNumberFormat="1" applyFont="1" applyFill="1" applyBorder="1" applyAlignment="1" applyProtection="1">
      <alignment horizontal="right" vertical="center"/>
    </xf>
    <xf numFmtId="164" fontId="15" fillId="2" borderId="2" xfId="2" applyNumberFormat="1" applyFont="1" applyFill="1" applyBorder="1" applyAlignment="1" applyProtection="1">
      <alignment horizontal="left" vertical="center"/>
    </xf>
    <xf numFmtId="3" fontId="15" fillId="2" borderId="2" xfId="2" applyNumberFormat="1" applyFont="1" applyFill="1" applyBorder="1" applyAlignment="1" applyProtection="1">
      <alignment horizontal="center" vertical="center"/>
      <protection locked="0"/>
    </xf>
    <xf numFmtId="3" fontId="15" fillId="2" borderId="2" xfId="2" applyNumberFormat="1" applyFont="1" applyFill="1" applyBorder="1" applyAlignment="1" applyProtection="1">
      <alignment horizontal="right" vertical="center"/>
      <protection locked="0"/>
    </xf>
    <xf numFmtId="165" fontId="15" fillId="2" borderId="2" xfId="2" applyNumberFormat="1" applyFont="1" applyFill="1" applyBorder="1" applyAlignment="1" applyProtection="1">
      <alignment horizontal="right" vertical="center"/>
      <protection locked="0"/>
    </xf>
    <xf numFmtId="168" fontId="15" fillId="2" borderId="12" xfId="2" applyNumberFormat="1" applyFont="1" applyFill="1" applyBorder="1" applyAlignment="1" applyProtection="1">
      <alignment vertical="center"/>
      <protection locked="0"/>
    </xf>
    <xf numFmtId="168" fontId="15" fillId="2" borderId="2" xfId="2" applyNumberFormat="1" applyFont="1" applyFill="1" applyBorder="1" applyAlignment="1" applyProtection="1">
      <alignment horizontal="right" vertical="center"/>
      <protection locked="0"/>
    </xf>
    <xf numFmtId="164" fontId="21" fillId="2" borderId="2" xfId="2" applyNumberFormat="1" applyFont="1" applyFill="1" applyBorder="1" applyAlignment="1">
      <alignment horizontal="right" vertical="center"/>
    </xf>
    <xf numFmtId="37" fontId="19" fillId="2" borderId="0" xfId="2" applyNumberFormat="1" applyFont="1" applyFill="1" applyAlignment="1" applyProtection="1">
      <alignment horizontal="center" vertical="center"/>
    </xf>
    <xf numFmtId="168" fontId="19" fillId="2" borderId="0" xfId="2" applyNumberFormat="1" applyFont="1" applyFill="1" applyAlignment="1" applyProtection="1">
      <alignment horizontal="center" vertical="center"/>
    </xf>
    <xf numFmtId="168" fontId="24" fillId="2" borderId="0" xfId="2" applyNumberFormat="1" applyFont="1" applyFill="1" applyAlignment="1">
      <alignment horizontal="center" vertical="center"/>
    </xf>
    <xf numFmtId="165" fontId="12" fillId="2" borderId="0" xfId="2" applyNumberFormat="1" applyFont="1" applyFill="1" applyAlignment="1" applyProtection="1">
      <alignment horizontal="right" vertical="center"/>
    </xf>
    <xf numFmtId="165" fontId="12" fillId="2" borderId="0" xfId="2" applyNumberFormat="1" applyFont="1" applyFill="1" applyAlignment="1" applyProtection="1">
      <alignment horizontal="right" vertical="center"/>
      <protection locked="0"/>
    </xf>
    <xf numFmtId="164" fontId="11" fillId="2" borderId="0" xfId="2" applyNumberFormat="1" applyFont="1" applyFill="1" applyBorder="1" applyAlignment="1"/>
    <xf numFmtId="164" fontId="11" fillId="2" borderId="3" xfId="2" applyNumberFormat="1" applyFont="1" applyFill="1" applyBorder="1" applyAlignment="1">
      <alignment horizontal="center"/>
    </xf>
    <xf numFmtId="0" fontId="17" fillId="2" borderId="3" xfId="2" applyFont="1" applyFill="1" applyBorder="1" applyAlignment="1" applyProtection="1">
      <alignment horizontal="center" vertical="center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12" fillId="2" borderId="0" xfId="2" applyNumberFormat="1" applyFont="1" applyFill="1" applyBorder="1" applyAlignment="1">
      <alignment horizontal="right"/>
    </xf>
    <xf numFmtId="1" fontId="13" fillId="2" borderId="2" xfId="2" applyNumberFormat="1" applyFont="1" applyFill="1" applyBorder="1" applyAlignment="1" applyProtection="1">
      <alignment horizontal="right" vertical="center"/>
    </xf>
    <xf numFmtId="1" fontId="13" fillId="2" borderId="2" xfId="2" applyNumberFormat="1" applyFont="1" applyFill="1" applyBorder="1" applyAlignment="1" applyProtection="1">
      <alignment horizontal="center" vertical="center"/>
    </xf>
    <xf numFmtId="1" fontId="13" fillId="2" borderId="2" xfId="2" applyNumberFormat="1" applyFont="1" applyFill="1" applyBorder="1" applyAlignment="1">
      <alignment horizontal="right" vertical="center"/>
    </xf>
    <xf numFmtId="1" fontId="13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 vertical="center" indent="3"/>
    </xf>
    <xf numFmtId="165" fontId="19" fillId="2" borderId="0" xfId="2" applyNumberFormat="1" applyFont="1" applyFill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 vertical="center" indent="3"/>
    </xf>
    <xf numFmtId="164" fontId="21" fillId="2" borderId="0" xfId="2" applyNumberFormat="1" applyFont="1" applyFill="1" applyAlignment="1">
      <alignment horizontal="right" vertical="center" indent="4"/>
    </xf>
    <xf numFmtId="165" fontId="19" fillId="2" borderId="0" xfId="2" applyNumberFormat="1" applyFont="1" applyFill="1" applyAlignment="1" applyProtection="1">
      <alignment horizontal="right" vertical="center"/>
    </xf>
    <xf numFmtId="168" fontId="19" fillId="2" borderId="0" xfId="2" applyNumberFormat="1" applyFont="1" applyFill="1" applyBorder="1" applyAlignment="1" applyProtection="1">
      <alignment horizontal="right" vertical="center"/>
      <protection locked="0"/>
    </xf>
    <xf numFmtId="168" fontId="19" fillId="2" borderId="0" xfId="2" applyNumberFormat="1" applyFont="1" applyFill="1" applyAlignment="1">
      <alignment vertical="center"/>
    </xf>
    <xf numFmtId="164" fontId="28" fillId="2" borderId="0" xfId="2" applyNumberFormat="1" applyFont="1" applyFill="1" applyBorder="1" applyAlignment="1">
      <alignment horizontal="right" vertical="center"/>
    </xf>
    <xf numFmtId="168" fontId="19" fillId="2" borderId="2" xfId="2" applyNumberFormat="1" applyFont="1" applyFill="1" applyBorder="1" applyAlignment="1" applyProtection="1">
      <alignment horizontal="right" vertical="center"/>
      <protection locked="0"/>
    </xf>
    <xf numFmtId="164" fontId="19" fillId="2" borderId="0" xfId="2" applyNumberFormat="1" applyFont="1" applyFill="1" applyAlignment="1">
      <alignment horizontal="center" vertical="center"/>
    </xf>
    <xf numFmtId="164" fontId="39" fillId="2" borderId="0" xfId="2" applyNumberFormat="1" applyFont="1" applyFill="1"/>
    <xf numFmtId="164" fontId="8" fillId="2" borderId="0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Border="1" applyAlignment="1">
      <alignment horizontal="right"/>
    </xf>
    <xf numFmtId="164" fontId="13" fillId="2" borderId="3" xfId="2" applyNumberFormat="1" applyFont="1" applyFill="1" applyBorder="1" applyAlignment="1">
      <alignment horizontal="right"/>
    </xf>
    <xf numFmtId="0" fontId="18" fillId="2" borderId="0" xfId="2" applyFont="1" applyFill="1" applyBorder="1" applyAlignment="1" applyProtection="1">
      <alignment horizontal="center" vertical="center"/>
    </xf>
    <xf numFmtId="164" fontId="25" fillId="2" borderId="0" xfId="2" applyNumberFormat="1" applyFont="1" applyFill="1" applyBorder="1" applyAlignment="1">
      <alignment horizontal="center" vertical="center"/>
    </xf>
    <xf numFmtId="164" fontId="13" fillId="2" borderId="0" xfId="2" applyNumberFormat="1" applyFont="1" applyFill="1" applyBorder="1" applyAlignment="1">
      <alignment horizontal="right" vertical="center"/>
    </xf>
    <xf numFmtId="168" fontId="13" fillId="2" borderId="0" xfId="2" applyNumberFormat="1" applyFont="1" applyFill="1" applyBorder="1" applyAlignment="1" applyProtection="1">
      <alignment horizontal="center" vertical="center"/>
      <protection locked="0"/>
    </xf>
    <xf numFmtId="168" fontId="13" fillId="2" borderId="2" xfId="2" applyNumberFormat="1" applyFont="1" applyFill="1" applyBorder="1" applyAlignment="1">
      <alignment horizontal="right" vertical="center"/>
    </xf>
    <xf numFmtId="164" fontId="38" fillId="2" borderId="2" xfId="2" applyNumberFormat="1" applyFont="1" applyFill="1" applyBorder="1" applyAlignment="1">
      <alignment vertical="center"/>
    </xf>
    <xf numFmtId="165" fontId="13" fillId="2" borderId="0" xfId="2" applyNumberFormat="1" applyFont="1" applyFill="1" applyBorder="1" applyAlignment="1" applyProtection="1">
      <alignment horizontal="right" vertical="center"/>
    </xf>
    <xf numFmtId="168" fontId="13" fillId="2" borderId="0" xfId="2" applyNumberFormat="1" applyFont="1" applyFill="1" applyBorder="1" applyAlignment="1" applyProtection="1">
      <alignment horizontal="right" vertical="center"/>
    </xf>
    <xf numFmtId="168" fontId="19" fillId="2" borderId="0" xfId="2" applyNumberFormat="1" applyFont="1" applyFill="1" applyBorder="1" applyAlignment="1" applyProtection="1">
      <alignment horizontal="right" vertical="center"/>
    </xf>
    <xf numFmtId="164" fontId="19" fillId="2" borderId="0" xfId="2" applyNumberFormat="1" applyFont="1" applyFill="1" applyBorder="1" applyAlignment="1">
      <alignment vertical="center"/>
    </xf>
    <xf numFmtId="165" fontId="19" fillId="2" borderId="0" xfId="2" applyNumberFormat="1" applyFont="1" applyFill="1" applyBorder="1" applyAlignment="1" applyProtection="1">
      <alignment horizontal="right"/>
    </xf>
    <xf numFmtId="164" fontId="28" fillId="2" borderId="0" xfId="2" applyNumberFormat="1" applyFont="1" applyFill="1" applyAlignment="1">
      <alignment horizontal="center" vertical="center"/>
    </xf>
    <xf numFmtId="164" fontId="28" fillId="2" borderId="0" xfId="2" applyNumberFormat="1" applyFont="1" applyFill="1" applyBorder="1" applyAlignment="1">
      <alignment horizontal="center" vertical="center"/>
    </xf>
    <xf numFmtId="165" fontId="13" fillId="2" borderId="2" xfId="2" applyNumberFormat="1" applyFont="1" applyFill="1" applyBorder="1" applyAlignment="1" applyProtection="1">
      <alignment horizontal="right" vertical="center"/>
    </xf>
    <xf numFmtId="168" fontId="13" fillId="2" borderId="2" xfId="2" applyNumberFormat="1" applyFont="1" applyFill="1" applyBorder="1" applyAlignment="1" applyProtection="1">
      <alignment horizontal="right" vertical="center"/>
    </xf>
    <xf numFmtId="164" fontId="11" fillId="2" borderId="2" xfId="2" applyNumberFormat="1" applyFont="1" applyFill="1" applyBorder="1" applyAlignment="1">
      <alignment horizontal="right" vertical="center"/>
    </xf>
    <xf numFmtId="168" fontId="19" fillId="2" borderId="0" xfId="2" applyNumberFormat="1" applyFont="1" applyFill="1" applyAlignment="1">
      <alignment horizontal="center" vertical="center"/>
    </xf>
    <xf numFmtId="164" fontId="19" fillId="2" borderId="0" xfId="2" applyNumberFormat="1" applyFont="1" applyFill="1"/>
    <xf numFmtId="164" fontId="19" fillId="2" borderId="0" xfId="2" applyNumberFormat="1" applyFont="1" applyFill="1" applyAlignment="1">
      <alignment horizontal="center"/>
    </xf>
    <xf numFmtId="168" fontId="19" fillId="2" borderId="0" xfId="2" applyNumberFormat="1" applyFont="1" applyFill="1" applyAlignment="1">
      <alignment horizontal="center"/>
    </xf>
    <xf numFmtId="164" fontId="40" fillId="2" borderId="0" xfId="2" applyNumberFormat="1" applyFont="1" applyFill="1"/>
    <xf numFmtId="164" fontId="40" fillId="2" borderId="0" xfId="2" applyNumberFormat="1" applyFont="1" applyFill="1" applyAlignment="1">
      <alignment horizontal="center"/>
    </xf>
    <xf numFmtId="168" fontId="40" fillId="2" borderId="0" xfId="2" applyNumberFormat="1" applyFont="1" applyFill="1" applyAlignment="1">
      <alignment horizontal="center"/>
    </xf>
    <xf numFmtId="164" fontId="39" fillId="2" borderId="0" xfId="2" applyNumberFormat="1" applyFont="1" applyFill="1" applyAlignment="1">
      <alignment horizontal="center"/>
    </xf>
    <xf numFmtId="168" fontId="39" fillId="2" borderId="0" xfId="2" applyNumberFormat="1" applyFont="1" applyFill="1" applyAlignment="1">
      <alignment horizontal="center"/>
    </xf>
    <xf numFmtId="0" fontId="1" fillId="2" borderId="0" xfId="0" applyFont="1" applyFill="1"/>
    <xf numFmtId="164" fontId="8" fillId="2" borderId="8" xfId="2" applyNumberFormat="1" applyFont="1" applyFill="1" applyBorder="1" applyAlignment="1" applyProtection="1">
      <alignment horizontal="center" vertical="center"/>
      <protection locked="0"/>
    </xf>
    <xf numFmtId="164" fontId="31" fillId="2" borderId="2" xfId="2" applyNumberFormat="1" applyFont="1" applyFill="1" applyBorder="1" applyAlignment="1">
      <alignment vertical="center"/>
    </xf>
    <xf numFmtId="164" fontId="12" fillId="2" borderId="11" xfId="2" applyNumberFormat="1" applyFont="1" applyFill="1" applyBorder="1" applyAlignment="1">
      <alignment vertical="center"/>
    </xf>
    <xf numFmtId="168" fontId="17" fillId="2" borderId="3" xfId="2" applyNumberFormat="1" applyFont="1" applyFill="1" applyBorder="1" applyAlignment="1" applyProtection="1">
      <alignment vertical="center"/>
      <protection hidden="1"/>
    </xf>
    <xf numFmtId="1" fontId="8" fillId="2" borderId="0" xfId="2" applyNumberFormat="1" applyFont="1" applyFill="1" applyBorder="1" applyAlignment="1" applyProtection="1">
      <alignment vertical="center"/>
      <protection locked="0"/>
    </xf>
    <xf numFmtId="165" fontId="19" fillId="2" borderId="2" xfId="2" applyNumberFormat="1" applyFont="1" applyFill="1" applyBorder="1" applyAlignment="1">
      <alignment horizontal="right" vertical="center" indent="3"/>
    </xf>
    <xf numFmtId="167" fontId="13" fillId="2" borderId="0" xfId="1" applyNumberFormat="1" applyFont="1" applyFill="1" applyAlignment="1">
      <alignment horizontal="right" vertical="center"/>
    </xf>
    <xf numFmtId="167" fontId="19" fillId="2" borderId="0" xfId="1" applyNumberFormat="1" applyFont="1" applyFill="1" applyBorder="1" applyAlignment="1" applyProtection="1">
      <alignment horizontal="right" vertical="center"/>
    </xf>
    <xf numFmtId="167" fontId="19" fillId="2" borderId="0" xfId="1" applyNumberFormat="1" applyFont="1" applyFill="1" applyAlignment="1">
      <alignment horizontal="right" vertical="center"/>
    </xf>
    <xf numFmtId="167" fontId="13" fillId="2" borderId="0" xfId="1" applyNumberFormat="1" applyFont="1" applyFill="1" applyAlignment="1" applyProtection="1">
      <alignment horizontal="right" vertical="center"/>
    </xf>
    <xf numFmtId="167" fontId="19" fillId="2" borderId="0" xfId="1" applyNumberFormat="1" applyFont="1" applyFill="1" applyAlignment="1" applyProtection="1">
      <alignment horizontal="right" vertical="center"/>
    </xf>
    <xf numFmtId="167" fontId="19" fillId="2" borderId="0" xfId="1" applyNumberFormat="1" applyFont="1" applyFill="1" applyAlignment="1">
      <alignment vertical="center"/>
    </xf>
    <xf numFmtId="167" fontId="19" fillId="2" borderId="2" xfId="1" applyNumberFormat="1" applyFont="1" applyFill="1" applyBorder="1" applyAlignment="1" applyProtection="1">
      <alignment horizontal="right" vertical="center"/>
      <protection locked="0"/>
    </xf>
    <xf numFmtId="1" fontId="3" fillId="2" borderId="10" xfId="5" applyNumberFormat="1" applyFont="1" applyFill="1" applyBorder="1" applyAlignment="1">
      <alignment horizontal="center" vertical="center"/>
    </xf>
    <xf numFmtId="164" fontId="3" fillId="2" borderId="10" xfId="5" applyNumberFormat="1" applyFont="1" applyFill="1" applyBorder="1" applyAlignment="1">
      <alignment horizontal="center" vertical="center"/>
    </xf>
    <xf numFmtId="167" fontId="4" fillId="2" borderId="10" xfId="1" applyNumberFormat="1" applyFont="1" applyFill="1" applyBorder="1" applyAlignment="1" applyProtection="1">
      <alignment horizontal="right" vertical="center"/>
    </xf>
    <xf numFmtId="164" fontId="3" fillId="0" borderId="10" xfId="5" applyNumberFormat="1" applyFont="1" applyFill="1" applyBorder="1" applyAlignment="1">
      <alignment horizontal="center" vertical="center"/>
    </xf>
    <xf numFmtId="164" fontId="11" fillId="2" borderId="0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>
      <alignment horizontal="center" vertical="center"/>
    </xf>
    <xf numFmtId="165" fontId="19" fillId="2" borderId="0" xfId="2" applyNumberFormat="1" applyFont="1" applyFill="1" applyAlignment="1" applyProtection="1">
      <alignment horizontal="right" vertical="center"/>
      <protection locked="0"/>
    </xf>
    <xf numFmtId="165" fontId="19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0" xfId="2" applyNumberFormat="1" applyFont="1" applyFill="1" applyBorder="1" applyAlignment="1" applyProtection="1">
      <alignment horizontal="lef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164" fontId="25" fillId="2" borderId="0" xfId="2" applyNumberFormat="1" applyFont="1" applyFill="1" applyBorder="1" applyAlignment="1" applyProtection="1">
      <alignment horizontal="center" vertical="center"/>
    </xf>
    <xf numFmtId="164" fontId="42" fillId="2" borderId="0" xfId="2" applyNumberFormat="1" applyFont="1" applyFill="1" applyAlignment="1">
      <alignment vertical="center"/>
    </xf>
    <xf numFmtId="164" fontId="43" fillId="2" borderId="0" xfId="2" applyNumberFormat="1" applyFont="1" applyFill="1" applyAlignment="1">
      <alignment horizontal="center" vertical="center"/>
    </xf>
    <xf numFmtId="168" fontId="43" fillId="2" borderId="0" xfId="2" applyNumberFormat="1" applyFont="1" applyFill="1" applyAlignment="1">
      <alignment horizontal="center" vertical="center"/>
    </xf>
    <xf numFmtId="164" fontId="43" fillId="2" borderId="0" xfId="2" applyNumberFormat="1" applyFont="1" applyFill="1" applyAlignment="1">
      <alignment horizontal="right" vertical="center"/>
    </xf>
    <xf numFmtId="164" fontId="43" fillId="2" borderId="0" xfId="2" applyNumberFormat="1" applyFont="1" applyFill="1" applyAlignment="1">
      <alignment vertical="center"/>
    </xf>
    <xf numFmtId="167" fontId="19" fillId="2" borderId="0" xfId="1" applyNumberFormat="1" applyFont="1" applyFill="1" applyAlignment="1">
      <alignment horizontal="right" vertical="center" indent="2"/>
    </xf>
    <xf numFmtId="164" fontId="8" fillId="5" borderId="0" xfId="2" applyNumberFormat="1" applyFont="1" applyFill="1" applyBorder="1" applyAlignment="1" applyProtection="1">
      <alignment horizontal="right" vertical="center"/>
      <protection locked="0"/>
    </xf>
    <xf numFmtId="164" fontId="8" fillId="5" borderId="1" xfId="2" applyNumberFormat="1" applyFont="1" applyFill="1" applyBorder="1" applyAlignment="1" applyProtection="1">
      <alignment horizontal="right" vertical="center"/>
    </xf>
    <xf numFmtId="165" fontId="8" fillId="5" borderId="0" xfId="2" applyNumberFormat="1" applyFont="1" applyFill="1" applyBorder="1" applyAlignment="1" applyProtection="1">
      <alignment horizontal="right" vertical="center"/>
      <protection locked="0"/>
    </xf>
    <xf numFmtId="164" fontId="26" fillId="2" borderId="3" xfId="2" applyNumberFormat="1" applyFont="1" applyFill="1" applyBorder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5" fontId="15" fillId="2" borderId="0" xfId="2" applyNumberFormat="1" applyFont="1" applyFill="1" applyBorder="1" applyAlignment="1">
      <alignment horizontal="right" vertical="center"/>
    </xf>
    <xf numFmtId="164" fontId="26" fillId="2" borderId="15" xfId="2" applyNumberFormat="1" applyFont="1" applyFill="1" applyBorder="1" applyAlignment="1">
      <alignment vertical="center"/>
    </xf>
    <xf numFmtId="165" fontId="15" fillId="5" borderId="12" xfId="2" applyNumberFormat="1" applyFont="1" applyFill="1" applyBorder="1" applyAlignment="1" applyProtection="1">
      <alignment horizontal="right" vertical="center"/>
      <protection locked="0"/>
    </xf>
    <xf numFmtId="165" fontId="15" fillId="5" borderId="11" xfId="2" applyNumberFormat="1" applyFont="1" applyFill="1" applyBorder="1" applyAlignment="1" applyProtection="1">
      <alignment horizontal="right" vertical="center"/>
      <protection locked="0"/>
    </xf>
    <xf numFmtId="164" fontId="8" fillId="5" borderId="17" xfId="2" applyNumberFormat="1" applyFont="1" applyFill="1" applyBorder="1" applyAlignment="1" applyProtection="1">
      <alignment horizontal="right" vertical="center"/>
      <protection locked="0"/>
    </xf>
    <xf numFmtId="164" fontId="8" fillId="5" borderId="21" xfId="2" applyNumberFormat="1" applyFont="1" applyFill="1" applyBorder="1" applyAlignment="1" applyProtection="1">
      <alignment horizontal="right" vertical="center"/>
    </xf>
    <xf numFmtId="165" fontId="8" fillId="5" borderId="3" xfId="2" applyNumberFormat="1" applyFont="1" applyFill="1" applyBorder="1" applyAlignment="1" applyProtection="1">
      <alignment horizontal="right" vertical="center"/>
    </xf>
    <xf numFmtId="165" fontId="8" fillId="5" borderId="13" xfId="2" applyNumberFormat="1" applyFont="1" applyFill="1" applyBorder="1" applyAlignment="1" applyProtection="1">
      <alignment horizontal="right" vertical="center"/>
    </xf>
    <xf numFmtId="165" fontId="8" fillId="5" borderId="11" xfId="2" applyNumberFormat="1" applyFont="1" applyFill="1" applyBorder="1" applyAlignment="1" applyProtection="1">
      <alignment horizontal="right" vertical="center"/>
      <protection locked="0"/>
    </xf>
    <xf numFmtId="165" fontId="15" fillId="5" borderId="0" xfId="2" applyNumberFormat="1" applyFont="1" applyFill="1" applyBorder="1" applyAlignment="1" applyProtection="1">
      <alignment horizontal="right" vertical="center"/>
      <protection locked="0"/>
    </xf>
    <xf numFmtId="165" fontId="15" fillId="5" borderId="2" xfId="2" applyNumberFormat="1" applyFont="1" applyFill="1" applyBorder="1" applyAlignment="1" applyProtection="1">
      <alignment horizontal="right" vertical="center"/>
      <protection locked="0"/>
    </xf>
    <xf numFmtId="164" fontId="26" fillId="2" borderId="15" xfId="2" applyNumberFormat="1" applyFont="1" applyFill="1" applyBorder="1" applyAlignment="1">
      <alignment horizontal="center"/>
    </xf>
    <xf numFmtId="164" fontId="27" fillId="2" borderId="15" xfId="2" applyNumberFormat="1" applyFont="1" applyFill="1" applyBorder="1" applyAlignment="1">
      <alignment vertical="center"/>
    </xf>
    <xf numFmtId="164" fontId="13" fillId="5" borderId="24" xfId="2" applyNumberFormat="1" applyFont="1" applyFill="1" applyBorder="1" applyAlignment="1">
      <alignment horizontal="right" vertical="center"/>
    </xf>
    <xf numFmtId="164" fontId="12" fillId="5" borderId="11" xfId="2" applyNumberFormat="1" applyFont="1" applyFill="1" applyBorder="1" applyAlignment="1">
      <alignment vertical="center"/>
    </xf>
    <xf numFmtId="168" fontId="8" fillId="5" borderId="11" xfId="2" applyNumberFormat="1" applyFont="1" applyFill="1" applyBorder="1" applyAlignment="1" applyProtection="1">
      <alignment vertical="center"/>
      <protection locked="0"/>
    </xf>
    <xf numFmtId="168" fontId="15" fillId="5" borderId="11" xfId="2" applyNumberFormat="1" applyFont="1" applyFill="1" applyBorder="1" applyAlignment="1" applyProtection="1">
      <alignment vertical="center"/>
      <protection locked="0"/>
    </xf>
    <xf numFmtId="168" fontId="15" fillId="5" borderId="12" xfId="2" applyNumberFormat="1" applyFont="1" applyFill="1" applyBorder="1" applyAlignment="1" applyProtection="1">
      <alignment vertical="center"/>
      <protection locked="0"/>
    </xf>
    <xf numFmtId="168" fontId="13" fillId="5" borderId="18" xfId="2" applyNumberFormat="1" applyFont="1" applyFill="1" applyBorder="1" applyAlignment="1">
      <alignment horizontal="right" vertical="center"/>
    </xf>
    <xf numFmtId="168" fontId="8" fillId="5" borderId="0" xfId="2" applyNumberFormat="1" applyFont="1" applyFill="1" applyBorder="1" applyAlignment="1" applyProtection="1">
      <alignment horizontal="right" vertical="center"/>
      <protection locked="0"/>
    </xf>
    <xf numFmtId="168" fontId="15" fillId="5" borderId="0" xfId="2" applyNumberFormat="1" applyFont="1" applyFill="1" applyBorder="1" applyAlignment="1" applyProtection="1">
      <alignment horizontal="right" vertical="center"/>
      <protection locked="0"/>
    </xf>
    <xf numFmtId="168" fontId="15" fillId="5" borderId="0" xfId="2" applyNumberFormat="1" applyFont="1" applyFill="1" applyBorder="1" applyAlignment="1" applyProtection="1">
      <alignment vertical="center"/>
      <protection locked="0"/>
    </xf>
    <xf numFmtId="168" fontId="15" fillId="5" borderId="2" xfId="2" applyNumberFormat="1" applyFont="1" applyFill="1" applyBorder="1" applyAlignment="1" applyProtection="1">
      <alignment horizontal="right" vertical="center"/>
      <protection locked="0"/>
    </xf>
    <xf numFmtId="164" fontId="44" fillId="2" borderId="0" xfId="2" applyNumberFormat="1" applyFont="1" applyFill="1" applyBorder="1" applyAlignment="1" applyProtection="1">
      <alignment horizontal="right" vertical="center"/>
      <protection locked="0"/>
    </xf>
    <xf numFmtId="164" fontId="44" fillId="5" borderId="23" xfId="2" applyNumberFormat="1" applyFont="1" applyFill="1" applyBorder="1" applyAlignment="1" applyProtection="1">
      <alignment horizontal="right" vertical="center"/>
      <protection locked="0"/>
    </xf>
    <xf numFmtId="168" fontId="13" fillId="2" borderId="6" xfId="2" applyNumberFormat="1" applyFont="1" applyFill="1" applyBorder="1" applyAlignment="1">
      <alignment horizontal="right" vertical="center"/>
    </xf>
    <xf numFmtId="164" fontId="13" fillId="2" borderId="22" xfId="2" applyNumberFormat="1" applyFont="1" applyFill="1" applyBorder="1" applyAlignment="1" applyProtection="1">
      <alignment horizontal="right" vertical="center"/>
    </xf>
    <xf numFmtId="165" fontId="13" fillId="2" borderId="25" xfId="2" applyNumberFormat="1" applyFont="1" applyFill="1" applyBorder="1" applyAlignment="1" applyProtection="1">
      <alignment horizontal="right" vertical="center"/>
    </xf>
    <xf numFmtId="165" fontId="19" fillId="2" borderId="25" xfId="2" applyNumberFormat="1" applyFont="1" applyFill="1" applyBorder="1" applyAlignment="1" applyProtection="1">
      <alignment horizontal="right" vertical="center"/>
    </xf>
    <xf numFmtId="165" fontId="13" fillId="2" borderId="24" xfId="2" applyNumberFormat="1" applyFont="1" applyFill="1" applyBorder="1" applyAlignment="1" applyProtection="1">
      <alignment horizontal="right" vertical="center"/>
    </xf>
    <xf numFmtId="165" fontId="19" fillId="5" borderId="0" xfId="2" applyNumberFormat="1" applyFont="1" applyFill="1" applyBorder="1" applyAlignment="1" applyProtection="1">
      <alignment horizontal="right" vertical="center"/>
    </xf>
    <xf numFmtId="165" fontId="13" fillId="5" borderId="2" xfId="2" applyNumberFormat="1" applyFont="1" applyFill="1" applyBorder="1" applyAlignment="1" applyProtection="1">
      <alignment horizontal="right" vertical="center"/>
    </xf>
    <xf numFmtId="165" fontId="13" fillId="5" borderId="0" xfId="2" applyNumberFormat="1" applyFont="1" applyFill="1" applyBorder="1" applyAlignment="1" applyProtection="1">
      <alignment horizontal="right" vertical="center"/>
    </xf>
    <xf numFmtId="164" fontId="13" fillId="5" borderId="20" xfId="2" applyNumberFormat="1" applyFont="1" applyFill="1" applyBorder="1" applyAlignment="1" applyProtection="1">
      <alignment horizontal="right" vertical="center"/>
    </xf>
    <xf numFmtId="165" fontId="13" fillId="5" borderId="11" xfId="2" applyNumberFormat="1" applyFont="1" applyFill="1" applyBorder="1" applyAlignment="1" applyProtection="1">
      <alignment horizontal="right" vertical="center"/>
    </xf>
    <xf numFmtId="165" fontId="19" fillId="5" borderId="11" xfId="2" applyNumberFormat="1" applyFont="1" applyFill="1" applyBorder="1" applyAlignment="1" applyProtection="1">
      <alignment horizontal="right" vertical="center"/>
    </xf>
    <xf numFmtId="165" fontId="13" fillId="5" borderId="12" xfId="2" applyNumberFormat="1" applyFont="1" applyFill="1" applyBorder="1" applyAlignment="1" applyProtection="1">
      <alignment horizontal="right" vertical="center"/>
    </xf>
    <xf numFmtId="168" fontId="13" fillId="5" borderId="0" xfId="2" applyNumberFormat="1" applyFont="1" applyFill="1" applyBorder="1" applyAlignment="1" applyProtection="1">
      <alignment horizontal="right" vertical="center"/>
    </xf>
    <xf numFmtId="168" fontId="19" fillId="5" borderId="0" xfId="2" applyNumberFormat="1" applyFont="1" applyFill="1" applyBorder="1" applyAlignment="1" applyProtection="1">
      <alignment horizontal="right" vertical="center"/>
    </xf>
    <xf numFmtId="168" fontId="13" fillId="5" borderId="2" xfId="2" applyNumberFormat="1" applyFont="1" applyFill="1" applyBorder="1" applyAlignment="1" applyProtection="1">
      <alignment horizontal="right" vertical="center"/>
    </xf>
    <xf numFmtId="168" fontId="13" fillId="5" borderId="2" xfId="2" applyNumberFormat="1" applyFont="1" applyFill="1" applyBorder="1" applyAlignment="1">
      <alignment horizontal="right" vertical="center"/>
    </xf>
    <xf numFmtId="1" fontId="13" fillId="2" borderId="24" xfId="2" applyNumberFormat="1" applyFont="1" applyFill="1" applyBorder="1" applyAlignment="1" applyProtection="1">
      <alignment horizontal="right" vertical="center"/>
    </xf>
    <xf numFmtId="165" fontId="13" fillId="2" borderId="26" xfId="2" applyNumberFormat="1" applyFont="1" applyFill="1" applyBorder="1" applyAlignment="1">
      <alignment horizontal="right" vertical="center"/>
    </xf>
    <xf numFmtId="165" fontId="13" fillId="2" borderId="25" xfId="2" applyNumberFormat="1" applyFont="1" applyFill="1" applyBorder="1" applyAlignment="1">
      <alignment horizontal="right" vertical="center"/>
    </xf>
    <xf numFmtId="165" fontId="19" fillId="2" borderId="25" xfId="2" applyNumberFormat="1" applyFont="1" applyFill="1" applyBorder="1" applyAlignment="1">
      <alignment horizontal="right" vertical="center"/>
    </xf>
    <xf numFmtId="167" fontId="19" fillId="2" borderId="25" xfId="1" applyNumberFormat="1" applyFont="1" applyFill="1" applyBorder="1" applyAlignment="1">
      <alignment horizontal="right" vertical="center"/>
    </xf>
    <xf numFmtId="165" fontId="19" fillId="2" borderId="24" xfId="2" applyNumberFormat="1" applyFont="1" applyFill="1" applyBorder="1" applyAlignment="1">
      <alignment horizontal="right" vertical="center"/>
    </xf>
    <xf numFmtId="167" fontId="19" fillId="5" borderId="0" xfId="1" applyNumberFormat="1" applyFont="1" applyFill="1" applyBorder="1" applyAlignment="1" applyProtection="1">
      <alignment horizontal="right" vertical="center"/>
    </xf>
    <xf numFmtId="167" fontId="19" fillId="5" borderId="0" xfId="1" applyNumberFormat="1" applyFont="1" applyFill="1" applyAlignment="1">
      <alignment horizontal="right" vertical="center"/>
    </xf>
    <xf numFmtId="167" fontId="19" fillId="5" borderId="0" xfId="1" applyNumberFormat="1" applyFont="1" applyFill="1" applyAlignment="1">
      <alignment vertical="center"/>
    </xf>
    <xf numFmtId="167" fontId="19" fillId="5" borderId="2" xfId="1" applyNumberFormat="1" applyFont="1" applyFill="1" applyBorder="1" applyAlignment="1" applyProtection="1">
      <alignment horizontal="right" vertical="center"/>
      <protection locked="0"/>
    </xf>
    <xf numFmtId="167" fontId="13" fillId="5" borderId="0" xfId="1" applyNumberFormat="1" applyFont="1" applyFill="1" applyAlignment="1">
      <alignment horizontal="right" vertical="center"/>
    </xf>
    <xf numFmtId="167" fontId="13" fillId="5" borderId="0" xfId="1" applyNumberFormat="1" applyFont="1" applyFill="1" applyAlignment="1" applyProtection="1">
      <alignment horizontal="right" vertical="center"/>
    </xf>
    <xf numFmtId="167" fontId="19" fillId="5" borderId="0" xfId="1" applyNumberFormat="1" applyFont="1" applyFill="1" applyAlignment="1" applyProtection="1">
      <alignment horizontal="right" vertical="center"/>
    </xf>
    <xf numFmtId="1" fontId="13" fillId="5" borderId="12" xfId="2" applyNumberFormat="1" applyFont="1" applyFill="1" applyBorder="1" applyAlignment="1" applyProtection="1">
      <alignment horizontal="right" vertical="center"/>
    </xf>
    <xf numFmtId="165" fontId="13" fillId="5" borderId="13" xfId="2" applyNumberFormat="1" applyFont="1" applyFill="1" applyBorder="1" applyAlignment="1">
      <alignment horizontal="right" vertical="center"/>
    </xf>
    <xf numFmtId="165" fontId="13" fillId="5" borderId="11" xfId="2" applyNumberFormat="1" applyFont="1" applyFill="1" applyBorder="1" applyAlignment="1">
      <alignment horizontal="right" vertical="center"/>
    </xf>
    <xf numFmtId="165" fontId="19" fillId="5" borderId="11" xfId="2" applyNumberFormat="1" applyFont="1" applyFill="1" applyBorder="1" applyAlignment="1">
      <alignment horizontal="right" vertical="center"/>
    </xf>
    <xf numFmtId="167" fontId="19" fillId="5" borderId="11" xfId="1" applyNumberFormat="1" applyFont="1" applyFill="1" applyBorder="1" applyAlignment="1">
      <alignment horizontal="right" vertical="center"/>
    </xf>
    <xf numFmtId="165" fontId="19" fillId="5" borderId="12" xfId="2" applyNumberFormat="1" applyFont="1" applyFill="1" applyBorder="1" applyAlignment="1">
      <alignment horizontal="right" vertical="center"/>
    </xf>
    <xf numFmtId="1" fontId="13" fillId="5" borderId="2" xfId="2" applyNumberFormat="1" applyFont="1" applyFill="1" applyBorder="1" applyAlignment="1" applyProtection="1">
      <alignment horizontal="center" vertical="center"/>
    </xf>
    <xf numFmtId="165" fontId="13" fillId="5" borderId="0" xfId="2" applyNumberFormat="1" applyFont="1" applyFill="1" applyBorder="1" applyAlignment="1">
      <alignment horizontal="right" vertical="center" indent="3"/>
    </xf>
    <xf numFmtId="165" fontId="19" fillId="5" borderId="0" xfId="2" applyNumberFormat="1" applyFont="1" applyFill="1" applyBorder="1" applyAlignment="1">
      <alignment horizontal="right" vertical="center" indent="3"/>
    </xf>
    <xf numFmtId="167" fontId="19" fillId="5" borderId="0" xfId="1" applyNumberFormat="1" applyFont="1" applyFill="1" applyAlignment="1">
      <alignment horizontal="right" vertical="center" indent="2"/>
    </xf>
    <xf numFmtId="165" fontId="19" fillId="5" borderId="2" xfId="2" applyNumberFormat="1" applyFont="1" applyFill="1" applyBorder="1" applyAlignment="1">
      <alignment horizontal="right" vertical="center" indent="3"/>
    </xf>
    <xf numFmtId="164" fontId="45" fillId="3" borderId="10" xfId="5" applyNumberFormat="1" applyFont="1" applyFill="1" applyBorder="1" applyAlignment="1">
      <alignment horizontal="center" vertical="center"/>
    </xf>
    <xf numFmtId="167" fontId="46" fillId="4" borderId="10" xfId="1" applyNumberFormat="1" applyFont="1" applyFill="1" applyBorder="1"/>
    <xf numFmtId="167" fontId="46" fillId="4" borderId="10" xfId="1" applyNumberFormat="1" applyFont="1" applyFill="1" applyBorder="1" applyAlignment="1" applyProtection="1">
      <alignment horizontal="right" vertical="center"/>
    </xf>
    <xf numFmtId="165" fontId="49" fillId="2" borderId="0" xfId="2" applyNumberFormat="1" applyFont="1" applyFill="1" applyAlignment="1">
      <alignment horizontal="right" vertical="center" readingOrder="1"/>
    </xf>
    <xf numFmtId="165" fontId="28" fillId="2" borderId="0" xfId="2" applyNumberFormat="1" applyFont="1" applyFill="1" applyAlignment="1">
      <alignment horizontal="right" vertical="center" indent="1"/>
    </xf>
    <xf numFmtId="165" fontId="28" fillId="2" borderId="2" xfId="2" applyNumberFormat="1" applyFont="1" applyFill="1" applyBorder="1" applyAlignment="1">
      <alignment horizontal="right" vertical="center" indent="1"/>
    </xf>
    <xf numFmtId="1" fontId="20" fillId="2" borderId="0" xfId="2" applyNumberFormat="1" applyFont="1" applyFill="1" applyAlignment="1">
      <alignment horizontal="right" vertical="center"/>
    </xf>
    <xf numFmtId="0" fontId="13" fillId="2" borderId="0" xfId="4" applyFont="1" applyFill="1" applyBorder="1" applyAlignment="1">
      <alignment horizontal="right"/>
    </xf>
    <xf numFmtId="164" fontId="26" fillId="2" borderId="7" xfId="2" applyNumberFormat="1" applyFont="1" applyFill="1" applyBorder="1" applyAlignment="1">
      <alignment horizontal="center" vertical="center"/>
    </xf>
    <xf numFmtId="0" fontId="13" fillId="2" borderId="27" xfId="4" applyFont="1" applyFill="1" applyBorder="1" applyAlignment="1">
      <alignment horizontal="center"/>
    </xf>
    <xf numFmtId="164" fontId="8" fillId="2" borderId="28" xfId="2" applyNumberFormat="1" applyFont="1" applyFill="1" applyBorder="1" applyAlignment="1">
      <alignment horizontal="center" vertical="center"/>
    </xf>
    <xf numFmtId="165" fontId="8" fillId="2" borderId="5" xfId="2" applyNumberFormat="1" applyFont="1" applyFill="1" applyBorder="1" applyAlignment="1" applyProtection="1">
      <alignment horizontal="right" vertical="center" indent="4"/>
    </xf>
    <xf numFmtId="165" fontId="15" fillId="2" borderId="5" xfId="2" applyNumberFormat="1" applyFont="1" applyFill="1" applyBorder="1" applyAlignment="1" applyProtection="1">
      <alignment horizontal="right" vertical="center" indent="4"/>
    </xf>
    <xf numFmtId="165" fontId="8" fillId="2" borderId="6" xfId="2" applyNumberFormat="1" applyFont="1" applyFill="1" applyBorder="1" applyAlignment="1" applyProtection="1">
      <alignment horizontal="right" vertical="center" indent="4"/>
    </xf>
    <xf numFmtId="165" fontId="21" fillId="2" borderId="0" xfId="2" applyNumberFormat="1" applyFont="1" applyFill="1" applyAlignment="1">
      <alignment horizontal="right" vertical="center" readingOrder="2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11" fillId="2" borderId="0" xfId="2" applyNumberFormat="1" applyFont="1" applyFill="1" applyBorder="1" applyAlignment="1">
      <alignment horizontal="right" vertical="center"/>
    </xf>
    <xf numFmtId="164" fontId="23" fillId="2" borderId="0" xfId="2" applyNumberFormat="1" applyFont="1" applyFill="1" applyAlignment="1">
      <alignment horizontal="center" vertical="center"/>
    </xf>
    <xf numFmtId="164" fontId="14" fillId="2" borderId="0" xfId="2" applyNumberFormat="1" applyFont="1" applyFill="1" applyBorder="1" applyAlignment="1" applyProtection="1">
      <alignment horizontal="center" vertical="center"/>
    </xf>
    <xf numFmtId="164" fontId="11" fillId="2" borderId="0" xfId="2" applyNumberFormat="1" applyFont="1" applyFill="1" applyAlignment="1">
      <alignment horizontal="center" vertical="center" wrapText="1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8" fillId="2" borderId="1" xfId="2" applyNumberFormat="1" applyFont="1" applyFill="1" applyBorder="1" applyAlignment="1" applyProtection="1">
      <alignment horizontal="left" vertical="center"/>
    </xf>
    <xf numFmtId="164" fontId="8" fillId="2" borderId="3" xfId="2" applyNumberFormat="1" applyFont="1" applyFill="1" applyBorder="1" applyAlignment="1" applyProtection="1">
      <alignment horizontal="left" vertical="center"/>
    </xf>
    <xf numFmtId="164" fontId="11" fillId="2" borderId="3" xfId="2" applyNumberFormat="1" applyFont="1" applyFill="1" applyBorder="1" applyAlignment="1">
      <alignment horizontal="right" vertical="center"/>
    </xf>
    <xf numFmtId="164" fontId="11" fillId="2" borderId="0" xfId="2" applyNumberFormat="1" applyFont="1" applyFill="1" applyBorder="1" applyAlignment="1">
      <alignment horizontal="right" vertical="center"/>
    </xf>
    <xf numFmtId="164" fontId="11" fillId="2" borderId="1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>
      <alignment horizontal="center" vertical="center"/>
    </xf>
    <xf numFmtId="164" fontId="16" fillId="2" borderId="0" xfId="2" applyNumberFormat="1" applyFont="1" applyFill="1" applyBorder="1" applyAlignment="1" applyProtection="1">
      <alignment horizontal="center" vertical="center" wrapText="1"/>
    </xf>
    <xf numFmtId="164" fontId="35" fillId="2" borderId="0" xfId="2" applyNumberFormat="1" applyFont="1" applyFill="1" applyAlignment="1">
      <alignment horizontal="center" vertical="center" wrapText="1"/>
    </xf>
    <xf numFmtId="164" fontId="25" fillId="2" borderId="2" xfId="2" applyNumberFormat="1" applyFont="1" applyFill="1" applyBorder="1" applyAlignment="1">
      <alignment horizontal="center" vertical="center"/>
    </xf>
    <xf numFmtId="164" fontId="13" fillId="2" borderId="3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Border="1" applyAlignment="1" applyProtection="1">
      <alignment horizontal="lef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164" fontId="26" fillId="2" borderId="15" xfId="2" applyNumberFormat="1" applyFont="1" applyFill="1" applyBorder="1" applyAlignment="1">
      <alignment horizontal="center" vertical="center"/>
    </xf>
    <xf numFmtId="164" fontId="26" fillId="2" borderId="19" xfId="2" applyNumberFormat="1" applyFont="1" applyFill="1" applyBorder="1" applyAlignment="1">
      <alignment horizontal="center" vertical="center"/>
    </xf>
    <xf numFmtId="164" fontId="27" fillId="2" borderId="16" xfId="2" applyNumberFormat="1" applyFont="1" applyFill="1" applyBorder="1" applyAlignment="1">
      <alignment horizontal="center" vertical="center"/>
    </xf>
    <xf numFmtId="164" fontId="27" fillId="2" borderId="19" xfId="2" applyNumberFormat="1" applyFont="1" applyFill="1" applyBorder="1" applyAlignment="1">
      <alignment horizontal="center" vertical="center"/>
    </xf>
    <xf numFmtId="168" fontId="26" fillId="2" borderId="7" xfId="2" applyNumberFormat="1" applyFont="1" applyFill="1" applyBorder="1" applyAlignment="1" applyProtection="1">
      <alignment horizontal="center" vertical="center"/>
      <protection hidden="1"/>
    </xf>
    <xf numFmtId="168" fontId="26" fillId="2" borderId="3" xfId="2" applyNumberFormat="1" applyFont="1" applyFill="1" applyBorder="1" applyAlignment="1" applyProtection="1">
      <alignment horizontal="center" vertical="center"/>
      <protection hidden="1"/>
    </xf>
    <xf numFmtId="168" fontId="27" fillId="2" borderId="6" xfId="2" applyNumberFormat="1" applyFont="1" applyFill="1" applyBorder="1" applyAlignment="1" applyProtection="1">
      <alignment horizontal="center" vertical="center"/>
      <protection locked="0"/>
    </xf>
    <xf numFmtId="168" fontId="27" fillId="2" borderId="2" xfId="2" applyNumberFormat="1" applyFont="1" applyFill="1" applyBorder="1" applyAlignment="1" applyProtection="1">
      <alignment horizontal="center" vertical="center"/>
      <protection locked="0"/>
    </xf>
    <xf numFmtId="164" fontId="13" fillId="2" borderId="9" xfId="2" applyNumberFormat="1" applyFont="1" applyFill="1" applyBorder="1" applyAlignment="1" applyProtection="1">
      <alignment horizontal="center" vertical="center"/>
      <protection locked="0"/>
    </xf>
    <xf numFmtId="164" fontId="13" fillId="2" borderId="14" xfId="2" applyNumberFormat="1" applyFont="1" applyFill="1" applyBorder="1" applyAlignment="1" applyProtection="1">
      <alignment horizontal="center" vertical="center"/>
      <protection locked="0"/>
    </xf>
    <xf numFmtId="164" fontId="25" fillId="2" borderId="0" xfId="2" applyNumberFormat="1" applyFont="1" applyFill="1" applyBorder="1" applyAlignment="1" applyProtection="1">
      <alignment horizontal="center" vertical="center"/>
    </xf>
    <xf numFmtId="164" fontId="36" fillId="2" borderId="0" xfId="2" applyNumberFormat="1" applyFont="1" applyFill="1" applyAlignment="1">
      <alignment horizontal="center" vertical="center" wrapText="1"/>
    </xf>
    <xf numFmtId="164" fontId="13" fillId="2" borderId="15" xfId="2" applyNumberFormat="1" applyFont="1" applyFill="1" applyBorder="1" applyAlignment="1">
      <alignment horizontal="right"/>
    </xf>
    <xf numFmtId="0" fontId="18" fillId="2" borderId="7" xfId="2" applyFont="1" applyFill="1" applyBorder="1" applyAlignment="1" applyProtection="1">
      <alignment horizontal="center" vertical="center"/>
    </xf>
    <xf numFmtId="0" fontId="18" fillId="2" borderId="13" xfId="2" applyFont="1" applyFill="1" applyBorder="1" applyAlignment="1" applyProtection="1">
      <alignment horizontal="center" vertical="center"/>
    </xf>
    <xf numFmtId="0" fontId="18" fillId="2" borderId="3" xfId="2" applyFont="1" applyFill="1" applyBorder="1" applyAlignment="1" applyProtection="1">
      <alignment horizontal="center" vertical="center"/>
    </xf>
    <xf numFmtId="168" fontId="13" fillId="2" borderId="9" xfId="2" applyNumberFormat="1" applyFont="1" applyFill="1" applyBorder="1" applyAlignment="1" applyProtection="1">
      <alignment horizontal="center" vertical="center"/>
      <protection locked="0"/>
    </xf>
    <xf numFmtId="168" fontId="13" fillId="2" borderId="8" xfId="2" applyNumberFormat="1" applyFont="1" applyFill="1" applyBorder="1" applyAlignment="1" applyProtection="1">
      <alignment horizontal="center" vertical="center"/>
      <protection locked="0"/>
    </xf>
    <xf numFmtId="1" fontId="8" fillId="2" borderId="8" xfId="2" applyNumberFormat="1" applyFont="1" applyFill="1" applyBorder="1" applyAlignment="1" applyProtection="1">
      <alignment horizontal="center" vertical="center"/>
      <protection locked="0"/>
    </xf>
    <xf numFmtId="164" fontId="8" fillId="2" borderId="9" xfId="2" applyNumberFormat="1" applyFont="1" applyFill="1" applyBorder="1" applyAlignment="1" applyProtection="1">
      <alignment horizontal="center" vertical="center"/>
      <protection locked="0"/>
    </xf>
    <xf numFmtId="164" fontId="8" fillId="2" borderId="14" xfId="2" applyNumberFormat="1" applyFont="1" applyFill="1" applyBorder="1" applyAlignment="1" applyProtection="1">
      <alignment horizontal="center" vertical="center"/>
      <protection locked="0"/>
    </xf>
    <xf numFmtId="0" fontId="17" fillId="2" borderId="7" xfId="2" applyFont="1" applyFill="1" applyBorder="1" applyAlignment="1" applyProtection="1">
      <alignment horizontal="center" vertical="center"/>
    </xf>
    <xf numFmtId="0" fontId="17" fillId="2" borderId="13" xfId="2" applyFont="1" applyFill="1" applyBorder="1" applyAlignment="1" applyProtection="1">
      <alignment horizontal="center" vertical="center"/>
    </xf>
    <xf numFmtId="164" fontId="11" fillId="2" borderId="15" xfId="2" applyNumberFormat="1" applyFont="1" applyFill="1" applyBorder="1" applyAlignment="1">
      <alignment horizontal="center"/>
    </xf>
    <xf numFmtId="168" fontId="17" fillId="2" borderId="3" xfId="2" applyNumberFormat="1" applyFont="1" applyFill="1" applyBorder="1" applyAlignment="1" applyProtection="1">
      <alignment horizontal="center" vertical="center"/>
      <protection hidden="1"/>
    </xf>
    <xf numFmtId="164" fontId="4" fillId="2" borderId="0" xfId="5" applyNumberFormat="1" applyFont="1" applyFill="1" applyAlignment="1">
      <alignment horizontal="center"/>
    </xf>
    <xf numFmtId="164" fontId="3" fillId="2" borderId="4" xfId="5" applyNumberFormat="1" applyFont="1" applyFill="1" applyBorder="1" applyAlignment="1">
      <alignment horizontal="center"/>
    </xf>
    <xf numFmtId="164" fontId="3" fillId="2" borderId="2" xfId="5" applyNumberFormat="1" applyFont="1" applyFill="1" applyBorder="1" applyAlignment="1">
      <alignment horizontal="center"/>
    </xf>
    <xf numFmtId="165" fontId="18" fillId="2" borderId="0" xfId="2" applyNumberFormat="1" applyFont="1" applyFill="1" applyAlignment="1">
      <alignment horizontal="right" vertical="center" wrapText="1"/>
    </xf>
  </cellXfs>
  <cellStyles count="14">
    <cellStyle name="Comma" xfId="1" builtinId="3"/>
    <cellStyle name="Comma 2" xfId="9"/>
    <cellStyle name="Comma 3" xfId="10"/>
    <cellStyle name="Comma 4" xfId="6"/>
    <cellStyle name="Comma 6" xfId="12"/>
    <cellStyle name="Comma_13 Public Finance_done" xfId="3"/>
    <cellStyle name="Excel Built-in Comma" xfId="8"/>
    <cellStyle name="Excel Built-in Normal" xfId="7"/>
    <cellStyle name="Normal" xfId="0" builtinId="0"/>
    <cellStyle name="Normal 2" xfId="13"/>
    <cellStyle name="Normal 4" xfId="11"/>
    <cellStyle name="Normal_13 Public Finance" xfId="5"/>
    <cellStyle name="Normal_13 Public Finance_done" xfId="2"/>
    <cellStyle name="Normal_X-5 (Electricity)" xfId="4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312046444122113E-2"/>
          <c:y val="0.15951433801640189"/>
          <c:w val="0.92146745995902646"/>
          <c:h val="0.74368999066310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1.6'!$A$5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1.6'!$B$5:$N$5</c:f>
              <c:numCache>
                <c:formatCode>_(* #,##0.0_);_(* \(#,##0.0\);_(* "-"??_);_(@_)</c:formatCode>
                <c:ptCount val="13"/>
                <c:pt idx="0">
                  <c:v>808.9</c:v>
                </c:pt>
                <c:pt idx="1">
                  <c:v>498.79999999999995</c:v>
                </c:pt>
                <c:pt idx="2">
                  <c:v>696.52141600000004</c:v>
                </c:pt>
                <c:pt idx="3">
                  <c:v>635.70163600000001</c:v>
                </c:pt>
                <c:pt idx="4">
                  <c:v>1285.636868</c:v>
                </c:pt>
                <c:pt idx="5">
                  <c:v>1139.8289990000001</c:v>
                </c:pt>
                <c:pt idx="6">
                  <c:v>462.58586595999998</c:v>
                </c:pt>
                <c:pt idx="7">
                  <c:v>679.01722999999993</c:v>
                </c:pt>
                <c:pt idx="8">
                  <c:v>2079.0821064299998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4-4F91-9D75-AA0B0E910D10}"/>
            </c:ext>
          </c:extLst>
        </c:ser>
        <c:ser>
          <c:idx val="1"/>
          <c:order val="1"/>
          <c:tx>
            <c:strRef>
              <c:f>'Fig 1.5 &amp; 1.6'!$A$6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1.6'!$B$6:$N$6</c:f>
              <c:numCache>
                <c:formatCode>_(* #,##0.0_);_(* \(#,##0.0\);_(* "-"??_);_(@_)</c:formatCode>
                <c:ptCount val="13"/>
                <c:pt idx="0">
                  <c:v>626.5</c:v>
                </c:pt>
                <c:pt idx="1">
                  <c:v>1443.3</c:v>
                </c:pt>
                <c:pt idx="2">
                  <c:v>1087.278699</c:v>
                </c:pt>
                <c:pt idx="3">
                  <c:v>1816.638207</c:v>
                </c:pt>
                <c:pt idx="4">
                  <c:v>1383.244537</c:v>
                </c:pt>
                <c:pt idx="5">
                  <c:v>1081.7647489999999</c:v>
                </c:pt>
                <c:pt idx="6">
                  <c:v>1108.2257616500001</c:v>
                </c:pt>
                <c:pt idx="7">
                  <c:v>1155.5744520000001</c:v>
                </c:pt>
                <c:pt idx="8">
                  <c:v>1812.3305333000001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4-4F91-9D75-AA0B0E910D10}"/>
            </c:ext>
          </c:extLst>
        </c:ser>
        <c:ser>
          <c:idx val="2"/>
          <c:order val="2"/>
          <c:tx>
            <c:strRef>
              <c:f>'Fig 1.5 &amp; 1.6'!$A$7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1.6'!$B$7:$N$7</c:f>
              <c:numCache>
                <c:formatCode>_(* #,##0.0_);_(* \(#,##0.0\);_(* "-"??_);_(@_)</c:formatCode>
                <c:ptCount val="13"/>
                <c:pt idx="0">
                  <c:v>329.9</c:v>
                </c:pt>
                <c:pt idx="1">
                  <c:v>937.10000000000014</c:v>
                </c:pt>
                <c:pt idx="2">
                  <c:v>581.73487699999998</c:v>
                </c:pt>
                <c:pt idx="3">
                  <c:v>174.8779509</c:v>
                </c:pt>
                <c:pt idx="4">
                  <c:v>919.10181</c:v>
                </c:pt>
                <c:pt idx="5">
                  <c:v>662.15555800000004</c:v>
                </c:pt>
                <c:pt idx="6">
                  <c:v>522.22979633</c:v>
                </c:pt>
                <c:pt idx="7">
                  <c:v>750.4553719999999</c:v>
                </c:pt>
                <c:pt idx="8">
                  <c:v>870.97274229999994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4-4F91-9D75-AA0B0E91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688928"/>
        <c:axId val="548690496"/>
      </c:barChart>
      <c:catAx>
        <c:axId val="548688928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690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8690496"/>
        <c:scaling>
          <c:orientation val="minMax"/>
          <c:max val="4600"/>
          <c:min val="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Consolas" pitchFamily="49" charset="0"/>
              </a:defRPr>
            </a:pPr>
            <a:endParaRPr lang="en-US"/>
          </a:p>
        </c:txPr>
        <c:crossAx val="548688928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468926160777695"/>
          <c:y val="0.25138335112514176"/>
          <c:w val="0.46469349034450158"/>
          <c:h val="7.1604981436259069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798419707551499E-2"/>
          <c:y val="0.19661511118581726"/>
          <c:w val="0.91825806671102561"/>
          <c:h val="0.68562922290296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1.6'!$A$36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1.6'!$B$36:$N$36</c:f>
              <c:numCache>
                <c:formatCode>_(* #,##0.0_);_(* \(#,##0.0\);_(* "-"??_);_(@_)</c:formatCode>
                <c:ptCount val="13"/>
                <c:pt idx="0">
                  <c:v>2241.8999999999996</c:v>
                </c:pt>
                <c:pt idx="1">
                  <c:v>3209.7</c:v>
                </c:pt>
                <c:pt idx="2">
                  <c:v>3519.7833220000007</c:v>
                </c:pt>
                <c:pt idx="3">
                  <c:v>3978.9039029999999</c:v>
                </c:pt>
                <c:pt idx="4">
                  <c:v>4596.1388089999991</c:v>
                </c:pt>
                <c:pt idx="5">
                  <c:v>4774.492886</c:v>
                </c:pt>
                <c:pt idx="6">
                  <c:v>4784.0412950399996</c:v>
                </c:pt>
                <c:pt idx="7">
                  <c:v>5537.7483140000004</c:v>
                </c:pt>
                <c:pt idx="8">
                  <c:v>6243.3481799699994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D-4ABA-B365-334D662F221F}"/>
            </c:ext>
          </c:extLst>
        </c:ser>
        <c:ser>
          <c:idx val="1"/>
          <c:order val="1"/>
          <c:tx>
            <c:strRef>
              <c:f>'Fig 1.5 &amp; 1.6'!$A$37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1.6'!$B$37:$N$37</c:f>
              <c:numCache>
                <c:formatCode>_(* #,##0.0_);_(* \(#,##0.0\);_(* "-"??_);_(@_)</c:formatCode>
                <c:ptCount val="13"/>
                <c:pt idx="0">
                  <c:v>3817.6</c:v>
                </c:pt>
                <c:pt idx="1">
                  <c:v>3679.5</c:v>
                </c:pt>
                <c:pt idx="2">
                  <c:v>4345.2921539999998</c:v>
                </c:pt>
                <c:pt idx="3">
                  <c:v>3462.622922</c:v>
                </c:pt>
                <c:pt idx="4">
                  <c:v>3544.46576</c:v>
                </c:pt>
                <c:pt idx="5">
                  <c:v>4225.7286190000004</c:v>
                </c:pt>
                <c:pt idx="6">
                  <c:v>5531.6275246499999</c:v>
                </c:pt>
                <c:pt idx="7">
                  <c:v>7089.9977030000009</c:v>
                </c:pt>
                <c:pt idx="8">
                  <c:v>8742.95622215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D-4ABA-B365-334D662F221F}"/>
            </c:ext>
          </c:extLst>
        </c:ser>
        <c:ser>
          <c:idx val="2"/>
          <c:order val="2"/>
          <c:tx>
            <c:strRef>
              <c:f>'Fig 1.5 &amp; 1.6'!$A$38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1.6'!$B$38:$N$38</c:f>
              <c:numCache>
                <c:formatCode>_(* #,##0.0_);_(* \(#,##0.0\);_(* "-"??_);_(@_)</c:formatCode>
                <c:ptCount val="13"/>
                <c:pt idx="0">
                  <c:v>266.3</c:v>
                </c:pt>
                <c:pt idx="1">
                  <c:v>293.99999999999994</c:v>
                </c:pt>
                <c:pt idx="2">
                  <c:v>255.78124300000002</c:v>
                </c:pt>
                <c:pt idx="3">
                  <c:v>265.56214700000004</c:v>
                </c:pt>
                <c:pt idx="4">
                  <c:v>209.35414899999998</c:v>
                </c:pt>
                <c:pt idx="5">
                  <c:v>209.18252100000001</c:v>
                </c:pt>
                <c:pt idx="6">
                  <c:v>300.81956875999992</c:v>
                </c:pt>
                <c:pt idx="7">
                  <c:v>348.30320599999999</c:v>
                </c:pt>
                <c:pt idx="8">
                  <c:v>344.55713775999999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D-4ABA-B365-334D662F22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9648080"/>
        <c:axId val="381618720"/>
      </c:barChart>
      <c:catAx>
        <c:axId val="77964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618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81618720"/>
        <c:scaling>
          <c:orientation val="minMax"/>
          <c:max val="900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9648080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1186390480266962E-2"/>
          <c:y val="0.25358228873347843"/>
          <c:w val="0.46865950012487517"/>
          <c:h val="8.1005945668923038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8</xdr:row>
      <xdr:rowOff>128270</xdr:rowOff>
    </xdr:from>
    <xdr:to>
      <xdr:col>13</xdr:col>
      <xdr:colOff>638174</xdr:colOff>
      <xdr:row>30</xdr:row>
      <xdr:rowOff>63500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379325</xdr:colOff>
      <xdr:row>38</xdr:row>
      <xdr:rowOff>138545</xdr:rowOff>
    </xdr:from>
    <xdr:to>
      <xdr:col>13</xdr:col>
      <xdr:colOff>638174</xdr:colOff>
      <xdr:row>61</xdr:row>
      <xdr:rowOff>11353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439979</xdr:colOff>
      <xdr:row>41</xdr:row>
      <xdr:rowOff>72621</xdr:rowOff>
    </xdr:from>
    <xdr:to>
      <xdr:col>1</xdr:col>
      <xdr:colOff>419101</xdr:colOff>
      <xdr:row>42</xdr:row>
      <xdr:rowOff>68580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439979" y="6084801"/>
          <a:ext cx="1053542" cy="1407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In Million Rufiyaa</a:t>
          </a:r>
        </a:p>
      </xdr:txBody>
    </xdr:sp>
    <xdr:clientData/>
  </xdr:twoCellAnchor>
  <xdr:twoCellAnchor>
    <xdr:from>
      <xdr:col>1</xdr:col>
      <xdr:colOff>247649</xdr:colOff>
      <xdr:row>41</xdr:row>
      <xdr:rowOff>57149</xdr:rowOff>
    </xdr:from>
    <xdr:to>
      <xdr:col>13</xdr:col>
      <xdr:colOff>180974</xdr:colOff>
      <xdr:row>41</xdr:row>
      <xdr:rowOff>66674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1295399" y="6305549"/>
          <a:ext cx="6734175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85725</xdr:colOff>
      <xdr:row>10</xdr:row>
      <xdr:rowOff>133349</xdr:rowOff>
    </xdr:from>
    <xdr:to>
      <xdr:col>13</xdr:col>
      <xdr:colOff>66675</xdr:colOff>
      <xdr:row>10</xdr:row>
      <xdr:rowOff>142874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133475" y="1657349"/>
          <a:ext cx="678180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0.00834</cdr:x>
      <cdr:y>0.10397</cdr:y>
    </cdr:from>
    <cdr:to>
      <cdr:x>0.14233</cdr:x>
      <cdr:y>0.14452</cdr:y>
    </cdr:to>
    <cdr:sp macro="" textlink="">
      <cdr:nvSpPr>
        <cdr:cNvPr id="2355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84" y="324433"/>
          <a:ext cx="982834" cy="126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700" b="1" i="0" strike="noStrike">
              <a:solidFill>
                <a:srgbClr val="000000"/>
              </a:solidFill>
              <a:latin typeface="Arial"/>
              <a:cs typeface="Arial"/>
            </a:rPr>
            <a:t>In Million Rufiyaa</a:t>
          </a:r>
        </a:p>
      </cdr:txBody>
    </cdr:sp>
  </cdr:relSizeAnchor>
  <cdr:relSizeAnchor xmlns:cdr="http://schemas.openxmlformats.org/drawingml/2006/chartDrawing">
    <cdr:from>
      <cdr:x>0.09869</cdr:x>
      <cdr:y>0.03511</cdr:y>
    </cdr:from>
    <cdr:to>
      <cdr:x>0.98504</cdr:x>
      <cdr:y>0.1377</cdr:y>
    </cdr:to>
    <cdr:sp macro="" textlink="">
      <cdr:nvSpPr>
        <cdr:cNvPr id="2355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6897" y="115443"/>
          <a:ext cx="6348748" cy="3373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00" b="1" i="0" u="none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13.5: Functional Classification of Central Government Capital Expenditure, 2007 -  2019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0.08384</cdr:x>
      <cdr:y>0.03442</cdr:y>
    </cdr:from>
    <cdr:to>
      <cdr:x>0.9711</cdr:x>
      <cdr:y>0.10901</cdr:y>
    </cdr:to>
    <cdr:sp macro="" textlink="">
      <cdr:nvSpPr>
        <cdr:cNvPr id="2457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275" y="110229"/>
          <a:ext cx="6469380" cy="2389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13.6: Functional Classification of Central Government Current Expenditure, 2007 -  2019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Users\F.shifaza\AppData\Local\Microsoft\Windows\Temporary%20Internet%20Files\Content.Outlook\UI66VG49\Public%20Finance_%2013%206%2013%2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.6"/>
      <sheetName val="13.7"/>
      <sheetName val="graphs13.5&amp;13.6)"/>
    </sheetNames>
    <sheetDataSet>
      <sheetData sheetId="0">
        <row r="9">
          <cell r="B9">
            <v>2241.8999999999996</v>
          </cell>
          <cell r="C9">
            <v>3209.7</v>
          </cell>
          <cell r="H9">
            <v>3519.7833220000007</v>
          </cell>
          <cell r="I9">
            <v>3978.9039029999999</v>
          </cell>
          <cell r="J9">
            <v>4596.1388089999991</v>
          </cell>
        </row>
        <row r="14">
          <cell r="B14">
            <v>3817.6</v>
          </cell>
          <cell r="C14">
            <v>3679.5</v>
          </cell>
          <cell r="H14">
            <v>4345.2921539999998</v>
          </cell>
          <cell r="I14">
            <v>3462.622922</v>
          </cell>
          <cell r="J14">
            <v>3544.46576</v>
          </cell>
        </row>
        <row r="19">
          <cell r="B19">
            <v>266.3</v>
          </cell>
          <cell r="C19">
            <v>293.99999999999994</v>
          </cell>
          <cell r="H19">
            <v>255.78124300000002</v>
          </cell>
          <cell r="I19">
            <v>265.56214700000004</v>
          </cell>
          <cell r="J19">
            <v>209.35414899999998</v>
          </cell>
        </row>
      </sheetData>
      <sheetData sheetId="1">
        <row r="10">
          <cell r="B10">
            <v>808.9</v>
          </cell>
          <cell r="C10">
            <v>498.79999999999995</v>
          </cell>
          <cell r="H10">
            <v>696.52141600000004</v>
          </cell>
          <cell r="I10">
            <v>635.70163600000001</v>
          </cell>
          <cell r="J10">
            <v>1285.636868</v>
          </cell>
          <cell r="K10">
            <v>1139.8289990000001</v>
          </cell>
        </row>
        <row r="15">
          <cell r="B15">
            <v>626.5</v>
          </cell>
          <cell r="C15">
            <v>1443.3</v>
          </cell>
          <cell r="H15">
            <v>1087.278699</v>
          </cell>
          <cell r="I15">
            <v>1816.638207</v>
          </cell>
          <cell r="J15">
            <v>1383.244537</v>
          </cell>
          <cell r="K15">
            <v>1081.7647489999999</v>
          </cell>
        </row>
        <row r="20">
          <cell r="B20">
            <v>329.9</v>
          </cell>
          <cell r="C20">
            <v>937.10000000000014</v>
          </cell>
          <cell r="H20">
            <v>581.73487699999998</v>
          </cell>
          <cell r="I20">
            <v>174.8779509</v>
          </cell>
          <cell r="J20">
            <v>919.10181</v>
          </cell>
          <cell r="K20">
            <v>662.15555800000004</v>
          </cell>
        </row>
      </sheetData>
      <sheetData sheetId="2">
        <row r="4">
          <cell r="B4">
            <v>2007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45"/>
  <sheetViews>
    <sheetView tabSelected="1" topLeftCell="B1" zoomScale="130" zoomScaleNormal="130" zoomScaleSheetLayoutView="80" workbookViewId="0">
      <selection activeCell="H12" sqref="H12"/>
    </sheetView>
  </sheetViews>
  <sheetFormatPr defaultRowHeight="12.75"/>
  <cols>
    <col min="1" max="1" width="41.140625" style="15" customWidth="1"/>
    <col min="2" max="4" width="8.42578125" style="44" customWidth="1"/>
    <col min="5" max="14" width="8.42578125" style="15" customWidth="1"/>
    <col min="15" max="15" width="9.28515625" style="44" hidden="1" customWidth="1"/>
    <col min="16" max="16" width="16.140625" style="44" customWidth="1"/>
    <col min="17" max="17" width="44.5703125" style="15" customWidth="1"/>
    <col min="18" max="16384" width="9.140625" style="15"/>
  </cols>
  <sheetData>
    <row r="1" spans="1:17" ht="19.5">
      <c r="A1" s="273" t="s">
        <v>215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</row>
    <row r="2" spans="1:17" ht="17.25" customHeight="1">
      <c r="A2" s="274" t="s">
        <v>189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</row>
    <row r="3" spans="1:17" ht="15">
      <c r="A3" s="275" t="s">
        <v>0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</row>
    <row r="4" spans="1:17" s="16" customFormat="1">
      <c r="A4" s="282" t="s">
        <v>88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</row>
    <row r="5" spans="1:17" s="16" customFormat="1" ht="13.5">
      <c r="A5" s="278" t="s">
        <v>1</v>
      </c>
      <c r="B5" s="17"/>
      <c r="C5" s="18"/>
      <c r="D5" s="18"/>
      <c r="E5" s="18"/>
      <c r="F5" s="19"/>
      <c r="G5" s="19"/>
      <c r="H5" s="19"/>
      <c r="I5" s="19"/>
      <c r="J5" s="19"/>
      <c r="K5" s="19"/>
      <c r="L5" s="19"/>
      <c r="M5" s="19"/>
      <c r="N5" s="19"/>
      <c r="O5" s="189"/>
      <c r="P5" s="264" t="s">
        <v>9</v>
      </c>
      <c r="Q5" s="279" t="s">
        <v>3</v>
      </c>
    </row>
    <row r="6" spans="1:17" s="16" customFormat="1" ht="14.45" customHeight="1">
      <c r="A6" s="276"/>
      <c r="B6" s="13"/>
      <c r="C6" s="13"/>
      <c r="D6" s="13"/>
      <c r="E6" s="13"/>
      <c r="F6" s="13" t="s">
        <v>10</v>
      </c>
      <c r="G6" s="13" t="s">
        <v>10</v>
      </c>
      <c r="H6" s="13" t="s">
        <v>4</v>
      </c>
      <c r="I6" s="13" t="s">
        <v>4</v>
      </c>
      <c r="J6" s="13" t="s">
        <v>4</v>
      </c>
      <c r="K6" s="13" t="s">
        <v>198</v>
      </c>
      <c r="L6" s="13" t="s">
        <v>181</v>
      </c>
      <c r="M6" s="13" t="s">
        <v>181</v>
      </c>
      <c r="N6" s="13" t="s">
        <v>181</v>
      </c>
      <c r="O6" s="263"/>
      <c r="P6" s="265" t="s">
        <v>86</v>
      </c>
      <c r="Q6" s="280"/>
    </row>
    <row r="7" spans="1:17" s="16" customFormat="1" ht="15.75" customHeight="1">
      <c r="A7" s="277"/>
      <c r="B7" s="20">
        <v>2008</v>
      </c>
      <c r="C7" s="14">
        <v>2009</v>
      </c>
      <c r="D7" s="14">
        <v>2010</v>
      </c>
      <c r="E7" s="14">
        <v>2011</v>
      </c>
      <c r="F7" s="14">
        <v>2012</v>
      </c>
      <c r="G7" s="14">
        <v>2013</v>
      </c>
      <c r="H7" s="14">
        <v>2014</v>
      </c>
      <c r="I7" s="14">
        <v>2015</v>
      </c>
      <c r="J7" s="14" t="s">
        <v>214</v>
      </c>
      <c r="K7" s="14">
        <v>2017</v>
      </c>
      <c r="L7" s="14">
        <v>2018</v>
      </c>
      <c r="M7" s="14">
        <v>2019</v>
      </c>
      <c r="N7" s="14">
        <v>2020</v>
      </c>
      <c r="O7" s="21"/>
      <c r="P7" s="266" t="s">
        <v>188</v>
      </c>
      <c r="Q7" s="281"/>
    </row>
    <row r="8" spans="1:17" ht="21" customHeight="1">
      <c r="A8" s="271" t="s">
        <v>11</v>
      </c>
      <c r="B8" s="22">
        <v>7456.54</v>
      </c>
      <c r="C8" s="22">
        <f>+C9+C12</f>
        <v>5734.8352960000002</v>
      </c>
      <c r="D8" s="22">
        <v>6546.9287702799966</v>
      </c>
      <c r="E8" s="22">
        <v>9904.5614829999995</v>
      </c>
      <c r="F8" s="22">
        <f t="shared" ref="F8" si="0">F9+F12</f>
        <v>10138.11294952</v>
      </c>
      <c r="G8" s="22">
        <f>G9+G12</f>
        <v>11900.748051730001</v>
      </c>
      <c r="H8" s="22">
        <f>H9+H12</f>
        <v>15164.227912</v>
      </c>
      <c r="I8" s="22">
        <f t="shared" ref="I8" si="1">I9+I12</f>
        <v>17306.201467370003</v>
      </c>
      <c r="J8" s="22">
        <v>18578.118781009995</v>
      </c>
      <c r="K8" s="22">
        <v>20814.888965773465</v>
      </c>
      <c r="L8" s="22">
        <v>22400.728222184007</v>
      </c>
      <c r="M8" s="22">
        <v>23089.675934694533</v>
      </c>
      <c r="N8" s="22">
        <v>23886.749457968588</v>
      </c>
      <c r="O8" s="22"/>
      <c r="P8" s="267">
        <f>+((K8/J8)-1)*100</f>
        <v>12.039809902872566</v>
      </c>
      <c r="Q8" s="272" t="s">
        <v>12</v>
      </c>
    </row>
    <row r="9" spans="1:17" ht="21" customHeight="1">
      <c r="A9" s="23" t="s">
        <v>13</v>
      </c>
      <c r="B9" s="22">
        <f>SUM(B10:B11)</f>
        <v>6939.54</v>
      </c>
      <c r="C9" s="22">
        <f>SUM(C10:C11)</f>
        <v>5313.319469</v>
      </c>
      <c r="D9" s="22">
        <f>SUM(D10:D11)</f>
        <v>6392.3855347199969</v>
      </c>
      <c r="E9" s="22">
        <v>9172.1262260000003</v>
      </c>
      <c r="F9" s="22">
        <f t="shared" ref="F9:G9" si="2">SUM(F10:F11)</f>
        <v>9771.4430765199995</v>
      </c>
      <c r="G9" s="22">
        <f t="shared" si="2"/>
        <v>11783.092824200001</v>
      </c>
      <c r="H9" s="22">
        <f>SUM(H10:H11)</f>
        <v>14998.954087</v>
      </c>
      <c r="I9" s="22">
        <f t="shared" ref="I9" si="3">SUM(I10:I11)</f>
        <v>16669.260271000003</v>
      </c>
      <c r="J9" s="22">
        <v>18324.993013089996</v>
      </c>
      <c r="K9" s="22">
        <v>20096.685463490805</v>
      </c>
      <c r="L9" s="22">
        <v>21667.029705184006</v>
      </c>
      <c r="M9" s="22">
        <v>22203.319268694533</v>
      </c>
      <c r="N9" s="22">
        <v>23212.464164968587</v>
      </c>
      <c r="O9" s="22"/>
      <c r="P9" s="267">
        <f t="shared" ref="P8:P18" si="4">+((K9/J9)-1)*100</f>
        <v>9.6681753119100442</v>
      </c>
      <c r="Q9" s="24" t="s">
        <v>14</v>
      </c>
    </row>
    <row r="10" spans="1:17" ht="21" customHeight="1">
      <c r="A10" s="25" t="s">
        <v>15</v>
      </c>
      <c r="B10" s="26">
        <v>6897.24</v>
      </c>
      <c r="C10" s="26">
        <v>5299.4316959999996</v>
      </c>
      <c r="D10" s="26">
        <v>6343.0314386499977</v>
      </c>
      <c r="E10" s="26">
        <v>8637.6616890000005</v>
      </c>
      <c r="F10" s="26">
        <v>9723.3702617999988</v>
      </c>
      <c r="G10" s="26">
        <v>11514.974798200001</v>
      </c>
      <c r="H10" s="26">
        <v>14874.843471</v>
      </c>
      <c r="I10" s="26">
        <v>16548.977957000003</v>
      </c>
      <c r="J10" s="26">
        <v>17455.631974769996</v>
      </c>
      <c r="K10" s="26">
        <v>19549.188326640571</v>
      </c>
      <c r="L10" s="26">
        <v>21625.724973711232</v>
      </c>
      <c r="M10" s="26">
        <v>22165.173927719399</v>
      </c>
      <c r="N10" s="26">
        <v>23180.766436097721</v>
      </c>
      <c r="O10" s="26"/>
      <c r="P10" s="268">
        <f t="shared" si="4"/>
        <v>11.99358668249053</v>
      </c>
      <c r="Q10" s="260" t="s">
        <v>16</v>
      </c>
    </row>
    <row r="11" spans="1:17" ht="21" customHeight="1">
      <c r="A11" s="25" t="s">
        <v>199</v>
      </c>
      <c r="B11" s="26">
        <v>42.3</v>
      </c>
      <c r="C11" s="26">
        <v>13.887772999999999</v>
      </c>
      <c r="D11" s="26">
        <v>49.354096069998995</v>
      </c>
      <c r="E11" s="26">
        <v>534.46453699999995</v>
      </c>
      <c r="F11" s="26">
        <v>48.072814719999997</v>
      </c>
      <c r="G11" s="26">
        <v>268.11802599999999</v>
      </c>
      <c r="H11" s="26">
        <v>124.11061599999999</v>
      </c>
      <c r="I11" s="26">
        <v>120.282314</v>
      </c>
      <c r="J11" s="26">
        <v>869.36103832000015</v>
      </c>
      <c r="K11" s="26">
        <v>547.49713685023244</v>
      </c>
      <c r="L11" s="26">
        <v>41.304731472772893</v>
      </c>
      <c r="M11" s="26">
        <v>38.145340975133898</v>
      </c>
      <c r="N11" s="26">
        <v>31.697728870867536</v>
      </c>
      <c r="O11" s="26"/>
      <c r="P11" s="268">
        <f t="shared" si="4"/>
        <v>-37.023041898881829</v>
      </c>
      <c r="Q11" s="260" t="s">
        <v>206</v>
      </c>
    </row>
    <row r="12" spans="1:17" s="16" customFormat="1" ht="21" customHeight="1">
      <c r="A12" s="28" t="s">
        <v>200</v>
      </c>
      <c r="B12" s="22">
        <v>517</v>
      </c>
      <c r="C12" s="22">
        <v>421.515827</v>
      </c>
      <c r="D12" s="22">
        <v>154.54323556</v>
      </c>
      <c r="E12" s="22">
        <v>732.43525699999998</v>
      </c>
      <c r="F12" s="22">
        <v>366.669873</v>
      </c>
      <c r="G12" s="22">
        <v>117.65522753</v>
      </c>
      <c r="H12" s="22">
        <v>165.27382499999999</v>
      </c>
      <c r="I12" s="22">
        <v>636.94119636999983</v>
      </c>
      <c r="J12" s="22">
        <v>253.12576791999993</v>
      </c>
      <c r="K12" s="22">
        <v>718.20350228266</v>
      </c>
      <c r="L12" s="22">
        <v>733.69851700000004</v>
      </c>
      <c r="M12" s="22">
        <v>886.35666600000002</v>
      </c>
      <c r="N12" s="22">
        <v>674.28529300000002</v>
      </c>
      <c r="O12" s="22"/>
      <c r="P12" s="267">
        <f t="shared" si="4"/>
        <v>183.73385617131137</v>
      </c>
      <c r="Q12" s="24" t="s">
        <v>17</v>
      </c>
    </row>
    <row r="13" spans="1:17" ht="21" customHeight="1">
      <c r="A13" s="28" t="s">
        <v>18</v>
      </c>
      <c r="B13" s="22">
        <v>10176.000000000002</v>
      </c>
      <c r="C13" s="22">
        <f>+C14+C17</f>
        <v>10953.434156000003</v>
      </c>
      <c r="D13" s="22">
        <v>10815.062102899999</v>
      </c>
      <c r="E13" s="22">
        <v>12264.726665999999</v>
      </c>
      <c r="F13" s="22">
        <f t="shared" ref="F13:I13" si="5">F14+F17</f>
        <v>13110.002924999999</v>
      </c>
      <c r="G13" s="22">
        <f t="shared" si="5"/>
        <v>13530.771002489999</v>
      </c>
      <c r="H13" s="22">
        <f>H14+H17</f>
        <v>16417.211596000001</v>
      </c>
      <c r="I13" s="22">
        <f t="shared" si="5"/>
        <v>21336.878134909999</v>
      </c>
      <c r="J13" s="22">
        <v>25262.973192969996</v>
      </c>
      <c r="K13" s="22">
        <v>22166.267867457802</v>
      </c>
      <c r="L13" s="22">
        <v>24715.307919999999</v>
      </c>
      <c r="M13" s="22">
        <v>24542.215140600001</v>
      </c>
      <c r="N13" s="22">
        <v>23360.483905999994</v>
      </c>
      <c r="O13" s="22"/>
      <c r="P13" s="267">
        <f t="shared" si="4"/>
        <v>-12.257881532225678</v>
      </c>
      <c r="Q13" s="24" t="s">
        <v>19</v>
      </c>
    </row>
    <row r="14" spans="1:17" ht="21" customHeight="1">
      <c r="A14" s="28" t="s">
        <v>20</v>
      </c>
      <c r="B14" s="22">
        <f>SUM(B15:B16)</f>
        <v>10342.400000000001</v>
      </c>
      <c r="C14" s="22">
        <f>SUM(C15:C16)</f>
        <v>11104.270489000002</v>
      </c>
      <c r="D14" s="22">
        <f>SUM(D15:D16)</f>
        <v>10996.362102899999</v>
      </c>
      <c r="E14" s="22">
        <v>12663.726665999999</v>
      </c>
      <c r="F14" s="22">
        <f t="shared" ref="F14:I14" si="6">SUM(F15:F16)</f>
        <v>13200.234560999999</v>
      </c>
      <c r="G14" s="22">
        <f t="shared" si="6"/>
        <v>13666.256009489998</v>
      </c>
      <c r="H14" s="22">
        <f>SUM(H15:H16)</f>
        <v>16539.373646</v>
      </c>
      <c r="I14" s="22">
        <f t="shared" si="6"/>
        <v>21440.896380909999</v>
      </c>
      <c r="J14" s="22">
        <v>25306.509388119997</v>
      </c>
      <c r="K14" s="22">
        <v>22228.421934657803</v>
      </c>
      <c r="L14" s="22">
        <v>24894.624006999999</v>
      </c>
      <c r="M14" s="22">
        <v>24724.7055396</v>
      </c>
      <c r="N14" s="22">
        <v>23511.400990999995</v>
      </c>
      <c r="O14" s="22"/>
      <c r="P14" s="267">
        <f t="shared" si="4"/>
        <v>-12.163224118562898</v>
      </c>
      <c r="Q14" s="24" t="s">
        <v>21</v>
      </c>
    </row>
    <row r="15" spans="1:17" ht="21" customHeight="1">
      <c r="A15" s="25" t="s">
        <v>22</v>
      </c>
      <c r="B15" s="26">
        <v>7463.2000000000007</v>
      </c>
      <c r="C15" s="26">
        <v>8764.9308290000008</v>
      </c>
      <c r="D15" s="26">
        <v>8428.0733739999996</v>
      </c>
      <c r="E15" s="26">
        <v>9075.7434510000003</v>
      </c>
      <c r="F15" s="26">
        <v>10316.485255</v>
      </c>
      <c r="G15" s="26">
        <v>11573.214585849999</v>
      </c>
      <c r="H15" s="26">
        <v>13959.968519999999</v>
      </c>
      <c r="I15" s="26">
        <v>16733.74419112</v>
      </c>
      <c r="J15" s="26">
        <v>16141.004692499997</v>
      </c>
      <c r="K15" s="26">
        <v>15105.86330292419</v>
      </c>
      <c r="L15" s="26">
        <v>16066.226923999999</v>
      </c>
      <c r="M15" s="26">
        <v>15948.499093999999</v>
      </c>
      <c r="N15" s="26">
        <v>16108.904001999997</v>
      </c>
      <c r="O15" s="26"/>
      <c r="P15" s="268">
        <f t="shared" si="4"/>
        <v>-6.4131162173367784</v>
      </c>
      <c r="Q15" s="260" t="s">
        <v>23</v>
      </c>
    </row>
    <row r="16" spans="1:17" s="29" customFormat="1" ht="21" customHeight="1">
      <c r="A16" s="25" t="s">
        <v>24</v>
      </c>
      <c r="B16" s="26">
        <v>2879.2</v>
      </c>
      <c r="C16" s="26">
        <v>2339.3396600000005</v>
      </c>
      <c r="D16" s="26">
        <v>2568.2887288999996</v>
      </c>
      <c r="E16" s="26">
        <v>3587.9832149999993</v>
      </c>
      <c r="F16" s="26">
        <v>2883.7493059999997</v>
      </c>
      <c r="G16" s="26">
        <v>2093.0414236399993</v>
      </c>
      <c r="H16" s="26">
        <v>2579.4051260000006</v>
      </c>
      <c r="I16" s="26">
        <v>4707.1521897899993</v>
      </c>
      <c r="J16" s="26">
        <v>9165.5046956200003</v>
      </c>
      <c r="K16" s="26">
        <v>7122.5586317336129</v>
      </c>
      <c r="L16" s="26">
        <v>8828.3970829999998</v>
      </c>
      <c r="M16" s="26">
        <v>8776.2064456000007</v>
      </c>
      <c r="N16" s="26">
        <v>7402.4969889999993</v>
      </c>
      <c r="O16" s="26"/>
      <c r="P16" s="268">
        <f t="shared" si="4"/>
        <v>-22.289509762213832</v>
      </c>
      <c r="Q16" s="260" t="s">
        <v>178</v>
      </c>
    </row>
    <row r="17" spans="1:17" s="29" customFormat="1" ht="21" customHeight="1">
      <c r="A17" s="28" t="s">
        <v>25</v>
      </c>
      <c r="B17" s="10">
        <v>-166.4</v>
      </c>
      <c r="C17" s="10">
        <v>-150.836333</v>
      </c>
      <c r="D17" s="10">
        <v>-181.3</v>
      </c>
      <c r="E17" s="10">
        <v>-399</v>
      </c>
      <c r="F17" s="10">
        <v>-90.231635999999995</v>
      </c>
      <c r="G17" s="10">
        <v>-135.485007</v>
      </c>
      <c r="H17" s="10">
        <v>-122.16204999999999</v>
      </c>
      <c r="I17" s="10">
        <v>-104.018246</v>
      </c>
      <c r="J17" s="10">
        <v>-43.536195150000012</v>
      </c>
      <c r="K17" s="10">
        <v>-62.1540672</v>
      </c>
      <c r="L17" s="10">
        <v>-179.31608699999998</v>
      </c>
      <c r="M17" s="10">
        <v>-182.490399</v>
      </c>
      <c r="N17" s="10">
        <v>-150.91708500000001</v>
      </c>
      <c r="O17" s="22"/>
      <c r="P17" s="267">
        <f t="shared" si="4"/>
        <v>42.764123015008096</v>
      </c>
      <c r="Q17" s="24" t="s">
        <v>26</v>
      </c>
    </row>
    <row r="18" spans="1:17" s="31" customFormat="1" ht="26.25" customHeight="1">
      <c r="A18" s="30" t="s">
        <v>201</v>
      </c>
      <c r="B18" s="22">
        <f>+B8-B13</f>
        <v>-2719.4600000000019</v>
      </c>
      <c r="C18" s="22">
        <f>+C8-C13</f>
        <v>-5218.5988600000028</v>
      </c>
      <c r="D18" s="22">
        <v>-4268.1333326200029</v>
      </c>
      <c r="E18" s="22">
        <v>-2360.1651829999992</v>
      </c>
      <c r="F18" s="22">
        <f t="shared" ref="F18" si="7">F8-F13</f>
        <v>-2971.8899754799986</v>
      </c>
      <c r="G18" s="22">
        <f>G8-G14</f>
        <v>-1765.5079577599972</v>
      </c>
      <c r="H18" s="22">
        <f>H8-H14</f>
        <v>-1375.1457339999997</v>
      </c>
      <c r="I18" s="22">
        <f t="shared" ref="I18" si="8">I8-I14</f>
        <v>-4134.6949135399955</v>
      </c>
      <c r="J18" s="22">
        <v>-6728.3906071100027</v>
      </c>
      <c r="K18" s="22">
        <v>-1413.5329688843376</v>
      </c>
      <c r="L18" s="22">
        <v>-2493.8957848159916</v>
      </c>
      <c r="M18" s="22">
        <v>-1635.0296049054668</v>
      </c>
      <c r="N18" s="22">
        <v>375.34846696859313</v>
      </c>
      <c r="O18" s="22"/>
      <c r="P18" s="267">
        <f t="shared" si="4"/>
        <v>-78.991514443429693</v>
      </c>
      <c r="Q18" s="317" t="s">
        <v>217</v>
      </c>
    </row>
    <row r="19" spans="1:17" s="31" customFormat="1" ht="26.25" customHeight="1">
      <c r="A19" s="30" t="s">
        <v>202</v>
      </c>
      <c r="B19" s="22">
        <v>-2439.4600000000019</v>
      </c>
      <c r="C19" s="22">
        <v>-4600.7200820000025</v>
      </c>
      <c r="D19" s="22">
        <v>-3592.3513126200028</v>
      </c>
      <c r="E19" s="22">
        <v>-1634.3804499999992</v>
      </c>
      <c r="F19" s="22">
        <v>-1864.8087464799987</v>
      </c>
      <c r="G19" s="22">
        <v>-808.78176075999909</v>
      </c>
      <c r="H19" s="22">
        <v>-396.79836499999976</v>
      </c>
      <c r="I19" s="22">
        <v>-2787.0450525399956</v>
      </c>
      <c r="J19" s="22">
        <v>-5546.1014912900027</v>
      </c>
      <c r="K19" s="22">
        <v>-147.71240388433762</v>
      </c>
      <c r="L19" s="22">
        <v>-1057.3734718159917</v>
      </c>
      <c r="M19" s="22">
        <v>-124.29166890546685</v>
      </c>
      <c r="N19" s="22">
        <v>1980.9298949685931</v>
      </c>
      <c r="O19" s="22"/>
      <c r="P19" s="267">
        <f t="shared" ref="P19" si="9">+((K19/J19)-1)*100</f>
        <v>-97.336644413804621</v>
      </c>
      <c r="Q19" s="317" t="s">
        <v>218</v>
      </c>
    </row>
    <row r="20" spans="1:17" ht="12.75" customHeight="1">
      <c r="A20" s="3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22"/>
      <c r="P20" s="267"/>
      <c r="Q20" s="24"/>
    </row>
    <row r="21" spans="1:17" s="31" customFormat="1" ht="21" customHeight="1">
      <c r="A21" s="28" t="s">
        <v>27</v>
      </c>
      <c r="B21" s="32">
        <f t="shared" ref="B21:F21" si="10">+B22+B25</f>
        <v>2719.4</v>
      </c>
      <c r="C21" s="32">
        <f t="shared" si="10"/>
        <v>5218.5418559999998</v>
      </c>
      <c r="D21" s="32">
        <f t="shared" si="10"/>
        <v>4268.1000000000004</v>
      </c>
      <c r="E21" s="32">
        <f t="shared" si="10"/>
        <v>2360.0889139999999</v>
      </c>
      <c r="F21" s="32">
        <f t="shared" si="10"/>
        <v>2971.889975</v>
      </c>
      <c r="G21" s="190">
        <f>+G22+G25</f>
        <v>1765.5079579999997</v>
      </c>
      <c r="H21" s="190">
        <f t="shared" ref="H21:N21" si="11">+H22+H25</f>
        <v>1375.1457340000004</v>
      </c>
      <c r="I21" s="190">
        <f t="shared" si="11"/>
        <v>4134.6949133600001</v>
      </c>
      <c r="J21" s="190">
        <f t="shared" si="11"/>
        <v>6728.4460148500111</v>
      </c>
      <c r="K21" s="190">
        <f t="shared" si="11"/>
        <v>1413.5009544492557</v>
      </c>
      <c r="L21" s="190">
        <f t="shared" si="11"/>
        <v>2493.8957844295455</v>
      </c>
      <c r="M21" s="190">
        <f t="shared" si="11"/>
        <v>1635.0396051785669</v>
      </c>
      <c r="N21" s="190">
        <f t="shared" si="11"/>
        <v>-375.34846666191424</v>
      </c>
      <c r="O21" s="22"/>
      <c r="P21" s="267">
        <f>+((K21/J21)-1)*100</f>
        <v>-78.992163252412368</v>
      </c>
      <c r="Q21" s="24" t="s">
        <v>28</v>
      </c>
    </row>
    <row r="22" spans="1:17" s="31" customFormat="1" ht="21" customHeight="1">
      <c r="A22" s="28" t="s">
        <v>29</v>
      </c>
      <c r="B22" s="10">
        <f t="shared" ref="B22:F22" si="12">SUM(B23:B24)</f>
        <v>747.69999999999993</v>
      </c>
      <c r="C22" s="10">
        <f t="shared" si="12"/>
        <v>1006.141856</v>
      </c>
      <c r="D22" s="10">
        <f t="shared" si="12"/>
        <v>1228.3000000000002</v>
      </c>
      <c r="E22" s="10">
        <f>SUM(E23:E24)</f>
        <v>967.96693600000003</v>
      </c>
      <c r="F22" s="10">
        <f t="shared" si="12"/>
        <v>772.15054499999997</v>
      </c>
      <c r="G22" s="10">
        <f>SUM(G23:G24)</f>
        <v>472.55445400000008</v>
      </c>
      <c r="H22" s="10">
        <f t="shared" ref="H22:N22" si="13">SUM(H23:H24)</f>
        <v>-370.60431500000004</v>
      </c>
      <c r="I22" s="10">
        <f t="shared" si="13"/>
        <v>-297.77568000000008</v>
      </c>
      <c r="J22" s="10">
        <f t="shared" si="13"/>
        <v>1931.9270714199997</v>
      </c>
      <c r="K22" s="10">
        <f t="shared" si="13"/>
        <v>1449.5880209999998</v>
      </c>
      <c r="L22" s="10">
        <f t="shared" si="13"/>
        <v>1744.1025729999999</v>
      </c>
      <c r="M22" s="10">
        <f t="shared" si="13"/>
        <v>3304.1463100000001</v>
      </c>
      <c r="N22" s="10">
        <f t="shared" si="13"/>
        <v>4150.8841619999994</v>
      </c>
      <c r="O22" s="26"/>
      <c r="P22" s="268">
        <f>+((K22/J22)-1)*100</f>
        <v>-24.966731796220053</v>
      </c>
      <c r="Q22" s="260" t="s">
        <v>30</v>
      </c>
    </row>
    <row r="23" spans="1:17" s="31" customFormat="1" ht="21" customHeight="1">
      <c r="A23" s="25" t="s">
        <v>31</v>
      </c>
      <c r="B23" s="33">
        <v>1137.5999999999999</v>
      </c>
      <c r="C23" s="33">
        <v>1416.341856</v>
      </c>
      <c r="D23" s="33">
        <v>1817.7</v>
      </c>
      <c r="E23" s="33">
        <v>1884.5</v>
      </c>
      <c r="F23" s="33">
        <v>1713.11293</v>
      </c>
      <c r="G23" s="191">
        <v>1187.19235</v>
      </c>
      <c r="H23" s="191">
        <v>641.742166</v>
      </c>
      <c r="I23" s="191">
        <v>648.39113899999995</v>
      </c>
      <c r="J23" s="191">
        <v>2987.2736873199997</v>
      </c>
      <c r="K23" s="191">
        <v>2444.2880209999998</v>
      </c>
      <c r="L23" s="191">
        <v>2867.8265729999998</v>
      </c>
      <c r="M23" s="191">
        <v>4458.9783100000004</v>
      </c>
      <c r="N23" s="191">
        <v>5259.2561619999997</v>
      </c>
      <c r="O23" s="26"/>
      <c r="P23" s="268">
        <f>+((K23/J23)-1)*100</f>
        <v>-18.176629366930676</v>
      </c>
      <c r="Q23" s="260" t="s">
        <v>32</v>
      </c>
    </row>
    <row r="24" spans="1:17" s="31" customFormat="1" ht="21" customHeight="1">
      <c r="A24" s="25" t="s">
        <v>33</v>
      </c>
      <c r="B24" s="33">
        <v>-389.9</v>
      </c>
      <c r="C24" s="33">
        <v>-410.2</v>
      </c>
      <c r="D24" s="33">
        <v>-589.4</v>
      </c>
      <c r="E24" s="33">
        <v>-916.53306399999997</v>
      </c>
      <c r="F24" s="33">
        <v>-940.96238500000004</v>
      </c>
      <c r="G24" s="191">
        <v>-714.63789599999996</v>
      </c>
      <c r="H24" s="191">
        <v>-1012.346481</v>
      </c>
      <c r="I24" s="191">
        <v>-946.16681900000003</v>
      </c>
      <c r="J24" s="191">
        <v>-1055.3466159</v>
      </c>
      <c r="K24" s="191">
        <v>-994.7</v>
      </c>
      <c r="L24" s="191">
        <v>-1123.7239999999999</v>
      </c>
      <c r="M24" s="191">
        <v>-1154.8320000000001</v>
      </c>
      <c r="N24" s="191">
        <v>-1108.3720000000001</v>
      </c>
      <c r="O24" s="26"/>
      <c r="P24" s="268">
        <f>+((K24/J24)-1)*100</f>
        <v>-5.7466063742745321</v>
      </c>
      <c r="Q24" s="260" t="s">
        <v>34</v>
      </c>
    </row>
    <row r="25" spans="1:17" s="31" customFormat="1" ht="21" customHeight="1">
      <c r="A25" s="34" t="s">
        <v>203</v>
      </c>
      <c r="B25" s="35">
        <v>1971.7</v>
      </c>
      <c r="C25" s="35">
        <v>4212.3999999999996</v>
      </c>
      <c r="D25" s="35">
        <v>3039.8</v>
      </c>
      <c r="E25" s="35">
        <v>1392.1219779999999</v>
      </c>
      <c r="F25" s="35">
        <v>2199.7394300000001</v>
      </c>
      <c r="G25" s="35">
        <v>1292.9535039999996</v>
      </c>
      <c r="H25" s="35">
        <v>1745.7500490000004</v>
      </c>
      <c r="I25" s="35">
        <v>4432.4705933599998</v>
      </c>
      <c r="J25" s="35">
        <v>4796.5189434300109</v>
      </c>
      <c r="K25" s="35">
        <v>-36.087066550744112</v>
      </c>
      <c r="L25" s="35">
        <v>749.79321142954564</v>
      </c>
      <c r="M25" s="35">
        <v>-1669.1067048214331</v>
      </c>
      <c r="N25" s="35">
        <v>-4526.2326286619136</v>
      </c>
      <c r="O25" s="36"/>
      <c r="P25" s="269">
        <f>+((K25/J25)-1)*100</f>
        <v>-100.752359512729</v>
      </c>
      <c r="Q25" s="261" t="s">
        <v>209</v>
      </c>
    </row>
    <row r="26" spans="1:17" s="31" customFormat="1" ht="15">
      <c r="A26" s="37" t="s">
        <v>35</v>
      </c>
      <c r="B26" s="38"/>
      <c r="C26" s="38"/>
      <c r="D26" s="38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40"/>
      <c r="P26" s="40"/>
      <c r="Q26" s="27" t="s">
        <v>36</v>
      </c>
    </row>
    <row r="27" spans="1:17" s="31" customFormat="1" ht="17.25">
      <c r="A27" s="37" t="s">
        <v>211</v>
      </c>
      <c r="B27" s="38"/>
      <c r="C27" s="38"/>
      <c r="D27" s="38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40"/>
      <c r="P27" s="40"/>
      <c r="Q27" s="270" t="s">
        <v>207</v>
      </c>
    </row>
    <row r="28" spans="1:17" s="31" customFormat="1" ht="17.25">
      <c r="A28" s="37" t="s">
        <v>210</v>
      </c>
      <c r="B28" s="38"/>
      <c r="C28" s="38"/>
      <c r="D28" s="38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40"/>
      <c r="P28" s="40"/>
      <c r="Q28" s="270" t="s">
        <v>208</v>
      </c>
    </row>
    <row r="29" spans="1:17" s="31" customFormat="1" ht="16.5" customHeight="1">
      <c r="A29" s="37" t="s">
        <v>204</v>
      </c>
      <c r="B29" s="38"/>
      <c r="C29" s="38"/>
      <c r="D29" s="38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40"/>
      <c r="P29" s="40"/>
      <c r="Q29" s="27" t="s">
        <v>205</v>
      </c>
    </row>
    <row r="30" spans="1:17" s="31" customFormat="1" ht="18.75">
      <c r="A30" s="52" t="s">
        <v>213</v>
      </c>
      <c r="B30" s="39"/>
      <c r="C30" s="39"/>
      <c r="O30" s="262" t="s">
        <v>212</v>
      </c>
      <c r="Q30" s="53" t="s">
        <v>216</v>
      </c>
    </row>
    <row r="31" spans="1:17" ht="15">
      <c r="A31" s="37" t="s">
        <v>7</v>
      </c>
      <c r="B31" s="38"/>
      <c r="C31" s="38"/>
      <c r="D31" s="38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0"/>
      <c r="P31" s="40"/>
      <c r="Q31" s="42" t="s">
        <v>6</v>
      </c>
    </row>
    <row r="32" spans="1:17">
      <c r="A32" s="41"/>
      <c r="B32" s="43"/>
      <c r="C32" s="43"/>
      <c r="D32" s="43"/>
      <c r="E32" s="41"/>
      <c r="F32" s="41"/>
      <c r="G32" s="41"/>
      <c r="H32" s="41"/>
      <c r="I32" s="41"/>
      <c r="J32" s="41"/>
      <c r="K32" s="41"/>
      <c r="L32" s="41"/>
      <c r="M32" s="41"/>
      <c r="N32" s="41"/>
    </row>
    <row r="33" spans="2:17" ht="16.5">
      <c r="Q33" s="259"/>
    </row>
    <row r="37" spans="2:17">
      <c r="B37" s="45"/>
      <c r="C37" s="45"/>
      <c r="D37" s="45"/>
    </row>
    <row r="39" spans="2:17" ht="15">
      <c r="H39" s="155"/>
      <c r="I39" s="155"/>
      <c r="J39" s="155"/>
      <c r="K39" s="155"/>
      <c r="L39" s="155"/>
      <c r="M39" s="155"/>
      <c r="N39" s="155"/>
    </row>
    <row r="40" spans="2:17" ht="15">
      <c r="H40" s="46"/>
      <c r="I40" s="46"/>
      <c r="J40" s="46"/>
      <c r="K40" s="46"/>
      <c r="L40" s="46"/>
      <c r="M40" s="46"/>
      <c r="N40" s="46"/>
    </row>
    <row r="45" spans="2:17" ht="15">
      <c r="I45" s="46"/>
      <c r="J45" s="46"/>
      <c r="K45" s="46"/>
      <c r="L45" s="46"/>
      <c r="M45" s="46"/>
      <c r="N45" s="46"/>
    </row>
  </sheetData>
  <mergeCells count="6">
    <mergeCell ref="A5:A7"/>
    <mergeCell ref="Q5:Q7"/>
    <mergeCell ref="A1:Q1"/>
    <mergeCell ref="A2:Q2"/>
    <mergeCell ref="A3:Q3"/>
    <mergeCell ref="A4:Q4"/>
  </mergeCells>
  <pageMargins left="0.17" right="0.16" top="0.75" bottom="0.75" header="0.3" footer="0.3"/>
  <pageSetup paperSize="9" scale="65" orientation="landscape" horizontalDpi="4294967295" verticalDpi="4294967295" r:id="rId1"/>
  <ignoredErrors>
    <ignoredError sqref="G22:I2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8"/>
  <sheetViews>
    <sheetView zoomScale="130" zoomScaleNormal="130" workbookViewId="0">
      <selection activeCell="L27" sqref="L27"/>
    </sheetView>
  </sheetViews>
  <sheetFormatPr defaultColWidth="8.85546875" defaultRowHeight="12.75"/>
  <cols>
    <col min="1" max="1" width="32.7109375" style="15" customWidth="1"/>
    <col min="2" max="7" width="8.85546875" style="44" hidden="1" customWidth="1"/>
    <col min="8" max="8" width="8.85546875" style="44"/>
    <col min="9" max="15" width="10.7109375" style="44" customWidth="1"/>
    <col min="16" max="17" width="12.7109375" style="44" customWidth="1"/>
    <col min="18" max="19" width="10.7109375" style="100" customWidth="1"/>
    <col min="20" max="20" width="39" style="15" customWidth="1"/>
    <col min="21" max="16384" width="8.85546875" style="15"/>
  </cols>
  <sheetData>
    <row r="1" spans="1:21" ht="19.5">
      <c r="A1" s="273" t="s">
        <v>190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</row>
    <row r="2" spans="1:21" ht="15.75">
      <c r="A2" s="283" t="s">
        <v>191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</row>
    <row r="3" spans="1:21" ht="14.25">
      <c r="A3" s="284" t="s">
        <v>39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66"/>
    </row>
    <row r="4" spans="1:21" s="16" customFormat="1">
      <c r="A4" s="285" t="s">
        <v>91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</row>
    <row r="5" spans="1:21" s="70" customFormat="1" ht="26.45" customHeight="1">
      <c r="A5" s="286" t="s">
        <v>1</v>
      </c>
      <c r="B5" s="67"/>
      <c r="C5" s="68"/>
      <c r="D5" s="68"/>
      <c r="E5" s="68"/>
      <c r="F5" s="68"/>
      <c r="G5" s="69"/>
      <c r="H5" s="202"/>
      <c r="I5" s="203"/>
      <c r="J5" s="192"/>
      <c r="K5" s="192"/>
      <c r="L5" s="289" t="s">
        <v>8</v>
      </c>
      <c r="M5" s="289"/>
      <c r="N5" s="289"/>
      <c r="O5" s="290"/>
      <c r="P5" s="291" t="s">
        <v>179</v>
      </c>
      <c r="Q5" s="292"/>
      <c r="R5" s="293" t="s">
        <v>43</v>
      </c>
      <c r="S5" s="294"/>
    </row>
    <row r="6" spans="1:21" s="55" customFormat="1" ht="15">
      <c r="A6" s="287"/>
      <c r="C6" s="71"/>
      <c r="D6" s="71"/>
      <c r="E6" s="71"/>
      <c r="F6" s="71"/>
      <c r="G6" s="72"/>
      <c r="H6" s="72" t="s">
        <v>4</v>
      </c>
      <c r="I6" s="73" t="s">
        <v>4</v>
      </c>
      <c r="J6" s="13" t="s">
        <v>4</v>
      </c>
      <c r="K6" s="186" t="s">
        <v>4</v>
      </c>
      <c r="L6" s="186" t="s">
        <v>198</v>
      </c>
      <c r="M6" s="186" t="s">
        <v>181</v>
      </c>
      <c r="N6" s="186" t="s">
        <v>181</v>
      </c>
      <c r="O6" s="195" t="s">
        <v>181</v>
      </c>
      <c r="P6" s="214" t="s">
        <v>4</v>
      </c>
      <c r="Q6" s="215" t="s">
        <v>4</v>
      </c>
      <c r="R6" s="295" t="s">
        <v>44</v>
      </c>
      <c r="S6" s="296"/>
      <c r="T6" s="173" t="s">
        <v>3</v>
      </c>
    </row>
    <row r="7" spans="1:21" s="29" customFormat="1">
      <c r="A7" s="288"/>
      <c r="B7" s="12">
        <v>2007</v>
      </c>
      <c r="C7" s="12">
        <v>2008</v>
      </c>
      <c r="D7" s="12">
        <v>2009</v>
      </c>
      <c r="E7" s="12">
        <v>2010</v>
      </c>
      <c r="F7" s="12">
        <v>2011</v>
      </c>
      <c r="G7" s="12">
        <v>2012</v>
      </c>
      <c r="H7" s="12">
        <v>2013</v>
      </c>
      <c r="I7" s="12">
        <v>2014</v>
      </c>
      <c r="J7" s="14">
        <v>2015</v>
      </c>
      <c r="K7" s="187">
        <v>2016</v>
      </c>
      <c r="L7" s="187">
        <v>2017</v>
      </c>
      <c r="M7" s="187">
        <v>2018</v>
      </c>
      <c r="N7" s="187">
        <v>2019</v>
      </c>
      <c r="O7" s="196">
        <v>2020</v>
      </c>
      <c r="P7" s="12">
        <v>2016</v>
      </c>
      <c r="Q7" s="204">
        <v>2017</v>
      </c>
      <c r="R7" s="74" t="s">
        <v>177</v>
      </c>
      <c r="S7" s="209" t="s">
        <v>188</v>
      </c>
      <c r="T7" s="75"/>
    </row>
    <row r="8" spans="1:21" s="29" customFormat="1" ht="15">
      <c r="A8" s="23" t="s">
        <v>45</v>
      </c>
      <c r="B8" s="76">
        <f t="shared" ref="B8:J8" si="0">SUM(B9,B31)</f>
        <v>8200.9</v>
      </c>
      <c r="C8" s="77">
        <f t="shared" si="0"/>
        <v>10175.996671999999</v>
      </c>
      <c r="D8" s="77">
        <f t="shared" si="0"/>
        <v>10953.434156000003</v>
      </c>
      <c r="E8" s="77">
        <f t="shared" si="0"/>
        <v>10815.062102899999</v>
      </c>
      <c r="F8" s="78">
        <f t="shared" si="0"/>
        <v>12264.741933000001</v>
      </c>
      <c r="G8" s="78">
        <f t="shared" si="0"/>
        <v>13110.002924999997</v>
      </c>
      <c r="H8" s="78">
        <f t="shared" si="0"/>
        <v>13530.77100239</v>
      </c>
      <c r="I8" s="78">
        <f t="shared" si="0"/>
        <v>16417.281596000001</v>
      </c>
      <c r="J8" s="78">
        <f t="shared" si="0"/>
        <v>21336.878536910001</v>
      </c>
      <c r="K8" s="197"/>
      <c r="L8" s="197"/>
      <c r="M8" s="197"/>
      <c r="N8" s="197"/>
      <c r="O8" s="198"/>
      <c r="P8" s="158"/>
      <c r="Q8" s="205"/>
      <c r="R8" s="79">
        <f t="shared" ref="R8:S31" si="1">+((K8/J8)-1)*100</f>
        <v>-100</v>
      </c>
      <c r="S8" s="210" t="e">
        <f t="shared" si="1"/>
        <v>#DIV/0!</v>
      </c>
      <c r="T8" s="60" t="s">
        <v>46</v>
      </c>
    </row>
    <row r="9" spans="1:21" s="29" customFormat="1" ht="15">
      <c r="A9" s="23" t="s">
        <v>20</v>
      </c>
      <c r="B9" s="80">
        <f t="shared" ref="B9:J9" si="2">SUM(B10,B17,B23,B30)</f>
        <v>8325.4</v>
      </c>
      <c r="C9" s="80">
        <f t="shared" si="2"/>
        <v>10342.396671999999</v>
      </c>
      <c r="D9" s="80">
        <f t="shared" si="2"/>
        <v>11104.270489000002</v>
      </c>
      <c r="E9" s="80">
        <f t="shared" si="2"/>
        <v>10996.362102899999</v>
      </c>
      <c r="F9" s="10">
        <f t="shared" si="2"/>
        <v>12663.741933000001</v>
      </c>
      <c r="G9" s="10">
        <f t="shared" si="2"/>
        <v>13200.234560999997</v>
      </c>
      <c r="H9" s="10">
        <f t="shared" si="2"/>
        <v>13666.256009389999</v>
      </c>
      <c r="I9" s="10">
        <f t="shared" si="2"/>
        <v>16539.443646</v>
      </c>
      <c r="J9" s="10">
        <f t="shared" si="2"/>
        <v>21440.89678291</v>
      </c>
      <c r="K9" s="188"/>
      <c r="L9" s="188"/>
      <c r="M9" s="188"/>
      <c r="N9" s="188"/>
      <c r="O9" s="199"/>
      <c r="P9" s="81" t="e">
        <f>+(K9/$K$9)*100</f>
        <v>#DIV/0!</v>
      </c>
      <c r="Q9" s="206" t="e">
        <f>+(L9/$K$9)*100</f>
        <v>#DIV/0!</v>
      </c>
      <c r="R9" s="79">
        <f t="shared" si="1"/>
        <v>-100</v>
      </c>
      <c r="S9" s="210" t="e">
        <f t="shared" si="1"/>
        <v>#DIV/0!</v>
      </c>
      <c r="T9" s="60" t="s">
        <v>21</v>
      </c>
    </row>
    <row r="10" spans="1:21" s="29" customFormat="1" ht="15">
      <c r="A10" s="23" t="s">
        <v>47</v>
      </c>
      <c r="B10" s="80">
        <f>SUM(B11,B12,B15,B16)</f>
        <v>3050.7999999999997</v>
      </c>
      <c r="C10" s="80">
        <f t="shared" ref="C10:L10" si="3">SUM(C11,C12,C15,C16)</f>
        <v>3708.5</v>
      </c>
      <c r="D10" s="80">
        <f t="shared" si="3"/>
        <v>4216.3047380000016</v>
      </c>
      <c r="E10" s="80">
        <f t="shared" si="3"/>
        <v>4614.6055389999992</v>
      </c>
      <c r="F10" s="10">
        <f>SUM(F11,F12,F15,F16)</f>
        <v>5881.7756770000005</v>
      </c>
      <c r="G10" s="10">
        <f t="shared" si="3"/>
        <v>5914.3218849999994</v>
      </c>
      <c r="H10" s="10">
        <f t="shared" si="3"/>
        <v>5246.6271609999994</v>
      </c>
      <c r="I10" s="10">
        <f t="shared" si="3"/>
        <v>6216.7655439999999</v>
      </c>
      <c r="J10" s="10">
        <f t="shared" si="3"/>
        <v>8322.4302864000001</v>
      </c>
      <c r="K10" s="188">
        <f t="shared" ref="K10" si="4">SUM(K11,K12,K15,K16)</f>
        <v>0</v>
      </c>
      <c r="L10" s="188">
        <f t="shared" si="3"/>
        <v>0</v>
      </c>
      <c r="M10" s="188">
        <f t="shared" ref="M10:N10" si="5">SUM(M11,M12,M15,M16)</f>
        <v>0</v>
      </c>
      <c r="N10" s="188">
        <f t="shared" si="5"/>
        <v>0</v>
      </c>
      <c r="O10" s="199">
        <f t="shared" ref="O10" si="6">SUM(O11,O12,O15,O16)</f>
        <v>0</v>
      </c>
      <c r="P10" s="81" t="e">
        <f>+(K10/$K$9)*100</f>
        <v>#DIV/0!</v>
      </c>
      <c r="Q10" s="206" t="e">
        <f>+(L10/$K$9)*100</f>
        <v>#DIV/0!</v>
      </c>
      <c r="R10" s="79">
        <f t="shared" si="1"/>
        <v>-100</v>
      </c>
      <c r="S10" s="210" t="e">
        <f t="shared" si="1"/>
        <v>#DIV/0!</v>
      </c>
      <c r="T10" s="60" t="s">
        <v>48</v>
      </c>
    </row>
    <row r="11" spans="1:21" s="31" customFormat="1" ht="15">
      <c r="A11" s="82" t="s">
        <v>49</v>
      </c>
      <c r="B11" s="83">
        <v>1607.3</v>
      </c>
      <c r="C11" s="83">
        <v>2043.9</v>
      </c>
      <c r="D11" s="83">
        <v>2197.6652670000008</v>
      </c>
      <c r="E11" s="83">
        <v>2684.2828549999995</v>
      </c>
      <c r="F11" s="48">
        <v>3414.360107</v>
      </c>
      <c r="G11" s="48">
        <v>3431.8828060000001</v>
      </c>
      <c r="H11" s="48">
        <v>2539.0598371399997</v>
      </c>
      <c r="I11" s="48">
        <v>3189.9729499999999</v>
      </c>
      <c r="J11" s="48">
        <v>3623.5494148099997</v>
      </c>
      <c r="K11" s="200"/>
      <c r="L11" s="200"/>
      <c r="M11" s="200"/>
      <c r="N11" s="200"/>
      <c r="O11" s="194"/>
      <c r="P11" s="85" t="e">
        <f t="shared" ref="P11:Q33" si="7">+(K11/$K$9)*100</f>
        <v>#DIV/0!</v>
      </c>
      <c r="Q11" s="207" t="e">
        <f t="shared" si="7"/>
        <v>#DIV/0!</v>
      </c>
      <c r="R11" s="86">
        <f t="shared" si="1"/>
        <v>-100</v>
      </c>
      <c r="S11" s="211" t="e">
        <f t="shared" si="1"/>
        <v>#DIV/0!</v>
      </c>
      <c r="T11" s="54" t="s">
        <v>50</v>
      </c>
    </row>
    <row r="12" spans="1:21" s="31" customFormat="1" ht="15">
      <c r="A12" s="82" t="s">
        <v>51</v>
      </c>
      <c r="B12" s="83">
        <v>475.70000000000005</v>
      </c>
      <c r="C12" s="83">
        <v>586.4</v>
      </c>
      <c r="D12" s="83">
        <v>752.52470600000004</v>
      </c>
      <c r="E12" s="83">
        <v>669.42846799999995</v>
      </c>
      <c r="F12" s="10">
        <f>SUM(F13:F14)</f>
        <v>910.58722000000012</v>
      </c>
      <c r="G12" s="10">
        <f t="shared" ref="G12:L12" si="8">SUM(G13:G14)</f>
        <v>812.66227900000001</v>
      </c>
      <c r="H12" s="10">
        <f t="shared" si="8"/>
        <v>796.60127067999997</v>
      </c>
      <c r="I12" s="10">
        <f>SUM(I13:I14)</f>
        <v>923.31431999999995</v>
      </c>
      <c r="J12" s="10">
        <f t="shared" si="8"/>
        <v>1195.3441013700001</v>
      </c>
      <c r="K12" s="188">
        <f t="shared" si="8"/>
        <v>0</v>
      </c>
      <c r="L12" s="188">
        <f t="shared" si="8"/>
        <v>0</v>
      </c>
      <c r="M12" s="188">
        <f t="shared" ref="M12:N12" si="9">SUM(M13:M14)</f>
        <v>0</v>
      </c>
      <c r="N12" s="188">
        <f t="shared" si="9"/>
        <v>0</v>
      </c>
      <c r="O12" s="199"/>
      <c r="P12" s="85" t="e">
        <f t="shared" si="7"/>
        <v>#DIV/0!</v>
      </c>
      <c r="Q12" s="207" t="e">
        <f t="shared" si="7"/>
        <v>#DIV/0!</v>
      </c>
      <c r="R12" s="79">
        <f t="shared" si="1"/>
        <v>-100</v>
      </c>
      <c r="S12" s="210" t="e">
        <f t="shared" si="1"/>
        <v>#DIV/0!</v>
      </c>
      <c r="T12" s="54" t="s">
        <v>52</v>
      </c>
    </row>
    <row r="13" spans="1:21" s="31" customFormat="1" ht="15">
      <c r="A13" s="82" t="s">
        <v>53</v>
      </c>
      <c r="B13" s="83">
        <v>0</v>
      </c>
      <c r="C13" s="83">
        <v>0</v>
      </c>
      <c r="D13" s="83">
        <v>0</v>
      </c>
      <c r="E13" s="83">
        <v>0</v>
      </c>
      <c r="F13" s="48">
        <v>777.54432100000008</v>
      </c>
      <c r="G13" s="48">
        <v>800.809574</v>
      </c>
      <c r="H13" s="48">
        <v>787.97938867999994</v>
      </c>
      <c r="I13" s="48">
        <v>913.25778199999991</v>
      </c>
      <c r="J13" s="48">
        <v>1178.86784837</v>
      </c>
      <c r="K13" s="200"/>
      <c r="L13" s="200"/>
      <c r="M13" s="200"/>
      <c r="N13" s="200"/>
      <c r="O13" s="194"/>
      <c r="P13" s="85" t="e">
        <f t="shared" si="7"/>
        <v>#DIV/0!</v>
      </c>
      <c r="Q13" s="207" t="e">
        <f t="shared" si="7"/>
        <v>#DIV/0!</v>
      </c>
      <c r="R13" s="86">
        <f t="shared" si="1"/>
        <v>-100</v>
      </c>
      <c r="S13" s="211" t="e">
        <f t="shared" si="1"/>
        <v>#DIV/0!</v>
      </c>
      <c r="T13" s="87" t="s">
        <v>89</v>
      </c>
    </row>
    <row r="14" spans="1:21" s="31" customFormat="1" ht="15">
      <c r="A14" s="82" t="s">
        <v>54</v>
      </c>
      <c r="B14" s="83">
        <v>0</v>
      </c>
      <c r="C14" s="83">
        <v>0</v>
      </c>
      <c r="D14" s="83">
        <v>0</v>
      </c>
      <c r="E14" s="83">
        <v>0</v>
      </c>
      <c r="F14" s="48">
        <v>133.04289900000001</v>
      </c>
      <c r="G14" s="48">
        <v>11.852705</v>
      </c>
      <c r="H14" s="48">
        <v>8.6218819999999994</v>
      </c>
      <c r="I14" s="48">
        <v>10.056538</v>
      </c>
      <c r="J14" s="48">
        <v>16.476253</v>
      </c>
      <c r="K14" s="200"/>
      <c r="L14" s="200"/>
      <c r="M14" s="200"/>
      <c r="N14" s="200"/>
      <c r="O14" s="194"/>
      <c r="P14" s="85" t="e">
        <f t="shared" si="7"/>
        <v>#DIV/0!</v>
      </c>
      <c r="Q14" s="207" t="e">
        <f t="shared" si="7"/>
        <v>#DIV/0!</v>
      </c>
      <c r="R14" s="86">
        <f t="shared" si="1"/>
        <v>-100</v>
      </c>
      <c r="S14" s="211" t="e">
        <f t="shared" si="1"/>
        <v>#DIV/0!</v>
      </c>
      <c r="T14" s="87" t="s">
        <v>90</v>
      </c>
    </row>
    <row r="15" spans="1:21" s="31" customFormat="1" ht="15">
      <c r="A15" s="82" t="s">
        <v>55</v>
      </c>
      <c r="B15" s="83">
        <v>825.69999999999993</v>
      </c>
      <c r="C15" s="88">
        <v>982.5</v>
      </c>
      <c r="D15" s="83">
        <v>1170.997198</v>
      </c>
      <c r="E15" s="83">
        <v>1192.3427610000001</v>
      </c>
      <c r="F15" s="48">
        <v>1364.5149330000002</v>
      </c>
      <c r="G15" s="48">
        <v>1525.6040499999999</v>
      </c>
      <c r="H15" s="48">
        <v>1725.97350061</v>
      </c>
      <c r="I15" s="48">
        <v>1982.1994500000001</v>
      </c>
      <c r="J15" s="48">
        <v>2681.8339682300002</v>
      </c>
      <c r="K15" s="200"/>
      <c r="L15" s="200"/>
      <c r="M15" s="200"/>
      <c r="N15" s="200"/>
      <c r="O15" s="194"/>
      <c r="P15" s="85" t="e">
        <f t="shared" si="7"/>
        <v>#DIV/0!</v>
      </c>
      <c r="Q15" s="207" t="e">
        <f t="shared" si="7"/>
        <v>#DIV/0!</v>
      </c>
      <c r="R15" s="86">
        <f t="shared" si="1"/>
        <v>-100</v>
      </c>
      <c r="S15" s="211" t="e">
        <f t="shared" si="1"/>
        <v>#DIV/0!</v>
      </c>
      <c r="T15" s="54" t="s">
        <v>56</v>
      </c>
    </row>
    <row r="16" spans="1:21" s="31" customFormat="1" ht="15">
      <c r="A16" s="82" t="s">
        <v>57</v>
      </c>
      <c r="B16" s="83">
        <v>142.1</v>
      </c>
      <c r="C16" s="83">
        <v>95.7</v>
      </c>
      <c r="D16" s="83">
        <v>95.117567000000008</v>
      </c>
      <c r="E16" s="83">
        <v>68.551455000000004</v>
      </c>
      <c r="F16" s="48">
        <v>192.31341699999999</v>
      </c>
      <c r="G16" s="48">
        <v>144.17275000000001</v>
      </c>
      <c r="H16" s="48">
        <v>184.99255256999999</v>
      </c>
      <c r="I16" s="48">
        <v>121.27882399999999</v>
      </c>
      <c r="J16" s="48">
        <v>821.70280199000001</v>
      </c>
      <c r="K16" s="200"/>
      <c r="L16" s="200"/>
      <c r="M16" s="200"/>
      <c r="N16" s="200"/>
      <c r="O16" s="194"/>
      <c r="P16" s="85" t="e">
        <f t="shared" si="7"/>
        <v>#DIV/0!</v>
      </c>
      <c r="Q16" s="207" t="e">
        <f t="shared" si="7"/>
        <v>#DIV/0!</v>
      </c>
      <c r="R16" s="86">
        <f t="shared" si="1"/>
        <v>-100</v>
      </c>
      <c r="S16" s="211" t="e">
        <f t="shared" si="1"/>
        <v>#DIV/0!</v>
      </c>
      <c r="T16" s="54" t="s">
        <v>58</v>
      </c>
    </row>
    <row r="17" spans="1:20" s="29" customFormat="1" ht="15">
      <c r="A17" s="23" t="s">
        <v>59</v>
      </c>
      <c r="B17" s="80">
        <f>SUM(B18:B21)</f>
        <v>4444.1000000000004</v>
      </c>
      <c r="C17" s="80">
        <f>SUM(C18:C21)</f>
        <v>5122.8</v>
      </c>
      <c r="D17" s="80">
        <f>SUM(D18:D21)</f>
        <v>5432.5708530000002</v>
      </c>
      <c r="E17" s="80">
        <f>SUM(E18:E21)</f>
        <v>5279.2611290000004</v>
      </c>
      <c r="F17" s="10">
        <f>SUM(F18:F22)</f>
        <v>4927.7102970000005</v>
      </c>
      <c r="G17" s="10">
        <f t="shared" ref="G17:L17" si="10">SUM(G18:G22)</f>
        <v>5307.4933679999995</v>
      </c>
      <c r="H17" s="10">
        <f t="shared" si="10"/>
        <v>6639.8532862999991</v>
      </c>
      <c r="I17" s="10">
        <f t="shared" si="10"/>
        <v>8245.5721549999998</v>
      </c>
      <c r="J17" s="10">
        <f t="shared" si="10"/>
        <v>10555.286755449999</v>
      </c>
      <c r="K17" s="188">
        <f t="shared" si="10"/>
        <v>0</v>
      </c>
      <c r="L17" s="188">
        <f t="shared" si="10"/>
        <v>0</v>
      </c>
      <c r="M17" s="188">
        <f t="shared" ref="M17:N17" si="11">SUM(M18:M22)</f>
        <v>0</v>
      </c>
      <c r="N17" s="188">
        <f t="shared" si="11"/>
        <v>0</v>
      </c>
      <c r="O17" s="199">
        <f t="shared" ref="O17" si="12">SUM(O18:O22)</f>
        <v>0</v>
      </c>
      <c r="P17" s="81" t="e">
        <f t="shared" si="7"/>
        <v>#DIV/0!</v>
      </c>
      <c r="Q17" s="206" t="e">
        <f t="shared" si="7"/>
        <v>#DIV/0!</v>
      </c>
      <c r="R17" s="79">
        <f t="shared" si="1"/>
        <v>-100</v>
      </c>
      <c r="S17" s="210" t="e">
        <f t="shared" si="1"/>
        <v>#DIV/0!</v>
      </c>
      <c r="T17" s="60" t="s">
        <v>60</v>
      </c>
    </row>
    <row r="18" spans="1:20" s="31" customFormat="1" ht="15">
      <c r="A18" s="82" t="s">
        <v>61</v>
      </c>
      <c r="B18" s="83">
        <v>1313.8000000000002</v>
      </c>
      <c r="C18" s="83">
        <v>1630.5</v>
      </c>
      <c r="D18" s="83">
        <v>1935.0878400000001</v>
      </c>
      <c r="E18" s="83">
        <v>1643.137213</v>
      </c>
      <c r="F18" s="48">
        <v>1796.661055</v>
      </c>
      <c r="G18" s="48">
        <v>2203.168764</v>
      </c>
      <c r="H18" s="48">
        <v>2002.2797697200001</v>
      </c>
      <c r="I18" s="48">
        <v>2212.015058</v>
      </c>
      <c r="J18" s="48">
        <v>2933.05047655</v>
      </c>
      <c r="K18" s="200"/>
      <c r="L18" s="200"/>
      <c r="M18" s="200"/>
      <c r="N18" s="200"/>
      <c r="O18" s="194"/>
      <c r="P18" s="85" t="e">
        <f t="shared" si="7"/>
        <v>#DIV/0!</v>
      </c>
      <c r="Q18" s="207" t="e">
        <f t="shared" si="7"/>
        <v>#DIV/0!</v>
      </c>
      <c r="R18" s="86">
        <f t="shared" si="1"/>
        <v>-100</v>
      </c>
      <c r="S18" s="211" t="e">
        <f t="shared" si="1"/>
        <v>#DIV/0!</v>
      </c>
      <c r="T18" s="54" t="s">
        <v>62</v>
      </c>
    </row>
    <row r="19" spans="1:20" s="31" customFormat="1" ht="15">
      <c r="A19" s="82" t="s">
        <v>63</v>
      </c>
      <c r="B19" s="83">
        <v>782.19999999999993</v>
      </c>
      <c r="C19" s="83">
        <v>1326.4</v>
      </c>
      <c r="D19" s="83">
        <v>1396.1558639999998</v>
      </c>
      <c r="E19" s="83">
        <v>990.87232799999992</v>
      </c>
      <c r="F19" s="48">
        <v>368.31382600000001</v>
      </c>
      <c r="G19" s="48">
        <v>296.66393599999998</v>
      </c>
      <c r="H19" s="48">
        <v>1391.70545487</v>
      </c>
      <c r="I19" s="48">
        <v>1866.0390179999999</v>
      </c>
      <c r="J19" s="48">
        <v>2525.9593407700004</v>
      </c>
      <c r="K19" s="200"/>
      <c r="L19" s="200"/>
      <c r="M19" s="200"/>
      <c r="N19" s="200"/>
      <c r="O19" s="194"/>
      <c r="P19" s="85" t="e">
        <f t="shared" si="7"/>
        <v>#DIV/0!</v>
      </c>
      <c r="Q19" s="207" t="e">
        <f t="shared" si="7"/>
        <v>#DIV/0!</v>
      </c>
      <c r="R19" s="86">
        <f t="shared" si="1"/>
        <v>-100</v>
      </c>
      <c r="S19" s="211" t="e">
        <f t="shared" si="1"/>
        <v>#DIV/0!</v>
      </c>
      <c r="T19" s="54" t="s">
        <v>64</v>
      </c>
    </row>
    <row r="20" spans="1:20" s="31" customFormat="1" ht="15">
      <c r="A20" s="82" t="s">
        <v>65</v>
      </c>
      <c r="B20" s="83">
        <v>235.5</v>
      </c>
      <c r="C20" s="83">
        <v>640.6</v>
      </c>
      <c r="D20" s="83">
        <v>464.54098499999998</v>
      </c>
      <c r="E20" s="83">
        <v>578.16290700000002</v>
      </c>
      <c r="F20" s="48">
        <v>1135.3461150000001</v>
      </c>
      <c r="G20" s="48">
        <v>1578.1540559999999</v>
      </c>
      <c r="H20" s="48">
        <v>1959.2764668599998</v>
      </c>
      <c r="I20" s="48">
        <v>2925.2288200000003</v>
      </c>
      <c r="J20" s="48">
        <v>3222.1829934400002</v>
      </c>
      <c r="K20" s="200"/>
      <c r="L20" s="200"/>
      <c r="M20" s="200"/>
      <c r="N20" s="200"/>
      <c r="O20" s="194"/>
      <c r="P20" s="85" t="e">
        <f t="shared" si="7"/>
        <v>#DIV/0!</v>
      </c>
      <c r="Q20" s="207" t="e">
        <f t="shared" si="7"/>
        <v>#DIV/0!</v>
      </c>
      <c r="R20" s="86">
        <f t="shared" si="1"/>
        <v>-100</v>
      </c>
      <c r="S20" s="211" t="e">
        <f t="shared" si="1"/>
        <v>#DIV/0!</v>
      </c>
      <c r="T20" s="54" t="s">
        <v>66</v>
      </c>
    </row>
    <row r="21" spans="1:20" s="31" customFormat="1" ht="15">
      <c r="A21" s="82" t="s">
        <v>182</v>
      </c>
      <c r="B21" s="83">
        <v>2112.6</v>
      </c>
      <c r="C21" s="83">
        <v>1525.3000000000002</v>
      </c>
      <c r="D21" s="83">
        <v>1636.7861640000001</v>
      </c>
      <c r="E21" s="83">
        <v>2067.0886810000002</v>
      </c>
      <c r="F21" s="48">
        <v>1627.3893010000002</v>
      </c>
      <c r="G21" s="48">
        <v>1229.5066119999999</v>
      </c>
      <c r="H21" s="48">
        <v>979.91802029999997</v>
      </c>
      <c r="I21" s="48">
        <v>772.59129199999995</v>
      </c>
      <c r="J21" s="48">
        <v>0</v>
      </c>
      <c r="K21" s="200"/>
      <c r="L21" s="200"/>
      <c r="M21" s="200"/>
      <c r="N21" s="200"/>
      <c r="O21" s="194"/>
      <c r="P21" s="85" t="e">
        <f t="shared" si="7"/>
        <v>#DIV/0!</v>
      </c>
      <c r="Q21" s="207" t="e">
        <f t="shared" si="7"/>
        <v>#DIV/0!</v>
      </c>
      <c r="R21" s="84" t="e">
        <f t="shared" ref="R21:S21" si="13">+(M21/$K$9)*100</f>
        <v>#DIV/0!</v>
      </c>
      <c r="S21" s="212" t="e">
        <f t="shared" si="13"/>
        <v>#DIV/0!</v>
      </c>
      <c r="T21" s="54" t="s">
        <v>67</v>
      </c>
    </row>
    <row r="22" spans="1:20" s="31" customFormat="1" ht="17.25">
      <c r="A22" s="82" t="s">
        <v>172</v>
      </c>
      <c r="B22" s="83"/>
      <c r="C22" s="83"/>
      <c r="D22" s="83"/>
      <c r="E22" s="83"/>
      <c r="F22" s="48"/>
      <c r="G22" s="62">
        <v>0</v>
      </c>
      <c r="H22" s="48">
        <v>306.67357454999978</v>
      </c>
      <c r="I22" s="48">
        <v>469.69796699999995</v>
      </c>
      <c r="J22" s="48">
        <v>1874.0939446899999</v>
      </c>
      <c r="K22" s="200"/>
      <c r="L22" s="200"/>
      <c r="M22" s="200"/>
      <c r="N22" s="200"/>
      <c r="O22" s="194"/>
      <c r="P22" s="85" t="e">
        <f t="shared" si="7"/>
        <v>#DIV/0!</v>
      </c>
      <c r="Q22" s="207" t="e">
        <f t="shared" si="7"/>
        <v>#DIV/0!</v>
      </c>
      <c r="R22" s="86">
        <f t="shared" si="1"/>
        <v>-100</v>
      </c>
      <c r="S22" s="211" t="e">
        <f t="shared" si="1"/>
        <v>#DIV/0!</v>
      </c>
      <c r="T22" s="89" t="s">
        <v>176</v>
      </c>
    </row>
    <row r="23" spans="1:20" s="29" customFormat="1" ht="15">
      <c r="A23" s="23" t="s">
        <v>68</v>
      </c>
      <c r="B23" s="80">
        <f t="shared" ref="B23:L23" si="14">SUM(B24:B29)</f>
        <v>596.20000000000005</v>
      </c>
      <c r="C23" s="80">
        <f t="shared" si="14"/>
        <v>1231.0999999999999</v>
      </c>
      <c r="D23" s="80">
        <f t="shared" si="14"/>
        <v>837.51612</v>
      </c>
      <c r="E23" s="80">
        <f t="shared" si="14"/>
        <v>440.44009790000001</v>
      </c>
      <c r="F23" s="10">
        <f t="shared" si="14"/>
        <v>1128.4559589999999</v>
      </c>
      <c r="G23" s="10">
        <f t="shared" si="14"/>
        <v>871.33807899999999</v>
      </c>
      <c r="H23" s="10">
        <f t="shared" si="14"/>
        <v>823.04936508999992</v>
      </c>
      <c r="I23" s="10">
        <f t="shared" si="14"/>
        <v>1098.7585779999999</v>
      </c>
      <c r="J23" s="10">
        <f t="shared" si="14"/>
        <v>1215.5298800600001</v>
      </c>
      <c r="K23" s="188">
        <f t="shared" ref="K23" si="15">SUM(K24:K29)</f>
        <v>0</v>
      </c>
      <c r="L23" s="188">
        <f t="shared" si="14"/>
        <v>0</v>
      </c>
      <c r="M23" s="188">
        <f t="shared" ref="M23:N23" si="16">SUM(M24:M29)</f>
        <v>0</v>
      </c>
      <c r="N23" s="188">
        <f t="shared" si="16"/>
        <v>0</v>
      </c>
      <c r="O23" s="199">
        <f t="shared" ref="O23" si="17">SUM(O24:O29)</f>
        <v>0</v>
      </c>
      <c r="P23" s="81" t="e">
        <f t="shared" si="7"/>
        <v>#DIV/0!</v>
      </c>
      <c r="Q23" s="206" t="e">
        <f t="shared" si="7"/>
        <v>#DIV/0!</v>
      </c>
      <c r="R23" s="79">
        <f t="shared" si="1"/>
        <v>-100</v>
      </c>
      <c r="S23" s="210" t="e">
        <f t="shared" si="1"/>
        <v>#DIV/0!</v>
      </c>
      <c r="T23" s="60" t="s">
        <v>69</v>
      </c>
    </row>
    <row r="24" spans="1:20" s="31" customFormat="1" ht="15">
      <c r="A24" s="82" t="s">
        <v>70</v>
      </c>
      <c r="B24" s="83">
        <v>179.9</v>
      </c>
      <c r="C24" s="83">
        <v>159.79999999999998</v>
      </c>
      <c r="D24" s="83">
        <v>58.986502000000002</v>
      </c>
      <c r="E24" s="83">
        <v>146.70229599999999</v>
      </c>
      <c r="F24" s="48">
        <v>93.345458000000008</v>
      </c>
      <c r="G24" s="48">
        <v>70.257467000000005</v>
      </c>
      <c r="H24" s="48">
        <v>70.500645059999997</v>
      </c>
      <c r="I24" s="48">
        <v>93.968531999999996</v>
      </c>
      <c r="J24" s="48">
        <v>67.21094626</v>
      </c>
      <c r="K24" s="200"/>
      <c r="L24" s="200"/>
      <c r="M24" s="200"/>
      <c r="N24" s="200"/>
      <c r="O24" s="194"/>
      <c r="P24" s="85" t="e">
        <f t="shared" si="7"/>
        <v>#DIV/0!</v>
      </c>
      <c r="Q24" s="207" t="e">
        <f t="shared" si="7"/>
        <v>#DIV/0!</v>
      </c>
      <c r="R24" s="86">
        <f t="shared" si="1"/>
        <v>-100</v>
      </c>
      <c r="S24" s="211" t="e">
        <f t="shared" si="1"/>
        <v>#DIV/0!</v>
      </c>
      <c r="T24" s="54" t="s">
        <v>71</v>
      </c>
    </row>
    <row r="25" spans="1:20" s="31" customFormat="1" ht="15">
      <c r="A25" s="82" t="s">
        <v>72</v>
      </c>
      <c r="B25" s="83">
        <v>172.2</v>
      </c>
      <c r="C25" s="83">
        <v>837.8</v>
      </c>
      <c r="D25" s="83">
        <v>106.089237</v>
      </c>
      <c r="E25" s="83">
        <v>120.04688899999999</v>
      </c>
      <c r="F25" s="48">
        <v>471.08129199999996</v>
      </c>
      <c r="G25" s="48">
        <v>607.73237199999994</v>
      </c>
      <c r="H25" s="48">
        <v>404.45810542000004</v>
      </c>
      <c r="I25" s="48">
        <v>735.60389299999997</v>
      </c>
      <c r="J25" s="48">
        <v>846.79535526999996</v>
      </c>
      <c r="K25" s="200"/>
      <c r="L25" s="200"/>
      <c r="M25" s="200"/>
      <c r="N25" s="200"/>
      <c r="O25" s="194"/>
      <c r="P25" s="85" t="e">
        <f t="shared" si="7"/>
        <v>#DIV/0!</v>
      </c>
      <c r="Q25" s="207" t="e">
        <f t="shared" si="7"/>
        <v>#DIV/0!</v>
      </c>
      <c r="R25" s="86">
        <f t="shared" si="1"/>
        <v>-100</v>
      </c>
      <c r="S25" s="211" t="e">
        <f t="shared" si="1"/>
        <v>#DIV/0!</v>
      </c>
      <c r="T25" s="54" t="s">
        <v>73</v>
      </c>
    </row>
    <row r="26" spans="1:20" s="31" customFormat="1" ht="15">
      <c r="A26" s="82" t="s">
        <v>74</v>
      </c>
      <c r="B26" s="83">
        <v>88.9</v>
      </c>
      <c r="C26" s="83">
        <v>35.700000000000003</v>
      </c>
      <c r="D26" s="83">
        <v>62.029623999999998</v>
      </c>
      <c r="E26" s="83">
        <v>43.271078000000003</v>
      </c>
      <c r="F26" s="48">
        <v>59.675843</v>
      </c>
      <c r="G26" s="48">
        <v>66.77496099999999</v>
      </c>
      <c r="H26" s="48">
        <v>31.982870659999989</v>
      </c>
      <c r="I26" s="48">
        <v>75.050148000000007</v>
      </c>
      <c r="J26" s="48">
        <v>52.374541500000007</v>
      </c>
      <c r="K26" s="200"/>
      <c r="L26" s="200"/>
      <c r="M26" s="200"/>
      <c r="N26" s="200"/>
      <c r="O26" s="194"/>
      <c r="P26" s="85" t="e">
        <f t="shared" si="7"/>
        <v>#DIV/0!</v>
      </c>
      <c r="Q26" s="207" t="e">
        <f t="shared" si="7"/>
        <v>#DIV/0!</v>
      </c>
      <c r="R26" s="86">
        <f t="shared" si="1"/>
        <v>-100</v>
      </c>
      <c r="S26" s="211" t="e">
        <f t="shared" si="1"/>
        <v>#DIV/0!</v>
      </c>
      <c r="T26" s="54" t="s">
        <v>75</v>
      </c>
    </row>
    <row r="27" spans="1:20" s="29" customFormat="1" ht="15">
      <c r="A27" s="82" t="s">
        <v>76</v>
      </c>
      <c r="B27" s="83">
        <v>108.2</v>
      </c>
      <c r="C27" s="83">
        <v>93.3</v>
      </c>
      <c r="D27" s="83">
        <v>78.466514000000004</v>
      </c>
      <c r="E27" s="83">
        <v>46.860301</v>
      </c>
      <c r="F27" s="48">
        <v>33.749803</v>
      </c>
      <c r="G27" s="48">
        <v>52.519985999999996</v>
      </c>
      <c r="H27" s="48">
        <v>33.124519409999998</v>
      </c>
      <c r="I27" s="48">
        <v>49.642775</v>
      </c>
      <c r="J27" s="48">
        <v>103.70914999999999</v>
      </c>
      <c r="K27" s="200"/>
      <c r="L27" s="200"/>
      <c r="M27" s="200"/>
      <c r="N27" s="200"/>
      <c r="O27" s="194"/>
      <c r="P27" s="85" t="e">
        <f t="shared" si="7"/>
        <v>#DIV/0!</v>
      </c>
      <c r="Q27" s="207" t="e">
        <f t="shared" si="7"/>
        <v>#DIV/0!</v>
      </c>
      <c r="R27" s="86">
        <f t="shared" si="1"/>
        <v>-100</v>
      </c>
      <c r="S27" s="211" t="e">
        <f t="shared" si="1"/>
        <v>#DIV/0!</v>
      </c>
      <c r="T27" s="54" t="s">
        <v>77</v>
      </c>
    </row>
    <row r="28" spans="1:20" s="29" customFormat="1" ht="15">
      <c r="A28" s="82" t="s">
        <v>78</v>
      </c>
      <c r="B28" s="83">
        <v>42.8</v>
      </c>
      <c r="C28" s="83">
        <v>92.3</v>
      </c>
      <c r="D28" s="83">
        <v>505.93436100000002</v>
      </c>
      <c r="E28" s="83">
        <v>52.495815900000004</v>
      </c>
      <c r="F28" s="48">
        <v>80.384180000000001</v>
      </c>
      <c r="G28" s="48">
        <v>54.566487000000002</v>
      </c>
      <c r="H28" s="48">
        <v>168.21187463999996</v>
      </c>
      <c r="I28" s="48">
        <v>51.606206</v>
      </c>
      <c r="J28" s="48">
        <v>131.16637020000002</v>
      </c>
      <c r="K28" s="200"/>
      <c r="L28" s="200"/>
      <c r="M28" s="200"/>
      <c r="N28" s="200"/>
      <c r="O28" s="194"/>
      <c r="P28" s="85" t="e">
        <f t="shared" si="7"/>
        <v>#DIV/0!</v>
      </c>
      <c r="Q28" s="207" t="e">
        <f t="shared" si="7"/>
        <v>#DIV/0!</v>
      </c>
      <c r="R28" s="86">
        <f t="shared" si="1"/>
        <v>-100</v>
      </c>
      <c r="S28" s="211" t="e">
        <f t="shared" si="1"/>
        <v>#DIV/0!</v>
      </c>
      <c r="T28" s="54" t="s">
        <v>79</v>
      </c>
    </row>
    <row r="29" spans="1:20" s="31" customFormat="1" ht="15">
      <c r="A29" s="82" t="s">
        <v>80</v>
      </c>
      <c r="B29" s="83">
        <v>4.2</v>
      </c>
      <c r="C29" s="83">
        <v>12.2</v>
      </c>
      <c r="D29" s="83">
        <v>26.009882000000001</v>
      </c>
      <c r="E29" s="83">
        <v>31.063718000000001</v>
      </c>
      <c r="F29" s="48">
        <v>390.21938299999999</v>
      </c>
      <c r="G29" s="48">
        <v>19.486806000000001</v>
      </c>
      <c r="H29" s="48">
        <v>114.7713499</v>
      </c>
      <c r="I29" s="48">
        <v>92.887023999999997</v>
      </c>
      <c r="J29" s="48">
        <v>14.27351683</v>
      </c>
      <c r="K29" s="200"/>
      <c r="L29" s="200"/>
      <c r="M29" s="200"/>
      <c r="N29" s="200"/>
      <c r="O29" s="194"/>
      <c r="P29" s="85" t="e">
        <f t="shared" si="7"/>
        <v>#DIV/0!</v>
      </c>
      <c r="Q29" s="207" t="e">
        <f t="shared" si="7"/>
        <v>#DIV/0!</v>
      </c>
      <c r="R29" s="86">
        <f t="shared" si="1"/>
        <v>-100</v>
      </c>
      <c r="S29" s="211" t="e">
        <f t="shared" si="1"/>
        <v>#DIV/0!</v>
      </c>
      <c r="T29" s="54" t="s">
        <v>81</v>
      </c>
    </row>
    <row r="30" spans="1:20" s="29" customFormat="1" ht="15">
      <c r="A30" s="23" t="s">
        <v>82</v>
      </c>
      <c r="B30" s="80">
        <v>234.3</v>
      </c>
      <c r="C30" s="80">
        <v>279.99667199999999</v>
      </c>
      <c r="D30" s="80">
        <v>617.87877800000001</v>
      </c>
      <c r="E30" s="80">
        <v>662.05533700000001</v>
      </c>
      <c r="F30" s="10">
        <v>725.8</v>
      </c>
      <c r="G30" s="10">
        <v>1107.0812289999999</v>
      </c>
      <c r="H30" s="10">
        <v>956.72619699999996</v>
      </c>
      <c r="I30" s="10">
        <v>978.34736899999996</v>
      </c>
      <c r="J30" s="10">
        <v>1347.6498610000001</v>
      </c>
      <c r="K30" s="188"/>
      <c r="L30" s="188"/>
      <c r="M30" s="188"/>
      <c r="N30" s="188"/>
      <c r="O30" s="199"/>
      <c r="P30" s="81" t="e">
        <f t="shared" si="7"/>
        <v>#DIV/0!</v>
      </c>
      <c r="Q30" s="206" t="e">
        <f t="shared" si="7"/>
        <v>#DIV/0!</v>
      </c>
      <c r="R30" s="79">
        <f t="shared" si="1"/>
        <v>-100</v>
      </c>
      <c r="S30" s="210" t="e">
        <f t="shared" si="1"/>
        <v>#DIV/0!</v>
      </c>
      <c r="T30" s="60" t="s">
        <v>83</v>
      </c>
    </row>
    <row r="31" spans="1:20" s="29" customFormat="1" ht="15">
      <c r="A31" s="23" t="s">
        <v>25</v>
      </c>
      <c r="B31" s="80">
        <v>-124.5</v>
      </c>
      <c r="C31" s="80">
        <v>-166.4</v>
      </c>
      <c r="D31" s="80">
        <v>-150.836333</v>
      </c>
      <c r="E31" s="80">
        <v>-181.3</v>
      </c>
      <c r="F31" s="10">
        <v>-399</v>
      </c>
      <c r="G31" s="10">
        <v>-90.231635999999995</v>
      </c>
      <c r="H31" s="10">
        <v>-135.485007</v>
      </c>
      <c r="I31" s="10">
        <v>-122.16204999999999</v>
      </c>
      <c r="J31" s="10">
        <v>-104.018246</v>
      </c>
      <c r="K31" s="188"/>
      <c r="L31" s="188"/>
      <c r="M31" s="188"/>
      <c r="N31" s="188"/>
      <c r="O31" s="199"/>
      <c r="P31" s="81" t="e">
        <f t="shared" si="7"/>
        <v>#DIV/0!</v>
      </c>
      <c r="Q31" s="206" t="e">
        <f t="shared" si="7"/>
        <v>#DIV/0!</v>
      </c>
      <c r="R31" s="79">
        <f t="shared" si="1"/>
        <v>-100</v>
      </c>
      <c r="S31" s="210" t="e">
        <f t="shared" si="1"/>
        <v>#DIV/0!</v>
      </c>
      <c r="T31" s="60" t="s">
        <v>26</v>
      </c>
    </row>
    <row r="32" spans="1:20" s="31" customFormat="1" ht="15">
      <c r="A32" s="82" t="s">
        <v>40</v>
      </c>
      <c r="B32" s="90"/>
      <c r="C32" s="90"/>
      <c r="D32" s="90"/>
      <c r="E32" s="90"/>
      <c r="F32" s="26"/>
      <c r="G32" s="10"/>
      <c r="H32" s="10"/>
      <c r="I32" s="10"/>
      <c r="J32" s="10"/>
      <c r="K32" s="188"/>
      <c r="L32" s="188"/>
      <c r="M32" s="188"/>
      <c r="N32" s="188"/>
      <c r="O32" s="199"/>
      <c r="P32" s="81"/>
      <c r="Q32" s="206"/>
      <c r="R32" s="86"/>
      <c r="S32" s="211"/>
      <c r="T32" s="54" t="s">
        <v>41</v>
      </c>
    </row>
    <row r="33" spans="1:20" ht="17.25">
      <c r="A33" s="91" t="s">
        <v>84</v>
      </c>
      <c r="B33" s="92">
        <v>1007.8</v>
      </c>
      <c r="C33" s="92">
        <v>390.30930799999999</v>
      </c>
      <c r="D33" s="93">
        <v>584.5</v>
      </c>
      <c r="E33" s="93">
        <v>877.1</v>
      </c>
      <c r="F33" s="94">
        <v>987.6</v>
      </c>
      <c r="G33" s="94">
        <v>1145.8582073000002</v>
      </c>
      <c r="H33" s="94">
        <v>1187.19235</v>
      </c>
      <c r="I33" s="94">
        <v>188.39416600000001</v>
      </c>
      <c r="J33" s="94">
        <v>635.05139099999997</v>
      </c>
      <c r="K33" s="201"/>
      <c r="L33" s="201"/>
      <c r="M33" s="201"/>
      <c r="N33" s="201"/>
      <c r="O33" s="193"/>
      <c r="P33" s="95" t="e">
        <f t="shared" si="7"/>
        <v>#DIV/0!</v>
      </c>
      <c r="Q33" s="208" t="e">
        <f t="shared" si="7"/>
        <v>#DIV/0!</v>
      </c>
      <c r="R33" s="96">
        <f>+((K33/J33)-1)*100</f>
        <v>-100</v>
      </c>
      <c r="S33" s="213" t="e">
        <f>+((L33/K33)-1)*100</f>
        <v>#DIV/0!</v>
      </c>
      <c r="T33" s="97" t="s">
        <v>85</v>
      </c>
    </row>
    <row r="34" spans="1:20" ht="15">
      <c r="A34" s="37" t="s">
        <v>37</v>
      </c>
      <c r="B34" s="98"/>
      <c r="C34" s="98"/>
      <c r="D34" s="98"/>
      <c r="E34" s="98"/>
      <c r="F34" s="98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54" t="s">
        <v>38</v>
      </c>
    </row>
    <row r="35" spans="1:20" s="184" customFormat="1" ht="11.25">
      <c r="A35" s="180" t="s">
        <v>183</v>
      </c>
      <c r="B35" s="181"/>
      <c r="C35" s="181"/>
      <c r="D35" s="181"/>
      <c r="E35" s="181"/>
      <c r="F35" s="181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3"/>
    </row>
    <row r="36" spans="1:20"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</row>
    <row r="37" spans="1:20">
      <c r="B37" s="101"/>
      <c r="C37" s="101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</row>
    <row r="38" spans="1:20">
      <c r="B38" s="102"/>
      <c r="C38" s="102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</row>
    <row r="39" spans="1:20"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</row>
    <row r="40" spans="1:20">
      <c r="P40" s="100"/>
      <c r="Q40" s="100"/>
    </row>
    <row r="41" spans="1:20">
      <c r="P41" s="100"/>
      <c r="Q41" s="100"/>
    </row>
    <row r="42" spans="1:20"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</row>
    <row r="43" spans="1:20"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</row>
    <row r="44" spans="1:20"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</row>
    <row r="45" spans="1:20"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</row>
    <row r="46" spans="1:20"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</row>
    <row r="47" spans="1:20"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</row>
    <row r="48" spans="1:20"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</row>
    <row r="49" spans="7:17"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</row>
    <row r="50" spans="7:17"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</row>
    <row r="51" spans="7:17"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</row>
    <row r="52" spans="7:17"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</row>
    <row r="53" spans="7:17"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</row>
    <row r="54" spans="7:17"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</row>
    <row r="55" spans="7:17"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</row>
    <row r="56" spans="7:17"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</row>
    <row r="57" spans="7:17"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</row>
    <row r="58" spans="7:17"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</row>
    <row r="59" spans="7:17"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</row>
    <row r="60" spans="7:17"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</row>
    <row r="61" spans="7:17"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</row>
    <row r="62" spans="7:17"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</row>
    <row r="63" spans="7:17"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</row>
    <row r="64" spans="7:17"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</row>
    <row r="65" spans="7:17"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</row>
    <row r="66" spans="7:17"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</row>
    <row r="67" spans="7:17"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</row>
    <row r="68" spans="7:17"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</row>
  </sheetData>
  <mergeCells count="9">
    <mergeCell ref="A1:T1"/>
    <mergeCell ref="A2:T2"/>
    <mergeCell ref="A3:T3"/>
    <mergeCell ref="A4:T4"/>
    <mergeCell ref="A5:A7"/>
    <mergeCell ref="L5:O5"/>
    <mergeCell ref="P5:Q5"/>
    <mergeCell ref="R5:S5"/>
    <mergeCell ref="R6:S6"/>
  </mergeCells>
  <pageMargins left="0.17" right="0.16" top="0.75" bottom="0.75" header="0.3" footer="0.3"/>
  <pageSetup paperSize="9" scale="80" orientation="landscape" horizontalDpi="4294967295" verticalDpi="4294967295" r:id="rId1"/>
  <ignoredErrors>
    <ignoredError sqref="R9:R20 R23:R33 G30:J30 G17:N17 G10:N10 P23:P33 P9:P20 G11:J11 G14:J15 G16:J16 G18:J22 G25:J29 G31:J33 G9:J9" unlockedFormula="1"/>
    <ignoredError sqref="G12:N12 G23:N23 G13:J13 G24:J24" formulaRange="1" unlockedFormula="1"/>
    <ignoredError sqref="R21:R22 P21:P22" formula="1" unlockedFormula="1"/>
    <ignoredError sqref="T21:T22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7"/>
  <sheetViews>
    <sheetView zoomScaleNormal="100" workbookViewId="0">
      <selection activeCell="L27" sqref="L27"/>
    </sheetView>
  </sheetViews>
  <sheetFormatPr defaultColWidth="8.85546875" defaultRowHeight="12"/>
  <cols>
    <col min="1" max="1" width="32.42578125" style="125" customWidth="1"/>
    <col min="2" max="3" width="0" style="153" hidden="1" customWidth="1"/>
    <col min="4" max="4" width="12.7109375" style="153" hidden="1" customWidth="1"/>
    <col min="5" max="7" width="8.85546875" style="153" hidden="1" customWidth="1"/>
    <col min="8" max="11" width="0" style="153" hidden="1" customWidth="1"/>
    <col min="12" max="14" width="8.85546875" style="153"/>
    <col min="15" max="19" width="9.28515625" style="153" customWidth="1"/>
    <col min="20" max="21" width="11.28515625" style="153" customWidth="1"/>
    <col min="22" max="23" width="11" style="154" customWidth="1"/>
    <col min="24" max="24" width="7.7109375" style="154" customWidth="1"/>
    <col min="25" max="25" width="43.42578125" style="125" customWidth="1"/>
    <col min="26" max="26" width="17.28515625" style="125" customWidth="1"/>
    <col min="27" max="16384" width="8.85546875" style="125"/>
  </cols>
  <sheetData>
    <row r="1" spans="1:27" ht="19.5">
      <c r="A1" s="273" t="s">
        <v>192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</row>
    <row r="2" spans="1:27" ht="12.75">
      <c r="A2" s="299" t="s">
        <v>193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</row>
    <row r="3" spans="1:27" s="16" customFormat="1" ht="14.25">
      <c r="A3" s="300" t="s">
        <v>39</v>
      </c>
      <c r="B3" s="300"/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</row>
    <row r="4" spans="1:27" s="16" customFormat="1" ht="12.75">
      <c r="A4" s="285" t="s">
        <v>91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</row>
    <row r="5" spans="1:27" s="16" customFormat="1" ht="17.25">
      <c r="A5" s="174"/>
      <c r="B5" s="126"/>
      <c r="C5" s="127"/>
      <c r="D5" s="128" t="s">
        <v>2</v>
      </c>
      <c r="E5" s="301" t="s">
        <v>8</v>
      </c>
      <c r="F5" s="301"/>
      <c r="G5" s="301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302" t="s">
        <v>129</v>
      </c>
      <c r="U5" s="303"/>
      <c r="V5" s="302" t="s">
        <v>87</v>
      </c>
      <c r="W5" s="304"/>
      <c r="X5" s="130"/>
      <c r="Y5" s="131"/>
    </row>
    <row r="6" spans="1:27" s="29" customFormat="1" ht="15" customHeight="1">
      <c r="A6" s="177" t="s">
        <v>1</v>
      </c>
      <c r="B6" s="132"/>
      <c r="C6" s="11"/>
      <c r="D6" s="11" t="s">
        <v>92</v>
      </c>
      <c r="E6" s="11" t="s">
        <v>5</v>
      </c>
      <c r="F6" s="11" t="s">
        <v>5</v>
      </c>
      <c r="G6" s="11" t="s">
        <v>5</v>
      </c>
      <c r="H6" s="11"/>
      <c r="I6" s="11"/>
      <c r="J6" s="11"/>
      <c r="K6" s="11" t="s">
        <v>4</v>
      </c>
      <c r="L6" s="11" t="s">
        <v>4</v>
      </c>
      <c r="M6" s="11" t="s">
        <v>4</v>
      </c>
      <c r="N6" s="13" t="s">
        <v>4</v>
      </c>
      <c r="O6" s="186" t="s">
        <v>4</v>
      </c>
      <c r="P6" s="186" t="s">
        <v>198</v>
      </c>
      <c r="Q6" s="186" t="s">
        <v>181</v>
      </c>
      <c r="R6" s="186" t="s">
        <v>181</v>
      </c>
      <c r="S6" s="186" t="s">
        <v>181</v>
      </c>
      <c r="T6" s="297" t="s">
        <v>93</v>
      </c>
      <c r="U6" s="298"/>
      <c r="V6" s="305" t="s">
        <v>44</v>
      </c>
      <c r="W6" s="306"/>
      <c r="X6" s="133"/>
      <c r="Y6" s="173" t="s">
        <v>3</v>
      </c>
    </row>
    <row r="7" spans="1:27" s="29" customFormat="1" ht="12.75">
      <c r="A7" s="178"/>
      <c r="B7" s="56">
        <v>2007</v>
      </c>
      <c r="C7" s="56">
        <v>2008</v>
      </c>
      <c r="D7" s="56">
        <v>2009</v>
      </c>
      <c r="E7" s="56">
        <v>2010</v>
      </c>
      <c r="F7" s="56">
        <v>2011</v>
      </c>
      <c r="G7" s="56">
        <v>2012</v>
      </c>
      <c r="H7" s="56">
        <v>2009</v>
      </c>
      <c r="I7" s="56">
        <v>2010</v>
      </c>
      <c r="J7" s="56">
        <v>2011</v>
      </c>
      <c r="K7" s="56">
        <v>2012</v>
      </c>
      <c r="L7" s="56">
        <v>2013</v>
      </c>
      <c r="M7" s="56">
        <v>2014</v>
      </c>
      <c r="N7" s="14">
        <v>2015</v>
      </c>
      <c r="O7" s="187">
        <v>2016</v>
      </c>
      <c r="P7" s="187">
        <v>2017</v>
      </c>
      <c r="Q7" s="187">
        <v>2018</v>
      </c>
      <c r="R7" s="187">
        <v>2019</v>
      </c>
      <c r="S7" s="187">
        <v>2020</v>
      </c>
      <c r="T7" s="217">
        <v>2016</v>
      </c>
      <c r="U7" s="224">
        <v>2017</v>
      </c>
      <c r="V7" s="216" t="s">
        <v>180</v>
      </c>
      <c r="W7" s="231" t="s">
        <v>194</v>
      </c>
      <c r="X7" s="134"/>
      <c r="Y7" s="135"/>
      <c r="Z7" s="55"/>
      <c r="AA7" s="55"/>
    </row>
    <row r="8" spans="1:27" s="29" customFormat="1" ht="15">
      <c r="A8" s="57" t="s">
        <v>22</v>
      </c>
      <c r="B8" s="136">
        <f t="shared" ref="B8:O8" si="0">SUM(B9,B14,B20,B27)</f>
        <v>6560.1</v>
      </c>
      <c r="C8" s="136">
        <f t="shared" si="0"/>
        <v>7463.2</v>
      </c>
      <c r="D8" s="136">
        <f t="shared" si="0"/>
        <v>7942.4</v>
      </c>
      <c r="E8" s="136">
        <f t="shared" si="0"/>
        <v>9115.1999999999989</v>
      </c>
      <c r="F8" s="136">
        <f t="shared" si="0"/>
        <v>8659.1</v>
      </c>
      <c r="G8" s="136">
        <f t="shared" si="0"/>
        <v>8744.8993789999986</v>
      </c>
      <c r="H8" s="136">
        <f t="shared" si="0"/>
        <v>8738.7354969999997</v>
      </c>
      <c r="I8" s="136">
        <f t="shared" si="0"/>
        <v>8369.1443089999993</v>
      </c>
      <c r="J8" s="136">
        <f t="shared" si="0"/>
        <v>9075.7587179999991</v>
      </c>
      <c r="K8" s="136">
        <f t="shared" si="0"/>
        <v>10316.485255000001</v>
      </c>
      <c r="L8" s="136">
        <f t="shared" si="0"/>
        <v>11573.21458545</v>
      </c>
      <c r="M8" s="136">
        <f t="shared" si="0"/>
        <v>13954.396592000001</v>
      </c>
      <c r="N8" s="136">
        <f t="shared" si="0"/>
        <v>16678.511400880001</v>
      </c>
      <c r="O8" s="223">
        <f t="shared" si="0"/>
        <v>0</v>
      </c>
      <c r="P8" s="223">
        <f t="shared" ref="P8:Q8" si="1">SUM(P9,P14,P20,P27)</f>
        <v>0</v>
      </c>
      <c r="Q8" s="223">
        <f t="shared" si="1"/>
        <v>0</v>
      </c>
      <c r="R8" s="223">
        <f t="shared" ref="R8:S8" si="2">SUM(R9,R14,R20,R27)</f>
        <v>0</v>
      </c>
      <c r="S8" s="223">
        <f t="shared" si="2"/>
        <v>0</v>
      </c>
      <c r="T8" s="218" t="e">
        <f>+(O8/$O$8)*100</f>
        <v>#DIV/0!</v>
      </c>
      <c r="U8" s="225" t="e">
        <f>+(P8/$O$8)*100</f>
        <v>#DIV/0!</v>
      </c>
      <c r="V8" s="137">
        <f t="shared" ref="V8:W27" si="3">+((O8/N8)-1)*100</f>
        <v>-100</v>
      </c>
      <c r="W8" s="228" t="e">
        <f t="shared" si="3"/>
        <v>#DIV/0!</v>
      </c>
      <c r="X8" s="137"/>
      <c r="Y8" s="60" t="s">
        <v>23</v>
      </c>
    </row>
    <row r="9" spans="1:27" s="29" customFormat="1" ht="15">
      <c r="A9" s="57" t="s">
        <v>94</v>
      </c>
      <c r="B9" s="136">
        <f t="shared" ref="B9:O9" si="4">SUM(B10:B13)</f>
        <v>2241.8999999999996</v>
      </c>
      <c r="C9" s="136">
        <f t="shared" si="4"/>
        <v>3209.7</v>
      </c>
      <c r="D9" s="136">
        <f t="shared" si="4"/>
        <v>3276.6</v>
      </c>
      <c r="E9" s="136">
        <f t="shared" si="4"/>
        <v>4021.9</v>
      </c>
      <c r="F9" s="136">
        <f t="shared" si="4"/>
        <v>3529.1</v>
      </c>
      <c r="G9" s="136">
        <f t="shared" si="4"/>
        <v>3593.374147</v>
      </c>
      <c r="H9" s="136">
        <f t="shared" si="4"/>
        <v>3519.7833220000007</v>
      </c>
      <c r="I9" s="136">
        <f t="shared" si="4"/>
        <v>3978.9039029999999</v>
      </c>
      <c r="J9" s="136">
        <f t="shared" si="4"/>
        <v>4596.1388089999991</v>
      </c>
      <c r="K9" s="136">
        <f t="shared" si="4"/>
        <v>4774.492886</v>
      </c>
      <c r="L9" s="136">
        <f t="shared" si="4"/>
        <v>4784.0412950399996</v>
      </c>
      <c r="M9" s="136">
        <f t="shared" si="4"/>
        <v>5537.7483140000004</v>
      </c>
      <c r="N9" s="136">
        <f t="shared" si="4"/>
        <v>6243.3481799699994</v>
      </c>
      <c r="O9" s="223">
        <f t="shared" si="4"/>
        <v>0</v>
      </c>
      <c r="P9" s="223">
        <f t="shared" ref="P9:Q9" si="5">SUM(P10:P13)</f>
        <v>0</v>
      </c>
      <c r="Q9" s="223">
        <f t="shared" si="5"/>
        <v>0</v>
      </c>
      <c r="R9" s="223">
        <f t="shared" ref="R9:S9" si="6">SUM(R10:R13)</f>
        <v>0</v>
      </c>
      <c r="S9" s="223">
        <f t="shared" si="6"/>
        <v>0</v>
      </c>
      <c r="T9" s="218" t="e">
        <f t="shared" ref="T9:U27" si="7">+(O9/$O$8)*100</f>
        <v>#DIV/0!</v>
      </c>
      <c r="U9" s="225" t="e">
        <f t="shared" si="7"/>
        <v>#DIV/0!</v>
      </c>
      <c r="V9" s="137">
        <f t="shared" si="3"/>
        <v>-100</v>
      </c>
      <c r="W9" s="228" t="e">
        <f t="shared" si="3"/>
        <v>#DIV/0!</v>
      </c>
      <c r="X9" s="137"/>
      <c r="Y9" s="60" t="s">
        <v>95</v>
      </c>
    </row>
    <row r="10" spans="1:27" s="31" customFormat="1" ht="15">
      <c r="A10" s="61" t="s">
        <v>96</v>
      </c>
      <c r="B10" s="176">
        <v>1141.8</v>
      </c>
      <c r="C10" s="64">
        <v>1743.5</v>
      </c>
      <c r="D10" s="64">
        <v>1620.1</v>
      </c>
      <c r="E10" s="64">
        <v>2323.1</v>
      </c>
      <c r="F10" s="64">
        <v>1785</v>
      </c>
      <c r="G10" s="64">
        <v>1807.6922320000001</v>
      </c>
      <c r="H10" s="64">
        <v>1640.2071530000007</v>
      </c>
      <c r="I10" s="64">
        <v>2160.2136339999997</v>
      </c>
      <c r="J10" s="64">
        <v>2490.5053929999999</v>
      </c>
      <c r="K10" s="64">
        <v>2464.698202</v>
      </c>
      <c r="L10" s="64">
        <v>2284.8721354499999</v>
      </c>
      <c r="M10" s="64">
        <v>2757.612995</v>
      </c>
      <c r="N10" s="64">
        <v>2566.7069908099998</v>
      </c>
      <c r="O10" s="221"/>
      <c r="P10" s="221"/>
      <c r="Q10" s="221"/>
      <c r="R10" s="221"/>
      <c r="S10" s="221"/>
      <c r="T10" s="219" t="e">
        <f t="shared" si="7"/>
        <v>#DIV/0!</v>
      </c>
      <c r="U10" s="226" t="e">
        <f t="shared" si="7"/>
        <v>#DIV/0!</v>
      </c>
      <c r="V10" s="138">
        <f t="shared" si="3"/>
        <v>-100</v>
      </c>
      <c r="W10" s="229" t="e">
        <f t="shared" si="3"/>
        <v>#DIV/0!</v>
      </c>
      <c r="X10" s="138"/>
      <c r="Y10" s="54" t="s">
        <v>97</v>
      </c>
    </row>
    <row r="11" spans="1:27" s="31" customFormat="1" ht="15">
      <c r="A11" s="61" t="s">
        <v>98</v>
      </c>
      <c r="B11" s="176">
        <v>404.6</v>
      </c>
      <c r="C11" s="64">
        <v>549.1</v>
      </c>
      <c r="D11" s="64">
        <v>593.9</v>
      </c>
      <c r="E11" s="64">
        <v>551.20000000000005</v>
      </c>
      <c r="F11" s="64">
        <v>611.5</v>
      </c>
      <c r="G11" s="64">
        <v>637.60149200000001</v>
      </c>
      <c r="H11" s="64">
        <v>712.88716299999999</v>
      </c>
      <c r="I11" s="64">
        <v>651.41233499999998</v>
      </c>
      <c r="J11" s="64">
        <v>774.11099200000001</v>
      </c>
      <c r="K11" s="64">
        <v>800.63111700000002</v>
      </c>
      <c r="L11" s="64">
        <v>794.20175268000003</v>
      </c>
      <c r="M11" s="64">
        <v>834.3948089999999</v>
      </c>
      <c r="N11" s="64">
        <v>1023.3242030399999</v>
      </c>
      <c r="O11" s="221"/>
      <c r="P11" s="221"/>
      <c r="Q11" s="221"/>
      <c r="R11" s="221"/>
      <c r="S11" s="221"/>
      <c r="T11" s="219" t="e">
        <f t="shared" si="7"/>
        <v>#DIV/0!</v>
      </c>
      <c r="U11" s="226" t="e">
        <f t="shared" si="7"/>
        <v>#DIV/0!</v>
      </c>
      <c r="V11" s="138">
        <f t="shared" si="3"/>
        <v>-100</v>
      </c>
      <c r="W11" s="229" t="e">
        <f t="shared" si="3"/>
        <v>#DIV/0!</v>
      </c>
      <c r="X11" s="138"/>
      <c r="Y11" s="54" t="s">
        <v>99</v>
      </c>
    </row>
    <row r="12" spans="1:27" s="31" customFormat="1" ht="15">
      <c r="A12" s="61" t="s">
        <v>100</v>
      </c>
      <c r="B12" s="139">
        <v>600.29999999999995</v>
      </c>
      <c r="C12" s="64">
        <v>833.4</v>
      </c>
      <c r="D12" s="64">
        <v>968.9</v>
      </c>
      <c r="E12" s="64">
        <v>1055.0999999999999</v>
      </c>
      <c r="F12" s="64">
        <v>1052.7</v>
      </c>
      <c r="G12" s="64">
        <v>1066.94895</v>
      </c>
      <c r="H12" s="64">
        <v>1097.180717</v>
      </c>
      <c r="I12" s="64">
        <v>1132.7824310000001</v>
      </c>
      <c r="J12" s="64">
        <v>1296.9194520000001</v>
      </c>
      <c r="K12" s="64">
        <v>1470.4859779999999</v>
      </c>
      <c r="L12" s="64">
        <v>1659.45558701</v>
      </c>
      <c r="M12" s="64">
        <v>1876.671333</v>
      </c>
      <c r="N12" s="64">
        <v>2512.6496932300001</v>
      </c>
      <c r="O12" s="221"/>
      <c r="P12" s="221"/>
      <c r="Q12" s="221"/>
      <c r="R12" s="221"/>
      <c r="S12" s="221"/>
      <c r="T12" s="219" t="e">
        <f t="shared" si="7"/>
        <v>#DIV/0!</v>
      </c>
      <c r="U12" s="226" t="e">
        <f t="shared" si="7"/>
        <v>#DIV/0!</v>
      </c>
      <c r="V12" s="138">
        <f t="shared" si="3"/>
        <v>-100</v>
      </c>
      <c r="W12" s="229" t="e">
        <f t="shared" si="3"/>
        <v>#DIV/0!</v>
      </c>
      <c r="X12" s="138"/>
      <c r="Y12" s="54" t="s">
        <v>101</v>
      </c>
    </row>
    <row r="13" spans="1:27" s="31" customFormat="1" ht="15">
      <c r="A13" s="61" t="s">
        <v>102</v>
      </c>
      <c r="B13" s="116">
        <v>95.2</v>
      </c>
      <c r="C13" s="64">
        <v>83.7</v>
      </c>
      <c r="D13" s="64">
        <v>93.7</v>
      </c>
      <c r="E13" s="64">
        <v>92.5</v>
      </c>
      <c r="F13" s="64">
        <v>79.900000000000006</v>
      </c>
      <c r="G13" s="64">
        <v>81.131473</v>
      </c>
      <c r="H13" s="64">
        <v>69.508289000000005</v>
      </c>
      <c r="I13" s="64">
        <v>34.495502999999999</v>
      </c>
      <c r="J13" s="64">
        <v>34.602972000000001</v>
      </c>
      <c r="K13" s="64">
        <v>38.677588999999998</v>
      </c>
      <c r="L13" s="64">
        <v>45.511819899999999</v>
      </c>
      <c r="M13" s="64">
        <v>69.069176999999996</v>
      </c>
      <c r="N13" s="64">
        <v>140.66729289</v>
      </c>
      <c r="O13" s="221"/>
      <c r="P13" s="221"/>
      <c r="Q13" s="221"/>
      <c r="R13" s="221"/>
      <c r="S13" s="221"/>
      <c r="T13" s="219" t="e">
        <f t="shared" si="7"/>
        <v>#DIV/0!</v>
      </c>
      <c r="U13" s="226" t="e">
        <f t="shared" si="7"/>
        <v>#DIV/0!</v>
      </c>
      <c r="V13" s="138">
        <f t="shared" si="3"/>
        <v>-100</v>
      </c>
      <c r="W13" s="229" t="e">
        <f t="shared" si="3"/>
        <v>#DIV/0!</v>
      </c>
      <c r="X13" s="138"/>
      <c r="Y13" s="54" t="s">
        <v>103</v>
      </c>
    </row>
    <row r="14" spans="1:27" s="29" customFormat="1" ht="15">
      <c r="A14" s="57" t="s">
        <v>104</v>
      </c>
      <c r="B14" s="136">
        <f t="shared" ref="B14:I14" si="8">SUM(B15:B18)</f>
        <v>3817.6</v>
      </c>
      <c r="C14" s="136">
        <f t="shared" si="8"/>
        <v>3679.5</v>
      </c>
      <c r="D14" s="136">
        <f t="shared" si="8"/>
        <v>4016.4</v>
      </c>
      <c r="E14" s="136">
        <f t="shared" si="8"/>
        <v>4170.5</v>
      </c>
      <c r="F14" s="136">
        <f t="shared" si="8"/>
        <v>4282.6000000000004</v>
      </c>
      <c r="G14" s="136">
        <f t="shared" si="8"/>
        <v>4413.3455789999998</v>
      </c>
      <c r="H14" s="136">
        <f t="shared" si="8"/>
        <v>4345.2921539999998</v>
      </c>
      <c r="I14" s="136">
        <f t="shared" si="8"/>
        <v>3462.622922</v>
      </c>
      <c r="J14" s="136">
        <f>SUM(J15:J19)</f>
        <v>3544.46576</v>
      </c>
      <c r="K14" s="136">
        <f t="shared" ref="K14:Q14" si="9">SUM(K15:K19)</f>
        <v>4225.7286190000004</v>
      </c>
      <c r="L14" s="136">
        <f t="shared" si="9"/>
        <v>5531.6275246499999</v>
      </c>
      <c r="M14" s="136">
        <f t="shared" si="9"/>
        <v>7089.9977030000009</v>
      </c>
      <c r="N14" s="136">
        <f t="shared" si="9"/>
        <v>8742.95622215</v>
      </c>
      <c r="O14" s="223">
        <f t="shared" si="9"/>
        <v>0</v>
      </c>
      <c r="P14" s="223">
        <f t="shared" si="9"/>
        <v>0</v>
      </c>
      <c r="Q14" s="223">
        <f t="shared" si="9"/>
        <v>0</v>
      </c>
      <c r="R14" s="223">
        <f t="shared" ref="R14:S14" si="10">SUM(R15:R19)</f>
        <v>0</v>
      </c>
      <c r="S14" s="223">
        <f t="shared" si="10"/>
        <v>0</v>
      </c>
      <c r="T14" s="218" t="e">
        <f t="shared" si="7"/>
        <v>#DIV/0!</v>
      </c>
      <c r="U14" s="225" t="e">
        <f t="shared" si="7"/>
        <v>#DIV/0!</v>
      </c>
      <c r="V14" s="137">
        <f t="shared" si="3"/>
        <v>-100</v>
      </c>
      <c r="W14" s="228" t="e">
        <f t="shared" si="3"/>
        <v>#DIV/0!</v>
      </c>
      <c r="X14" s="137"/>
      <c r="Y14" s="60" t="s">
        <v>105</v>
      </c>
    </row>
    <row r="15" spans="1:27" s="31" customFormat="1" ht="15">
      <c r="A15" s="61" t="s">
        <v>106</v>
      </c>
      <c r="B15" s="176">
        <v>1149.4000000000001</v>
      </c>
      <c r="C15" s="64">
        <v>1467.1</v>
      </c>
      <c r="D15" s="64">
        <v>1958.3</v>
      </c>
      <c r="E15" s="64">
        <v>1632</v>
      </c>
      <c r="F15" s="64">
        <v>1703.1</v>
      </c>
      <c r="G15" s="64">
        <v>1731.0649900000001</v>
      </c>
      <c r="H15" s="64">
        <v>1801.544161</v>
      </c>
      <c r="I15" s="64">
        <v>1588.6194419999999</v>
      </c>
      <c r="J15" s="64">
        <v>1701.1680309999999</v>
      </c>
      <c r="K15" s="140">
        <v>2095.118363</v>
      </c>
      <c r="L15" s="64">
        <v>1927.3062449400002</v>
      </c>
      <c r="M15" s="64">
        <v>2111.528174</v>
      </c>
      <c r="N15" s="64">
        <v>2660.2240680199998</v>
      </c>
      <c r="O15" s="221"/>
      <c r="P15" s="221"/>
      <c r="Q15" s="221"/>
      <c r="R15" s="221"/>
      <c r="S15" s="221"/>
      <c r="T15" s="219" t="e">
        <f t="shared" si="7"/>
        <v>#DIV/0!</v>
      </c>
      <c r="U15" s="226" t="e">
        <f t="shared" si="7"/>
        <v>#DIV/0!</v>
      </c>
      <c r="V15" s="138">
        <f t="shared" si="3"/>
        <v>-100</v>
      </c>
      <c r="W15" s="229" t="e">
        <f t="shared" si="3"/>
        <v>#DIV/0!</v>
      </c>
      <c r="X15" s="138"/>
      <c r="Y15" s="54" t="s">
        <v>107</v>
      </c>
    </row>
    <row r="16" spans="1:27" s="31" customFormat="1" ht="15">
      <c r="A16" s="61" t="s">
        <v>108</v>
      </c>
      <c r="B16" s="176">
        <v>682.3</v>
      </c>
      <c r="C16" s="64">
        <v>1037.3</v>
      </c>
      <c r="D16" s="64">
        <v>798.5</v>
      </c>
      <c r="E16" s="64">
        <v>875.1</v>
      </c>
      <c r="F16" s="64">
        <v>922.4</v>
      </c>
      <c r="G16" s="64">
        <v>966.45820000000003</v>
      </c>
      <c r="H16" s="64">
        <v>1327.7892979999999</v>
      </c>
      <c r="I16" s="64">
        <v>946.95926599999996</v>
      </c>
      <c r="J16" s="64">
        <v>356.75031100000001</v>
      </c>
      <c r="K16" s="64">
        <v>288.929912</v>
      </c>
      <c r="L16" s="64">
        <v>1369.90178399</v>
      </c>
      <c r="M16" s="64">
        <v>1723.199959</v>
      </c>
      <c r="N16" s="64">
        <v>2233.1620040500002</v>
      </c>
      <c r="O16" s="221"/>
      <c r="P16" s="221"/>
      <c r="Q16" s="221"/>
      <c r="R16" s="221"/>
      <c r="S16" s="221"/>
      <c r="T16" s="219" t="e">
        <f t="shared" si="7"/>
        <v>#DIV/0!</v>
      </c>
      <c r="U16" s="226" t="e">
        <f t="shared" si="7"/>
        <v>#DIV/0!</v>
      </c>
      <c r="V16" s="138">
        <f t="shared" si="3"/>
        <v>-100</v>
      </c>
      <c r="W16" s="229" t="e">
        <f t="shared" si="3"/>
        <v>#DIV/0!</v>
      </c>
      <c r="X16" s="138"/>
      <c r="Y16" s="54" t="s">
        <v>109</v>
      </c>
    </row>
    <row r="17" spans="1:25" s="31" customFormat="1" ht="15">
      <c r="A17" s="61" t="s">
        <v>110</v>
      </c>
      <c r="B17" s="176">
        <v>231.4</v>
      </c>
      <c r="C17" s="64">
        <v>638.4</v>
      </c>
      <c r="D17" s="64">
        <v>772.2</v>
      </c>
      <c r="E17" s="64">
        <v>1202</v>
      </c>
      <c r="F17" s="64">
        <v>1115.4000000000001</v>
      </c>
      <c r="G17" s="64">
        <v>1165.9169099999999</v>
      </c>
      <c r="H17" s="64">
        <v>463.99557299999998</v>
      </c>
      <c r="I17" s="64">
        <v>577.73113499999999</v>
      </c>
      <c r="J17" s="64">
        <v>1132.764089</v>
      </c>
      <c r="K17" s="64">
        <v>1577.597278</v>
      </c>
      <c r="L17" s="64">
        <v>1958.0622446499999</v>
      </c>
      <c r="M17" s="64">
        <v>2924.2179980000001</v>
      </c>
      <c r="N17" s="64">
        <v>3212.2614754400001</v>
      </c>
      <c r="O17" s="221"/>
      <c r="P17" s="221"/>
      <c r="Q17" s="221"/>
      <c r="R17" s="221"/>
      <c r="S17" s="221"/>
      <c r="T17" s="219" t="e">
        <f t="shared" si="7"/>
        <v>#DIV/0!</v>
      </c>
      <c r="U17" s="226" t="e">
        <f t="shared" si="7"/>
        <v>#DIV/0!</v>
      </c>
      <c r="V17" s="138">
        <f t="shared" si="3"/>
        <v>-100</v>
      </c>
      <c r="W17" s="229" t="e">
        <f t="shared" si="3"/>
        <v>#DIV/0!</v>
      </c>
      <c r="X17" s="138"/>
      <c r="Y17" s="54" t="s">
        <v>111</v>
      </c>
    </row>
    <row r="18" spans="1:25" s="31" customFormat="1" ht="15">
      <c r="A18" s="61" t="s">
        <v>112</v>
      </c>
      <c r="B18" s="176">
        <v>1754.5</v>
      </c>
      <c r="C18" s="64">
        <v>536.70000000000005</v>
      </c>
      <c r="D18" s="64">
        <v>487.4</v>
      </c>
      <c r="E18" s="64">
        <v>461.4</v>
      </c>
      <c r="F18" s="64">
        <v>541.70000000000005</v>
      </c>
      <c r="G18" s="64">
        <v>549.90547900000001</v>
      </c>
      <c r="H18" s="64">
        <v>751.963122</v>
      </c>
      <c r="I18" s="64">
        <v>349.31307900000002</v>
      </c>
      <c r="J18" s="64">
        <v>353.78332899999998</v>
      </c>
      <c r="K18" s="64">
        <v>264.08306599999997</v>
      </c>
      <c r="L18" s="64">
        <v>4.6041600000000003</v>
      </c>
      <c r="M18" s="64">
        <v>3.837771</v>
      </c>
      <c r="N18" s="64">
        <v>0</v>
      </c>
      <c r="O18" s="221"/>
      <c r="P18" s="221"/>
      <c r="Q18" s="221"/>
      <c r="R18" s="221"/>
      <c r="S18" s="221"/>
      <c r="T18" s="219" t="e">
        <f t="shared" si="7"/>
        <v>#DIV/0!</v>
      </c>
      <c r="U18" s="226" t="e">
        <f t="shared" si="7"/>
        <v>#DIV/0!</v>
      </c>
      <c r="V18" s="64" t="e">
        <f t="shared" ref="V18:W18" si="11">+(Q18/$O$8)*100</f>
        <v>#DIV/0!</v>
      </c>
      <c r="W18" s="221" t="e">
        <f t="shared" si="11"/>
        <v>#DIV/0!</v>
      </c>
      <c r="X18" s="138"/>
      <c r="Y18" s="54" t="s">
        <v>113</v>
      </c>
    </row>
    <row r="19" spans="1:25" s="31" customFormat="1" ht="17.25">
      <c r="A19" s="61" t="s">
        <v>173</v>
      </c>
      <c r="B19" s="176"/>
      <c r="C19" s="64"/>
      <c r="D19" s="64"/>
      <c r="E19" s="64"/>
      <c r="F19" s="64"/>
      <c r="G19" s="64"/>
      <c r="H19" s="64"/>
      <c r="I19" s="64"/>
      <c r="J19" s="62">
        <v>0</v>
      </c>
      <c r="K19" s="62">
        <v>0</v>
      </c>
      <c r="L19" s="64">
        <v>271.75309106999975</v>
      </c>
      <c r="M19" s="64">
        <v>327.21380099999999</v>
      </c>
      <c r="N19" s="64">
        <v>637.30867463999994</v>
      </c>
      <c r="O19" s="221"/>
      <c r="P19" s="221"/>
      <c r="Q19" s="221"/>
      <c r="R19" s="221"/>
      <c r="S19" s="221"/>
      <c r="T19" s="219" t="e">
        <f t="shared" si="7"/>
        <v>#DIV/0!</v>
      </c>
      <c r="U19" s="226" t="e">
        <f t="shared" si="7"/>
        <v>#DIV/0!</v>
      </c>
      <c r="V19" s="138">
        <f t="shared" si="3"/>
        <v>-100</v>
      </c>
      <c r="W19" s="229" t="e">
        <f t="shared" si="3"/>
        <v>#DIV/0!</v>
      </c>
      <c r="X19" s="138"/>
      <c r="Y19" s="118" t="s">
        <v>176</v>
      </c>
    </row>
    <row r="20" spans="1:25" s="29" customFormat="1" ht="15">
      <c r="A20" s="57" t="s">
        <v>114</v>
      </c>
      <c r="B20" s="136">
        <f t="shared" ref="B20:I20" si="12">SUM(B21:B25)</f>
        <v>266.3</v>
      </c>
      <c r="C20" s="136">
        <f t="shared" si="12"/>
        <v>293.99999999999994</v>
      </c>
      <c r="D20" s="136">
        <f t="shared" si="12"/>
        <v>309.5</v>
      </c>
      <c r="E20" s="136">
        <f t="shared" si="12"/>
        <v>330.00000000000006</v>
      </c>
      <c r="F20" s="136">
        <f t="shared" si="12"/>
        <v>292.89999999999998</v>
      </c>
      <c r="G20" s="136">
        <f t="shared" si="12"/>
        <v>304.13394399999993</v>
      </c>
      <c r="H20" s="136">
        <f t="shared" si="12"/>
        <v>255.78124300000002</v>
      </c>
      <c r="I20" s="136">
        <f t="shared" si="12"/>
        <v>265.56214700000004</v>
      </c>
      <c r="J20" s="136">
        <f>SUM(J21:J26)</f>
        <v>209.35414899999998</v>
      </c>
      <c r="K20" s="136">
        <f t="shared" ref="K20:Q20" si="13">SUM(K21:K26)</f>
        <v>209.18252100000001</v>
      </c>
      <c r="L20" s="136">
        <f t="shared" si="13"/>
        <v>300.81956875999992</v>
      </c>
      <c r="M20" s="136">
        <f t="shared" si="13"/>
        <v>348.30320599999999</v>
      </c>
      <c r="N20" s="136">
        <f t="shared" si="13"/>
        <v>344.55713775999999</v>
      </c>
      <c r="O20" s="223">
        <f t="shared" si="13"/>
        <v>0</v>
      </c>
      <c r="P20" s="223">
        <f t="shared" si="13"/>
        <v>0</v>
      </c>
      <c r="Q20" s="223">
        <f t="shared" si="13"/>
        <v>0</v>
      </c>
      <c r="R20" s="223">
        <f t="shared" ref="R20:S20" si="14">SUM(R21:R26)</f>
        <v>0</v>
      </c>
      <c r="S20" s="223">
        <f t="shared" si="14"/>
        <v>0</v>
      </c>
      <c r="T20" s="218" t="e">
        <f t="shared" si="7"/>
        <v>#DIV/0!</v>
      </c>
      <c r="U20" s="225" t="e">
        <f t="shared" si="7"/>
        <v>#DIV/0!</v>
      </c>
      <c r="V20" s="137">
        <f t="shared" si="3"/>
        <v>-100</v>
      </c>
      <c r="W20" s="228" t="e">
        <f t="shared" si="3"/>
        <v>#DIV/0!</v>
      </c>
      <c r="X20" s="137"/>
      <c r="Y20" s="60" t="s">
        <v>69</v>
      </c>
    </row>
    <row r="21" spans="1:25" s="31" customFormat="1" ht="15">
      <c r="A21" s="61" t="s">
        <v>115</v>
      </c>
      <c r="B21" s="176">
        <v>25.8</v>
      </c>
      <c r="C21" s="64">
        <v>30.1</v>
      </c>
      <c r="D21" s="64">
        <v>36.9</v>
      </c>
      <c r="E21" s="64">
        <v>61.7</v>
      </c>
      <c r="F21" s="64">
        <v>63.7</v>
      </c>
      <c r="G21" s="64">
        <v>56.472088999999997</v>
      </c>
      <c r="H21" s="64">
        <v>35.399478999999999</v>
      </c>
      <c r="I21" s="64">
        <v>108.925563</v>
      </c>
      <c r="J21" s="64">
        <v>59.694450000000003</v>
      </c>
      <c r="K21" s="64">
        <v>45.578457</v>
      </c>
      <c r="L21" s="64">
        <v>62.856177169999995</v>
      </c>
      <c r="M21" s="64">
        <v>77.722431999999998</v>
      </c>
      <c r="N21" s="64">
        <v>44.379290109999999</v>
      </c>
      <c r="O21" s="221"/>
      <c r="P21" s="221"/>
      <c r="Q21" s="221"/>
      <c r="R21" s="221"/>
      <c r="S21" s="221"/>
      <c r="T21" s="219" t="e">
        <f t="shared" si="7"/>
        <v>#DIV/0!</v>
      </c>
      <c r="U21" s="226" t="e">
        <f t="shared" si="7"/>
        <v>#DIV/0!</v>
      </c>
      <c r="V21" s="138">
        <f t="shared" si="3"/>
        <v>-100</v>
      </c>
      <c r="W21" s="229" t="e">
        <f t="shared" si="3"/>
        <v>#DIV/0!</v>
      </c>
      <c r="X21" s="138"/>
      <c r="Y21" s="141" t="s">
        <v>116</v>
      </c>
    </row>
    <row r="22" spans="1:25" s="31" customFormat="1" ht="15">
      <c r="A22" s="61" t="s">
        <v>117</v>
      </c>
      <c r="B22" s="176">
        <v>97.5</v>
      </c>
      <c r="C22" s="64">
        <v>145</v>
      </c>
      <c r="D22" s="64">
        <v>134</v>
      </c>
      <c r="E22" s="64">
        <v>176.9</v>
      </c>
      <c r="F22" s="64">
        <v>139.5</v>
      </c>
      <c r="G22" s="64">
        <v>154.75196</v>
      </c>
      <c r="H22" s="64">
        <v>95.280591000000001</v>
      </c>
      <c r="I22" s="64">
        <v>81.075993999999994</v>
      </c>
      <c r="J22" s="64">
        <v>78.940620999999993</v>
      </c>
      <c r="K22" s="64">
        <v>67.993539999999996</v>
      </c>
      <c r="L22" s="64">
        <v>35.804027499999997</v>
      </c>
      <c r="M22" s="64">
        <v>155.90539000000001</v>
      </c>
      <c r="N22" s="64">
        <v>71.299115999999998</v>
      </c>
      <c r="O22" s="221"/>
      <c r="P22" s="221"/>
      <c r="Q22" s="221"/>
      <c r="R22" s="221"/>
      <c r="S22" s="221"/>
      <c r="T22" s="219" t="e">
        <f t="shared" si="7"/>
        <v>#DIV/0!</v>
      </c>
      <c r="U22" s="226" t="e">
        <f t="shared" si="7"/>
        <v>#DIV/0!</v>
      </c>
      <c r="V22" s="138">
        <f t="shared" si="3"/>
        <v>-100</v>
      </c>
      <c r="W22" s="229" t="e">
        <f t="shared" si="3"/>
        <v>#DIV/0!</v>
      </c>
      <c r="X22" s="138"/>
      <c r="Y22" s="141" t="s">
        <v>118</v>
      </c>
    </row>
    <row r="23" spans="1:25" s="31" customFormat="1" ht="15">
      <c r="A23" s="61" t="s">
        <v>119</v>
      </c>
      <c r="B23" s="176">
        <v>16.899999999999999</v>
      </c>
      <c r="C23" s="64">
        <v>18.600000000000001</v>
      </c>
      <c r="D23" s="64">
        <v>32.700000000000003</v>
      </c>
      <c r="E23" s="64">
        <v>28.6</v>
      </c>
      <c r="F23" s="64">
        <v>33.5</v>
      </c>
      <c r="G23" s="64">
        <v>33.484577000000002</v>
      </c>
      <c r="H23" s="64">
        <v>29.27197</v>
      </c>
      <c r="I23" s="64">
        <v>17.173514000000001</v>
      </c>
      <c r="J23" s="64">
        <v>20.235569000000002</v>
      </c>
      <c r="K23" s="64">
        <v>27.574041999999999</v>
      </c>
      <c r="L23" s="64">
        <v>26.957459039999989</v>
      </c>
      <c r="M23" s="64">
        <v>32.610194</v>
      </c>
      <c r="N23" s="64">
        <v>31.466308000000001</v>
      </c>
      <c r="O23" s="221"/>
      <c r="P23" s="221"/>
      <c r="Q23" s="221"/>
      <c r="R23" s="221"/>
      <c r="S23" s="221"/>
      <c r="T23" s="219" t="e">
        <f t="shared" si="7"/>
        <v>#DIV/0!</v>
      </c>
      <c r="U23" s="226" t="e">
        <f t="shared" si="7"/>
        <v>#DIV/0!</v>
      </c>
      <c r="V23" s="138">
        <f t="shared" si="3"/>
        <v>-100</v>
      </c>
      <c r="W23" s="229" t="e">
        <f t="shared" si="3"/>
        <v>#DIV/0!</v>
      </c>
      <c r="X23" s="138"/>
      <c r="Y23" s="141" t="s">
        <v>120</v>
      </c>
    </row>
    <row r="24" spans="1:25" s="31" customFormat="1" ht="15">
      <c r="A24" s="63" t="s">
        <v>121</v>
      </c>
      <c r="B24" s="176">
        <v>107.8</v>
      </c>
      <c r="C24" s="64">
        <v>80.099999999999994</v>
      </c>
      <c r="D24" s="64">
        <v>87.7</v>
      </c>
      <c r="E24" s="64">
        <v>48.5</v>
      </c>
      <c r="F24" s="64">
        <v>38.9</v>
      </c>
      <c r="G24" s="64">
        <v>42.022793999999998</v>
      </c>
      <c r="H24" s="64">
        <v>78.335824000000002</v>
      </c>
      <c r="I24" s="64">
        <v>43.838565000000003</v>
      </c>
      <c r="J24" s="64">
        <v>33.652334000000003</v>
      </c>
      <c r="K24" s="64">
        <v>52.352131999999997</v>
      </c>
      <c r="L24" s="64">
        <v>33.053981409999999</v>
      </c>
      <c r="M24" s="64">
        <v>48.876987999999997</v>
      </c>
      <c r="N24" s="64">
        <v>103.028464</v>
      </c>
      <c r="O24" s="221"/>
      <c r="P24" s="221"/>
      <c r="Q24" s="221"/>
      <c r="R24" s="221"/>
      <c r="S24" s="221"/>
      <c r="T24" s="219" t="e">
        <f t="shared" si="7"/>
        <v>#DIV/0!</v>
      </c>
      <c r="U24" s="226" t="e">
        <f t="shared" si="7"/>
        <v>#DIV/0!</v>
      </c>
      <c r="V24" s="138">
        <f t="shared" si="3"/>
        <v>-100</v>
      </c>
      <c r="W24" s="229" t="e">
        <f t="shared" si="3"/>
        <v>#DIV/0!</v>
      </c>
      <c r="X24" s="138"/>
      <c r="Y24" s="141" t="s">
        <v>122</v>
      </c>
    </row>
    <row r="25" spans="1:25" s="31" customFormat="1" ht="15">
      <c r="A25" s="63" t="s">
        <v>123</v>
      </c>
      <c r="B25" s="176">
        <v>18.3</v>
      </c>
      <c r="C25" s="64">
        <v>20.2</v>
      </c>
      <c r="D25" s="64">
        <v>18.2</v>
      </c>
      <c r="E25" s="64">
        <v>14.3</v>
      </c>
      <c r="F25" s="64">
        <v>17.3</v>
      </c>
      <c r="G25" s="64">
        <v>17.402524</v>
      </c>
      <c r="H25" s="64">
        <v>17.493379000000001</v>
      </c>
      <c r="I25" s="64">
        <v>14.548511</v>
      </c>
      <c r="J25" s="64">
        <v>16.831175000000002</v>
      </c>
      <c r="K25" s="64">
        <v>15.68435</v>
      </c>
      <c r="L25" s="64">
        <v>140.28595263999998</v>
      </c>
      <c r="M25" s="64">
        <v>31.397749000000001</v>
      </c>
      <c r="N25" s="64">
        <v>92.426890650000004</v>
      </c>
      <c r="O25" s="221"/>
      <c r="P25" s="221"/>
      <c r="Q25" s="221"/>
      <c r="R25" s="221"/>
      <c r="S25" s="221"/>
      <c r="T25" s="219" t="e">
        <f t="shared" si="7"/>
        <v>#DIV/0!</v>
      </c>
      <c r="U25" s="226" t="e">
        <f t="shared" si="7"/>
        <v>#DIV/0!</v>
      </c>
      <c r="V25" s="138">
        <f t="shared" si="3"/>
        <v>-100</v>
      </c>
      <c r="W25" s="229" t="e">
        <f t="shared" si="3"/>
        <v>#DIV/0!</v>
      </c>
      <c r="X25" s="138"/>
      <c r="Y25" s="142" t="s">
        <v>124</v>
      </c>
    </row>
    <row r="26" spans="1:25" s="31" customFormat="1" ht="15">
      <c r="A26" s="63" t="s">
        <v>174</v>
      </c>
      <c r="B26" s="176"/>
      <c r="C26" s="64"/>
      <c r="D26" s="64"/>
      <c r="E26" s="64"/>
      <c r="F26" s="64"/>
      <c r="G26" s="64"/>
      <c r="H26" s="64"/>
      <c r="I26" s="64"/>
      <c r="J26" s="64">
        <v>0</v>
      </c>
      <c r="K26" s="64">
        <v>0</v>
      </c>
      <c r="L26" s="64">
        <v>1.861971</v>
      </c>
      <c r="M26" s="64">
        <v>1.7904530000000001</v>
      </c>
      <c r="N26" s="64">
        <v>1.9570689999999999</v>
      </c>
      <c r="O26" s="221"/>
      <c r="P26" s="221"/>
      <c r="Q26" s="221"/>
      <c r="R26" s="221"/>
      <c r="S26" s="221"/>
      <c r="T26" s="219" t="e">
        <f t="shared" si="7"/>
        <v>#DIV/0!</v>
      </c>
      <c r="U26" s="226" t="e">
        <f t="shared" si="7"/>
        <v>#DIV/0!</v>
      </c>
      <c r="V26" s="138">
        <f t="shared" si="3"/>
        <v>-100</v>
      </c>
      <c r="W26" s="229" t="e">
        <f t="shared" si="3"/>
        <v>#DIV/0!</v>
      </c>
      <c r="X26" s="138"/>
      <c r="Y26" s="142"/>
    </row>
    <row r="27" spans="1:25" s="29" customFormat="1" ht="15">
      <c r="A27" s="178" t="s">
        <v>125</v>
      </c>
      <c r="B27" s="65">
        <v>234.3</v>
      </c>
      <c r="C27" s="143">
        <v>280</v>
      </c>
      <c r="D27" s="143">
        <v>339.9</v>
      </c>
      <c r="E27" s="143">
        <v>592.79999999999995</v>
      </c>
      <c r="F27" s="143">
        <v>554.5</v>
      </c>
      <c r="G27" s="143">
        <v>434.04570899999999</v>
      </c>
      <c r="H27" s="143">
        <v>617.87877800000001</v>
      </c>
      <c r="I27" s="143">
        <v>662.05533700000001</v>
      </c>
      <c r="J27" s="143">
        <v>725.8</v>
      </c>
      <c r="K27" s="143">
        <v>1107.0812289999999</v>
      </c>
      <c r="L27" s="143">
        <v>956.72619699999996</v>
      </c>
      <c r="M27" s="143">
        <v>978.34736899999996</v>
      </c>
      <c r="N27" s="143">
        <v>1347.6498610000001</v>
      </c>
      <c r="O27" s="222"/>
      <c r="P27" s="222"/>
      <c r="Q27" s="222"/>
      <c r="R27" s="222"/>
      <c r="S27" s="222"/>
      <c r="T27" s="220" t="e">
        <f t="shared" si="7"/>
        <v>#DIV/0!</v>
      </c>
      <c r="U27" s="227" t="e">
        <f t="shared" si="7"/>
        <v>#DIV/0!</v>
      </c>
      <c r="V27" s="144">
        <f t="shared" si="3"/>
        <v>-100</v>
      </c>
      <c r="W27" s="230" t="e">
        <f t="shared" si="3"/>
        <v>#DIV/0!</v>
      </c>
      <c r="X27" s="144"/>
      <c r="Y27" s="145" t="s">
        <v>126</v>
      </c>
    </row>
    <row r="28" spans="1:25" s="31" customFormat="1" ht="15">
      <c r="A28" s="37" t="s">
        <v>37</v>
      </c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9"/>
      <c r="W28" s="99"/>
      <c r="X28" s="99"/>
      <c r="Y28" s="54" t="s">
        <v>38</v>
      </c>
    </row>
    <row r="29" spans="1:25" s="31" customFormat="1" ht="15">
      <c r="A29" s="37" t="s">
        <v>127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9"/>
      <c r="W29" s="99"/>
      <c r="X29" s="99"/>
      <c r="Y29" s="54" t="s">
        <v>128</v>
      </c>
    </row>
    <row r="30" spans="1:25" s="31" customFormat="1">
      <c r="A30" s="37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46"/>
      <c r="W30" s="146"/>
      <c r="X30" s="146"/>
    </row>
    <row r="31" spans="1:25" s="150" customFormat="1" ht="12.75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9"/>
      <c r="W31" s="149"/>
      <c r="X31" s="149"/>
    </row>
    <row r="32" spans="1:25" s="150" customFormat="1" ht="12.75">
      <c r="A32" s="147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9"/>
      <c r="W32" s="149"/>
      <c r="X32" s="149"/>
    </row>
    <row r="33" spans="1:24" s="150" customFormat="1" ht="12.75">
      <c r="A33" s="147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9"/>
      <c r="W33" s="149"/>
      <c r="X33" s="149"/>
    </row>
    <row r="34" spans="1:24" s="150" customFormat="1" ht="12.75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9"/>
      <c r="W34" s="149"/>
      <c r="X34" s="149"/>
    </row>
    <row r="35" spans="1:24" s="150" customFormat="1" ht="12.75">
      <c r="A35" s="147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9"/>
      <c r="W35" s="149"/>
      <c r="X35" s="149"/>
    </row>
    <row r="36" spans="1:24" s="150" customFormat="1" ht="12.75">
      <c r="A36" s="147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9"/>
      <c r="W36" s="149"/>
      <c r="X36" s="149"/>
    </row>
    <row r="37" spans="1:24" s="150" customFormat="1"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2"/>
      <c r="W37" s="152"/>
      <c r="X37" s="152"/>
    </row>
  </sheetData>
  <mergeCells count="9">
    <mergeCell ref="T6:U6"/>
    <mergeCell ref="A1:Y1"/>
    <mergeCell ref="A2:Y2"/>
    <mergeCell ref="A3:Y3"/>
    <mergeCell ref="A4:Y4"/>
    <mergeCell ref="E5:G5"/>
    <mergeCell ref="T5:U5"/>
    <mergeCell ref="V5:W5"/>
    <mergeCell ref="V6:W6"/>
  </mergeCells>
  <pageMargins left="0.17" right="0.16" top="0.75" bottom="0.75" header="0.3" footer="0.3"/>
  <pageSetup paperSize="9" scale="75" orientation="landscape" horizontalDpi="4294967295" verticalDpi="4294967295" r:id="rId1"/>
  <colBreaks count="1" manualBreakCount="1">
    <brk id="25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35"/>
  <sheetViews>
    <sheetView zoomScaleNormal="100" workbookViewId="0">
      <selection activeCell="L27" sqref="L27"/>
    </sheetView>
  </sheetViews>
  <sheetFormatPr defaultColWidth="8.85546875" defaultRowHeight="12.75"/>
  <cols>
    <col min="1" max="1" width="29.140625" style="15" customWidth="1"/>
    <col min="2" max="11" width="8.85546875" style="44" hidden="1" customWidth="1"/>
    <col min="12" max="12" width="8.85546875" style="44"/>
    <col min="13" max="13" width="10.140625" style="44" customWidth="1"/>
    <col min="14" max="14" width="11.5703125" style="44" customWidth="1"/>
    <col min="15" max="19" width="8.85546875" style="44"/>
    <col min="20" max="21" width="10.28515625" style="44" customWidth="1"/>
    <col min="22" max="22" width="1.28515625" style="44" customWidth="1"/>
    <col min="23" max="24" width="12.5703125" style="44" customWidth="1"/>
    <col min="25" max="25" width="3.85546875" style="44" customWidth="1"/>
    <col min="26" max="26" width="42" style="15" customWidth="1"/>
    <col min="27" max="16384" width="8.85546875" style="15"/>
  </cols>
  <sheetData>
    <row r="1" spans="1:26" ht="19.5">
      <c r="A1" s="273" t="s">
        <v>195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</row>
    <row r="2" spans="1:26">
      <c r="A2" s="299" t="s">
        <v>196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</row>
    <row r="3" spans="1:26" ht="14.25">
      <c r="A3" s="300" t="s">
        <v>39</v>
      </c>
      <c r="B3" s="300"/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 spans="1:26" s="16" customFormat="1">
      <c r="A4" s="285" t="s">
        <v>91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  <c r="Z4" s="285"/>
    </row>
    <row r="5" spans="1:26" s="16" customFormat="1" ht="18.75">
      <c r="A5" s="179"/>
      <c r="B5" s="179"/>
      <c r="D5" s="103" t="s">
        <v>2</v>
      </c>
      <c r="E5" s="312" t="s">
        <v>8</v>
      </c>
      <c r="F5" s="312"/>
      <c r="G5" s="312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310" t="s">
        <v>129</v>
      </c>
      <c r="U5" s="311"/>
      <c r="V5" s="105"/>
      <c r="W5" s="313" t="s">
        <v>87</v>
      </c>
      <c r="X5" s="313"/>
      <c r="Y5" s="159"/>
    </row>
    <row r="6" spans="1:26" s="55" customFormat="1" ht="15">
      <c r="A6" s="106" t="s">
        <v>1</v>
      </c>
      <c r="D6" s="71" t="s">
        <v>130</v>
      </c>
      <c r="E6" s="107" t="s">
        <v>5</v>
      </c>
      <c r="F6" s="107" t="s">
        <v>5</v>
      </c>
      <c r="G6" s="107" t="s">
        <v>5</v>
      </c>
      <c r="H6" s="107"/>
      <c r="I6" s="107"/>
      <c r="J6" s="107"/>
      <c r="K6" s="107" t="s">
        <v>4</v>
      </c>
      <c r="L6" s="107" t="s">
        <v>4</v>
      </c>
      <c r="M6" s="107" t="s">
        <v>4</v>
      </c>
      <c r="N6" s="13" t="s">
        <v>4</v>
      </c>
      <c r="O6" s="186" t="s">
        <v>4</v>
      </c>
      <c r="P6" s="186" t="s">
        <v>198</v>
      </c>
      <c r="Q6" s="186" t="s">
        <v>181</v>
      </c>
      <c r="R6" s="186" t="s">
        <v>181</v>
      </c>
      <c r="S6" s="186" t="s">
        <v>181</v>
      </c>
      <c r="T6" s="308" t="s">
        <v>93</v>
      </c>
      <c r="U6" s="309"/>
      <c r="V6" s="156"/>
      <c r="W6" s="307" t="s">
        <v>44</v>
      </c>
      <c r="X6" s="307"/>
      <c r="Y6" s="160"/>
      <c r="Z6" s="173" t="s">
        <v>3</v>
      </c>
    </row>
    <row r="7" spans="1:26" s="111" customFormat="1">
      <c r="A7" s="108"/>
      <c r="B7" s="108">
        <v>2007</v>
      </c>
      <c r="C7" s="108">
        <v>2008</v>
      </c>
      <c r="D7" s="108">
        <v>2009</v>
      </c>
      <c r="E7" s="108">
        <v>2010</v>
      </c>
      <c r="F7" s="108">
        <v>2011</v>
      </c>
      <c r="G7" s="108">
        <v>2012</v>
      </c>
      <c r="H7" s="108">
        <v>2009</v>
      </c>
      <c r="I7" s="108">
        <v>2010</v>
      </c>
      <c r="J7" s="108">
        <v>2011</v>
      </c>
      <c r="K7" s="108">
        <v>2012</v>
      </c>
      <c r="L7" s="108">
        <v>2013</v>
      </c>
      <c r="M7" s="108">
        <v>2014</v>
      </c>
      <c r="N7" s="14">
        <v>2015</v>
      </c>
      <c r="O7" s="187">
        <v>2016</v>
      </c>
      <c r="P7" s="187">
        <v>2017</v>
      </c>
      <c r="Q7" s="187">
        <v>2018</v>
      </c>
      <c r="R7" s="187">
        <v>2019</v>
      </c>
      <c r="S7" s="187">
        <v>2020</v>
      </c>
      <c r="T7" s="232">
        <v>2016</v>
      </c>
      <c r="U7" s="245">
        <v>2017</v>
      </c>
      <c r="V7" s="108"/>
      <c r="W7" s="109" t="s">
        <v>180</v>
      </c>
      <c r="X7" s="251" t="s">
        <v>194</v>
      </c>
      <c r="Y7" s="110"/>
      <c r="Z7" s="110"/>
    </row>
    <row r="8" spans="1:26" s="29" customFormat="1" ht="18" customHeight="1">
      <c r="A8" s="57" t="s">
        <v>131</v>
      </c>
      <c r="B8" s="112">
        <f t="shared" ref="B8:O8" si="0">SUM(B9,B28)</f>
        <v>1640.8000000000002</v>
      </c>
      <c r="C8" s="112">
        <f t="shared" si="0"/>
        <v>2712.7999999999997</v>
      </c>
      <c r="D8" s="112">
        <f t="shared" si="0"/>
        <v>2938.9670029999997</v>
      </c>
      <c r="E8" s="112">
        <f t="shared" si="0"/>
        <v>1791.4</v>
      </c>
      <c r="F8" s="112">
        <f t="shared" si="0"/>
        <v>1261.8</v>
      </c>
      <c r="G8" s="112">
        <f t="shared" si="0"/>
        <v>1398.8000000000002</v>
      </c>
      <c r="H8" s="112">
        <f t="shared" si="0"/>
        <v>2214.6986589999997</v>
      </c>
      <c r="I8" s="112">
        <f t="shared" si="0"/>
        <v>2445.9177938999997</v>
      </c>
      <c r="J8" s="112">
        <f t="shared" si="0"/>
        <v>3188.9832150000002</v>
      </c>
      <c r="K8" s="112">
        <f t="shared" si="0"/>
        <v>2793.5176700000002</v>
      </c>
      <c r="L8" s="162">
        <f t="shared" si="0"/>
        <v>1957.5564169399997</v>
      </c>
      <c r="M8" s="162">
        <f t="shared" si="0"/>
        <v>2462.8850039999998</v>
      </c>
      <c r="N8" s="162">
        <f t="shared" si="0"/>
        <v>4658.3671360299995</v>
      </c>
      <c r="O8" s="242">
        <f t="shared" si="0"/>
        <v>0</v>
      </c>
      <c r="P8" s="242">
        <f t="shared" ref="P8" si="1">SUM(P9,P28)</f>
        <v>0</v>
      </c>
      <c r="Q8" s="242">
        <f t="shared" ref="Q8:R8" si="2">SUM(Q9,Q28)</f>
        <v>0</v>
      </c>
      <c r="R8" s="242">
        <f t="shared" si="2"/>
        <v>0</v>
      </c>
      <c r="S8" s="242">
        <f t="shared" ref="S8" si="3">SUM(S9,S28)</f>
        <v>0</v>
      </c>
      <c r="T8" s="233"/>
      <c r="U8" s="246"/>
      <c r="V8" s="113"/>
      <c r="W8" s="114">
        <f t="shared" ref="W8:X28" si="4">+((O8/N8)-1)*100</f>
        <v>-100</v>
      </c>
      <c r="X8" s="252" t="e">
        <f>+((P8/O8)-1)*100</f>
        <v>#DIV/0!</v>
      </c>
      <c r="Z8" s="60" t="s">
        <v>132</v>
      </c>
    </row>
    <row r="9" spans="1:26" s="29" customFormat="1" ht="18" customHeight="1">
      <c r="A9" s="57" t="s">
        <v>133</v>
      </c>
      <c r="B9" s="112">
        <f t="shared" ref="B9:O9" si="5">SUM(B10,B15,B21)</f>
        <v>1765.3000000000002</v>
      </c>
      <c r="C9" s="112">
        <f t="shared" si="5"/>
        <v>2879.2</v>
      </c>
      <c r="D9" s="112">
        <f t="shared" si="5"/>
        <v>3007.8670029999998</v>
      </c>
      <c r="E9" s="112">
        <f t="shared" si="5"/>
        <v>2038.9</v>
      </c>
      <c r="F9" s="112">
        <f t="shared" si="5"/>
        <v>1537</v>
      </c>
      <c r="G9" s="112">
        <f t="shared" si="5"/>
        <v>1645.0000000000002</v>
      </c>
      <c r="H9" s="112">
        <f t="shared" si="5"/>
        <v>2365.5349919999999</v>
      </c>
      <c r="I9" s="112">
        <f t="shared" si="5"/>
        <v>2627.2177938999998</v>
      </c>
      <c r="J9" s="112">
        <f t="shared" si="5"/>
        <v>3587.9832150000002</v>
      </c>
      <c r="K9" s="112">
        <f t="shared" si="5"/>
        <v>2883.7493060000002</v>
      </c>
      <c r="L9" s="162">
        <f t="shared" si="5"/>
        <v>2093.0414239399997</v>
      </c>
      <c r="M9" s="162">
        <f t="shared" si="5"/>
        <v>2585.0470539999997</v>
      </c>
      <c r="N9" s="162">
        <f t="shared" si="5"/>
        <v>4762.3853820299992</v>
      </c>
      <c r="O9" s="242">
        <f t="shared" si="5"/>
        <v>0</v>
      </c>
      <c r="P9" s="242">
        <f t="shared" ref="P9:Q9" si="6">SUM(P10,P15,P21)</f>
        <v>0</v>
      </c>
      <c r="Q9" s="242">
        <f t="shared" si="6"/>
        <v>0</v>
      </c>
      <c r="R9" s="242">
        <f t="shared" ref="R9:S9" si="7">SUM(R10,R15,R21)</f>
        <v>0</v>
      </c>
      <c r="S9" s="242">
        <f t="shared" si="7"/>
        <v>0</v>
      </c>
      <c r="T9" s="234" t="e">
        <f>+(O9/$O$9)*100</f>
        <v>#DIV/0!</v>
      </c>
      <c r="U9" s="247" t="e">
        <f>+(P9/$O$9)*100</f>
        <v>#DIV/0!</v>
      </c>
      <c r="V9" s="113"/>
      <c r="W9" s="114">
        <f t="shared" si="4"/>
        <v>-100</v>
      </c>
      <c r="X9" s="252" t="e">
        <f t="shared" si="4"/>
        <v>#DIV/0!</v>
      </c>
      <c r="Z9" s="60" t="s">
        <v>134</v>
      </c>
    </row>
    <row r="10" spans="1:26" s="29" customFormat="1" ht="18" customHeight="1">
      <c r="A10" s="57" t="s">
        <v>135</v>
      </c>
      <c r="B10" s="112">
        <f t="shared" ref="B10:O10" si="8">SUM(B11:B14)</f>
        <v>808.9</v>
      </c>
      <c r="C10" s="112">
        <f t="shared" si="8"/>
        <v>498.79999999999995</v>
      </c>
      <c r="D10" s="112">
        <f t="shared" si="8"/>
        <v>867.71007999999995</v>
      </c>
      <c r="E10" s="112">
        <f t="shared" si="8"/>
        <v>495.4</v>
      </c>
      <c r="F10" s="112">
        <f t="shared" si="8"/>
        <v>381.3</v>
      </c>
      <c r="G10" s="112">
        <f t="shared" si="8"/>
        <v>709.7</v>
      </c>
      <c r="H10" s="112">
        <f t="shared" si="8"/>
        <v>696.52141600000004</v>
      </c>
      <c r="I10" s="112">
        <f t="shared" si="8"/>
        <v>635.70163600000001</v>
      </c>
      <c r="J10" s="112">
        <f t="shared" si="8"/>
        <v>1285.636868</v>
      </c>
      <c r="K10" s="112">
        <f t="shared" si="8"/>
        <v>1139.8289990000001</v>
      </c>
      <c r="L10" s="162">
        <f t="shared" si="8"/>
        <v>462.58586595999998</v>
      </c>
      <c r="M10" s="162">
        <f t="shared" si="8"/>
        <v>679.01722999999993</v>
      </c>
      <c r="N10" s="162">
        <f t="shared" si="8"/>
        <v>2079.0821064299998</v>
      </c>
      <c r="O10" s="242">
        <f t="shared" si="8"/>
        <v>0</v>
      </c>
      <c r="P10" s="242">
        <f t="shared" ref="P10:Q10" si="9">SUM(P11:P14)</f>
        <v>0</v>
      </c>
      <c r="Q10" s="242">
        <f t="shared" si="9"/>
        <v>0</v>
      </c>
      <c r="R10" s="242">
        <f t="shared" ref="R10:S10" si="10">SUM(R11:R14)</f>
        <v>0</v>
      </c>
      <c r="S10" s="242">
        <f t="shared" si="10"/>
        <v>0</v>
      </c>
      <c r="T10" s="234" t="e">
        <f t="shared" ref="T10:U31" si="11">+(O10/$O$9)*100</f>
        <v>#DIV/0!</v>
      </c>
      <c r="U10" s="247" t="e">
        <f t="shared" si="11"/>
        <v>#DIV/0!</v>
      </c>
      <c r="V10" s="113"/>
      <c r="W10" s="114">
        <f t="shared" si="4"/>
        <v>-100</v>
      </c>
      <c r="X10" s="252" t="e">
        <f t="shared" si="4"/>
        <v>#DIV/0!</v>
      </c>
      <c r="Z10" s="60" t="s">
        <v>136</v>
      </c>
    </row>
    <row r="11" spans="1:26" s="31" customFormat="1" ht="18" customHeight="1">
      <c r="A11" s="61" t="s">
        <v>137</v>
      </c>
      <c r="B11" s="175">
        <v>465.50000000000006</v>
      </c>
      <c r="C11" s="115">
        <v>300.39999999999998</v>
      </c>
      <c r="D11" s="115">
        <v>659</v>
      </c>
      <c r="E11" s="115">
        <v>197</v>
      </c>
      <c r="F11" s="115">
        <v>230.9</v>
      </c>
      <c r="G11" s="115">
        <v>523.29999999999995</v>
      </c>
      <c r="H11" s="115">
        <v>557.45811400000002</v>
      </c>
      <c r="I11" s="115">
        <v>524.06922099999997</v>
      </c>
      <c r="J11" s="115">
        <v>923.85471400000006</v>
      </c>
      <c r="K11" s="115">
        <v>967.18460399999992</v>
      </c>
      <c r="L11" s="163">
        <v>254.18770169000001</v>
      </c>
      <c r="M11" s="163">
        <v>432.35995500000001</v>
      </c>
      <c r="N11" s="163">
        <v>1056.8424239999999</v>
      </c>
      <c r="O11" s="238"/>
      <c r="P11" s="238"/>
      <c r="Q11" s="238"/>
      <c r="R11" s="238"/>
      <c r="S11" s="238"/>
      <c r="T11" s="235" t="e">
        <f t="shared" si="11"/>
        <v>#DIV/0!</v>
      </c>
      <c r="U11" s="248" t="e">
        <f t="shared" si="11"/>
        <v>#DIV/0!</v>
      </c>
      <c r="V11" s="116"/>
      <c r="W11" s="117">
        <f t="shared" si="4"/>
        <v>-100</v>
      </c>
      <c r="X11" s="253" t="e">
        <f t="shared" si="4"/>
        <v>#DIV/0!</v>
      </c>
      <c r="Z11" s="54" t="s">
        <v>97</v>
      </c>
    </row>
    <row r="12" spans="1:26" s="31" customFormat="1" ht="18" customHeight="1">
      <c r="A12" s="61" t="s">
        <v>138</v>
      </c>
      <c r="B12" s="175">
        <v>71.099999999999994</v>
      </c>
      <c r="C12" s="115">
        <v>37.299999999999997</v>
      </c>
      <c r="D12" s="115">
        <v>41.634203999999997</v>
      </c>
      <c r="E12" s="115">
        <v>33</v>
      </c>
      <c r="F12" s="115">
        <v>26.7</v>
      </c>
      <c r="G12" s="115">
        <v>21.2</v>
      </c>
      <c r="H12" s="115">
        <v>39.637543000000001</v>
      </c>
      <c r="I12" s="115">
        <v>18.016133</v>
      </c>
      <c r="J12" s="115">
        <v>136.47622799999999</v>
      </c>
      <c r="K12" s="115">
        <v>12.031162</v>
      </c>
      <c r="L12" s="163">
        <v>2.399518</v>
      </c>
      <c r="M12" s="163">
        <v>88.919511</v>
      </c>
      <c r="N12" s="163">
        <v>172.01989833000002</v>
      </c>
      <c r="O12" s="238"/>
      <c r="P12" s="238"/>
      <c r="Q12" s="238"/>
      <c r="R12" s="238"/>
      <c r="S12" s="238"/>
      <c r="T12" s="235" t="e">
        <f t="shared" si="11"/>
        <v>#DIV/0!</v>
      </c>
      <c r="U12" s="248" t="e">
        <f t="shared" si="11"/>
        <v>#DIV/0!</v>
      </c>
      <c r="V12" s="116"/>
      <c r="W12" s="117">
        <f t="shared" si="4"/>
        <v>-100</v>
      </c>
      <c r="X12" s="253" t="e">
        <f t="shared" si="4"/>
        <v>#DIV/0!</v>
      </c>
      <c r="Z12" s="54" t="s">
        <v>99</v>
      </c>
    </row>
    <row r="13" spans="1:26" s="29" customFormat="1" ht="18" customHeight="1">
      <c r="A13" s="61" t="s">
        <v>139</v>
      </c>
      <c r="B13" s="115">
        <v>225.4</v>
      </c>
      <c r="C13" s="115">
        <v>149.1</v>
      </c>
      <c r="D13" s="115">
        <v>145.506271</v>
      </c>
      <c r="E13" s="115">
        <v>227.5</v>
      </c>
      <c r="F13" s="115">
        <v>86.3</v>
      </c>
      <c r="G13" s="115">
        <v>118</v>
      </c>
      <c r="H13" s="115">
        <v>73.816480999999996</v>
      </c>
      <c r="I13" s="115">
        <v>59.56033</v>
      </c>
      <c r="J13" s="115">
        <v>67.595481000000007</v>
      </c>
      <c r="K13" s="115">
        <v>55.118071999999998</v>
      </c>
      <c r="L13" s="163">
        <v>66.5179136</v>
      </c>
      <c r="M13" s="163">
        <v>105.52811699999999</v>
      </c>
      <c r="N13" s="163">
        <v>169.18427500000001</v>
      </c>
      <c r="O13" s="238"/>
      <c r="P13" s="238"/>
      <c r="Q13" s="238"/>
      <c r="R13" s="238"/>
      <c r="S13" s="238"/>
      <c r="T13" s="235" t="e">
        <f t="shared" si="11"/>
        <v>#DIV/0!</v>
      </c>
      <c r="U13" s="248" t="e">
        <f t="shared" si="11"/>
        <v>#DIV/0!</v>
      </c>
      <c r="V13" s="116"/>
      <c r="W13" s="117">
        <f t="shared" si="4"/>
        <v>-100</v>
      </c>
      <c r="X13" s="253" t="e">
        <f t="shared" si="4"/>
        <v>#DIV/0!</v>
      </c>
      <c r="Z13" s="54" t="s">
        <v>140</v>
      </c>
    </row>
    <row r="14" spans="1:26" s="31" customFormat="1" ht="18" customHeight="1">
      <c r="A14" s="61" t="s">
        <v>141</v>
      </c>
      <c r="B14" s="175">
        <v>46.9</v>
      </c>
      <c r="C14" s="115">
        <v>12</v>
      </c>
      <c r="D14" s="115">
        <v>21.569604999999999</v>
      </c>
      <c r="E14" s="115">
        <v>37.9</v>
      </c>
      <c r="F14" s="115">
        <v>37.4</v>
      </c>
      <c r="G14" s="115">
        <v>47.2</v>
      </c>
      <c r="H14" s="115">
        <v>25.609278</v>
      </c>
      <c r="I14" s="115">
        <v>34.055951999999998</v>
      </c>
      <c r="J14" s="115">
        <v>157.71044499999999</v>
      </c>
      <c r="K14" s="115">
        <v>105.495161</v>
      </c>
      <c r="L14" s="164">
        <v>139.48073266999998</v>
      </c>
      <c r="M14" s="164">
        <v>52.209646999999997</v>
      </c>
      <c r="N14" s="164">
        <v>681.03550910000001</v>
      </c>
      <c r="O14" s="239"/>
      <c r="P14" s="239"/>
      <c r="Q14" s="239"/>
      <c r="R14" s="239"/>
      <c r="S14" s="239"/>
      <c r="T14" s="235" t="e">
        <f t="shared" si="11"/>
        <v>#DIV/0!</v>
      </c>
      <c r="U14" s="248" t="e">
        <f t="shared" si="11"/>
        <v>#DIV/0!</v>
      </c>
      <c r="V14" s="116"/>
      <c r="W14" s="117">
        <f t="shared" si="4"/>
        <v>-100</v>
      </c>
      <c r="X14" s="253" t="e">
        <f t="shared" si="4"/>
        <v>#DIV/0!</v>
      </c>
      <c r="Z14" s="54" t="s">
        <v>103</v>
      </c>
    </row>
    <row r="15" spans="1:26" s="29" customFormat="1" ht="18" customHeight="1">
      <c r="A15" s="57" t="s">
        <v>142</v>
      </c>
      <c r="B15" s="112">
        <f>SUM(B16:B20)</f>
        <v>626.5</v>
      </c>
      <c r="C15" s="112">
        <f t="shared" ref="C15:P15" si="12">SUM(C16:C20)</f>
        <v>1443.3</v>
      </c>
      <c r="D15" s="112">
        <f t="shared" si="12"/>
        <v>849.36242600000003</v>
      </c>
      <c r="E15" s="112">
        <f t="shared" si="12"/>
        <v>896.5</v>
      </c>
      <c r="F15" s="112">
        <f t="shared" si="12"/>
        <v>834.6</v>
      </c>
      <c r="G15" s="112">
        <f t="shared" si="12"/>
        <v>734.1</v>
      </c>
      <c r="H15" s="112">
        <f t="shared" si="12"/>
        <v>1087.278699</v>
      </c>
      <c r="I15" s="112">
        <f t="shared" si="12"/>
        <v>1816.638207</v>
      </c>
      <c r="J15" s="112">
        <f t="shared" si="12"/>
        <v>1383.244537</v>
      </c>
      <c r="K15" s="112">
        <f t="shared" si="12"/>
        <v>1081.7647489999999</v>
      </c>
      <c r="L15" s="162">
        <f t="shared" si="12"/>
        <v>1108.2257616500001</v>
      </c>
      <c r="M15" s="162">
        <f t="shared" si="12"/>
        <v>1155.5744520000001</v>
      </c>
      <c r="N15" s="162">
        <f t="shared" si="12"/>
        <v>1812.3305333000001</v>
      </c>
      <c r="O15" s="242">
        <f t="shared" si="12"/>
        <v>0</v>
      </c>
      <c r="P15" s="242">
        <f t="shared" si="12"/>
        <v>0</v>
      </c>
      <c r="Q15" s="242">
        <f t="shared" ref="Q15:R15" si="13">SUM(Q16:Q20)</f>
        <v>0</v>
      </c>
      <c r="R15" s="242">
        <f t="shared" si="13"/>
        <v>0</v>
      </c>
      <c r="S15" s="242">
        <f t="shared" ref="S15" si="14">SUM(S16:S20)</f>
        <v>0</v>
      </c>
      <c r="T15" s="234" t="e">
        <f t="shared" si="11"/>
        <v>#DIV/0!</v>
      </c>
      <c r="U15" s="247" t="e">
        <f t="shared" si="11"/>
        <v>#DIV/0!</v>
      </c>
      <c r="V15" s="113"/>
      <c r="W15" s="114">
        <f t="shared" si="4"/>
        <v>-100</v>
      </c>
      <c r="X15" s="252" t="e">
        <f t="shared" si="4"/>
        <v>#DIV/0!</v>
      </c>
      <c r="Z15" s="60" t="s">
        <v>143</v>
      </c>
    </row>
    <row r="16" spans="1:26" s="31" customFormat="1" ht="18" customHeight="1">
      <c r="A16" s="61" t="s">
        <v>144</v>
      </c>
      <c r="B16" s="175">
        <v>164.4</v>
      </c>
      <c r="C16" s="115">
        <v>163.4</v>
      </c>
      <c r="D16" s="115">
        <v>108.19257</v>
      </c>
      <c r="E16" s="115">
        <v>68.400000000000006</v>
      </c>
      <c r="F16" s="115">
        <v>36.6</v>
      </c>
      <c r="G16" s="115">
        <v>29.5</v>
      </c>
      <c r="H16" s="115">
        <v>133.543679</v>
      </c>
      <c r="I16" s="115">
        <v>54.517771000000003</v>
      </c>
      <c r="J16" s="115">
        <v>95.493024000000005</v>
      </c>
      <c r="K16" s="115">
        <v>108.05040099999999</v>
      </c>
      <c r="L16" s="163">
        <v>74.973524780000005</v>
      </c>
      <c r="M16" s="163">
        <v>100.486884</v>
      </c>
      <c r="N16" s="163">
        <v>272.82640853000004</v>
      </c>
      <c r="O16" s="238"/>
      <c r="P16" s="238"/>
      <c r="Q16" s="238"/>
      <c r="R16" s="238"/>
      <c r="S16" s="238"/>
      <c r="T16" s="235" t="e">
        <f t="shared" si="11"/>
        <v>#DIV/0!</v>
      </c>
      <c r="U16" s="248" t="e">
        <f t="shared" si="11"/>
        <v>#DIV/0!</v>
      </c>
      <c r="V16" s="116"/>
      <c r="W16" s="117">
        <f t="shared" si="4"/>
        <v>-100</v>
      </c>
      <c r="X16" s="253" t="e">
        <f t="shared" si="4"/>
        <v>#DIV/0!</v>
      </c>
      <c r="Z16" s="54" t="s">
        <v>107</v>
      </c>
    </row>
    <row r="17" spans="1:26" s="29" customFormat="1" ht="18" customHeight="1">
      <c r="A17" s="61" t="s">
        <v>145</v>
      </c>
      <c r="B17" s="175">
        <v>99.9</v>
      </c>
      <c r="C17" s="115">
        <v>289.10000000000002</v>
      </c>
      <c r="D17" s="115">
        <v>46.711798999999999</v>
      </c>
      <c r="E17" s="115">
        <v>45.4</v>
      </c>
      <c r="F17" s="115">
        <v>27.2</v>
      </c>
      <c r="G17" s="115">
        <v>25.5</v>
      </c>
      <c r="H17" s="115">
        <v>68.366566000000006</v>
      </c>
      <c r="I17" s="115">
        <v>43.913061999999996</v>
      </c>
      <c r="J17" s="115">
        <v>11.563515000000001</v>
      </c>
      <c r="K17" s="115">
        <v>7.7340239999999998</v>
      </c>
      <c r="L17" s="163">
        <v>21.803670879999999</v>
      </c>
      <c r="M17" s="163">
        <v>142.83905899999999</v>
      </c>
      <c r="N17" s="163">
        <v>292.79733672000003</v>
      </c>
      <c r="O17" s="238"/>
      <c r="P17" s="238"/>
      <c r="Q17" s="238"/>
      <c r="R17" s="238"/>
      <c r="S17" s="238"/>
      <c r="T17" s="235" t="e">
        <f t="shared" si="11"/>
        <v>#DIV/0!</v>
      </c>
      <c r="U17" s="248" t="e">
        <f t="shared" si="11"/>
        <v>#DIV/0!</v>
      </c>
      <c r="V17" s="116"/>
      <c r="W17" s="117">
        <f t="shared" si="4"/>
        <v>-100</v>
      </c>
      <c r="X17" s="253" t="e">
        <f t="shared" si="4"/>
        <v>#DIV/0!</v>
      </c>
      <c r="Z17" s="54" t="s">
        <v>146</v>
      </c>
    </row>
    <row r="18" spans="1:26" s="29" customFormat="1" ht="18" customHeight="1">
      <c r="A18" s="61" t="s">
        <v>147</v>
      </c>
      <c r="B18" s="175">
        <v>4.0999999999999996</v>
      </c>
      <c r="C18" s="115">
        <v>2.2000000000000002</v>
      </c>
      <c r="D18" s="115">
        <v>0.68482100000000001</v>
      </c>
      <c r="E18" s="115">
        <v>8.4</v>
      </c>
      <c r="F18" s="115">
        <v>0.7</v>
      </c>
      <c r="G18" s="115">
        <v>1</v>
      </c>
      <c r="H18" s="115">
        <v>0.54541200000000001</v>
      </c>
      <c r="I18" s="115">
        <v>0.43177199999999999</v>
      </c>
      <c r="J18" s="115">
        <v>2.5820259999999999</v>
      </c>
      <c r="K18" s="115">
        <v>0.556778</v>
      </c>
      <c r="L18" s="163">
        <v>1.21422221</v>
      </c>
      <c r="M18" s="163">
        <v>1.0108220000000001</v>
      </c>
      <c r="N18" s="163">
        <v>9.9215180000000007</v>
      </c>
      <c r="O18" s="238"/>
      <c r="P18" s="238"/>
      <c r="Q18" s="238"/>
      <c r="R18" s="238"/>
      <c r="S18" s="238"/>
      <c r="T18" s="235" t="e">
        <f t="shared" si="11"/>
        <v>#DIV/0!</v>
      </c>
      <c r="U18" s="248" t="e">
        <f t="shared" si="11"/>
        <v>#DIV/0!</v>
      </c>
      <c r="V18" s="116"/>
      <c r="W18" s="117">
        <f t="shared" si="4"/>
        <v>-100</v>
      </c>
      <c r="X18" s="253" t="e">
        <f t="shared" si="4"/>
        <v>#DIV/0!</v>
      </c>
      <c r="Z18" s="54" t="s">
        <v>111</v>
      </c>
    </row>
    <row r="19" spans="1:26" s="31" customFormat="1" ht="18" customHeight="1">
      <c r="A19" s="61" t="s">
        <v>148</v>
      </c>
      <c r="B19" s="175">
        <v>358.1</v>
      </c>
      <c r="C19" s="115">
        <v>988.6</v>
      </c>
      <c r="D19" s="115">
        <v>693.773236</v>
      </c>
      <c r="E19" s="115">
        <v>774.3</v>
      </c>
      <c r="F19" s="115">
        <v>770.1</v>
      </c>
      <c r="G19" s="115">
        <v>678.1</v>
      </c>
      <c r="H19" s="115">
        <v>884.82304199999999</v>
      </c>
      <c r="I19" s="115">
        <v>1717.7756019999999</v>
      </c>
      <c r="J19" s="115">
        <v>1273.6059720000001</v>
      </c>
      <c r="K19" s="115">
        <v>965.42354599999999</v>
      </c>
      <c r="L19" s="164">
        <v>975.31386029999999</v>
      </c>
      <c r="M19" s="164">
        <v>768.75352099999998</v>
      </c>
      <c r="N19" s="164">
        <v>0</v>
      </c>
      <c r="O19" s="239"/>
      <c r="P19" s="239"/>
      <c r="Q19" s="239"/>
      <c r="R19" s="239"/>
      <c r="S19" s="239"/>
      <c r="T19" s="236">
        <v>0</v>
      </c>
      <c r="U19" s="249">
        <v>0</v>
      </c>
      <c r="V19" s="116"/>
      <c r="W19" s="185">
        <v>0</v>
      </c>
      <c r="X19" s="254">
        <v>0</v>
      </c>
      <c r="Z19" s="54" t="s">
        <v>149</v>
      </c>
    </row>
    <row r="20" spans="1:26" s="31" customFormat="1" ht="18" customHeight="1">
      <c r="A20" s="61" t="s">
        <v>175</v>
      </c>
      <c r="B20" s="175"/>
      <c r="C20" s="62">
        <v>0</v>
      </c>
      <c r="D20" s="62">
        <v>0</v>
      </c>
      <c r="E20" s="62">
        <v>0</v>
      </c>
      <c r="F20" s="62">
        <v>0</v>
      </c>
      <c r="G20" s="62">
        <v>0</v>
      </c>
      <c r="H20" s="62">
        <v>0</v>
      </c>
      <c r="I20" s="62">
        <v>0</v>
      </c>
      <c r="J20" s="62">
        <v>0</v>
      </c>
      <c r="K20" s="62">
        <v>0</v>
      </c>
      <c r="L20" s="164">
        <v>34.920483480000001</v>
      </c>
      <c r="M20" s="164">
        <v>142.48416599999999</v>
      </c>
      <c r="N20" s="164">
        <v>1236.78527005</v>
      </c>
      <c r="O20" s="239"/>
      <c r="P20" s="239"/>
      <c r="Q20" s="239"/>
      <c r="R20" s="239"/>
      <c r="S20" s="239"/>
      <c r="T20" s="235" t="e">
        <f t="shared" si="11"/>
        <v>#DIV/0!</v>
      </c>
      <c r="U20" s="248" t="e">
        <f t="shared" si="11"/>
        <v>#DIV/0!</v>
      </c>
      <c r="V20" s="116"/>
      <c r="W20" s="117">
        <f t="shared" si="4"/>
        <v>-100</v>
      </c>
      <c r="X20" s="253" t="e">
        <f t="shared" si="4"/>
        <v>#DIV/0!</v>
      </c>
      <c r="Z20" s="118" t="s">
        <v>176</v>
      </c>
    </row>
    <row r="21" spans="1:26" s="29" customFormat="1" ht="18" customHeight="1">
      <c r="A21" s="57" t="s">
        <v>114</v>
      </c>
      <c r="B21" s="58">
        <f t="shared" ref="B21:O21" si="15">SUM(B22:B27)</f>
        <v>329.9</v>
      </c>
      <c r="C21" s="58">
        <f t="shared" si="15"/>
        <v>937.10000000000014</v>
      </c>
      <c r="D21" s="58">
        <f t="shared" si="15"/>
        <v>1290.7944969999999</v>
      </c>
      <c r="E21" s="58">
        <f t="shared" si="15"/>
        <v>647</v>
      </c>
      <c r="F21" s="58">
        <f t="shared" si="15"/>
        <v>321.10000000000002</v>
      </c>
      <c r="G21" s="58">
        <f t="shared" si="15"/>
        <v>201.2</v>
      </c>
      <c r="H21" s="58">
        <f t="shared" si="15"/>
        <v>581.73487699999998</v>
      </c>
      <c r="I21" s="58">
        <f t="shared" si="15"/>
        <v>174.8779509</v>
      </c>
      <c r="J21" s="58">
        <f t="shared" si="15"/>
        <v>919.10181</v>
      </c>
      <c r="K21" s="58">
        <f t="shared" si="15"/>
        <v>662.15555800000004</v>
      </c>
      <c r="L21" s="165">
        <f t="shared" si="15"/>
        <v>522.22979633</v>
      </c>
      <c r="M21" s="165">
        <f t="shared" si="15"/>
        <v>750.4553719999999</v>
      </c>
      <c r="N21" s="165">
        <f t="shared" si="15"/>
        <v>870.97274229999994</v>
      </c>
      <c r="O21" s="243">
        <f t="shared" si="15"/>
        <v>0</v>
      </c>
      <c r="P21" s="243">
        <f t="shared" ref="P21:Q21" si="16">SUM(P22:P27)</f>
        <v>0</v>
      </c>
      <c r="Q21" s="243">
        <f t="shared" si="16"/>
        <v>0</v>
      </c>
      <c r="R21" s="243">
        <f t="shared" ref="R21:S21" si="17">SUM(R22:R27)</f>
        <v>0</v>
      </c>
      <c r="S21" s="243">
        <f t="shared" si="17"/>
        <v>0</v>
      </c>
      <c r="T21" s="234" t="e">
        <f t="shared" si="11"/>
        <v>#DIV/0!</v>
      </c>
      <c r="U21" s="247" t="e">
        <f t="shared" si="11"/>
        <v>#DIV/0!</v>
      </c>
      <c r="V21" s="113"/>
      <c r="W21" s="114">
        <f t="shared" si="4"/>
        <v>-100</v>
      </c>
      <c r="X21" s="252" t="e">
        <f t="shared" si="4"/>
        <v>#DIV/0!</v>
      </c>
      <c r="Z21" s="60" t="s">
        <v>69</v>
      </c>
    </row>
    <row r="22" spans="1:26" s="31" customFormat="1" ht="18" customHeight="1">
      <c r="A22" s="61" t="s">
        <v>150</v>
      </c>
      <c r="B22" s="175">
        <v>154.1</v>
      </c>
      <c r="C22" s="115">
        <v>129.69999999999999</v>
      </c>
      <c r="D22" s="115">
        <v>42.402295000000002</v>
      </c>
      <c r="E22" s="115">
        <v>60.5</v>
      </c>
      <c r="F22" s="115">
        <v>71.900000000000006</v>
      </c>
      <c r="G22" s="115">
        <v>64.2</v>
      </c>
      <c r="H22" s="115">
        <v>23.587022999999999</v>
      </c>
      <c r="I22" s="115">
        <v>37.776733</v>
      </c>
      <c r="J22" s="115">
        <v>33.651007999999997</v>
      </c>
      <c r="K22" s="115">
        <v>24.679010000000002</v>
      </c>
      <c r="L22" s="163">
        <v>7.6444678900000005</v>
      </c>
      <c r="M22" s="163">
        <v>16.246099999999998</v>
      </c>
      <c r="N22" s="163">
        <v>22.831656149999997</v>
      </c>
      <c r="O22" s="238"/>
      <c r="P22" s="238"/>
      <c r="Q22" s="238"/>
      <c r="R22" s="238"/>
      <c r="S22" s="238"/>
      <c r="T22" s="235" t="e">
        <f t="shared" si="11"/>
        <v>#DIV/0!</v>
      </c>
      <c r="U22" s="248" t="e">
        <f t="shared" si="11"/>
        <v>#DIV/0!</v>
      </c>
      <c r="V22" s="116"/>
      <c r="W22" s="117">
        <f t="shared" si="4"/>
        <v>-100</v>
      </c>
      <c r="X22" s="253" t="e">
        <f t="shared" si="4"/>
        <v>#DIV/0!</v>
      </c>
      <c r="Z22" s="54" t="s">
        <v>151</v>
      </c>
    </row>
    <row r="23" spans="1:26" s="31" customFormat="1" ht="18" customHeight="1">
      <c r="A23" s="61" t="s">
        <v>152</v>
      </c>
      <c r="B23" s="175">
        <v>74.7</v>
      </c>
      <c r="C23" s="115">
        <v>692.8</v>
      </c>
      <c r="D23" s="115">
        <v>318.28409399999998</v>
      </c>
      <c r="E23" s="115">
        <v>294.2</v>
      </c>
      <c r="F23" s="115">
        <v>118.6</v>
      </c>
      <c r="G23" s="115">
        <v>66.7</v>
      </c>
      <c r="H23" s="115">
        <v>10.808646</v>
      </c>
      <c r="I23" s="115">
        <v>38.970894999999999</v>
      </c>
      <c r="J23" s="115">
        <v>392.140671</v>
      </c>
      <c r="K23" s="115">
        <v>539.738832</v>
      </c>
      <c r="L23" s="163">
        <v>368.65407792000002</v>
      </c>
      <c r="M23" s="163">
        <v>579.69850299999996</v>
      </c>
      <c r="N23" s="163">
        <v>775.49623926999993</v>
      </c>
      <c r="O23" s="238"/>
      <c r="P23" s="238"/>
      <c r="Q23" s="238"/>
      <c r="R23" s="238"/>
      <c r="S23" s="238"/>
      <c r="T23" s="235" t="e">
        <f t="shared" si="11"/>
        <v>#DIV/0!</v>
      </c>
      <c r="U23" s="248" t="e">
        <f t="shared" si="11"/>
        <v>#DIV/0!</v>
      </c>
      <c r="V23" s="116"/>
      <c r="W23" s="117">
        <f t="shared" si="4"/>
        <v>-100</v>
      </c>
      <c r="X23" s="253" t="e">
        <f t="shared" si="4"/>
        <v>#DIV/0!</v>
      </c>
      <c r="Z23" s="54" t="s">
        <v>153</v>
      </c>
    </row>
    <row r="24" spans="1:26" s="31" customFormat="1" ht="18" customHeight="1">
      <c r="A24" s="61" t="s">
        <v>154</v>
      </c>
      <c r="B24" s="175">
        <v>72</v>
      </c>
      <c r="C24" s="115">
        <v>17.100000000000001</v>
      </c>
      <c r="D24" s="115">
        <v>26.934477000000001</v>
      </c>
      <c r="E24" s="115">
        <v>16.8</v>
      </c>
      <c r="F24" s="115">
        <v>7.5</v>
      </c>
      <c r="G24" s="115">
        <v>14</v>
      </c>
      <c r="H24" s="115">
        <v>32.757654000000002</v>
      </c>
      <c r="I24" s="115">
        <v>26.097563999999998</v>
      </c>
      <c r="J24" s="115">
        <v>39.440274000000002</v>
      </c>
      <c r="K24" s="115">
        <v>39.200918999999999</v>
      </c>
      <c r="L24" s="163">
        <v>5.0254116199999999</v>
      </c>
      <c r="M24" s="163">
        <v>42.439954</v>
      </c>
      <c r="N24" s="163">
        <v>20.908233500000001</v>
      </c>
      <c r="O24" s="238"/>
      <c r="P24" s="238"/>
      <c r="Q24" s="238"/>
      <c r="R24" s="238"/>
      <c r="S24" s="238"/>
      <c r="T24" s="235" t="e">
        <f t="shared" si="11"/>
        <v>#DIV/0!</v>
      </c>
      <c r="U24" s="248" t="e">
        <f t="shared" si="11"/>
        <v>#DIV/0!</v>
      </c>
      <c r="V24" s="116"/>
      <c r="W24" s="117">
        <f t="shared" si="4"/>
        <v>-100</v>
      </c>
      <c r="X24" s="253" t="e">
        <f t="shared" si="4"/>
        <v>#DIV/0!</v>
      </c>
      <c r="Z24" s="54" t="s">
        <v>155</v>
      </c>
    </row>
    <row r="25" spans="1:26" s="29" customFormat="1" ht="18" customHeight="1">
      <c r="A25" s="61" t="s">
        <v>156</v>
      </c>
      <c r="B25" s="175">
        <v>0.4</v>
      </c>
      <c r="C25" s="115">
        <v>13.2</v>
      </c>
      <c r="D25" s="115">
        <v>64.703819999999993</v>
      </c>
      <c r="E25" s="115">
        <v>0.5</v>
      </c>
      <c r="F25" s="115">
        <v>0.3</v>
      </c>
      <c r="G25" s="115">
        <v>0.4</v>
      </c>
      <c r="H25" s="115">
        <v>0.13069</v>
      </c>
      <c r="I25" s="115">
        <v>3.0217360000000002</v>
      </c>
      <c r="J25" s="115">
        <v>9.7469E-2</v>
      </c>
      <c r="K25" s="115">
        <v>0.167854</v>
      </c>
      <c r="L25" s="163">
        <v>7.0538000000000003E-2</v>
      </c>
      <c r="M25" s="163">
        <v>0.765787</v>
      </c>
      <c r="N25" s="163">
        <v>0.68068600000000001</v>
      </c>
      <c r="O25" s="238"/>
      <c r="P25" s="238"/>
      <c r="Q25" s="238"/>
      <c r="R25" s="238"/>
      <c r="S25" s="238"/>
      <c r="T25" s="235" t="e">
        <f t="shared" si="11"/>
        <v>#DIV/0!</v>
      </c>
      <c r="U25" s="248" t="e">
        <f t="shared" si="11"/>
        <v>#DIV/0!</v>
      </c>
      <c r="V25" s="116"/>
      <c r="W25" s="117">
        <f t="shared" si="4"/>
        <v>-100</v>
      </c>
      <c r="X25" s="253" t="e">
        <f t="shared" si="4"/>
        <v>#DIV/0!</v>
      </c>
      <c r="Z25" s="54" t="s">
        <v>157</v>
      </c>
    </row>
    <row r="26" spans="1:26" s="29" customFormat="1" ht="18" customHeight="1">
      <c r="A26" s="61" t="s">
        <v>158</v>
      </c>
      <c r="B26" s="175">
        <v>24.5</v>
      </c>
      <c r="C26" s="115">
        <v>72.099999999999994</v>
      </c>
      <c r="D26" s="115">
        <v>604.09765100000004</v>
      </c>
      <c r="E26" s="115">
        <v>178</v>
      </c>
      <c r="F26" s="115">
        <v>26.2</v>
      </c>
      <c r="G26" s="115">
        <v>0.6</v>
      </c>
      <c r="H26" s="115">
        <v>488.44098200000002</v>
      </c>
      <c r="I26" s="115">
        <v>37.947304900000006</v>
      </c>
      <c r="J26" s="115">
        <v>63.553004999999999</v>
      </c>
      <c r="K26" s="115">
        <v>38.882137</v>
      </c>
      <c r="L26" s="164">
        <v>27.925922</v>
      </c>
      <c r="M26" s="164">
        <v>20.208456999999999</v>
      </c>
      <c r="N26" s="164">
        <v>38.739479549999999</v>
      </c>
      <c r="O26" s="239"/>
      <c r="P26" s="239"/>
      <c r="Q26" s="239"/>
      <c r="R26" s="239"/>
      <c r="S26" s="239"/>
      <c r="T26" s="235" t="e">
        <f t="shared" si="11"/>
        <v>#DIV/0!</v>
      </c>
      <c r="U26" s="248" t="e">
        <f t="shared" si="11"/>
        <v>#DIV/0!</v>
      </c>
      <c r="V26" s="116"/>
      <c r="W26" s="117">
        <f t="shared" si="4"/>
        <v>-100</v>
      </c>
      <c r="X26" s="253" t="e">
        <f t="shared" si="4"/>
        <v>#DIV/0!</v>
      </c>
      <c r="Z26" s="54" t="s">
        <v>159</v>
      </c>
    </row>
    <row r="27" spans="1:26" s="29" customFormat="1" ht="18" customHeight="1">
      <c r="A27" s="61" t="s">
        <v>160</v>
      </c>
      <c r="B27" s="175">
        <v>4.2</v>
      </c>
      <c r="C27" s="115">
        <v>12.2</v>
      </c>
      <c r="D27" s="115">
        <v>234.37216000000001</v>
      </c>
      <c r="E27" s="115">
        <v>97</v>
      </c>
      <c r="F27" s="115">
        <v>96.6</v>
      </c>
      <c r="G27" s="115">
        <v>55.3</v>
      </c>
      <c r="H27" s="115">
        <v>26.009882000000001</v>
      </c>
      <c r="I27" s="115">
        <v>31.063718000000001</v>
      </c>
      <c r="J27" s="115">
        <v>390.21938299999999</v>
      </c>
      <c r="K27" s="115">
        <v>19.486806000000001</v>
      </c>
      <c r="L27" s="164">
        <v>112.90937890000001</v>
      </c>
      <c r="M27" s="164">
        <v>91.096570999999997</v>
      </c>
      <c r="N27" s="164">
        <v>12.31644783</v>
      </c>
      <c r="O27" s="239"/>
      <c r="P27" s="239"/>
      <c r="Q27" s="239"/>
      <c r="R27" s="239"/>
      <c r="S27" s="239"/>
      <c r="T27" s="235" t="e">
        <f t="shared" si="11"/>
        <v>#DIV/0!</v>
      </c>
      <c r="U27" s="248" t="e">
        <f t="shared" si="11"/>
        <v>#DIV/0!</v>
      </c>
      <c r="V27" s="116"/>
      <c r="W27" s="117">
        <f t="shared" si="4"/>
        <v>-100</v>
      </c>
      <c r="X27" s="253" t="e">
        <f t="shared" si="4"/>
        <v>#DIV/0!</v>
      </c>
      <c r="Z27" s="54" t="s">
        <v>161</v>
      </c>
    </row>
    <row r="28" spans="1:26" s="29" customFormat="1" ht="18" customHeight="1">
      <c r="A28" s="57" t="s">
        <v>162</v>
      </c>
      <c r="B28" s="59">
        <v>-124.5</v>
      </c>
      <c r="C28" s="112">
        <v>-166.4</v>
      </c>
      <c r="D28" s="112">
        <v>-68.900000000000006</v>
      </c>
      <c r="E28" s="112">
        <v>-247.5</v>
      </c>
      <c r="F28" s="112">
        <v>-275.2</v>
      </c>
      <c r="G28" s="112">
        <v>-246.2</v>
      </c>
      <c r="H28" s="112">
        <v>-150.836333</v>
      </c>
      <c r="I28" s="112">
        <v>-181.3</v>
      </c>
      <c r="J28" s="112">
        <v>-399</v>
      </c>
      <c r="K28" s="112">
        <v>-90.231635999999995</v>
      </c>
      <c r="L28" s="162">
        <v>-135.485007</v>
      </c>
      <c r="M28" s="162">
        <v>-122.16204999999999</v>
      </c>
      <c r="N28" s="162">
        <v>-104.018246</v>
      </c>
      <c r="O28" s="242"/>
      <c r="P28" s="242"/>
      <c r="Q28" s="242"/>
      <c r="R28" s="242"/>
      <c r="S28" s="242"/>
      <c r="T28" s="234" t="e">
        <f t="shared" si="11"/>
        <v>#DIV/0!</v>
      </c>
      <c r="U28" s="247" t="e">
        <f t="shared" si="11"/>
        <v>#DIV/0!</v>
      </c>
      <c r="V28" s="62"/>
      <c r="W28" s="114">
        <f t="shared" si="4"/>
        <v>-100</v>
      </c>
      <c r="X28" s="252" t="e">
        <f t="shared" si="4"/>
        <v>#DIV/0!</v>
      </c>
      <c r="Z28" s="60" t="s">
        <v>163</v>
      </c>
    </row>
    <row r="29" spans="1:26" s="31" customFormat="1" ht="18" customHeight="1">
      <c r="A29" s="61" t="s">
        <v>164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66"/>
      <c r="M29" s="166"/>
      <c r="N29" s="166"/>
      <c r="O29" s="244"/>
      <c r="P29" s="244"/>
      <c r="Q29" s="244"/>
      <c r="R29" s="244"/>
      <c r="S29" s="244"/>
      <c r="T29" s="235"/>
      <c r="U29" s="248"/>
      <c r="V29" s="64"/>
      <c r="W29" s="117"/>
      <c r="X29" s="253"/>
      <c r="Y29" s="47"/>
      <c r="Z29" s="54" t="s">
        <v>41</v>
      </c>
    </row>
    <row r="30" spans="1:26" s="31" customFormat="1" ht="18" customHeight="1">
      <c r="A30" s="61" t="s">
        <v>165</v>
      </c>
      <c r="B30" s="120">
        <v>1007.8</v>
      </c>
      <c r="C30" s="121">
        <v>1137.6071899999999</v>
      </c>
      <c r="D30" s="121">
        <v>1774.5</v>
      </c>
      <c r="E30" s="121">
        <v>1441</v>
      </c>
      <c r="F30" s="121">
        <v>1100.8999999999999</v>
      </c>
      <c r="G30" s="121">
        <v>737.1</v>
      </c>
      <c r="H30" s="121">
        <v>778.8</v>
      </c>
      <c r="I30" s="121">
        <v>1283</v>
      </c>
      <c r="J30" s="121">
        <v>916.69999999999993</v>
      </c>
      <c r="K30" s="121">
        <v>1145.9000000000001</v>
      </c>
      <c r="L30" s="167">
        <v>1187.19235</v>
      </c>
      <c r="M30" s="167">
        <v>188.39416600000001</v>
      </c>
      <c r="N30" s="167">
        <v>648.39113899999995</v>
      </c>
      <c r="O30" s="240"/>
      <c r="P30" s="240"/>
      <c r="Q30" s="240"/>
      <c r="R30" s="240"/>
      <c r="S30" s="240"/>
      <c r="T30" s="235" t="e">
        <f t="shared" si="11"/>
        <v>#DIV/0!</v>
      </c>
      <c r="U30" s="248" t="e">
        <f t="shared" si="11"/>
        <v>#DIV/0!</v>
      </c>
      <c r="V30" s="62"/>
      <c r="W30" s="117">
        <f>+((O30/N30)-1)*100</f>
        <v>-100</v>
      </c>
      <c r="X30" s="253" t="e">
        <f>+((P30/O30)-1)*100</f>
        <v>#DIV/0!</v>
      </c>
      <c r="Y30" s="47"/>
      <c r="Z30" s="122" t="s">
        <v>166</v>
      </c>
    </row>
    <row r="31" spans="1:26" s="31" customFormat="1" ht="18" customHeight="1">
      <c r="A31" s="49" t="s">
        <v>167</v>
      </c>
      <c r="B31" s="123">
        <v>392.7</v>
      </c>
      <c r="C31" s="123">
        <v>390.3</v>
      </c>
      <c r="D31" s="123">
        <v>-993.3</v>
      </c>
      <c r="E31" s="123">
        <v>-1332</v>
      </c>
      <c r="F31" s="123">
        <v>-1393</v>
      </c>
      <c r="G31" s="123">
        <v>-668.6</v>
      </c>
      <c r="H31" s="123">
        <v>584.5</v>
      </c>
      <c r="I31" s="123">
        <v>877.1</v>
      </c>
      <c r="J31" s="123">
        <v>987.6</v>
      </c>
      <c r="K31" s="123">
        <v>1806.07971</v>
      </c>
      <c r="L31" s="168">
        <v>1632.2075219999999</v>
      </c>
      <c r="M31" s="168">
        <v>1413.2714820000001</v>
      </c>
      <c r="N31" s="168">
        <v>1171.8811539999999</v>
      </c>
      <c r="O31" s="241"/>
      <c r="P31" s="241"/>
      <c r="Q31" s="241"/>
      <c r="R31" s="241"/>
      <c r="S31" s="241"/>
      <c r="T31" s="237" t="e">
        <f t="shared" si="11"/>
        <v>#DIV/0!</v>
      </c>
      <c r="U31" s="250" t="e">
        <f t="shared" si="11"/>
        <v>#DIV/0!</v>
      </c>
      <c r="V31" s="50"/>
      <c r="W31" s="161">
        <f>+((O31/N31)-1)*100</f>
        <v>-100</v>
      </c>
      <c r="X31" s="255" t="e">
        <f>+((P31/O31)-1)*100</f>
        <v>#DIV/0!</v>
      </c>
      <c r="Y31" s="157"/>
      <c r="Z31" s="51" t="s">
        <v>168</v>
      </c>
    </row>
    <row r="32" spans="1:26" s="31" customFormat="1" ht="15">
      <c r="A32" s="37" t="s">
        <v>169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54" t="s">
        <v>170</v>
      </c>
    </row>
    <row r="33" spans="1:26" s="31" customFormat="1" ht="15">
      <c r="A33" s="37" t="s">
        <v>37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54" t="s">
        <v>38</v>
      </c>
    </row>
    <row r="34" spans="1:26" s="31" customFormat="1" ht="12">
      <c r="A34" s="39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</row>
    <row r="35" spans="1:26">
      <c r="T35" s="43"/>
      <c r="U35" s="43"/>
      <c r="V35" s="43"/>
      <c r="W35" s="43"/>
      <c r="X35" s="43"/>
      <c r="Y35" s="43"/>
    </row>
  </sheetData>
  <mergeCells count="9">
    <mergeCell ref="W6:X6"/>
    <mergeCell ref="T6:U6"/>
    <mergeCell ref="T5:U5"/>
    <mergeCell ref="A2:Z2"/>
    <mergeCell ref="A1:Z1"/>
    <mergeCell ref="A3:Z3"/>
    <mergeCell ref="A4:Z4"/>
    <mergeCell ref="E5:G5"/>
    <mergeCell ref="W5:X5"/>
  </mergeCells>
  <pageMargins left="0.17" right="0.16" top="0.75" bottom="0.75" header="0.3" footer="0.3"/>
  <pageSetup paperSize="9" scale="74" orientation="landscape" horizontalDpi="4294967295" verticalDpi="4294967295" r:id="rId1"/>
  <colBreaks count="1" manualBreakCount="1">
    <brk id="26" max="1048575" man="1"/>
  </colBreaks>
  <ignoredErrors>
    <ignoredError sqref="M21:Q2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53"/>
  <sheetViews>
    <sheetView zoomScaleNormal="100" workbookViewId="0">
      <selection activeCell="K36" sqref="K36:O38"/>
    </sheetView>
  </sheetViews>
  <sheetFormatPr defaultColWidth="8.85546875" defaultRowHeight="12"/>
  <cols>
    <col min="1" max="1" width="15.7109375" style="2" customWidth="1"/>
    <col min="2" max="2" width="8" style="2" bestFit="1" customWidth="1"/>
    <col min="3" max="3" width="8" style="3" bestFit="1" customWidth="1"/>
    <col min="4" max="9" width="8" style="2" bestFit="1" customWidth="1"/>
    <col min="10" max="10" width="8.85546875" style="2"/>
    <col min="11" max="14" width="9.7109375" style="2" bestFit="1" customWidth="1"/>
    <col min="15" max="16384" width="8.85546875" style="2"/>
  </cols>
  <sheetData>
    <row r="1" spans="1:21">
      <c r="R1" s="314"/>
      <c r="S1" s="314"/>
      <c r="T1" s="314"/>
      <c r="U1" s="314"/>
    </row>
    <row r="3" spans="1:21">
      <c r="B3" s="315" t="s">
        <v>171</v>
      </c>
      <c r="C3" s="316"/>
      <c r="D3" s="316"/>
      <c r="E3" s="316"/>
      <c r="F3" s="316"/>
      <c r="G3" s="316"/>
      <c r="H3" s="4"/>
      <c r="I3" s="4"/>
      <c r="J3" s="4"/>
      <c r="K3" s="4"/>
      <c r="L3" s="4"/>
    </row>
    <row r="4" spans="1:21">
      <c r="B4" s="169">
        <v>2007</v>
      </c>
      <c r="C4" s="170">
        <v>2008</v>
      </c>
      <c r="D4" s="170">
        <v>2009</v>
      </c>
      <c r="E4" s="170">
        <v>2010</v>
      </c>
      <c r="F4" s="170">
        <v>2011</v>
      </c>
      <c r="G4" s="170">
        <v>2012</v>
      </c>
      <c r="H4" s="172">
        <v>2013</v>
      </c>
      <c r="I4" s="172">
        <v>2014</v>
      </c>
      <c r="J4" s="170">
        <v>2015</v>
      </c>
      <c r="K4" s="256" t="s">
        <v>184</v>
      </c>
      <c r="L4" s="256" t="s">
        <v>185</v>
      </c>
      <c r="M4" s="256" t="s">
        <v>186</v>
      </c>
      <c r="N4" s="256" t="s">
        <v>187</v>
      </c>
      <c r="O4" s="256" t="s">
        <v>197</v>
      </c>
    </row>
    <row r="5" spans="1:21">
      <c r="A5" s="7" t="s">
        <v>47</v>
      </c>
      <c r="B5" s="8">
        <f>'[1]13.7'!B10</f>
        <v>808.9</v>
      </c>
      <c r="C5" s="8">
        <f>'[1]13.7'!C10</f>
        <v>498.79999999999995</v>
      </c>
      <c r="D5" s="8">
        <f>'[1]13.7'!H10</f>
        <v>696.52141600000004</v>
      </c>
      <c r="E5" s="8">
        <f>'[1]13.7'!I10</f>
        <v>635.70163600000001</v>
      </c>
      <c r="F5" s="8">
        <f>'[1]13.7'!J10</f>
        <v>1285.636868</v>
      </c>
      <c r="G5" s="8">
        <f>'[1]13.7'!K10</f>
        <v>1139.8289990000001</v>
      </c>
      <c r="H5" s="8">
        <v>462.58586595999998</v>
      </c>
      <c r="I5" s="8">
        <v>679.01722999999993</v>
      </c>
      <c r="J5" s="8">
        <v>2079.0821064299998</v>
      </c>
      <c r="K5" s="257"/>
      <c r="L5" s="257"/>
      <c r="M5" s="257"/>
      <c r="N5" s="257"/>
      <c r="O5" s="257"/>
    </row>
    <row r="6" spans="1:21">
      <c r="A6" s="7" t="s">
        <v>59</v>
      </c>
      <c r="B6" s="8">
        <f>'[1]13.7'!B15</f>
        <v>626.5</v>
      </c>
      <c r="C6" s="8">
        <f>'[1]13.7'!C15</f>
        <v>1443.3</v>
      </c>
      <c r="D6" s="8">
        <f>'[1]13.7'!H15</f>
        <v>1087.278699</v>
      </c>
      <c r="E6" s="8">
        <f>'[1]13.7'!I15</f>
        <v>1816.638207</v>
      </c>
      <c r="F6" s="8">
        <f>'[1]13.7'!J15</f>
        <v>1383.244537</v>
      </c>
      <c r="G6" s="8">
        <f>'[1]13.7'!K15</f>
        <v>1081.7647489999999</v>
      </c>
      <c r="H6" s="8">
        <v>1108.2257616500001</v>
      </c>
      <c r="I6" s="8">
        <v>1155.5744520000001</v>
      </c>
      <c r="J6" s="8">
        <v>1812.3305333000001</v>
      </c>
      <c r="K6" s="257"/>
      <c r="L6" s="257"/>
      <c r="M6" s="257"/>
      <c r="N6" s="257"/>
      <c r="O6" s="257"/>
    </row>
    <row r="7" spans="1:21">
      <c r="A7" s="7" t="s">
        <v>68</v>
      </c>
      <c r="B7" s="8">
        <f>'[1]13.7'!B20</f>
        <v>329.9</v>
      </c>
      <c r="C7" s="8">
        <f>'[1]13.7'!C20</f>
        <v>937.10000000000014</v>
      </c>
      <c r="D7" s="171">
        <f>'[1]13.7'!H20</f>
        <v>581.73487699999998</v>
      </c>
      <c r="E7" s="171">
        <f>'[1]13.7'!I20</f>
        <v>174.8779509</v>
      </c>
      <c r="F7" s="171">
        <f>'[1]13.7'!J20</f>
        <v>919.10181</v>
      </c>
      <c r="G7" s="171">
        <f>'[1]13.7'!K20</f>
        <v>662.15555800000004</v>
      </c>
      <c r="H7" s="171">
        <v>522.22979633</v>
      </c>
      <c r="I7" s="171">
        <v>750.4553719999999</v>
      </c>
      <c r="J7" s="171">
        <v>870.97274229999994</v>
      </c>
      <c r="K7" s="258"/>
      <c r="L7" s="258"/>
      <c r="M7" s="258"/>
      <c r="N7" s="258"/>
      <c r="O7" s="258"/>
    </row>
    <row r="34" spans="1:15">
      <c r="B34" s="315" t="s">
        <v>42</v>
      </c>
      <c r="C34" s="316"/>
      <c r="D34" s="316"/>
      <c r="E34" s="316"/>
      <c r="F34" s="316"/>
      <c r="G34" s="316"/>
    </row>
    <row r="35" spans="1:15">
      <c r="B35" s="5">
        <v>2007</v>
      </c>
      <c r="C35" s="6">
        <v>2008</v>
      </c>
      <c r="D35" s="6">
        <v>2009</v>
      </c>
      <c r="E35" s="6">
        <v>2010</v>
      </c>
      <c r="F35" s="6">
        <v>2011</v>
      </c>
      <c r="G35" s="6">
        <v>2012</v>
      </c>
      <c r="H35" s="6">
        <v>2013</v>
      </c>
      <c r="I35" s="6">
        <v>2014</v>
      </c>
      <c r="J35" s="170">
        <v>2015</v>
      </c>
      <c r="K35" s="256" t="s">
        <v>184</v>
      </c>
      <c r="L35" s="256" t="s">
        <v>185</v>
      </c>
      <c r="M35" s="256" t="s">
        <v>186</v>
      </c>
      <c r="N35" s="256" t="s">
        <v>187</v>
      </c>
      <c r="O35" s="256" t="s">
        <v>197</v>
      </c>
    </row>
    <row r="36" spans="1:15">
      <c r="A36" s="7" t="s">
        <v>47</v>
      </c>
      <c r="B36" s="8">
        <f>'[1]13.6'!B9</f>
        <v>2241.8999999999996</v>
      </c>
      <c r="C36" s="8">
        <f>'[1]13.6'!C9</f>
        <v>3209.7</v>
      </c>
      <c r="D36" s="8">
        <f>'[1]13.6'!H9</f>
        <v>3519.7833220000007</v>
      </c>
      <c r="E36" s="8">
        <f>'[1]13.6'!I9</f>
        <v>3978.9039029999999</v>
      </c>
      <c r="F36" s="8">
        <f>'[1]13.6'!J9</f>
        <v>4596.1388089999991</v>
      </c>
      <c r="G36" s="8">
        <v>4774.492886</v>
      </c>
      <c r="H36" s="8">
        <v>4784.0412950399996</v>
      </c>
      <c r="I36" s="8">
        <v>5537.7483140000004</v>
      </c>
      <c r="J36" s="8">
        <v>6243.3481799699994</v>
      </c>
      <c r="K36" s="257"/>
      <c r="L36" s="257"/>
      <c r="M36" s="257"/>
      <c r="N36" s="257"/>
      <c r="O36" s="257"/>
    </row>
    <row r="37" spans="1:15">
      <c r="A37" s="7" t="s">
        <v>59</v>
      </c>
      <c r="B37" s="8">
        <f>'[1]13.6'!B14</f>
        <v>3817.6</v>
      </c>
      <c r="C37" s="8">
        <f>'[1]13.6'!C14</f>
        <v>3679.5</v>
      </c>
      <c r="D37" s="8">
        <f>'[1]13.6'!H14</f>
        <v>4345.2921539999998</v>
      </c>
      <c r="E37" s="8">
        <f>'[1]13.6'!I14</f>
        <v>3462.622922</v>
      </c>
      <c r="F37" s="8">
        <f>'[1]13.6'!J14</f>
        <v>3544.46576</v>
      </c>
      <c r="G37" s="8">
        <v>4225.7286190000004</v>
      </c>
      <c r="H37" s="8">
        <v>5531.6275246499999</v>
      </c>
      <c r="I37" s="8">
        <v>7089.9977030000009</v>
      </c>
      <c r="J37" s="8">
        <v>8742.95622215</v>
      </c>
      <c r="K37" s="257"/>
      <c r="L37" s="257"/>
      <c r="M37" s="257"/>
      <c r="N37" s="257"/>
      <c r="O37" s="257"/>
    </row>
    <row r="38" spans="1:15">
      <c r="A38" s="7" t="s">
        <v>68</v>
      </c>
      <c r="B38" s="8">
        <f>'[1]13.6'!B19</f>
        <v>266.3</v>
      </c>
      <c r="C38" s="8">
        <f>'[1]13.6'!C19</f>
        <v>293.99999999999994</v>
      </c>
      <c r="D38" s="8">
        <f>'[1]13.6'!H19</f>
        <v>255.78124300000002</v>
      </c>
      <c r="E38" s="8">
        <f>'[1]13.6'!I19</f>
        <v>265.56214700000004</v>
      </c>
      <c r="F38" s="8">
        <f>'[1]13.6'!J19</f>
        <v>209.35414899999998</v>
      </c>
      <c r="G38" s="8">
        <v>209.18252100000001</v>
      </c>
      <c r="H38" s="8">
        <v>300.81956875999992</v>
      </c>
      <c r="I38" s="8">
        <v>348.30320599999999</v>
      </c>
      <c r="J38" s="8">
        <v>344.55713775999999</v>
      </c>
      <c r="K38" s="257"/>
      <c r="L38" s="257"/>
      <c r="M38" s="257"/>
      <c r="N38" s="257"/>
      <c r="O38" s="257"/>
    </row>
    <row r="41" spans="1:15">
      <c r="M41" s="9"/>
    </row>
    <row r="46" spans="1:15">
      <c r="A46" s="1"/>
    </row>
    <row r="48" spans="1:15">
      <c r="M48" s="9"/>
    </row>
    <row r="53" spans="1:1">
      <c r="A53" s="1"/>
    </row>
  </sheetData>
  <mergeCells count="4">
    <mergeCell ref="R1:S1"/>
    <mergeCell ref="T1:U1"/>
    <mergeCell ref="B3:G3"/>
    <mergeCell ref="B34:G34"/>
  </mergeCells>
  <pageMargins left="0.27" right="0.16" top="0.19" bottom="0.17" header="0.3" footer="0.17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13.2</vt:lpstr>
      <vt:lpstr>13.5</vt:lpstr>
      <vt:lpstr>13.6</vt:lpstr>
      <vt:lpstr>13.7</vt:lpstr>
      <vt:lpstr>Fig 1.5 &amp; 1.6</vt:lpstr>
      <vt:lpstr>'13.2'!Print_Area</vt:lpstr>
      <vt:lpstr>'13.5'!Print_Area</vt:lpstr>
      <vt:lpstr>'13.6'!Print_Area</vt:lpstr>
      <vt:lpstr>'13.7'!Print_Area</vt:lpstr>
      <vt:lpstr>'Fig 1.5 &amp; 1.6'!Print_Area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2018-04-17T05:48:10Z</cp:lastPrinted>
  <dcterms:created xsi:type="dcterms:W3CDTF">2014-03-06T08:38:12Z</dcterms:created>
  <dcterms:modified xsi:type="dcterms:W3CDTF">2018-04-17T05:48:38Z</dcterms:modified>
</cp:coreProperties>
</file>