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02"/>
  </bookViews>
  <sheets>
    <sheet name="18.8" sheetId="8" r:id="rId1"/>
  </sheets>
  <definedNames>
    <definedName name="_xlnm.Print_Area" localSheetId="0">'18.8'!$A$1:$I$26</definedName>
  </definedNames>
  <calcPr calcId="162913"/>
</workbook>
</file>

<file path=xl/calcChain.xml><?xml version="1.0" encoding="utf-8"?>
<calcChain xmlns="http://schemas.openxmlformats.org/spreadsheetml/2006/main">
  <c r="AM42" i="8" l="1"/>
  <c r="AL42" i="8"/>
  <c r="AK42" i="8"/>
  <c r="AI42" i="8"/>
  <c r="AN42" i="8" l="1"/>
  <c r="AN15" i="8" l="1"/>
  <c r="AN14" i="8"/>
  <c r="AN13" i="8"/>
  <c r="AM12" i="8"/>
  <c r="AL12" i="8"/>
  <c r="AK12" i="8"/>
  <c r="AI12" i="8"/>
  <c r="B11" i="8"/>
  <c r="B10" i="8"/>
  <c r="B9" i="8"/>
  <c r="B8" i="8"/>
  <c r="G7" i="8"/>
  <c r="F7" i="8"/>
  <c r="E7" i="8"/>
  <c r="D7" i="8"/>
  <c r="C7" i="8"/>
  <c r="B7" i="8" l="1"/>
  <c r="AN12" i="8"/>
</calcChain>
</file>

<file path=xl/sharedStrings.xml><?xml version="1.0" encoding="utf-8"?>
<sst xmlns="http://schemas.openxmlformats.org/spreadsheetml/2006/main" count="45" uniqueCount="32">
  <si>
    <t>Type of pension</t>
  </si>
  <si>
    <t>ޕެންޝަންގެ ބާވަތް</t>
  </si>
  <si>
    <t>ޖުމްލަ</t>
  </si>
  <si>
    <t>Total</t>
  </si>
  <si>
    <t>Basic Pension</t>
  </si>
  <si>
    <t>އަސާސީ ޕެންޝަން</t>
  </si>
  <si>
    <t>Retirement Pension</t>
  </si>
  <si>
    <t>ރިޓަޔަރމަންޓް ޕެންޝަން</t>
  </si>
  <si>
    <t>Other Pension</t>
  </si>
  <si>
    <t>އެހެނިހެން ޕެންޝަން</t>
  </si>
  <si>
    <t>ސީނިއަރ ސިޓިޒަން އެލަވަންސް</t>
  </si>
  <si>
    <t>Source: Maldives Pension Administration</t>
  </si>
  <si>
    <t>މަޢުލޫމާތު ދެއްވި ފަރާތް: މޯލްޑިވްސް ޕެންޝަން އެޑްމިނިސްޓްރޭޝަން</t>
  </si>
  <si>
    <t>Senior Citizen Allowance</t>
  </si>
  <si>
    <t>Basic pension</t>
  </si>
  <si>
    <t>65-69</t>
  </si>
  <si>
    <t>70-74</t>
  </si>
  <si>
    <t>75 &amp; over</t>
  </si>
  <si>
    <t>&lt; 55</t>
  </si>
  <si>
    <t>55-64</t>
  </si>
  <si>
    <t>75 +</t>
  </si>
  <si>
    <t>All ages</t>
  </si>
  <si>
    <t xml:space="preserve">Total </t>
  </si>
  <si>
    <t>age-group</t>
  </si>
  <si>
    <t>2015 end</t>
  </si>
  <si>
    <t>under 55</t>
  </si>
  <si>
    <t>Other pension</t>
  </si>
  <si>
    <t>Retirement pension</t>
  </si>
  <si>
    <t>-</t>
  </si>
  <si>
    <t>Age groups, 2017 ( as of end year)</t>
  </si>
  <si>
    <t>ތާވަލު 18.8:  އެކި ޕެންޝަން ސްކީމްތަކުން ޕެންޝަން ލިބޭ މީހުންގެ އަދަދު އަދި އުމުރުފުރާ، 2017</t>
  </si>
  <si>
    <t>TABLE 18.8: NUMBER OF BEFEFICIARIES BY AGE GROUP FOR  DIFFERENT  PENSION SCHEMES,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</si>
</sst>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12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2"/>
      <color rgb="FF000000"/>
      <name val="Calibri"/>
      <family val="2"/>
    </font>
    <font>
      <b/>
      <sz val="12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1" fillId="0" borderId="0"/>
    <xf numFmtId="0" fontId="10" fillId="0" borderId="0"/>
  </cellStyleXfs>
  <cellXfs count="49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0" fillId="2" borderId="0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4" fillId="2" borderId="0" xfId="0" applyFont="1" applyFill="1" applyBorder="1" applyAlignment="1"/>
    <xf numFmtId="0" fontId="4" fillId="2" borderId="0" xfId="0" applyFont="1" applyFill="1" applyBorder="1"/>
    <xf numFmtId="0" fontId="0" fillId="2" borderId="3" xfId="0" applyFont="1" applyFill="1" applyBorder="1"/>
    <xf numFmtId="0" fontId="4" fillId="2" borderId="3" xfId="0" applyFont="1" applyFill="1" applyBorder="1" applyAlignment="1"/>
    <xf numFmtId="164" fontId="0" fillId="2" borderId="0" xfId="0" applyNumberFormat="1" applyFont="1" applyFill="1" applyBorder="1"/>
    <xf numFmtId="3" fontId="3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3" fontId="0" fillId="4" borderId="3" xfId="0" applyNumberFormat="1" applyFont="1" applyFill="1" applyBorder="1" applyAlignment="1">
      <alignment horizontal="right" vertical="center"/>
    </xf>
    <xf numFmtId="0" fontId="5" fillId="2" borderId="0" xfId="0" applyFont="1" applyFill="1" applyBorder="1"/>
    <xf numFmtId="0" fontId="6" fillId="2" borderId="0" xfId="0" applyFont="1" applyFill="1" applyBorder="1"/>
    <xf numFmtId="0" fontId="7" fillId="2" borderId="0" xfId="0" applyFont="1" applyFill="1" applyBorder="1" applyAlignment="1"/>
    <xf numFmtId="0" fontId="7" fillId="2" borderId="0" xfId="0" applyFont="1" applyFill="1" applyBorder="1"/>
    <xf numFmtId="0" fontId="0" fillId="2" borderId="0" xfId="0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/>
    </xf>
    <xf numFmtId="3" fontId="0" fillId="4" borderId="3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 vertical="center"/>
    </xf>
    <xf numFmtId="164" fontId="0" fillId="2" borderId="3" xfId="0" applyNumberFormat="1" applyFont="1" applyFill="1" applyBorder="1"/>
    <xf numFmtId="0" fontId="0" fillId="3" borderId="0" xfId="0" applyFont="1" applyFill="1" applyBorder="1" applyAlignment="1"/>
    <xf numFmtId="3" fontId="0" fillId="2" borderId="3" xfId="0" applyNumberFormat="1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0" fillId="2" borderId="3" xfId="0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37" fontId="3" fillId="2" borderId="0" xfId="0" applyNumberFormat="1" applyFont="1" applyFill="1" applyBorder="1" applyAlignment="1">
      <alignment horizontal="right" vertical="center"/>
    </xf>
    <xf numFmtId="37" fontId="0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2" fillId="3" borderId="0" xfId="0" applyFont="1" applyFill="1" applyBorder="1"/>
    <xf numFmtId="0" fontId="8" fillId="2" borderId="0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2" fillId="3" borderId="3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92871132155824"/>
          <c:y val="0.18442576755126069"/>
          <c:w val="0.44231922026382564"/>
          <c:h val="0.75726170304661289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8A77-4EAC-B000-B2C17E0381F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8A77-4EAC-B000-B2C17E0381F9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8A77-4EAC-B000-B2C17E0381F9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8A77-4EAC-B000-B2C17E0381F9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8A77-4EAC-B000-B2C17E0381F9}"/>
              </c:ext>
            </c:extLst>
          </c:dPt>
          <c:dLbls>
            <c:dLbl>
              <c:idx val="0"/>
              <c:layout>
                <c:manualLayout>
                  <c:x val="0"/>
                  <c:y val="-2.53364982897863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A77-4EAC-B000-B2C17E0381F9}"/>
                </c:ext>
              </c:extLst>
            </c:dLbl>
            <c:dLbl>
              <c:idx val="1"/>
              <c:layout>
                <c:manualLayout>
                  <c:x val="3.8647339536121025E-2"/>
                  <c:y val="-0.122460074233944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A77-4EAC-B000-B2C17E0381F9}"/>
                </c:ext>
              </c:extLst>
            </c:dLbl>
            <c:dLbl>
              <c:idx val="3"/>
              <c:layout>
                <c:manualLayout>
                  <c:x val="-6.8201187416684012E-3"/>
                  <c:y val="4.222749714964394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A77-4EAC-B000-B2C17E0381F9}"/>
                </c:ext>
              </c:extLst>
            </c:dLbl>
            <c:dLbl>
              <c:idx val="4"/>
              <c:layout>
                <c:manualLayout>
                  <c:x val="2.2733729138895088E-3"/>
                  <c:y val="2.955924800475075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8A77-4EAC-B000-B2C17E0381F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'18.8'!$C$6:$G$6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'18.8'!$C$7:$G$7</c:f>
              <c:numCache>
                <c:formatCode>#,##0</c:formatCode>
                <c:ptCount val="5"/>
                <c:pt idx="0">
                  <c:v>2139</c:v>
                </c:pt>
                <c:pt idx="1">
                  <c:v>1768</c:v>
                </c:pt>
                <c:pt idx="2">
                  <c:v>10747</c:v>
                </c:pt>
                <c:pt idx="3">
                  <c:v>9500</c:v>
                </c:pt>
                <c:pt idx="4">
                  <c:v>17709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A77-4EAC-B000-B2C17E038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13</xdr:row>
      <xdr:rowOff>95250</xdr:rowOff>
    </xdr:from>
    <xdr:to>
      <xdr:col>7</xdr:col>
      <xdr:colOff>971550</xdr:colOff>
      <xdr:row>24</xdr:row>
      <xdr:rowOff>257175</xdr:rowOff>
    </xdr:to>
    <xdr:graphicFrame macro=""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975122</xdr:colOff>
      <xdr:row>13</xdr:row>
      <xdr:rowOff>157162</xdr:rowOff>
    </xdr:from>
    <xdr:to>
      <xdr:col>7</xdr:col>
      <xdr:colOff>651272</xdr:colOff>
      <xdr:row>15</xdr:row>
      <xdr:rowOff>204787</xdr:rowOff>
    </xdr:to>
    <xdr:sp macro="" textlink="">
      <xdr:nvSpPr>
        <xdr:cNvPr id="15" name="Shape 15"/>
        <xdr:cNvSpPr txBox="1"/>
      </xdr:nvSpPr>
      <xdr:spPr>
        <a:xfrm>
          <a:off x="975122" y="3532584"/>
          <a:ext cx="4938713" cy="428625"/>
        </a:xfrm>
        <a:prstGeom prst="rect">
          <a:avLst/>
        </a:prstGeom>
        <a:noFill/>
        <a:ln>
          <a:noFill/>
        </a:ln>
      </xdr:spPr>
      <xdr:txBody>
        <a:bodyPr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buClr>
              <a:schemeClr val="dk1"/>
            </a:buClr>
            <a:buSzPct val="250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18.10: Number of beneficiaries under different pension schemes by age-groups, end 2017</a:t>
          </a:r>
        </a:p>
        <a:p>
          <a:pPr lvl="0">
            <a:spcBef>
              <a:spcPts val="0"/>
            </a:spcBef>
            <a:buNone/>
          </a:pPr>
          <a:endParaRPr sz="1100"/>
        </a:p>
      </xdr:txBody>
    </xdr:sp>
    <xdr:clientData fLocksWithSheet="0"/>
  </xdr:twoCellAnchor>
  <xdr:twoCellAnchor>
    <xdr:from>
      <xdr:col>0</xdr:col>
      <xdr:colOff>1009650</xdr:colOff>
      <xdr:row>15</xdr:row>
      <xdr:rowOff>104775</xdr:rowOff>
    </xdr:from>
    <xdr:to>
      <xdr:col>7</xdr:col>
      <xdr:colOff>654627</xdr:colOff>
      <xdr:row>15</xdr:row>
      <xdr:rowOff>104775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009650" y="3867150"/>
          <a:ext cx="4893252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47"/>
  <sheetViews>
    <sheetView tabSelected="1" zoomScaleNormal="100" workbookViewId="0">
      <selection activeCell="N39" sqref="N39"/>
    </sheetView>
  </sheetViews>
  <sheetFormatPr defaultColWidth="15.140625" defaultRowHeight="15" customHeight="1" x14ac:dyDescent="0.25"/>
  <cols>
    <col min="1" max="1" width="22.140625" style="2" customWidth="1"/>
    <col min="2" max="7" width="9.42578125" style="2" customWidth="1"/>
    <col min="8" max="8" width="25.5703125" style="2" customWidth="1"/>
    <col min="9" max="9" width="3" style="2" customWidth="1"/>
    <col min="10" max="41" width="8" style="2" customWidth="1"/>
    <col min="42" max="16384" width="15.140625" style="2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1.75" customHeight="1" x14ac:dyDescent="0.55000000000000004">
      <c r="A2" s="45" t="s">
        <v>30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9.5" customHeight="1" x14ac:dyDescent="0.25">
      <c r="A3" s="39" t="s">
        <v>31</v>
      </c>
      <c r="B3" s="38"/>
      <c r="C3" s="38"/>
      <c r="D3" s="38"/>
      <c r="E3" s="38"/>
      <c r="F3" s="38"/>
      <c r="G3" s="38"/>
      <c r="H3" s="3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24" customHeight="1" x14ac:dyDescent="0.25">
      <c r="A5" s="43" t="s">
        <v>0</v>
      </c>
      <c r="B5" s="46" t="s">
        <v>29</v>
      </c>
      <c r="C5" s="40"/>
      <c r="D5" s="40"/>
      <c r="E5" s="40"/>
      <c r="F5" s="40"/>
      <c r="G5" s="40"/>
      <c r="H5" s="41" t="s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21" customHeight="1" x14ac:dyDescent="0.25">
      <c r="A6" s="42"/>
      <c r="B6" s="4" t="s">
        <v>21</v>
      </c>
      <c r="C6" s="27" t="s">
        <v>18</v>
      </c>
      <c r="D6" s="27" t="s">
        <v>19</v>
      </c>
      <c r="E6" s="27" t="s">
        <v>15</v>
      </c>
      <c r="F6" s="27" t="s">
        <v>16</v>
      </c>
      <c r="G6" s="27" t="s">
        <v>20</v>
      </c>
      <c r="H6" s="4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21" customHeight="1" x14ac:dyDescent="0.25">
      <c r="A7" s="35" t="s">
        <v>22</v>
      </c>
      <c r="B7" s="10">
        <f t="shared" ref="B7:B11" si="0">SUM(C7:G7)</f>
        <v>41863</v>
      </c>
      <c r="C7" s="26">
        <f t="shared" ref="C7:G7" si="1">SUM(C8:C11)</f>
        <v>2139</v>
      </c>
      <c r="D7" s="26">
        <f t="shared" si="1"/>
        <v>1768</v>
      </c>
      <c r="E7" s="26">
        <f t="shared" si="1"/>
        <v>10747</v>
      </c>
      <c r="F7" s="26">
        <f t="shared" si="1"/>
        <v>9500</v>
      </c>
      <c r="G7" s="26">
        <f t="shared" si="1"/>
        <v>17709</v>
      </c>
      <c r="H7" s="34" t="s">
        <v>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4" customHeight="1" x14ac:dyDescent="0.55000000000000004">
      <c r="A8" s="3" t="s">
        <v>4</v>
      </c>
      <c r="B8" s="10">
        <f t="shared" si="0"/>
        <v>16533</v>
      </c>
      <c r="C8" s="11">
        <v>0</v>
      </c>
      <c r="D8" s="11">
        <v>0</v>
      </c>
      <c r="E8" s="11">
        <v>4356</v>
      </c>
      <c r="F8" s="11">
        <v>4115</v>
      </c>
      <c r="G8" s="11">
        <v>8062</v>
      </c>
      <c r="H8" s="5" t="s">
        <v>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4" customHeight="1" x14ac:dyDescent="0.55000000000000004">
      <c r="A9" s="3" t="s">
        <v>6</v>
      </c>
      <c r="B9" s="10">
        <f t="shared" si="0"/>
        <v>1105</v>
      </c>
      <c r="C9" s="20">
        <v>0</v>
      </c>
      <c r="D9" s="20">
        <v>5</v>
      </c>
      <c r="E9" s="11">
        <v>839</v>
      </c>
      <c r="F9" s="11">
        <v>261</v>
      </c>
      <c r="G9" s="11">
        <v>0</v>
      </c>
      <c r="H9" s="5" t="s">
        <v>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" customHeight="1" x14ac:dyDescent="0.55000000000000004">
      <c r="A10" s="3" t="s">
        <v>8</v>
      </c>
      <c r="B10" s="10">
        <f t="shared" si="0"/>
        <v>7218</v>
      </c>
      <c r="C10" s="20">
        <v>2139</v>
      </c>
      <c r="D10" s="20">
        <v>1763</v>
      </c>
      <c r="E10" s="20">
        <v>968</v>
      </c>
      <c r="F10" s="20">
        <v>869</v>
      </c>
      <c r="G10" s="20">
        <v>1479</v>
      </c>
      <c r="H10" s="5" t="s">
        <v>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 t="s">
        <v>23</v>
      </c>
      <c r="AJ10" s="1"/>
      <c r="AK10" s="1"/>
      <c r="AL10" s="1"/>
      <c r="AM10" s="1"/>
      <c r="AN10" s="1"/>
      <c r="AO10" s="14"/>
    </row>
    <row r="11" spans="1:41" ht="24" customHeight="1" x14ac:dyDescent="0.55000000000000004">
      <c r="A11" s="28" t="s">
        <v>13</v>
      </c>
      <c r="B11" s="29">
        <f t="shared" si="0"/>
        <v>17007</v>
      </c>
      <c r="C11" s="13">
        <v>0</v>
      </c>
      <c r="D11" s="13">
        <v>0</v>
      </c>
      <c r="E11" s="21">
        <v>4584</v>
      </c>
      <c r="F11" s="21">
        <v>4255</v>
      </c>
      <c r="G11" s="21">
        <v>8168</v>
      </c>
      <c r="H11" s="8" t="s">
        <v>10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30" t="s">
        <v>24</v>
      </c>
      <c r="AI11" s="31" t="s">
        <v>25</v>
      </c>
      <c r="AJ11" s="31" t="s">
        <v>19</v>
      </c>
      <c r="AK11" s="30" t="s">
        <v>15</v>
      </c>
      <c r="AL11" s="30" t="s">
        <v>16</v>
      </c>
      <c r="AM11" s="30" t="s">
        <v>17</v>
      </c>
      <c r="AN11" s="30" t="s">
        <v>3</v>
      </c>
      <c r="AO11" s="1"/>
    </row>
    <row r="12" spans="1:41" ht="18" customHeight="1" x14ac:dyDescent="0.45">
      <c r="A12" s="15" t="s">
        <v>11</v>
      </c>
      <c r="B12" s="14"/>
      <c r="C12" s="14"/>
      <c r="D12" s="14"/>
      <c r="E12" s="14"/>
      <c r="F12" s="14"/>
      <c r="G12" s="14"/>
      <c r="H12" s="16" t="s">
        <v>12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" t="s">
        <v>14</v>
      </c>
      <c r="AI12" s="1">
        <f>0</f>
        <v>0</v>
      </c>
      <c r="AJ12" s="1">
        <v>0</v>
      </c>
      <c r="AK12" s="12" t="e">
        <f>#REF!</f>
        <v>#REF!</v>
      </c>
      <c r="AL12" s="12" t="e">
        <f>#REF!</f>
        <v>#REF!</v>
      </c>
      <c r="AM12" s="12" t="e">
        <f>#REF!</f>
        <v>#REF!</v>
      </c>
      <c r="AN12" s="1" t="e">
        <f t="shared" ref="AN12:AN15" si="2">SUM(AI12:AM12)</f>
        <v>#REF!</v>
      </c>
      <c r="AO12" s="1"/>
    </row>
    <row r="13" spans="1:4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23">
        <v>2441</v>
      </c>
      <c r="AJ13" s="23">
        <v>1593</v>
      </c>
      <c r="AK13" s="23">
        <v>930</v>
      </c>
      <c r="AL13" s="23">
        <v>933</v>
      </c>
      <c r="AM13" s="23">
        <v>1367</v>
      </c>
      <c r="AN13" s="9">
        <f t="shared" si="2"/>
        <v>7264</v>
      </c>
      <c r="AO13" s="1"/>
    </row>
    <row r="14" spans="1:4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27</v>
      </c>
      <c r="AI14" s="1">
        <v>11</v>
      </c>
      <c r="AJ14" s="25">
        <v>7</v>
      </c>
      <c r="AK14" s="25">
        <v>708</v>
      </c>
      <c r="AL14" s="25">
        <v>169</v>
      </c>
      <c r="AM14" s="25" t="s">
        <v>28</v>
      </c>
      <c r="AN14" s="1">
        <f t="shared" si="2"/>
        <v>895</v>
      </c>
      <c r="AO14" s="1"/>
    </row>
    <row r="15" spans="1:4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7" t="s">
        <v>13</v>
      </c>
      <c r="AI15" s="1"/>
      <c r="AJ15" s="1"/>
      <c r="AK15" s="23">
        <v>4147</v>
      </c>
      <c r="AL15" s="23">
        <v>4656</v>
      </c>
      <c r="AM15" s="23">
        <v>7758</v>
      </c>
      <c r="AN15" s="1">
        <f t="shared" si="2"/>
        <v>16561</v>
      </c>
      <c r="AO15" s="1"/>
    </row>
    <row r="16" spans="1:41" ht="21.75" customHeight="1" x14ac:dyDescent="0.55000000000000004">
      <c r="A16" s="45"/>
      <c r="B16" s="38"/>
      <c r="C16" s="38"/>
      <c r="D16" s="38"/>
      <c r="E16" s="38"/>
      <c r="F16" s="38"/>
      <c r="G16" s="38"/>
      <c r="H16" s="3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9.5" customHeight="1" x14ac:dyDescent="0.25">
      <c r="A17" s="39"/>
      <c r="B17" s="38"/>
      <c r="C17" s="38"/>
      <c r="D17" s="38"/>
      <c r="E17" s="38"/>
      <c r="F17" s="38"/>
      <c r="G17" s="38"/>
      <c r="H17" s="3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24" customHeight="1" x14ac:dyDescent="0.25">
      <c r="A19" s="48"/>
      <c r="B19" s="44"/>
      <c r="C19" s="38"/>
      <c r="D19" s="38"/>
      <c r="E19" s="38"/>
      <c r="F19" s="38"/>
      <c r="G19" s="38"/>
      <c r="H19" s="4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21" customHeight="1" x14ac:dyDescent="0.25">
      <c r="A20" s="38"/>
      <c r="B20" s="22"/>
      <c r="C20" s="19"/>
      <c r="D20" s="19"/>
      <c r="E20" s="19"/>
      <c r="F20" s="19"/>
      <c r="G20" s="19"/>
      <c r="H20" s="3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21" customHeight="1" x14ac:dyDescent="0.25">
      <c r="A21" s="35"/>
      <c r="B21" s="32"/>
      <c r="C21" s="32"/>
      <c r="D21" s="32"/>
      <c r="E21" s="32"/>
      <c r="F21" s="32"/>
      <c r="G21" s="32"/>
      <c r="H21" s="3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24" customHeight="1" x14ac:dyDescent="0.55000000000000004">
      <c r="A22" s="3"/>
      <c r="B22" s="32"/>
      <c r="C22" s="18"/>
      <c r="D22" s="18"/>
      <c r="E22" s="33"/>
      <c r="F22" s="33"/>
      <c r="G22" s="33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24" customHeight="1" x14ac:dyDescent="0.55000000000000004">
      <c r="A23" s="3"/>
      <c r="B23" s="32"/>
      <c r="C23" s="18"/>
      <c r="D23" s="18"/>
      <c r="E23" s="33"/>
      <c r="F23" s="33"/>
      <c r="G23" s="18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24" customHeight="1" x14ac:dyDescent="0.55000000000000004">
      <c r="A24" s="3"/>
      <c r="B24" s="32"/>
      <c r="C24" s="33"/>
      <c r="D24" s="33"/>
      <c r="E24" s="33"/>
      <c r="F24" s="33"/>
      <c r="G24" s="33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24" customHeight="1" x14ac:dyDescent="0.55000000000000004">
      <c r="A25" s="3"/>
      <c r="B25" s="32"/>
      <c r="C25" s="18"/>
      <c r="D25" s="18"/>
      <c r="E25" s="33"/>
      <c r="F25" s="33"/>
      <c r="G25" s="33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7.25" customHeight="1" x14ac:dyDescent="0.45">
      <c r="A26" s="15"/>
      <c r="B26" s="14"/>
      <c r="C26" s="14"/>
      <c r="D26" s="14"/>
      <c r="E26" s="14"/>
      <c r="F26" s="14"/>
      <c r="G26" s="14"/>
      <c r="H26" s="17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</row>
    <row r="31" spans="1:4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21.75" customHeight="1" x14ac:dyDescent="0.55000000000000004">
      <c r="A32" s="45"/>
      <c r="B32" s="38"/>
      <c r="C32" s="38"/>
      <c r="D32" s="38"/>
      <c r="E32" s="38"/>
      <c r="F32" s="38"/>
      <c r="G32" s="38"/>
      <c r="H32" s="3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9.5" customHeight="1" x14ac:dyDescent="0.25">
      <c r="A33" s="39"/>
      <c r="B33" s="38"/>
      <c r="C33" s="38"/>
      <c r="D33" s="38"/>
      <c r="E33" s="38"/>
      <c r="F33" s="38"/>
      <c r="G33" s="38"/>
      <c r="H33" s="3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24" customHeight="1" x14ac:dyDescent="0.25">
      <c r="A35" s="48"/>
      <c r="B35" s="44"/>
      <c r="C35" s="38"/>
      <c r="D35" s="38"/>
      <c r="E35" s="38"/>
      <c r="F35" s="38"/>
      <c r="G35" s="38"/>
      <c r="H35" s="4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21" customHeight="1" x14ac:dyDescent="0.25">
      <c r="A36" s="38"/>
      <c r="B36" s="22"/>
      <c r="C36" s="19"/>
      <c r="D36" s="19"/>
      <c r="E36" s="19"/>
      <c r="F36" s="19"/>
      <c r="G36" s="19"/>
      <c r="H36" s="3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21" customHeight="1" x14ac:dyDescent="0.25">
      <c r="A37" s="37"/>
      <c r="B37" s="10"/>
      <c r="C37" s="10"/>
      <c r="D37" s="10"/>
      <c r="E37" s="10"/>
      <c r="F37" s="10"/>
      <c r="G37" s="10"/>
      <c r="H37" s="3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24" customHeight="1" x14ac:dyDescent="0.55000000000000004">
      <c r="A38" s="3"/>
      <c r="B38" s="10"/>
      <c r="C38" s="11"/>
      <c r="D38" s="11"/>
      <c r="E38" s="11"/>
      <c r="F38" s="11"/>
      <c r="G38" s="11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24" customHeight="1" x14ac:dyDescent="0.55000000000000004">
      <c r="A39" s="3"/>
      <c r="B39" s="10"/>
      <c r="C39" s="20"/>
      <c r="D39" s="20"/>
      <c r="E39" s="11"/>
      <c r="F39" s="11"/>
      <c r="G39" s="11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24" customHeight="1" x14ac:dyDescent="0.55000000000000004">
      <c r="A40" s="3"/>
      <c r="B40" s="10"/>
      <c r="C40" s="20"/>
      <c r="D40" s="20"/>
      <c r="E40" s="20"/>
      <c r="F40" s="20"/>
      <c r="G40" s="20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 t="s">
        <v>23</v>
      </c>
      <c r="AJ40" s="1"/>
      <c r="AK40" s="1"/>
      <c r="AL40" s="1"/>
      <c r="AM40" s="1"/>
      <c r="AN40" s="1"/>
      <c r="AO40" s="14"/>
    </row>
    <row r="41" spans="1:41" ht="24" customHeight="1" x14ac:dyDescent="0.55000000000000004">
      <c r="A41" s="3"/>
      <c r="B41" s="10"/>
      <c r="C41" s="11"/>
      <c r="D41" s="11"/>
      <c r="E41" s="20"/>
      <c r="F41" s="20"/>
      <c r="G41" s="20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30" t="s">
        <v>24</v>
      </c>
      <c r="AI41" s="31" t="s">
        <v>25</v>
      </c>
      <c r="AJ41" s="31" t="s">
        <v>19</v>
      </c>
      <c r="AK41" s="30" t="s">
        <v>15</v>
      </c>
      <c r="AL41" s="30" t="s">
        <v>16</v>
      </c>
      <c r="AM41" s="30" t="s">
        <v>17</v>
      </c>
      <c r="AN41" s="30" t="s">
        <v>3</v>
      </c>
      <c r="AO41" s="1"/>
    </row>
    <row r="42" spans="1:41" ht="18" customHeight="1" x14ac:dyDescent="0.45">
      <c r="A42" s="15"/>
      <c r="B42" s="14"/>
      <c r="C42" s="14"/>
      <c r="D42" s="14"/>
      <c r="E42" s="14"/>
      <c r="F42" s="14"/>
      <c r="G42" s="14"/>
      <c r="H42" s="16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" t="s">
        <v>14</v>
      </c>
      <c r="AI42" s="1">
        <f>0</f>
        <v>0</v>
      </c>
      <c r="AJ42" s="1">
        <v>0</v>
      </c>
      <c r="AK42" s="12" t="e">
        <f>#REF!</f>
        <v>#REF!</v>
      </c>
      <c r="AL42" s="12" t="e">
        <f>#REF!</f>
        <v>#REF!</v>
      </c>
      <c r="AM42" s="12" t="e">
        <f>#REF!</f>
        <v>#REF!</v>
      </c>
      <c r="AN42" s="1" t="e">
        <f t="shared" ref="AN42" si="3">SUM(AI42:AM42)</f>
        <v>#REF!</v>
      </c>
      <c r="AO42" s="1"/>
    </row>
    <row r="43" spans="1:41" ht="15" customHeight="1" x14ac:dyDescent="0.25">
      <c r="A43" s="24"/>
      <c r="B43" s="24"/>
      <c r="C43" s="24"/>
      <c r="D43" s="24"/>
      <c r="E43" s="24"/>
      <c r="F43" s="24"/>
      <c r="G43" s="24"/>
      <c r="H43" s="24"/>
    </row>
    <row r="44" spans="1:41" ht="15" customHeight="1" x14ac:dyDescent="0.25">
      <c r="A44" s="24"/>
      <c r="B44" s="24"/>
      <c r="C44" s="24"/>
      <c r="D44" s="24"/>
      <c r="E44" s="24"/>
      <c r="F44" s="24"/>
      <c r="G44" s="24"/>
      <c r="H44" s="24"/>
    </row>
    <row r="45" spans="1:41" ht="15" customHeight="1" x14ac:dyDescent="0.25">
      <c r="A45" s="24"/>
      <c r="B45" s="24"/>
      <c r="C45" s="24"/>
      <c r="D45" s="24"/>
      <c r="E45" s="24"/>
      <c r="F45" s="24"/>
      <c r="G45" s="24"/>
      <c r="H45" s="24"/>
    </row>
    <row r="46" spans="1:41" ht="15" customHeight="1" x14ac:dyDescent="0.25">
      <c r="A46" s="24"/>
      <c r="B46" s="24"/>
      <c r="C46" s="24"/>
      <c r="D46" s="24"/>
      <c r="E46" s="24"/>
      <c r="F46" s="24"/>
      <c r="G46" s="24"/>
      <c r="H46" s="24"/>
    </row>
    <row r="47" spans="1:41" ht="15" customHeight="1" x14ac:dyDescent="0.25">
      <c r="A47" s="24"/>
      <c r="B47" s="24"/>
      <c r="C47" s="24"/>
      <c r="D47" s="24"/>
      <c r="E47" s="24"/>
      <c r="F47" s="24"/>
      <c r="G47" s="24"/>
      <c r="H47" s="24"/>
    </row>
  </sheetData>
  <mergeCells count="15">
    <mergeCell ref="B19:G19"/>
    <mergeCell ref="A17:H17"/>
    <mergeCell ref="A2:H2"/>
    <mergeCell ref="A3:H3"/>
    <mergeCell ref="A5:A6"/>
    <mergeCell ref="B5:G5"/>
    <mergeCell ref="H5:H6"/>
    <mergeCell ref="A16:H16"/>
    <mergeCell ref="H19:H20"/>
    <mergeCell ref="A19:A20"/>
    <mergeCell ref="A32:H32"/>
    <mergeCell ref="A33:H33"/>
    <mergeCell ref="A35:A36"/>
    <mergeCell ref="B35:G35"/>
    <mergeCell ref="H35:H36"/>
  </mergeCells>
  <pageMargins left="0.7" right="0.7" top="0.75" bottom="0.75" header="0.3" footer="0.3"/>
  <pageSetup paperSize="9" scale="94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18.8</vt:lpstr>
      <vt:lpstr>'18.8'!Print_Area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2018-05-14T05:38:41Z</cp:lastPrinted>
  <dcterms:modified xsi:type="dcterms:W3CDTF">2018-05-14T05:39:45Z</dcterms:modified>
</cp:coreProperties>
</file>