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20" sheetId="20" r:id="rId1"/>
  </sheets>
  <definedNames>
    <definedName name="_xlnm.Print_Area" localSheetId="0">'18.20'!$A$1:$I$49</definedName>
  </definedNames>
  <calcPr calcId="162913"/>
</workbook>
</file>

<file path=xl/calcChain.xml><?xml version="1.0" encoding="utf-8"?>
<calcChain xmlns="http://schemas.openxmlformats.org/spreadsheetml/2006/main">
  <c r="B29" i="20" l="1"/>
  <c r="B8" i="20"/>
  <c r="B28" i="20" l="1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7" i="20"/>
  <c r="H6" i="20"/>
  <c r="G6" i="20"/>
  <c r="F6" i="20"/>
  <c r="E6" i="20"/>
  <c r="D6" i="20"/>
  <c r="C6" i="20"/>
  <c r="B6" i="20" l="1"/>
</calcChain>
</file>

<file path=xl/sharedStrings.xml><?xml version="1.0" encoding="utf-8"?>
<sst xmlns="http://schemas.openxmlformats.org/spreadsheetml/2006/main" count="74" uniqueCount="70">
  <si>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</si>
  <si>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</si>
  <si>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</si>
  <si>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</si>
  <si>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</si>
  <si>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</si>
  <si>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</si>
  <si>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</si>
  <si>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</si>
  <si>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</si>
  <si>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</si>
  <si>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</si>
  <si>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</si>
  <si>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</si>
  <si>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</si>
  <si>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</si>
  <si>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</si>
  <si>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</si>
  <si>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</si>
  <si>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</si>
  <si>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</si>
  <si>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</si>
  <si>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</si>
  <si>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</si>
  <si>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</si>
  <si>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</si>
  <si>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</si>
  <si>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N</t>
  </si>
  <si>
    <t>L</t>
  </si>
  <si>
    <t>S</t>
  </si>
  <si>
    <t>Total Expenditure (MVR)</t>
  </si>
  <si>
    <t>Hospitals</t>
  </si>
  <si>
    <t>Opticals</t>
  </si>
  <si>
    <t>Clinics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</si>
  <si>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</si>
  <si>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</si>
  <si>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</si>
  <si>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</si>
  <si>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</si>
  <si>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</si>
  <si>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</si>
  <si>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</si>
  <si>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</si>
  <si>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ތާވަލް 18.20: އިޖްތިމާއީ ރައްކާތެރިކަމުގެ ދަށުން އަތޮޅުތަކުން ދެވޭ ޙިދުމަތްތައް ފޯރުކޮށްދޭ ތަންތަނަށް ކުރެވިފައިވާ ޚަރަދު، 2017</t>
  </si>
  <si>
    <t>Table 18.20 :  EXPENDITURE ON AASANDHA SERVICES BY TYPE OF INSTITUTION AND ATOLL ,  2017</t>
  </si>
  <si>
    <r>
      <t>Airfare Tickets</t>
    </r>
    <r>
      <rPr>
        <b/>
        <vertAlign val="superscript"/>
        <sz val="11"/>
        <color theme="1"/>
        <rFont val="Calibri"/>
        <family val="2"/>
        <scheme val="minor"/>
      </rPr>
      <t>1_</t>
    </r>
    <r>
      <rPr>
        <b/>
        <sz val="11"/>
        <color theme="1"/>
        <rFont val="Calibri"/>
        <family val="2"/>
        <scheme val="minor"/>
      </rPr>
      <t>/</t>
    </r>
  </si>
  <si>
    <t>Emergency Evacuation - Sea2_/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</si>
  <si>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</si>
  <si>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</si>
  <si>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</si>
  <si>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</si>
  <si>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</si>
  <si>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</si>
  <si>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</si>
  <si>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</si>
  <si>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</si>
  <si>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</si>
  <si>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</si>
  <si>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</si>
  <si>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</si>
  <si>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</si>
  <si>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</si>
  <si>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</si>
  <si>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</si>
  <si>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</si>
  <si>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</si>
  <si>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</si>
  <si>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</si>
  <si>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</si>
  <si>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r>
      <t>Airfare Tickets</t>
    </r>
    <r>
      <rPr>
        <b/>
        <vertAlign val="superscript"/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</si>
</sst>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8" formatCode="General_)"/>
    <numFmt numFmtId="169" formatCode="_-* #,##0.00_-;\-* #,##0.00_-;_-* &quot;-&quot;??_-;_-@_-"/>
    <numFmt numFmtId="170" formatCode="_-* #,##0_-;\-* #,##0_-;_-* &quot;-&quot;??_-;_-@_-"/>
  </numFmts>
  <fonts count="31" x14ac:knownFonts="1">
    <font>
      <sz val="11"/>
      <color rgb="FF000000"/>
      <name val="Calibri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9"/>
      <color theme="1"/>
      <name val="Faruma"/>
    </font>
    <font>
      <b/>
      <sz val="8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10"/>
      <name val="A_Randhoo"/>
    </font>
    <font>
      <b/>
      <vertAlign val="superscript"/>
      <sz val="11"/>
      <color theme="1"/>
      <name val="Calibri"/>
      <family val="2"/>
      <scheme val="minor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 tint="0.14999847407452621"/>
      <name val="Faruma"/>
    </font>
    <font>
      <i/>
      <vertAlign val="superscript"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/>
    <xf numFmtId="164" fontId="2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</cellStyleXfs>
  <cellXfs count="76">
    <xf numFmtId="0" fontId="0" fillId="0" borderId="0" xfId="0" applyFont="1" applyAlignment="1"/>
    <xf numFmtId="168" fontId="10" fillId="2" borderId="1" xfId="1" applyNumberFormat="1" applyFont="1" applyFill="1" applyBorder="1" applyAlignment="1">
      <alignment horizontal="right" vertical="center" wrapText="1"/>
    </xf>
    <xf numFmtId="0" fontId="0" fillId="2" borderId="0" xfId="0" applyFill="1"/>
    <xf numFmtId="0" fontId="0" fillId="2" borderId="0" xfId="0" applyFill="1" applyBorder="1"/>
    <xf numFmtId="168" fontId="10" fillId="2" borderId="0" xfId="1" applyNumberFormat="1" applyFont="1" applyFill="1" applyBorder="1" applyAlignment="1">
      <alignment horizontal="right" vertical="center" wrapText="1"/>
    </xf>
    <xf numFmtId="0" fontId="11" fillId="2" borderId="0" xfId="0" applyFont="1" applyFill="1"/>
    <xf numFmtId="169" fontId="4" fillId="2" borderId="3" xfId="3" applyNumberFormat="1" applyFont="1" applyFill="1" applyBorder="1" applyAlignment="1">
      <alignment horizontal="right" vertical="center" wrapText="1"/>
    </xf>
    <xf numFmtId="168" fontId="16" fillId="2" borderId="3" xfId="1" applyNumberFormat="1" applyFont="1" applyFill="1" applyBorder="1" applyAlignment="1">
      <alignment horizontal="right" vertical="center" wrapText="1"/>
    </xf>
    <xf numFmtId="169" fontId="4" fillId="2" borderId="3" xfId="3" applyNumberFormat="1" applyFont="1" applyFill="1" applyBorder="1" applyAlignment="1">
      <alignment horizontal="right" vertical="center"/>
    </xf>
    <xf numFmtId="169" fontId="12" fillId="2" borderId="3" xfId="3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8" fontId="22" fillId="2" borderId="1" xfId="1" applyNumberFormat="1" applyFont="1" applyFill="1" applyBorder="1" applyAlignment="1">
      <alignment horizontal="right" vertical="center" wrapText="1"/>
    </xf>
    <xf numFmtId="170" fontId="19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69" fontId="4" fillId="2" borderId="0" xfId="3" applyNumberFormat="1" applyFont="1" applyFill="1" applyBorder="1" applyAlignment="1">
      <alignment horizontal="right" vertical="center" wrapText="1"/>
    </xf>
    <xf numFmtId="168" fontId="16" fillId="2" borderId="0" xfId="1" applyNumberFormat="1" applyFont="1" applyFill="1" applyBorder="1" applyAlignment="1">
      <alignment horizontal="right" vertical="center" wrapText="1"/>
    </xf>
    <xf numFmtId="169" fontId="4" fillId="2" borderId="0" xfId="3" applyNumberFormat="1" applyFont="1" applyFill="1" applyBorder="1" applyAlignment="1">
      <alignment horizontal="right" vertical="center"/>
    </xf>
    <xf numFmtId="169" fontId="12" fillId="2" borderId="0" xfId="3" applyNumberFormat="1" applyFont="1" applyFill="1" applyBorder="1" applyAlignment="1">
      <alignment horizontal="right" vertical="center" wrapText="1"/>
    </xf>
    <xf numFmtId="168" fontId="22" fillId="2" borderId="0" xfId="1" applyNumberFormat="1" applyFont="1" applyFill="1" applyBorder="1" applyAlignment="1">
      <alignment horizontal="right" vertical="center" wrapText="1"/>
    </xf>
    <xf numFmtId="170" fontId="19" fillId="2" borderId="0" xfId="0" applyNumberFormat="1" applyFont="1" applyFill="1" applyBorder="1" applyAlignment="1">
      <alignment horizontal="left" vertical="center"/>
    </xf>
    <xf numFmtId="164" fontId="18" fillId="2" borderId="0" xfId="3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164" fontId="18" fillId="2" borderId="1" xfId="3" applyNumberFormat="1" applyFont="1" applyFill="1" applyBorder="1" applyAlignment="1">
      <alignment horizontal="right" vertical="center"/>
    </xf>
    <xf numFmtId="3" fontId="6" fillId="2" borderId="0" xfId="4" applyNumberFormat="1" applyFont="1" applyFill="1" applyBorder="1" applyAlignment="1" applyProtection="1">
      <alignment horizontal="center" vertical="top" wrapText="1"/>
    </xf>
    <xf numFmtId="170" fontId="12" fillId="2" borderId="0" xfId="3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 indent="3"/>
    </xf>
    <xf numFmtId="170" fontId="13" fillId="2" borderId="0" xfId="3" applyNumberFormat="1" applyFont="1" applyFill="1" applyBorder="1" applyAlignment="1"/>
    <xf numFmtId="170" fontId="19" fillId="2" borderId="0" xfId="3" applyNumberFormat="1" applyFont="1" applyFill="1"/>
    <xf numFmtId="170" fontId="14" fillId="2" borderId="0" xfId="3" applyNumberFormat="1" applyFont="1" applyFill="1" applyBorder="1" applyAlignment="1"/>
    <xf numFmtId="170" fontId="18" fillId="2" borderId="0" xfId="3" applyNumberFormat="1" applyFont="1" applyFill="1"/>
    <xf numFmtId="3" fontId="24" fillId="2" borderId="0" xfId="4" applyNumberFormat="1" applyFont="1" applyFill="1" applyBorder="1" applyAlignment="1" applyProtection="1">
      <alignment horizontal="right" vertical="center" indent="3"/>
    </xf>
    <xf numFmtId="169" fontId="4" fillId="2" borderId="0" xfId="0" applyNumberFormat="1" applyFont="1" applyFill="1" applyBorder="1" applyAlignment="1">
      <alignment horizontal="right"/>
    </xf>
    <xf numFmtId="0" fontId="25" fillId="2" borderId="0" xfId="0" applyFont="1" applyFill="1" applyBorder="1"/>
    <xf numFmtId="170" fontId="18" fillId="2" borderId="0" xfId="3" applyNumberFormat="1" applyFont="1" applyFill="1" applyBorder="1" applyAlignment="1"/>
    <xf numFmtId="169" fontId="26" fillId="2" borderId="0" xfId="3" applyNumberFormat="1" applyFont="1" applyFill="1" applyBorder="1" applyAlignment="1">
      <alignment horizontal="right" vertical="center" wrapText="1"/>
    </xf>
    <xf numFmtId="168" fontId="9" fillId="2" borderId="0" xfId="1" applyNumberFormat="1" applyFont="1" applyFill="1" applyBorder="1" applyAlignment="1">
      <alignment horizontal="right" vertical="center" wrapText="1"/>
    </xf>
    <xf numFmtId="169" fontId="26" fillId="2" borderId="0" xfId="3" applyNumberFormat="1" applyFont="1" applyFill="1" applyBorder="1" applyAlignment="1">
      <alignment horizontal="right" vertical="center"/>
    </xf>
    <xf numFmtId="170" fontId="26" fillId="2" borderId="0" xfId="3" applyNumberFormat="1" applyFont="1" applyFill="1" applyBorder="1" applyAlignment="1">
      <alignment horizontal="center" vertical="center"/>
    </xf>
    <xf numFmtId="170" fontId="26" fillId="2" borderId="0" xfId="3" applyNumberFormat="1" applyFont="1" applyFill="1" applyBorder="1" applyAlignment="1">
      <alignment horizontal="right" vertical="center"/>
    </xf>
    <xf numFmtId="170" fontId="25" fillId="2" borderId="0" xfId="3" applyNumberFormat="1" applyFont="1" applyFill="1" applyBorder="1"/>
    <xf numFmtId="170" fontId="0" fillId="2" borderId="0" xfId="0" applyNumberFormat="1" applyFill="1" applyBorder="1"/>
    <xf numFmtId="170" fontId="14" fillId="2" borderId="1" xfId="3" applyNumberFormat="1" applyFont="1" applyFill="1" applyBorder="1" applyAlignment="1">
      <alignment vertical="center"/>
    </xf>
    <xf numFmtId="170" fontId="18" fillId="2" borderId="1" xfId="3" applyNumberFormat="1" applyFont="1" applyFill="1" applyBorder="1" applyAlignment="1">
      <alignment vertical="center"/>
    </xf>
    <xf numFmtId="3" fontId="27" fillId="2" borderId="1" xfId="4" applyNumberFormat="1" applyFont="1" applyFill="1" applyBorder="1" applyAlignment="1" applyProtection="1">
      <alignment horizontal="right" vertical="center"/>
    </xf>
    <xf numFmtId="0" fontId="17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0" fillId="2" borderId="0" xfId="0" applyFont="1" applyFill="1" applyBorder="1" applyAlignment="1">
      <alignment vertical="center"/>
    </xf>
    <xf numFmtId="0" fontId="29" fillId="2" borderId="0" xfId="0" applyNumberFormat="1" applyFont="1" applyFill="1" applyAlignment="1">
      <alignment vertical="center"/>
    </xf>
    <xf numFmtId="169" fontId="0" fillId="2" borderId="0" xfId="3" applyNumberFormat="1" applyFont="1" applyFill="1"/>
    <xf numFmtId="169" fontId="0" fillId="2" borderId="0" xfId="3" applyNumberFormat="1" applyFont="1" applyFill="1" applyAlignment="1">
      <alignment horizontal="right"/>
    </xf>
    <xf numFmtId="169" fontId="4" fillId="2" borderId="0" xfId="3" applyNumberFormat="1" applyFont="1" applyFill="1"/>
    <xf numFmtId="170" fontId="18" fillId="2" borderId="0" xfId="3" applyNumberFormat="1" applyFont="1" applyFill="1" applyAlignment="1">
      <alignment horizontal="right"/>
    </xf>
    <xf numFmtId="170" fontId="15" fillId="2" borderId="1" xfId="3" applyNumberFormat="1" applyFont="1" applyFill="1" applyBorder="1" applyAlignment="1">
      <alignment vertical="center"/>
    </xf>
    <xf numFmtId="170" fontId="11" fillId="2" borderId="0" xfId="0" applyNumberFormat="1" applyFont="1" applyFill="1" applyAlignment="1">
      <alignment horizontal="center" vertical="center"/>
    </xf>
    <xf numFmtId="170" fontId="12" fillId="2" borderId="0" xfId="3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 indent="3"/>
    </xf>
    <xf numFmtId="170" fontId="19" fillId="2" borderId="0" xfId="3" applyNumberFormat="1" applyFont="1" applyFill="1" applyBorder="1"/>
    <xf numFmtId="170" fontId="18" fillId="2" borderId="0" xfId="3" applyNumberFormat="1" applyFont="1" applyFill="1" applyBorder="1"/>
    <xf numFmtId="170" fontId="18" fillId="2" borderId="0" xfId="3" applyNumberFormat="1" applyFont="1" applyFill="1" applyBorder="1" applyAlignment="1">
      <alignment horizontal="right"/>
    </xf>
    <xf numFmtId="170" fontId="14" fillId="2" borderId="0" xfId="3" applyNumberFormat="1" applyFont="1" applyFill="1" applyBorder="1" applyAlignment="1">
      <alignment vertical="center"/>
    </xf>
    <xf numFmtId="170" fontId="18" fillId="2" borderId="0" xfId="3" applyNumberFormat="1" applyFont="1" applyFill="1" applyBorder="1" applyAlignment="1">
      <alignment vertical="center"/>
    </xf>
    <xf numFmtId="170" fontId="15" fillId="2" borderId="0" xfId="3" applyNumberFormat="1" applyFont="1" applyFill="1" applyBorder="1" applyAlignment="1">
      <alignment vertical="center"/>
    </xf>
    <xf numFmtId="3" fontId="27" fillId="2" borderId="0" xfId="4" applyNumberFormat="1" applyFont="1" applyFill="1" applyBorder="1" applyAlignment="1" applyProtection="1">
      <alignment horizontal="right" vertical="center"/>
    </xf>
    <xf numFmtId="0" fontId="17" fillId="2" borderId="0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29" fillId="2" borderId="0" xfId="0" applyNumberFormat="1" applyFont="1" applyFill="1" applyBorder="1" applyAlignment="1">
      <alignment vertical="center"/>
    </xf>
    <xf numFmtId="168" fontId="16" fillId="2" borderId="2" xfId="1" applyNumberFormat="1" applyFont="1" applyFill="1" applyBorder="1" applyAlignment="1">
      <alignment horizontal="left" vertical="center" wrapText="1"/>
    </xf>
    <xf numFmtId="168" fontId="16" fillId="2" borderId="1" xfId="1" applyNumberFormat="1" applyFont="1" applyFill="1" applyBorder="1" applyAlignment="1">
      <alignment horizontal="left" vertical="center" wrapText="1"/>
    </xf>
    <xf numFmtId="168" fontId="16" fillId="2" borderId="0" xfId="1" applyNumberFormat="1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right" vertical="center" indent="2"/>
    </xf>
    <xf numFmtId="3" fontId="5" fillId="2" borderId="0" xfId="4" applyNumberFormat="1" applyFont="1" applyFill="1" applyAlignment="1">
      <alignment horizontal="center" wrapText="1" readingOrder="2"/>
    </xf>
    <xf numFmtId="3" fontId="6" fillId="2" borderId="0" xfId="4" applyNumberFormat="1" applyFont="1" applyFill="1" applyBorder="1" applyAlignment="1" applyProtection="1">
      <alignment horizontal="center" vertical="top" wrapText="1"/>
    </xf>
    <xf numFmtId="0" fontId="21" fillId="2" borderId="2" xfId="0" applyFont="1" applyFill="1" applyBorder="1" applyAlignment="1">
      <alignment horizontal="right" vertical="center" indent="2"/>
    </xf>
    <xf numFmtId="0" fontId="21" fillId="2" borderId="1" xfId="0" applyFont="1" applyFill="1" applyBorder="1" applyAlignment="1">
      <alignment horizontal="right" vertical="center" indent="2"/>
    </xf>
    <xf numFmtId="3" fontId="5" fillId="2" borderId="0" xfId="4" applyNumberFormat="1" applyFont="1" applyFill="1" applyBorder="1" applyAlignment="1">
      <alignment horizontal="center" wrapText="1" readingOrder="2"/>
    </xf>
  </cellXfs>
  <cellStyles count="5">
    <cellStyle name="Comma" xfId="3" builtinId="3"/>
    <cellStyle name="Normal" xfId="0" builtinId="0"/>
    <cellStyle name="Normal 2" xfId="1"/>
    <cellStyle name="Normal 5" xfId="2"/>
    <cellStyle name="Normal_II-15(Population) 2" xfId="4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18.24: Percentage share of expenditure on Aasandha by Institution, 2017</a:t>
            </a:r>
          </a:p>
        </c:rich>
      </c:tx>
      <c:layout>
        <c:manualLayout>
          <c:xMode val="edge"/>
          <c:yMode val="edge"/>
          <c:x val="0.14542869524459898"/>
          <c:y val="4.49368628231495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9020019671666"/>
          <c:y val="0.21420093676913035"/>
          <c:w val="0.32249083637528503"/>
          <c:h val="0.81840157908845013"/>
        </c:manualLayout>
      </c:layout>
      <c:doughnutChart>
        <c:varyColors val="1"/>
        <c:ser>
          <c:idx val="0"/>
          <c:order val="0"/>
          <c:spPr>
            <a:effectLst/>
          </c:spPr>
          <c:explosion val="1"/>
          <c:dPt>
            <c:idx val="0"/>
            <c:bubble3D val="0"/>
            <c:explosion val="3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8B-4657-981C-CA4301EAEA4C}"/>
              </c:ext>
            </c:extLst>
          </c:dPt>
          <c:dPt>
            <c:idx val="1"/>
            <c:bubble3D val="0"/>
            <c:explosion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38B-4657-981C-CA4301EAEA4C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8B-4657-981C-CA4301EAEA4C}"/>
              </c:ext>
            </c:extLst>
          </c:dPt>
          <c:dPt>
            <c:idx val="3"/>
            <c:bubble3D val="0"/>
            <c:explosion val="3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8B-4657-981C-CA4301EAEA4C}"/>
              </c:ext>
            </c:extLst>
          </c:dPt>
          <c:dPt>
            <c:idx val="4"/>
            <c:bubble3D val="0"/>
            <c:explosion val="5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38B-4657-981C-CA4301EAEA4C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8B-4657-981C-CA4301EAEA4C}"/>
              </c:ext>
            </c:extLst>
          </c:dPt>
          <c:dLbls>
            <c:dLbl>
              <c:idx val="0"/>
              <c:layout>
                <c:manualLayout>
                  <c:x val="-6.431013058586268E-3"/>
                  <c:y val="-1.9801913384824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38B-4657-981C-CA4301EAEA4C}"/>
                </c:ext>
              </c:extLst>
            </c:dLbl>
            <c:dLbl>
              <c:idx val="1"/>
              <c:layout>
                <c:manualLayout>
                  <c:x val="-1.4961257450445476E-2"/>
                  <c:y val="-2.9482913085336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38B-4657-981C-CA4301EAEA4C}"/>
                </c:ext>
              </c:extLst>
            </c:dLbl>
            <c:dLbl>
              <c:idx val="2"/>
              <c:layout>
                <c:manualLayout>
                  <c:x val="8.1024498932040057E-2"/>
                  <c:y val="-6.85089055267464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38B-4657-981C-CA4301EAEA4C}"/>
                </c:ext>
              </c:extLst>
            </c:dLbl>
            <c:dLbl>
              <c:idx val="3"/>
              <c:layout>
                <c:manualLayout>
                  <c:x val="6.6187012961738068E-2"/>
                  <c:y val="1.82551261988840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38B-4657-981C-CA4301EAEA4C}"/>
                </c:ext>
              </c:extLst>
            </c:dLbl>
            <c:dLbl>
              <c:idx val="4"/>
              <c:layout>
                <c:manualLayout>
                  <c:x val="8.7833271747344316E-2"/>
                  <c:y val="5.68045245775552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38B-4657-981C-CA4301EAEA4C}"/>
                </c:ext>
              </c:extLst>
            </c:dLbl>
            <c:dLbl>
              <c:idx val="5"/>
              <c:layout>
                <c:manualLayout>
                  <c:x val="0.11996486823347005"/>
                  <c:y val="0.101258359069890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38B-4657-981C-CA4301EAEA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accent1">
                      <a:lumMod val="7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'18.20'!$AA$38:$AF$38</c:f>
              <c:strCache>
                <c:ptCount val="6"/>
                <c:pt idx="0">
                  <c:v>Hospitals</c:v>
                </c:pt>
                <c:pt idx="1">
                  <c:v>Pharmacies</c:v>
                </c:pt>
                <c:pt idx="2">
                  <c:v>Opticals</c:v>
                </c:pt>
                <c:pt idx="3">
                  <c:v>Clinics</c:v>
                </c:pt>
                <c:pt idx="4">
                  <c:v>Airfare Tickets</c:v>
                </c:pt>
                <c:pt idx="5">
                  <c:v>Emergency Evacuation - Sea</c:v>
                </c:pt>
              </c:strCache>
            </c:strRef>
          </c:cat>
          <c:val>
            <c:numRef>
              <c:f>'18.20'!$AA$39:$AF$39</c:f>
              <c:numCache>
                <c:formatCode>General</c:formatCode>
                <c:ptCount val="6"/>
                <c:pt idx="0">
                  <c:v>1087122618.7505</c:v>
                </c:pt>
                <c:pt idx="1">
                  <c:v>559923085.5999999</c:v>
                </c:pt>
                <c:pt idx="2">
                  <c:v>26149755.970000003</c:v>
                </c:pt>
                <c:pt idx="3">
                  <c:v>58616893</c:v>
                </c:pt>
                <c:pt idx="4">
                  <c:v>56607846.920000002</c:v>
                </c:pt>
                <c:pt idx="5">
                  <c:v>8870485.1999999993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8B-4657-981C-CA4301EAEA4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15"/>
        <c:holeSize val="50"/>
      </c:doughnut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1712613</xdr:colOff>
      <xdr:row>31</xdr:row>
      <xdr:rowOff>173883</xdr:rowOff>
    </xdr:from>
    <xdr:to>
      <xdr:col>7</xdr:col>
      <xdr:colOff>912608</xdr:colOff>
      <xdr:row>47</xdr:row>
      <xdr:rowOff>118165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913579</xdr:colOff>
      <xdr:row>33</xdr:row>
      <xdr:rowOff>97761</xdr:rowOff>
    </xdr:from>
    <xdr:to>
      <xdr:col>7</xdr:col>
      <xdr:colOff>302177</xdr:colOff>
      <xdr:row>33</xdr:row>
      <xdr:rowOff>97762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829918" y="7275529"/>
          <a:ext cx="6078777" cy="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90"/>
  <sheetViews>
    <sheetView tabSelected="1" zoomScaleNormal="100" workbookViewId="0">
      <selection activeCell="L5" sqref="L5"/>
    </sheetView>
  </sheetViews>
  <sheetFormatPr defaultColWidth="9.140625" defaultRowHeight="15" x14ac:dyDescent="0.25"/>
  <cols>
    <col min="1" max="1" width="28.7109375" style="2" customWidth="1"/>
    <col min="2" max="2" width="18.28515625" style="2" customWidth="1"/>
    <col min="3" max="3" width="16.7109375" style="2" bestFit="1" customWidth="1"/>
    <col min="4" max="6" width="15.7109375" style="2" customWidth="1"/>
    <col min="7" max="8" width="18.28515625" style="2" customWidth="1"/>
    <col min="9" max="9" width="22" style="2" bestFit="1" customWidth="1"/>
    <col min="10" max="10" width="9.140625" style="2"/>
    <col min="11" max="11" width="14.28515625" style="2" bestFit="1" customWidth="1"/>
    <col min="12" max="23" width="14.28515625" style="2" customWidth="1"/>
    <col min="24" max="24" width="9.140625" style="2"/>
    <col min="25" max="25" width="10.7109375" style="2" customWidth="1"/>
    <col min="26" max="26" width="9.85546875" style="2" customWidth="1"/>
    <col min="27" max="27" width="15.28515625" style="2" customWidth="1"/>
    <col min="28" max="29" width="9.7109375" style="2" customWidth="1"/>
    <col min="30" max="30" width="8.85546875" style="2" customWidth="1"/>
    <col min="31" max="31" width="11.28515625" style="2" bestFit="1" customWidth="1"/>
    <col min="32" max="32" width="11" style="2" bestFit="1" customWidth="1"/>
    <col min="33" max="16384" width="9.140625" style="2"/>
  </cols>
  <sheetData>
    <row r="1" spans="1:31" ht="21" x14ac:dyDescent="0.55000000000000004">
      <c r="A1" s="71" t="s">
        <v>43</v>
      </c>
      <c r="B1" s="71"/>
      <c r="C1" s="71"/>
      <c r="D1" s="71"/>
      <c r="E1" s="71"/>
      <c r="F1" s="71"/>
      <c r="G1" s="71"/>
      <c r="H1" s="71"/>
      <c r="I1" s="71"/>
    </row>
    <row r="2" spans="1:31" s="21" customFormat="1" x14ac:dyDescent="0.25">
      <c r="A2" s="72" t="s">
        <v>44</v>
      </c>
      <c r="B2" s="72"/>
      <c r="C2" s="72"/>
      <c r="D2" s="72"/>
      <c r="E2" s="72"/>
      <c r="F2" s="72"/>
      <c r="G2" s="72"/>
      <c r="H2" s="72"/>
      <c r="I2" s="72"/>
    </row>
    <row r="3" spans="1:31" s="10" customFormat="1" x14ac:dyDescent="0.25">
      <c r="A3" s="23"/>
      <c r="B3" s="23"/>
      <c r="C3" s="23"/>
      <c r="D3" s="23"/>
      <c r="E3" s="23"/>
      <c r="F3" s="23"/>
      <c r="G3" s="23"/>
      <c r="H3" s="23"/>
      <c r="I3" s="23"/>
    </row>
    <row r="4" spans="1:31" s="10" customFormat="1" ht="30" x14ac:dyDescent="0.25">
      <c r="A4" s="67" t="s">
        <v>2</v>
      </c>
      <c r="B4" s="6" t="s">
        <v>30</v>
      </c>
      <c r="C4" s="7" t="s">
        <v>31</v>
      </c>
      <c r="D4" s="7" t="s">
        <v>0</v>
      </c>
      <c r="E4" s="7" t="s">
        <v>32</v>
      </c>
      <c r="F4" s="7" t="s">
        <v>33</v>
      </c>
      <c r="G4" s="8" t="s">
        <v>45</v>
      </c>
      <c r="H4" s="9" t="s">
        <v>46</v>
      </c>
      <c r="I4" s="73" t="s">
        <v>1</v>
      </c>
    </row>
    <row r="5" spans="1:31" s="10" customFormat="1" ht="18.75" x14ac:dyDescent="0.25">
      <c r="A5" s="68"/>
      <c r="B5" s="1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G5" s="1" t="s">
        <v>40</v>
      </c>
      <c r="H5" s="1" t="s">
        <v>41</v>
      </c>
      <c r="I5" s="74"/>
    </row>
    <row r="6" spans="1:31" s="13" customFormat="1" ht="18.75" x14ac:dyDescent="0.25">
      <c r="A6" s="12" t="s">
        <v>3</v>
      </c>
      <c r="B6" s="24">
        <f>SUM(B7:B8)+B29</f>
        <v>1797290685.4405</v>
      </c>
      <c r="C6" s="24">
        <f>SUM(C7:C8)+C29</f>
        <v>1087122618.7505</v>
      </c>
      <c r="D6" s="24">
        <f>SUM(D7:D8)</f>
        <v>559923085.5999999</v>
      </c>
      <c r="E6" s="24">
        <f>SUM(E7:E8)</f>
        <v>26149755.970000003</v>
      </c>
      <c r="F6" s="24">
        <f>SUM(F7:F8)</f>
        <v>58616893</v>
      </c>
      <c r="G6" s="24">
        <f>SUM(G7:G8)</f>
        <v>56607846.920000002</v>
      </c>
      <c r="H6" s="24">
        <f>SUM(H7:H8)</f>
        <v>8870485.1999999993</v>
      </c>
      <c r="I6" s="25" t="s">
        <v>42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</row>
    <row r="7" spans="1:31" s="5" customFormat="1" ht="18.75" x14ac:dyDescent="0.25">
      <c r="A7" s="26" t="s">
        <v>4</v>
      </c>
      <c r="B7" s="27">
        <f>SUM(C7:H7)</f>
        <v>1040187042.5204999</v>
      </c>
      <c r="C7" s="27">
        <v>632759943.22049999</v>
      </c>
      <c r="D7" s="27">
        <v>278802552.82999998</v>
      </c>
      <c r="E7" s="27">
        <v>24899656.350000001</v>
      </c>
      <c r="F7" s="27">
        <v>38246558</v>
      </c>
      <c r="G7" s="27">
        <v>56607846.920000002</v>
      </c>
      <c r="H7" s="27">
        <v>8870485.1999999993</v>
      </c>
      <c r="I7" s="25" t="s">
        <v>5</v>
      </c>
    </row>
    <row r="8" spans="1:31" s="5" customFormat="1" ht="18.75" x14ac:dyDescent="0.25">
      <c r="A8" s="26" t="s">
        <v>6</v>
      </c>
      <c r="B8" s="27">
        <f>SUM(B9:B28)</f>
        <v>582040521.92000008</v>
      </c>
      <c r="C8" s="27">
        <v>279299554.53000003</v>
      </c>
      <c r="D8" s="27">
        <v>281120532.76999998</v>
      </c>
      <c r="E8" s="27">
        <v>1250099.6200000001</v>
      </c>
      <c r="F8" s="27">
        <v>20370335</v>
      </c>
      <c r="G8" s="20">
        <v>0</v>
      </c>
      <c r="H8" s="20">
        <v>0</v>
      </c>
      <c r="I8" s="25" t="s">
        <v>7</v>
      </c>
    </row>
    <row r="9" spans="1:31" ht="16.5" x14ac:dyDescent="0.25">
      <c r="A9" s="28" t="s">
        <v>8</v>
      </c>
      <c r="B9" s="29">
        <f>SUM(C9:G9)</f>
        <v>34032071.780000001</v>
      </c>
      <c r="C9" s="20">
        <v>15923708.529999999</v>
      </c>
      <c r="D9" s="29">
        <v>18108363.25</v>
      </c>
      <c r="E9" s="20">
        <v>0</v>
      </c>
      <c r="F9" s="20">
        <v>0</v>
      </c>
      <c r="G9" s="20">
        <v>0</v>
      </c>
      <c r="H9" s="20">
        <v>0</v>
      </c>
      <c r="I9" s="30" t="s">
        <v>47</v>
      </c>
    </row>
    <row r="10" spans="1:31" ht="16.5" x14ac:dyDescent="0.25">
      <c r="A10" s="28" t="s">
        <v>9</v>
      </c>
      <c r="B10" s="29">
        <f>SUM(C10:G10)</f>
        <v>69991758.379999995</v>
      </c>
      <c r="C10" s="20">
        <v>41031417.530000001</v>
      </c>
      <c r="D10" s="29">
        <v>28908613.050000001</v>
      </c>
      <c r="E10" s="29">
        <v>51727.8</v>
      </c>
      <c r="F10" s="20">
        <v>0</v>
      </c>
      <c r="G10" s="20">
        <v>0</v>
      </c>
      <c r="H10" s="20">
        <v>0</v>
      </c>
      <c r="I10" s="30" t="s">
        <v>48</v>
      </c>
    </row>
    <row r="11" spans="1:31" ht="16.5" x14ac:dyDescent="0.25">
      <c r="A11" s="28" t="s">
        <v>10</v>
      </c>
      <c r="B11" s="29">
        <f t="shared" ref="B11:B28" si="0">SUM(C11:G11)</f>
        <v>22385644.170000002</v>
      </c>
      <c r="C11" s="20">
        <v>11109542.66</v>
      </c>
      <c r="D11" s="29">
        <v>11276101.51</v>
      </c>
      <c r="E11" s="20">
        <v>0</v>
      </c>
      <c r="F11" s="20">
        <v>0</v>
      </c>
      <c r="G11" s="20">
        <v>0</v>
      </c>
      <c r="H11" s="20">
        <v>0</v>
      </c>
      <c r="I11" s="30" t="s">
        <v>29</v>
      </c>
      <c r="J11" s="31"/>
    </row>
    <row r="12" spans="1:31" ht="16.5" x14ac:dyDescent="0.25">
      <c r="A12" s="28" t="s">
        <v>11</v>
      </c>
      <c r="B12" s="29">
        <f t="shared" si="0"/>
        <v>17119918.759999998</v>
      </c>
      <c r="C12" s="20">
        <v>8615731.4700000007</v>
      </c>
      <c r="D12" s="29">
        <v>8504187.2899999991</v>
      </c>
      <c r="E12" s="20">
        <v>0</v>
      </c>
      <c r="F12" s="20">
        <v>0</v>
      </c>
      <c r="G12" s="20">
        <v>0</v>
      </c>
      <c r="H12" s="20">
        <v>0</v>
      </c>
      <c r="I12" s="30" t="s">
        <v>49</v>
      </c>
    </row>
    <row r="13" spans="1:31" ht="16.5" x14ac:dyDescent="0.25">
      <c r="A13" s="28" t="s">
        <v>12</v>
      </c>
      <c r="B13" s="29">
        <f t="shared" si="0"/>
        <v>47021244.049999997</v>
      </c>
      <c r="C13" s="20">
        <v>26667758.530000001</v>
      </c>
      <c r="D13" s="29">
        <v>20353485.52</v>
      </c>
      <c r="E13" s="20">
        <v>0</v>
      </c>
      <c r="F13" s="20">
        <v>0</v>
      </c>
      <c r="G13" s="20">
        <v>0</v>
      </c>
      <c r="H13" s="20">
        <v>0</v>
      </c>
      <c r="I13" s="30" t="s">
        <v>50</v>
      </c>
    </row>
    <row r="14" spans="1:31" ht="16.5" x14ac:dyDescent="0.25">
      <c r="A14" s="28" t="s">
        <v>13</v>
      </c>
      <c r="B14" s="29">
        <f t="shared" si="0"/>
        <v>30149104.18</v>
      </c>
      <c r="C14" s="20">
        <v>12552395.890000001</v>
      </c>
      <c r="D14" s="29">
        <v>17596708.289999999</v>
      </c>
      <c r="E14" s="20">
        <v>0</v>
      </c>
      <c r="F14" s="20">
        <v>0</v>
      </c>
      <c r="G14" s="20">
        <v>0</v>
      </c>
      <c r="H14" s="20">
        <v>0</v>
      </c>
      <c r="I14" s="30" t="s">
        <v>51</v>
      </c>
      <c r="X14" s="3"/>
      <c r="Y14" s="3"/>
      <c r="Z14" s="3"/>
      <c r="AA14" s="3"/>
      <c r="AB14" s="3"/>
      <c r="AC14" s="3"/>
      <c r="AD14" s="3"/>
      <c r="AE14" s="3"/>
    </row>
    <row r="15" spans="1:31" ht="16.5" x14ac:dyDescent="0.25">
      <c r="A15" s="28" t="s">
        <v>14</v>
      </c>
      <c r="B15" s="29">
        <f t="shared" si="0"/>
        <v>38642931.219999999</v>
      </c>
      <c r="C15" s="20">
        <v>12561721.109999999</v>
      </c>
      <c r="D15" s="29">
        <v>26081210.109999999</v>
      </c>
      <c r="E15" s="20">
        <v>0</v>
      </c>
      <c r="F15" s="20">
        <v>0</v>
      </c>
      <c r="G15" s="20">
        <v>0</v>
      </c>
      <c r="H15" s="20">
        <v>0</v>
      </c>
      <c r="I15" s="30" t="s">
        <v>28</v>
      </c>
      <c r="X15" s="3"/>
      <c r="Y15" s="3"/>
      <c r="Z15" s="3"/>
      <c r="AA15" s="3"/>
      <c r="AB15" s="3"/>
      <c r="AC15" s="3"/>
      <c r="AD15" s="3"/>
      <c r="AE15" s="3"/>
    </row>
    <row r="16" spans="1:31" ht="16.5" x14ac:dyDescent="0.25">
      <c r="A16" s="28" t="s">
        <v>52</v>
      </c>
      <c r="B16" s="29">
        <f t="shared" si="0"/>
        <v>15450866.84</v>
      </c>
      <c r="C16" s="20">
        <v>7709010.21</v>
      </c>
      <c r="D16" s="29">
        <v>7741856.6299999999</v>
      </c>
      <c r="E16" s="20">
        <v>0</v>
      </c>
      <c r="F16" s="20">
        <v>0</v>
      </c>
      <c r="G16" s="20">
        <v>0</v>
      </c>
      <c r="H16" s="20">
        <v>0</v>
      </c>
      <c r="I16" s="30" t="s">
        <v>53</v>
      </c>
      <c r="X16" s="3"/>
      <c r="Y16" s="32"/>
      <c r="Z16" s="32"/>
      <c r="AA16" s="32"/>
      <c r="AB16" s="32"/>
      <c r="AC16" s="32"/>
      <c r="AD16" s="32"/>
      <c r="AE16" s="3"/>
    </row>
    <row r="17" spans="1:31" ht="16.5" x14ac:dyDescent="0.25">
      <c r="A17" s="33" t="s">
        <v>15</v>
      </c>
      <c r="B17" s="29">
        <f t="shared" si="0"/>
        <v>5947100.96</v>
      </c>
      <c r="C17" s="20">
        <v>3062882.36</v>
      </c>
      <c r="D17" s="29">
        <v>2884218.6</v>
      </c>
      <c r="E17" s="20">
        <v>0</v>
      </c>
      <c r="F17" s="20">
        <v>0</v>
      </c>
      <c r="G17" s="20">
        <v>0</v>
      </c>
      <c r="H17" s="20">
        <v>0</v>
      </c>
      <c r="I17" s="30" t="s">
        <v>54</v>
      </c>
      <c r="X17" s="3"/>
      <c r="Y17" s="34"/>
      <c r="Z17" s="35"/>
      <c r="AA17" s="35"/>
      <c r="AB17" s="35"/>
      <c r="AC17" s="35"/>
      <c r="AD17" s="36"/>
      <c r="AE17" s="36"/>
    </row>
    <row r="18" spans="1:31" ht="16.5" x14ac:dyDescent="0.25">
      <c r="A18" s="28" t="s">
        <v>16</v>
      </c>
      <c r="B18" s="29">
        <f t="shared" si="0"/>
        <v>9181590.7400000002</v>
      </c>
      <c r="C18" s="20">
        <v>3097726.83</v>
      </c>
      <c r="D18" s="29">
        <v>5942048.9100000001</v>
      </c>
      <c r="E18" s="20">
        <v>0</v>
      </c>
      <c r="F18" s="52">
        <v>141815</v>
      </c>
      <c r="G18" s="20">
        <v>0</v>
      </c>
      <c r="H18" s="20">
        <v>0</v>
      </c>
      <c r="I18" s="30" t="s">
        <v>55</v>
      </c>
      <c r="X18" s="3"/>
      <c r="Y18" s="37"/>
      <c r="Z18" s="37"/>
      <c r="AA18" s="37"/>
      <c r="AB18" s="37"/>
      <c r="AC18" s="38"/>
      <c r="AD18" s="39"/>
      <c r="AE18" s="40"/>
    </row>
    <row r="19" spans="1:31" ht="16.5" x14ac:dyDescent="0.25">
      <c r="A19" s="28" t="s">
        <v>17</v>
      </c>
      <c r="B19" s="29">
        <f t="shared" si="0"/>
        <v>2580520.09</v>
      </c>
      <c r="C19" s="20">
        <v>1117802.5900000001</v>
      </c>
      <c r="D19" s="52">
        <v>1462717.5</v>
      </c>
      <c r="E19" s="20">
        <v>0</v>
      </c>
      <c r="F19" s="20">
        <v>0</v>
      </c>
      <c r="G19" s="20">
        <v>0</v>
      </c>
      <c r="H19" s="20">
        <v>0</v>
      </c>
      <c r="I19" s="30" t="s">
        <v>56</v>
      </c>
      <c r="X19" s="3"/>
      <c r="Y19" s="32"/>
      <c r="Z19" s="32"/>
      <c r="AA19" s="32"/>
      <c r="AB19" s="32"/>
      <c r="AC19" s="32"/>
      <c r="AD19" s="32"/>
      <c r="AE19" s="3"/>
    </row>
    <row r="20" spans="1:31" ht="16.5" x14ac:dyDescent="0.25">
      <c r="A20" s="28" t="s">
        <v>18</v>
      </c>
      <c r="B20" s="29">
        <f t="shared" si="0"/>
        <v>7909169.9100000001</v>
      </c>
      <c r="C20" s="20">
        <v>3291077.87</v>
      </c>
      <c r="D20" s="29">
        <v>4618092.04</v>
      </c>
      <c r="E20" s="20">
        <v>0</v>
      </c>
      <c r="F20" s="20">
        <v>0</v>
      </c>
      <c r="G20" s="20">
        <v>0</v>
      </c>
      <c r="H20" s="20">
        <v>0</v>
      </c>
      <c r="I20" s="30" t="s">
        <v>57</v>
      </c>
      <c r="X20" s="3"/>
      <c r="Y20" s="3"/>
      <c r="Z20" s="3"/>
      <c r="AA20" s="3"/>
      <c r="AB20" s="3"/>
      <c r="AC20" s="3"/>
      <c r="AD20" s="3"/>
      <c r="AE20" s="3"/>
    </row>
    <row r="21" spans="1:31" ht="16.5" x14ac:dyDescent="0.25">
      <c r="A21" s="28" t="s">
        <v>19</v>
      </c>
      <c r="B21" s="29">
        <f t="shared" si="0"/>
        <v>6358160.0700000003</v>
      </c>
      <c r="C21" s="20">
        <v>2264296.5</v>
      </c>
      <c r="D21" s="29">
        <v>4093863.57</v>
      </c>
      <c r="E21" s="20">
        <v>0</v>
      </c>
      <c r="F21" s="20">
        <v>0</v>
      </c>
      <c r="G21" s="20">
        <v>0</v>
      </c>
      <c r="H21" s="20">
        <v>0</v>
      </c>
      <c r="I21" s="30" t="s">
        <v>58</v>
      </c>
      <c r="X21" s="3"/>
      <c r="Y21" s="3"/>
      <c r="Z21" s="3"/>
      <c r="AA21" s="3"/>
      <c r="AB21" s="3"/>
      <c r="AC21" s="3"/>
      <c r="AD21" s="3"/>
      <c r="AE21" s="3"/>
    </row>
    <row r="22" spans="1:31" ht="16.5" x14ac:dyDescent="0.25">
      <c r="A22" s="28" t="s">
        <v>20</v>
      </c>
      <c r="B22" s="29">
        <f t="shared" si="0"/>
        <v>13061458.859999999</v>
      </c>
      <c r="C22" s="20">
        <v>7433219.4699999997</v>
      </c>
      <c r="D22" s="29">
        <v>5628239.3899999997</v>
      </c>
      <c r="E22" s="20">
        <v>0</v>
      </c>
      <c r="F22" s="20">
        <v>0</v>
      </c>
      <c r="G22" s="20">
        <v>0</v>
      </c>
      <c r="H22" s="20">
        <v>0</v>
      </c>
      <c r="I22" s="30" t="s">
        <v>59</v>
      </c>
      <c r="X22" s="3"/>
      <c r="Y22" s="3"/>
      <c r="Z22" s="3"/>
      <c r="AA22" s="3"/>
      <c r="AB22" s="3"/>
      <c r="AC22" s="3"/>
      <c r="AD22" s="3"/>
      <c r="AE22" s="3"/>
    </row>
    <row r="23" spans="1:31" ht="16.5" x14ac:dyDescent="0.25">
      <c r="A23" s="28" t="s">
        <v>21</v>
      </c>
      <c r="B23" s="29">
        <f t="shared" si="0"/>
        <v>23683245.52</v>
      </c>
      <c r="C23" s="20">
        <v>14134194.57</v>
      </c>
      <c r="D23" s="29">
        <v>9549050.9499999993</v>
      </c>
      <c r="E23" s="20">
        <v>0</v>
      </c>
      <c r="F23" s="20">
        <v>0</v>
      </c>
      <c r="G23" s="20">
        <v>0</v>
      </c>
      <c r="H23" s="20">
        <v>0</v>
      </c>
      <c r="I23" s="30" t="s">
        <v>60</v>
      </c>
      <c r="X23" s="3"/>
      <c r="Y23" s="3"/>
      <c r="Z23" s="3"/>
      <c r="AA23" s="3"/>
      <c r="AB23" s="3"/>
      <c r="AC23" s="3"/>
      <c r="AD23" s="3"/>
      <c r="AE23" s="3"/>
    </row>
    <row r="24" spans="1:31" ht="16.5" x14ac:dyDescent="0.25">
      <c r="A24" s="28" t="s">
        <v>22</v>
      </c>
      <c r="B24" s="29">
        <f t="shared" si="0"/>
        <v>32945144.07</v>
      </c>
      <c r="C24" s="20">
        <v>19067608.690000001</v>
      </c>
      <c r="D24" s="29">
        <v>13877535.380000001</v>
      </c>
      <c r="E24" s="20">
        <v>0</v>
      </c>
      <c r="F24" s="20">
        <v>0</v>
      </c>
      <c r="G24" s="20">
        <v>0</v>
      </c>
      <c r="H24" s="20">
        <v>0</v>
      </c>
      <c r="I24" s="30" t="s">
        <v>61</v>
      </c>
      <c r="X24" s="3"/>
      <c r="Y24" s="3"/>
      <c r="Z24" s="3"/>
      <c r="AA24" s="3"/>
      <c r="AB24" s="3"/>
      <c r="AC24" s="3"/>
      <c r="AD24" s="3"/>
      <c r="AE24" s="3"/>
    </row>
    <row r="25" spans="1:31" ht="16.5" x14ac:dyDescent="0.25">
      <c r="A25" s="28" t="s">
        <v>23</v>
      </c>
      <c r="B25" s="29">
        <f t="shared" si="0"/>
        <v>28968304</v>
      </c>
      <c r="C25" s="20">
        <v>13866191.27</v>
      </c>
      <c r="D25" s="29">
        <v>15102112.73</v>
      </c>
      <c r="E25" s="20">
        <v>0</v>
      </c>
      <c r="F25" s="20">
        <v>0</v>
      </c>
      <c r="G25" s="20">
        <v>0</v>
      </c>
      <c r="H25" s="20">
        <v>0</v>
      </c>
      <c r="I25" s="30" t="s">
        <v>62</v>
      </c>
      <c r="X25" s="3"/>
      <c r="Y25" s="3"/>
      <c r="Z25" s="3"/>
      <c r="AA25" s="3"/>
      <c r="AB25" s="3"/>
      <c r="AC25" s="3"/>
      <c r="AD25" s="3"/>
      <c r="AE25" s="3"/>
    </row>
    <row r="26" spans="1:31" ht="16.5" x14ac:dyDescent="0.25">
      <c r="A26" s="28" t="s">
        <v>24</v>
      </c>
      <c r="B26" s="29">
        <f t="shared" si="0"/>
        <v>44492550.350000001</v>
      </c>
      <c r="C26" s="20">
        <v>26656983.260000002</v>
      </c>
      <c r="D26" s="29">
        <v>17835567.09</v>
      </c>
      <c r="E26" s="20">
        <v>0</v>
      </c>
      <c r="F26" s="20">
        <v>0</v>
      </c>
      <c r="G26" s="20">
        <v>0</v>
      </c>
      <c r="H26" s="20">
        <v>0</v>
      </c>
      <c r="I26" s="30" t="s">
        <v>63</v>
      </c>
      <c r="X26" s="3"/>
      <c r="Y26" s="3"/>
      <c r="Z26" s="3"/>
      <c r="AA26" s="3"/>
      <c r="AB26" s="3"/>
      <c r="AC26" s="3"/>
      <c r="AD26" s="3"/>
      <c r="AE26" s="3"/>
    </row>
    <row r="27" spans="1:31" ht="16.5" x14ac:dyDescent="0.25">
      <c r="A27" s="28" t="s">
        <v>25</v>
      </c>
      <c r="B27" s="29">
        <f t="shared" si="0"/>
        <v>15456736.35</v>
      </c>
      <c r="C27" s="20">
        <v>7425633.7699999996</v>
      </c>
      <c r="D27" s="29">
        <v>7203361.1799999997</v>
      </c>
      <c r="E27" s="52">
        <v>254926.4</v>
      </c>
      <c r="F27" s="52">
        <v>572815</v>
      </c>
      <c r="G27" s="20">
        <v>0</v>
      </c>
      <c r="H27" s="20">
        <v>0</v>
      </c>
      <c r="I27" s="30" t="s">
        <v>27</v>
      </c>
      <c r="X27" s="3"/>
      <c r="Y27" s="3"/>
      <c r="Z27" s="3"/>
      <c r="AA27" s="3"/>
      <c r="AB27" s="3"/>
      <c r="AC27" s="3"/>
      <c r="AD27" s="3"/>
      <c r="AE27" s="3"/>
    </row>
    <row r="28" spans="1:31" ht="16.5" x14ac:dyDescent="0.25">
      <c r="A28" s="28" t="s">
        <v>26</v>
      </c>
      <c r="B28" s="29">
        <f t="shared" si="0"/>
        <v>116663001.62</v>
      </c>
      <c r="C28" s="20">
        <v>41710651.420000002</v>
      </c>
      <c r="D28" s="29">
        <v>54353199.780000001</v>
      </c>
      <c r="E28" s="29">
        <v>943445.42</v>
      </c>
      <c r="F28" s="52">
        <v>19655705</v>
      </c>
      <c r="G28" s="20">
        <v>0</v>
      </c>
      <c r="H28" s="20">
        <v>0</v>
      </c>
      <c r="I28" s="30" t="s">
        <v>64</v>
      </c>
      <c r="X28" s="3"/>
      <c r="Y28" s="3"/>
      <c r="Z28" s="3"/>
      <c r="AA28" s="3"/>
      <c r="AB28" s="3"/>
      <c r="AC28" s="3"/>
      <c r="AD28" s="3"/>
      <c r="AE28" s="3"/>
    </row>
    <row r="29" spans="1:31" ht="18.75" x14ac:dyDescent="0.25">
      <c r="A29" s="41" t="s">
        <v>65</v>
      </c>
      <c r="B29" s="42">
        <f>SUM(C29:H29)</f>
        <v>175063121</v>
      </c>
      <c r="C29" s="53">
        <v>175063121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43" t="s">
        <v>66</v>
      </c>
      <c r="X29" s="3"/>
      <c r="Y29" s="3"/>
      <c r="Z29" s="3"/>
      <c r="AA29" s="3"/>
      <c r="AB29" s="3"/>
      <c r="AC29" s="3"/>
      <c r="AD29" s="3"/>
      <c r="AE29" s="3"/>
    </row>
    <row r="30" spans="1:31" s="45" customFormat="1" ht="17.25" x14ac:dyDescent="0.25">
      <c r="A30" s="44" t="s">
        <v>67</v>
      </c>
      <c r="I30" s="46"/>
      <c r="X30" s="47"/>
      <c r="Y30" s="47"/>
      <c r="Z30" s="47"/>
      <c r="AA30" s="47"/>
      <c r="AB30" s="47"/>
      <c r="AC30" s="47"/>
      <c r="AD30" s="47"/>
      <c r="AE30" s="47"/>
    </row>
    <row r="31" spans="1:31" s="45" customFormat="1" ht="17.25" x14ac:dyDescent="0.25">
      <c r="A31" s="48" t="s">
        <v>68</v>
      </c>
      <c r="I31" s="46"/>
      <c r="X31" s="47"/>
      <c r="Y31" s="47"/>
      <c r="Z31" s="47"/>
      <c r="AA31" s="47"/>
      <c r="AB31" s="47"/>
      <c r="AC31" s="47"/>
      <c r="AD31" s="47"/>
      <c r="AE31" s="47"/>
    </row>
    <row r="32" spans="1:31" s="45" customFormat="1" ht="17.25" x14ac:dyDescent="0.25">
      <c r="A32" s="44"/>
      <c r="I32" s="46"/>
      <c r="X32" s="47"/>
      <c r="Y32" s="47"/>
      <c r="Z32" s="47"/>
      <c r="AA32" s="47"/>
      <c r="AB32" s="47"/>
      <c r="AC32" s="47"/>
      <c r="AD32" s="47"/>
      <c r="AE32" s="47"/>
    </row>
    <row r="33" spans="1:32" s="45" customFormat="1" ht="17.25" x14ac:dyDescent="0.25">
      <c r="A33" s="44"/>
      <c r="I33" s="46"/>
      <c r="X33" s="47"/>
      <c r="Y33" s="47"/>
      <c r="Z33" s="47"/>
      <c r="AA33" s="47"/>
      <c r="AB33" s="47"/>
      <c r="AC33" s="47"/>
      <c r="AD33" s="47"/>
      <c r="AE33" s="47"/>
    </row>
    <row r="34" spans="1:32" ht="17.25" x14ac:dyDescent="0.25">
      <c r="A34" s="44"/>
      <c r="B34" s="45"/>
      <c r="C34" s="45"/>
      <c r="D34" s="45"/>
      <c r="E34" s="45"/>
      <c r="F34" s="45"/>
      <c r="G34" s="45"/>
      <c r="H34" s="45"/>
      <c r="I34" s="46"/>
    </row>
    <row r="38" spans="1:32" ht="38.25" x14ac:dyDescent="0.25">
      <c r="AA38" s="7" t="s">
        <v>31</v>
      </c>
      <c r="AB38" s="7" t="s">
        <v>0</v>
      </c>
      <c r="AC38" s="7" t="s">
        <v>32</v>
      </c>
      <c r="AD38" s="7" t="s">
        <v>33</v>
      </c>
      <c r="AE38" s="8" t="s">
        <v>69</v>
      </c>
      <c r="AF38" s="9" t="s">
        <v>34</v>
      </c>
    </row>
    <row r="39" spans="1:32" x14ac:dyDescent="0.25">
      <c r="AA39" s="2">
        <v>1087122618.7505</v>
      </c>
      <c r="AB39" s="2">
        <v>559923085.5999999</v>
      </c>
      <c r="AC39" s="2">
        <v>26149755.970000003</v>
      </c>
      <c r="AD39" s="2">
        <v>58616893</v>
      </c>
      <c r="AE39" s="2">
        <v>56607846.920000002</v>
      </c>
      <c r="AF39" s="2">
        <v>8870485.1999999993</v>
      </c>
    </row>
    <row r="42" spans="1:32" x14ac:dyDescent="0.25">
      <c r="A42" s="49"/>
      <c r="C42" s="50"/>
      <c r="D42" s="50"/>
      <c r="E42" s="50"/>
      <c r="F42" s="50"/>
      <c r="G42" s="50"/>
      <c r="H42" s="50"/>
    </row>
    <row r="43" spans="1:32" x14ac:dyDescent="0.25">
      <c r="A43" s="49"/>
      <c r="B43" s="51"/>
      <c r="C43" s="50"/>
      <c r="D43" s="50"/>
      <c r="E43" s="50"/>
      <c r="F43" s="50"/>
      <c r="G43" s="50"/>
      <c r="H43" s="50"/>
    </row>
    <row r="45" spans="1:32" x14ac:dyDescent="0.25">
      <c r="A45" s="49"/>
      <c r="B45" s="51"/>
      <c r="C45" s="50"/>
      <c r="D45" s="50"/>
      <c r="E45" s="50"/>
      <c r="F45" s="50"/>
      <c r="G45" s="50"/>
      <c r="H45" s="50"/>
    </row>
    <row r="46" spans="1:32" x14ac:dyDescent="0.25">
      <c r="G46" s="50"/>
      <c r="H46" s="50"/>
    </row>
    <row r="47" spans="1:32" x14ac:dyDescent="0.25">
      <c r="G47" s="50"/>
      <c r="H47" s="50"/>
    </row>
    <row r="48" spans="1:32" x14ac:dyDescent="0.25">
      <c r="G48" s="50"/>
      <c r="H48" s="50"/>
    </row>
    <row r="49" spans="1:10" x14ac:dyDescent="0.25">
      <c r="G49" s="50"/>
      <c r="H49" s="50"/>
    </row>
    <row r="50" spans="1:10" x14ac:dyDescent="0.25">
      <c r="G50" s="50"/>
      <c r="H50" s="50"/>
    </row>
    <row r="51" spans="1:10" x14ac:dyDescent="0.25">
      <c r="G51" s="50"/>
      <c r="H51" s="50"/>
    </row>
    <row r="52" spans="1:10" x14ac:dyDescent="0.25">
      <c r="G52" s="50"/>
      <c r="H52" s="50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21" x14ac:dyDescent="0.55000000000000004">
      <c r="A58" s="75"/>
      <c r="B58" s="75"/>
      <c r="C58" s="75"/>
      <c r="D58" s="75"/>
      <c r="E58" s="75"/>
      <c r="F58" s="75"/>
      <c r="G58" s="75"/>
      <c r="H58" s="75"/>
      <c r="I58" s="75"/>
      <c r="J58" s="3"/>
    </row>
    <row r="59" spans="1:10" x14ac:dyDescent="0.25">
      <c r="A59" s="72"/>
      <c r="B59" s="72"/>
      <c r="C59" s="72"/>
      <c r="D59" s="72"/>
      <c r="E59" s="72"/>
      <c r="F59" s="72"/>
      <c r="G59" s="72"/>
      <c r="H59" s="72"/>
      <c r="I59" s="72"/>
      <c r="J59" s="3"/>
    </row>
    <row r="60" spans="1:10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3"/>
    </row>
    <row r="61" spans="1:10" x14ac:dyDescent="0.25">
      <c r="A61" s="69"/>
      <c r="B61" s="14"/>
      <c r="C61" s="15"/>
      <c r="D61" s="15"/>
      <c r="E61" s="15"/>
      <c r="F61" s="15"/>
      <c r="G61" s="16"/>
      <c r="H61" s="17"/>
      <c r="I61" s="70"/>
      <c r="J61" s="3"/>
    </row>
    <row r="62" spans="1:10" ht="18.75" x14ac:dyDescent="0.25">
      <c r="A62" s="69"/>
      <c r="B62" s="4"/>
      <c r="C62" s="18"/>
      <c r="D62" s="18"/>
      <c r="E62" s="18"/>
      <c r="F62" s="18"/>
      <c r="G62" s="4"/>
      <c r="H62" s="4"/>
      <c r="I62" s="70"/>
      <c r="J62" s="3"/>
    </row>
    <row r="63" spans="1:10" ht="18.75" x14ac:dyDescent="0.25">
      <c r="A63" s="19"/>
      <c r="B63" s="55"/>
      <c r="C63" s="55"/>
      <c r="D63" s="55"/>
      <c r="E63" s="55"/>
      <c r="F63" s="55"/>
      <c r="G63" s="55"/>
      <c r="H63" s="55"/>
      <c r="I63" s="56"/>
      <c r="J63" s="3"/>
    </row>
    <row r="64" spans="1:10" ht="18.75" x14ac:dyDescent="0.25">
      <c r="A64" s="26"/>
      <c r="B64" s="57"/>
      <c r="C64" s="57"/>
      <c r="D64" s="57"/>
      <c r="E64" s="57"/>
      <c r="F64" s="57"/>
      <c r="G64" s="57"/>
      <c r="H64" s="57"/>
      <c r="I64" s="56"/>
      <c r="J64" s="3"/>
    </row>
    <row r="65" spans="1:10" ht="18.75" x14ac:dyDescent="0.25">
      <c r="A65" s="26"/>
      <c r="B65" s="57"/>
      <c r="C65" s="57"/>
      <c r="D65" s="57"/>
      <c r="E65" s="57"/>
      <c r="F65" s="57"/>
      <c r="G65" s="20"/>
      <c r="H65" s="20"/>
      <c r="I65" s="56"/>
      <c r="J65" s="3"/>
    </row>
    <row r="66" spans="1:10" ht="16.5" x14ac:dyDescent="0.25">
      <c r="A66" s="28"/>
      <c r="B66" s="58"/>
      <c r="C66" s="20"/>
      <c r="D66" s="58"/>
      <c r="E66" s="20"/>
      <c r="F66" s="20"/>
      <c r="G66" s="20"/>
      <c r="H66" s="20"/>
      <c r="I66" s="30"/>
      <c r="J66" s="3"/>
    </row>
    <row r="67" spans="1:10" ht="16.5" x14ac:dyDescent="0.25">
      <c r="A67" s="28"/>
      <c r="B67" s="58"/>
      <c r="C67" s="20"/>
      <c r="D67" s="58"/>
      <c r="E67" s="58"/>
      <c r="F67" s="20"/>
      <c r="G67" s="20"/>
      <c r="H67" s="20"/>
      <c r="I67" s="30"/>
      <c r="J67" s="3"/>
    </row>
    <row r="68" spans="1:10" ht="16.5" x14ac:dyDescent="0.25">
      <c r="A68" s="28"/>
      <c r="B68" s="58"/>
      <c r="C68" s="20"/>
      <c r="D68" s="58"/>
      <c r="E68" s="20"/>
      <c r="F68" s="20"/>
      <c r="G68" s="20"/>
      <c r="H68" s="20"/>
      <c r="I68" s="30"/>
      <c r="J68" s="3"/>
    </row>
    <row r="69" spans="1:10" ht="16.5" x14ac:dyDescent="0.25">
      <c r="A69" s="28"/>
      <c r="B69" s="58"/>
      <c r="C69" s="20"/>
      <c r="D69" s="58"/>
      <c r="E69" s="20"/>
      <c r="F69" s="20"/>
      <c r="G69" s="20"/>
      <c r="H69" s="20"/>
      <c r="I69" s="30"/>
      <c r="J69" s="3"/>
    </row>
    <row r="70" spans="1:10" ht="16.5" x14ac:dyDescent="0.25">
      <c r="A70" s="28"/>
      <c r="B70" s="58"/>
      <c r="C70" s="20"/>
      <c r="D70" s="58"/>
      <c r="E70" s="20"/>
      <c r="F70" s="20"/>
      <c r="G70" s="20"/>
      <c r="H70" s="20"/>
      <c r="I70" s="30"/>
      <c r="J70" s="3"/>
    </row>
    <row r="71" spans="1:10" ht="16.5" x14ac:dyDescent="0.25">
      <c r="A71" s="28"/>
      <c r="B71" s="58"/>
      <c r="C71" s="20"/>
      <c r="D71" s="58"/>
      <c r="E71" s="20"/>
      <c r="F71" s="20"/>
      <c r="G71" s="20"/>
      <c r="H71" s="20"/>
      <c r="I71" s="30"/>
      <c r="J71" s="3"/>
    </row>
    <row r="72" spans="1:10" ht="16.5" x14ac:dyDescent="0.25">
      <c r="A72" s="28"/>
      <c r="B72" s="58"/>
      <c r="C72" s="20"/>
      <c r="D72" s="58"/>
      <c r="E72" s="20"/>
      <c r="F72" s="20"/>
      <c r="G72" s="20"/>
      <c r="H72" s="20"/>
      <c r="I72" s="30"/>
      <c r="J72" s="3"/>
    </row>
    <row r="73" spans="1:10" ht="16.5" x14ac:dyDescent="0.25">
      <c r="A73" s="28"/>
      <c r="B73" s="58"/>
      <c r="C73" s="20"/>
      <c r="D73" s="58"/>
      <c r="E73" s="20"/>
      <c r="F73" s="20"/>
      <c r="G73" s="20"/>
      <c r="H73" s="20"/>
      <c r="I73" s="30"/>
      <c r="J73" s="3"/>
    </row>
    <row r="74" spans="1:10" ht="16.5" x14ac:dyDescent="0.25">
      <c r="A74" s="33"/>
      <c r="B74" s="58"/>
      <c r="C74" s="20"/>
      <c r="D74" s="58"/>
      <c r="E74" s="20"/>
      <c r="F74" s="20"/>
      <c r="G74" s="20"/>
      <c r="H74" s="20"/>
      <c r="I74" s="30"/>
      <c r="J74" s="3"/>
    </row>
    <row r="75" spans="1:10" ht="16.5" x14ac:dyDescent="0.25">
      <c r="A75" s="28"/>
      <c r="B75" s="58"/>
      <c r="C75" s="20"/>
      <c r="D75" s="58"/>
      <c r="E75" s="20"/>
      <c r="F75" s="59"/>
      <c r="G75" s="20"/>
      <c r="H75" s="20"/>
      <c r="I75" s="30"/>
      <c r="J75" s="3"/>
    </row>
    <row r="76" spans="1:10" ht="16.5" x14ac:dyDescent="0.25">
      <c r="A76" s="28"/>
      <c r="B76" s="58"/>
      <c r="C76" s="20"/>
      <c r="D76" s="59"/>
      <c r="E76" s="20"/>
      <c r="F76" s="20"/>
      <c r="G76" s="20"/>
      <c r="H76" s="20"/>
      <c r="I76" s="30"/>
      <c r="J76" s="3"/>
    </row>
    <row r="77" spans="1:10" ht="16.5" x14ac:dyDescent="0.25">
      <c r="A77" s="28"/>
      <c r="B77" s="58"/>
      <c r="C77" s="20"/>
      <c r="D77" s="58"/>
      <c r="E77" s="20"/>
      <c r="F77" s="20"/>
      <c r="G77" s="20"/>
      <c r="H77" s="20"/>
      <c r="I77" s="30"/>
      <c r="J77" s="3"/>
    </row>
    <row r="78" spans="1:10" ht="16.5" x14ac:dyDescent="0.25">
      <c r="A78" s="28"/>
      <c r="B78" s="58"/>
      <c r="C78" s="20"/>
      <c r="D78" s="58"/>
      <c r="E78" s="20"/>
      <c r="F78" s="20"/>
      <c r="G78" s="20"/>
      <c r="H78" s="20"/>
      <c r="I78" s="30"/>
      <c r="J78" s="3"/>
    </row>
    <row r="79" spans="1:10" ht="16.5" x14ac:dyDescent="0.25">
      <c r="A79" s="28"/>
      <c r="B79" s="58"/>
      <c r="C79" s="20"/>
      <c r="D79" s="58"/>
      <c r="E79" s="20"/>
      <c r="F79" s="20"/>
      <c r="G79" s="20"/>
      <c r="H79" s="20"/>
      <c r="I79" s="30"/>
      <c r="J79" s="3"/>
    </row>
    <row r="80" spans="1:10" ht="16.5" x14ac:dyDescent="0.25">
      <c r="A80" s="28"/>
      <c r="B80" s="58"/>
      <c r="C80" s="20"/>
      <c r="D80" s="58"/>
      <c r="E80" s="20"/>
      <c r="F80" s="20"/>
      <c r="G80" s="20"/>
      <c r="H80" s="20"/>
      <c r="I80" s="30"/>
      <c r="J80" s="3"/>
    </row>
    <row r="81" spans="1:10" ht="16.5" x14ac:dyDescent="0.25">
      <c r="A81" s="28"/>
      <c r="B81" s="58"/>
      <c r="C81" s="20"/>
      <c r="D81" s="58"/>
      <c r="E81" s="20"/>
      <c r="F81" s="20"/>
      <c r="G81" s="20"/>
      <c r="H81" s="20"/>
      <c r="I81" s="30"/>
      <c r="J81" s="3"/>
    </row>
    <row r="82" spans="1:10" ht="16.5" x14ac:dyDescent="0.25">
      <c r="A82" s="28"/>
      <c r="B82" s="58"/>
      <c r="C82" s="20"/>
      <c r="D82" s="58"/>
      <c r="E82" s="20"/>
      <c r="F82" s="20"/>
      <c r="G82" s="20"/>
      <c r="H82" s="20"/>
      <c r="I82" s="30"/>
      <c r="J82" s="3"/>
    </row>
    <row r="83" spans="1:10" ht="16.5" x14ac:dyDescent="0.25">
      <c r="A83" s="28"/>
      <c r="B83" s="58"/>
      <c r="C83" s="20"/>
      <c r="D83" s="58"/>
      <c r="E83" s="20"/>
      <c r="F83" s="20"/>
      <c r="G83" s="20"/>
      <c r="H83" s="20"/>
      <c r="I83" s="30"/>
      <c r="J83" s="3"/>
    </row>
    <row r="84" spans="1:10" ht="16.5" x14ac:dyDescent="0.25">
      <c r="A84" s="28"/>
      <c r="B84" s="58"/>
      <c r="C84" s="20"/>
      <c r="D84" s="58"/>
      <c r="E84" s="59"/>
      <c r="F84" s="59"/>
      <c r="G84" s="20"/>
      <c r="H84" s="20"/>
      <c r="I84" s="30"/>
      <c r="J84" s="3"/>
    </row>
    <row r="85" spans="1:10" ht="16.5" x14ac:dyDescent="0.25">
      <c r="A85" s="28"/>
      <c r="B85" s="58"/>
      <c r="C85" s="20"/>
      <c r="D85" s="58"/>
      <c r="E85" s="58"/>
      <c r="F85" s="59"/>
      <c r="G85" s="20"/>
      <c r="H85" s="20"/>
      <c r="I85" s="30"/>
      <c r="J85" s="3"/>
    </row>
    <row r="86" spans="1:10" ht="18.75" x14ac:dyDescent="0.25">
      <c r="A86" s="60"/>
      <c r="B86" s="61"/>
      <c r="C86" s="62"/>
      <c r="D86" s="20"/>
      <c r="E86" s="20"/>
      <c r="F86" s="20"/>
      <c r="G86" s="20"/>
      <c r="H86" s="20"/>
      <c r="I86" s="63"/>
      <c r="J86" s="3"/>
    </row>
    <row r="87" spans="1:10" ht="17.25" x14ac:dyDescent="0.25">
      <c r="A87" s="64"/>
      <c r="B87" s="47"/>
      <c r="C87" s="47"/>
      <c r="D87" s="47"/>
      <c r="E87" s="47"/>
      <c r="F87" s="47"/>
      <c r="G87" s="47"/>
      <c r="H87" s="47"/>
      <c r="I87" s="65"/>
      <c r="J87" s="3"/>
    </row>
    <row r="88" spans="1:10" ht="17.25" x14ac:dyDescent="0.25">
      <c r="A88" s="66"/>
      <c r="B88" s="47"/>
      <c r="C88" s="47"/>
      <c r="D88" s="47"/>
      <c r="E88" s="47"/>
      <c r="F88" s="47"/>
      <c r="G88" s="47"/>
      <c r="H88" s="47"/>
      <c r="I88" s="65"/>
      <c r="J88" s="3"/>
    </row>
    <row r="89" spans="1:10" ht="17.25" x14ac:dyDescent="0.25">
      <c r="A89" s="64"/>
      <c r="B89" s="47"/>
      <c r="C89" s="47"/>
      <c r="D89" s="47"/>
      <c r="E89" s="47"/>
      <c r="F89" s="47"/>
      <c r="G89" s="47"/>
      <c r="H89" s="47"/>
      <c r="I89" s="65"/>
      <c r="J89" s="3"/>
    </row>
    <row r="90" spans="1:1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</sheetData>
  <mergeCells count="8">
    <mergeCell ref="A61:A62"/>
    <mergeCell ref="I61:I62"/>
    <mergeCell ref="A1:I1"/>
    <mergeCell ref="A2:I2"/>
    <mergeCell ref="A4:A5"/>
    <mergeCell ref="I4:I5"/>
    <mergeCell ref="A58:I58"/>
    <mergeCell ref="A59:I59"/>
  </mergeCells>
  <pageMargins left="0.7" right="0.7" top="0.75" bottom="0.75" header="0.3" footer="0.3"/>
  <pageSetup paperSize="9" scale="6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18.20</vt:lpstr>
      <vt:lpstr>'18.20'!Print_Area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2018-05-28T06:43:24Z</cp:lastPrinted>
  <dcterms:modified xsi:type="dcterms:W3CDTF">2018-05-28T06:43:30Z</dcterms:modified>
</cp:coreProperties>
</file>