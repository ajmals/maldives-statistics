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New folder\"/>
    </mc:Choice>
  </mc:AlternateContent>
  <bookViews>
    <workbookView xWindow="0" yWindow="0" windowWidth="28800" windowHeight="12330" tabRatio="761"/>
  </bookViews>
  <sheets>
    <sheet name="18.13" sheetId="13" r:id="rId1"/>
  </sheets>
  <definedNames>
    <definedName name="_xlnm.Print_Area" localSheetId="0">'18.13'!$A$1:$I$52</definedName>
  </definedNames>
  <calcPr calcId="162913"/>
</workbook>
</file>

<file path=xl/calcChain.xml><?xml version="1.0" encoding="utf-8"?>
<calcChain xmlns="http://schemas.openxmlformats.org/spreadsheetml/2006/main">
  <c r="G7" i="13" l="1"/>
  <c r="C6" i="13"/>
  <c r="D6" i="13"/>
  <c r="E6" i="13"/>
  <c r="F6" i="13"/>
  <c r="B6" i="13"/>
  <c r="G31" i="13" l="1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6" i="13" l="1"/>
  <c r="H19" i="13" l="1"/>
  <c r="H11" i="13"/>
  <c r="H15" i="13"/>
  <c r="H7" i="13"/>
  <c r="H9" i="13"/>
  <c r="H8" i="13"/>
  <c r="H12" i="13"/>
  <c r="H29" i="13"/>
  <c r="H16" i="13"/>
  <c r="H21" i="13"/>
  <c r="H17" i="13"/>
  <c r="H31" i="13"/>
  <c r="H30" i="13"/>
  <c r="H26" i="13"/>
  <c r="H22" i="13"/>
  <c r="H18" i="13"/>
  <c r="H6" i="13"/>
  <c r="H28" i="13"/>
  <c r="H24" i="13"/>
  <c r="H14" i="13"/>
  <c r="H10" i="13"/>
  <c r="H25" i="13"/>
  <c r="H13" i="13"/>
  <c r="H20" i="13"/>
  <c r="H27" i="13"/>
  <c r="H23" i="13"/>
</calcChain>
</file>

<file path=xl/sharedStrings.xml><?xml version="1.0" encoding="utf-8"?>
<sst xmlns="http://schemas.openxmlformats.org/spreadsheetml/2006/main" count="66" uniqueCount="65">
  <si>
    <t>% share</t>
  </si>
  <si>
    <t>ޖުމްލަ</t>
  </si>
  <si>
    <t>Total</t>
  </si>
  <si>
    <t>Source: Maldives Pension Administration</t>
  </si>
  <si>
    <t>މަޢުލޫމާތު ދެއްވި ފަރާތް: މޯލްޑިވްސް ޕެންޝަން އެޑްމިނިސްޓްރޭޝަން</t>
  </si>
  <si>
    <t>Sector</t>
  </si>
  <si>
    <t xml:space="preserve">މަސައްކަތްކުރާ ތަނުގެ ދާއިރާ </t>
  </si>
  <si>
    <t>0-9</t>
  </si>
  <si>
    <t>10-49</t>
  </si>
  <si>
    <t>50-99</t>
  </si>
  <si>
    <t>100-299</t>
  </si>
  <si>
    <t>&gt;300</t>
  </si>
  <si>
    <t>Agriculture</t>
  </si>
  <si>
    <t>ދަނޑުވެރިކަން</t>
  </si>
  <si>
    <t>Air Transportation</t>
  </si>
  <si>
    <t>ވައިގެ ދަތުރުފަތުރު</t>
  </si>
  <si>
    <t>Clothing industry</t>
  </si>
  <si>
    <t xml:space="preserve">އަންނައުނު </t>
  </si>
  <si>
    <t>Coffee, tea shops</t>
  </si>
  <si>
    <t>ކޮފީ ޝޮޕް، ސައި ހޮޓާ</t>
  </si>
  <si>
    <t>Construction</t>
  </si>
  <si>
    <t>އިމާރާތްކުރުން</t>
  </si>
  <si>
    <t>Electricity</t>
  </si>
  <si>
    <t>ކަރަންޓް</t>
  </si>
  <si>
    <t>Financial sector, Banks, Investment Funds, Insurance companies Investment</t>
  </si>
  <si>
    <t>ފައިސާގެ ޚިދުމަތް، ބެންކް، އިންވެސްޓްމަންޓް ފަންޑް، އިންޝުއަރެންސް ކުންފުނިތަކުގެ އިންވެސްޓްމަންޓް</t>
  </si>
  <si>
    <t>Fishing Industry</t>
  </si>
  <si>
    <t>މަސްވެރިކަމުގެ ދާއިރާ</t>
  </si>
  <si>
    <t>Garbage, and Recycling industry</t>
  </si>
  <si>
    <t>ކުނި އަދި ރީސައިކަލްކުރުން</t>
  </si>
  <si>
    <t>Government agencies, public institutions</t>
  </si>
  <si>
    <t xml:space="preserve">ސަރުކާރުގެ އޮފީސްތަކާއި ކުންފުނިތައް </t>
  </si>
  <si>
    <t>Health Sector, hospitals, clinics</t>
  </si>
  <si>
    <t>ޞިއްޚީ ޙިދުމަތް، ހޮސްޕިޓަލް އަދި ކްލިނިކްތައް</t>
  </si>
  <si>
    <t>Hotels, Tourist resorts, travel agencies</t>
  </si>
  <si>
    <t>ހޮޓާ، ރިސޯޓް، ޓްރެވަލް އޭޖެންސީ</t>
  </si>
  <si>
    <t xml:space="preserve">Housing Development </t>
  </si>
  <si>
    <t>ހައުސިންގ ޑިވެލޮޕްމަންޓް</t>
  </si>
  <si>
    <t>Land Transportation, taxis, buses etc</t>
  </si>
  <si>
    <t>އެއްގަމު ދަތުރުފަތުރު، ޓެކްސީ، ބަސް ފަދަ</t>
  </si>
  <si>
    <t>Mining Industry</t>
  </si>
  <si>
    <t>ގަލާއި ވެލިނެގުން</t>
  </si>
  <si>
    <t>Pharmacies</t>
  </si>
  <si>
    <t>ބޭސް ފިހާރަތައް</t>
  </si>
  <si>
    <t>Restaurants</t>
  </si>
  <si>
    <t>ރެސްޓޯރަންޓްތައް</t>
  </si>
  <si>
    <t>Sales of Motor Vehicles</t>
  </si>
  <si>
    <t>ސްޕެއަރޕާޓް ވިއްކުން</t>
  </si>
  <si>
    <t>Schools and educational centers</t>
  </si>
  <si>
    <t>ސްކޫލްތަކާއި ތަޢުލީމްދޭ މަރުކަޒުތައް</t>
  </si>
  <si>
    <t>Sea Transportation, shipping</t>
  </si>
  <si>
    <t xml:space="preserve">ކަނޑުދަތުރުފަތުރު، ޝިޕިންގ </t>
  </si>
  <si>
    <t>Shops, small and medium commercial retail</t>
  </si>
  <si>
    <t>ކުދި އަދި މެދުފަންތީގެ ވިޔަފާރި</t>
  </si>
  <si>
    <t>Telecommunications</t>
  </si>
  <si>
    <t>މުވާސަލާތީ ޚިދުމަތް</t>
  </si>
  <si>
    <t>Water processing</t>
  </si>
  <si>
    <t>ފެން އުފެއްދުން</t>
  </si>
  <si>
    <t>Wholesale retailers</t>
  </si>
  <si>
    <t>ހޯލްސޭލް ރީޓެއިލާރސް</t>
  </si>
  <si>
    <t>Others</t>
  </si>
  <si>
    <t>އެހެނިހެން</t>
  </si>
  <si>
    <t>Employment size</t>
  </si>
  <si>
    <t>ތާވަލު  18.13 : އެކި ދާއިރާތަކުން ރިޓާޔަމަންޓް ޕެންޝަން ސްކީމްގައި ރެޖިސްޓަރކޮށްފައިވާ މުވައްޒަފުންގެ ޢަދަދު، ތަނުގެމުވައްޒަފުންގެ ގިންތިން، 2017</t>
  </si>
  <si>
    <t>TABLE   18.13: EMPLOYEES  REGISTERED IN THE RETIREMENT PENSION SCHEME, BY EMPLOYMENT SIZE, END 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</si>
</sst>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_);_(* \(#,##0\);_(* &quot;-&quot;??_);_(@_)"/>
    <numFmt numFmtId="165" formatCode="0.0"/>
  </numFmts>
  <fonts count="11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10"/>
      <color rgb="FF000000"/>
      <name val="Calibri"/>
      <family val="2"/>
    </font>
    <font>
      <sz val="10"/>
      <color rgb="FF000000"/>
      <name val="Faruma"/>
    </font>
    <font>
      <sz val="9"/>
      <color rgb="FF000000"/>
      <name val="Faruma"/>
    </font>
    <font>
      <b/>
      <sz val="12"/>
      <color rgb="FF000000"/>
      <name val="Consolas"/>
      <family val="3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0" fillId="0" borderId="0"/>
    <xf numFmtId="0" fontId="9" fillId="0" borderId="0"/>
  </cellStyleXfs>
  <cellXfs count="38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3" fillId="2" borderId="0" xfId="0" applyFont="1" applyFill="1" applyBorder="1"/>
    <xf numFmtId="0" fontId="1" fillId="2" borderId="0" xfId="0" applyFont="1" applyFill="1" applyBorder="1" applyAlignment="1"/>
    <xf numFmtId="0" fontId="4" fillId="2" borderId="0" xfId="0" applyFont="1" applyFill="1" applyBorder="1" applyAlignment="1"/>
    <xf numFmtId="0" fontId="4" fillId="2" borderId="3" xfId="0" applyFont="1" applyFill="1" applyBorder="1" applyAlignment="1"/>
    <xf numFmtId="0" fontId="0" fillId="2" borderId="0" xfId="0" applyFont="1" applyFill="1" applyBorder="1" applyAlignment="1">
      <alignment horizontal="left" vertical="center"/>
    </xf>
    <xf numFmtId="3" fontId="0" fillId="2" borderId="0" xfId="0" applyNumberFormat="1" applyFont="1" applyFill="1" applyBorder="1" applyAlignment="1">
      <alignment horizontal="right" vertical="center"/>
    </xf>
    <xf numFmtId="3" fontId="0" fillId="4" borderId="0" xfId="0" applyNumberFormat="1" applyFont="1" applyFill="1" applyBorder="1" applyAlignment="1">
      <alignment horizontal="right" vertical="center"/>
    </xf>
    <xf numFmtId="0" fontId="0" fillId="2" borderId="3" xfId="0" applyFont="1" applyFill="1" applyBorder="1" applyAlignment="1">
      <alignment horizontal="left" vertical="center"/>
    </xf>
    <xf numFmtId="3" fontId="0" fillId="2" borderId="3" xfId="0" applyNumberFormat="1" applyFont="1" applyFill="1" applyBorder="1" applyAlignment="1">
      <alignment horizontal="right" vertical="center"/>
    </xf>
    <xf numFmtId="3" fontId="0" fillId="4" borderId="3" xfId="0" applyNumberFormat="1" applyFont="1" applyFill="1" applyBorder="1" applyAlignment="1">
      <alignment horizontal="right" vertical="center"/>
    </xf>
    <xf numFmtId="0" fontId="7" fillId="2" borderId="0" xfId="0" applyFont="1" applyFill="1" applyBorder="1" applyAlignment="1"/>
    <xf numFmtId="0" fontId="5" fillId="2" borderId="0" xfId="0" applyFont="1" applyFill="1" applyBorder="1"/>
    <xf numFmtId="0" fontId="6" fillId="2" borderId="0" xfId="0" applyFont="1" applyFill="1" applyBorder="1"/>
    <xf numFmtId="3" fontId="3" fillId="2" borderId="1" xfId="0" applyNumberFormat="1" applyFont="1" applyFill="1" applyBorder="1" applyAlignment="1">
      <alignment horizontal="right" vertical="center"/>
    </xf>
    <xf numFmtId="0" fontId="0" fillId="2" borderId="0" xfId="0" applyFont="1" applyFill="1" applyBorder="1" applyAlignment="1">
      <alignment horizontal="left" vertical="center" wrapText="1"/>
    </xf>
    <xf numFmtId="165" fontId="0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 wrapText="1"/>
    </xf>
    <xf numFmtId="49" fontId="3" fillId="2" borderId="3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right" vertical="center"/>
    </xf>
    <xf numFmtId="3" fontId="0" fillId="4" borderId="0" xfId="0" applyNumberFormat="1" applyFont="1" applyFill="1" applyBorder="1" applyAlignment="1">
      <alignment horizontal="right" vertical="center" wrapText="1"/>
    </xf>
    <xf numFmtId="165" fontId="0" fillId="2" borderId="3" xfId="0" applyNumberFormat="1" applyFont="1" applyFill="1" applyBorder="1" applyAlignment="1">
      <alignment horizontal="right" vertical="center"/>
    </xf>
    <xf numFmtId="49" fontId="0" fillId="2" borderId="0" xfId="0" applyNumberFormat="1" applyFont="1" applyFill="1" applyBorder="1"/>
    <xf numFmtId="165" fontId="3" fillId="2" borderId="1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center" vertical="center" readingOrder="1"/>
    </xf>
    <xf numFmtId="0" fontId="3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/>
    </xf>
    <xf numFmtId="0" fontId="2" fillId="3" borderId="0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2" fillId="3" borderId="3" xfId="0" applyFont="1" applyFill="1" applyBorder="1"/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1052879008314961"/>
          <c:y val="0.25663307086614173"/>
          <c:w val="0.86731615738394652"/>
          <c:h val="0.57309384153067822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376092"/>
            </a:solidFill>
          </c:spPr>
          <c:invertIfNegative val="1"/>
          <c:cat>
            <c:strRef>
              <c:f>'18.13'!$B$5:$F$5</c:f>
              <c:strCache>
                <c:ptCount val="5"/>
                <c:pt idx="0">
                  <c:v>0-9</c:v>
                </c:pt>
                <c:pt idx="1">
                  <c:v>10-49</c:v>
                </c:pt>
                <c:pt idx="2">
                  <c:v>50-99</c:v>
                </c:pt>
                <c:pt idx="3">
                  <c:v>100-299</c:v>
                </c:pt>
                <c:pt idx="4">
                  <c:v>&gt;300</c:v>
                </c:pt>
              </c:strCache>
            </c:strRef>
          </c:cat>
          <c:val>
            <c:numRef>
              <c:f>'18.13'!$B$6:$F$6</c:f>
              <c:numCache>
                <c:formatCode>#,##0</c:formatCode>
                <c:ptCount val="5"/>
                <c:pt idx="0">
                  <c:v>1819</c:v>
                </c:pt>
                <c:pt idx="1">
                  <c:v>8049</c:v>
                </c:pt>
                <c:pt idx="2">
                  <c:v>8611</c:v>
                </c:pt>
                <c:pt idx="3">
                  <c:v>18799</c:v>
                </c:pt>
                <c:pt idx="4">
                  <c:v>30708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33C9-4CB7-AE44-832039426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670269472"/>
        <c:axId val="-1670270016"/>
      </c:barChart>
      <c:catAx>
        <c:axId val="-1670269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/>
                </a:pPr>
                <a:r>
                  <a:rPr lang="en-US"/>
                  <a:t>employment size</a:t>
                </a:r>
              </a:p>
            </c:rich>
          </c:tx>
          <c:layout>
            <c:manualLayout>
              <c:xMode val="edge"/>
              <c:yMode val="edge"/>
              <c:x val="0.45218234630623705"/>
              <c:y val="0.91478740157480321"/>
            </c:manualLayout>
          </c:layout>
          <c:overlay val="0"/>
        </c:title>
        <c:numFmt formatCode="General" sourceLinked="0"/>
        <c:majorTickMark val="cross"/>
        <c:minorTickMark val="cross"/>
        <c:tickLblPos val="nextTo"/>
        <c:txPr>
          <a:bodyPr/>
          <a:lstStyle/>
          <a:p>
            <a:pPr lvl="0">
              <a:defRPr/>
            </a:pPr>
            <a:endParaRPr lang="en-US"/>
          </a:p>
        </c:txPr>
        <c:crossAx val="-1670270016"/>
        <c:crosses val="autoZero"/>
        <c:auto val="1"/>
        <c:lblAlgn val="ctr"/>
        <c:lblOffset val="100"/>
        <c:noMultiLvlLbl val="1"/>
      </c:catAx>
      <c:valAx>
        <c:axId val="-1670270016"/>
        <c:scaling>
          <c:orientation val="minMax"/>
        </c:scaling>
        <c:delete val="0"/>
        <c:axPos val="l"/>
        <c:majorGridlines>
          <c:spPr>
            <a:ln>
              <a:solidFill>
                <a:srgbClr val="FFFFFF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1.5985769132557434E-2"/>
              <c:y val="0.4025732283464567"/>
            </c:manualLayout>
          </c:layout>
          <c:overlay val="0"/>
        </c:title>
        <c:numFmt formatCode="#,##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/>
            </a:pPr>
            <a:endParaRPr lang="en-US"/>
          </a:p>
        </c:txPr>
        <c:crossAx val="-1670269472"/>
        <c:crosses val="autoZero"/>
        <c:crossBetween val="between"/>
      </c:valAx>
      <c:spPr>
        <a:solidFill>
          <a:srgbClr val="FFFFFF"/>
        </a:solidFill>
        <a:ln>
          <a:solidFill>
            <a:schemeClr val="bg1">
              <a:lumMod val="75000"/>
            </a:schemeClr>
          </a:solidFill>
        </a:ln>
      </c:spPr>
    </c:plotArea>
    <c:plotVisOnly val="1"/>
    <c:dispBlanksAs val="zero"/>
    <c:showDLblsOverMax val="1"/>
  </c:chart>
  <c:spPr>
    <a:solidFill>
      <a:schemeClr val="bg1"/>
    </a:solidFill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933451</xdr:colOff>
      <xdr:row>32</xdr:row>
      <xdr:rowOff>161924</xdr:rowOff>
    </xdr:from>
    <xdr:to>
      <xdr:col>8</xdr:col>
      <xdr:colOff>838200</xdr:colOff>
      <xdr:row>50</xdr:row>
      <xdr:rowOff>19049</xdr:rowOff>
    </xdr:to>
    <xdr:graphicFrame macro=""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0</xdr:colOff>
      <xdr:row>0</xdr:row>
      <xdr:rowOff>0</xdr:rowOff>
    </xdr:from>
    <xdr:to>
      <xdr:col>9</xdr:col>
      <xdr:colOff>438150</xdr:colOff>
      <xdr:row>37</xdr:row>
      <xdr:rowOff>104775</xdr:rowOff>
    </xdr:to>
    <xdr:sp macro="" textlink="">
      <xdr:nvSpPr>
        <xdr:cNvPr id="2050" name="Rectangle 2" hidden="1"/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438150</xdr:colOff>
      <xdr:row>37</xdr:row>
      <xdr:rowOff>104775</xdr:rowOff>
    </xdr:to>
    <xdr:sp macro="" textlink="">
      <xdr:nvSpPr>
        <xdr:cNvPr id="3" name="AutoShape 2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438150</xdr:colOff>
      <xdr:row>37</xdr:row>
      <xdr:rowOff>104775</xdr:rowOff>
    </xdr:to>
    <xdr:sp macro="" textlink="">
      <xdr:nvSpPr>
        <xdr:cNvPr id="4" name="AutoShape 2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438150</xdr:colOff>
      <xdr:row>37</xdr:row>
      <xdr:rowOff>104775</xdr:rowOff>
    </xdr:to>
    <xdr:sp macro="" textlink="">
      <xdr:nvSpPr>
        <xdr:cNvPr id="5" name="AutoShape 2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438150</xdr:colOff>
      <xdr:row>37</xdr:row>
      <xdr:rowOff>104775</xdr:rowOff>
    </xdr:to>
    <xdr:sp macro="" textlink="">
      <xdr:nvSpPr>
        <xdr:cNvPr id="6" name="AutoShape 2"/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438150</xdr:colOff>
      <xdr:row>37</xdr:row>
      <xdr:rowOff>104775</xdr:rowOff>
    </xdr:to>
    <xdr:sp macro="" textlink="">
      <xdr:nvSpPr>
        <xdr:cNvPr id="2" name="AutoShape 2"/>
        <xdr:cNvSpPr>
          <a:spLocks noChangeArrowheads="1"/>
        </xdr:cNvSpPr>
      </xdr:nvSpPr>
      <xdr:spPr bwMode="auto">
        <a:xfrm>
          <a:off x="0" y="0"/>
          <a:ext cx="99822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2019301</xdr:colOff>
      <xdr:row>35</xdr:row>
      <xdr:rowOff>142875</xdr:rowOff>
    </xdr:from>
    <xdr:to>
      <xdr:col>8</xdr:col>
      <xdr:colOff>333376</xdr:colOff>
      <xdr:row>35</xdr:row>
      <xdr:rowOff>142875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 flipV="1">
          <a:off x="2019301" y="9182100"/>
          <a:ext cx="5505450" cy="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0.08993</cdr:x>
      <cdr:y>0.01449</cdr:y>
    </cdr:from>
    <cdr:to>
      <cdr:x>0.99195</cdr:x>
      <cdr:y>0.18551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638174" y="47626"/>
          <a:ext cx="6400800" cy="561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18.17: Employees registered in the retirement pension scheme, </a:t>
          </a:r>
        </a:p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by employment size, 2017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52"/>
  <sheetViews>
    <sheetView tabSelected="1" zoomScaleNormal="100" workbookViewId="0">
      <selection activeCell="S41" sqref="S41"/>
    </sheetView>
  </sheetViews>
  <sheetFormatPr defaultColWidth="15.140625" defaultRowHeight="15" customHeight="1" x14ac:dyDescent="0.25"/>
  <cols>
    <col min="1" max="1" width="35.42578125" style="2" customWidth="1"/>
    <col min="2" max="7" width="10.5703125" style="2" customWidth="1"/>
    <col min="8" max="8" width="9" style="2" customWidth="1"/>
    <col min="9" max="9" width="35.28515625" style="2" customWidth="1"/>
    <col min="10" max="26" width="8" style="2" customWidth="1"/>
    <col min="27" max="16384" width="15.140625" style="2"/>
  </cols>
  <sheetData>
    <row r="1" spans="1:26" ht="21" customHeight="1" x14ac:dyDescent="0.55000000000000004">
      <c r="A1" s="30" t="s">
        <v>63</v>
      </c>
      <c r="B1" s="31"/>
      <c r="C1" s="31"/>
      <c r="D1" s="31"/>
      <c r="E1" s="31"/>
      <c r="F1" s="31"/>
      <c r="G1" s="31"/>
      <c r="H1" s="31"/>
      <c r="I1" s="3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9" t="s">
        <v>64</v>
      </c>
      <c r="B2" s="31"/>
      <c r="C2" s="31"/>
      <c r="D2" s="31"/>
      <c r="E2" s="31"/>
      <c r="F2" s="31"/>
      <c r="G2" s="31"/>
      <c r="H2" s="31"/>
      <c r="I2" s="3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34" t="s">
        <v>5</v>
      </c>
      <c r="B4" s="32" t="s">
        <v>62</v>
      </c>
      <c r="C4" s="33"/>
      <c r="D4" s="33"/>
      <c r="E4" s="33"/>
      <c r="F4" s="33"/>
      <c r="G4" s="33"/>
      <c r="H4" s="37" t="s">
        <v>0</v>
      </c>
      <c r="I4" s="36" t="s">
        <v>6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5" customHeight="1" x14ac:dyDescent="0.25">
      <c r="A5" s="31"/>
      <c r="B5" s="20" t="s">
        <v>7</v>
      </c>
      <c r="C5" s="20" t="s">
        <v>8</v>
      </c>
      <c r="D5" s="20" t="s">
        <v>9</v>
      </c>
      <c r="E5" s="20" t="s">
        <v>10</v>
      </c>
      <c r="F5" s="21" t="s">
        <v>11</v>
      </c>
      <c r="G5" s="21" t="s">
        <v>2</v>
      </c>
      <c r="H5" s="35"/>
      <c r="I5" s="35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21" customHeight="1" x14ac:dyDescent="0.55000000000000004">
      <c r="A6" s="27" t="s">
        <v>2</v>
      </c>
      <c r="B6" s="16">
        <f>SUM(B7:B31)</f>
        <v>1819</v>
      </c>
      <c r="C6" s="16">
        <f t="shared" ref="C6:F6" si="0">SUM(C7:C31)</f>
        <v>8049</v>
      </c>
      <c r="D6" s="16">
        <f t="shared" si="0"/>
        <v>8611</v>
      </c>
      <c r="E6" s="16">
        <f t="shared" si="0"/>
        <v>18799</v>
      </c>
      <c r="F6" s="16">
        <f t="shared" si="0"/>
        <v>30708</v>
      </c>
      <c r="G6" s="16">
        <f>SUM(G7:G31)</f>
        <v>67986</v>
      </c>
      <c r="H6" s="25">
        <f>G6/G6*100</f>
        <v>100</v>
      </c>
      <c r="I6" s="4" t="s">
        <v>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1" customHeight="1" x14ac:dyDescent="0.55000000000000004">
      <c r="A7" s="7" t="s">
        <v>12</v>
      </c>
      <c r="B7" s="9">
        <v>5</v>
      </c>
      <c r="C7" s="9">
        <v>48</v>
      </c>
      <c r="D7" s="9">
        <v>78</v>
      </c>
      <c r="E7" s="9">
        <v>0</v>
      </c>
      <c r="F7" s="9">
        <v>0</v>
      </c>
      <c r="G7" s="8">
        <f>SUM(B7:F7)</f>
        <v>131</v>
      </c>
      <c r="H7" s="18">
        <f t="shared" ref="H7:H31" si="1">G7/$G$6*100</f>
        <v>0.19268672962080427</v>
      </c>
      <c r="I7" s="5" t="s">
        <v>13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" customHeight="1" x14ac:dyDescent="0.55000000000000004">
      <c r="A8" s="7" t="s">
        <v>14</v>
      </c>
      <c r="B8" s="9">
        <v>16</v>
      </c>
      <c r="C8" s="9">
        <v>29</v>
      </c>
      <c r="D8" s="9">
        <v>54</v>
      </c>
      <c r="E8" s="9">
        <v>433</v>
      </c>
      <c r="F8" s="9">
        <v>959</v>
      </c>
      <c r="G8" s="8">
        <f t="shared" ref="G8:G20" si="2">SUM(B8:F8)</f>
        <v>1491</v>
      </c>
      <c r="H8" s="18">
        <f t="shared" si="1"/>
        <v>2.1930985791192303</v>
      </c>
      <c r="I8" s="5" t="s">
        <v>15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" customHeight="1" x14ac:dyDescent="0.55000000000000004">
      <c r="A9" s="7" t="s">
        <v>16</v>
      </c>
      <c r="B9" s="9">
        <v>11</v>
      </c>
      <c r="C9" s="9">
        <v>13</v>
      </c>
      <c r="D9" s="9">
        <v>0</v>
      </c>
      <c r="E9" s="9">
        <v>0</v>
      </c>
      <c r="F9" s="9">
        <v>0</v>
      </c>
      <c r="G9" s="8">
        <f t="shared" si="2"/>
        <v>24</v>
      </c>
      <c r="H9" s="18">
        <f t="shared" si="1"/>
        <v>3.530138557938399E-2</v>
      </c>
      <c r="I9" s="5" t="s">
        <v>17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" customHeight="1" x14ac:dyDescent="0.55000000000000004">
      <c r="A10" s="7" t="s">
        <v>18</v>
      </c>
      <c r="B10" s="9">
        <v>3</v>
      </c>
      <c r="C10" s="9">
        <v>0</v>
      </c>
      <c r="D10" s="9">
        <v>0</v>
      </c>
      <c r="E10" s="9">
        <v>0</v>
      </c>
      <c r="F10" s="9">
        <v>0</v>
      </c>
      <c r="G10" s="8">
        <f t="shared" si="2"/>
        <v>3</v>
      </c>
      <c r="H10" s="18">
        <f t="shared" si="1"/>
        <v>4.4126731974229987E-3</v>
      </c>
      <c r="I10" s="5" t="s">
        <v>19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55000000000000004">
      <c r="A11" s="7" t="s">
        <v>20</v>
      </c>
      <c r="B11" s="9">
        <v>122</v>
      </c>
      <c r="C11" s="9">
        <v>395</v>
      </c>
      <c r="D11" s="9">
        <v>211</v>
      </c>
      <c r="E11" s="9">
        <v>474</v>
      </c>
      <c r="F11" s="9">
        <v>840</v>
      </c>
      <c r="G11" s="8">
        <f t="shared" si="2"/>
        <v>2042</v>
      </c>
      <c r="H11" s="18">
        <f t="shared" si="1"/>
        <v>3.0035595563792548</v>
      </c>
      <c r="I11" s="5" t="s">
        <v>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55000000000000004">
      <c r="A12" s="7" t="s">
        <v>22</v>
      </c>
      <c r="B12" s="9">
        <v>30</v>
      </c>
      <c r="C12" s="9">
        <v>0</v>
      </c>
      <c r="D12" s="9">
        <v>0</v>
      </c>
      <c r="E12" s="9">
        <v>143</v>
      </c>
      <c r="F12" s="9">
        <v>0</v>
      </c>
      <c r="G12" s="8">
        <f t="shared" si="2"/>
        <v>173</v>
      </c>
      <c r="H12" s="18">
        <f t="shared" si="1"/>
        <v>0.25446415438472625</v>
      </c>
      <c r="I12" s="5" t="s">
        <v>23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25">
      <c r="A13" s="17" t="s">
        <v>24</v>
      </c>
      <c r="B13" s="22">
        <v>103</v>
      </c>
      <c r="C13" s="22">
        <v>624</v>
      </c>
      <c r="D13" s="22">
        <v>312</v>
      </c>
      <c r="E13" s="22">
        <v>896</v>
      </c>
      <c r="F13" s="22">
        <v>2574</v>
      </c>
      <c r="G13" s="8">
        <f t="shared" si="2"/>
        <v>4509</v>
      </c>
      <c r="H13" s="18">
        <f t="shared" si="1"/>
        <v>6.6322478157267675</v>
      </c>
      <c r="I13" s="19" t="s">
        <v>25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3.25" customHeight="1" x14ac:dyDescent="0.55000000000000004">
      <c r="A14" s="7" t="s">
        <v>26</v>
      </c>
      <c r="B14" s="9">
        <v>11</v>
      </c>
      <c r="C14" s="9">
        <v>47</v>
      </c>
      <c r="D14" s="9">
        <v>62</v>
      </c>
      <c r="E14" s="9">
        <v>217</v>
      </c>
      <c r="F14" s="9">
        <v>880</v>
      </c>
      <c r="G14" s="8">
        <f t="shared" si="2"/>
        <v>1217</v>
      </c>
      <c r="H14" s="18">
        <f t="shared" si="1"/>
        <v>1.7900744270879299</v>
      </c>
      <c r="I14" s="5" t="s">
        <v>27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55000000000000004">
      <c r="A15" s="7" t="s">
        <v>28</v>
      </c>
      <c r="B15" s="9">
        <v>12</v>
      </c>
      <c r="C15" s="9">
        <v>62</v>
      </c>
      <c r="D15" s="9">
        <v>0</v>
      </c>
      <c r="E15" s="9">
        <v>0</v>
      </c>
      <c r="F15" s="9">
        <v>1114</v>
      </c>
      <c r="G15" s="8">
        <f t="shared" si="2"/>
        <v>1188</v>
      </c>
      <c r="H15" s="18">
        <f t="shared" si="1"/>
        <v>1.7474185861795075</v>
      </c>
      <c r="I15" s="5" t="s">
        <v>29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55000000000000004">
      <c r="A16" s="7" t="s">
        <v>30</v>
      </c>
      <c r="B16" s="9">
        <v>288</v>
      </c>
      <c r="C16" s="9">
        <v>3304</v>
      </c>
      <c r="D16" s="9">
        <v>4212</v>
      </c>
      <c r="E16" s="9">
        <v>7951</v>
      </c>
      <c r="F16" s="9">
        <v>14367</v>
      </c>
      <c r="G16" s="8">
        <f t="shared" si="2"/>
        <v>30122</v>
      </c>
      <c r="H16" s="18">
        <f t="shared" si="1"/>
        <v>44.306180684258521</v>
      </c>
      <c r="I16" s="5" t="s">
        <v>31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55000000000000004">
      <c r="A17" s="7" t="s">
        <v>32</v>
      </c>
      <c r="B17" s="9">
        <v>36</v>
      </c>
      <c r="C17" s="9">
        <v>245</v>
      </c>
      <c r="D17" s="9">
        <v>54</v>
      </c>
      <c r="E17" s="9">
        <v>238</v>
      </c>
      <c r="F17" s="9">
        <v>0</v>
      </c>
      <c r="G17" s="8">
        <f t="shared" si="2"/>
        <v>573</v>
      </c>
      <c r="H17" s="18">
        <f t="shared" si="1"/>
        <v>0.84282058070779287</v>
      </c>
      <c r="I17" s="5" t="s">
        <v>33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55000000000000004">
      <c r="A18" s="7" t="s">
        <v>34</v>
      </c>
      <c r="B18" s="9">
        <v>284</v>
      </c>
      <c r="C18" s="9">
        <v>1045</v>
      </c>
      <c r="D18" s="9">
        <v>1836</v>
      </c>
      <c r="E18" s="9">
        <v>6681</v>
      </c>
      <c r="F18" s="9">
        <v>4345</v>
      </c>
      <c r="G18" s="8">
        <f t="shared" si="2"/>
        <v>14191</v>
      </c>
      <c r="H18" s="18">
        <f t="shared" si="1"/>
        <v>20.873415114876593</v>
      </c>
      <c r="I18" s="5" t="s">
        <v>35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55000000000000004">
      <c r="A19" s="7" t="s">
        <v>36</v>
      </c>
      <c r="B19" s="9">
        <v>0</v>
      </c>
      <c r="C19" s="9">
        <v>35</v>
      </c>
      <c r="D19" s="9">
        <v>0</v>
      </c>
      <c r="E19" s="9">
        <v>0</v>
      </c>
      <c r="F19" s="9">
        <v>0</v>
      </c>
      <c r="G19" s="8">
        <f t="shared" si="2"/>
        <v>35</v>
      </c>
      <c r="H19" s="18">
        <f t="shared" si="1"/>
        <v>5.1481187303268318E-2</v>
      </c>
      <c r="I19" s="5" t="s">
        <v>37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55000000000000004">
      <c r="A20" s="7" t="s">
        <v>38</v>
      </c>
      <c r="B20" s="9">
        <v>12</v>
      </c>
      <c r="C20" s="9">
        <v>0</v>
      </c>
      <c r="D20" s="9">
        <v>0</v>
      </c>
      <c r="E20" s="9">
        <v>0</v>
      </c>
      <c r="F20" s="9">
        <v>0</v>
      </c>
      <c r="G20" s="8">
        <f t="shared" si="2"/>
        <v>12</v>
      </c>
      <c r="H20" s="18">
        <f t="shared" si="1"/>
        <v>1.7650692789691995E-2</v>
      </c>
      <c r="I20" s="5" t="s">
        <v>39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55000000000000004">
      <c r="A21" s="7" t="s">
        <v>40</v>
      </c>
      <c r="B21" s="9">
        <v>8</v>
      </c>
      <c r="C21" s="9">
        <v>0</v>
      </c>
      <c r="D21" s="9">
        <v>0</v>
      </c>
      <c r="E21" s="9">
        <v>0</v>
      </c>
      <c r="F21" s="9">
        <v>0</v>
      </c>
      <c r="G21" s="8">
        <f>B21+C21+D21+E21+F21</f>
        <v>8</v>
      </c>
      <c r="H21" s="18">
        <f t="shared" si="1"/>
        <v>1.1767128526461329E-2</v>
      </c>
      <c r="I21" s="5" t="s">
        <v>41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55000000000000004">
      <c r="A22" s="7" t="s">
        <v>42</v>
      </c>
      <c r="B22" s="9">
        <v>4</v>
      </c>
      <c r="C22" s="9">
        <v>18</v>
      </c>
      <c r="D22" s="9">
        <v>0</v>
      </c>
      <c r="E22" s="9">
        <v>0</v>
      </c>
      <c r="F22" s="9">
        <v>0</v>
      </c>
      <c r="G22" s="8">
        <f t="shared" ref="G22:G31" si="3">SUM(B22:F22)</f>
        <v>22</v>
      </c>
      <c r="H22" s="18">
        <f t="shared" si="1"/>
        <v>3.2359603447768663E-2</v>
      </c>
      <c r="I22" s="5" t="s">
        <v>43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55000000000000004">
      <c r="A23" s="7" t="s">
        <v>44</v>
      </c>
      <c r="B23" s="9">
        <v>25</v>
      </c>
      <c r="C23" s="9">
        <v>108</v>
      </c>
      <c r="D23" s="9">
        <v>0</v>
      </c>
      <c r="E23" s="9">
        <v>0</v>
      </c>
      <c r="F23" s="9">
        <v>0</v>
      </c>
      <c r="G23" s="8">
        <f t="shared" si="3"/>
        <v>133</v>
      </c>
      <c r="H23" s="18">
        <f t="shared" si="1"/>
        <v>0.1956285117524196</v>
      </c>
      <c r="I23" s="5" t="s">
        <v>45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55000000000000004">
      <c r="A24" s="7" t="s">
        <v>46</v>
      </c>
      <c r="B24" s="9">
        <v>2</v>
      </c>
      <c r="C24" s="9">
        <v>20</v>
      </c>
      <c r="D24" s="9">
        <v>62</v>
      </c>
      <c r="E24" s="9">
        <v>0</v>
      </c>
      <c r="F24" s="9">
        <v>0</v>
      </c>
      <c r="G24" s="8">
        <f t="shared" si="3"/>
        <v>84</v>
      </c>
      <c r="H24" s="18">
        <f t="shared" si="1"/>
        <v>0.12355484952784397</v>
      </c>
      <c r="I24" s="5" t="s">
        <v>47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55000000000000004">
      <c r="A25" s="7" t="s">
        <v>48</v>
      </c>
      <c r="B25" s="9">
        <v>23</v>
      </c>
      <c r="C25" s="9">
        <v>263</v>
      </c>
      <c r="D25" s="9">
        <v>145</v>
      </c>
      <c r="E25" s="9">
        <v>475</v>
      </c>
      <c r="F25" s="9">
        <v>0</v>
      </c>
      <c r="G25" s="8">
        <f t="shared" si="3"/>
        <v>906</v>
      </c>
      <c r="H25" s="18">
        <f t="shared" si="1"/>
        <v>1.3326273056217457</v>
      </c>
      <c r="I25" s="5" t="s">
        <v>49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55000000000000004">
      <c r="A26" s="7" t="s">
        <v>50</v>
      </c>
      <c r="B26" s="9">
        <v>97</v>
      </c>
      <c r="C26" s="9">
        <v>174</v>
      </c>
      <c r="D26" s="9">
        <v>219</v>
      </c>
      <c r="E26" s="9">
        <v>209</v>
      </c>
      <c r="F26" s="9">
        <v>2567</v>
      </c>
      <c r="G26" s="8">
        <f t="shared" si="3"/>
        <v>3266</v>
      </c>
      <c r="H26" s="18">
        <f t="shared" si="1"/>
        <v>4.8039302209278381</v>
      </c>
      <c r="I26" s="5" t="s">
        <v>51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55000000000000004">
      <c r="A27" s="7" t="s">
        <v>52</v>
      </c>
      <c r="B27" s="9">
        <v>560</v>
      </c>
      <c r="C27" s="9">
        <v>1061</v>
      </c>
      <c r="D27" s="9">
        <v>826</v>
      </c>
      <c r="E27" s="9">
        <v>725</v>
      </c>
      <c r="F27" s="9">
        <v>0</v>
      </c>
      <c r="G27" s="8">
        <f t="shared" si="3"/>
        <v>3172</v>
      </c>
      <c r="H27" s="18">
        <f t="shared" si="1"/>
        <v>4.6656664607419174</v>
      </c>
      <c r="I27" s="5" t="s">
        <v>53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55000000000000004">
      <c r="A28" s="7" t="s">
        <v>54</v>
      </c>
      <c r="B28" s="9">
        <v>24</v>
      </c>
      <c r="C28" s="9">
        <v>98</v>
      </c>
      <c r="D28" s="9">
        <v>181</v>
      </c>
      <c r="E28" s="9">
        <v>254</v>
      </c>
      <c r="F28" s="9">
        <v>1004</v>
      </c>
      <c r="G28" s="8">
        <f t="shared" si="3"/>
        <v>1561</v>
      </c>
      <c r="H28" s="18">
        <f t="shared" si="1"/>
        <v>2.296060953725767</v>
      </c>
      <c r="I28" s="5" t="s">
        <v>55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55000000000000004">
      <c r="A29" s="7" t="s">
        <v>56</v>
      </c>
      <c r="B29" s="9">
        <v>1</v>
      </c>
      <c r="C29" s="9">
        <v>25</v>
      </c>
      <c r="D29" s="9">
        <v>0</v>
      </c>
      <c r="E29" s="9">
        <v>0</v>
      </c>
      <c r="F29" s="9">
        <v>0</v>
      </c>
      <c r="G29" s="8">
        <f t="shared" si="3"/>
        <v>26</v>
      </c>
      <c r="H29" s="18">
        <f t="shared" si="1"/>
        <v>3.8243167710999323E-2</v>
      </c>
      <c r="I29" s="5" t="s">
        <v>57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55000000000000004">
      <c r="A30" s="7" t="s">
        <v>58</v>
      </c>
      <c r="B30" s="9">
        <v>121</v>
      </c>
      <c r="C30" s="9">
        <v>369</v>
      </c>
      <c r="D30" s="9">
        <v>359</v>
      </c>
      <c r="E30" s="9">
        <v>103</v>
      </c>
      <c r="F30" s="9">
        <v>2058</v>
      </c>
      <c r="G30" s="8">
        <f t="shared" si="3"/>
        <v>3010</v>
      </c>
      <c r="H30" s="18">
        <f t="shared" si="1"/>
        <v>4.4273821080810754</v>
      </c>
      <c r="I30" s="5" t="s">
        <v>59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55000000000000004">
      <c r="A31" s="10" t="s">
        <v>60</v>
      </c>
      <c r="B31" s="12">
        <v>21</v>
      </c>
      <c r="C31" s="12">
        <v>66</v>
      </c>
      <c r="D31" s="12">
        <v>0</v>
      </c>
      <c r="E31" s="12">
        <v>0</v>
      </c>
      <c r="F31" s="12">
        <v>0</v>
      </c>
      <c r="G31" s="11">
        <f t="shared" si="3"/>
        <v>87</v>
      </c>
      <c r="H31" s="23">
        <f t="shared" si="1"/>
        <v>0.12796752272526696</v>
      </c>
      <c r="I31" s="6" t="s">
        <v>61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.75" customHeight="1" x14ac:dyDescent="0.5">
      <c r="A32" s="14" t="s">
        <v>3</v>
      </c>
      <c r="B32" s="1"/>
      <c r="C32" s="1"/>
      <c r="D32" s="1"/>
      <c r="E32" s="1"/>
      <c r="F32" s="1"/>
      <c r="G32" s="1"/>
      <c r="H32" s="15"/>
      <c r="I32" s="13" t="s">
        <v>4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24"/>
      <c r="E33" s="2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2" spans="1:26" ht="15" customHeight="1" x14ac:dyDescent="0.25">
      <c r="I52" s="28"/>
    </row>
  </sheetData>
  <mergeCells count="6">
    <mergeCell ref="B4:G4"/>
    <mergeCell ref="A4:A5"/>
    <mergeCell ref="A2:I2"/>
    <mergeCell ref="A1:I1"/>
    <mergeCell ref="H4:H5"/>
    <mergeCell ref="I4:I5"/>
  </mergeCells>
  <pageMargins left="0.7" right="0.7" top="0.75" bottom="0.75" header="0.3" footer="0.3"/>
  <pageSetup paperSize="9" scale="75" orientation="landscape" horizontalDpi="4294967295" verticalDpi="4294967295" r:id="rId1"/>
  <rowBreaks count="1" manualBreakCount="1">
    <brk id="3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18.13</vt:lpstr>
      <vt:lpstr>'18.13'!Print_Area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2018-05-23T06:07:34Z</cp:lastPrinted>
  <dcterms:modified xsi:type="dcterms:W3CDTF">2018-05-23T06:07:40Z</dcterms:modified>
</cp:coreProperties>
</file>