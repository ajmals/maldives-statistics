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5" sheetId="15" r:id="rId1"/>
  </sheets>
  <definedNames>
    <definedName name="_xlnm.Print_Area" localSheetId="0">'18.15'!$A$1:$O$39</definedName>
  </definedNames>
  <calcPr calcId="162913"/>
</workbook>
</file>

<file path=xl/calcChain.xml><?xml version="1.0" encoding="utf-8"?>
<calcChain xmlns="http://schemas.openxmlformats.org/spreadsheetml/2006/main">
  <c r="L13" i="15" l="1"/>
  <c r="B19" i="15"/>
  <c r="B18" i="15"/>
  <c r="B17" i="15"/>
  <c r="B16" i="15"/>
  <c r="B15" i="15"/>
  <c r="L15" i="15" s="1"/>
  <c r="B14" i="15"/>
  <c r="L14" i="15" s="1"/>
  <c r="B13" i="15"/>
  <c r="B12" i="15"/>
  <c r="L12" i="15" s="1"/>
  <c r="B11" i="15"/>
  <c r="B10" i="15"/>
  <c r="B9" i="15"/>
  <c r="B8" i="15"/>
  <c r="D7" i="15"/>
  <c r="C7" i="15"/>
  <c r="L11" i="15" l="1"/>
  <c r="L19" i="15"/>
  <c r="L18" i="15"/>
  <c r="L10" i="15"/>
  <c r="L17" i="15"/>
  <c r="L9" i="15"/>
  <c r="L16" i="15"/>
  <c r="L8" i="15"/>
  <c r="B7" i="15"/>
  <c r="J9" i="15" s="1"/>
  <c r="J18" i="15" l="1"/>
  <c r="J10" i="15"/>
  <c r="J11" i="15"/>
  <c r="J17" i="15"/>
  <c r="J15" i="15"/>
  <c r="J14" i="15"/>
  <c r="J7" i="15"/>
  <c r="L7" i="15"/>
  <c r="J8" i="15"/>
  <c r="J12" i="15"/>
  <c r="J16" i="15"/>
  <c r="J19" i="15"/>
  <c r="J13" i="15"/>
  <c r="E19" i="15" l="1"/>
  <c r="M19" i="15" s="1"/>
  <c r="E18" i="15"/>
  <c r="M18" i="15" s="1"/>
  <c r="E17" i="15"/>
  <c r="M17" i="15" s="1"/>
  <c r="E16" i="15"/>
  <c r="M16" i="15" s="1"/>
  <c r="E15" i="15"/>
  <c r="M15" i="15" s="1"/>
  <c r="E14" i="15"/>
  <c r="M14" i="15" s="1"/>
  <c r="E13" i="15"/>
  <c r="M13" i="15" s="1"/>
  <c r="E12" i="15"/>
  <c r="M12" i="15" s="1"/>
  <c r="E11" i="15"/>
  <c r="M11" i="15" s="1"/>
  <c r="E10" i="15"/>
  <c r="M10" i="15" s="1"/>
  <c r="E9" i="15"/>
  <c r="M9" i="15" s="1"/>
  <c r="E8" i="15"/>
  <c r="M8" i="15" s="1"/>
  <c r="G7" i="15"/>
  <c r="F7" i="15"/>
  <c r="H8" i="15" l="1"/>
  <c r="E7" i="15"/>
  <c r="K7" i="15" s="1"/>
  <c r="M7" i="15" l="1"/>
  <c r="K8" i="15"/>
  <c r="H17" i="15"/>
  <c r="K19" i="15"/>
  <c r="K17" i="15"/>
  <c r="K15" i="15"/>
  <c r="I17" i="15"/>
  <c r="H15" i="15"/>
  <c r="I15" i="15"/>
  <c r="H13" i="15"/>
  <c r="I8" i="15"/>
  <c r="I13" i="15"/>
  <c r="H18" i="15"/>
  <c r="H16" i="15"/>
  <c r="H14" i="15"/>
  <c r="H12" i="15"/>
  <c r="H9" i="15"/>
  <c r="H7" i="15"/>
  <c r="K18" i="15"/>
  <c r="K16" i="15"/>
  <c r="K14" i="15"/>
  <c r="K12" i="15"/>
  <c r="K10" i="15"/>
  <c r="K9" i="15"/>
  <c r="K11" i="15"/>
  <c r="K13" i="15"/>
  <c r="H19" i="15"/>
  <c r="I18" i="15"/>
  <c r="I16" i="15"/>
  <c r="I14" i="15"/>
  <c r="I12" i="15"/>
  <c r="I9" i="15"/>
  <c r="I7" i="15"/>
  <c r="I19" i="15"/>
</calcChain>
</file>

<file path=xl/sharedStrings.xml><?xml version="1.0" encoding="utf-8"?>
<sst xmlns="http://schemas.openxmlformats.org/spreadsheetml/2006/main" count="60" uniqueCount="40">
  <si>
    <t>އިންސައްތަ</t>
  </si>
  <si>
    <t>އަންހެނުންގެ އިން ސައްތަ</t>
  </si>
  <si>
    <t>% share of females</t>
  </si>
  <si>
    <t>ޖުމްލަ</t>
  </si>
  <si>
    <t>ފިރިހެން</t>
  </si>
  <si>
    <t>އަންހެން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</si>
  <si>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</si>
  <si>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</si>
  <si>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</si>
  <si>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</si>
  <si>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</si>
  <si>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</si>
  <si>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</si>
  <si>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</si>
  <si>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</si>
  <si>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</si>
  <si>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</si>
  <si>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</si>
  <si>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</si>
  <si>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</si>
  <si>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</si>
  <si>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</si>
  <si>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</si>
  <si>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</si>
  <si>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</si>
  <si>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</si>
  <si>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</si>
  <si>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</si>
  <si>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</si>
  <si>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</si>
  <si>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</si>
  <si>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</si>
  <si>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</si>
  <si>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</si>
  <si>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</si>
  <si>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</si>
  <si>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</si>
  <si>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</si>
  <si>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ތާވަލު  18.15 : ތަނުގެ ބާވަތުން، ރިޓާޔަމަންޓް ޕެންޝަން ސްކީމްގައި ރެޖިސްޓަރކޮށްފައިވާ މުވައްޒަފުންގެ ޢަދަދު ، 2016 - 2017</t>
  </si>
  <si>
    <t>TABLE   18.15: EMPLOYEES REGISTERED IN THE RETIREMENT PENSION SCHEME, BY TYPE OF EMPLOYER, 2016 - 2017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</si>
</sst>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sz val="10"/>
      <color rgb="FF000000"/>
      <name val="Faruma"/>
    </font>
    <font>
      <i/>
      <sz val="9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0" fillId="0" borderId="0"/>
    <xf numFmtId="0" fontId="9" fillId="0" borderId="0"/>
  </cellStyleXfs>
  <cellXfs count="71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1" fillId="2" borderId="0" xfId="0" applyFont="1" applyFill="1" applyBorder="1" applyAlignment="1"/>
    <xf numFmtId="0" fontId="5" fillId="2" borderId="0" xfId="0" applyFont="1" applyFill="1" applyBorder="1" applyAlignment="1"/>
    <xf numFmtId="0" fontId="5" fillId="2" borderId="10" xfId="0" applyFont="1" applyFill="1" applyBorder="1" applyAlignment="1"/>
    <xf numFmtId="0" fontId="2" fillId="3" borderId="1" xfId="0" applyFont="1" applyFill="1" applyBorder="1" applyAlignment="1"/>
    <xf numFmtId="0" fontId="2" fillId="3" borderId="8" xfId="0" applyFont="1" applyFill="1" applyBorder="1" applyAlignment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15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3" fontId="0" fillId="4" borderId="15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0" fillId="2" borderId="5" xfId="0" applyNumberFormat="1" applyFont="1" applyFill="1" applyBorder="1" applyAlignment="1">
      <alignment horizontal="right" vertical="center"/>
    </xf>
    <xf numFmtId="0" fontId="0" fillId="2" borderId="10" xfId="0" applyFont="1" applyFill="1" applyBorder="1" applyAlignment="1">
      <alignment horizontal="left" vertical="center"/>
    </xf>
    <xf numFmtId="3" fontId="0" fillId="2" borderId="10" xfId="0" applyNumberFormat="1" applyFont="1" applyFill="1" applyBorder="1" applyAlignment="1">
      <alignment vertical="center"/>
    </xf>
    <xf numFmtId="3" fontId="0" fillId="4" borderId="10" xfId="0" applyNumberFormat="1" applyFont="1" applyFill="1" applyBorder="1" applyAlignment="1">
      <alignment vertical="center"/>
    </xf>
    <xf numFmtId="3" fontId="0" fillId="4" borderId="11" xfId="0" applyNumberFormat="1" applyFont="1" applyFill="1" applyBorder="1" applyAlignment="1">
      <alignment vertical="center"/>
    </xf>
    <xf numFmtId="3" fontId="0" fillId="2" borderId="12" xfId="0" applyNumberFormat="1" applyFont="1" applyFill="1" applyBorder="1" applyAlignment="1">
      <alignment horizontal="right" vertical="center"/>
    </xf>
    <xf numFmtId="3" fontId="0" fillId="2" borderId="10" xfId="0" applyNumberFormat="1" applyFont="1" applyFill="1" applyBorder="1" applyAlignment="1">
      <alignment horizontal="right" vertical="center"/>
    </xf>
    <xf numFmtId="3" fontId="0" fillId="4" borderId="10" xfId="0" applyNumberFormat="1" applyFont="1" applyFill="1" applyBorder="1" applyAlignment="1">
      <alignment horizontal="right" vertical="center"/>
    </xf>
    <xf numFmtId="0" fontId="7" fillId="2" borderId="0" xfId="0" applyFont="1" applyFill="1" applyBorder="1"/>
    <xf numFmtId="1" fontId="0" fillId="2" borderId="0" xfId="0" applyNumberFormat="1" applyFont="1" applyFill="1" applyBorder="1"/>
    <xf numFmtId="0" fontId="0" fillId="2" borderId="15" xfId="0" applyFont="1" applyFill="1" applyBorder="1"/>
    <xf numFmtId="0" fontId="3" fillId="2" borderId="6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2" fillId="3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3" fillId="2" borderId="14" xfId="0" applyFont="1" applyFill="1" applyBorder="1"/>
    <xf numFmtId="0" fontId="3" fillId="2" borderId="13" xfId="0" applyFont="1" applyFill="1" applyBorder="1"/>
    <xf numFmtId="3" fontId="3" fillId="2" borderId="2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0" fillId="4" borderId="16" xfId="0" applyNumberFormat="1" applyFont="1" applyFill="1" applyBorder="1" applyAlignment="1">
      <alignment horizontal="right" vertical="center"/>
    </xf>
    <xf numFmtId="3" fontId="0" fillId="4" borderId="15" xfId="0" applyNumberFormat="1" applyFont="1" applyFill="1" applyBorder="1" applyAlignment="1">
      <alignment horizontal="right" vertical="center"/>
    </xf>
    <xf numFmtId="3" fontId="0" fillId="4" borderId="11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/>
    <xf numFmtId="1" fontId="0" fillId="2" borderId="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center" vertical="center"/>
    </xf>
    <xf numFmtId="3" fontId="8" fillId="2" borderId="19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right" vertical="center"/>
    </xf>
    <xf numFmtId="3" fontId="8" fillId="2" borderId="2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1" fontId="0" fillId="2" borderId="1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/>
            </a:pPr>
            <a:r>
              <a:rPr lang="en-US"/>
              <a:t>Figure 18.19: Percentage share of female employees registered in the retirement pension scheme, by type of employer, end of  2017 </a:t>
            </a:r>
          </a:p>
        </c:rich>
      </c:tx>
      <c:layout>
        <c:manualLayout>
          <c:xMode val="edge"/>
          <c:yMode val="edge"/>
          <c:x val="0.17411243913235946"/>
          <c:y val="2.29885057471264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605382494518863"/>
          <c:y val="0.17189398738950734"/>
          <c:w val="0.7082664268560056"/>
          <c:h val="0.69398316589736631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376092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'18.15'!$AG$24:$AG$35</c:f>
              <c:strCache>
                <c:ptCount val="12"/>
                <c:pt idx="0">
                  <c:v>Others</c:v>
                </c:pt>
                <c:pt idx="1">
                  <c:v>City councils</c:v>
                </c:pt>
                <c:pt idx="2">
                  <c:v>Atoll councils</c:v>
                </c:pt>
                <c:pt idx="3">
                  <c:v>Judiciary</c:v>
                </c:pt>
                <c:pt idx="4">
                  <c:v>Island councils</c:v>
                </c:pt>
                <c:pt idx="5">
                  <c:v>Independent Agencies</c:v>
                </c:pt>
                <c:pt idx="6">
                  <c:v>Hospitals/health Care facilities</c:v>
                </c:pt>
                <c:pt idx="7">
                  <c:v>Schools/universitiy</c:v>
                </c:pt>
                <c:pt idx="8">
                  <c:v>Police/ NSS</c:v>
                </c:pt>
                <c:pt idx="9">
                  <c:v>State owned enterprises</c:v>
                </c:pt>
                <c:pt idx="10">
                  <c:v>Government Offices</c:v>
                </c:pt>
                <c:pt idx="11">
                  <c:v>Other Private Sector</c:v>
                </c:pt>
              </c:strCache>
            </c:strRef>
          </c:cat>
          <c:val>
            <c:numRef>
              <c:f>'18.15'!$AH$24:$AH$35</c:f>
              <c:numCache>
                <c:formatCode>0</c:formatCode>
                <c:ptCount val="12"/>
                <c:pt idx="0">
                  <c:v>0.20893242271746945</c:v>
                </c:pt>
                <c:pt idx="1">
                  <c:v>0.29317936736161038</c:v>
                </c:pt>
                <c:pt idx="2">
                  <c:v>0.55265995686556435</c:v>
                </c:pt>
                <c:pt idx="3">
                  <c:v>1.9556524083393243</c:v>
                </c:pt>
                <c:pt idx="4">
                  <c:v>2.1286394680086267</c:v>
                </c:pt>
                <c:pt idx="5">
                  <c:v>2.4274352983465133</c:v>
                </c:pt>
                <c:pt idx="6">
                  <c:v>5.6692577282530552</c:v>
                </c:pt>
                <c:pt idx="7">
                  <c:v>7.4777588066139478</c:v>
                </c:pt>
                <c:pt idx="8">
                  <c:v>8.4145848310567946</c:v>
                </c:pt>
                <c:pt idx="9">
                  <c:v>13.088605319913732</c:v>
                </c:pt>
                <c:pt idx="10">
                  <c:v>14.596063982746227</c:v>
                </c:pt>
                <c:pt idx="11">
                  <c:v>43.187230409777136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7AB-4961-8B3E-F12172378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70268384"/>
        <c:axId val="-1670257504"/>
      </c:barChart>
      <c:catAx>
        <c:axId val="-1670268384"/>
        <c:scaling>
          <c:orientation val="maxMin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-1670257504"/>
        <c:crosses val="autoZero"/>
        <c:auto val="1"/>
        <c:lblAlgn val="ctr"/>
        <c:lblOffset val="100"/>
        <c:noMultiLvlLbl val="1"/>
      </c:catAx>
      <c:valAx>
        <c:axId val="-1670257504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% share of  females</a:t>
                </a:r>
              </a:p>
            </c:rich>
          </c:tx>
          <c:layout>
            <c:manualLayout>
              <c:xMode val="edge"/>
              <c:yMode val="edge"/>
              <c:x val="0.55193552997110418"/>
              <c:y val="0.92737774157540653"/>
            </c:manualLayout>
          </c:layout>
          <c:overlay val="0"/>
        </c:title>
        <c:numFmt formatCode="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0268384"/>
        <c:crosses val="max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1085849</xdr:colOff>
      <xdr:row>21</xdr:row>
      <xdr:rowOff>9525</xdr:rowOff>
    </xdr:from>
    <xdr:to>
      <xdr:col>13</xdr:col>
      <xdr:colOff>1104899</xdr:colOff>
      <xdr:row>38</xdr:row>
      <xdr:rowOff>85725</xdr:rowOff>
    </xdr:to>
    <xdr:graphicFrame macro=""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2</xdr:col>
      <xdr:colOff>133350</xdr:colOff>
      <xdr:row>23</xdr:row>
      <xdr:rowOff>38100</xdr:rowOff>
    </xdr:from>
    <xdr:to>
      <xdr:col>13</xdr:col>
      <xdr:colOff>857250</xdr:colOff>
      <xdr:row>23</xdr:row>
      <xdr:rowOff>47625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33625" y="5486400"/>
          <a:ext cx="567690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39"/>
  <sheetViews>
    <sheetView tabSelected="1" zoomScaleNormal="100" workbookViewId="0">
      <selection activeCell="X13" sqref="X13"/>
    </sheetView>
  </sheetViews>
  <sheetFormatPr defaultColWidth="15.140625" defaultRowHeight="15" customHeight="1" x14ac:dyDescent="0.25"/>
  <cols>
    <col min="1" max="1" width="25.28515625" style="2" customWidth="1"/>
    <col min="2" max="7" width="7.7109375" style="2" customWidth="1"/>
    <col min="8" max="9" width="8.7109375" style="2" hidden="1" customWidth="1"/>
    <col min="10" max="11" width="8.7109375" style="2" customWidth="1"/>
    <col min="12" max="13" width="9.140625" style="2" customWidth="1"/>
    <col min="14" max="14" width="30.5703125" style="2" customWidth="1"/>
    <col min="15" max="15" width="4.140625" style="2" customWidth="1"/>
    <col min="16" max="34" width="8" style="2" customWidth="1"/>
    <col min="35" max="16384" width="15.140625" style="2"/>
  </cols>
  <sheetData>
    <row r="1" spans="1:34" ht="19.5" customHeight="1" x14ac:dyDescent="0.55000000000000004">
      <c r="A1" s="55" t="s">
        <v>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4.25" customHeight="1" x14ac:dyDescent="0.25">
      <c r="A2" s="54" t="s">
        <v>39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3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4.25" customHeight="1" x14ac:dyDescent="0.25">
      <c r="A4" s="59" t="s">
        <v>13</v>
      </c>
      <c r="B4" s="62">
        <v>2016</v>
      </c>
      <c r="C4" s="57"/>
      <c r="D4" s="58"/>
      <c r="E4" s="62">
        <v>2017</v>
      </c>
      <c r="F4" s="57"/>
      <c r="G4" s="58"/>
      <c r="I4" s="7"/>
      <c r="J4" s="65" t="s">
        <v>14</v>
      </c>
      <c r="K4" s="66"/>
      <c r="L4" s="67" t="s">
        <v>2</v>
      </c>
      <c r="M4" s="68"/>
      <c r="N4" s="61" t="s">
        <v>15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8" customHeight="1" x14ac:dyDescent="0.55000000000000004">
      <c r="A5" s="56"/>
      <c r="B5" s="31" t="s">
        <v>6</v>
      </c>
      <c r="C5" s="31" t="s">
        <v>7</v>
      </c>
      <c r="D5" s="32" t="s">
        <v>8</v>
      </c>
      <c r="E5" s="31" t="s">
        <v>6</v>
      </c>
      <c r="F5" s="31" t="s">
        <v>7</v>
      </c>
      <c r="G5" s="32" t="s">
        <v>8</v>
      </c>
      <c r="H5" s="33"/>
      <c r="I5" s="8"/>
      <c r="J5" s="63" t="s">
        <v>0</v>
      </c>
      <c r="K5" s="64"/>
      <c r="L5" s="69" t="s">
        <v>1</v>
      </c>
      <c r="M5" s="70"/>
      <c r="N5" s="5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1" customHeight="1" x14ac:dyDescent="0.55000000000000004">
      <c r="A6" s="60"/>
      <c r="B6" s="34" t="s">
        <v>3</v>
      </c>
      <c r="C6" s="34" t="s">
        <v>4</v>
      </c>
      <c r="D6" s="35" t="s">
        <v>5</v>
      </c>
      <c r="E6" s="34" t="s">
        <v>3</v>
      </c>
      <c r="F6" s="34" t="s">
        <v>4</v>
      </c>
      <c r="G6" s="35" t="s">
        <v>5</v>
      </c>
      <c r="H6" s="36">
        <v>2013</v>
      </c>
      <c r="I6" s="37">
        <v>2014</v>
      </c>
      <c r="J6" s="48">
        <v>2016</v>
      </c>
      <c r="K6" s="49">
        <v>2017</v>
      </c>
      <c r="L6" s="36">
        <v>2016</v>
      </c>
      <c r="M6" s="37">
        <v>2017</v>
      </c>
      <c r="N6" s="60"/>
      <c r="O6" s="1"/>
      <c r="P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1" customHeight="1" x14ac:dyDescent="0.55000000000000004">
      <c r="A7" s="9" t="s">
        <v>6</v>
      </c>
      <c r="B7" s="11">
        <f t="shared" ref="B7:D7" si="0">SUM(B8:B19)</f>
        <v>79995</v>
      </c>
      <c r="C7" s="11">
        <f t="shared" si="0"/>
        <v>55148</v>
      </c>
      <c r="D7" s="12">
        <f t="shared" si="0"/>
        <v>24847</v>
      </c>
      <c r="E7" s="11">
        <f t="shared" ref="E7:G7" si="1">SUM(E8:E19)</f>
        <v>89024</v>
      </c>
      <c r="F7" s="11">
        <f t="shared" si="1"/>
        <v>60536</v>
      </c>
      <c r="G7" s="12">
        <f t="shared" si="1"/>
        <v>28488</v>
      </c>
      <c r="H7" s="38" t="e">
        <f>#REF!/#REF!*100</f>
        <v>#REF!</v>
      </c>
      <c r="I7" s="39" t="e">
        <f>#REF!/#REF!*100</f>
        <v>#REF!</v>
      </c>
      <c r="J7" s="47">
        <f>B7/$B$7*100</f>
        <v>100</v>
      </c>
      <c r="K7" s="40">
        <f t="shared" ref="K7:K19" si="2">E7/$E$7*100</f>
        <v>100</v>
      </c>
      <c r="L7" s="10">
        <f>D7/B7*100</f>
        <v>31.060691293205828</v>
      </c>
      <c r="M7" s="10">
        <f>G7/E7*100</f>
        <v>32.00035945363048</v>
      </c>
      <c r="N7" s="4" t="s">
        <v>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1" customHeight="1" x14ac:dyDescent="0.55000000000000004">
      <c r="A8" s="13" t="s">
        <v>16</v>
      </c>
      <c r="B8" s="14">
        <f t="shared" ref="B8:B19" si="3">SUM(C8:D8)</f>
        <v>9556</v>
      </c>
      <c r="C8" s="15">
        <v>4484</v>
      </c>
      <c r="D8" s="16">
        <v>5072</v>
      </c>
      <c r="E8" s="14">
        <f t="shared" ref="E8:E19" si="4">SUM(F8:G8)</f>
        <v>12994</v>
      </c>
      <c r="F8" s="15">
        <v>6570</v>
      </c>
      <c r="G8" s="16">
        <v>6424</v>
      </c>
      <c r="H8" s="20" t="e">
        <f>#REF!/#REF!*100</f>
        <v>#REF!</v>
      </c>
      <c r="I8" s="17" t="e">
        <f>#REF!/#REF!*100</f>
        <v>#REF!</v>
      </c>
      <c r="J8" s="45">
        <f t="shared" ref="J8:J19" si="5">B8/$B$7*100</f>
        <v>11.945746609163074</v>
      </c>
      <c r="K8" s="41">
        <f t="shared" si="2"/>
        <v>14.596063982746227</v>
      </c>
      <c r="L8" s="50">
        <f t="shared" ref="L8:L19" si="6">D8/B8*100</f>
        <v>53.076601088321475</v>
      </c>
      <c r="M8" s="18">
        <f>G8/E8*100</f>
        <v>49.438202247191008</v>
      </c>
      <c r="N8" s="5" t="s">
        <v>17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55000000000000004">
      <c r="A9" s="13" t="s">
        <v>18</v>
      </c>
      <c r="B9" s="14">
        <f t="shared" si="3"/>
        <v>2186</v>
      </c>
      <c r="C9" s="15">
        <v>1095</v>
      </c>
      <c r="D9" s="16">
        <v>1091</v>
      </c>
      <c r="E9" s="14">
        <f t="shared" si="4"/>
        <v>2161</v>
      </c>
      <c r="F9" s="15">
        <v>1089</v>
      </c>
      <c r="G9" s="16">
        <v>1072</v>
      </c>
      <c r="H9" s="20" t="e">
        <f>#REF!/#REF!*100</f>
        <v>#REF!</v>
      </c>
      <c r="I9" s="17" t="e">
        <f>#REF!/#REF!*100</f>
        <v>#REF!</v>
      </c>
      <c r="J9" s="45">
        <f t="shared" si="5"/>
        <v>2.7326707919244955</v>
      </c>
      <c r="K9" s="41">
        <f t="shared" si="2"/>
        <v>2.4274352983465133</v>
      </c>
      <c r="L9" s="50">
        <f t="shared" si="6"/>
        <v>49.908508691674292</v>
      </c>
      <c r="M9" s="18">
        <f t="shared" ref="M9:M19" si="7">G9/E9*100</f>
        <v>49.60666358167515</v>
      </c>
      <c r="N9" s="5" t="s">
        <v>19</v>
      </c>
      <c r="O9" s="1"/>
      <c r="P9" s="1"/>
      <c r="Q9" s="3"/>
      <c r="R9" s="3"/>
      <c r="S9" s="3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55000000000000004">
      <c r="A10" s="13" t="s">
        <v>20</v>
      </c>
      <c r="B10" s="14">
        <f t="shared" si="3"/>
        <v>510</v>
      </c>
      <c r="C10" s="15">
        <v>226</v>
      </c>
      <c r="D10" s="16">
        <v>284</v>
      </c>
      <c r="E10" s="14">
        <f t="shared" si="4"/>
        <v>1741</v>
      </c>
      <c r="F10" s="15">
        <v>1040</v>
      </c>
      <c r="G10" s="16">
        <v>701</v>
      </c>
      <c r="H10" s="20">
        <v>0</v>
      </c>
      <c r="I10" s="17">
        <v>0</v>
      </c>
      <c r="J10" s="45">
        <f t="shared" si="5"/>
        <v>0.63753984624038995</v>
      </c>
      <c r="K10" s="41">
        <f t="shared" si="2"/>
        <v>1.9556524083393243</v>
      </c>
      <c r="L10" s="50">
        <f t="shared" si="6"/>
        <v>55.686274509803923</v>
      </c>
      <c r="M10" s="18">
        <f t="shared" si="7"/>
        <v>40.264215967834573</v>
      </c>
      <c r="N10" s="5" t="s">
        <v>21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55000000000000004">
      <c r="A11" s="13" t="s">
        <v>22</v>
      </c>
      <c r="B11" s="14">
        <f t="shared" si="3"/>
        <v>212</v>
      </c>
      <c r="C11" s="15">
        <v>75</v>
      </c>
      <c r="D11" s="16">
        <v>137</v>
      </c>
      <c r="E11" s="14">
        <f t="shared" si="4"/>
        <v>261</v>
      </c>
      <c r="F11" s="15">
        <v>103</v>
      </c>
      <c r="G11" s="16">
        <v>158</v>
      </c>
      <c r="H11" s="20">
        <v>0</v>
      </c>
      <c r="I11" s="17">
        <v>0</v>
      </c>
      <c r="J11" s="45">
        <f t="shared" si="5"/>
        <v>0.26501656353522096</v>
      </c>
      <c r="K11" s="41">
        <f t="shared" si="2"/>
        <v>0.29317936736161038</v>
      </c>
      <c r="L11" s="50">
        <f t="shared" si="6"/>
        <v>64.622641509433961</v>
      </c>
      <c r="M11" s="18">
        <f t="shared" si="7"/>
        <v>60.536398467432953</v>
      </c>
      <c r="N11" s="5" t="s">
        <v>23</v>
      </c>
      <c r="O11" s="1"/>
      <c r="P11" s="1"/>
      <c r="Q11" s="3"/>
      <c r="R11" s="3"/>
      <c r="S11" s="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55000000000000004">
      <c r="A12" s="13" t="s">
        <v>24</v>
      </c>
      <c r="B12" s="14">
        <f t="shared" si="3"/>
        <v>571</v>
      </c>
      <c r="C12" s="15">
        <v>374</v>
      </c>
      <c r="D12" s="16">
        <v>197</v>
      </c>
      <c r="E12" s="14">
        <f t="shared" si="4"/>
        <v>492</v>
      </c>
      <c r="F12" s="15">
        <v>315</v>
      </c>
      <c r="G12" s="16">
        <v>177</v>
      </c>
      <c r="H12" s="20" t="e">
        <f>#REF!/#REF!*100</f>
        <v>#REF!</v>
      </c>
      <c r="I12" s="17" t="e">
        <f>#REF!/#REF!*100</f>
        <v>#REF!</v>
      </c>
      <c r="J12" s="45">
        <f t="shared" si="5"/>
        <v>0.71379461216326012</v>
      </c>
      <c r="K12" s="41">
        <f t="shared" si="2"/>
        <v>0.55265995686556435</v>
      </c>
      <c r="L12" s="50">
        <f t="shared" si="6"/>
        <v>34.500875656742558</v>
      </c>
      <c r="M12" s="18">
        <f t="shared" si="7"/>
        <v>35.975609756097562</v>
      </c>
      <c r="N12" s="5" t="s">
        <v>25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1" customHeight="1" x14ac:dyDescent="0.55000000000000004">
      <c r="A13" s="13" t="s">
        <v>26</v>
      </c>
      <c r="B13" s="14">
        <f t="shared" si="3"/>
        <v>2560</v>
      </c>
      <c r="C13" s="15">
        <v>1854</v>
      </c>
      <c r="D13" s="16">
        <v>706</v>
      </c>
      <c r="E13" s="14">
        <f t="shared" si="4"/>
        <v>1895</v>
      </c>
      <c r="F13" s="15">
        <v>1306</v>
      </c>
      <c r="G13" s="16">
        <v>589</v>
      </c>
      <c r="H13" s="20" t="e">
        <f>#REF!/#REF!*100</f>
        <v>#REF!</v>
      </c>
      <c r="I13" s="17" t="e">
        <f>#REF!/#REF!*100</f>
        <v>#REF!</v>
      </c>
      <c r="J13" s="45">
        <f t="shared" si="5"/>
        <v>3.2002000125007815</v>
      </c>
      <c r="K13" s="41">
        <f t="shared" si="2"/>
        <v>2.1286394680086267</v>
      </c>
      <c r="L13" s="50">
        <f t="shared" si="6"/>
        <v>27.578124999999996</v>
      </c>
      <c r="M13" s="18">
        <f t="shared" si="7"/>
        <v>31.081794195250662</v>
      </c>
      <c r="N13" s="5" t="s">
        <v>27</v>
      </c>
      <c r="O13" s="1"/>
      <c r="P13" s="1"/>
      <c r="Q13" s="3"/>
      <c r="R13" s="3"/>
      <c r="S13" s="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1" customHeight="1" x14ac:dyDescent="0.55000000000000004">
      <c r="A14" s="13" t="s">
        <v>28</v>
      </c>
      <c r="B14" s="14">
        <f t="shared" si="3"/>
        <v>5016</v>
      </c>
      <c r="C14" s="15">
        <v>1518</v>
      </c>
      <c r="D14" s="16">
        <v>3498</v>
      </c>
      <c r="E14" s="14">
        <f t="shared" si="4"/>
        <v>5047</v>
      </c>
      <c r="F14" s="15">
        <v>1648</v>
      </c>
      <c r="G14" s="16">
        <v>3399</v>
      </c>
      <c r="H14" s="20" t="e">
        <f>#REF!/#REF!*100</f>
        <v>#REF!</v>
      </c>
      <c r="I14" s="17" t="e">
        <f>#REF!/#REF!*100</f>
        <v>#REF!</v>
      </c>
      <c r="J14" s="45">
        <f t="shared" si="5"/>
        <v>6.2703918994937187</v>
      </c>
      <c r="K14" s="41">
        <f t="shared" si="2"/>
        <v>5.6692577282530552</v>
      </c>
      <c r="L14" s="50">
        <f t="shared" si="6"/>
        <v>69.73684210526315</v>
      </c>
      <c r="M14" s="18">
        <f t="shared" si="7"/>
        <v>67.346938775510196</v>
      </c>
      <c r="N14" s="5" t="s">
        <v>29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55000000000000004">
      <c r="A15" s="13" t="s">
        <v>30</v>
      </c>
      <c r="B15" s="14">
        <f t="shared" si="3"/>
        <v>5310</v>
      </c>
      <c r="C15" s="15">
        <v>1340</v>
      </c>
      <c r="D15" s="16">
        <v>3970</v>
      </c>
      <c r="E15" s="14">
        <f t="shared" si="4"/>
        <v>6657</v>
      </c>
      <c r="F15" s="15">
        <v>1697</v>
      </c>
      <c r="G15" s="16">
        <v>4960</v>
      </c>
      <c r="H15" s="20" t="e">
        <f>#REF!/#REF!*100</f>
        <v>#REF!</v>
      </c>
      <c r="I15" s="17" t="e">
        <f>#REF!/#REF!*100</f>
        <v>#REF!</v>
      </c>
      <c r="J15" s="45">
        <f t="shared" si="5"/>
        <v>6.6379148696793555</v>
      </c>
      <c r="K15" s="41">
        <f t="shared" si="2"/>
        <v>7.4777588066139478</v>
      </c>
      <c r="L15" s="50">
        <f t="shared" si="6"/>
        <v>74.764595103578159</v>
      </c>
      <c r="M15" s="18">
        <f t="shared" si="7"/>
        <v>74.508036653147059</v>
      </c>
      <c r="N15" s="5" t="s">
        <v>31</v>
      </c>
      <c r="O15" s="1"/>
      <c r="P15" s="1"/>
      <c r="Q15" s="3"/>
      <c r="R15" s="3"/>
      <c r="S15" s="3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55000000000000004">
      <c r="A16" s="13" t="s">
        <v>32</v>
      </c>
      <c r="B16" s="14">
        <f t="shared" si="3"/>
        <v>7458</v>
      </c>
      <c r="C16" s="15">
        <v>6777</v>
      </c>
      <c r="D16" s="16">
        <v>681</v>
      </c>
      <c r="E16" s="14">
        <f t="shared" si="4"/>
        <v>7491</v>
      </c>
      <c r="F16" s="15">
        <v>6762</v>
      </c>
      <c r="G16" s="16">
        <v>729</v>
      </c>
      <c r="H16" s="20" t="e">
        <f>#REF!/#REF!*100</f>
        <v>#REF!</v>
      </c>
      <c r="I16" s="17" t="e">
        <f>#REF!/#REF!*100</f>
        <v>#REF!</v>
      </c>
      <c r="J16" s="45">
        <f t="shared" si="5"/>
        <v>9.3230826926682919</v>
      </c>
      <c r="K16" s="41">
        <f t="shared" si="2"/>
        <v>8.4145848310567946</v>
      </c>
      <c r="L16" s="50">
        <f t="shared" si="6"/>
        <v>9.1311343523732909</v>
      </c>
      <c r="M16" s="18">
        <f t="shared" si="7"/>
        <v>9.7316780136163388</v>
      </c>
      <c r="N16" s="5" t="s">
        <v>33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1" customHeight="1" x14ac:dyDescent="0.55000000000000004">
      <c r="A17" s="13" t="s">
        <v>34</v>
      </c>
      <c r="B17" s="14">
        <f t="shared" si="3"/>
        <v>11190</v>
      </c>
      <c r="C17" s="15">
        <v>8394</v>
      </c>
      <c r="D17" s="16">
        <v>2796</v>
      </c>
      <c r="E17" s="14">
        <f t="shared" si="4"/>
        <v>11652</v>
      </c>
      <c r="F17" s="15">
        <v>8711</v>
      </c>
      <c r="G17" s="16">
        <v>2941</v>
      </c>
      <c r="H17" s="20" t="e">
        <f>#REF!/#REF!*100</f>
        <v>#REF!</v>
      </c>
      <c r="I17" s="17" t="e">
        <f>#REF!/#REF!*100</f>
        <v>#REF!</v>
      </c>
      <c r="J17" s="45">
        <f t="shared" si="5"/>
        <v>13.988374273392088</v>
      </c>
      <c r="K17" s="41">
        <f t="shared" si="2"/>
        <v>13.088605319913732</v>
      </c>
      <c r="L17" s="50">
        <f t="shared" si="6"/>
        <v>24.986595174262735</v>
      </c>
      <c r="M17" s="18">
        <f t="shared" si="7"/>
        <v>25.240302094061107</v>
      </c>
      <c r="N17" s="5" t="s">
        <v>35</v>
      </c>
      <c r="O17" s="1"/>
      <c r="P17" s="1"/>
      <c r="Q17" s="3"/>
      <c r="R17" s="3"/>
      <c r="S17" s="3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1" customHeight="1" x14ac:dyDescent="0.55000000000000004">
      <c r="A18" s="13" t="s">
        <v>36</v>
      </c>
      <c r="B18" s="14">
        <f t="shared" si="3"/>
        <v>35162</v>
      </c>
      <c r="C18" s="15">
        <v>28902</v>
      </c>
      <c r="D18" s="16">
        <v>6260</v>
      </c>
      <c r="E18" s="14">
        <f t="shared" si="4"/>
        <v>38447</v>
      </c>
      <c r="F18" s="15">
        <v>31207</v>
      </c>
      <c r="G18" s="16">
        <v>7240</v>
      </c>
      <c r="H18" s="20" t="e">
        <f>#REF!/#REF!*100</f>
        <v>#REF!</v>
      </c>
      <c r="I18" s="17" t="e">
        <f>#REF!/#REF!*100</f>
        <v>#REF!</v>
      </c>
      <c r="J18" s="45">
        <f t="shared" si="5"/>
        <v>43.955247202950183</v>
      </c>
      <c r="K18" s="41">
        <f t="shared" si="2"/>
        <v>43.187230409777136</v>
      </c>
      <c r="L18" s="50">
        <f t="shared" si="6"/>
        <v>17.803310391900347</v>
      </c>
      <c r="M18" s="18">
        <f t="shared" si="7"/>
        <v>18.83111816266549</v>
      </c>
      <c r="N18" s="5" t="s">
        <v>37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1" customHeight="1" x14ac:dyDescent="0.55000000000000004">
      <c r="A19" s="21" t="s">
        <v>11</v>
      </c>
      <c r="B19" s="22">
        <f t="shared" si="3"/>
        <v>264</v>
      </c>
      <c r="C19" s="23">
        <v>109</v>
      </c>
      <c r="D19" s="24">
        <v>155</v>
      </c>
      <c r="E19" s="22">
        <f t="shared" si="4"/>
        <v>186</v>
      </c>
      <c r="F19" s="23">
        <v>88</v>
      </c>
      <c r="G19" s="24">
        <v>98</v>
      </c>
      <c r="H19" s="25" t="e">
        <f>#REF!/#REF!*100</f>
        <v>#REF!</v>
      </c>
      <c r="I19" s="26" t="e">
        <f>#REF!/#REF!*100</f>
        <v>#REF!</v>
      </c>
      <c r="J19" s="46">
        <f t="shared" si="5"/>
        <v>0.33002062628914308</v>
      </c>
      <c r="K19" s="42">
        <f t="shared" si="2"/>
        <v>0.20893242271746945</v>
      </c>
      <c r="L19" s="51">
        <f t="shared" si="6"/>
        <v>58.712121212121218</v>
      </c>
      <c r="M19" s="27">
        <f t="shared" si="7"/>
        <v>52.688172043010752</v>
      </c>
      <c r="N19" s="6" t="s"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8.75" customHeight="1" x14ac:dyDescent="0.5">
      <c r="A20" s="28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3" t="s">
        <v>10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8" customHeight="1" x14ac:dyDescent="0.25">
      <c r="A21" s="1"/>
      <c r="B21" s="19"/>
      <c r="C21" s="1"/>
      <c r="D21" s="1"/>
      <c r="E21" s="1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 s="1"/>
      <c r="B22" s="19"/>
      <c r="C22" s="1"/>
      <c r="D22" s="1"/>
      <c r="E22" s="1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 s="1"/>
      <c r="B23" s="19"/>
      <c r="C23" s="1"/>
      <c r="D23" s="1"/>
      <c r="E23" s="1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s="1"/>
      <c r="B24" s="19"/>
      <c r="C24" s="1"/>
      <c r="D24" s="1"/>
      <c r="E24" s="1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3" t="s">
        <v>11</v>
      </c>
      <c r="AH24" s="44">
        <v>0.20893242271746945</v>
      </c>
    </row>
    <row r="25" spans="1:3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3" t="s">
        <v>22</v>
      </c>
      <c r="AH25" s="44">
        <v>0.29317936736161038</v>
      </c>
    </row>
    <row r="26" spans="1:3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3" t="s">
        <v>24</v>
      </c>
      <c r="AH26" s="44">
        <v>0.55265995686556435</v>
      </c>
    </row>
    <row r="27" spans="1:3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3" t="s">
        <v>20</v>
      </c>
      <c r="AH27" s="44">
        <v>1.9556524083393243</v>
      </c>
    </row>
    <row r="28" spans="1:3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3" t="s">
        <v>26</v>
      </c>
      <c r="AH28" s="44">
        <v>2.1286394680086267</v>
      </c>
    </row>
    <row r="29" spans="1:3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3" t="s">
        <v>18</v>
      </c>
      <c r="AH29" s="44">
        <v>2.4274352983465133</v>
      </c>
    </row>
    <row r="30" spans="1:3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3" t="s">
        <v>28</v>
      </c>
      <c r="AH30" s="44">
        <v>5.6692577282530552</v>
      </c>
    </row>
    <row r="31" spans="1:3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3" t="s">
        <v>30</v>
      </c>
      <c r="AH31" s="44">
        <v>7.4777588066139478</v>
      </c>
    </row>
    <row r="32" spans="1:3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3" t="s">
        <v>32</v>
      </c>
      <c r="AH32" s="44">
        <v>8.4145848310567946</v>
      </c>
    </row>
    <row r="33" spans="1:3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52" t="s">
        <v>34</v>
      </c>
      <c r="AH33" s="44">
        <v>13.088605319913732</v>
      </c>
    </row>
    <row r="34" spans="1:3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52" t="s">
        <v>16</v>
      </c>
      <c r="AH34" s="53">
        <v>14.596063982746227</v>
      </c>
    </row>
    <row r="35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21" t="s">
        <v>36</v>
      </c>
      <c r="AH35" s="29">
        <v>43.187230409777136</v>
      </c>
    </row>
    <row r="36" spans="1:3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</sheetData>
  <sortState ref="AG24:AH35">
    <sortCondition ref="AH24:AH35"/>
  </sortState>
  <mergeCells count="10">
    <mergeCell ref="J5:K5"/>
    <mergeCell ref="N4:N6"/>
    <mergeCell ref="A1:N1"/>
    <mergeCell ref="A2:N2"/>
    <mergeCell ref="E4:G4"/>
    <mergeCell ref="A4:A6"/>
    <mergeCell ref="J4:K4"/>
    <mergeCell ref="L4:M4"/>
    <mergeCell ref="B4:D4"/>
    <mergeCell ref="L5:M5"/>
  </mergeCells>
  <pageMargins left="0.7" right="0.7" top="0.75" bottom="0.75" header="0.3" footer="0.3"/>
  <pageSetup paperSize="9" scale="75" orientation="landscape" horizontalDpi="4294967295" verticalDpi="4294967295" r:id="rId1"/>
  <ignoredErrors>
    <ignoredError sqref="E10:E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2018-05-28T06:35:44Z</cp:lastPrinted>
  <dcterms:modified xsi:type="dcterms:W3CDTF">2018-05-28T06:35:51Z</dcterms:modified>
</cp:coreProperties>
</file>