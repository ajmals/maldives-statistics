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Dissemination\Publications\Statistical Year Book\YEARBOOK 2018\FINAL\web\New folder\New folder\"/>
    </mc:Choice>
  </mc:AlternateContent>
  <bookViews>
    <workbookView xWindow="0" yWindow="0" windowWidth="28800" windowHeight="12330" tabRatio="702"/>
  </bookViews>
  <sheets>
    <sheet name="18.1" sheetId="1" r:id="rId1"/>
  </sheets>
  <definedNames>
    <definedName name="_xlnm.Print_Area" localSheetId="0">'18.1'!$A$1:$AB$68</definedName>
  </definedNames>
  <calcPr calcId="162913"/>
</workbook>
</file>

<file path=xl/calcChain.xml><?xml version="1.0" encoding="utf-8"?>
<calcChain xmlns="http://schemas.openxmlformats.org/spreadsheetml/2006/main">
  <c r="AQ24" i="1" l="1"/>
  <c r="W9" i="1"/>
  <c r="AV25" i="1"/>
  <c r="AV26" i="1"/>
  <c r="AV27" i="1"/>
  <c r="AV24" i="1"/>
  <c r="AT27" i="1"/>
  <c r="AT26" i="1"/>
  <c r="AT25" i="1"/>
  <c r="AT24" i="1"/>
  <c r="AS27" i="1"/>
  <c r="AS26" i="1"/>
  <c r="AS25" i="1"/>
  <c r="AS24" i="1"/>
  <c r="X9" i="1"/>
  <c r="Q12" i="1" l="1"/>
  <c r="W12" i="1" s="1"/>
  <c r="Q11" i="1"/>
  <c r="W11" i="1" s="1"/>
  <c r="Q10" i="1"/>
  <c r="W10" i="1" s="1"/>
  <c r="Q9" i="1"/>
  <c r="S8" i="1"/>
  <c r="R8" i="1"/>
  <c r="Q8" i="1" l="1"/>
  <c r="W8" i="1" s="1"/>
  <c r="U8" i="1" l="1"/>
  <c r="U9" i="1"/>
  <c r="AU24" i="1" s="1"/>
  <c r="U10" i="1"/>
  <c r="AU25" i="1" s="1"/>
  <c r="U11" i="1"/>
  <c r="AU26" i="1" s="1"/>
  <c r="U12" i="1"/>
  <c r="AU27" i="1" s="1"/>
  <c r="AQ27" i="1" l="1"/>
  <c r="AQ25" i="1"/>
  <c r="AR26" i="1"/>
  <c r="AR24" i="1"/>
  <c r="AR27" i="1"/>
  <c r="AQ26" i="1"/>
  <c r="AR25" i="1"/>
  <c r="M12" i="1"/>
  <c r="I12" i="1"/>
  <c r="M11" i="1"/>
  <c r="I11" i="1"/>
  <c r="B11" i="1"/>
  <c r="B8" i="1" s="1"/>
  <c r="M10" i="1"/>
  <c r="I10" i="1"/>
  <c r="M9" i="1"/>
  <c r="I9" i="1"/>
  <c r="O8" i="1"/>
  <c r="N8" i="1"/>
  <c r="K8" i="1"/>
  <c r="J8" i="1"/>
  <c r="G8" i="1"/>
  <c r="F8" i="1"/>
  <c r="E8" i="1"/>
  <c r="D8" i="1"/>
  <c r="C8" i="1"/>
  <c r="V11" i="1" l="1"/>
  <c r="X11" i="1"/>
  <c r="V12" i="1"/>
  <c r="X12" i="1"/>
  <c r="V10" i="1"/>
  <c r="X10" i="1"/>
  <c r="V9" i="1"/>
  <c r="I8" i="1"/>
  <c r="M8" i="1"/>
  <c r="X8" i="1" s="1"/>
  <c r="V8" i="1" l="1"/>
  <c r="T9" i="1"/>
  <c r="T8" i="1"/>
  <c r="T11" i="1"/>
  <c r="T12" i="1"/>
  <c r="T10" i="1"/>
</calcChain>
</file>

<file path=xl/sharedStrings.xml><?xml version="1.0" encoding="utf-8"?>
<sst xmlns="http://schemas.openxmlformats.org/spreadsheetml/2006/main" count="75" uniqueCount="39">
  <si>
    <t>Type of pension</t>
  </si>
  <si>
    <r>
      <t xml:space="preserve">  </t>
    </r>
    <r>
      <rPr>
        <b/>
        <sz val="11"/>
        <color rgb="FF000000"/>
        <rFont val="Calibri"/>
        <family val="2"/>
      </rPr>
      <t>Amount Paid (in MVR)</t>
    </r>
    <r>
      <rPr>
        <b/>
        <sz val="11"/>
        <color rgb="FF000000"/>
        <rFont val="Faruma"/>
      </rPr>
      <t xml:space="preserve">  </t>
    </r>
  </si>
  <si>
    <r>
      <t xml:space="preserve">  </t>
    </r>
    <r>
      <rPr>
        <b/>
        <sz val="11"/>
        <color rgb="FF000000"/>
        <rFont val="Calibri"/>
        <family val="2"/>
      </rPr>
      <t>Amount Paid (in MVR)</t>
    </r>
    <r>
      <rPr>
        <b/>
        <sz val="11"/>
        <color rgb="FF000000"/>
        <rFont val="Faruma"/>
      </rPr>
      <t xml:space="preserve">  </t>
    </r>
  </si>
  <si>
    <t xml:space="preserve">ދެވުނު މިންވަރު (ރުފިޔާއިން)  </t>
  </si>
  <si>
    <t>އިންސައްތަ</t>
  </si>
  <si>
    <t>އަންހެނުންގެ އިން ސައްތަ</t>
  </si>
  <si>
    <t>އިތުރުވި މިންވަރު</t>
  </si>
  <si>
    <t>ޕެންޝަންގެ ބާވަތް</t>
  </si>
  <si>
    <t>% share</t>
  </si>
  <si>
    <t>% share of females</t>
  </si>
  <si>
    <t>% change</t>
  </si>
  <si>
    <t>ޖުމްލަ</t>
  </si>
  <si>
    <t>ފިރިހެން</t>
  </si>
  <si>
    <t>އަންހެން</t>
  </si>
  <si>
    <t>Total</t>
  </si>
  <si>
    <t>Male</t>
  </si>
  <si>
    <t>Female</t>
  </si>
  <si>
    <t>Basic Pension</t>
  </si>
  <si>
    <t>އަސާސީ ޕެންޝަން</t>
  </si>
  <si>
    <t>Retirement Pension</t>
  </si>
  <si>
    <t>ރިޓަޔަރމަންޓް ޕެންޝަން</t>
  </si>
  <si>
    <t>Other Pension</t>
  </si>
  <si>
    <t>އެހެނިހެން ޕެންޝަން</t>
  </si>
  <si>
    <t>ސީނިއަރ ސިޓިޒަން އެލަވަންސް</t>
  </si>
  <si>
    <t>Note: Other pension includes Pension payable to state employees, who have completed 20 or 40 years’ service in state employment.  Moreover this also includes various benefits paid by the state on monthly basis.</t>
  </si>
  <si>
    <r>
      <rPr>
        <i/>
        <sz val="10"/>
        <color rgb="FF000000"/>
        <rFont val="Calibri"/>
        <family val="2"/>
      </rPr>
      <t>1_/</t>
    </r>
    <r>
      <rPr>
        <i/>
        <sz val="10"/>
        <color rgb="FF000000"/>
        <rFont val="Calibri"/>
        <family val="2"/>
      </rPr>
      <t xml:space="preserve"> Those pensioners receiving less than 5,000 mvr is given the balance amount to reach 5,000 mvr under this scheme. Senior Citizen Allowance was introduced in February 2014.</t>
    </r>
  </si>
  <si>
    <t>Source: Maldives Pension Administration</t>
  </si>
  <si>
    <t xml:space="preserve">ނޯޓް: އެހެނިހެން ޕެންޝަންގެ ގޮތުގައި ހިމެނެނީ ދަޢުލަތަށް ގިނަ ދުވަހު، 20 ނުވަތަ 40 އަހަރަށް ޚިދުމަތްކުރެވި ބޭފުޅުންނަށް ދެވޭ ޕެންޝަނެވެ.  އަދި މިނޫނަސް ދެވޭ އެކިއެކި މަހުންމަހުން ދެވޭ އެކއެކި އިނާޔަތްތަކެވެ. </t>
  </si>
  <si>
    <t xml:space="preserve">ދައުލަތުން ޕެންޝަންލިބޭ ފަރާޓްތަކުގެ ތެރެއިން މަހަކު 000،5ރ އަށްވުރެ މަދުން ޕެންޝަން ފައިސާ ލިބޭ ފަރާޓްތަކަށް 000،5ރ ހަމަކޮށްދިނުމަށްޓަކާ ހެދި ސްކީމެއް.  ސީނިއަރ ސިޓިޒަން އެލަވަންސް ސްކީމް ތަޢާރަފުކުރެވިފައިވާ ފެބްރުއަރީ 2014 ގައެވެ. </t>
  </si>
  <si>
    <t>1_/</t>
  </si>
  <si>
    <t>މަޢުލޫމާތު ދެއްވި ފަރާތް: މޯލްޑިވްސް ޕެންޝަން އެޑްމިނިސްޓްރޭޝަން</t>
  </si>
  <si>
    <t>Payout Rf (million Rf)</t>
  </si>
  <si>
    <t xml:space="preserve">Payout Rf </t>
  </si>
  <si>
    <t>Senior Citizen Allowance</t>
  </si>
  <si>
    <r>
      <t>Senior Citizen Allowance</t>
    </r>
    <r>
      <rPr>
        <vertAlign val="superscript"/>
        <sz val="11"/>
        <color rgb="FF000000"/>
        <rFont val="Calibri"/>
        <family val="2"/>
      </rPr>
      <t>1_/</t>
    </r>
  </si>
  <si>
    <t>2016-2017</t>
  </si>
  <si>
    <t xml:space="preserve">  Amount Paid (in MVR)   </t>
  </si>
  <si>
    <t>ތާވަލު 18.1:  ޕެންޝަންގެ ގޮތުގައި އެކި ސްކީމްތަކުން ދެވުނު މިންވަރު، 2016 - 2017</t>
  </si>
  <si>
    <t>TABLE:    18.1   AMOUNT OF PENSION PAID OUT UNDER DIFFERENT SCHEMES, 2016- 2017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</si>
</sst>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15" x14ac:knownFonts="1">
    <font>
      <sz val="11"/>
      <color rgb="FF000000"/>
      <name val="Calibri"/>
    </font>
    <font>
      <b/>
      <sz val="11"/>
      <color rgb="FF000000"/>
      <name val="Faruma"/>
    </font>
    <font>
      <sz val="11"/>
      <name val="Calibri"/>
      <family val="2"/>
    </font>
    <font>
      <b/>
      <sz val="11"/>
      <color rgb="FF000000"/>
      <name val="Calibri"/>
      <family val="2"/>
    </font>
    <font>
      <b/>
      <sz val="10"/>
      <color rgb="FF000000"/>
      <name val="Faruma"/>
    </font>
    <font>
      <sz val="11"/>
      <color rgb="FF000000"/>
      <name val="Faruma"/>
    </font>
    <font>
      <i/>
      <sz val="10"/>
      <color rgb="FF000000"/>
      <name val="Calibri"/>
      <family val="2"/>
    </font>
    <font>
      <b/>
      <i/>
      <sz val="12"/>
      <color rgb="FFFF0000"/>
      <name val="Calibri"/>
      <family val="2"/>
    </font>
    <font>
      <sz val="10"/>
      <color rgb="FF000000"/>
      <name val="Faruma"/>
    </font>
    <font>
      <vertAlign val="superscript"/>
      <sz val="10"/>
      <color rgb="FF000000"/>
      <name val="Faruma"/>
    </font>
    <font>
      <u/>
      <sz val="9"/>
      <color rgb="FF0000FF"/>
      <name val="Calibri"/>
      <family val="2"/>
    </font>
    <font>
      <vertAlign val="superscript"/>
      <sz val="11"/>
      <color rgb="FF000000"/>
      <name val="Calibri"/>
      <family val="2"/>
    </font>
    <font>
      <sz val="11"/>
      <color rgb="FF000000"/>
      <name val="Calibri"/>
      <family val="2"/>
    </font>
    <font>
      <sz val="10"/>
      <name val="Arial"/>
      <family val="2"/>
    </font>
    <font>
      <sz val="10"/>
      <name val="Courier"/>
      <family val="3"/>
    </font>
  </fonts>
  <fills count="5">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C2D69B"/>
      </patternFill>
    </fill>
  </fills>
  <borders count="24">
    <border>
      <left/>
      <right/>
      <top/>
      <bottom/>
      <diagonal/>
    </border>
    <border>
      <left/>
      <right/>
      <top style="thin">
        <color rgb="FF000000"/>
      </top>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top/>
      <bottom style="hair">
        <color rgb="FF000000"/>
      </bottom>
      <diagonal/>
    </border>
    <border>
      <left style="hair">
        <color rgb="FF000000"/>
      </left>
      <right/>
      <top/>
      <bottom style="hair">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right style="hair">
        <color rgb="FF000000"/>
      </right>
      <top style="thin">
        <color rgb="FF000000"/>
      </top>
      <bottom/>
      <diagonal/>
    </border>
    <border>
      <left/>
      <right style="hair">
        <color rgb="FF000000"/>
      </right>
      <top/>
      <bottom style="hair">
        <color rgb="FF000000"/>
      </bottom>
      <diagonal/>
    </border>
    <border>
      <left/>
      <right style="hair">
        <color rgb="FF000000"/>
      </right>
      <top style="hair">
        <color rgb="FF000000"/>
      </top>
      <bottom style="thin">
        <color rgb="FF000000"/>
      </bottom>
      <diagonal/>
    </border>
    <border>
      <left/>
      <right style="hair">
        <color rgb="FF000000"/>
      </right>
      <top/>
      <bottom style="thin">
        <color indexed="64"/>
      </bottom>
      <diagonal/>
    </border>
    <border>
      <left/>
      <right/>
      <top/>
      <bottom style="thin">
        <color indexed="64"/>
      </bottom>
      <diagonal/>
    </border>
  </borders>
  <cellStyleXfs count="3">
    <xf numFmtId="0" fontId="0" fillId="0" borderId="0"/>
    <xf numFmtId="164" fontId="14" fillId="0" borderId="0"/>
    <xf numFmtId="0" fontId="13" fillId="0" borderId="0"/>
  </cellStyleXfs>
  <cellXfs count="103">
    <xf numFmtId="0" fontId="0" fillId="0" borderId="0" xfId="0" applyFont="1" applyAlignment="1"/>
    <xf numFmtId="0" fontId="0" fillId="2" borderId="0" xfId="0" applyFont="1" applyFill="1" applyBorder="1"/>
    <xf numFmtId="0" fontId="0" fillId="3" borderId="0" xfId="0" applyFont="1" applyFill="1" applyAlignment="1"/>
    <xf numFmtId="0" fontId="3" fillId="2" borderId="0" xfId="0" applyFont="1" applyFill="1" applyBorder="1"/>
    <xf numFmtId="0" fontId="0" fillId="2" borderId="0" xfId="0" applyFont="1" applyFill="1" applyBorder="1" applyAlignment="1">
      <alignment vertical="center"/>
    </xf>
    <xf numFmtId="0" fontId="4" fillId="2" borderId="9"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9" xfId="0" applyFont="1" applyFill="1" applyBorder="1" applyAlignment="1">
      <alignment horizontal="right" vertical="center"/>
    </xf>
    <xf numFmtId="0" fontId="4" fillId="2" borderId="0" xfId="0" applyFont="1" applyFill="1" applyBorder="1" applyAlignment="1">
      <alignment horizontal="right" vertical="center"/>
    </xf>
    <xf numFmtId="0" fontId="4" fillId="2" borderId="10" xfId="0" applyFont="1" applyFill="1" applyBorder="1" applyAlignment="1">
      <alignment horizontal="right" vertical="center"/>
    </xf>
    <xf numFmtId="0" fontId="4" fillId="2" borderId="11" xfId="0" applyFont="1" applyFill="1" applyBorder="1" applyAlignment="1">
      <alignment horizontal="right" vertical="center"/>
    </xf>
    <xf numFmtId="0" fontId="3" fillId="2" borderId="12" xfId="0" applyFont="1" applyFill="1" applyBorder="1" applyAlignment="1">
      <alignment vertical="center"/>
    </xf>
    <xf numFmtId="0" fontId="3" fillId="2" borderId="14" xfId="0" applyFont="1" applyFill="1" applyBorder="1" applyAlignment="1">
      <alignment horizontal="right" vertical="center"/>
    </xf>
    <xf numFmtId="0" fontId="3" fillId="2" borderId="15" xfId="0" applyFont="1" applyFill="1" applyBorder="1" applyAlignment="1">
      <alignment horizontal="right" vertical="center"/>
    </xf>
    <xf numFmtId="0" fontId="3" fillId="2" borderId="16" xfId="0" applyFont="1" applyFill="1" applyBorder="1" applyAlignment="1">
      <alignment horizontal="right" vertical="center"/>
    </xf>
    <xf numFmtId="0" fontId="3" fillId="2" borderId="17" xfId="0" applyFont="1" applyFill="1" applyBorder="1" applyAlignment="1">
      <alignment horizontal="right" vertical="center"/>
    </xf>
    <xf numFmtId="0" fontId="3" fillId="2" borderId="14" xfId="0" applyFont="1" applyFill="1" applyBorder="1" applyAlignment="1">
      <alignment horizontal="center" vertical="center"/>
    </xf>
    <xf numFmtId="0" fontId="1" fillId="2" borderId="14" xfId="0" applyFont="1" applyFill="1" applyBorder="1" applyAlignment="1">
      <alignment horizontal="right" vertical="center"/>
    </xf>
    <xf numFmtId="164" fontId="3" fillId="2" borderId="0" xfId="0" applyNumberFormat="1" applyFont="1" applyFill="1" applyBorder="1" applyAlignment="1">
      <alignment horizontal="center" vertical="center"/>
    </xf>
    <xf numFmtId="164" fontId="3" fillId="2" borderId="18" xfId="0" applyNumberFormat="1" applyFont="1" applyFill="1" applyBorder="1" applyAlignment="1">
      <alignment horizontal="center" vertical="center"/>
    </xf>
    <xf numFmtId="164" fontId="3" fillId="2" borderId="8" xfId="0" applyNumberFormat="1" applyFont="1" applyFill="1" applyBorder="1" applyAlignment="1">
      <alignment horizontal="center" vertical="center"/>
    </xf>
    <xf numFmtId="1" fontId="3" fillId="2" borderId="1" xfId="0" applyNumberFormat="1" applyFont="1" applyFill="1" applyBorder="1" applyAlignment="1">
      <alignment horizontal="center" vertical="center"/>
    </xf>
    <xf numFmtId="0" fontId="1" fillId="2" borderId="0" xfId="0" applyFont="1" applyFill="1" applyBorder="1" applyAlignment="1"/>
    <xf numFmtId="0" fontId="1" fillId="2" borderId="0" xfId="0" applyFont="1" applyFill="1" applyBorder="1"/>
    <xf numFmtId="164" fontId="0" fillId="2" borderId="0" xfId="0" applyNumberFormat="1" applyFont="1" applyFill="1" applyBorder="1" applyAlignment="1">
      <alignment horizontal="center" vertical="center"/>
    </xf>
    <xf numFmtId="164" fontId="0" fillId="2" borderId="18" xfId="0" applyNumberFormat="1" applyFont="1" applyFill="1" applyBorder="1" applyAlignment="1">
      <alignment horizontal="center" vertical="center"/>
    </xf>
    <xf numFmtId="164" fontId="0" fillId="2" borderId="8" xfId="0" applyNumberFormat="1" applyFont="1" applyFill="1" applyBorder="1" applyAlignment="1">
      <alignment horizontal="center" vertical="center"/>
    </xf>
    <xf numFmtId="164" fontId="0" fillId="4" borderId="0" xfId="0" applyNumberFormat="1" applyFont="1" applyFill="1" applyBorder="1" applyAlignment="1">
      <alignment horizontal="center" vertical="center"/>
    </xf>
    <xf numFmtId="164" fontId="0" fillId="4" borderId="18" xfId="0" applyNumberFormat="1" applyFont="1" applyFill="1" applyBorder="1" applyAlignment="1">
      <alignment horizontal="center" vertical="center"/>
    </xf>
    <xf numFmtId="1" fontId="0" fillId="4" borderId="0" xfId="0" applyNumberFormat="1" applyFont="1" applyFill="1" applyBorder="1" applyAlignment="1">
      <alignment horizontal="center" vertical="center"/>
    </xf>
    <xf numFmtId="0" fontId="5" fillId="2" borderId="0" xfId="0" applyFont="1" applyFill="1" applyBorder="1" applyAlignment="1"/>
    <xf numFmtId="0" fontId="5" fillId="2" borderId="0" xfId="0" applyFont="1" applyFill="1" applyBorder="1"/>
    <xf numFmtId="0" fontId="0" fillId="2" borderId="14" xfId="0" applyFont="1" applyFill="1" applyBorder="1"/>
    <xf numFmtId="164" fontId="0" fillId="2" borderId="14" xfId="0" applyNumberFormat="1" applyFont="1" applyFill="1" applyBorder="1" applyAlignment="1">
      <alignment horizontal="center" vertical="center"/>
    </xf>
    <xf numFmtId="164" fontId="0" fillId="2" borderId="15" xfId="0" applyNumberFormat="1" applyFont="1" applyFill="1" applyBorder="1" applyAlignment="1">
      <alignment horizontal="center" vertical="center"/>
    </xf>
    <xf numFmtId="164" fontId="0" fillId="2" borderId="16" xfId="0" applyNumberFormat="1" applyFont="1" applyFill="1" applyBorder="1" applyAlignment="1">
      <alignment horizontal="center" vertical="center"/>
    </xf>
    <xf numFmtId="164" fontId="0" fillId="4" borderId="14" xfId="0" applyNumberFormat="1" applyFont="1" applyFill="1" applyBorder="1" applyAlignment="1">
      <alignment horizontal="center" vertical="center"/>
    </xf>
    <xf numFmtId="164" fontId="0" fillId="4" borderId="15" xfId="0" applyNumberFormat="1" applyFont="1" applyFill="1" applyBorder="1" applyAlignment="1">
      <alignment horizontal="center" vertical="center"/>
    </xf>
    <xf numFmtId="1" fontId="0" fillId="4" borderId="14" xfId="0" applyNumberFormat="1" applyFont="1" applyFill="1" applyBorder="1" applyAlignment="1">
      <alignment horizontal="center" vertical="center"/>
    </xf>
    <xf numFmtId="0" fontId="5" fillId="2" borderId="14" xfId="0" applyFont="1" applyFill="1" applyBorder="1" applyAlignment="1"/>
    <xf numFmtId="0" fontId="5" fillId="2" borderId="14" xfId="0" applyFont="1" applyFill="1" applyBorder="1"/>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164" fontId="6" fillId="2" borderId="0" xfId="0" applyNumberFormat="1" applyFont="1" applyFill="1" applyBorder="1" applyAlignment="1">
      <alignment vertical="center"/>
    </xf>
    <xf numFmtId="0" fontId="7" fillId="2" borderId="0" xfId="0" applyFont="1" applyFill="1" applyBorder="1" applyAlignment="1">
      <alignment vertical="center"/>
    </xf>
    <xf numFmtId="0" fontId="8" fillId="2" borderId="0" xfId="0" applyFont="1" applyFill="1" applyBorder="1" applyAlignment="1">
      <alignment vertical="center"/>
    </xf>
    <xf numFmtId="0" fontId="9" fillId="2" borderId="0" xfId="0" applyFont="1" applyFill="1" applyBorder="1" applyAlignment="1">
      <alignment horizontal="left" vertical="center"/>
    </xf>
    <xf numFmtId="0" fontId="3" fillId="2" borderId="1" xfId="0" applyFont="1" applyFill="1" applyBorder="1"/>
    <xf numFmtId="0" fontId="3" fillId="2" borderId="1" xfId="0" applyFont="1" applyFill="1" applyBorder="1" applyAlignment="1">
      <alignment wrapText="1"/>
    </xf>
    <xf numFmtId="0" fontId="10" fillId="2" borderId="0" xfId="0" applyFont="1" applyFill="1" applyBorder="1" applyAlignment="1">
      <alignment vertical="top"/>
    </xf>
    <xf numFmtId="43" fontId="0" fillId="2" borderId="0" xfId="0" applyNumberFormat="1" applyFont="1" applyFill="1" applyBorder="1"/>
    <xf numFmtId="164" fontId="0" fillId="2" borderId="0" xfId="0" applyNumberFormat="1" applyFont="1" applyFill="1" applyBorder="1"/>
    <xf numFmtId="0" fontId="3" fillId="2" borderId="21" xfId="0" applyFont="1" applyFill="1" applyBorder="1" applyAlignment="1">
      <alignment horizontal="right" vertical="center"/>
    </xf>
    <xf numFmtId="0" fontId="12" fillId="2" borderId="14" xfId="0" applyFont="1" applyFill="1" applyBorder="1"/>
    <xf numFmtId="1" fontId="3" fillId="2" borderId="0" xfId="0" applyNumberFormat="1" applyFont="1" applyFill="1" applyBorder="1" applyAlignment="1">
      <alignment horizontal="center" vertical="center"/>
    </xf>
    <xf numFmtId="164" fontId="3" fillId="4" borderId="8" xfId="0" applyNumberFormat="1" applyFont="1" applyFill="1" applyBorder="1" applyAlignment="1">
      <alignment horizontal="center" vertical="center"/>
    </xf>
    <xf numFmtId="164" fontId="0" fillId="4" borderId="8" xfId="0" applyNumberFormat="1" applyFont="1" applyFill="1" applyBorder="1" applyAlignment="1">
      <alignment horizontal="center" vertical="center"/>
    </xf>
    <xf numFmtId="164" fontId="0" fillId="4" borderId="16"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1" fillId="2" borderId="0" xfId="0" applyFont="1" applyFill="1" applyBorder="1" applyAlignment="1">
      <alignment horizontal="center"/>
    </xf>
    <xf numFmtId="0" fontId="3" fillId="2" borderId="0" xfId="0" applyFont="1" applyFill="1" applyBorder="1" applyAlignment="1">
      <alignment horizontal="center"/>
    </xf>
    <xf numFmtId="0" fontId="2" fillId="3" borderId="5" xfId="0" applyFont="1" applyFill="1" applyBorder="1"/>
    <xf numFmtId="0" fontId="2" fillId="3" borderId="2" xfId="0" applyFont="1" applyFill="1" applyBorder="1"/>
    <xf numFmtId="0" fontId="1" fillId="2" borderId="1" xfId="0" applyFont="1" applyFill="1" applyBorder="1" applyAlignment="1">
      <alignment horizontal="right" vertical="center"/>
    </xf>
    <xf numFmtId="0" fontId="1" fillId="2" borderId="1" xfId="0" applyFont="1" applyFill="1" applyBorder="1" applyAlignment="1">
      <alignment horizontal="center" vertical="center"/>
    </xf>
    <xf numFmtId="0" fontId="3" fillId="2" borderId="13" xfId="0" applyFont="1" applyFill="1" applyBorder="1" applyAlignment="1">
      <alignment horizontal="center" vertical="center"/>
    </xf>
    <xf numFmtId="0" fontId="1" fillId="2" borderId="0" xfId="0" applyFont="1" applyFill="1" applyBorder="1" applyAlignment="1">
      <alignment horizontal="right" vertical="center"/>
    </xf>
    <xf numFmtId="0" fontId="3" fillId="2" borderId="14" xfId="0" applyFont="1" applyFill="1" applyBorder="1" applyAlignment="1">
      <alignment horizontal="center"/>
    </xf>
    <xf numFmtId="164" fontId="3" fillId="4" borderId="19" xfId="0" applyNumberFormat="1" applyFont="1" applyFill="1" applyBorder="1" applyAlignment="1">
      <alignment horizontal="center" vertical="center"/>
    </xf>
    <xf numFmtId="164" fontId="12" fillId="2" borderId="0" xfId="0" applyNumberFormat="1" applyFont="1" applyFill="1" applyBorder="1" applyAlignment="1">
      <alignment horizontal="center" vertical="center"/>
    </xf>
    <xf numFmtId="1" fontId="3" fillId="2" borderId="23" xfId="0" applyNumberFormat="1" applyFont="1" applyFill="1" applyBorder="1" applyAlignment="1">
      <alignment horizontal="center" vertical="center"/>
    </xf>
    <xf numFmtId="164" fontId="0" fillId="2" borderId="23" xfId="0" applyNumberFormat="1" applyFont="1" applyFill="1" applyBorder="1" applyAlignment="1">
      <alignment horizontal="center" vertical="center"/>
    </xf>
    <xf numFmtId="164" fontId="12" fillId="2" borderId="18" xfId="0" applyNumberFormat="1" applyFont="1" applyFill="1" applyBorder="1" applyAlignment="1">
      <alignment horizontal="center" vertical="center"/>
    </xf>
    <xf numFmtId="164" fontId="12" fillId="2" borderId="22" xfId="0" applyNumberFormat="1" applyFont="1" applyFill="1" applyBorder="1" applyAlignment="1">
      <alignment horizontal="center" vertical="center"/>
    </xf>
    <xf numFmtId="164" fontId="12" fillId="4" borderId="18" xfId="0" applyNumberFormat="1" applyFont="1" applyFill="1" applyBorder="1" applyAlignment="1">
      <alignment horizontal="center" vertical="center"/>
    </xf>
    <xf numFmtId="164" fontId="12" fillId="4" borderId="22" xfId="0" applyNumberFormat="1" applyFont="1" applyFill="1" applyBorder="1" applyAlignment="1">
      <alignment horizontal="center" vertical="center"/>
    </xf>
    <xf numFmtId="0" fontId="8" fillId="2" borderId="0" xfId="0" applyFont="1" applyFill="1" applyBorder="1" applyAlignment="1">
      <alignment horizontal="right" vertical="center"/>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0" xfId="0" applyFont="1" applyFill="1" applyBorder="1" applyAlignment="1">
      <alignment horizontal="center" vertical="center"/>
    </xf>
    <xf numFmtId="0" fontId="1" fillId="2" borderId="1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1" fillId="2" borderId="2" xfId="0" applyFont="1" applyFill="1" applyBorder="1" applyAlignment="1">
      <alignment horizontal="right" vertical="center"/>
    </xf>
    <xf numFmtId="0" fontId="2" fillId="3" borderId="2" xfId="0" applyFont="1" applyFill="1" applyBorder="1" applyAlignment="1">
      <alignment horizontal="right"/>
    </xf>
    <xf numFmtId="0" fontId="2" fillId="3" borderId="3" xfId="0" applyFont="1" applyFill="1" applyBorder="1" applyAlignment="1">
      <alignment horizontal="right"/>
    </xf>
    <xf numFmtId="0" fontId="1" fillId="2" borderId="0" xfId="0" applyFont="1" applyFill="1" applyBorder="1" applyAlignment="1">
      <alignment horizontal="center"/>
    </xf>
    <xf numFmtId="0" fontId="2" fillId="3" borderId="0" xfId="0" applyFont="1" applyFill="1" applyBorder="1"/>
    <xf numFmtId="0" fontId="3" fillId="2" borderId="0" xfId="0" applyFont="1" applyFill="1" applyBorder="1" applyAlignment="1">
      <alignment horizontal="center"/>
    </xf>
    <xf numFmtId="0" fontId="3" fillId="2" borderId="5" xfId="0" applyFont="1" applyFill="1" applyBorder="1" applyAlignment="1">
      <alignment horizontal="center" vertical="center"/>
    </xf>
    <xf numFmtId="0" fontId="2" fillId="3" borderId="5" xfId="0" applyFont="1" applyFill="1" applyBorder="1"/>
    <xf numFmtId="0" fontId="2" fillId="3" borderId="6" xfId="0" applyFont="1" applyFill="1" applyBorder="1"/>
    <xf numFmtId="0" fontId="2" fillId="3" borderId="2" xfId="0" applyFont="1" applyFill="1" applyBorder="1"/>
    <xf numFmtId="0" fontId="3" fillId="2" borderId="1" xfId="0" applyFont="1" applyFill="1" applyBorder="1" applyAlignment="1">
      <alignment horizontal="left" vertical="center"/>
    </xf>
    <xf numFmtId="0" fontId="2" fillId="3" borderId="14" xfId="0" applyFont="1" applyFill="1" applyBorder="1"/>
    <xf numFmtId="0" fontId="1" fillId="2" borderId="1" xfId="0" applyFont="1" applyFill="1" applyBorder="1" applyAlignment="1">
      <alignment horizontal="right" vertical="center"/>
    </xf>
    <xf numFmtId="0" fontId="1" fillId="2" borderId="2" xfId="0" applyFont="1" applyFill="1" applyBorder="1" applyAlignment="1">
      <alignment horizontal="left" vertical="center"/>
    </xf>
    <xf numFmtId="0" fontId="2" fillId="3" borderId="2" xfId="0" applyFont="1" applyFill="1" applyBorder="1" applyAlignment="1">
      <alignment horizontal="left"/>
    </xf>
    <xf numFmtId="0" fontId="2" fillId="3" borderId="3" xfId="0" applyFont="1" applyFill="1" applyBorder="1" applyAlignment="1">
      <alignment horizontal="left"/>
    </xf>
    <xf numFmtId="0" fontId="3" fillId="2" borderId="7" xfId="0" applyFont="1" applyFill="1" applyBorder="1" applyAlignment="1">
      <alignment horizontal="center" vertical="center"/>
    </xf>
  </cellXfs>
  <cellStyles count="3">
    <cellStyle name="Normal" xfId="0" builtinId="0"/>
    <cellStyle name="Normal 2" xfId="1"/>
    <cellStyle name="Normal 5" xfId="2"/>
  </cellStyles>
  <dxfs count="0"/>
  <tableStyles count="0" defaultTableStyle="TableStyleMedium2" defaultPivotStyle="PivotStyleLight16"/>
  <colors>
    <mruColors>
      <color rgb="FFF8A45E"/>
      <color rgb="FF953735"/>
      <color rgb="FFFAC02C"/>
      <color rgb="FFFAC090"/>
      <color rgb="FFFDEADA"/>
      <color rgb="FFFF3399"/>
      <color rgb="FFFFE5F2"/>
      <color rgb="FFFFD5EA"/>
      <color rgb="FFFFC5E2"/>
      <color rgb="FFFF85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50" b="1" i="0">
                <a:latin typeface="Consolas" pitchFamily="49" charset="0"/>
                <a:cs typeface="Consolas" pitchFamily="49" charset="0"/>
              </a:defRPr>
            </a:pPr>
            <a:r>
              <a:rPr lang="en-US" sz="1050">
                <a:latin typeface="Consolas" pitchFamily="49" charset="0"/>
                <a:cs typeface="Consolas" pitchFamily="49" charset="0"/>
              </a:rPr>
              <a:t>Figure 18.3: Percentage shares of different pension schemes in the payments, 201</a:t>
            </a:r>
            <a:r>
              <a:rPr lang="dv-MV" sz="1050">
                <a:latin typeface="Consolas" pitchFamily="49" charset="0"/>
                <a:cs typeface="Consolas" pitchFamily="49" charset="0"/>
              </a:rPr>
              <a:t>7</a:t>
            </a:r>
            <a:endParaRPr lang="en-US" sz="1050">
              <a:latin typeface="Consolas" pitchFamily="49" charset="0"/>
              <a:cs typeface="Consolas" pitchFamily="49" charset="0"/>
            </a:endParaRPr>
          </a:p>
        </c:rich>
      </c:tx>
      <c:layout/>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spPr>
            <a:solidFill>
              <a:srgbClr val="953735"/>
            </a:solidFill>
          </c:spPr>
          <c:dPt>
            <c:idx val="0"/>
            <c:bubble3D val="0"/>
            <c:spPr>
              <a:solidFill>
                <a:schemeClr val="accent1">
                  <a:lumMod val="60000"/>
                  <a:lumOff val="40000"/>
                </a:schemeClr>
              </a:solidFill>
            </c:spPr>
            <c:extLst>
              <c:ext xmlns:c16="http://schemas.microsoft.com/office/drawing/2014/chart" uri="{C3380CC4-5D6E-409C-BE32-E72D297353CC}">
                <c16:uniqueId val="{00000001-7807-414C-92D9-98979949C479}"/>
              </c:ext>
            </c:extLst>
          </c:dPt>
          <c:dPt>
            <c:idx val="1"/>
            <c:bubble3D val="0"/>
            <c:spPr>
              <a:solidFill>
                <a:schemeClr val="accent1">
                  <a:lumMod val="20000"/>
                  <a:lumOff val="80000"/>
                </a:schemeClr>
              </a:solidFill>
            </c:spPr>
            <c:extLst>
              <c:ext xmlns:c16="http://schemas.microsoft.com/office/drawing/2014/chart" uri="{C3380CC4-5D6E-409C-BE32-E72D297353CC}">
                <c16:uniqueId val="{00000003-7807-414C-92D9-98979949C479}"/>
              </c:ext>
            </c:extLst>
          </c:dPt>
          <c:dPt>
            <c:idx val="2"/>
            <c:bubble3D val="0"/>
            <c:spPr>
              <a:solidFill>
                <a:schemeClr val="bg1">
                  <a:lumMod val="75000"/>
                </a:schemeClr>
              </a:solidFill>
            </c:spPr>
            <c:extLst>
              <c:ext xmlns:c16="http://schemas.microsoft.com/office/drawing/2014/chart" uri="{C3380CC4-5D6E-409C-BE32-E72D297353CC}">
                <c16:uniqueId val="{00000005-7807-414C-92D9-98979949C479}"/>
              </c:ext>
            </c:extLst>
          </c:dPt>
          <c:dPt>
            <c:idx val="3"/>
            <c:bubble3D val="0"/>
            <c:spPr>
              <a:solidFill>
                <a:schemeClr val="accent1">
                  <a:lumMod val="75000"/>
                </a:schemeClr>
              </a:solidFill>
            </c:spPr>
            <c:extLst>
              <c:ext xmlns:c16="http://schemas.microsoft.com/office/drawing/2014/chart" uri="{C3380CC4-5D6E-409C-BE32-E72D297353CC}">
                <c16:uniqueId val="{00000006-7807-414C-92D9-98979949C479}"/>
              </c:ext>
            </c:extLst>
          </c:dPt>
          <c:dLbls>
            <c:dLbl>
              <c:idx val="0"/>
              <c:layout>
                <c:manualLayout>
                  <c:x val="-2.8789923526765633E-2"/>
                  <c:y val="-4.417670682730923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807-414C-92D9-98979949C479}"/>
                </c:ext>
              </c:extLst>
            </c:dLbl>
            <c:dLbl>
              <c:idx val="1"/>
              <c:layout>
                <c:manualLayout>
                  <c:x val="0.10969616210561092"/>
                  <c:y val="0.1044176706827309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807-414C-92D9-98979949C479}"/>
                </c:ext>
              </c:extLst>
            </c:dLbl>
            <c:dLbl>
              <c:idx val="3"/>
              <c:layout>
                <c:manualLayout>
                  <c:x val="-0.15284826459629608"/>
                  <c:y val="3.614457831325301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7807-414C-92D9-98979949C479}"/>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'18.1'!$AP$24:$AP$27</c:f>
              <c:strCache>
                <c:ptCount val="4"/>
                <c:pt idx="0">
                  <c:v>Basic Pension</c:v>
                </c:pt>
                <c:pt idx="1">
                  <c:v>Retirement Pension</c:v>
                </c:pt>
                <c:pt idx="2">
                  <c:v>Other Pension</c:v>
                </c:pt>
                <c:pt idx="3">
                  <c:v>Senior Citizen Allowance</c:v>
                </c:pt>
              </c:strCache>
            </c:strRef>
          </c:cat>
          <c:val>
            <c:numRef>
              <c:f>'18.1'!$AU$24:$AU$27</c:f>
              <c:numCache>
                <c:formatCode>_(* #,##0_);_(* \(#,##0\);_(* "-"??_);_(@_)</c:formatCode>
                <c:ptCount val="4"/>
                <c:pt idx="0">
                  <c:v>33.492963252901433</c:v>
                </c:pt>
                <c:pt idx="1">
                  <c:v>4.2003808232246262</c:v>
                </c:pt>
                <c:pt idx="2">
                  <c:v>20.827304045359167</c:v>
                </c:pt>
                <c:pt idx="3">
                  <c:v>41.479351878514763</c:v>
                </c:pt>
              </c:numCache>
            </c:numRef>
          </c:val>
          <c:extLst>
            <c:ext xmlns:c16="http://schemas.microsoft.com/office/drawing/2014/chart" uri="{C3380CC4-5D6E-409C-BE32-E72D297353CC}">
              <c16:uniqueId val="{00000007-7807-414C-92D9-98979949C479}"/>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050" b="1" i="0" baseline="0">
                <a:effectLst/>
                <a:latin typeface="Consolas" pitchFamily="49" charset="0"/>
                <a:cs typeface="Consolas" pitchFamily="49" charset="0"/>
              </a:rPr>
              <a:t>Figure 18.2: Percentage share of pension payments going to females, 201</a:t>
            </a:r>
            <a:r>
              <a:rPr lang="dv-MV" sz="1050" b="1" i="0" baseline="0">
                <a:effectLst/>
                <a:latin typeface="Consolas" pitchFamily="49" charset="0"/>
                <a:cs typeface="Consolas" pitchFamily="49" charset="0"/>
              </a:rPr>
              <a:t>7</a:t>
            </a:r>
            <a:endParaRPr lang="en-US" sz="1050">
              <a:effectLst/>
              <a:latin typeface="Consolas" pitchFamily="49" charset="0"/>
              <a:cs typeface="Consolas" pitchFamily="49" charset="0"/>
            </a:endParaRPr>
          </a:p>
        </c:rich>
      </c:tx>
      <c:layout>
        <c:manualLayout>
          <c:xMode val="edge"/>
          <c:yMode val="edge"/>
          <c:x val="0.13772530860826865"/>
          <c:y val="3.2748538011695909E-2"/>
        </c:manualLayout>
      </c:layout>
      <c:overlay val="0"/>
    </c:title>
    <c:autoTitleDeleted val="0"/>
    <c:plotArea>
      <c:layout>
        <c:manualLayout>
          <c:layoutTarget val="inner"/>
          <c:xMode val="edge"/>
          <c:yMode val="edge"/>
          <c:x val="8.6569842308585401E-2"/>
          <c:y val="0.15402348390661694"/>
          <c:w val="0.87252735499215417"/>
          <c:h val="0.67167619836994064"/>
        </c:manualLayout>
      </c:layout>
      <c:barChart>
        <c:barDir val="col"/>
        <c:grouping val="clustered"/>
        <c:varyColors val="1"/>
        <c:ser>
          <c:idx val="0"/>
          <c:order val="0"/>
          <c:spPr>
            <a:solidFill>
              <a:srgbClr val="376092"/>
            </a:solidFill>
          </c:spPr>
          <c:invertIfNegative val="1"/>
          <c:cat>
            <c:strRef>
              <c:f>'18.1'!$AP$24:$AP$27</c:f>
              <c:strCache>
                <c:ptCount val="4"/>
                <c:pt idx="0">
                  <c:v>Basic Pension</c:v>
                </c:pt>
                <c:pt idx="1">
                  <c:v>Retirement Pension</c:v>
                </c:pt>
                <c:pt idx="2">
                  <c:v>Other Pension</c:v>
                </c:pt>
                <c:pt idx="3">
                  <c:v>Senior Citizen Allowance</c:v>
                </c:pt>
              </c:strCache>
            </c:strRef>
          </c:cat>
          <c:val>
            <c:numRef>
              <c:f>'18.1'!$AV$24:$AV$27</c:f>
              <c:numCache>
                <c:formatCode>_(* #,##0_);_(* \(#,##0\);_(* "-"??_);_(@_)</c:formatCode>
                <c:ptCount val="4"/>
                <c:pt idx="0">
                  <c:v>50.919723532676564</c:v>
                </c:pt>
                <c:pt idx="1">
                  <c:v>16.879714924146821</c:v>
                </c:pt>
                <c:pt idx="2">
                  <c:v>20.976622200770073</c:v>
                </c:pt>
                <c:pt idx="3">
                  <c:v>49.620396042187046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353-43C9-9899-0813892315ED}"/>
            </c:ext>
          </c:extLst>
        </c:ser>
        <c:dLbls>
          <c:showLegendKey val="0"/>
          <c:showVal val="0"/>
          <c:showCatName val="0"/>
          <c:showSerName val="0"/>
          <c:showPercent val="0"/>
          <c:showBubbleSize val="0"/>
        </c:dLbls>
        <c:gapWidth val="150"/>
        <c:axId val="-1978594624"/>
        <c:axId val="-1978599520"/>
      </c:barChart>
      <c:catAx>
        <c:axId val="-1978594624"/>
        <c:scaling>
          <c:orientation val="minMax"/>
        </c:scaling>
        <c:delete val="0"/>
        <c:axPos val="b"/>
        <c:numFmt formatCode="General" sourceLinked="0"/>
        <c:majorTickMark val="none"/>
        <c:minorTickMark val="none"/>
        <c:tickLblPos val="nextTo"/>
        <c:txPr>
          <a:bodyPr/>
          <a:lstStyle/>
          <a:p>
            <a:pPr lvl="0">
              <a:defRPr/>
            </a:pPr>
            <a:endParaRPr lang="en-US"/>
          </a:p>
        </c:txPr>
        <c:crossAx val="-1978599520"/>
        <c:crosses val="autoZero"/>
        <c:auto val="1"/>
        <c:lblAlgn val="ctr"/>
        <c:lblOffset val="100"/>
        <c:noMultiLvlLbl val="1"/>
      </c:catAx>
      <c:valAx>
        <c:axId val="-1978599520"/>
        <c:scaling>
          <c:orientation val="minMax"/>
        </c:scaling>
        <c:delete val="0"/>
        <c:axPos val="l"/>
        <c:majorGridlines>
          <c:spPr>
            <a:ln>
              <a:solidFill>
                <a:schemeClr val="accent1">
                  <a:lumMod val="40000"/>
                  <a:lumOff val="60000"/>
                </a:schemeClr>
              </a:solidFill>
            </a:ln>
          </c:spPr>
        </c:majorGridlines>
        <c:numFmt formatCode="_(* #,##0_);_(* \(#,##0\);_(* &quot;-&quot;??_);_(@_)" sourceLinked="1"/>
        <c:majorTickMark val="none"/>
        <c:minorTickMark val="none"/>
        <c:tickLblPos val="nextTo"/>
        <c:txPr>
          <a:bodyPr/>
          <a:lstStyle/>
          <a:p>
            <a:pPr lvl="0">
              <a:defRPr/>
            </a:pPr>
            <a:endParaRPr lang="en-US"/>
          </a:p>
        </c:txPr>
        <c:crossAx val="-1978594624"/>
        <c:crosses val="autoZero"/>
        <c:crossBetween val="between"/>
      </c:valAx>
      <c:spPr>
        <a:solidFill>
          <a:schemeClr val="accent1">
            <a:lumMod val="20000"/>
            <a:lumOff val="80000"/>
          </a:schemeClr>
        </a:solidFill>
        <a:ln>
          <a:solidFill>
            <a:schemeClr val="tx1">
              <a:tint val="75000"/>
              <a:shade val="95000"/>
              <a:satMod val="105000"/>
            </a:schemeClr>
          </a:solidFill>
        </a:ln>
      </c:spPr>
    </c:plotArea>
    <c:plotVisOnly val="1"/>
    <c:dispBlanksAs val="zero"/>
    <c:showDLblsOverMax val="1"/>
  </c:chart>
  <c:spPr>
    <a:solidFill>
      <a:srgbClr val="FFFFFF"/>
    </a:solidFill>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034908843941677"/>
          <c:y val="0.1834780750126104"/>
          <c:w val="0.86231271872265969"/>
          <c:h val="0.67936016141304822"/>
        </c:manualLayout>
      </c:layout>
      <c:barChart>
        <c:barDir val="col"/>
        <c:grouping val="clustered"/>
        <c:varyColors val="1"/>
        <c:ser>
          <c:idx val="0"/>
          <c:order val="0"/>
          <c:tx>
            <c:strRef>
              <c:f>'18.1'!$AQ$23</c:f>
              <c:strCache>
                <c:ptCount val="1"/>
                <c:pt idx="0">
                  <c:v>Male</c:v>
                </c:pt>
              </c:strCache>
            </c:strRef>
          </c:tx>
          <c:spPr>
            <a:solidFill>
              <a:srgbClr val="376092"/>
            </a:solidFill>
          </c:spPr>
          <c:invertIfNegative val="1"/>
          <c:cat>
            <c:strRef>
              <c:f>'18.1'!$AP$24:$AP$27</c:f>
              <c:strCache>
                <c:ptCount val="4"/>
                <c:pt idx="0">
                  <c:v>Basic Pension</c:v>
                </c:pt>
                <c:pt idx="1">
                  <c:v>Retirement Pension</c:v>
                </c:pt>
                <c:pt idx="2">
                  <c:v>Other Pension</c:v>
                </c:pt>
                <c:pt idx="3">
                  <c:v>Senior Citizen Allowance</c:v>
                </c:pt>
              </c:strCache>
            </c:strRef>
          </c:cat>
          <c:val>
            <c:numRef>
              <c:f>'18.1'!$AQ$24:$AQ$27</c:f>
              <c:numCache>
                <c:formatCode>_(* #,##0.00_);_(* \(#,##0.00\);_(* "-"??_);_(@_)</c:formatCode>
                <c:ptCount val="4"/>
                <c:pt idx="0">
                  <c:v>213.62257486000001</c:v>
                </c:pt>
                <c:pt idx="1">
                  <c:v>45.371408659999993</c:v>
                </c:pt>
                <c:pt idx="2" formatCode="_(* #,##0_);_(* \(#,##0\);_(* &quot;-&quot;??_);_(@_)">
                  <c:v>213.88248361000001</c:v>
                </c:pt>
                <c:pt idx="3" formatCode="_(* #,##0_);_(* \(#,##0\);_(* &quot;-&quot;??_);_(@_)">
                  <c:v>271.56467910000003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2796-4440-9DDD-B00D692B2497}"/>
            </c:ext>
          </c:extLst>
        </c:ser>
        <c:ser>
          <c:idx val="1"/>
          <c:order val="1"/>
          <c:tx>
            <c:strRef>
              <c:f>'18.1'!$AR$23</c:f>
              <c:strCache>
                <c:ptCount val="1"/>
                <c:pt idx="0">
                  <c:v>Female</c:v>
                </c:pt>
              </c:strCache>
            </c:strRef>
          </c:tx>
          <c:spPr>
            <a:solidFill>
              <a:srgbClr val="BFBFBF"/>
            </a:solidFill>
          </c:spPr>
          <c:invertIfNegative val="1"/>
          <c:cat>
            <c:strRef>
              <c:f>'18.1'!$AP$24:$AP$27</c:f>
              <c:strCache>
                <c:ptCount val="4"/>
                <c:pt idx="0">
                  <c:v>Basic Pension</c:v>
                </c:pt>
                <c:pt idx="1">
                  <c:v>Retirement Pension</c:v>
                </c:pt>
                <c:pt idx="2">
                  <c:v>Other Pension</c:v>
                </c:pt>
                <c:pt idx="3">
                  <c:v>Senior Citizen Allowance</c:v>
                </c:pt>
              </c:strCache>
            </c:strRef>
          </c:cat>
          <c:val>
            <c:numRef>
              <c:f>'18.1'!$AR$24:$AR$27</c:f>
              <c:numCache>
                <c:formatCode>_(* #,##0_);_(* \(#,##0\);_(* "-"??_);_(@_)</c:formatCode>
                <c:ptCount val="4"/>
                <c:pt idx="0">
                  <c:v>221.62879337999999</c:v>
                </c:pt>
                <c:pt idx="1">
                  <c:v>9.2138332200000015</c:v>
                </c:pt>
                <c:pt idx="2">
                  <c:v>56.774744119999994</c:v>
                </c:pt>
                <c:pt idx="3">
                  <c:v>267.47226792999999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2796-4440-9DDD-B00D692B2497}"/>
            </c:ext>
          </c:extLst>
        </c:ser>
        <c:dLbls>
          <c:showLegendKey val="0"/>
          <c:showVal val="0"/>
          <c:showCatName val="0"/>
          <c:showSerName val="0"/>
          <c:showPercent val="0"/>
          <c:showBubbleSize val="0"/>
        </c:dLbls>
        <c:gapWidth val="150"/>
        <c:axId val="-1978603328"/>
        <c:axId val="-1978590816"/>
      </c:barChart>
      <c:catAx>
        <c:axId val="-1978603328"/>
        <c:scaling>
          <c:orientation val="minMax"/>
        </c:scaling>
        <c:delete val="0"/>
        <c:axPos val="b"/>
        <c:numFmt formatCode="General" sourceLinked="0"/>
        <c:majorTickMark val="cross"/>
        <c:minorTickMark val="cross"/>
        <c:tickLblPos val="nextTo"/>
        <c:txPr>
          <a:bodyPr/>
          <a:lstStyle/>
          <a:p>
            <a:pPr lvl="0">
              <a:defRPr/>
            </a:pPr>
            <a:endParaRPr lang="en-US"/>
          </a:p>
        </c:txPr>
        <c:crossAx val="-1978590816"/>
        <c:crosses val="autoZero"/>
        <c:auto val="1"/>
        <c:lblAlgn val="ctr"/>
        <c:lblOffset val="100"/>
        <c:noMultiLvlLbl val="1"/>
      </c:catAx>
      <c:valAx>
        <c:axId val="-1978590816"/>
        <c:scaling>
          <c:orientation val="minMax"/>
        </c:scaling>
        <c:delete val="0"/>
        <c:axPos val="l"/>
        <c:majorGridlines>
          <c:spPr>
            <a:ln>
              <a:solidFill>
                <a:schemeClr val="accent1">
                  <a:lumMod val="60000"/>
                  <a:lumOff val="40000"/>
                </a:schemeClr>
              </a:solidFill>
            </a:ln>
          </c:spPr>
        </c:majorGridlines>
        <c:title>
          <c:tx>
            <c:rich>
              <a:bodyPr/>
              <a:lstStyle/>
              <a:p>
                <a:pPr lvl="0">
                  <a:defRPr b="1" i="0"/>
                </a:pPr>
                <a:r>
                  <a:rPr lang="en-US"/>
                  <a:t>Value (In million MVR)</a:t>
                </a:r>
              </a:p>
            </c:rich>
          </c:tx>
          <c:layout>
            <c:manualLayout>
              <c:xMode val="edge"/>
              <c:yMode val="edge"/>
              <c:x val="1.5086133101286868E-2"/>
              <c:y val="0.28135696392999732"/>
            </c:manualLayout>
          </c:layout>
          <c:overlay val="0"/>
        </c:title>
        <c:numFmt formatCode="_(* #,##0_);_(* \(#,##0\);_(* &quot;-&quot;_);_(@_)" sourceLinked="0"/>
        <c:majorTickMark val="cross"/>
        <c:minorTickMark val="cross"/>
        <c:tickLblPos val="nextTo"/>
        <c:spPr>
          <a:ln w="47625">
            <a:noFill/>
          </a:ln>
        </c:spPr>
        <c:txPr>
          <a:bodyPr/>
          <a:lstStyle/>
          <a:p>
            <a:pPr lvl="0">
              <a:defRPr/>
            </a:pPr>
            <a:endParaRPr lang="en-US"/>
          </a:p>
        </c:txPr>
        <c:crossAx val="-1978603328"/>
        <c:crosses val="autoZero"/>
        <c:crossBetween val="between"/>
      </c:valAx>
      <c:spPr>
        <a:solidFill>
          <a:schemeClr val="accent1">
            <a:lumMod val="20000"/>
            <a:lumOff val="80000"/>
          </a:schemeClr>
        </a:solidFill>
        <a:ln>
          <a:solidFill>
            <a:schemeClr val="bg1">
              <a:lumMod val="65000"/>
            </a:schemeClr>
          </a:solidFill>
        </a:ln>
      </c:spPr>
    </c:plotArea>
    <c:legend>
      <c:legendPos val="r"/>
      <c:layout>
        <c:manualLayout>
          <c:xMode val="edge"/>
          <c:yMode val="edge"/>
          <c:x val="0.33447828455405337"/>
          <c:y val="0.30613797053869896"/>
          <c:w val="0.21632750984251969"/>
          <c:h val="9.4343049224110132E-2"/>
        </c:manualLayout>
      </c:layout>
      <c:overlay val="0"/>
      <c:txPr>
        <a:bodyPr/>
        <a:lstStyle/>
        <a:p>
          <a:pPr>
            <a:defRPr sz="1050"/>
          </a:pPr>
          <a:endParaRPr lang="en-US"/>
        </a:p>
      </c:txPr>
    </c:legend>
    <c:plotVisOnly val="1"/>
    <c:dispBlanksAs val="zero"/>
    <c:showDLblsOverMax val="1"/>
  </c:chart>
  <c:spPr>
    <a:solidFill>
      <a:srgbClr val="FFFFFF"/>
    </a:solidFill>
    <a:ln cap="sq">
      <a:miter lim="800000"/>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333375</xdr:colOff>
      <xdr:row>48</xdr:row>
      <xdr:rowOff>171450</xdr:rowOff>
    </xdr:from>
    <xdr:to>
      <xdr:col>21</xdr:col>
      <xdr:colOff>114300</xdr:colOff>
      <xdr:row>65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342900</xdr:colOff>
      <xdr:row>33</xdr:row>
      <xdr:rowOff>19050</xdr:rowOff>
    </xdr:from>
    <xdr:to>
      <xdr:col>21</xdr:col>
      <xdr:colOff>171450</xdr:colOff>
      <xdr:row>47</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8</xdr:col>
      <xdr:colOff>438150</xdr:colOff>
      <xdr:row>18</xdr:row>
      <xdr:rowOff>95250</xdr:rowOff>
    </xdr:from>
    <xdr:to>
      <xdr:col>21</xdr:col>
      <xdr:colOff>228600</xdr:colOff>
      <xdr:row>31</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13</xdr:col>
      <xdr:colOff>85725</xdr:colOff>
      <xdr:row>19</xdr:row>
      <xdr:rowOff>9525</xdr:rowOff>
    </xdr:from>
    <xdr:to>
      <xdr:col>20</xdr:col>
      <xdr:colOff>76201</xdr:colOff>
      <xdr:row>20</xdr:row>
      <xdr:rowOff>85725</xdr:rowOff>
    </xdr:to>
    <xdr:sp macro="" textlink="">
      <xdr:nvSpPr>
        <xdr:cNvPr id="11" name="Shape 6"/>
        <xdr:cNvSpPr txBox="1"/>
      </xdr:nvSpPr>
      <xdr:spPr>
        <a:xfrm>
          <a:off x="2733675" y="4848225"/>
          <a:ext cx="5191126" cy="266700"/>
        </a:xfrm>
        <a:prstGeom prst="rect">
          <a:avLst/>
        </a:prstGeom>
        <a:noFill/>
        <a:ln>
          <a:noFill/>
        </a:ln>
      </xdr:spPr>
      <xdr:txBody>
        <a:bodyPr lIns="91425" tIns="45700" rIns="91425" bIns="45700" anchor="t" anchorCtr="0">
          <a:noAutofit/>
        </a:bodyPr>
        <a:lstStyle/>
        <a:p>
          <a:pPr marL="0" marR="0" lvl="0" indent="0" algn="ctr" rtl="0">
            <a:lnSpc>
              <a:spcPct val="100000"/>
            </a:lnSpc>
            <a:spcBef>
              <a:spcPts val="0"/>
            </a:spcBef>
            <a:buClr>
              <a:schemeClr val="dk1"/>
            </a:buClr>
            <a:buSzPct val="25000"/>
            <a:buFont typeface="Consolas"/>
            <a:buNone/>
          </a:pPr>
          <a:r>
            <a:rPr lang="en-US" sz="1100" b="1" i="0">
              <a:solidFill>
                <a:schemeClr val="dk1"/>
              </a:solidFill>
              <a:latin typeface="Consolas"/>
              <a:ea typeface="Consolas"/>
              <a:cs typeface="Consolas"/>
              <a:sym typeface="Consolas"/>
            </a:rPr>
            <a:t>Figure 18.1: Pension payments made under different schemes, 201</a:t>
          </a:r>
          <a:r>
            <a:rPr lang="dv-MV" sz="1100" b="1" i="0">
              <a:solidFill>
                <a:schemeClr val="dk1"/>
              </a:solidFill>
              <a:latin typeface="Consolas"/>
              <a:ea typeface="Consolas"/>
              <a:cs typeface="Consolas"/>
              <a:sym typeface="Consolas"/>
            </a:rPr>
            <a:t>7</a:t>
          </a:r>
          <a:endParaRPr lang="en-US" sz="1100" b="1" i="0">
            <a:solidFill>
              <a:schemeClr val="dk1"/>
            </a:solidFill>
            <a:latin typeface="Consolas"/>
            <a:ea typeface="Consolas"/>
            <a:cs typeface="Consolas"/>
            <a:sym typeface="Consolas"/>
          </a:endParaRPr>
        </a:p>
        <a:p>
          <a:pPr lvl="0">
            <a:spcBef>
              <a:spcPts val="0"/>
            </a:spcBef>
            <a:buNone/>
          </a:pPr>
          <a:endParaRPr sz="1100"/>
        </a:p>
      </xdr:txBody>
    </xdr:sp>
    <xdr:clientData fLocksWithSheet="0"/>
  </xdr:twoCellAnchor>
  <xdr:twoCellAnchor>
    <xdr:from>
      <xdr:col>13</xdr:col>
      <xdr:colOff>85725</xdr:colOff>
      <xdr:row>20</xdr:row>
      <xdr:rowOff>76200</xdr:rowOff>
    </xdr:from>
    <xdr:to>
      <xdr:col>20</xdr:col>
      <xdr:colOff>76200</xdr:colOff>
      <xdr:row>20</xdr:row>
      <xdr:rowOff>76200</xdr:rowOff>
    </xdr:to>
    <xdr:sp macro="" textlink="">
      <xdr:nvSpPr>
        <xdr:cNvPr id="9" name="Line 4"/>
        <xdr:cNvSpPr>
          <a:spLocks noChangeShapeType="1"/>
        </xdr:cNvSpPr>
      </xdr:nvSpPr>
      <xdr:spPr bwMode="auto">
        <a:xfrm flipV="1">
          <a:off x="2733675" y="5105400"/>
          <a:ext cx="5191125"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sp>
    <xdr:clientData/>
  </xdr:twoCellAnchor>
  <xdr:twoCellAnchor>
    <xdr:from>
      <xdr:col>12</xdr:col>
      <xdr:colOff>895350</xdr:colOff>
      <xdr:row>34</xdr:row>
      <xdr:rowOff>123825</xdr:rowOff>
    </xdr:from>
    <xdr:to>
      <xdr:col>20</xdr:col>
      <xdr:colOff>228600</xdr:colOff>
      <xdr:row>34</xdr:row>
      <xdr:rowOff>141143</xdr:rowOff>
    </xdr:to>
    <xdr:sp macro="" textlink="">
      <xdr:nvSpPr>
        <xdr:cNvPr id="10" name="Line 4"/>
        <xdr:cNvSpPr>
          <a:spLocks noChangeShapeType="1"/>
        </xdr:cNvSpPr>
      </xdr:nvSpPr>
      <xdr:spPr bwMode="auto">
        <a:xfrm flipV="1">
          <a:off x="2600325" y="8201025"/>
          <a:ext cx="5476875" cy="1731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sp>
    <xdr:clientData/>
  </xdr:twoCellAnchor>
  <xdr:twoCellAnchor>
    <xdr:from>
      <xdr:col>12</xdr:col>
      <xdr:colOff>904876</xdr:colOff>
      <xdr:row>51</xdr:row>
      <xdr:rowOff>47625</xdr:rowOff>
    </xdr:from>
    <xdr:to>
      <xdr:col>19</xdr:col>
      <xdr:colOff>504826</xdr:colOff>
      <xdr:row>51</xdr:row>
      <xdr:rowOff>47625</xdr:rowOff>
    </xdr:to>
    <xdr:sp macro="" textlink="">
      <xdr:nvSpPr>
        <xdr:cNvPr id="15" name="Line 4"/>
        <xdr:cNvSpPr>
          <a:spLocks noChangeShapeType="1"/>
        </xdr:cNvSpPr>
      </xdr:nvSpPr>
      <xdr:spPr bwMode="auto">
        <a:xfrm flipV="1">
          <a:off x="2609851" y="11363325"/>
          <a:ext cx="5200650"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sp>
    <xdr:clientData/>
  </xdr:twoCellAnchor>
</xdr:wsDr>
</file>

<file path=xl/drawings/drawing2.xml><?xml version="1.0" encoding="utf-8"?>
<c:userShapes xmlns:c="http://schemas.openxmlformats.org/drawingml/2006/chart">
  <cdr:relSizeAnchor xmlns:cdr="http://schemas.openxmlformats.org/drawingml/2006/chartDrawing">
    <cdr:from>
      <cdr:x>0.00804</cdr:x>
      <cdr:y>0.29601</cdr:y>
    </cdr:from>
    <cdr:to>
      <cdr:x>0.04558</cdr:x>
      <cdr:y>0.6386</cdr:y>
    </cdr:to>
    <cdr:sp macro="" textlink="">
      <cdr:nvSpPr>
        <cdr:cNvPr id="2" name="TextBox 1"/>
        <cdr:cNvSpPr txBox="1"/>
      </cdr:nvSpPr>
      <cdr:spPr>
        <a:xfrm xmlns:a="http://schemas.openxmlformats.org/drawingml/2006/main" rot="16200000">
          <a:off x="-274584" y="1135273"/>
          <a:ext cx="929985" cy="2665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000" b="1" i="0" baseline="0">
              <a:effectLst/>
              <a:latin typeface="Consolas" pitchFamily="49" charset="0"/>
              <a:ea typeface="+mn-ea"/>
              <a:cs typeface="Consolas" pitchFamily="49" charset="0"/>
            </a:rPr>
            <a:t>Percentage</a:t>
          </a:r>
          <a:endParaRPr lang="en-US" sz="1000" b="1">
            <a:effectLst/>
            <a:latin typeface="Consolas" pitchFamily="49" charset="0"/>
            <a:cs typeface="Consolas" pitchFamily="49" charset="0"/>
          </a:endParaRPr>
        </a:p>
        <a:p xmlns:a="http://schemas.openxmlformats.org/drawingml/2006/main">
          <a:endParaRPr lang="en-US" sz="1000" b="1">
            <a:latin typeface="Consolas" pitchFamily="49" charset="0"/>
            <a:cs typeface="Consolas" pitchFamily="49"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V1000"/>
  <sheetViews>
    <sheetView tabSelected="1" zoomScaleNormal="100" workbookViewId="0">
      <selection activeCell="AI22" sqref="AI22"/>
    </sheetView>
  </sheetViews>
  <sheetFormatPr defaultColWidth="15.140625" defaultRowHeight="15" customHeight="1" x14ac:dyDescent="0.25"/>
  <cols>
    <col min="1" max="1" width="25.42578125" style="2" customWidth="1"/>
    <col min="2" max="3" width="13.42578125" style="2" hidden="1" customWidth="1"/>
    <col min="4" max="4" width="14.42578125" style="2" hidden="1" customWidth="1"/>
    <col min="5" max="6" width="13.42578125" style="2" hidden="1" customWidth="1"/>
    <col min="7" max="7" width="14.42578125" style="2" hidden="1" customWidth="1"/>
    <col min="8" max="8" width="0.85546875" style="2" hidden="1" customWidth="1"/>
    <col min="9" max="9" width="14.5703125" style="2" hidden="1" customWidth="1"/>
    <col min="10" max="10" width="13.42578125" style="2" hidden="1" customWidth="1"/>
    <col min="11" max="11" width="14.42578125" style="2" hidden="1" customWidth="1"/>
    <col min="12" max="12" width="0.140625" style="2" customWidth="1"/>
    <col min="13" max="13" width="14.140625" style="2" customWidth="1"/>
    <col min="14" max="14" width="13.42578125" style="2" customWidth="1"/>
    <col min="15" max="15" width="14.42578125" style="2" customWidth="1"/>
    <col min="16" max="16" width="0.7109375" style="2" hidden="1" customWidth="1"/>
    <col min="17" max="17" width="14.140625" style="2" customWidth="1"/>
    <col min="18" max="18" width="13.42578125" style="2" customWidth="1"/>
    <col min="19" max="19" width="14.42578125" style="2" customWidth="1"/>
    <col min="20" max="21" width="8.140625" style="2" customWidth="1"/>
    <col min="22" max="23" width="8.42578125" style="2" customWidth="1"/>
    <col min="24" max="25" width="13.140625" style="2" customWidth="1"/>
    <col min="26" max="26" width="11.85546875" style="2" customWidth="1"/>
    <col min="27" max="27" width="1.28515625" style="2" customWidth="1"/>
    <col min="28" max="28" width="3.7109375" style="2" customWidth="1"/>
    <col min="29" max="34" width="11.28515625" style="2" hidden="1" customWidth="1"/>
    <col min="35" max="40" width="11.28515625" style="2" customWidth="1"/>
    <col min="41" max="41" width="36" style="2" customWidth="1"/>
    <col min="42" max="42" width="30.140625" style="2" customWidth="1"/>
    <col min="43" max="44" width="8" style="2" customWidth="1"/>
    <col min="45" max="46" width="15" style="2" customWidth="1"/>
    <col min="47" max="48" width="8" style="2" customWidth="1"/>
    <col min="49" max="16384" width="15.140625" style="2"/>
  </cols>
  <sheetData>
    <row r="1" spans="1:48" ht="21.75" customHeight="1" x14ac:dyDescent="0.55000000000000004">
      <c r="A1" s="89" t="s">
        <v>37</v>
      </c>
      <c r="B1" s="90"/>
      <c r="C1" s="90"/>
      <c r="D1" s="90"/>
      <c r="E1" s="90"/>
      <c r="F1" s="90"/>
      <c r="G1" s="90"/>
      <c r="H1" s="90"/>
      <c r="I1" s="90"/>
      <c r="J1" s="90"/>
      <c r="K1" s="90"/>
      <c r="L1" s="90"/>
      <c r="M1" s="90"/>
      <c r="N1" s="90"/>
      <c r="O1" s="90"/>
      <c r="P1" s="90"/>
      <c r="Q1" s="90"/>
      <c r="R1" s="90"/>
      <c r="S1" s="90"/>
      <c r="T1" s="90"/>
      <c r="U1" s="90"/>
      <c r="V1" s="90"/>
      <c r="W1" s="90"/>
      <c r="X1" s="90"/>
      <c r="Y1" s="90"/>
      <c r="Z1" s="90"/>
      <c r="AA1" s="59"/>
      <c r="AB1" s="1"/>
      <c r="AC1" s="1"/>
      <c r="AD1" s="1"/>
      <c r="AE1" s="1"/>
      <c r="AF1" s="1"/>
      <c r="AG1" s="1"/>
      <c r="AH1" s="1"/>
      <c r="AI1" s="1"/>
      <c r="AJ1" s="1"/>
      <c r="AK1" s="1"/>
      <c r="AL1" s="1"/>
      <c r="AM1" s="1"/>
      <c r="AN1" s="1"/>
      <c r="AO1" s="1"/>
      <c r="AP1" s="1"/>
      <c r="AQ1" s="1"/>
      <c r="AR1" s="1"/>
      <c r="AS1" s="1"/>
      <c r="AT1" s="1"/>
      <c r="AU1" s="1"/>
      <c r="AV1" s="1"/>
    </row>
    <row r="2" spans="1:48" x14ac:dyDescent="0.25">
      <c r="A2" s="91" t="s">
        <v>38</v>
      </c>
      <c r="B2" s="90"/>
      <c r="C2" s="90"/>
      <c r="D2" s="90"/>
      <c r="E2" s="90"/>
      <c r="F2" s="90"/>
      <c r="G2" s="90"/>
      <c r="H2" s="90"/>
      <c r="I2" s="90"/>
      <c r="J2" s="90"/>
      <c r="K2" s="90"/>
      <c r="L2" s="90"/>
      <c r="M2" s="90"/>
      <c r="N2" s="90"/>
      <c r="O2" s="90"/>
      <c r="P2" s="90"/>
      <c r="Q2" s="90"/>
      <c r="R2" s="90"/>
      <c r="S2" s="90"/>
      <c r="T2" s="90"/>
      <c r="U2" s="90"/>
      <c r="V2" s="90"/>
      <c r="W2" s="90"/>
      <c r="X2" s="90"/>
      <c r="Y2" s="90"/>
      <c r="Z2" s="90"/>
      <c r="AA2" s="60"/>
      <c r="AB2" s="1"/>
      <c r="AC2" s="1"/>
      <c r="AD2" s="1"/>
      <c r="AE2" s="1"/>
      <c r="AF2" s="1"/>
      <c r="AG2" s="1"/>
      <c r="AH2" s="1"/>
      <c r="AI2" s="1"/>
      <c r="AJ2" s="1"/>
      <c r="AK2" s="1"/>
      <c r="AL2" s="1"/>
      <c r="AM2" s="1"/>
      <c r="AN2" s="1"/>
      <c r="AO2" s="1"/>
      <c r="AP2" s="1"/>
      <c r="AQ2" s="1"/>
      <c r="AR2" s="1"/>
      <c r="AS2" s="1"/>
      <c r="AT2" s="1"/>
      <c r="AU2" s="1"/>
      <c r="AV2" s="1"/>
    </row>
    <row r="3" spans="1:48" ht="8.2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6" customHeight="1" x14ac:dyDescent="0.25">
      <c r="A4" s="96" t="s">
        <v>0</v>
      </c>
      <c r="B4" s="86" t="s">
        <v>1</v>
      </c>
      <c r="C4" s="95"/>
      <c r="D4" s="95"/>
      <c r="E4" s="86" t="s">
        <v>2</v>
      </c>
      <c r="F4" s="95"/>
      <c r="G4" s="95"/>
      <c r="H4" s="64"/>
      <c r="I4" s="86" t="s">
        <v>1</v>
      </c>
      <c r="J4" s="95"/>
      <c r="K4" s="95"/>
      <c r="L4" s="64"/>
      <c r="M4" s="86" t="s">
        <v>36</v>
      </c>
      <c r="N4" s="87"/>
      <c r="O4" s="88"/>
      <c r="P4" s="62"/>
      <c r="Q4" s="99" t="s">
        <v>3</v>
      </c>
      <c r="R4" s="100"/>
      <c r="S4" s="101"/>
      <c r="T4" s="77" t="s">
        <v>4</v>
      </c>
      <c r="U4" s="78"/>
      <c r="V4" s="77" t="s">
        <v>5</v>
      </c>
      <c r="W4" s="81"/>
      <c r="X4" s="64" t="s">
        <v>6</v>
      </c>
      <c r="Y4" s="64"/>
      <c r="Z4" s="98" t="s">
        <v>7</v>
      </c>
      <c r="AA4" s="63"/>
      <c r="AB4" s="3"/>
      <c r="AC4" s="1"/>
      <c r="AD4" s="1"/>
      <c r="AE4" s="1"/>
      <c r="AF4" s="1"/>
      <c r="AG4" s="1"/>
      <c r="AH4" s="1"/>
      <c r="AI4" s="1"/>
      <c r="AJ4" s="1"/>
      <c r="AK4" s="1"/>
      <c r="AL4" s="1"/>
      <c r="AM4" s="1"/>
      <c r="AN4" s="1"/>
      <c r="AO4" s="1"/>
      <c r="AP4" s="1"/>
      <c r="AQ4" s="1"/>
      <c r="AR4" s="1"/>
      <c r="AS4" s="1"/>
      <c r="AT4" s="1"/>
      <c r="AU4" s="1"/>
      <c r="AV4" s="1"/>
    </row>
    <row r="5" spans="1:48" ht="15" customHeight="1" x14ac:dyDescent="0.25">
      <c r="A5" s="90"/>
      <c r="B5" s="92">
        <v>2013</v>
      </c>
      <c r="C5" s="93"/>
      <c r="D5" s="93"/>
      <c r="E5" s="92">
        <v>2014</v>
      </c>
      <c r="F5" s="93"/>
      <c r="G5" s="94"/>
      <c r="H5" s="58"/>
      <c r="I5" s="92">
        <v>2015</v>
      </c>
      <c r="J5" s="93"/>
      <c r="K5" s="94"/>
      <c r="L5" s="58"/>
      <c r="M5" s="92">
        <v>2016</v>
      </c>
      <c r="N5" s="93"/>
      <c r="O5" s="94"/>
      <c r="P5" s="61"/>
      <c r="Q5" s="102">
        <v>2017</v>
      </c>
      <c r="R5" s="93"/>
      <c r="S5" s="94"/>
      <c r="T5" s="79" t="s">
        <v>8</v>
      </c>
      <c r="U5" s="80"/>
      <c r="V5" s="82" t="s">
        <v>9</v>
      </c>
      <c r="W5" s="83"/>
      <c r="X5" s="58" t="s">
        <v>10</v>
      </c>
      <c r="Y5" s="58"/>
      <c r="Z5" s="90"/>
      <c r="AA5" s="66"/>
      <c r="AB5" s="4"/>
      <c r="AC5" s="4"/>
      <c r="AD5" s="4"/>
      <c r="AE5" s="4"/>
      <c r="AF5" s="4"/>
      <c r="AG5" s="4"/>
      <c r="AH5" s="4"/>
      <c r="AI5" s="4"/>
      <c r="AJ5" s="4"/>
      <c r="AK5" s="4"/>
      <c r="AL5" s="4"/>
      <c r="AM5" s="4"/>
      <c r="AN5" s="4"/>
      <c r="AO5" s="4"/>
      <c r="AP5" s="4"/>
      <c r="AQ5" s="4"/>
      <c r="AR5" s="4"/>
      <c r="AS5" s="4"/>
      <c r="AT5" s="4"/>
      <c r="AU5" s="4"/>
      <c r="AV5" s="4"/>
    </row>
    <row r="6" spans="1:48" ht="16.5" customHeight="1" x14ac:dyDescent="0.25">
      <c r="A6" s="90"/>
      <c r="B6" s="5" t="s">
        <v>11</v>
      </c>
      <c r="C6" s="6" t="s">
        <v>12</v>
      </c>
      <c r="D6" s="5" t="s">
        <v>13</v>
      </c>
      <c r="E6" s="7" t="s">
        <v>11</v>
      </c>
      <c r="F6" s="8" t="s">
        <v>12</v>
      </c>
      <c r="G6" s="9" t="s">
        <v>13</v>
      </c>
      <c r="H6" s="8"/>
      <c r="I6" s="7" t="s">
        <v>11</v>
      </c>
      <c r="J6" s="8" t="s">
        <v>12</v>
      </c>
      <c r="K6" s="9" t="s">
        <v>13</v>
      </c>
      <c r="L6" s="8"/>
      <c r="M6" s="7" t="s">
        <v>11</v>
      </c>
      <c r="N6" s="8" t="s">
        <v>12</v>
      </c>
      <c r="O6" s="9" t="s">
        <v>13</v>
      </c>
      <c r="P6" s="7"/>
      <c r="Q6" s="10" t="s">
        <v>11</v>
      </c>
      <c r="R6" s="8" t="s">
        <v>12</v>
      </c>
      <c r="S6" s="9" t="s">
        <v>13</v>
      </c>
      <c r="T6" s="11"/>
      <c r="U6" s="11"/>
      <c r="V6" s="84"/>
      <c r="W6" s="85"/>
      <c r="X6" s="65"/>
      <c r="Y6" s="58"/>
      <c r="Z6" s="90"/>
      <c r="AA6" s="66"/>
      <c r="AB6" s="4"/>
      <c r="AC6" s="4"/>
      <c r="AD6" s="4"/>
      <c r="AE6" s="4"/>
      <c r="AF6" s="4"/>
      <c r="AG6" s="4"/>
      <c r="AH6" s="4"/>
      <c r="AI6" s="4"/>
      <c r="AJ6" s="4"/>
      <c r="AK6" s="4"/>
      <c r="AL6" s="4"/>
      <c r="AM6" s="4"/>
      <c r="AN6" s="4"/>
      <c r="AO6" s="4"/>
      <c r="AP6" s="4"/>
      <c r="AQ6" s="4"/>
      <c r="AR6" s="4"/>
      <c r="AS6" s="4"/>
      <c r="AT6" s="4"/>
      <c r="AU6" s="4"/>
      <c r="AV6" s="4"/>
    </row>
    <row r="7" spans="1:48" ht="21" customHeight="1" x14ac:dyDescent="0.25">
      <c r="A7" s="97"/>
      <c r="B7" s="67" t="s">
        <v>14</v>
      </c>
      <c r="C7" s="67" t="s">
        <v>15</v>
      </c>
      <c r="D7" s="67" t="s">
        <v>16</v>
      </c>
      <c r="E7" s="12" t="s">
        <v>14</v>
      </c>
      <c r="F7" s="12" t="s">
        <v>15</v>
      </c>
      <c r="G7" s="13" t="s">
        <v>16</v>
      </c>
      <c r="H7" s="12"/>
      <c r="I7" s="12" t="s">
        <v>14</v>
      </c>
      <c r="J7" s="12" t="s">
        <v>15</v>
      </c>
      <c r="K7" s="13" t="s">
        <v>16</v>
      </c>
      <c r="L7" s="12"/>
      <c r="M7" s="12" t="s">
        <v>14</v>
      </c>
      <c r="N7" s="12" t="s">
        <v>15</v>
      </c>
      <c r="O7" s="13" t="s">
        <v>16</v>
      </c>
      <c r="P7" s="12"/>
      <c r="Q7" s="14" t="s">
        <v>14</v>
      </c>
      <c r="R7" s="12" t="s">
        <v>15</v>
      </c>
      <c r="S7" s="13" t="s">
        <v>16</v>
      </c>
      <c r="T7" s="12">
        <v>2016</v>
      </c>
      <c r="U7" s="12">
        <v>2017</v>
      </c>
      <c r="V7" s="15">
        <v>2016</v>
      </c>
      <c r="W7" s="52">
        <v>2017</v>
      </c>
      <c r="X7" s="16" t="s">
        <v>35</v>
      </c>
      <c r="Y7" s="16"/>
      <c r="Z7" s="97"/>
      <c r="AA7" s="17"/>
      <c r="AB7" s="1"/>
      <c r="AC7" s="4"/>
      <c r="AD7" s="1"/>
      <c r="AE7" s="1"/>
      <c r="AF7" s="1"/>
      <c r="AG7" s="1"/>
      <c r="AH7" s="1"/>
      <c r="AI7" s="1"/>
      <c r="AJ7" s="1"/>
      <c r="AK7" s="1"/>
      <c r="AL7" s="1"/>
      <c r="AM7" s="1"/>
      <c r="AN7" s="1"/>
      <c r="AO7" s="1"/>
      <c r="AP7" s="1"/>
      <c r="AQ7" s="1"/>
      <c r="AR7" s="1"/>
      <c r="AS7" s="1"/>
      <c r="AT7" s="1"/>
      <c r="AU7" s="1"/>
      <c r="AV7" s="1"/>
    </row>
    <row r="8" spans="1:48" ht="26.25" customHeight="1" x14ac:dyDescent="0.55000000000000004">
      <c r="A8" s="3" t="s">
        <v>14</v>
      </c>
      <c r="B8" s="18">
        <f t="shared" ref="B8:D8" si="0">SUM(B9:B11)</f>
        <v>691476496.03999996</v>
      </c>
      <c r="C8" s="18">
        <f t="shared" si="0"/>
        <v>426114222.03999996</v>
      </c>
      <c r="D8" s="18">
        <f t="shared" si="0"/>
        <v>265362274</v>
      </c>
      <c r="E8" s="18">
        <f t="shared" ref="E8:G8" si="1">SUM(E9:E12)</f>
        <v>1198546537.5799999</v>
      </c>
      <c r="F8" s="18">
        <f t="shared" si="1"/>
        <v>694023678.84000003</v>
      </c>
      <c r="G8" s="19">
        <f t="shared" si="1"/>
        <v>504522858.74000001</v>
      </c>
      <c r="H8" s="18"/>
      <c r="I8" s="18">
        <f t="shared" ref="I8:K8" si="2">SUM(I9:I12)</f>
        <v>1260504500.8000002</v>
      </c>
      <c r="J8" s="18">
        <f t="shared" si="2"/>
        <v>725245803.5</v>
      </c>
      <c r="K8" s="19">
        <f t="shared" si="2"/>
        <v>535258697.30000001</v>
      </c>
      <c r="L8" s="18"/>
      <c r="M8" s="18">
        <f t="shared" ref="M8:O8" si="3">SUM(M9:M12)</f>
        <v>1279619059.45</v>
      </c>
      <c r="N8" s="18">
        <f t="shared" si="3"/>
        <v>733314099.45000005</v>
      </c>
      <c r="O8" s="19">
        <f t="shared" si="3"/>
        <v>546304960</v>
      </c>
      <c r="P8" s="18"/>
      <c r="Q8" s="20">
        <f t="shared" ref="Q8:S8" si="4">SUM(Q9:Q12)</f>
        <v>1299530784.8800001</v>
      </c>
      <c r="R8" s="18">
        <f t="shared" si="4"/>
        <v>744441146.23000002</v>
      </c>
      <c r="S8" s="19">
        <f t="shared" si="4"/>
        <v>555089638.64999998</v>
      </c>
      <c r="T8" s="18">
        <f>M8/M8*100</f>
        <v>100</v>
      </c>
      <c r="U8" s="18">
        <f>Q8/Q8*100</f>
        <v>100</v>
      </c>
      <c r="V8" s="55">
        <f>O8/M8*100</f>
        <v>42.692780790152526</v>
      </c>
      <c r="W8" s="68">
        <f>S8/Q8*100</f>
        <v>42.714620162019287</v>
      </c>
      <c r="X8" s="21">
        <f>((Q8-M8)/M8)*100</f>
        <v>1.5560666499105158</v>
      </c>
      <c r="Y8" s="54"/>
      <c r="Z8" s="22" t="s">
        <v>11</v>
      </c>
      <c r="AA8" s="23"/>
      <c r="AB8" s="3"/>
      <c r="AC8" s="4"/>
      <c r="AD8" s="3"/>
      <c r="AE8" s="3"/>
      <c r="AF8" s="3"/>
      <c r="AG8" s="3"/>
      <c r="AH8" s="3"/>
      <c r="AI8" s="3"/>
      <c r="AJ8" s="3"/>
      <c r="AK8" s="3"/>
      <c r="AL8" s="3"/>
      <c r="AM8" s="3"/>
      <c r="AN8" s="3"/>
      <c r="AO8" s="3"/>
      <c r="AP8" s="3"/>
      <c r="AQ8" s="3"/>
      <c r="AR8" s="3"/>
      <c r="AS8" s="3"/>
      <c r="AT8" s="3"/>
      <c r="AU8" s="3"/>
      <c r="AV8" s="3"/>
    </row>
    <row r="9" spans="1:48" ht="26.25" customHeight="1" x14ac:dyDescent="0.55000000000000004">
      <c r="A9" s="1" t="s">
        <v>17</v>
      </c>
      <c r="B9" s="24">
        <v>421204350.24000001</v>
      </c>
      <c r="C9" s="24">
        <v>210436362.22</v>
      </c>
      <c r="D9" s="24">
        <v>210767988.02000001</v>
      </c>
      <c r="E9" s="24">
        <v>431707102.44</v>
      </c>
      <c r="F9" s="24">
        <v>216136958.62</v>
      </c>
      <c r="G9" s="25">
        <v>215570143.81999999</v>
      </c>
      <c r="H9" s="24"/>
      <c r="I9" s="24">
        <f t="shared" ref="I9:I12" si="5">SUM(J9:K9)</f>
        <v>426999240</v>
      </c>
      <c r="J9" s="24">
        <v>211715913.83000001</v>
      </c>
      <c r="K9" s="25">
        <v>215283326.16999999</v>
      </c>
      <c r="L9" s="24"/>
      <c r="M9" s="24">
        <f t="shared" ref="M9:M12" si="6">SUM(N9:O9)</f>
        <v>432115940.75</v>
      </c>
      <c r="N9" s="27">
        <v>214009591.78999999</v>
      </c>
      <c r="O9" s="28">
        <v>218106348.96000001</v>
      </c>
      <c r="P9" s="27"/>
      <c r="Q9" s="26">
        <f t="shared" ref="Q9:Q12" si="7">SUM(R9:S9)</f>
        <v>435251368.24000001</v>
      </c>
      <c r="R9" s="27">
        <v>213622574.86000001</v>
      </c>
      <c r="S9" s="28">
        <v>221628793.38</v>
      </c>
      <c r="T9" s="24">
        <f>M9/M8*100</f>
        <v>33.769107888696972</v>
      </c>
      <c r="U9" s="69">
        <f>Q9/Q8*100</f>
        <v>33.492963252901433</v>
      </c>
      <c r="V9" s="56">
        <f>O9/M9*100</f>
        <v>50.474034487467591</v>
      </c>
      <c r="W9" s="74">
        <f>S9/Q9*100</f>
        <v>50.919723532676564</v>
      </c>
      <c r="X9" s="54">
        <f>((Q9-M9)/M9)*100</f>
        <v>0.72559866330272837</v>
      </c>
      <c r="Y9" s="29"/>
      <c r="Z9" s="30" t="s">
        <v>18</v>
      </c>
      <c r="AA9" s="31"/>
      <c r="AB9" s="3"/>
      <c r="AC9" s="4"/>
      <c r="AD9" s="1"/>
      <c r="AE9" s="1"/>
      <c r="AF9" s="1"/>
      <c r="AG9" s="1"/>
      <c r="AH9" s="1"/>
      <c r="AI9" s="1"/>
      <c r="AJ9" s="1"/>
      <c r="AK9" s="1"/>
      <c r="AL9" s="1"/>
      <c r="AM9" s="1"/>
      <c r="AN9" s="1"/>
      <c r="AO9" s="1"/>
      <c r="AP9" s="1"/>
      <c r="AQ9" s="1"/>
      <c r="AR9" s="1"/>
      <c r="AS9" s="1"/>
      <c r="AT9" s="1"/>
      <c r="AU9" s="1"/>
      <c r="AV9" s="1"/>
    </row>
    <row r="10" spans="1:48" ht="26.25" customHeight="1" x14ac:dyDescent="0.55000000000000004">
      <c r="A10" s="1" t="s">
        <v>19</v>
      </c>
      <c r="B10" s="24">
        <v>25887906.539999999</v>
      </c>
      <c r="C10" s="24">
        <v>21327068.57</v>
      </c>
      <c r="D10" s="24">
        <v>4560837.97</v>
      </c>
      <c r="E10" s="24">
        <v>35973669.200000003</v>
      </c>
      <c r="F10" s="24">
        <v>30648673.489999998</v>
      </c>
      <c r="G10" s="25">
        <v>5324995.71</v>
      </c>
      <c r="H10" s="24"/>
      <c r="I10" s="24">
        <f t="shared" si="5"/>
        <v>48839669.629999995</v>
      </c>
      <c r="J10" s="24">
        <v>40839450.539999999</v>
      </c>
      <c r="K10" s="25">
        <v>8000219.0899999999</v>
      </c>
      <c r="L10" s="24"/>
      <c r="M10" s="24">
        <f t="shared" si="6"/>
        <v>49178627.069999993</v>
      </c>
      <c r="N10" s="27">
        <v>41686392.159999996</v>
      </c>
      <c r="O10" s="28">
        <v>7492234.9100000001</v>
      </c>
      <c r="P10" s="27"/>
      <c r="Q10" s="26">
        <f t="shared" si="7"/>
        <v>54585241.879999995</v>
      </c>
      <c r="R10" s="27">
        <v>45371408.659999996</v>
      </c>
      <c r="S10" s="28">
        <v>9213833.2200000007</v>
      </c>
      <c r="T10" s="24">
        <f>M10/M8*100</f>
        <v>3.8432240209940081</v>
      </c>
      <c r="U10" s="69">
        <f>Q10/Q8*100</f>
        <v>4.2003808232246262</v>
      </c>
      <c r="V10" s="56">
        <f>O10/M10*100</f>
        <v>15.234737845234445</v>
      </c>
      <c r="W10" s="74">
        <f>S10/Q10*100</f>
        <v>16.879714924146821</v>
      </c>
      <c r="X10" s="54">
        <f>((Q10-M10)/M10)*100</f>
        <v>10.993830312310919</v>
      </c>
      <c r="Y10" s="29"/>
      <c r="Z10" s="30" t="s">
        <v>20</v>
      </c>
      <c r="AA10" s="31"/>
      <c r="AB10" s="3"/>
      <c r="AC10" s="4"/>
      <c r="AD10" s="1"/>
      <c r="AE10" s="1"/>
      <c r="AF10" s="1"/>
      <c r="AG10" s="1"/>
      <c r="AH10" s="1"/>
      <c r="AI10" s="1"/>
      <c r="AJ10" s="1"/>
      <c r="AK10" s="1"/>
      <c r="AL10" s="1"/>
      <c r="AM10" s="1"/>
      <c r="AN10" s="1"/>
      <c r="AO10" s="1"/>
      <c r="AP10" s="1"/>
      <c r="AQ10" s="1"/>
      <c r="AR10" s="1"/>
      <c r="AS10" s="1"/>
      <c r="AT10" s="1"/>
      <c r="AU10" s="1"/>
      <c r="AV10" s="1"/>
    </row>
    <row r="11" spans="1:48" ht="26.25" customHeight="1" x14ac:dyDescent="0.55000000000000004">
      <c r="A11" s="1" t="s">
        <v>21</v>
      </c>
      <c r="B11" s="24">
        <f>SUM(C11:D11)</f>
        <v>244384239.25999999</v>
      </c>
      <c r="C11" s="24">
        <v>194350791.25</v>
      </c>
      <c r="D11" s="24">
        <v>50033448.009999998</v>
      </c>
      <c r="E11" s="24">
        <v>259554054.59</v>
      </c>
      <c r="F11" s="24">
        <v>206837888.08000001</v>
      </c>
      <c r="G11" s="25">
        <v>52716166.509999998</v>
      </c>
      <c r="H11" s="24"/>
      <c r="I11" s="24">
        <f t="shared" si="5"/>
        <v>260118262.71000001</v>
      </c>
      <c r="J11" s="24">
        <v>206665528.78</v>
      </c>
      <c r="K11" s="25">
        <v>53452733.93</v>
      </c>
      <c r="L11" s="24"/>
      <c r="M11" s="24">
        <f t="shared" si="6"/>
        <v>264841953.94</v>
      </c>
      <c r="N11" s="27">
        <v>206983228.74000001</v>
      </c>
      <c r="O11" s="28">
        <v>57858725.200000003</v>
      </c>
      <c r="P11" s="27"/>
      <c r="Q11" s="26">
        <f t="shared" si="7"/>
        <v>270657227.73000002</v>
      </c>
      <c r="R11" s="27">
        <v>213882483.61000001</v>
      </c>
      <c r="S11" s="28">
        <v>56774744.119999997</v>
      </c>
      <c r="T11" s="24">
        <f>M11/M8*100</f>
        <v>20.696937263018974</v>
      </c>
      <c r="U11" s="72">
        <f>Q11/Q8*100</f>
        <v>20.827304045359167</v>
      </c>
      <c r="V11" s="56">
        <f>O11/M11*100</f>
        <v>21.846510471338657</v>
      </c>
      <c r="W11" s="74">
        <f>S11/Q11*100</f>
        <v>20.976622200770073</v>
      </c>
      <c r="X11" s="54">
        <f>((Q11-M11)/M11)*100</f>
        <v>2.1957524869029901</v>
      </c>
      <c r="Y11" s="29"/>
      <c r="Z11" s="30" t="s">
        <v>22</v>
      </c>
      <c r="AA11" s="31"/>
      <c r="AB11" s="3"/>
      <c r="AC11" s="4"/>
      <c r="AD11" s="1"/>
      <c r="AE11" s="1"/>
      <c r="AF11" s="1"/>
      <c r="AG11" s="1"/>
      <c r="AH11" s="1"/>
      <c r="AI11" s="1"/>
      <c r="AJ11" s="1"/>
      <c r="AK11" s="1"/>
      <c r="AL11" s="1"/>
      <c r="AM11" s="1"/>
      <c r="AN11" s="1"/>
      <c r="AO11" s="1"/>
      <c r="AP11" s="1"/>
      <c r="AQ11" s="1"/>
      <c r="AR11" s="1"/>
      <c r="AS11" s="1"/>
      <c r="AT11" s="1"/>
      <c r="AU11" s="1"/>
      <c r="AV11" s="1"/>
    </row>
    <row r="12" spans="1:48" ht="26.25" customHeight="1" x14ac:dyDescent="0.55000000000000004">
      <c r="A12" s="53" t="s">
        <v>34</v>
      </c>
      <c r="B12" s="33">
        <v>0</v>
      </c>
      <c r="C12" s="33">
        <v>0</v>
      </c>
      <c r="D12" s="33">
        <v>0</v>
      </c>
      <c r="E12" s="33">
        <v>471311711.35000002</v>
      </c>
      <c r="F12" s="33">
        <v>240400158.65000001</v>
      </c>
      <c r="G12" s="34">
        <v>230911552.69999999</v>
      </c>
      <c r="H12" s="33"/>
      <c r="I12" s="33">
        <f t="shared" si="5"/>
        <v>524547328.46000004</v>
      </c>
      <c r="J12" s="33">
        <v>266024910.34999999</v>
      </c>
      <c r="K12" s="34">
        <v>258522418.11000001</v>
      </c>
      <c r="L12" s="33"/>
      <c r="M12" s="33">
        <f t="shared" si="6"/>
        <v>533482537.69</v>
      </c>
      <c r="N12" s="36">
        <v>270634886.75999999</v>
      </c>
      <c r="O12" s="37">
        <v>262847650.93000001</v>
      </c>
      <c r="P12" s="36"/>
      <c r="Q12" s="35">
        <f t="shared" si="7"/>
        <v>539036947.02999997</v>
      </c>
      <c r="R12" s="36">
        <v>271564679.10000002</v>
      </c>
      <c r="S12" s="37">
        <v>267472267.93000001</v>
      </c>
      <c r="T12" s="71">
        <f>M12/M8*100</f>
        <v>41.690730827290032</v>
      </c>
      <c r="U12" s="73">
        <f>Q12/Q8*100</f>
        <v>41.479351878514763</v>
      </c>
      <c r="V12" s="57">
        <f>O12/M12*100</f>
        <v>49.270150822206944</v>
      </c>
      <c r="W12" s="75">
        <f>S12/Q12*100</f>
        <v>49.620396042187046</v>
      </c>
      <c r="X12" s="70">
        <f>((Q12-M12)/M12)*100</f>
        <v>1.0411604781012667</v>
      </c>
      <c r="Y12" s="38"/>
      <c r="Z12" s="39" t="s">
        <v>23</v>
      </c>
      <c r="AA12" s="40"/>
      <c r="AB12" s="3"/>
      <c r="AC12" s="4"/>
      <c r="AD12" s="1"/>
      <c r="AE12" s="1"/>
      <c r="AF12" s="1"/>
      <c r="AG12" s="1"/>
      <c r="AH12" s="1"/>
      <c r="AI12" s="1"/>
      <c r="AJ12" s="1"/>
      <c r="AK12" s="1"/>
      <c r="AL12" s="1"/>
      <c r="AM12" s="1"/>
      <c r="AN12" s="1"/>
      <c r="AO12" s="1"/>
      <c r="AP12" s="1"/>
      <c r="AQ12" s="1"/>
      <c r="AR12" s="1"/>
      <c r="AS12" s="1"/>
      <c r="AT12" s="1"/>
      <c r="AU12" s="1"/>
      <c r="AV12" s="1"/>
    </row>
    <row r="13" spans="1:48" ht="15" customHeight="1" x14ac:dyDescent="0.25">
      <c r="A13" s="41" t="s">
        <v>24</v>
      </c>
      <c r="B13" s="41"/>
      <c r="C13" s="41"/>
      <c r="D13" s="41"/>
      <c r="E13" s="41"/>
      <c r="F13" s="41"/>
      <c r="G13" s="41"/>
      <c r="H13" s="41"/>
      <c r="I13" s="41"/>
      <c r="J13" s="41"/>
      <c r="K13" s="41"/>
      <c r="L13" s="41"/>
      <c r="M13" s="41"/>
      <c r="N13" s="41"/>
      <c r="O13" s="41"/>
      <c r="P13" s="41"/>
      <c r="Q13" s="41"/>
      <c r="R13" s="41"/>
      <c r="S13" s="41"/>
      <c r="T13" s="41"/>
      <c r="U13" s="41"/>
      <c r="V13" s="41"/>
      <c r="W13" s="41"/>
      <c r="X13" s="42"/>
      <c r="Y13" s="42"/>
      <c r="Z13" s="41"/>
      <c r="AA13" s="41"/>
      <c r="AB13" s="41"/>
      <c r="AC13" s="4"/>
      <c r="AD13" s="41"/>
      <c r="AE13" s="41"/>
      <c r="AF13" s="41"/>
      <c r="AG13" s="41"/>
      <c r="AH13" s="41"/>
      <c r="AI13" s="41"/>
      <c r="AJ13" s="41"/>
      <c r="AK13" s="41"/>
      <c r="AL13" s="41"/>
      <c r="AM13" s="41"/>
      <c r="AN13" s="41"/>
      <c r="AO13" s="41"/>
      <c r="AP13" s="41"/>
      <c r="AQ13" s="41"/>
      <c r="AR13" s="41"/>
      <c r="AS13" s="41"/>
      <c r="AT13" s="41"/>
      <c r="AU13" s="41"/>
      <c r="AV13" s="41"/>
    </row>
    <row r="14" spans="1:48" ht="15" customHeight="1" x14ac:dyDescent="0.25">
      <c r="A14" s="41" t="s">
        <v>25</v>
      </c>
      <c r="B14" s="41"/>
      <c r="C14" s="41"/>
      <c r="D14" s="41"/>
      <c r="E14" s="41"/>
      <c r="F14" s="41"/>
      <c r="G14" s="41"/>
      <c r="H14" s="41"/>
      <c r="I14" s="41"/>
      <c r="J14" s="41"/>
      <c r="K14" s="41"/>
      <c r="L14" s="41"/>
      <c r="M14" s="41"/>
      <c r="N14" s="41"/>
      <c r="O14" s="41"/>
      <c r="P14" s="41"/>
      <c r="Q14" s="41"/>
      <c r="R14" s="41"/>
      <c r="S14" s="41"/>
      <c r="T14" s="41"/>
      <c r="U14" s="41"/>
      <c r="V14" s="41"/>
      <c r="W14" s="41"/>
      <c r="X14" s="42"/>
      <c r="Y14" s="42"/>
      <c r="Z14" s="41"/>
      <c r="AA14" s="41"/>
      <c r="AB14" s="41"/>
      <c r="AC14" s="4"/>
      <c r="AD14" s="41"/>
      <c r="AE14" s="41"/>
      <c r="AF14" s="41"/>
      <c r="AG14" s="41"/>
      <c r="AH14" s="41"/>
      <c r="AI14" s="41"/>
      <c r="AJ14" s="41"/>
      <c r="AK14" s="41"/>
      <c r="AL14" s="41"/>
      <c r="AM14" s="41"/>
      <c r="AN14" s="41"/>
      <c r="AO14" s="41"/>
      <c r="AP14" s="41"/>
      <c r="AQ14" s="41"/>
      <c r="AR14" s="41"/>
      <c r="AS14" s="41"/>
      <c r="AT14" s="41"/>
      <c r="AU14" s="41"/>
      <c r="AV14" s="41"/>
    </row>
    <row r="15" spans="1:48" ht="15" customHeight="1" x14ac:dyDescent="0.25">
      <c r="A15" s="41" t="s">
        <v>26</v>
      </c>
      <c r="B15" s="43"/>
      <c r="C15" s="41"/>
      <c r="D15" s="41"/>
      <c r="E15" s="43"/>
      <c r="F15" s="41"/>
      <c r="G15" s="41"/>
      <c r="H15" s="41"/>
      <c r="I15" s="43"/>
      <c r="J15" s="41"/>
      <c r="K15" s="41"/>
      <c r="L15" s="41"/>
      <c r="M15" s="43"/>
      <c r="N15" s="41"/>
      <c r="O15" s="41"/>
      <c r="P15" s="41"/>
      <c r="Q15" s="43"/>
      <c r="R15" s="41"/>
      <c r="S15" s="41"/>
      <c r="T15" s="41"/>
      <c r="U15" s="41"/>
      <c r="V15" s="41"/>
      <c r="W15" s="41"/>
      <c r="X15" s="41"/>
      <c r="Y15" s="41"/>
      <c r="Z15" s="41"/>
      <c r="AA15" s="41"/>
      <c r="AB15" s="41"/>
      <c r="AC15" s="4"/>
      <c r="AD15" s="44"/>
      <c r="AE15" s="44"/>
      <c r="AF15" s="44"/>
      <c r="AG15" s="44"/>
      <c r="AH15" s="44"/>
      <c r="AI15" s="44"/>
      <c r="AJ15" s="44"/>
      <c r="AK15" s="44"/>
      <c r="AL15" s="44"/>
      <c r="AM15" s="44"/>
      <c r="AN15" s="44"/>
      <c r="AO15" s="44"/>
      <c r="AP15" s="41"/>
      <c r="AQ15" s="41"/>
      <c r="AR15" s="41"/>
      <c r="AS15" s="41"/>
      <c r="AT15" s="41"/>
      <c r="AU15" s="41"/>
      <c r="AV15" s="41"/>
    </row>
    <row r="16" spans="1:48" ht="15" customHeight="1" x14ac:dyDescent="0.25">
      <c r="A16" s="41"/>
      <c r="B16" s="41"/>
      <c r="C16" s="41"/>
      <c r="D16" s="41"/>
      <c r="E16" s="41"/>
      <c r="F16" s="41"/>
      <c r="G16" s="41"/>
      <c r="H16" s="41"/>
      <c r="I16" s="41"/>
      <c r="J16" s="76" t="s">
        <v>27</v>
      </c>
      <c r="K16" s="76"/>
      <c r="L16" s="76"/>
      <c r="M16" s="76"/>
      <c r="N16" s="76"/>
      <c r="O16" s="76"/>
      <c r="P16" s="76"/>
      <c r="Q16" s="76"/>
      <c r="R16" s="76"/>
      <c r="S16" s="76"/>
      <c r="T16" s="76"/>
      <c r="U16" s="76"/>
      <c r="V16" s="76"/>
      <c r="W16" s="76"/>
      <c r="X16" s="76"/>
      <c r="Y16" s="76"/>
      <c r="Z16" s="76"/>
      <c r="AA16" s="45"/>
      <c r="AB16" s="41"/>
      <c r="AC16" s="4"/>
      <c r="AD16" s="41"/>
      <c r="AE16" s="41"/>
      <c r="AF16" s="41"/>
      <c r="AG16" s="41"/>
      <c r="AH16" s="41"/>
      <c r="AI16" s="41"/>
      <c r="AJ16" s="41"/>
      <c r="AK16" s="41"/>
      <c r="AL16" s="41"/>
      <c r="AM16" s="41"/>
      <c r="AN16" s="41"/>
      <c r="AO16" s="41"/>
      <c r="AP16" s="41"/>
      <c r="AQ16" s="41"/>
      <c r="AR16" s="41"/>
      <c r="AS16" s="41"/>
      <c r="AT16" s="41"/>
      <c r="AU16" s="41"/>
      <c r="AV16" s="41"/>
    </row>
    <row r="17" spans="1:48" ht="26.25" customHeight="1" x14ac:dyDescent="0.25">
      <c r="A17" s="41"/>
      <c r="B17" s="41"/>
      <c r="C17" s="41"/>
      <c r="D17" s="41"/>
      <c r="E17" s="41"/>
      <c r="F17" s="41"/>
      <c r="G17" s="41"/>
      <c r="H17" s="41"/>
      <c r="I17" s="76" t="s">
        <v>28</v>
      </c>
      <c r="J17" s="76"/>
      <c r="K17" s="76"/>
      <c r="L17" s="76"/>
      <c r="M17" s="76"/>
      <c r="N17" s="76"/>
      <c r="O17" s="76"/>
      <c r="P17" s="76"/>
      <c r="Q17" s="76"/>
      <c r="R17" s="76"/>
      <c r="S17" s="76"/>
      <c r="T17" s="76"/>
      <c r="U17" s="76"/>
      <c r="V17" s="76"/>
      <c r="W17" s="76"/>
      <c r="X17" s="76"/>
      <c r="Y17" s="76"/>
      <c r="Z17" s="76"/>
      <c r="AA17" s="46" t="s">
        <v>29</v>
      </c>
      <c r="AB17" s="41"/>
      <c r="AC17" s="41"/>
      <c r="AD17" s="41"/>
      <c r="AE17" s="41"/>
      <c r="AF17" s="41"/>
      <c r="AG17" s="41"/>
      <c r="AH17" s="41"/>
      <c r="AI17" s="41"/>
      <c r="AJ17" s="41"/>
      <c r="AK17" s="41"/>
      <c r="AL17" s="41"/>
      <c r="AM17" s="41"/>
      <c r="AN17" s="41"/>
      <c r="AO17" s="41"/>
      <c r="AP17" s="41"/>
      <c r="AQ17" s="41"/>
      <c r="AR17" s="41"/>
      <c r="AS17" s="41"/>
      <c r="AT17" s="41"/>
      <c r="AU17" s="41"/>
      <c r="AV17" s="41"/>
    </row>
    <row r="18" spans="1:48" ht="1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5" t="s">
        <v>30</v>
      </c>
      <c r="AA18" s="45"/>
      <c r="AB18" s="4"/>
      <c r="AC18" s="4"/>
      <c r="AD18" s="4"/>
      <c r="AE18" s="4"/>
      <c r="AF18" s="4"/>
      <c r="AG18" s="4"/>
      <c r="AH18" s="4"/>
      <c r="AI18" s="4"/>
      <c r="AJ18" s="4"/>
      <c r="AK18" s="4"/>
      <c r="AL18" s="4"/>
      <c r="AM18" s="4"/>
      <c r="AN18" s="4"/>
      <c r="AO18" s="4"/>
      <c r="AP18" s="4"/>
      <c r="AQ18" s="4"/>
      <c r="AR18" s="4"/>
      <c r="AS18" s="4"/>
      <c r="AT18" s="4"/>
      <c r="AU18" s="4"/>
      <c r="AV18" s="4"/>
    </row>
    <row r="19" spans="1:48" ht="1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5"/>
      <c r="AA19" s="45"/>
      <c r="AB19" s="4"/>
      <c r="AC19" s="4"/>
      <c r="AD19" s="4"/>
      <c r="AE19" s="4"/>
      <c r="AF19" s="4"/>
      <c r="AG19" s="4"/>
      <c r="AH19" s="4"/>
      <c r="AI19" s="4"/>
      <c r="AJ19" s="4"/>
      <c r="AK19" s="4"/>
      <c r="AL19" s="4"/>
      <c r="AM19" s="4"/>
      <c r="AN19" s="4"/>
      <c r="AO19" s="4"/>
      <c r="AP19" s="4"/>
      <c r="AQ19" s="4"/>
      <c r="AR19" s="4"/>
      <c r="AS19" s="4"/>
      <c r="AT19" s="4"/>
      <c r="AU19" s="4"/>
      <c r="AV19" s="4"/>
    </row>
    <row r="20" spans="1:48" ht="1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5"/>
      <c r="AA20" s="45"/>
      <c r="AB20" s="4"/>
      <c r="AC20" s="4"/>
      <c r="AD20" s="4"/>
      <c r="AE20" s="4"/>
      <c r="AF20" s="4"/>
      <c r="AG20" s="4"/>
      <c r="AH20" s="4"/>
      <c r="AI20" s="4"/>
      <c r="AJ20" s="4"/>
      <c r="AK20" s="4"/>
      <c r="AL20" s="4"/>
      <c r="AM20" s="4"/>
      <c r="AN20" s="4"/>
      <c r="AO20" s="4"/>
      <c r="AP20" s="4"/>
      <c r="AQ20" s="4"/>
      <c r="AR20" s="4"/>
      <c r="AS20" s="4"/>
      <c r="AT20" s="4"/>
      <c r="AU20" s="4"/>
      <c r="AV20" s="4"/>
    </row>
    <row r="21" spans="1:48"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41"/>
      <c r="AC21" s="1"/>
      <c r="AD21" s="1"/>
      <c r="AE21" s="1"/>
      <c r="AF21" s="1"/>
      <c r="AG21" s="1"/>
      <c r="AH21" s="1"/>
      <c r="AI21" s="1"/>
      <c r="AJ21" s="1"/>
      <c r="AK21" s="1"/>
      <c r="AL21" s="1"/>
      <c r="AM21" s="1"/>
      <c r="AN21" s="1"/>
      <c r="AO21" s="1"/>
      <c r="AP21" s="1"/>
      <c r="AQ21" s="1"/>
      <c r="AR21" s="1"/>
      <c r="AS21" s="1"/>
      <c r="AT21" s="1"/>
      <c r="AU21" s="1"/>
      <c r="AV21" s="1"/>
    </row>
    <row r="22" spans="1:48" ht="4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4"/>
      <c r="AC22" s="1"/>
      <c r="AD22" s="1"/>
      <c r="AE22" s="1"/>
      <c r="AF22" s="1"/>
      <c r="AG22" s="1"/>
      <c r="AH22" s="1"/>
      <c r="AI22" s="1"/>
      <c r="AJ22" s="1"/>
      <c r="AK22" s="1"/>
      <c r="AL22" s="1"/>
      <c r="AM22" s="1"/>
      <c r="AN22" s="1"/>
      <c r="AO22" s="1"/>
      <c r="AP22" s="1">
        <v>2017</v>
      </c>
      <c r="AQ22" s="1" t="s">
        <v>31</v>
      </c>
      <c r="AR22" s="1"/>
      <c r="AS22" s="1" t="s">
        <v>32</v>
      </c>
      <c r="AT22" s="1"/>
      <c r="AU22" s="47" t="s">
        <v>8</v>
      </c>
      <c r="AV22" s="48" t="s">
        <v>9</v>
      </c>
    </row>
    <row r="23" spans="1:48"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49"/>
      <c r="AC23" s="1"/>
      <c r="AD23" s="1"/>
      <c r="AE23" s="1"/>
      <c r="AF23" s="1"/>
      <c r="AG23" s="1"/>
      <c r="AH23" s="1"/>
      <c r="AI23" s="1"/>
      <c r="AJ23" s="1"/>
      <c r="AK23" s="1"/>
      <c r="AL23" s="1"/>
      <c r="AM23" s="1"/>
      <c r="AN23" s="1"/>
      <c r="AO23" s="1"/>
      <c r="AP23" s="1"/>
      <c r="AQ23" s="1" t="s">
        <v>15</v>
      </c>
      <c r="AR23" s="1" t="s">
        <v>16</v>
      </c>
      <c r="AS23" s="1" t="s">
        <v>15</v>
      </c>
      <c r="AT23" s="1" t="s">
        <v>16</v>
      </c>
      <c r="AU23" s="60">
        <v>2017</v>
      </c>
      <c r="AV23" s="60">
        <v>2017</v>
      </c>
    </row>
    <row r="24" spans="1:48"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t="s">
        <v>17</v>
      </c>
      <c r="AQ24" s="50">
        <f>AS24/1000000</f>
        <v>213.62257486000001</v>
      </c>
      <c r="AR24" s="51">
        <f t="shared" ref="AR24" si="8">AT24/1000000</f>
        <v>221.62879337999999</v>
      </c>
      <c r="AS24" s="51">
        <f t="shared" ref="AS24:AT27" si="9">R9</f>
        <v>213622574.86000001</v>
      </c>
      <c r="AT24" s="51">
        <f t="shared" si="9"/>
        <v>221628793.38</v>
      </c>
      <c r="AU24" s="24">
        <f>U9</f>
        <v>33.492963252901433</v>
      </c>
      <c r="AV24" s="18">
        <f>W9</f>
        <v>50.919723532676564</v>
      </c>
    </row>
    <row r="25" spans="1:48"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t="s">
        <v>19</v>
      </c>
      <c r="AQ25" s="50">
        <f>AS25/1000000</f>
        <v>45.371408659999993</v>
      </c>
      <c r="AR25" s="51">
        <f t="shared" ref="AR25" si="10">AT25/1000000</f>
        <v>9.2138332200000015</v>
      </c>
      <c r="AS25" s="51">
        <f t="shared" si="9"/>
        <v>45371408.659999996</v>
      </c>
      <c r="AT25" s="51">
        <f t="shared" si="9"/>
        <v>9213833.2200000007</v>
      </c>
      <c r="AU25" s="24">
        <f t="shared" ref="AU25:AU27" si="11">U10</f>
        <v>4.2003808232246262</v>
      </c>
      <c r="AV25" s="18">
        <f t="shared" ref="AV25:AV27" si="12">W10</f>
        <v>16.879714924146821</v>
      </c>
    </row>
    <row r="26" spans="1:48"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32" t="s">
        <v>21</v>
      </c>
      <c r="AQ26" s="51">
        <f t="shared" ref="AQ26:AR26" si="13">AS26/1000000</f>
        <v>213.88248361000001</v>
      </c>
      <c r="AR26" s="51">
        <f t="shared" si="13"/>
        <v>56.774744119999994</v>
      </c>
      <c r="AS26" s="51">
        <f t="shared" si="9"/>
        <v>213882483.61000001</v>
      </c>
      <c r="AT26" s="51">
        <f t="shared" si="9"/>
        <v>56774744.119999997</v>
      </c>
      <c r="AU26" s="24">
        <f t="shared" si="11"/>
        <v>20.827304045359167</v>
      </c>
      <c r="AV26" s="18">
        <f t="shared" si="12"/>
        <v>20.976622200770073</v>
      </c>
    </row>
    <row r="27" spans="1:48"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t="s">
        <v>33</v>
      </c>
      <c r="AQ27" s="51">
        <f t="shared" ref="AQ27:AR27" si="14">AS27/1000000</f>
        <v>271.56467910000003</v>
      </c>
      <c r="AR27" s="51">
        <f t="shared" si="14"/>
        <v>267.47226792999999</v>
      </c>
      <c r="AS27" s="51">
        <f t="shared" si="9"/>
        <v>271564679.10000002</v>
      </c>
      <c r="AT27" s="51">
        <f t="shared" si="9"/>
        <v>267472267.93000001</v>
      </c>
      <c r="AU27" s="24">
        <f t="shared" si="11"/>
        <v>41.479351878514763</v>
      </c>
      <c r="AV27" s="18">
        <f t="shared" si="12"/>
        <v>49.620396042187046</v>
      </c>
    </row>
    <row r="28" spans="1:48"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row>
    <row r="29" spans="1:48"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row>
    <row r="30" spans="1:48"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row>
    <row r="31" spans="1:48"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row>
    <row r="32" spans="1:48"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3" spans="1:48"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4" spans="1:48"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row>
    <row r="35" spans="1:48"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row>
    <row r="36" spans="1:48"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row>
    <row r="37" spans="1:48"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row>
    <row r="38" spans="1:48"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row>
    <row r="39" spans="1:48"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spans="1:48"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spans="1:48"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spans="1:48"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row>
    <row r="43" spans="1:48"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row>
    <row r="44" spans="1:48"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row>
    <row r="45" spans="1:48"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row>
    <row r="46" spans="1:48"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row>
    <row r="47" spans="1:48"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row>
    <row r="48" spans="1:48"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row>
    <row r="49" spans="1:48"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row>
    <row r="50" spans="1:48"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row>
    <row r="51" spans="1:48"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row>
    <row r="52" spans="1:48"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spans="1:48"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1:48"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row>
    <row r="55" spans="1:48"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row>
    <row r="56" spans="1:4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row>
    <row r="57" spans="1:4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row>
    <row r="58" spans="1:4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spans="1:4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spans="1:4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spans="1:4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1:4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1:4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1:4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1:4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spans="1:4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1:4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spans="1:4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spans="1:4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row>
    <row r="70" spans="1:48"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row>
    <row r="71" spans="1:48"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row>
    <row r="72" spans="1:48"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row>
    <row r="73" spans="1:48"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row>
    <row r="74" spans="1:48"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row>
    <row r="75" spans="1:48"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row>
    <row r="76" spans="1:48"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row>
    <row r="77" spans="1:48"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row>
    <row r="78" spans="1:48"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row>
    <row r="79" spans="1:48"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row>
    <row r="80" spans="1:48"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row>
    <row r="81" spans="1:48"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row>
    <row r="82" spans="1:48"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row>
    <row r="83" spans="1:48"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row>
    <row r="84" spans="1:48"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row>
    <row r="85" spans="1:48"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row>
    <row r="86" spans="1:48"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row>
    <row r="87" spans="1:48"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row>
    <row r="88" spans="1:48"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row>
    <row r="89" spans="1:48"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row>
    <row r="90" spans="1:48"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row>
    <row r="91" spans="1:48"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row>
    <row r="92" spans="1:48"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row>
    <row r="93" spans="1:48"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row>
    <row r="94" spans="1:48"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row>
    <row r="95" spans="1:48"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row>
    <row r="96" spans="1:48"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row>
    <row r="97" spans="1:48"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row>
    <row r="98" spans="1:48"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row>
    <row r="99" spans="1:48"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row>
    <row r="100" spans="1:48"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row>
    <row r="101" spans="1:48"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row>
    <row r="102" spans="1:48"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row>
    <row r="103" spans="1:48"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row>
    <row r="104" spans="1:48"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row>
    <row r="105" spans="1:48"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row>
    <row r="106" spans="1:48"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row>
    <row r="107" spans="1:48"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row>
    <row r="108" spans="1:48"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row>
    <row r="109" spans="1:48"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row>
    <row r="110" spans="1:48"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row>
    <row r="111" spans="1:48"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row>
    <row r="112" spans="1:48"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row>
    <row r="113" spans="1:48"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row>
    <row r="114" spans="1:48"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row>
    <row r="115" spans="1:48"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row>
    <row r="116" spans="1:48"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row>
    <row r="117" spans="1:48"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row>
    <row r="118" spans="1:48"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row>
    <row r="119" spans="1:48"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row>
    <row r="120" spans="1:48"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row>
    <row r="121" spans="1:48"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row>
    <row r="122" spans="1:48"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row>
    <row r="123" spans="1:48"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row>
    <row r="124" spans="1:48"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row>
    <row r="125" spans="1:48"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row>
    <row r="126" spans="1:48"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row>
    <row r="127" spans="1:48"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row>
    <row r="128" spans="1:48"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row>
    <row r="129" spans="1:48"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row>
    <row r="130" spans="1:48"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row>
    <row r="131" spans="1:48"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row>
    <row r="132" spans="1:48"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row>
    <row r="133" spans="1:48"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row>
    <row r="134" spans="1:48"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row>
    <row r="135" spans="1:48"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row>
    <row r="136" spans="1:48"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row>
    <row r="137" spans="1:48"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row>
    <row r="138" spans="1:48"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row>
    <row r="139" spans="1:48"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row>
    <row r="140" spans="1:48"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row>
    <row r="141" spans="1:48"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row>
    <row r="142" spans="1:48"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row>
    <row r="143" spans="1:48"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row>
    <row r="144" spans="1:48"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row>
    <row r="145" spans="1:48"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row>
    <row r="146" spans="1:48"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row>
    <row r="147" spans="1:48"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row>
    <row r="148" spans="1:48"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row>
    <row r="149" spans="1:48"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row>
    <row r="150" spans="1:48"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row>
    <row r="151" spans="1:48"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row>
    <row r="152" spans="1:48"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row>
    <row r="153" spans="1:48"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row>
    <row r="154" spans="1:48"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row>
    <row r="155" spans="1:48"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row>
    <row r="156" spans="1:48"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row>
    <row r="157" spans="1:48"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row>
    <row r="158" spans="1:48"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row>
    <row r="159" spans="1:48"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row>
    <row r="160" spans="1:48"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row>
    <row r="161" spans="1:48"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row>
    <row r="162" spans="1:48"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row>
    <row r="163" spans="1:48"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row>
    <row r="164" spans="1:48"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spans="1:48"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spans="1:48"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row>
    <row r="167" spans="1:48"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spans="1:48"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spans="1:4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spans="1:48"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row>
    <row r="171" spans="1:48"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spans="1:4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row>
    <row r="173" spans="1:4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spans="1:4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spans="1:4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spans="1:48"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spans="1:48"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spans="1:48"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spans="1:48"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row>
    <row r="182" spans="1:48"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spans="1:48"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row>
    <row r="184" spans="1:4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row>
    <row r="185" spans="1:4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spans="1:4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spans="1:4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row>
    <row r="188" spans="1:4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spans="1:4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spans="1:4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spans="1:4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spans="1:4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spans="1:4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spans="1:48"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spans="1:48"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row>
    <row r="196" spans="1:48"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row>
    <row r="197" spans="1:48"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spans="1:48"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spans="1:48"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spans="1:48"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spans="1:48"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row>
    <row r="202" spans="1:48"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row>
    <row r="203" spans="1:48"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row>
    <row r="204" spans="1:48"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spans="1:48"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spans="1:48"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spans="1:48"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spans="1:48"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spans="1:48"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spans="1:48"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spans="1:48"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row>
    <row r="212" spans="1:48"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row>
    <row r="213" spans="1:48"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spans="1:48"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row>
    <row r="215" spans="1:48"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spans="1:48"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spans="1:48"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row>
    <row r="218" spans="1:48"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spans="1:48"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row>
    <row r="220" spans="1:48"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row>
    <row r="221" spans="1:48"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row>
    <row r="222" spans="1:48"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spans="1:48"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spans="1:48"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row>
    <row r="225" spans="1:48"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spans="1:48"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spans="1:48"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spans="1:48"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spans="1:48"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spans="1:48"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spans="1:48"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row>
    <row r="232" spans="1:48"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row>
    <row r="233" spans="1:48"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spans="1:48"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row>
    <row r="235" spans="1:48"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spans="1:48"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row>
    <row r="237" spans="1:48"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row>
    <row r="238" spans="1:48"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row>
    <row r="239" spans="1:48"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spans="1:48"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row>
    <row r="241" spans="1:48"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row>
    <row r="242" spans="1:48"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row>
    <row r="243" spans="1:48"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spans="1:48"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row>
    <row r="245" spans="1:48"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spans="1:48"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7" spans="1:48"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row>
    <row r="248" spans="1:48"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row>
    <row r="249" spans="1:48"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row>
    <row r="250" spans="1:48"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row>
    <row r="251" spans="1:48"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row>
    <row r="252" spans="1:48"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row>
    <row r="253" spans="1:48"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row>
    <row r="254" spans="1:48"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row>
    <row r="255" spans="1:48"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row>
    <row r="256" spans="1:48"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row>
    <row r="257" spans="1:48"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row>
    <row r="258" spans="1:48"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row>
    <row r="259" spans="1:48"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row>
    <row r="260" spans="1:48"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row>
    <row r="261" spans="1:48"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row>
    <row r="262" spans="1:48"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row>
    <row r="263" spans="1:48"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row>
    <row r="264" spans="1:48"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row>
    <row r="265" spans="1:48"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row>
    <row r="266" spans="1:48"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row>
    <row r="267" spans="1:48"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row>
    <row r="268" spans="1:48"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row>
    <row r="269" spans="1:48"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row>
    <row r="270" spans="1:48"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row>
    <row r="271" spans="1:48"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row>
    <row r="272" spans="1:48"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row>
    <row r="273" spans="1:48"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row>
    <row r="274" spans="1:48"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row>
    <row r="275" spans="1:48"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row>
    <row r="276" spans="1:48"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row>
    <row r="277" spans="1:48"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row>
    <row r="278" spans="1:48"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row>
    <row r="279" spans="1:48"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row>
    <row r="280" spans="1:48"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row>
    <row r="281" spans="1:48"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row>
    <row r="282" spans="1:48"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row>
    <row r="283" spans="1:48"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row>
    <row r="284" spans="1:48"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row>
    <row r="285" spans="1:48"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row>
    <row r="286" spans="1:48"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row>
    <row r="287" spans="1:48"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row>
    <row r="288" spans="1:48"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row>
    <row r="289" spans="1:48"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row>
    <row r="290" spans="1:48"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row>
    <row r="291" spans="1:48"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row>
    <row r="292" spans="1:48"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row>
    <row r="293" spans="1:48"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row>
    <row r="294" spans="1:48"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row>
    <row r="295" spans="1:48"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row>
    <row r="296" spans="1:48"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row>
    <row r="297" spans="1:48"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row>
    <row r="298" spans="1:48"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row>
    <row r="299" spans="1:48"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row>
    <row r="300" spans="1:48"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row>
    <row r="301" spans="1:48"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row>
    <row r="302" spans="1:48"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row>
    <row r="303" spans="1:48"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row>
    <row r="304" spans="1:48"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row>
    <row r="305" spans="1:48"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row>
    <row r="306" spans="1:48"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row>
    <row r="307" spans="1:48"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row>
    <row r="308" spans="1:48"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row>
    <row r="309" spans="1:48"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row>
    <row r="310" spans="1:48"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row>
    <row r="311" spans="1:48"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row>
    <row r="312" spans="1:48"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row>
    <row r="313" spans="1:48"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row>
    <row r="314" spans="1:48"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row>
    <row r="315" spans="1:48"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row>
    <row r="316" spans="1:48"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row>
    <row r="317" spans="1:48"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row>
    <row r="318" spans="1:48"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row>
    <row r="319" spans="1:48"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row>
    <row r="320" spans="1:48"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row>
    <row r="321" spans="1:48"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row>
    <row r="322" spans="1:48"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row>
    <row r="323" spans="1:48"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row>
    <row r="324" spans="1:48"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row>
    <row r="325" spans="1:48"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row>
    <row r="326" spans="1:48"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row>
    <row r="327" spans="1:48"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row>
    <row r="328" spans="1:48"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row>
    <row r="329" spans="1:48"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row>
    <row r="330" spans="1:48"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row>
    <row r="331" spans="1:48"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row>
    <row r="332" spans="1:48"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row>
    <row r="333" spans="1:48"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row>
    <row r="334" spans="1:48"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row>
    <row r="335" spans="1:48"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row>
    <row r="336" spans="1:48"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row>
    <row r="337" spans="1:48"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row>
    <row r="338" spans="1:48"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row>
    <row r="339" spans="1:48"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row>
    <row r="340" spans="1:48"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row>
    <row r="341" spans="1:48"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row>
    <row r="342" spans="1:48"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row>
    <row r="343" spans="1:48"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row>
    <row r="344" spans="1:48"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row>
    <row r="345" spans="1:48"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row>
    <row r="346" spans="1:48"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row>
    <row r="347" spans="1:48"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row>
    <row r="348" spans="1:48"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row>
    <row r="349" spans="1:48"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row>
    <row r="350" spans="1:48"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row>
    <row r="351" spans="1:48"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row>
    <row r="352" spans="1:48"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row>
    <row r="353" spans="1:48"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row>
    <row r="354" spans="1:48"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row>
    <row r="355" spans="1:48"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row>
    <row r="356" spans="1:48"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row>
    <row r="357" spans="1:48"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row>
    <row r="358" spans="1:48"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row>
    <row r="359" spans="1:48"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row>
    <row r="360" spans="1:48"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row>
    <row r="361" spans="1:48"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row>
    <row r="362" spans="1:48"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row>
    <row r="363" spans="1:48"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row>
    <row r="364" spans="1:48"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row>
    <row r="365" spans="1:48"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row>
    <row r="366" spans="1:48"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row>
    <row r="367" spans="1:48"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row>
    <row r="368" spans="1:48"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row>
    <row r="369" spans="1:48"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row>
    <row r="370" spans="1:48"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row>
    <row r="371" spans="1:48"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row>
    <row r="372" spans="1:48"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row>
    <row r="373" spans="1:48"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row>
    <row r="374" spans="1:48"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row>
    <row r="375" spans="1:48"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row>
    <row r="376" spans="1:48"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row>
    <row r="377" spans="1:48"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row>
    <row r="378" spans="1:48"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row>
    <row r="379" spans="1:48"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row>
    <row r="380" spans="1:48"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row>
    <row r="381" spans="1:48"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row>
    <row r="382" spans="1:48"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row>
    <row r="383" spans="1:48"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row>
    <row r="384" spans="1:48"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row>
    <row r="385" spans="1:48"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row>
    <row r="386" spans="1:48"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row>
    <row r="387" spans="1:48"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row>
    <row r="388" spans="1:48"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row>
    <row r="389" spans="1:48"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row>
    <row r="390" spans="1:48"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row>
    <row r="391" spans="1:48"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row>
    <row r="392" spans="1:48"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row>
    <row r="393" spans="1:48"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row>
    <row r="394" spans="1:48"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row>
    <row r="395" spans="1:48"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row>
    <row r="396" spans="1:48"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row>
    <row r="397" spans="1:48"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row>
    <row r="398" spans="1:48"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row>
    <row r="399" spans="1:48"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row>
    <row r="400" spans="1:48"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row>
    <row r="401" spans="1:48"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row>
    <row r="402" spans="1:48"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row>
    <row r="403" spans="1:48"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row>
    <row r="404" spans="1:48"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row>
    <row r="405" spans="1:48"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row>
    <row r="406" spans="1:48"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row>
    <row r="407" spans="1:48"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row>
    <row r="408" spans="1:48"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row>
    <row r="409" spans="1:48"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row>
    <row r="410" spans="1:48"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row>
    <row r="411" spans="1:48"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row>
    <row r="412" spans="1:48"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row>
    <row r="413" spans="1:48"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row>
    <row r="414" spans="1:48"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row>
    <row r="415" spans="1:48"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row>
    <row r="416" spans="1:48"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row>
    <row r="417" spans="1:48"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row>
    <row r="418" spans="1:48"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row>
    <row r="419" spans="1:48"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row>
    <row r="420" spans="1:48"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row>
    <row r="421" spans="1:48"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row>
    <row r="422" spans="1:48"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row>
    <row r="423" spans="1:48"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row>
    <row r="424" spans="1:48"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row>
    <row r="425" spans="1:48"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row>
    <row r="426" spans="1:48"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row>
    <row r="427" spans="1:48"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row>
    <row r="428" spans="1:48"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row>
    <row r="429" spans="1:48"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row>
    <row r="430" spans="1:48"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row>
    <row r="431" spans="1:48"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row>
    <row r="432" spans="1:48"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row>
    <row r="433" spans="1:48"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row>
    <row r="434" spans="1:48"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row>
    <row r="435" spans="1:48"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row>
    <row r="436" spans="1:48"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row>
    <row r="437" spans="1:48"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row>
    <row r="438" spans="1:48"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row>
    <row r="439" spans="1:48"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row>
    <row r="440" spans="1:48"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row>
    <row r="441" spans="1:48"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row>
    <row r="442" spans="1:48"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row>
    <row r="443" spans="1:48"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row>
    <row r="444" spans="1:48"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row>
    <row r="445" spans="1:48"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row>
    <row r="446" spans="1:48"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row>
    <row r="447" spans="1:48"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row>
    <row r="448" spans="1:48"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row>
    <row r="449" spans="1:48"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row>
    <row r="450" spans="1:48"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row>
    <row r="451" spans="1:48"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row>
    <row r="452" spans="1:48"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row>
    <row r="453" spans="1:48"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row>
    <row r="454" spans="1:48"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row>
    <row r="455" spans="1:48"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row>
    <row r="456" spans="1:48"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row>
    <row r="457" spans="1:48"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row>
    <row r="458" spans="1:48"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row>
    <row r="459" spans="1:48"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row>
    <row r="460" spans="1:48"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row>
    <row r="461" spans="1:48"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row>
    <row r="462" spans="1:48"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row>
    <row r="463" spans="1:48"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row>
    <row r="464" spans="1:48"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row>
    <row r="465" spans="1:48"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row>
    <row r="466" spans="1:48"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row>
    <row r="467" spans="1:48"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row>
    <row r="468" spans="1:48"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row>
    <row r="469" spans="1:48"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row>
    <row r="470" spans="1:48"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row>
    <row r="471" spans="1:48"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row>
    <row r="472" spans="1:48"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row>
    <row r="473" spans="1:48"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row>
    <row r="474" spans="1:48"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row>
    <row r="475" spans="1:48"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row>
    <row r="476" spans="1:48"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row>
    <row r="477" spans="1:48"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row>
    <row r="478" spans="1:48"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row>
    <row r="479" spans="1:48"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row>
    <row r="480" spans="1:48"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row>
    <row r="481" spans="1:48"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row>
    <row r="482" spans="1:48"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row>
    <row r="483" spans="1:48"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row>
    <row r="484" spans="1:48"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row>
    <row r="485" spans="1:48"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row>
    <row r="486" spans="1:48"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row>
    <row r="487" spans="1:48"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row>
    <row r="488" spans="1:48"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row>
    <row r="489" spans="1:48"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row>
    <row r="490" spans="1:48"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row>
    <row r="491" spans="1:48"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row>
    <row r="492" spans="1:48"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row>
    <row r="493" spans="1:48"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row>
    <row r="494" spans="1:48"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row>
    <row r="495" spans="1:48"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row>
    <row r="496" spans="1:48"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row>
    <row r="497" spans="1:48"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row>
    <row r="498" spans="1:48"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row>
    <row r="499" spans="1:48"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row>
    <row r="500" spans="1:48"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row>
    <row r="501" spans="1:48"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row>
    <row r="502" spans="1:48"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row>
    <row r="503" spans="1:48"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row>
    <row r="504" spans="1:48"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row>
    <row r="505" spans="1:48"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row>
    <row r="506" spans="1:48"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row>
    <row r="507" spans="1:48"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row>
    <row r="508" spans="1:48"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row>
    <row r="509" spans="1:48"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row>
    <row r="510" spans="1:48"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row>
    <row r="511" spans="1:48"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row>
    <row r="512" spans="1:48"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row>
    <row r="513" spans="1:48"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row>
    <row r="514" spans="1:48"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row>
    <row r="515" spans="1:48"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row>
    <row r="516" spans="1:48"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row>
    <row r="517" spans="1:48"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row>
    <row r="518" spans="1:48"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row>
    <row r="519" spans="1:48"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row>
    <row r="520" spans="1:48"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row>
    <row r="521" spans="1:48"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row>
    <row r="522" spans="1:48"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row>
    <row r="523" spans="1:48"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row>
    <row r="524" spans="1:48"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row>
    <row r="525" spans="1:48"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row>
    <row r="526" spans="1:48"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row>
    <row r="527" spans="1:48"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row>
    <row r="528" spans="1:48"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row>
    <row r="529" spans="1:48"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row>
    <row r="530" spans="1:48"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row>
    <row r="531" spans="1:48"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row>
    <row r="532" spans="1:48"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row>
    <row r="533" spans="1:48"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row>
    <row r="534" spans="1:48"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row>
    <row r="535" spans="1:48"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row>
    <row r="536" spans="1:48"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row>
    <row r="537" spans="1:48"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row>
    <row r="538" spans="1:48"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row>
    <row r="539" spans="1:48"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row>
    <row r="540" spans="1:48"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row>
    <row r="541" spans="1:48"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row>
    <row r="542" spans="1:48"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row>
    <row r="543" spans="1:48"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row>
    <row r="544" spans="1:48"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row>
    <row r="545" spans="1:48"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row>
    <row r="546" spans="1:48"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row>
    <row r="547" spans="1:48"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row>
    <row r="548" spans="1:48"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row>
    <row r="549" spans="1:48"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row>
    <row r="550" spans="1:48"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row>
    <row r="551" spans="1:48"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row>
    <row r="552" spans="1:48"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row>
    <row r="553" spans="1:48"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row>
    <row r="554" spans="1:48"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row>
    <row r="555" spans="1:48"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row>
    <row r="556" spans="1:48"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row>
    <row r="557" spans="1:48"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row>
    <row r="558" spans="1:48"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row>
    <row r="559" spans="1:48"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row>
    <row r="560" spans="1:48"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row>
    <row r="561" spans="1:48"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row>
    <row r="562" spans="1:48"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row>
    <row r="563" spans="1:48"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row>
    <row r="564" spans="1:48"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row>
    <row r="565" spans="1:48"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row>
    <row r="566" spans="1:48"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row>
    <row r="567" spans="1:48"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row>
    <row r="568" spans="1:48"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row>
    <row r="569" spans="1:48"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row>
    <row r="570" spans="1:48"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row>
    <row r="571" spans="1:48"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row>
    <row r="572" spans="1:48"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row>
    <row r="573" spans="1:48"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row>
    <row r="574" spans="1:48"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row>
    <row r="575" spans="1:48"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row>
    <row r="576" spans="1:48"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row>
    <row r="577" spans="1:48"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row>
    <row r="578" spans="1:48"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row>
    <row r="579" spans="1:48"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row>
    <row r="580" spans="1:48"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row>
    <row r="581" spans="1:48"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row>
    <row r="582" spans="1:48"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row>
    <row r="583" spans="1:48"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row>
    <row r="584" spans="1:48"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row>
    <row r="585" spans="1:48"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row>
    <row r="586" spans="1:48"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row>
    <row r="587" spans="1:48"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row>
    <row r="588" spans="1:48"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row>
    <row r="589" spans="1:48"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row>
    <row r="590" spans="1:48"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row>
    <row r="591" spans="1:48"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row>
    <row r="592" spans="1:48"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row>
    <row r="593" spans="1:48"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row>
    <row r="594" spans="1:48"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row>
    <row r="595" spans="1:48"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row>
    <row r="596" spans="1:48"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row>
    <row r="597" spans="1:48"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row>
    <row r="598" spans="1:48"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row>
    <row r="599" spans="1:48"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row>
    <row r="600" spans="1:48"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row>
    <row r="601" spans="1:48"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row>
    <row r="602" spans="1:48"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row>
    <row r="603" spans="1:48"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row>
    <row r="604" spans="1:48"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row>
    <row r="605" spans="1:48"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row>
    <row r="606" spans="1:48"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row>
    <row r="607" spans="1:48"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row>
    <row r="608" spans="1:48"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row>
    <row r="609" spans="1:48"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row>
    <row r="610" spans="1:48"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row>
    <row r="611" spans="1:48"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row>
    <row r="612" spans="1:48"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row>
    <row r="613" spans="1:48"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row>
    <row r="614" spans="1:48"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row>
    <row r="615" spans="1:48"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row>
    <row r="616" spans="1:48"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row>
    <row r="617" spans="1:48"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row>
    <row r="618" spans="1:48"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row>
    <row r="619" spans="1:48"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row>
    <row r="620" spans="1:48"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row>
    <row r="621" spans="1:48"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row>
    <row r="622" spans="1:48"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row>
    <row r="623" spans="1:48"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row>
    <row r="624" spans="1:48"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row>
    <row r="625" spans="1:48"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row>
    <row r="626" spans="1:48"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row>
    <row r="627" spans="1:48"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row>
    <row r="628" spans="1:48"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row>
    <row r="629" spans="1:48"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row>
    <row r="630" spans="1:48"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row>
    <row r="631" spans="1:48"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row>
    <row r="632" spans="1:48"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row>
    <row r="633" spans="1:48"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row>
    <row r="634" spans="1:48"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row>
    <row r="635" spans="1:48"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row>
    <row r="636" spans="1:48"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row>
    <row r="637" spans="1:48"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row>
    <row r="638" spans="1:48"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row>
    <row r="639" spans="1:48"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row>
    <row r="640" spans="1:48"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row>
    <row r="641" spans="1:48"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row>
    <row r="642" spans="1:48"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row>
    <row r="643" spans="1:48"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row>
    <row r="644" spans="1:48"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row>
    <row r="645" spans="1:48"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row>
    <row r="646" spans="1:48"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row>
    <row r="647" spans="1:48"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row>
    <row r="648" spans="1:48"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row>
    <row r="649" spans="1:48"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row>
    <row r="650" spans="1:48"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row>
    <row r="651" spans="1:48"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row>
    <row r="652" spans="1:48"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row>
    <row r="653" spans="1:48"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row>
    <row r="654" spans="1:48"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row>
    <row r="655" spans="1:48"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row>
    <row r="656" spans="1:48"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row>
    <row r="657" spans="1:48"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row>
    <row r="658" spans="1:48"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row>
    <row r="659" spans="1:48"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row>
    <row r="660" spans="1:48"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row>
    <row r="661" spans="1:48"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row>
    <row r="662" spans="1:48"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row>
    <row r="663" spans="1:48"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row>
    <row r="664" spans="1:48"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row>
    <row r="665" spans="1:48"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row>
    <row r="666" spans="1:48"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row>
    <row r="667" spans="1:48"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row>
    <row r="668" spans="1:48"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row>
    <row r="669" spans="1:48"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row>
    <row r="670" spans="1:48"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row>
    <row r="671" spans="1:48"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row>
    <row r="672" spans="1:48"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row>
    <row r="673" spans="1:48"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row>
    <row r="674" spans="1:48"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row>
    <row r="675" spans="1:48"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row>
    <row r="676" spans="1:48"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row>
    <row r="677" spans="1:48"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row>
    <row r="678" spans="1:48"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row>
    <row r="679" spans="1:48"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row>
    <row r="680" spans="1:48"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row>
    <row r="681" spans="1:48"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row>
    <row r="682" spans="1:48"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row>
    <row r="683" spans="1:48"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row>
    <row r="684" spans="1:48"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row>
    <row r="685" spans="1:48"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row>
    <row r="686" spans="1:48"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row>
    <row r="687" spans="1:48"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row>
    <row r="688" spans="1:48"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row>
    <row r="689" spans="1:48"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row>
    <row r="690" spans="1:48"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row>
    <row r="691" spans="1:48"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row>
    <row r="692" spans="1:48"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row>
    <row r="693" spans="1:48"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row>
    <row r="694" spans="1:48"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row>
    <row r="695" spans="1:48"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row>
    <row r="696" spans="1:48"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row>
    <row r="697" spans="1:48"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row>
    <row r="698" spans="1:48"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row>
    <row r="699" spans="1:48"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row>
    <row r="700" spans="1:48"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row>
    <row r="701" spans="1:48"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row>
    <row r="702" spans="1:48"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row>
    <row r="703" spans="1:48"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row>
    <row r="704" spans="1:48"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row>
    <row r="705" spans="1:48"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row>
    <row r="706" spans="1:48"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row>
    <row r="707" spans="1:48"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row>
    <row r="708" spans="1:48"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row>
    <row r="709" spans="1:48"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row>
    <row r="710" spans="1:48"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row>
    <row r="711" spans="1:48"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row>
    <row r="712" spans="1:48"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row>
    <row r="713" spans="1:48"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row>
    <row r="714" spans="1:48"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row>
    <row r="715" spans="1:48"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row>
    <row r="716" spans="1:48"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row>
    <row r="717" spans="1:48"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row>
    <row r="718" spans="1:48"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row>
    <row r="719" spans="1:48"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row>
    <row r="720" spans="1:48"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row>
    <row r="721" spans="1:48"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row>
    <row r="722" spans="1:48"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row>
    <row r="723" spans="1:48"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row>
    <row r="724" spans="1:48"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row>
    <row r="725" spans="1:48"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row>
    <row r="726" spans="1:48"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row>
    <row r="727" spans="1:48"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row>
    <row r="728" spans="1:48"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row>
    <row r="729" spans="1:48"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row>
    <row r="730" spans="1:48"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row>
    <row r="731" spans="1:48"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row>
    <row r="732" spans="1:48"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row>
    <row r="733" spans="1:48"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row>
    <row r="734" spans="1:48"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row>
    <row r="735" spans="1:48"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row>
    <row r="736" spans="1:48"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row>
    <row r="737" spans="1:48"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row>
    <row r="738" spans="1:48"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row>
    <row r="739" spans="1:48"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row>
    <row r="740" spans="1:48"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row>
    <row r="741" spans="1:48"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row>
    <row r="742" spans="1:48"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row>
    <row r="743" spans="1:48"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row>
    <row r="744" spans="1:48"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row>
    <row r="745" spans="1:48"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row>
    <row r="746" spans="1:48"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row>
    <row r="747" spans="1:48"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row>
    <row r="748" spans="1:48"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row>
    <row r="749" spans="1:48"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row>
    <row r="750" spans="1:48"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row>
    <row r="751" spans="1:48"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row>
    <row r="752" spans="1:48"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row>
    <row r="753" spans="1:48"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row>
    <row r="754" spans="1:48"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row>
    <row r="755" spans="1:48"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row>
    <row r="756" spans="1:48"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row>
    <row r="757" spans="1:48"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row>
    <row r="758" spans="1:48"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row>
    <row r="759" spans="1:48"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row>
    <row r="760" spans="1:48"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row>
    <row r="761" spans="1:48"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row>
    <row r="762" spans="1:48"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row>
    <row r="763" spans="1:48"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row>
    <row r="764" spans="1:48"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row>
    <row r="765" spans="1:48"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row>
    <row r="766" spans="1:48"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row>
    <row r="767" spans="1:48"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row>
    <row r="768" spans="1:48"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row>
    <row r="769" spans="1:48"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row>
    <row r="770" spans="1:48"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row>
    <row r="771" spans="1:48"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row>
    <row r="772" spans="1:48"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row>
    <row r="773" spans="1:48"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row>
    <row r="774" spans="1:48"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row>
    <row r="775" spans="1:48"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row>
    <row r="776" spans="1:48"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row>
    <row r="777" spans="1:48"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row>
    <row r="778" spans="1:48"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row>
    <row r="779" spans="1:48"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row>
    <row r="780" spans="1:48"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row>
    <row r="781" spans="1:48"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row>
    <row r="782" spans="1:48"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row>
    <row r="783" spans="1:48"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row>
    <row r="784" spans="1:48"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row>
    <row r="785" spans="1:48"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row>
    <row r="786" spans="1:48"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row>
    <row r="787" spans="1:48"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row>
    <row r="788" spans="1:48"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row>
    <row r="789" spans="1:48"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row>
    <row r="790" spans="1:48"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row>
    <row r="791" spans="1:48"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row>
    <row r="792" spans="1:48"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row>
    <row r="793" spans="1:48"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row>
    <row r="794" spans="1:48"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row>
    <row r="795" spans="1:48"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row>
    <row r="796" spans="1:48"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row>
    <row r="797" spans="1:48"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row>
    <row r="798" spans="1:48"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row>
    <row r="799" spans="1:48"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row>
    <row r="800" spans="1:48"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row>
    <row r="801" spans="1:48"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row>
    <row r="802" spans="1:48"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row>
    <row r="803" spans="1:48"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row>
    <row r="804" spans="1:48"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row>
    <row r="805" spans="1:48"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row>
    <row r="806" spans="1:48"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row>
    <row r="807" spans="1:48"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row>
    <row r="808" spans="1:48"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row>
    <row r="809" spans="1:48"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row>
    <row r="810" spans="1:48"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row>
    <row r="811" spans="1:48"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row>
    <row r="812" spans="1:48"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row>
    <row r="813" spans="1:48"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row>
    <row r="814" spans="1:48"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row>
    <row r="815" spans="1:48"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row>
    <row r="816" spans="1:48"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row>
    <row r="817" spans="1:48"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row>
    <row r="818" spans="1:48"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row>
    <row r="819" spans="1:48"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row>
    <row r="820" spans="1:48"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row>
    <row r="821" spans="1:48"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row>
    <row r="822" spans="1:48"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row>
    <row r="823" spans="1:48"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row>
    <row r="824" spans="1:48"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row>
    <row r="825" spans="1:48"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row>
    <row r="826" spans="1:48"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row>
    <row r="827" spans="1:48"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row>
    <row r="828" spans="1:48"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row>
    <row r="829" spans="1:48"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row>
    <row r="830" spans="1:48"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row>
    <row r="831" spans="1:48"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row>
    <row r="832" spans="1:48"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row>
    <row r="833" spans="1:48"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row>
    <row r="834" spans="1:48"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row>
    <row r="835" spans="1:48"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row>
    <row r="836" spans="1:48"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row>
    <row r="837" spans="1:48"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row>
    <row r="838" spans="1:48"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row>
    <row r="839" spans="1:48"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row>
    <row r="840" spans="1:48"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row>
    <row r="841" spans="1:48"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row>
    <row r="842" spans="1:48"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row>
    <row r="843" spans="1:48"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row>
    <row r="844" spans="1:48"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row>
    <row r="845" spans="1:48"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row>
    <row r="846" spans="1:48"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row>
    <row r="847" spans="1:48"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row>
    <row r="848" spans="1:48"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row>
    <row r="849" spans="1:48"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row>
    <row r="850" spans="1:48"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row>
    <row r="851" spans="1:48"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row>
    <row r="852" spans="1:48"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row>
    <row r="853" spans="1:48"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row>
    <row r="854" spans="1:48"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row>
    <row r="855" spans="1:48"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row>
    <row r="856" spans="1:48"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row>
    <row r="857" spans="1:48"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row>
    <row r="858" spans="1:48"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row>
    <row r="859" spans="1:48"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row>
    <row r="860" spans="1:48"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row>
    <row r="861" spans="1:48"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row>
    <row r="862" spans="1:48"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row>
    <row r="863" spans="1:48"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row>
    <row r="864" spans="1:48"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row>
    <row r="865" spans="1:48"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row>
    <row r="866" spans="1:48"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row>
    <row r="867" spans="1:48"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row>
    <row r="868" spans="1:48"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row>
    <row r="869" spans="1:48"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row>
    <row r="870" spans="1:48"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row>
    <row r="871" spans="1:48"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row>
    <row r="872" spans="1:48"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row>
    <row r="873" spans="1:48"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row>
    <row r="874" spans="1:48"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row>
    <row r="875" spans="1:48"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row>
    <row r="876" spans="1:48"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row>
    <row r="877" spans="1:48"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row>
    <row r="878" spans="1:48"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row>
    <row r="879" spans="1:48"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row>
    <row r="880" spans="1:48"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row>
    <row r="881" spans="1:48"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row>
    <row r="882" spans="1:48"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row>
    <row r="883" spans="1:48"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row>
    <row r="884" spans="1:48"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row>
    <row r="885" spans="1:48"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row>
    <row r="886" spans="1:48"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row>
    <row r="887" spans="1:48"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row>
    <row r="888" spans="1:48"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row>
    <row r="889" spans="1:48"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row>
    <row r="890" spans="1:48"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row>
    <row r="891" spans="1:48"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row>
    <row r="892" spans="1:48"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row>
    <row r="893" spans="1:48"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row>
    <row r="894" spans="1:48"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row>
    <row r="895" spans="1:48"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row>
    <row r="896" spans="1:48"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row>
    <row r="897" spans="1:48"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row>
    <row r="898" spans="1:48"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row>
    <row r="899" spans="1:48"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row>
    <row r="900" spans="1:48"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row>
    <row r="901" spans="1:48"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row>
    <row r="902" spans="1:48"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row>
    <row r="903" spans="1:48"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row>
    <row r="904" spans="1:48"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row>
    <row r="905" spans="1:48"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row>
    <row r="906" spans="1:48"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row>
    <row r="907" spans="1:48"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row>
    <row r="908" spans="1:48"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row>
    <row r="909" spans="1:48"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row>
    <row r="910" spans="1:48"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row>
    <row r="911" spans="1:48"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row>
    <row r="912" spans="1:48"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row>
    <row r="913" spans="1:48"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row>
    <row r="914" spans="1:48"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row>
    <row r="915" spans="1:48"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row>
    <row r="916" spans="1:48"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row>
    <row r="917" spans="1:48"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row>
    <row r="918" spans="1:48"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row>
    <row r="919" spans="1:48"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row>
    <row r="920" spans="1:48"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row>
    <row r="921" spans="1:48"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row>
    <row r="922" spans="1:48"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row>
    <row r="923" spans="1:48"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row>
    <row r="924" spans="1:48"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row>
    <row r="925" spans="1:48"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row>
    <row r="926" spans="1:48"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row>
    <row r="927" spans="1:48"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row>
    <row r="928" spans="1:48"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row>
    <row r="929" spans="1:48"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row>
    <row r="930" spans="1:48"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row>
    <row r="931" spans="1:48"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row>
    <row r="932" spans="1:48"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row>
    <row r="933" spans="1:48"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row>
    <row r="934" spans="1:48"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row>
    <row r="935" spans="1:48"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row>
    <row r="936" spans="1:48"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row>
    <row r="937" spans="1:48"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row>
    <row r="938" spans="1:48"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row>
    <row r="939" spans="1:48"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row>
    <row r="940" spans="1:48"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row>
    <row r="941" spans="1:48"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row>
    <row r="942" spans="1:48"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row>
    <row r="943" spans="1:48"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row>
    <row r="944" spans="1:48"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row>
    <row r="945" spans="1:48"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row>
    <row r="946" spans="1:48"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row>
    <row r="947" spans="1:48"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row>
    <row r="948" spans="1:48"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row>
    <row r="949" spans="1:48"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row>
    <row r="950" spans="1:48"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row>
    <row r="951" spans="1:48"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row>
    <row r="952" spans="1:48"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row>
    <row r="953" spans="1:48"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row>
    <row r="954" spans="1:48"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row>
    <row r="955" spans="1:48"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row>
    <row r="956" spans="1:48"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row>
    <row r="957" spans="1:48"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row>
    <row r="958" spans="1:48"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row>
    <row r="959" spans="1:48"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row>
    <row r="960" spans="1:48"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row>
    <row r="961" spans="1:48"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row>
    <row r="962" spans="1:48"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row>
    <row r="963" spans="1:48"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row>
    <row r="964" spans="1:48"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row>
    <row r="965" spans="1:48"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row>
    <row r="966" spans="1:48"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row>
    <row r="967" spans="1:48"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row>
    <row r="968" spans="1:48"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row>
    <row r="969" spans="1:48"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row>
    <row r="970" spans="1:48"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row>
    <row r="971" spans="1:48"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row>
    <row r="972" spans="1:48"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row>
    <row r="973" spans="1:48"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row>
    <row r="974" spans="1:48"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row>
    <row r="975" spans="1:48"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row>
    <row r="976" spans="1:48"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row>
    <row r="977" spans="1:48"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row>
    <row r="978" spans="1:48"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row>
    <row r="979" spans="1:48"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row>
    <row r="980" spans="1:48"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row>
    <row r="981" spans="1:48"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row>
    <row r="982" spans="1:48"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row>
    <row r="983" spans="1:48"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row>
    <row r="984" spans="1:48"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row>
    <row r="985" spans="1:48"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row>
    <row r="986" spans="1:48"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row>
    <row r="987" spans="1:48"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row>
    <row r="988" spans="1:48"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row>
    <row r="989" spans="1:48"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row>
    <row r="990" spans="1:48"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row>
    <row r="991" spans="1:48"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row>
    <row r="992" spans="1:48"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row>
    <row r="993" spans="1:48"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row>
    <row r="994" spans="1:48"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row>
    <row r="995" spans="1:48"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row>
    <row r="996" spans="1:48"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row>
    <row r="997" spans="1:48"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row>
    <row r="998" spans="1:48"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row>
    <row r="999" spans="1:48"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row>
    <row r="1000" spans="1:48"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row>
  </sheetData>
  <mergeCells count="20">
    <mergeCell ref="A1:Z1"/>
    <mergeCell ref="A2:Z2"/>
    <mergeCell ref="I5:K5"/>
    <mergeCell ref="I4:K4"/>
    <mergeCell ref="B5:D5"/>
    <mergeCell ref="E5:G5"/>
    <mergeCell ref="M5:O5"/>
    <mergeCell ref="A4:A7"/>
    <mergeCell ref="Z4:Z7"/>
    <mergeCell ref="E4:G4"/>
    <mergeCell ref="B4:D4"/>
    <mergeCell ref="Q4:S4"/>
    <mergeCell ref="Q5:S5"/>
    <mergeCell ref="J16:Z16"/>
    <mergeCell ref="I17:Z17"/>
    <mergeCell ref="T4:U4"/>
    <mergeCell ref="T5:U5"/>
    <mergeCell ref="V4:W4"/>
    <mergeCell ref="V5:W6"/>
    <mergeCell ref="M4:O4"/>
  </mergeCells>
  <pageMargins left="0.7" right="0.7" top="0.75" bottom="0.75" header="0.3" footer="0.3"/>
  <pageSetup paperSize="9" scale="70" orientation="landscape" horizontalDpi="4294967295" verticalDpi="4294967295" r:id="rId1"/>
  <rowBreaks count="1" manualBreakCount="1">
    <brk id="33" max="2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2018-05-14T03:56:17Z</cp:lastPrinted>
  <dcterms:modified xsi:type="dcterms:W3CDTF">2018-05-14T03:56:36Z</dcterms:modified>
</cp:coreProperties>
</file>