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02"/>
  </bookViews>
  <sheets>
    <sheet name="18.7" sheetId="7" r:id="rId1"/>
  </sheets>
  <definedNames>
    <definedName name="_xlnm.Print_Area" localSheetId="0">'18.7'!$A$1:$K$40</definedName>
  </definedNames>
  <calcPr calcId="162913"/>
</workbook>
</file>

<file path=xl/calcChain.xml><?xml version="1.0" encoding="utf-8"?>
<calcChain xmlns="http://schemas.openxmlformats.org/spreadsheetml/2006/main">
  <c r="F19" i="7" l="1"/>
  <c r="F18" i="7"/>
  <c r="F17" i="7"/>
  <c r="F16" i="7"/>
  <c r="F15" i="7"/>
  <c r="F14" i="7"/>
  <c r="F13" i="7"/>
  <c r="F12" i="7"/>
  <c r="F11" i="7"/>
  <c r="F10" i="7"/>
  <c r="F9" i="7"/>
  <c r="F8" i="7"/>
  <c r="B19" i="7" l="1"/>
  <c r="B18" i="7"/>
  <c r="B17" i="7"/>
  <c r="B16" i="7"/>
  <c r="B15" i="7"/>
  <c r="B14" i="7"/>
  <c r="B13" i="7"/>
  <c r="B12" i="7"/>
  <c r="B11" i="7"/>
  <c r="B10" i="7"/>
  <c r="B9" i="7"/>
  <c r="B8" i="7"/>
</calcChain>
</file>

<file path=xl/sharedStrings.xml><?xml version="1.0" encoding="utf-8"?>
<sst xmlns="http://schemas.openxmlformats.org/spreadsheetml/2006/main" count="44" uniqueCount="40">
  <si>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</si>
  <si>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</si>
  <si>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</si>
  <si>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</si>
  <si>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</si>
  <si>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</si>
  <si>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</si>
  <si>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</si>
  <si>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</si>
  <si>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</si>
  <si>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</si>
  <si>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</si>
  <si>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</si>
  <si>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</si>
  <si>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</si>
  <si>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</si>
  <si>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</si>
  <si>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</si>
  <si>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</si>
  <si>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</si>
  <si>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</si>
  <si>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</si>
  <si>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</si>
  <si>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</si>
  <si>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</si>
  <si>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</si>
  <si>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</si>
  <si>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</si>
  <si>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Senior Citizen Allowance was introduced in February 2014.</t>
  </si>
  <si>
    <t xml:space="preserve">ސީނިއަރ ސިޓިޒަން އެލަވަންސް ސްކީމް ތަޢާރަފުކުރެވިފައިވާ ފެބްރުއަރީ 2014 ގައެވެ. </t>
  </si>
  <si>
    <t>65-69</t>
  </si>
  <si>
    <t>70-74</t>
  </si>
  <si>
    <t>65-69 yrs</t>
  </si>
  <si>
    <t>75 +</t>
  </si>
  <si>
    <t>70-74 yrs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</si>
  <si>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</si>
  <si>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</si>
  <si>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 xml:space="preserve">75 + yrs </t>
  </si>
  <si>
    <t>ތާވަލު  18.7: ސީނިއަރ ސިޓިޒަން އެލަވަންސް ލިބޭ މީހުންގެ އަދަދު އަދި ޢުމުރުފުރާތައް، 2016 - 2017</t>
  </si>
  <si>
    <t>TABLE 18.7: NUMBER OF BENEFICIARIES OF SENIOR CITIZEN ALLOWANCE BY AGE, 2016 - 2017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</si>
</sst>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1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8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0" fillId="0" borderId="0"/>
    <xf numFmtId="0" fontId="9" fillId="0" borderId="0"/>
  </cellStyleXfs>
  <cellXfs count="41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0" fillId="2" borderId="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0" fontId="1" fillId="2" borderId="0" xfId="0" applyFont="1" applyFill="1" applyBorder="1"/>
    <xf numFmtId="0" fontId="0" fillId="2" borderId="7" xfId="0" applyFont="1" applyFill="1" applyBorder="1"/>
    <xf numFmtId="164" fontId="0" fillId="2" borderId="0" xfId="0" applyNumberFormat="1" applyFont="1" applyFill="1" applyBorder="1"/>
    <xf numFmtId="0" fontId="3" fillId="2" borderId="13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vertical="center"/>
    </xf>
    <xf numFmtId="0" fontId="5" fillId="2" borderId="0" xfId="0" applyFont="1" applyFill="1" applyBorder="1"/>
    <xf numFmtId="0" fontId="6" fillId="2" borderId="0" xfId="0" applyFont="1" applyFill="1" applyBorder="1"/>
    <xf numFmtId="0" fontId="7" fillId="2" borderId="0" xfId="0" applyFont="1" applyFill="1" applyBorder="1" applyAlignment="1"/>
    <xf numFmtId="164" fontId="0" fillId="2" borderId="7" xfId="0" applyNumberFormat="1" applyFont="1" applyFill="1" applyBorder="1"/>
    <xf numFmtId="164" fontId="0" fillId="4" borderId="0" xfId="0" applyNumberFormat="1" applyFont="1" applyFill="1" applyBorder="1" applyAlignment="1"/>
    <xf numFmtId="164" fontId="0" fillId="4" borderId="7" xfId="0" applyNumberFormat="1" applyFont="1" applyFill="1" applyBorder="1" applyAlignment="1"/>
    <xf numFmtId="164" fontId="0" fillId="4" borderId="0" xfId="0" applyNumberFormat="1" applyFont="1" applyFill="1" applyBorder="1" applyAlignment="1">
      <alignment horizontal="right" vertical="center"/>
    </xf>
    <xf numFmtId="164" fontId="0" fillId="4" borderId="7" xfId="0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164" fontId="0" fillId="2" borderId="6" xfId="0" applyNumberFormat="1" applyFont="1" applyFill="1" applyBorder="1" applyAlignment="1">
      <alignment horizontal="right" vertical="center"/>
    </xf>
    <xf numFmtId="164" fontId="0" fillId="2" borderId="9" xfId="0" applyNumberFormat="1" applyFont="1" applyFill="1" applyBorder="1" applyAlignment="1">
      <alignment horizontal="right" vertical="center"/>
    </xf>
    <xf numFmtId="164" fontId="0" fillId="4" borderId="12" xfId="0" applyNumberFormat="1" applyFont="1" applyFill="1" applyBorder="1" applyAlignment="1"/>
    <xf numFmtId="164" fontId="0" fillId="4" borderId="8" xfId="0" applyNumberFormat="1" applyFont="1" applyFill="1" applyBorder="1" applyAlignment="1"/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2" fillId="3" borderId="3" xfId="0" applyFont="1" applyFill="1" applyBorder="1"/>
    <xf numFmtId="0" fontId="2" fillId="3" borderId="7" xfId="0" applyFont="1" applyFill="1" applyBorder="1"/>
    <xf numFmtId="0" fontId="3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1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981936775975735"/>
          <c:y val="0.1514026272957861"/>
          <c:w val="0.41302422754888279"/>
          <c:h val="0.83771474127302648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1418-459D-B03B-F3EFBBDCA819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418-459D-B03B-F3EFBBDCA819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1418-459D-B03B-F3EFBBDCA81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'18.7'!$G$7:$I$7</c:f>
              <c:strCache>
                <c:ptCount val="3"/>
                <c:pt idx="0">
                  <c:v>65-69</c:v>
                </c:pt>
                <c:pt idx="1">
                  <c:v>70-74</c:v>
                </c:pt>
                <c:pt idx="2">
                  <c:v>75 +</c:v>
                </c:pt>
              </c:strCache>
            </c:strRef>
          </c:cat>
          <c:val>
            <c:numRef>
              <c:f>'18.7'!$G$19:$I$19</c:f>
              <c:numCache>
                <c:formatCode>_(* #,##0_);_(* \(#,##0\);_(* "-"??_);_(@_)</c:formatCode>
                <c:ptCount val="3"/>
                <c:pt idx="0">
                  <c:v>4584</c:v>
                </c:pt>
                <c:pt idx="1">
                  <c:v>4255</c:v>
                </c:pt>
                <c:pt idx="2">
                  <c:v>8168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18-459D-B03B-F3EFBBDCA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153285</xdr:rowOff>
    </xdr:from>
    <xdr:to>
      <xdr:col>8</xdr:col>
      <xdr:colOff>676275</xdr:colOff>
      <xdr:row>39</xdr:row>
      <xdr:rowOff>124711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200024</xdr:colOff>
      <xdr:row>24</xdr:row>
      <xdr:rowOff>9524</xdr:rowOff>
    </xdr:from>
    <xdr:to>
      <xdr:col>8</xdr:col>
      <xdr:colOff>542924</xdr:colOff>
      <xdr:row>24</xdr:row>
      <xdr:rowOff>9524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628649" y="5448299"/>
          <a:ext cx="681037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0.01585</cdr:x>
      <cdr:y>0.00554</cdr:y>
    </cdr:from>
    <cdr:to>
      <cdr:x>0.99208</cdr:x>
      <cdr:y>0.14801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4019" y="18165"/>
          <a:ext cx="6406729" cy="4668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18.9: Percentage share of beneficiaries of senior citizen allowance by </a:t>
          </a:r>
          <a:r>
            <a:rPr lang="en-US" sz="1100" b="1" i="0">
              <a:effectLst/>
              <a:latin typeface="+mn-lt"/>
              <a:ea typeface="+mn-ea"/>
              <a:cs typeface="+mn-cs"/>
            </a:rPr>
            <a:t>age group</a:t>
          </a: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2017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41"/>
  <sheetViews>
    <sheetView tabSelected="1" zoomScaleNormal="100" workbookViewId="0">
      <selection activeCell="V14" sqref="V14"/>
    </sheetView>
  </sheetViews>
  <sheetFormatPr defaultColWidth="15.140625" defaultRowHeight="15" customHeight="1" x14ac:dyDescent="0.25"/>
  <cols>
    <col min="1" max="1" width="9" style="2" customWidth="1"/>
    <col min="2" max="9" width="13.85546875" style="2" customWidth="1"/>
    <col min="10" max="10" width="13.7109375" style="2" customWidth="1"/>
    <col min="11" max="11" width="1.140625" style="2" customWidth="1"/>
    <col min="12" max="12" width="7.42578125" style="2" customWidth="1"/>
    <col min="13" max="13" width="9" style="2" customWidth="1"/>
    <col min="14" max="14" width="8.42578125" style="2" customWidth="1"/>
    <col min="15" max="15" width="8.140625" style="2" customWidth="1"/>
    <col min="16" max="16" width="9" style="2" customWidth="1"/>
    <col min="17" max="17" width="9.28515625" style="2" customWidth="1"/>
    <col min="18" max="18" width="7.42578125" style="2" customWidth="1"/>
    <col min="19" max="19" width="9" style="2" customWidth="1"/>
    <col min="20" max="20" width="8.42578125" style="2" customWidth="1"/>
    <col min="21" max="21" width="8.140625" style="2" customWidth="1"/>
    <col min="22" max="22" width="9" style="2" customWidth="1"/>
    <col min="23" max="23" width="12.7109375" style="2" customWidth="1"/>
    <col min="24" max="24" width="1.7109375" style="2" customWidth="1"/>
    <col min="25" max="30" width="8" style="2" customWidth="1"/>
    <col min="31" max="16384" width="15.140625" style="2"/>
  </cols>
  <sheetData>
    <row r="1" spans="1:30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1" customHeight="1" x14ac:dyDescent="0.55000000000000004">
      <c r="A2" s="29" t="s">
        <v>38</v>
      </c>
      <c r="B2" s="30"/>
      <c r="C2" s="30"/>
      <c r="D2" s="30"/>
      <c r="E2" s="30"/>
      <c r="F2" s="30"/>
      <c r="G2" s="30"/>
      <c r="H2" s="30"/>
      <c r="I2" s="30"/>
      <c r="J2" s="30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1"/>
    </row>
    <row r="3" spans="1:30" x14ac:dyDescent="0.25">
      <c r="A3" s="36" t="s">
        <v>39</v>
      </c>
      <c r="B3" s="30"/>
      <c r="C3" s="30"/>
      <c r="D3" s="30"/>
      <c r="E3" s="30"/>
      <c r="F3" s="30"/>
      <c r="G3" s="30"/>
      <c r="H3" s="30"/>
      <c r="I3" s="30"/>
      <c r="J3" s="3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21"/>
      <c r="C4" s="21"/>
      <c r="D4" s="21"/>
      <c r="E4" s="21"/>
      <c r="F4" s="21"/>
      <c r="G4" s="21"/>
      <c r="H4" s="21"/>
      <c r="I4" s="21"/>
      <c r="J4" s="21"/>
      <c r="K4" s="1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1"/>
      <c r="Y4" s="1"/>
      <c r="Z4" s="1"/>
      <c r="AA4" s="1"/>
      <c r="AB4" s="1"/>
      <c r="AC4" s="1"/>
      <c r="AD4" s="1"/>
    </row>
    <row r="5" spans="1:30" x14ac:dyDescent="0.25">
      <c r="A5" s="40" t="s">
        <v>3</v>
      </c>
      <c r="B5" s="39">
        <v>2016</v>
      </c>
      <c r="C5" s="37"/>
      <c r="D5" s="37"/>
      <c r="E5" s="37"/>
      <c r="F5" s="39">
        <v>2017</v>
      </c>
      <c r="G5" s="37"/>
      <c r="H5" s="37"/>
      <c r="I5" s="37"/>
      <c r="J5" s="22"/>
      <c r="K5" s="1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1"/>
      <c r="Y5" s="1"/>
      <c r="Z5" s="1"/>
      <c r="AA5" s="1"/>
      <c r="AB5" s="1"/>
      <c r="AC5" s="1"/>
      <c r="AD5" s="1"/>
    </row>
    <row r="6" spans="1:30" ht="21" customHeight="1" x14ac:dyDescent="0.55000000000000004">
      <c r="A6" s="30"/>
      <c r="B6" s="33" t="s">
        <v>36</v>
      </c>
      <c r="C6" s="31"/>
      <c r="D6" s="31"/>
      <c r="E6" s="34"/>
      <c r="F6" s="35" t="s">
        <v>35</v>
      </c>
      <c r="G6" s="31"/>
      <c r="H6" s="31"/>
      <c r="I6" s="31"/>
      <c r="J6" s="38"/>
      <c r="K6" s="2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" customHeight="1" x14ac:dyDescent="0.25">
      <c r="A7" s="32"/>
      <c r="B7" s="4" t="s">
        <v>0</v>
      </c>
      <c r="C7" s="4" t="s">
        <v>30</v>
      </c>
      <c r="D7" s="4" t="s">
        <v>31</v>
      </c>
      <c r="E7" s="9" t="s">
        <v>33</v>
      </c>
      <c r="F7" s="5" t="s">
        <v>0</v>
      </c>
      <c r="G7" s="4" t="s">
        <v>30</v>
      </c>
      <c r="H7" s="4" t="s">
        <v>31</v>
      </c>
      <c r="I7" s="4" t="s">
        <v>33</v>
      </c>
      <c r="J7" s="3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1" customHeight="1" x14ac:dyDescent="0.25">
      <c r="A8" s="1" t="s">
        <v>4</v>
      </c>
      <c r="B8" s="8">
        <f t="shared" ref="B8:B19" si="0">SUM(C8:E8)</f>
        <v>16804</v>
      </c>
      <c r="C8" s="17">
        <v>4426</v>
      </c>
      <c r="D8" s="17">
        <v>4631</v>
      </c>
      <c r="E8" s="27">
        <v>7747</v>
      </c>
      <c r="F8" s="25">
        <f t="shared" ref="F8:F19" si="1">SUM(G8:I8)</f>
        <v>16855</v>
      </c>
      <c r="G8" s="19">
        <v>4554</v>
      </c>
      <c r="H8" s="19">
        <v>4388</v>
      </c>
      <c r="I8" s="19">
        <v>7913</v>
      </c>
      <c r="J8" s="10" t="s">
        <v>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1" customHeight="1" x14ac:dyDescent="0.25">
      <c r="A9" s="1" t="s">
        <v>6</v>
      </c>
      <c r="B9" s="8">
        <f t="shared" si="0"/>
        <v>16874</v>
      </c>
      <c r="C9" s="17">
        <v>4504</v>
      </c>
      <c r="D9" s="17">
        <v>4633</v>
      </c>
      <c r="E9" s="27">
        <v>7737</v>
      </c>
      <c r="F9" s="25">
        <f t="shared" si="1"/>
        <v>16905</v>
      </c>
      <c r="G9" s="19">
        <v>4600</v>
      </c>
      <c r="H9" s="19">
        <v>4381</v>
      </c>
      <c r="I9" s="19">
        <v>7924</v>
      </c>
      <c r="J9" s="10" t="s">
        <v>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1" customHeight="1" x14ac:dyDescent="0.25">
      <c r="A10" s="1" t="s">
        <v>8</v>
      </c>
      <c r="B10" s="8">
        <f t="shared" si="0"/>
        <v>16871</v>
      </c>
      <c r="C10" s="17">
        <v>4540</v>
      </c>
      <c r="D10" s="17">
        <v>4664</v>
      </c>
      <c r="E10" s="27">
        <v>7667</v>
      </c>
      <c r="F10" s="25">
        <f t="shared" si="1"/>
        <v>16877</v>
      </c>
      <c r="G10" s="19">
        <v>4681</v>
      </c>
      <c r="H10" s="19">
        <v>4348</v>
      </c>
      <c r="I10" s="19">
        <v>7848</v>
      </c>
      <c r="J10" s="10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1" customHeight="1" x14ac:dyDescent="0.25">
      <c r="A11" s="1" t="s">
        <v>10</v>
      </c>
      <c r="B11" s="8">
        <f t="shared" si="0"/>
        <v>16884</v>
      </c>
      <c r="C11" s="17">
        <v>4578</v>
      </c>
      <c r="D11" s="17">
        <v>4626</v>
      </c>
      <c r="E11" s="27">
        <v>7680</v>
      </c>
      <c r="F11" s="25">
        <f t="shared" si="1"/>
        <v>16957</v>
      </c>
      <c r="G11" s="19">
        <v>4751</v>
      </c>
      <c r="H11" s="19">
        <v>4339</v>
      </c>
      <c r="I11" s="19">
        <v>7867</v>
      </c>
      <c r="J11" s="10" t="s">
        <v>11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1" customHeight="1" x14ac:dyDescent="0.25">
      <c r="A12" s="1" t="s">
        <v>12</v>
      </c>
      <c r="B12" s="8">
        <f t="shared" si="0"/>
        <v>16914</v>
      </c>
      <c r="C12" s="17">
        <v>4592</v>
      </c>
      <c r="D12" s="17">
        <v>4662</v>
      </c>
      <c r="E12" s="27">
        <v>7660</v>
      </c>
      <c r="F12" s="25">
        <f t="shared" si="1"/>
        <v>16998</v>
      </c>
      <c r="G12" s="19">
        <v>4814</v>
      </c>
      <c r="H12" s="19">
        <v>4378</v>
      </c>
      <c r="I12" s="19">
        <v>7806</v>
      </c>
      <c r="J12" s="10" t="s">
        <v>13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1" customHeight="1" x14ac:dyDescent="0.25">
      <c r="A13" s="1" t="s">
        <v>14</v>
      </c>
      <c r="B13" s="8">
        <f t="shared" si="0"/>
        <v>16851</v>
      </c>
      <c r="C13" s="17">
        <v>4614</v>
      </c>
      <c r="D13" s="17">
        <v>4630</v>
      </c>
      <c r="E13" s="27">
        <v>7607</v>
      </c>
      <c r="F13" s="25">
        <f t="shared" si="1"/>
        <v>17024</v>
      </c>
      <c r="G13" s="19">
        <v>4860</v>
      </c>
      <c r="H13" s="19">
        <v>4338</v>
      </c>
      <c r="I13" s="19">
        <v>7826</v>
      </c>
      <c r="J13" s="10" t="s">
        <v>15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1" customHeight="1" x14ac:dyDescent="0.25">
      <c r="A14" s="1" t="s">
        <v>16</v>
      </c>
      <c r="B14" s="8">
        <f t="shared" si="0"/>
        <v>16843</v>
      </c>
      <c r="C14" s="17">
        <v>4623</v>
      </c>
      <c r="D14" s="17">
        <v>4640</v>
      </c>
      <c r="E14" s="27">
        <v>7580</v>
      </c>
      <c r="F14" s="25">
        <f t="shared" si="1"/>
        <v>17019</v>
      </c>
      <c r="G14" s="19">
        <v>4918</v>
      </c>
      <c r="H14" s="19">
        <v>4349</v>
      </c>
      <c r="I14" s="19">
        <v>7752</v>
      </c>
      <c r="J14" s="10" t="s">
        <v>17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1" customHeight="1" x14ac:dyDescent="0.25">
      <c r="A15" s="1" t="s">
        <v>18</v>
      </c>
      <c r="B15" s="8">
        <f t="shared" si="0"/>
        <v>16837</v>
      </c>
      <c r="C15" s="17">
        <v>4316</v>
      </c>
      <c r="D15" s="17">
        <v>4981</v>
      </c>
      <c r="E15" s="27">
        <v>7540</v>
      </c>
      <c r="F15" s="25">
        <f t="shared" si="1"/>
        <v>17044</v>
      </c>
      <c r="G15" s="19">
        <v>4565</v>
      </c>
      <c r="H15" s="19">
        <v>4727</v>
      </c>
      <c r="I15" s="19">
        <v>7752</v>
      </c>
      <c r="J15" s="10" t="s">
        <v>19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1" customHeight="1" x14ac:dyDescent="0.25">
      <c r="A16" s="1" t="s">
        <v>20</v>
      </c>
      <c r="B16" s="8">
        <f t="shared" si="0"/>
        <v>16849</v>
      </c>
      <c r="C16" s="17">
        <v>4347</v>
      </c>
      <c r="D16" s="17">
        <v>4503</v>
      </c>
      <c r="E16" s="27">
        <v>7999</v>
      </c>
      <c r="F16" s="25">
        <f t="shared" si="1"/>
        <v>17073</v>
      </c>
      <c r="G16" s="19">
        <v>4602</v>
      </c>
      <c r="H16" s="19">
        <v>4250</v>
      </c>
      <c r="I16" s="19">
        <v>8221</v>
      </c>
      <c r="J16" s="10" t="s">
        <v>21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1" customHeight="1" x14ac:dyDescent="0.25">
      <c r="A17" s="1" t="s">
        <v>22</v>
      </c>
      <c r="B17" s="8">
        <f t="shared" si="0"/>
        <v>16814</v>
      </c>
      <c r="C17" s="17">
        <v>4355</v>
      </c>
      <c r="D17" s="17">
        <v>4470</v>
      </c>
      <c r="E17" s="27">
        <v>7989</v>
      </c>
      <c r="F17" s="25">
        <f t="shared" si="1"/>
        <v>17035</v>
      </c>
      <c r="G17" s="19">
        <v>4587</v>
      </c>
      <c r="H17" s="19">
        <v>4260</v>
      </c>
      <c r="I17" s="19">
        <v>8188</v>
      </c>
      <c r="J17" s="10" t="s">
        <v>23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1" customHeight="1" x14ac:dyDescent="0.25">
      <c r="A18" s="1" t="s">
        <v>24</v>
      </c>
      <c r="B18" s="8">
        <f t="shared" si="0"/>
        <v>16774</v>
      </c>
      <c r="C18" s="17">
        <v>4348</v>
      </c>
      <c r="D18" s="17">
        <v>4437</v>
      </c>
      <c r="E18" s="27">
        <v>7989</v>
      </c>
      <c r="F18" s="25">
        <f t="shared" si="1"/>
        <v>17034</v>
      </c>
      <c r="G18" s="19">
        <v>4601</v>
      </c>
      <c r="H18" s="19">
        <v>4251</v>
      </c>
      <c r="I18" s="19">
        <v>8182</v>
      </c>
      <c r="J18" s="10" t="s">
        <v>25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1" customHeight="1" x14ac:dyDescent="0.25">
      <c r="A19" s="7" t="s">
        <v>26</v>
      </c>
      <c r="B19" s="16">
        <f t="shared" si="0"/>
        <v>16779</v>
      </c>
      <c r="C19" s="18">
        <v>4354</v>
      </c>
      <c r="D19" s="18">
        <v>4430</v>
      </c>
      <c r="E19" s="28">
        <v>7995</v>
      </c>
      <c r="F19" s="26">
        <f t="shared" si="1"/>
        <v>17007</v>
      </c>
      <c r="G19" s="20">
        <v>4584</v>
      </c>
      <c r="H19" s="20">
        <v>4255</v>
      </c>
      <c r="I19" s="20">
        <v>8168</v>
      </c>
      <c r="J19" s="11" t="s">
        <v>27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6.5" customHeight="1" x14ac:dyDescent="0.25">
      <c r="A20" s="12" t="s">
        <v>28</v>
      </c>
      <c r="B20" s="3"/>
      <c r="C20" s="3"/>
      <c r="D20" s="3"/>
      <c r="E20" s="3"/>
      <c r="F20" s="3"/>
      <c r="G20" s="3"/>
      <c r="H20" s="3"/>
      <c r="I20" s="3"/>
      <c r="J20" s="23" t="s">
        <v>29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7.25" customHeight="1" x14ac:dyDescent="0.45">
      <c r="A21" s="14" t="s">
        <v>1</v>
      </c>
      <c r="B21" s="13"/>
      <c r="C21" s="13"/>
      <c r="D21" s="13"/>
      <c r="E21" s="13"/>
      <c r="F21" s="13"/>
      <c r="G21" s="13"/>
      <c r="H21" s="13"/>
      <c r="I21" s="13"/>
      <c r="J21" s="15" t="s">
        <v>2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5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4" t="s">
        <v>32</v>
      </c>
      <c r="AC27" s="4" t="s">
        <v>34</v>
      </c>
      <c r="AD27" s="4" t="s">
        <v>37</v>
      </c>
    </row>
    <row r="28" spans="1:3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</sheetData>
  <mergeCells count="8">
    <mergeCell ref="A2:J2"/>
    <mergeCell ref="A3:J3"/>
    <mergeCell ref="J6:J7"/>
    <mergeCell ref="B6:E6"/>
    <mergeCell ref="B5:E5"/>
    <mergeCell ref="A5:A7"/>
    <mergeCell ref="F5:I5"/>
    <mergeCell ref="F6:I6"/>
  </mergeCells>
  <pageMargins left="0.7" right="0.7" top="0.75" bottom="0.75" header="0.3" footer="0.3"/>
  <pageSetup paperSize="9" scale="7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2018-05-14T05:37:36Z</cp:lastPrinted>
  <dcterms:modified xsi:type="dcterms:W3CDTF">2018-05-14T05:37:52Z</dcterms:modified>
</cp:coreProperties>
</file>