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New folder\"/>
    </mc:Choice>
  </mc:AlternateContent>
  <bookViews>
    <workbookView xWindow="0" yWindow="0" windowWidth="28800" windowHeight="12330" tabRatio="702"/>
  </bookViews>
  <sheets>
    <sheet name="18.4" sheetId="4" r:id="rId1"/>
  </sheets>
  <definedNames>
    <definedName name="_xlnm.Print_Area" localSheetId="0">'18.4'!$A$1:$J$38</definedName>
  </definedNames>
  <calcPr calcId="162913"/>
</workbook>
</file>

<file path=xl/calcChain.xml><?xml version="1.0" encoding="utf-8"?>
<calcChain xmlns="http://schemas.openxmlformats.org/spreadsheetml/2006/main">
  <c r="AF19" i="4" l="1"/>
  <c r="AE19" i="4"/>
  <c r="AD19" i="4"/>
  <c r="F19" i="4" l="1"/>
  <c r="F18" i="4"/>
  <c r="F17" i="4"/>
  <c r="F16" i="4"/>
  <c r="F15" i="4"/>
  <c r="F14" i="4"/>
  <c r="F13" i="4"/>
  <c r="F12" i="4"/>
  <c r="F11" i="4"/>
  <c r="F10" i="4"/>
  <c r="F9" i="4"/>
  <c r="F8" i="4"/>
  <c r="B16" i="4" l="1"/>
  <c r="B19" i="4"/>
  <c r="B8" i="4"/>
  <c r="B18" i="4" l="1"/>
  <c r="B17" i="4"/>
  <c r="B15" i="4"/>
  <c r="B14" i="4"/>
  <c r="B13" i="4"/>
  <c r="B12" i="4"/>
  <c r="B11" i="4"/>
  <c r="B10" i="4"/>
  <c r="B9" i="4"/>
</calcChain>
</file>

<file path=xl/sharedStrings.xml><?xml version="1.0" encoding="utf-8"?>
<sst xmlns="http://schemas.openxmlformats.org/spreadsheetml/2006/main" count="42" uniqueCount="38">
  <si>
    <t>Total</t>
  </si>
  <si>
    <t>Source: Maldives Pension Administration</t>
  </si>
  <si>
    <t>މަޢުލޫމާތު ދެއްވި ފަރާތް: މޯލްޑިވްސް ޕެންޝަން އެޑްމިނިސްޓްރޭޝަން</t>
  </si>
  <si>
    <t>Month</t>
  </si>
  <si>
    <t>މަސް</t>
  </si>
  <si>
    <t>Jan</t>
  </si>
  <si>
    <t>ޖެނުއަރީ</t>
  </si>
  <si>
    <t>Feb</t>
  </si>
  <si>
    <t>ފެބްރުއަރީ</t>
  </si>
  <si>
    <t>Mar</t>
  </si>
  <si>
    <t>މާޗް</t>
  </si>
  <si>
    <t>Apr</t>
  </si>
  <si>
    <t>އޭޕްރީލް</t>
  </si>
  <si>
    <t>May</t>
  </si>
  <si>
    <t>މެއި</t>
  </si>
  <si>
    <t>Jun</t>
  </si>
  <si>
    <t>ޖޫން</t>
  </si>
  <si>
    <t>Jul</t>
  </si>
  <si>
    <t>ޖުލައި</t>
  </si>
  <si>
    <t>Aug</t>
  </si>
  <si>
    <t>އޮގަސްޓް</t>
  </si>
  <si>
    <t>Sep</t>
  </si>
  <si>
    <t>ސެޕްޓެމްބަރ</t>
  </si>
  <si>
    <t>Oct</t>
  </si>
  <si>
    <t>އޮކްޓޫބަރ</t>
  </si>
  <si>
    <t>Nov</t>
  </si>
  <si>
    <t>ނޮވެމްބަރ</t>
  </si>
  <si>
    <t>Dec</t>
  </si>
  <si>
    <t>ޑިސެމްބަރ</t>
  </si>
  <si>
    <r>
      <t xml:space="preserve">Age Groups </t>
    </r>
    <r>
      <rPr>
        <b/>
        <sz val="11"/>
        <color rgb="FF000000"/>
        <rFont val="Faruma"/>
      </rPr>
      <t xml:space="preserve">  ޢުމުރުފުރާ   </t>
    </r>
  </si>
  <si>
    <t>65-69</t>
  </si>
  <si>
    <t>70-74</t>
  </si>
  <si>
    <t>75 &amp; over</t>
  </si>
  <si>
    <t>65-69 yrs</t>
  </si>
  <si>
    <t xml:space="preserve">70-74 yrs </t>
  </si>
  <si>
    <t>75  yrs &amp; over</t>
  </si>
  <si>
    <t>ތާވަލު  18.4 : އަސާސީ ޕެންޝަން ލިބޭ މީހުންގެ އަދަދު އަދި ޢުމުރުފުރާތައް، 2016 - 2017</t>
  </si>
  <si>
    <t>TABLE   18.4: NUMBER OF BENEFICIARIES OF BASIC PENSION SCHEME BY AGE, 2016 - 2017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</si>
</sst>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_);_(* \(#,##0\);_(* &quot;-&quot;??_);_(@_)"/>
    <numFmt numFmtId="165" formatCode="0.0"/>
  </numFmts>
  <fonts count="12" x14ac:knownFonts="1">
    <font>
      <sz val="11"/>
      <color rgb="FF000000"/>
      <name val="Calibri"/>
    </font>
    <font>
      <b/>
      <sz val="11"/>
      <color rgb="FF000000"/>
      <name val="Faruma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Faruma"/>
    </font>
    <font>
      <i/>
      <sz val="10"/>
      <color rgb="FF000000"/>
      <name val="Calibri"/>
      <family val="2"/>
    </font>
    <font>
      <sz val="10"/>
      <color rgb="FF000000"/>
      <name val="Faruma"/>
    </font>
    <font>
      <sz val="9"/>
      <color rgb="FF000000"/>
      <name val="Calibri"/>
      <family val="2"/>
    </font>
    <font>
      <i/>
      <sz val="9"/>
      <color rgb="FF000000"/>
      <name val="Calibri"/>
      <family val="2"/>
    </font>
    <font>
      <sz val="9"/>
      <color rgb="FF000000"/>
      <name val="Faruma"/>
    </font>
    <font>
      <sz val="10"/>
      <name val="Arial"/>
      <family val="2"/>
    </font>
    <font>
      <sz val="10"/>
      <name val="Courier"/>
      <family val="3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C2D69B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/>
      <bottom/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</borders>
  <cellStyleXfs count="3">
    <xf numFmtId="0" fontId="0" fillId="0" borderId="0"/>
    <xf numFmtId="164" fontId="11" fillId="0" borderId="0"/>
    <xf numFmtId="0" fontId="10" fillId="0" borderId="0"/>
  </cellStyleXfs>
  <cellXfs count="45">
    <xf numFmtId="0" fontId="0" fillId="0" borderId="0" xfId="0" applyFont="1" applyAlignment="1"/>
    <xf numFmtId="0" fontId="0" fillId="2" borderId="0" xfId="0" applyFont="1" applyFill="1" applyBorder="1"/>
    <xf numFmtId="0" fontId="0" fillId="3" borderId="0" xfId="0" applyFont="1" applyFill="1" applyAlignment="1"/>
    <xf numFmtId="0" fontId="3" fillId="2" borderId="7" xfId="0" applyFont="1" applyFill="1" applyBorder="1" applyAlignment="1">
      <alignment horizontal="right" vertical="center"/>
    </xf>
    <xf numFmtId="0" fontId="3" fillId="2" borderId="9" xfId="0" applyFont="1" applyFill="1" applyBorder="1" applyAlignment="1">
      <alignment horizontal="right" vertical="center"/>
    </xf>
    <xf numFmtId="0" fontId="3" fillId="2" borderId="10" xfId="0" applyFont="1" applyFill="1" applyBorder="1" applyAlignment="1">
      <alignment horizontal="right" vertical="center"/>
    </xf>
    <xf numFmtId="164" fontId="0" fillId="2" borderId="0" xfId="0" applyNumberFormat="1" applyFont="1" applyFill="1" applyBorder="1"/>
    <xf numFmtId="0" fontId="3" fillId="2" borderId="12" xfId="0" applyFont="1" applyFill="1" applyBorder="1" applyAlignment="1">
      <alignment horizontal="right" vertical="center"/>
    </xf>
    <xf numFmtId="3" fontId="0" fillId="2" borderId="0" xfId="0" applyNumberFormat="1" applyFont="1" applyFill="1" applyBorder="1" applyAlignment="1">
      <alignment vertical="center"/>
    </xf>
    <xf numFmtId="3" fontId="0" fillId="4" borderId="0" xfId="0" applyNumberFormat="1" applyFont="1" applyFill="1" applyBorder="1" applyAlignment="1">
      <alignment vertical="center"/>
    </xf>
    <xf numFmtId="3" fontId="0" fillId="2" borderId="6" xfId="0" applyNumberFormat="1" applyFont="1" applyFill="1" applyBorder="1" applyAlignment="1">
      <alignment vertical="center"/>
    </xf>
    <xf numFmtId="3" fontId="0" fillId="4" borderId="11" xfId="0" applyNumberFormat="1" applyFont="1" applyFill="1" applyBorder="1" applyAlignment="1">
      <alignment vertical="center"/>
    </xf>
    <xf numFmtId="3" fontId="0" fillId="2" borderId="0" xfId="0" applyNumberFormat="1" applyFont="1" applyFill="1" applyBorder="1"/>
    <xf numFmtId="3" fontId="0" fillId="2" borderId="7" xfId="0" applyNumberFormat="1" applyFont="1" applyFill="1" applyBorder="1" applyAlignment="1">
      <alignment vertical="center"/>
    </xf>
    <xf numFmtId="3" fontId="0" fillId="4" borderId="7" xfId="0" applyNumberFormat="1" applyFont="1" applyFill="1" applyBorder="1" applyAlignment="1">
      <alignment vertical="center"/>
    </xf>
    <xf numFmtId="3" fontId="0" fillId="2" borderId="9" xfId="0" applyNumberFormat="1" applyFont="1" applyFill="1" applyBorder="1" applyAlignment="1">
      <alignment vertical="center"/>
    </xf>
    <xf numFmtId="3" fontId="0" fillId="4" borderId="8" xfId="0" applyNumberFormat="1" applyFont="1" applyFill="1" applyBorder="1" applyAlignment="1">
      <alignment vertical="center"/>
    </xf>
    <xf numFmtId="0" fontId="7" fillId="2" borderId="0" xfId="0" applyFont="1" applyFill="1" applyBorder="1"/>
    <xf numFmtId="0" fontId="8" fillId="2" borderId="0" xfId="0" applyFont="1" applyFill="1" applyBorder="1"/>
    <xf numFmtId="0" fontId="9" fillId="2" borderId="0" xfId="0" applyFont="1" applyFill="1" applyBorder="1" applyAlignment="1"/>
    <xf numFmtId="0" fontId="0" fillId="2" borderId="0" xfId="0" applyFont="1" applyFill="1" applyBorder="1" applyAlignment="1">
      <alignment horizontal="left" vertical="center" indent="1"/>
    </xf>
    <xf numFmtId="0" fontId="0" fillId="2" borderId="7" xfId="0" applyFont="1" applyFill="1" applyBorder="1" applyAlignment="1">
      <alignment horizontal="left" vertical="center" indent="1"/>
    </xf>
    <xf numFmtId="0" fontId="4" fillId="2" borderId="0" xfId="0" applyFont="1" applyFill="1" applyBorder="1" applyAlignment="1">
      <alignment horizontal="right" vertical="center" indent="1"/>
    </xf>
    <xf numFmtId="0" fontId="4" fillId="2" borderId="0" xfId="0" applyFont="1" applyFill="1" applyBorder="1" applyAlignment="1">
      <alignment horizontal="right" indent="1"/>
    </xf>
    <xf numFmtId="0" fontId="4" fillId="2" borderId="7" xfId="0" applyFont="1" applyFill="1" applyBorder="1" applyAlignment="1">
      <alignment horizontal="right" vertical="center" indent="1"/>
    </xf>
    <xf numFmtId="0" fontId="0" fillId="2" borderId="0" xfId="0" applyFont="1" applyFill="1" applyBorder="1" applyAlignment="1">
      <alignment horizontal="right" vertical="center"/>
    </xf>
    <xf numFmtId="14" fontId="0" fillId="2" borderId="0" xfId="0" applyNumberFormat="1" applyFont="1" applyFill="1" applyBorder="1"/>
    <xf numFmtId="0" fontId="5" fillId="2" borderId="0" xfId="0" applyFont="1" applyFill="1" applyBorder="1"/>
    <xf numFmtId="0" fontId="6" fillId="2" borderId="0" xfId="0" applyFont="1" applyFill="1" applyBorder="1"/>
    <xf numFmtId="0" fontId="3" fillId="2" borderId="0" xfId="0" applyFont="1" applyFill="1" applyBorder="1" applyAlignment="1">
      <alignment horizontal="right" vertical="center"/>
    </xf>
    <xf numFmtId="1" fontId="0" fillId="2" borderId="0" xfId="0" applyNumberFormat="1" applyFont="1" applyFill="1" applyBorder="1"/>
    <xf numFmtId="165" fontId="0" fillId="2" borderId="0" xfId="0" applyNumberFormat="1" applyFont="1" applyFill="1" applyBorder="1"/>
    <xf numFmtId="0" fontId="0" fillId="3" borderId="0" xfId="0" applyFont="1" applyFill="1" applyBorder="1" applyAlignment="1"/>
    <xf numFmtId="0" fontId="3" fillId="2" borderId="0" xfId="0" applyFont="1" applyFill="1" applyBorder="1" applyAlignment="1">
      <alignment horizontal="center" vertical="center"/>
    </xf>
    <xf numFmtId="0" fontId="2" fillId="3" borderId="0" xfId="0" applyFont="1" applyFill="1" applyBorder="1"/>
    <xf numFmtId="0" fontId="2" fillId="3" borderId="3" xfId="0" applyFont="1" applyFill="1" applyBorder="1"/>
    <xf numFmtId="0" fontId="2" fillId="3" borderId="4" xfId="0" applyFont="1" applyFill="1" applyBorder="1"/>
    <xf numFmtId="0" fontId="3" fillId="2" borderId="1" xfId="0" applyFont="1" applyFill="1" applyBorder="1" applyAlignment="1">
      <alignment horizontal="left" vertical="center"/>
    </xf>
    <xf numFmtId="0" fontId="2" fillId="3" borderId="7" xfId="0" applyFont="1" applyFill="1" applyBorder="1"/>
    <xf numFmtId="0" fontId="1" fillId="2" borderId="1" xfId="0" applyFon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2" fillId="3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</cellXfs>
  <cellStyles count="3">
    <cellStyle name="Normal" xfId="0" builtinId="0"/>
    <cellStyle name="Normal 2" xfId="1"/>
    <cellStyle name="Normal 5" xfId="2"/>
  </cellStyles>
  <dxfs count="0"/>
  <tableStyles count="0" defaultTableStyle="TableStyleMedium2" defaultPivotStyle="PivotStyleLight16"/>
  <colors>
    <mruColors>
      <color rgb="FFF8A45E"/>
      <color rgb="FF953735"/>
      <color rgb="FFFAC02C"/>
      <color rgb="FFFAC090"/>
      <color rgb="FFFDEADA"/>
      <color rgb="FFFF3399"/>
      <color rgb="FFFFE5F2"/>
      <color rgb="FFFFD5EA"/>
      <color rgb="FFFFC5E2"/>
      <color rgb="FFFF85C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26946031746031746"/>
          <c:y val="0.18825876177242551"/>
          <c:w val="0.42592592592592593"/>
          <c:h val="0.83333333333333337"/>
        </c:manualLayout>
      </c:layout>
      <c:doughnutChart>
        <c:varyColors val="1"/>
        <c:ser>
          <c:idx val="0"/>
          <c:order val="0"/>
          <c:spPr>
            <a:solidFill>
              <a:srgbClr val="FF3399"/>
            </a:solidFill>
          </c:spPr>
          <c:dPt>
            <c:idx val="0"/>
            <c:bubble3D val="0"/>
            <c:explosion val="3"/>
            <c:spPr>
              <a:solidFill>
                <a:schemeClr val="accent1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D9F4-4F20-A050-F08A9BBEE622}"/>
              </c:ext>
            </c:extLst>
          </c:dPt>
          <c:dPt>
            <c:idx val="1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D9F4-4F20-A050-F08A9BBEE622}"/>
              </c:ext>
            </c:extLst>
          </c:dPt>
          <c:dPt>
            <c:idx val="2"/>
            <c:bubble3D val="0"/>
            <c:explosion val="2"/>
            <c:spPr>
              <a:solidFill>
                <a:schemeClr val="accent1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5-D9F4-4F20-A050-F08A9BBEE622}"/>
              </c:ext>
            </c:extLst>
          </c:dPt>
          <c:dLbls>
            <c:dLbl>
              <c:idx val="2"/>
              <c:layout>
                <c:manualLayout>
                  <c:x val="2.1164021164021163E-2"/>
                  <c:y val="-0.10196078431372549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chemeClr val="bg1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D9F4-4F20-A050-F08A9BBEE62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'18.4'!$AD$18:$AF$18</c:f>
              <c:strCache>
                <c:ptCount val="3"/>
                <c:pt idx="0">
                  <c:v>65-69 yrs</c:v>
                </c:pt>
                <c:pt idx="1">
                  <c:v>70-74 yrs </c:v>
                </c:pt>
                <c:pt idx="2">
                  <c:v>75  yrs &amp; over</c:v>
                </c:pt>
              </c:strCache>
            </c:strRef>
          </c:cat>
          <c:val>
            <c:numRef>
              <c:f>'18.4'!$AD$19:$AF$19</c:f>
              <c:numCache>
                <c:formatCode>#,##0</c:formatCode>
                <c:ptCount val="3"/>
                <c:pt idx="0">
                  <c:v>4356</c:v>
                </c:pt>
                <c:pt idx="1">
                  <c:v>4115</c:v>
                </c:pt>
                <c:pt idx="2">
                  <c:v>8062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9F4-4F20-A050-F08A9BBEE6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solidFill>
          <a:srgbClr val="FFFFFF"/>
        </a:solidFill>
      </c:spPr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1000125</xdr:colOff>
      <xdr:row>20</xdr:row>
      <xdr:rowOff>76200</xdr:rowOff>
    </xdr:from>
    <xdr:to>
      <xdr:col>9</xdr:col>
      <xdr:colOff>66675</xdr:colOff>
      <xdr:row>37</xdr:row>
      <xdr:rowOff>0</xdr:rowOff>
    </xdr:to>
    <xdr:graphicFrame macro="">
      <xdr:nvGraphicFramePr>
        <xdr:cNvPr id="7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twoCellAnchor>
    <xdr:from>
      <xdr:col>0</xdr:col>
      <xdr:colOff>1066799</xdr:colOff>
      <xdr:row>20</xdr:row>
      <xdr:rowOff>200025</xdr:rowOff>
    </xdr:from>
    <xdr:to>
      <xdr:col>8</xdr:col>
      <xdr:colOff>380999</xdr:colOff>
      <xdr:row>22</xdr:row>
      <xdr:rowOff>171449</xdr:rowOff>
    </xdr:to>
    <xdr:sp macro="" textlink="">
      <xdr:nvSpPr>
        <xdr:cNvPr id="10" name="Shape 10"/>
        <xdr:cNvSpPr txBox="1"/>
      </xdr:nvSpPr>
      <xdr:spPr>
        <a:xfrm>
          <a:off x="1066799" y="5505450"/>
          <a:ext cx="5514975" cy="400049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lIns="91425" tIns="45700" rIns="91425" bIns="45700" anchor="ctr" anchorCtr="0">
          <a:noAutofit/>
        </a:bodyPr>
        <a:lstStyle/>
        <a:p>
          <a:pPr marL="0" marR="0" lvl="0" indent="0" algn="ctr" rtl="0">
            <a:lnSpc>
              <a:spcPct val="100000"/>
            </a:lnSpc>
            <a:spcBef>
              <a:spcPts val="0"/>
            </a:spcBef>
            <a:buClr>
              <a:schemeClr val="dk1"/>
            </a:buClr>
            <a:buSzPct val="25000"/>
            <a:buFont typeface="Consolas"/>
            <a:buNone/>
          </a:pPr>
          <a:r>
            <a:rPr lang="en-US" sz="1050" b="1" i="0">
              <a:solidFill>
                <a:schemeClr val="dk1"/>
              </a:solidFill>
              <a:latin typeface="Consolas"/>
              <a:ea typeface="Consolas"/>
              <a:cs typeface="Consolas"/>
              <a:sym typeface="Consolas"/>
            </a:rPr>
            <a:t>Figure 18.6: Percentage</a:t>
          </a:r>
          <a:r>
            <a:rPr lang="en-US" sz="1050" b="1" i="0" baseline="0">
              <a:solidFill>
                <a:schemeClr val="dk1"/>
              </a:solidFill>
              <a:latin typeface="Consolas"/>
              <a:ea typeface="Consolas"/>
              <a:cs typeface="Consolas"/>
              <a:sym typeface="Consolas"/>
            </a:rPr>
            <a:t> share </a:t>
          </a:r>
          <a:r>
            <a:rPr lang="en-US" sz="1050" b="1" i="0">
              <a:solidFill>
                <a:schemeClr val="dk1"/>
              </a:solidFill>
              <a:latin typeface="Consolas"/>
              <a:ea typeface="Consolas"/>
              <a:cs typeface="Consolas"/>
              <a:sym typeface="Consolas"/>
            </a:rPr>
            <a:t>of beneficiaries of basic pension scheme by age group, 2017</a:t>
          </a:r>
        </a:p>
        <a:p>
          <a:pPr lvl="0">
            <a:spcBef>
              <a:spcPts val="0"/>
            </a:spcBef>
            <a:buNone/>
          </a:pPr>
          <a:endParaRPr sz="1100">
            <a:latin typeface="Consolas"/>
            <a:ea typeface="Consolas"/>
            <a:cs typeface="Consolas"/>
            <a:sym typeface="Consolas"/>
          </a:endParaRPr>
        </a:p>
      </xdr:txBody>
    </xdr:sp>
    <xdr:clientData fLocksWithSheet="0"/>
  </xdr:twoCellAnchor>
  <xdr:twoCellAnchor>
    <xdr:from>
      <xdr:col>1</xdr:col>
      <xdr:colOff>200024</xdr:colOff>
      <xdr:row>22</xdr:row>
      <xdr:rowOff>85724</xdr:rowOff>
    </xdr:from>
    <xdr:to>
      <xdr:col>8</xdr:col>
      <xdr:colOff>295274</xdr:colOff>
      <xdr:row>22</xdr:row>
      <xdr:rowOff>85724</xdr:rowOff>
    </xdr:to>
    <xdr:sp macro="" textlink="">
      <xdr:nvSpPr>
        <xdr:cNvPr id="5" name="Line 4"/>
        <xdr:cNvSpPr>
          <a:spLocks noChangeShapeType="1"/>
        </xdr:cNvSpPr>
      </xdr:nvSpPr>
      <xdr:spPr bwMode="auto">
        <a:xfrm>
          <a:off x="1266824" y="5819774"/>
          <a:ext cx="5229225" cy="0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H38"/>
  <sheetViews>
    <sheetView tabSelected="1" zoomScaleNormal="100" workbookViewId="0">
      <selection activeCell="P1" sqref="P1:S1048576"/>
    </sheetView>
  </sheetViews>
  <sheetFormatPr defaultColWidth="15.140625" defaultRowHeight="15" customHeight="1" x14ac:dyDescent="0.25"/>
  <cols>
    <col min="1" max="1" width="16" style="2" customWidth="1"/>
    <col min="2" max="9" width="11" style="2" customWidth="1"/>
    <col min="10" max="10" width="12.85546875" style="2" customWidth="1"/>
    <col min="11" max="29" width="8" style="2" customWidth="1"/>
    <col min="30" max="32" width="12.7109375" style="2" customWidth="1"/>
    <col min="33" max="33" width="8" style="2" customWidth="1"/>
    <col min="34" max="16384" width="15.140625" style="2"/>
  </cols>
  <sheetData>
    <row r="1" spans="1:33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6.5" customHeight="1" x14ac:dyDescent="0.25">
      <c r="A2" s="40" t="s">
        <v>36</v>
      </c>
      <c r="B2" s="42"/>
      <c r="C2" s="42"/>
      <c r="D2" s="42"/>
      <c r="E2" s="42"/>
      <c r="F2" s="42"/>
      <c r="G2" s="42"/>
      <c r="H2" s="42"/>
      <c r="I2" s="42"/>
      <c r="J2" s="4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4.25" customHeight="1" x14ac:dyDescent="0.25">
      <c r="A3" s="33" t="s">
        <v>37</v>
      </c>
      <c r="B3" s="34"/>
      <c r="C3" s="34"/>
      <c r="D3" s="34"/>
      <c r="E3" s="34"/>
      <c r="F3" s="34"/>
      <c r="G3" s="34"/>
      <c r="H3" s="34"/>
      <c r="I3" s="34"/>
      <c r="J3" s="34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3" ht="6.7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21" customHeight="1" x14ac:dyDescent="0.55000000000000004">
      <c r="A5" s="37" t="s">
        <v>3</v>
      </c>
      <c r="B5" s="44" t="s">
        <v>29</v>
      </c>
      <c r="C5" s="44"/>
      <c r="D5" s="44"/>
      <c r="E5" s="44"/>
      <c r="F5" s="44"/>
      <c r="G5" s="44"/>
      <c r="H5" s="44"/>
      <c r="I5" s="44"/>
      <c r="J5" s="39" t="s">
        <v>4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x14ac:dyDescent="0.25">
      <c r="A6" s="34"/>
      <c r="B6" s="41">
        <v>2016</v>
      </c>
      <c r="C6" s="35"/>
      <c r="D6" s="35"/>
      <c r="E6" s="36"/>
      <c r="F6" s="43">
        <v>2017</v>
      </c>
      <c r="G6" s="35"/>
      <c r="H6" s="35"/>
      <c r="I6" s="35"/>
      <c r="J6" s="34"/>
      <c r="K6" s="1"/>
      <c r="L6" s="1"/>
      <c r="M6" s="26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x14ac:dyDescent="0.25">
      <c r="A7" s="38"/>
      <c r="B7" s="3" t="s">
        <v>0</v>
      </c>
      <c r="C7" s="3" t="s">
        <v>30</v>
      </c>
      <c r="D7" s="3" t="s">
        <v>31</v>
      </c>
      <c r="E7" s="7" t="s">
        <v>32</v>
      </c>
      <c r="F7" s="4" t="s">
        <v>0</v>
      </c>
      <c r="G7" s="3" t="s">
        <v>30</v>
      </c>
      <c r="H7" s="3" t="s">
        <v>31</v>
      </c>
      <c r="I7" s="5" t="s">
        <v>32</v>
      </c>
      <c r="J7" s="38"/>
      <c r="K7" s="1"/>
      <c r="L7" s="1"/>
      <c r="M7" s="26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24.75" customHeight="1" x14ac:dyDescent="0.25">
      <c r="A8" s="20" t="s">
        <v>5</v>
      </c>
      <c r="B8" s="8">
        <f>SUM(C8:E8)</f>
        <v>16322</v>
      </c>
      <c r="C8" s="9">
        <v>4168</v>
      </c>
      <c r="D8" s="9">
        <v>4506</v>
      </c>
      <c r="E8" s="11">
        <v>7648</v>
      </c>
      <c r="F8" s="10">
        <f>SUM(G8:I8)</f>
        <v>16402</v>
      </c>
      <c r="G8" s="9">
        <v>4331</v>
      </c>
      <c r="H8" s="9">
        <v>4260</v>
      </c>
      <c r="I8" s="9">
        <v>7811</v>
      </c>
      <c r="J8" s="22" t="s">
        <v>6</v>
      </c>
      <c r="K8" s="1"/>
      <c r="L8" s="1"/>
      <c r="M8" s="26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24.75" customHeight="1" x14ac:dyDescent="0.25">
      <c r="A9" s="20" t="s">
        <v>7</v>
      </c>
      <c r="B9" s="8">
        <f t="shared" ref="B9:B18" si="0">SUM(C9:E9)</f>
        <v>16412</v>
      </c>
      <c r="C9" s="9">
        <v>4267</v>
      </c>
      <c r="D9" s="9">
        <v>4507</v>
      </c>
      <c r="E9" s="11">
        <v>7638</v>
      </c>
      <c r="F9" s="10">
        <f t="shared" ref="F9:F15" si="1">SUM(G9:I9)</f>
        <v>16448</v>
      </c>
      <c r="G9" s="9">
        <v>4374</v>
      </c>
      <c r="H9" s="9">
        <v>4252</v>
      </c>
      <c r="I9" s="9">
        <v>7822</v>
      </c>
      <c r="J9" s="22" t="s">
        <v>8</v>
      </c>
      <c r="K9" s="1"/>
      <c r="L9" s="1"/>
      <c r="M9" s="26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24.75" customHeight="1" x14ac:dyDescent="0.25">
      <c r="A10" s="20" t="s">
        <v>9</v>
      </c>
      <c r="B10" s="8">
        <f t="shared" si="0"/>
        <v>16394</v>
      </c>
      <c r="C10" s="9">
        <v>4285</v>
      </c>
      <c r="D10" s="9">
        <v>4538</v>
      </c>
      <c r="E10" s="11">
        <v>7571</v>
      </c>
      <c r="F10" s="10">
        <f t="shared" si="1"/>
        <v>16387</v>
      </c>
      <c r="G10" s="9">
        <v>4419</v>
      </c>
      <c r="H10" s="9">
        <v>4221</v>
      </c>
      <c r="I10" s="9">
        <v>7747</v>
      </c>
      <c r="J10" s="22" t="s">
        <v>10</v>
      </c>
      <c r="K10" s="1"/>
      <c r="L10" s="1"/>
      <c r="M10" s="26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24.75" customHeight="1" x14ac:dyDescent="0.25">
      <c r="A11" s="20" t="s">
        <v>11</v>
      </c>
      <c r="B11" s="8">
        <f t="shared" si="0"/>
        <v>16401</v>
      </c>
      <c r="C11" s="9">
        <v>4323</v>
      </c>
      <c r="D11" s="9">
        <v>4497</v>
      </c>
      <c r="E11" s="11">
        <v>7581</v>
      </c>
      <c r="F11" s="10">
        <f t="shared" si="1"/>
        <v>16481</v>
      </c>
      <c r="G11" s="9">
        <v>4512</v>
      </c>
      <c r="H11" s="9">
        <v>4202</v>
      </c>
      <c r="I11" s="9">
        <v>7767</v>
      </c>
      <c r="J11" s="22" t="s">
        <v>12</v>
      </c>
      <c r="K11" s="1"/>
      <c r="L11" s="1"/>
      <c r="M11" s="26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24.75" customHeight="1" x14ac:dyDescent="0.25">
      <c r="A12" s="20" t="s">
        <v>13</v>
      </c>
      <c r="B12" s="8">
        <f t="shared" si="0"/>
        <v>16434</v>
      </c>
      <c r="C12" s="9">
        <v>4340</v>
      </c>
      <c r="D12" s="9">
        <v>4532</v>
      </c>
      <c r="E12" s="11">
        <v>7562</v>
      </c>
      <c r="F12" s="10">
        <f t="shared" si="1"/>
        <v>16533</v>
      </c>
      <c r="G12" s="9">
        <v>4578</v>
      </c>
      <c r="H12" s="9">
        <v>4246</v>
      </c>
      <c r="I12" s="9">
        <v>7709</v>
      </c>
      <c r="J12" s="22" t="s">
        <v>14</v>
      </c>
      <c r="K12" s="1"/>
      <c r="L12" s="1"/>
      <c r="M12" s="26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24.75" customHeight="1" x14ac:dyDescent="0.25">
      <c r="A13" s="20" t="s">
        <v>15</v>
      </c>
      <c r="B13" s="8">
        <f t="shared" si="0"/>
        <v>16370</v>
      </c>
      <c r="C13" s="9">
        <v>4361</v>
      </c>
      <c r="D13" s="9">
        <v>4501</v>
      </c>
      <c r="E13" s="11">
        <v>7508</v>
      </c>
      <c r="F13" s="10">
        <f t="shared" si="1"/>
        <v>16557</v>
      </c>
      <c r="G13" s="9">
        <v>4621</v>
      </c>
      <c r="H13" s="9">
        <v>4207</v>
      </c>
      <c r="I13" s="9">
        <v>7729</v>
      </c>
      <c r="J13" s="22" t="s">
        <v>16</v>
      </c>
      <c r="K13" s="1"/>
      <c r="L13" s="1"/>
      <c r="M13" s="26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25"/>
      <c r="Z13" s="25"/>
      <c r="AA13" s="25"/>
      <c r="AB13" s="25"/>
      <c r="AC13" s="25"/>
      <c r="AD13" s="25"/>
      <c r="AE13" s="25"/>
      <c r="AF13" s="1"/>
      <c r="AG13" s="1"/>
    </row>
    <row r="14" spans="1:33" ht="24.75" customHeight="1" x14ac:dyDescent="0.25">
      <c r="A14" s="20" t="s">
        <v>17</v>
      </c>
      <c r="B14" s="8">
        <f t="shared" si="0"/>
        <v>16368</v>
      </c>
      <c r="C14" s="9">
        <v>4376</v>
      </c>
      <c r="D14" s="9">
        <v>4510</v>
      </c>
      <c r="E14" s="11">
        <v>7482</v>
      </c>
      <c r="F14" s="10">
        <f t="shared" si="1"/>
        <v>16549</v>
      </c>
      <c r="G14" s="9">
        <v>4675</v>
      </c>
      <c r="H14" s="9">
        <v>4219</v>
      </c>
      <c r="I14" s="9">
        <v>7655</v>
      </c>
      <c r="J14" s="22" t="s">
        <v>18</v>
      </c>
      <c r="K14" s="1"/>
      <c r="L14" s="1"/>
      <c r="M14" s="26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25"/>
      <c r="Z14" s="25"/>
      <c r="AA14" s="25"/>
      <c r="AB14" s="25"/>
      <c r="AC14" s="25"/>
      <c r="AD14" s="25"/>
      <c r="AE14" s="25"/>
      <c r="AF14" s="1"/>
      <c r="AG14" s="1"/>
    </row>
    <row r="15" spans="1:33" ht="24.75" customHeight="1" x14ac:dyDescent="0.25">
      <c r="A15" s="20" t="s">
        <v>19</v>
      </c>
      <c r="B15" s="8">
        <f t="shared" si="0"/>
        <v>16362</v>
      </c>
      <c r="C15" s="9">
        <v>4080</v>
      </c>
      <c r="D15" s="9">
        <v>4844</v>
      </c>
      <c r="E15" s="11">
        <v>7438</v>
      </c>
      <c r="F15" s="10">
        <f t="shared" si="1"/>
        <v>16597</v>
      </c>
      <c r="G15" s="9">
        <v>4359</v>
      </c>
      <c r="H15" s="9">
        <v>4585</v>
      </c>
      <c r="I15" s="9">
        <v>7653</v>
      </c>
      <c r="J15" s="22" t="s">
        <v>20</v>
      </c>
      <c r="K15" s="1"/>
      <c r="L15" s="1"/>
      <c r="M15" s="26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25"/>
      <c r="Z15" s="25"/>
      <c r="AA15" s="25"/>
      <c r="AB15" s="25"/>
      <c r="AC15" s="25"/>
      <c r="AD15" s="25"/>
      <c r="AE15" s="25"/>
      <c r="AF15" s="1"/>
      <c r="AG15" s="1"/>
    </row>
    <row r="16" spans="1:33" ht="24.75" customHeight="1" x14ac:dyDescent="0.25">
      <c r="A16" s="20" t="s">
        <v>21</v>
      </c>
      <c r="B16" s="8">
        <f>SUM(C16:E16)</f>
        <v>16377</v>
      </c>
      <c r="C16" s="9">
        <v>4110</v>
      </c>
      <c r="D16" s="9">
        <v>4375</v>
      </c>
      <c r="E16" s="11">
        <v>7892</v>
      </c>
      <c r="F16" s="10">
        <f>SUM(G16:I16)</f>
        <v>16596</v>
      </c>
      <c r="G16" s="9">
        <v>4365</v>
      </c>
      <c r="H16" s="9">
        <v>4116</v>
      </c>
      <c r="I16" s="9">
        <v>8115</v>
      </c>
      <c r="J16" s="22" t="s">
        <v>22</v>
      </c>
      <c r="K16" s="1"/>
      <c r="L16" s="1"/>
      <c r="M16" s="26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25"/>
      <c r="Z16" s="25"/>
      <c r="AA16" s="25"/>
      <c r="AB16" s="25"/>
      <c r="AC16" s="25"/>
      <c r="AD16" s="25"/>
      <c r="AE16" s="25"/>
      <c r="AF16" s="1"/>
      <c r="AG16" s="1"/>
    </row>
    <row r="17" spans="1:33" ht="24.75" customHeight="1" x14ac:dyDescent="0.25">
      <c r="A17" s="20" t="s">
        <v>23</v>
      </c>
      <c r="B17" s="8">
        <f t="shared" si="0"/>
        <v>16348</v>
      </c>
      <c r="C17" s="9">
        <v>4121</v>
      </c>
      <c r="D17" s="9">
        <v>4343</v>
      </c>
      <c r="E17" s="11">
        <v>7884</v>
      </c>
      <c r="F17" s="10">
        <f t="shared" ref="F17:F18" si="2">SUM(G17:I17)</f>
        <v>16564</v>
      </c>
      <c r="G17" s="9">
        <v>4359</v>
      </c>
      <c r="H17" s="9">
        <v>4123</v>
      </c>
      <c r="I17" s="9">
        <v>8082</v>
      </c>
      <c r="J17" s="22" t="s">
        <v>24</v>
      </c>
      <c r="K17" s="1"/>
      <c r="L17" s="1"/>
      <c r="M17" s="26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25"/>
      <c r="Z17" s="25"/>
      <c r="AA17" s="25"/>
      <c r="AB17" s="25"/>
      <c r="AC17" s="25"/>
      <c r="AD17" s="25"/>
      <c r="AE17" s="25"/>
      <c r="AF17" s="1"/>
      <c r="AG17" s="1"/>
    </row>
    <row r="18" spans="1:33" ht="24.75" customHeight="1" x14ac:dyDescent="0.55000000000000004">
      <c r="A18" s="20" t="s">
        <v>25</v>
      </c>
      <c r="B18" s="8">
        <f t="shared" si="0"/>
        <v>16311</v>
      </c>
      <c r="C18" s="9">
        <v>4115</v>
      </c>
      <c r="D18" s="9">
        <v>4311</v>
      </c>
      <c r="E18" s="11">
        <v>7885</v>
      </c>
      <c r="F18" s="10">
        <f t="shared" si="2"/>
        <v>16562</v>
      </c>
      <c r="G18" s="9">
        <v>4371</v>
      </c>
      <c r="H18" s="9">
        <v>4115</v>
      </c>
      <c r="I18" s="9">
        <v>8076</v>
      </c>
      <c r="J18" s="23" t="s">
        <v>26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3" t="s">
        <v>33</v>
      </c>
      <c r="AE18" s="3" t="s">
        <v>34</v>
      </c>
      <c r="AF18" s="5" t="s">
        <v>35</v>
      </c>
      <c r="AG18" s="1"/>
    </row>
    <row r="19" spans="1:33" ht="24.75" customHeight="1" x14ac:dyDescent="0.25">
      <c r="A19" s="21" t="s">
        <v>27</v>
      </c>
      <c r="B19" s="13">
        <f>SUM(C19:E19)</f>
        <v>16321</v>
      </c>
      <c r="C19" s="14">
        <v>4128</v>
      </c>
      <c r="D19" s="14">
        <v>4300</v>
      </c>
      <c r="E19" s="16">
        <v>7893</v>
      </c>
      <c r="F19" s="15">
        <f>SUM(G19:I19)</f>
        <v>16533</v>
      </c>
      <c r="G19" s="14">
        <v>4356</v>
      </c>
      <c r="H19" s="14">
        <v>4115</v>
      </c>
      <c r="I19" s="14">
        <v>8062</v>
      </c>
      <c r="J19" s="24" t="s">
        <v>28</v>
      </c>
      <c r="K19" s="1"/>
      <c r="L19" s="12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2">
        <f>G19</f>
        <v>4356</v>
      </c>
      <c r="AE19" s="12">
        <f>H19</f>
        <v>4115</v>
      </c>
      <c r="AF19" s="12">
        <f>I19</f>
        <v>8062</v>
      </c>
      <c r="AG19" s="1"/>
    </row>
    <row r="20" spans="1:33" ht="17.25" customHeight="1" x14ac:dyDescent="0.45">
      <c r="A20" s="18" t="s">
        <v>1</v>
      </c>
      <c r="B20" s="17"/>
      <c r="C20" s="17"/>
      <c r="D20" s="17"/>
      <c r="E20" s="17"/>
      <c r="F20" s="17"/>
      <c r="G20" s="17"/>
      <c r="H20" s="17"/>
      <c r="I20" s="17"/>
      <c r="J20" s="19" t="s">
        <v>2</v>
      </c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</row>
    <row r="21" spans="1:33" ht="18.75" customHeight="1" x14ac:dyDescent="0.5">
      <c r="A21" s="27"/>
      <c r="B21" s="1"/>
      <c r="C21" s="1"/>
      <c r="D21" s="1"/>
      <c r="E21" s="1"/>
      <c r="F21" s="1"/>
      <c r="G21" s="1"/>
      <c r="H21" s="1"/>
      <c r="I21" s="1"/>
      <c r="J21" s="28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29"/>
      <c r="AE31" s="29"/>
      <c r="AF31" s="29"/>
      <c r="AG31" s="1"/>
    </row>
    <row r="32" spans="1:33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30"/>
      <c r="AC32" s="30"/>
      <c r="AD32" s="30"/>
      <c r="AE32" s="30"/>
      <c r="AF32" s="30"/>
      <c r="AG32" s="31"/>
    </row>
    <row r="33" spans="1:34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4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32"/>
    </row>
    <row r="35" spans="1:34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32"/>
    </row>
    <row r="36" spans="1:34" ht="17.2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29"/>
      <c r="AC36" s="29"/>
      <c r="AD36" s="29"/>
      <c r="AE36" s="29"/>
      <c r="AF36" s="29"/>
      <c r="AG36" s="1"/>
      <c r="AH36" s="32"/>
    </row>
    <row r="37" spans="1:34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31"/>
      <c r="AC37" s="31"/>
      <c r="AD37" s="31"/>
      <c r="AE37" s="31"/>
      <c r="AF37" s="31"/>
      <c r="AG37" s="1"/>
      <c r="AH37" s="32"/>
    </row>
    <row r="38" spans="1:34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6"/>
      <c r="AC38" s="6"/>
      <c r="AD38" s="6"/>
      <c r="AE38" s="6"/>
      <c r="AF38" s="6"/>
      <c r="AG38" s="6"/>
      <c r="AH38" s="32"/>
    </row>
  </sheetData>
  <mergeCells count="7">
    <mergeCell ref="A2:J2"/>
    <mergeCell ref="A3:J3"/>
    <mergeCell ref="A5:A7"/>
    <mergeCell ref="B6:E6"/>
    <mergeCell ref="J5:J7"/>
    <mergeCell ref="F6:I6"/>
    <mergeCell ref="B5:I5"/>
  </mergeCells>
  <pageMargins left="0.7" right="0.7" top="0.75" bottom="0.75" header="0.3" footer="0.3"/>
  <pageSetup paperSize="9" scale="80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18.4</vt:lpstr>
      <vt:lpstr>'18.4'!Print_Area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2018-05-14T04:21:32Z</cp:lastPrinted>
  <dcterms:modified xsi:type="dcterms:W3CDTF">2018-05-14T04:21:46Z</dcterms:modified>
</cp:coreProperties>
</file>