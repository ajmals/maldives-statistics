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10" sheetId="10" r:id="rId1"/>
  </sheets>
  <definedNames>
    <definedName name="_xlnm.Print_Area" localSheetId="0">'18.10'!$A$1:$H$15</definedName>
  </definedNames>
  <calcPr calcId="162913"/>
</workbook>
</file>

<file path=xl/calcChain.xml><?xml version="1.0" encoding="utf-8"?>
<calcChain xmlns="http://schemas.openxmlformats.org/spreadsheetml/2006/main">
  <c r="G13" i="10" l="1"/>
  <c r="G14" i="10"/>
  <c r="F14" i="10"/>
  <c r="F7" i="10"/>
  <c r="D14" i="10" l="1"/>
  <c r="G12" i="10" l="1"/>
  <c r="G11" i="10" l="1"/>
  <c r="G10" i="10"/>
  <c r="G9" i="10"/>
  <c r="G8" i="10"/>
  <c r="D9" i="10"/>
  <c r="F9" i="10" s="1"/>
  <c r="D10" i="10"/>
  <c r="F10" i="10" s="1"/>
  <c r="D11" i="10"/>
  <c r="D12" i="10"/>
  <c r="D13" i="10"/>
  <c r="D8" i="10"/>
  <c r="F8" i="10" s="1"/>
  <c r="D7" i="10"/>
  <c r="F13" i="10" l="1"/>
  <c r="F12" i="10" l="1"/>
  <c r="F11" i="10"/>
</calcChain>
</file>

<file path=xl/sharedStrings.xml><?xml version="1.0" encoding="utf-8"?>
<sst xmlns="http://schemas.openxmlformats.org/spreadsheetml/2006/main" count="18" uniqueCount="18">
  <si>
    <t>އިތުރުވި މިންވަރު</t>
  </si>
  <si>
    <t>% share</t>
  </si>
  <si>
    <t>% change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</si>
  <si>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</si>
  <si>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</si>
  <si>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</si>
  <si>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</si>
  <si>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</si>
  <si>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</si>
  <si>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</si>
  <si>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</si>
  <si>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</si>
  <si>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</si>
  <si>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</si>
  <si>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</si>
  <si>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</si>
  <si>
    <t>TABLE   18.10:  AMOUNT OF CONTRIBUTION TO RETIREMENT PENSION SCHEME BY SECTOR, 2010 - 2017</t>
  </si>
  <si>
    <t>ތާވަލު 18.10 :ރިޓާޔަމަންޓް ޕެންޝަން ސްކީމްއަށް ޕަބްލިކް އަދި ޕްރައިވެޓް ސެކްޓަރއިން ފައިސާދެއްކި މިންވަރު،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</si>
</sst>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9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8" fillId="0" borderId="0"/>
    <xf numFmtId="0" fontId="7" fillId="0" borderId="0"/>
  </cellStyleXfs>
  <cellXfs count="35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1" fillId="2" borderId="0" xfId="0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 applyBorder="1" applyAlignment="1"/>
    <xf numFmtId="1" fontId="0" fillId="2" borderId="0" xfId="0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1" fontId="0" fillId="2" borderId="3" xfId="0" applyNumberFormat="1" applyFont="1" applyFill="1" applyBorder="1" applyAlignment="1">
      <alignment horizontal="right" vertical="center"/>
    </xf>
    <xf numFmtId="1" fontId="0" fillId="2" borderId="4" xfId="0" applyNumberFormat="1" applyFont="1" applyFill="1" applyBorder="1" applyAlignment="1">
      <alignment horizontal="right" vertical="center"/>
    </xf>
    <xf numFmtId="3" fontId="3" fillId="2" borderId="10" xfId="0" applyNumberFormat="1" applyFont="1" applyFill="1" applyBorder="1" applyAlignment="1">
      <alignment horizontal="right" vertical="center"/>
    </xf>
    <xf numFmtId="0" fontId="0" fillId="2" borderId="10" xfId="0" applyFont="1" applyFill="1" applyBorder="1" applyAlignment="1">
      <alignment horizontal="center" vertical="center"/>
    </xf>
    <xf numFmtId="3" fontId="0" fillId="2" borderId="10" xfId="0" applyNumberFormat="1" applyFont="1" applyFill="1" applyBorder="1" applyAlignment="1">
      <alignment horizontal="right" vertical="center"/>
    </xf>
    <xf numFmtId="1" fontId="0" fillId="2" borderId="10" xfId="0" applyNumberFormat="1" applyFont="1" applyFill="1" applyBorder="1" applyAlignment="1">
      <alignment horizontal="right" vertical="center"/>
    </xf>
    <xf numFmtId="1" fontId="0" fillId="2" borderId="1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2" fillId="3" borderId="5" xfId="0" applyFont="1" applyFill="1" applyBorder="1"/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5"/>
  <sheetViews>
    <sheetView tabSelected="1" zoomScaleNormal="100" workbookViewId="0">
      <selection activeCell="AD22" sqref="AD22"/>
    </sheetView>
  </sheetViews>
  <sheetFormatPr defaultColWidth="15.140625" defaultRowHeight="15" customHeight="1" x14ac:dyDescent="0.25"/>
  <cols>
    <col min="1" max="1" width="11.7109375" style="2" customWidth="1"/>
    <col min="2" max="3" width="19.7109375" style="2" customWidth="1"/>
    <col min="4" max="4" width="18.7109375" style="2" customWidth="1"/>
    <col min="5" max="5" width="1.28515625" style="2" customWidth="1"/>
    <col min="6" max="6" width="15.28515625" style="2" customWidth="1"/>
    <col min="7" max="7" width="16.42578125" style="2" customWidth="1"/>
    <col min="8" max="8" width="1.5703125" style="2" customWidth="1"/>
    <col min="9" max="9" width="9.7109375" style="2" customWidth="1"/>
    <col min="10" max="26" width="8" style="2" customWidth="1"/>
    <col min="27" max="16384" width="15.140625" style="2"/>
  </cols>
  <sheetData>
    <row r="1" spans="1:26" ht="21" customHeight="1" x14ac:dyDescent="0.55000000000000004">
      <c r="A1" s="27" t="s">
        <v>17</v>
      </c>
      <c r="B1" s="28"/>
      <c r="C1" s="28"/>
      <c r="D1" s="28"/>
      <c r="E1" s="28"/>
      <c r="F1" s="28"/>
      <c r="G1" s="28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9" t="s">
        <v>16</v>
      </c>
      <c r="B2" s="28"/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2" t="s">
        <v>7</v>
      </c>
      <c r="B4" s="33" t="s">
        <v>8</v>
      </c>
      <c r="C4" s="33" t="s">
        <v>9</v>
      </c>
      <c r="D4" s="33" t="s">
        <v>4</v>
      </c>
      <c r="E4" s="11"/>
      <c r="F4" s="31" t="s">
        <v>10</v>
      </c>
      <c r="G4" s="3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4"/>
      <c r="B5" s="34"/>
      <c r="C5" s="34"/>
      <c r="D5" s="34"/>
      <c r="E5" s="12"/>
      <c r="F5" s="13" t="s">
        <v>1</v>
      </c>
      <c r="G5" s="13" t="s">
        <v>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x14ac:dyDescent="0.5">
      <c r="A6" s="14" t="s">
        <v>11</v>
      </c>
      <c r="B6" s="15" t="s">
        <v>12</v>
      </c>
      <c r="C6" s="15" t="s">
        <v>13</v>
      </c>
      <c r="D6" s="15" t="s">
        <v>3</v>
      </c>
      <c r="E6" s="16"/>
      <c r="F6" s="17" t="s">
        <v>14</v>
      </c>
      <c r="G6" s="17" t="s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1.5" customHeight="1" x14ac:dyDescent="0.25">
      <c r="A7" s="19">
        <v>2010</v>
      </c>
      <c r="B7" s="6">
        <v>144012812.99000001</v>
      </c>
      <c r="C7" s="6">
        <v>4343052.63</v>
      </c>
      <c r="D7" s="5">
        <f>SUM(B7:C7)</f>
        <v>148355865.62</v>
      </c>
      <c r="E7" s="6"/>
      <c r="F7" s="20">
        <f>(B7/D7)*100</f>
        <v>97.072544040068948</v>
      </c>
      <c r="G7" s="10" t="s">
        <v>15</v>
      </c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19">
        <v>2011</v>
      </c>
      <c r="B8" s="6">
        <v>326364381.68000001</v>
      </c>
      <c r="C8" s="6">
        <v>256249489.41</v>
      </c>
      <c r="D8" s="5">
        <f>SUM(B8:C8)</f>
        <v>582613871.09000003</v>
      </c>
      <c r="E8" s="6"/>
      <c r="F8" s="21">
        <f>(B8/D8)*100</f>
        <v>56.017269391374377</v>
      </c>
      <c r="G8" s="10">
        <f t="shared" ref="G8:G11" si="0">((B8-B7)/B8)*100</f>
        <v>55.873612111506567</v>
      </c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19">
        <v>2012</v>
      </c>
      <c r="B9" s="6">
        <v>302095970.83999997</v>
      </c>
      <c r="C9" s="6">
        <v>399524598.81999999</v>
      </c>
      <c r="D9" s="5">
        <f t="shared" ref="D9:D13" si="1">SUM(B9:C9)</f>
        <v>701620569.65999997</v>
      </c>
      <c r="E9" s="6"/>
      <c r="F9" s="21">
        <f>(B9/D9)*100</f>
        <v>43.056886286329004</v>
      </c>
      <c r="G9" s="10">
        <f t="shared" si="0"/>
        <v>-8.0333447587930227</v>
      </c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5">
      <c r="A10" s="19">
        <v>2013</v>
      </c>
      <c r="B10" s="6">
        <v>328802942.31999999</v>
      </c>
      <c r="C10" s="6">
        <v>414071405.61000001</v>
      </c>
      <c r="D10" s="5">
        <f t="shared" si="1"/>
        <v>742874347.93000007</v>
      </c>
      <c r="E10" s="6"/>
      <c r="F10" s="21">
        <f>(B10/D10)*100</f>
        <v>44.260909430538391</v>
      </c>
      <c r="G10" s="10">
        <f t="shared" si="0"/>
        <v>8.1224855506335665</v>
      </c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5">
      <c r="A11" s="19">
        <v>2014</v>
      </c>
      <c r="B11" s="6">
        <v>343675121.81999999</v>
      </c>
      <c r="C11" s="6">
        <v>454365280.81999999</v>
      </c>
      <c r="D11" s="5">
        <f t="shared" si="1"/>
        <v>798040402.63999999</v>
      </c>
      <c r="E11" s="6"/>
      <c r="F11" s="21">
        <f t="shared" ref="F11:F12" si="2">(B11/D11)*100</f>
        <v>43.064877502829084</v>
      </c>
      <c r="G11" s="10">
        <f t="shared" si="0"/>
        <v>4.327394843490973</v>
      </c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5">
      <c r="A12" s="19">
        <v>2015</v>
      </c>
      <c r="B12" s="6">
        <v>387387234.02999997</v>
      </c>
      <c r="C12" s="6">
        <v>504476564.63999999</v>
      </c>
      <c r="D12" s="5">
        <f t="shared" si="1"/>
        <v>891863798.66999996</v>
      </c>
      <c r="E12" s="6"/>
      <c r="F12" s="21">
        <f t="shared" si="2"/>
        <v>43.4356943972493</v>
      </c>
      <c r="G12" s="10">
        <f>((B12-B11)/B12)*100</f>
        <v>11.283828781671941</v>
      </c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5">
      <c r="A13" s="19">
        <v>2016</v>
      </c>
      <c r="B13" s="6">
        <v>393277818.06999999</v>
      </c>
      <c r="C13" s="6">
        <v>543961771.16999996</v>
      </c>
      <c r="D13" s="5">
        <f t="shared" si="1"/>
        <v>937239589.24000001</v>
      </c>
      <c r="E13" s="6"/>
      <c r="F13" s="21">
        <f>(B13/D13)*100</f>
        <v>41.961289576863244</v>
      </c>
      <c r="G13" s="10">
        <f>((B13-B12)/B13)*100</f>
        <v>1.4978175145773285</v>
      </c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 x14ac:dyDescent="0.25">
      <c r="A14" s="23">
        <v>2017</v>
      </c>
      <c r="B14" s="24">
        <v>415670259.06999999</v>
      </c>
      <c r="C14" s="24">
        <v>607774752.96000004</v>
      </c>
      <c r="D14" s="22">
        <f t="shared" ref="D14" si="3">SUM(B14:C14)</f>
        <v>1023445012.03</v>
      </c>
      <c r="E14" s="24"/>
      <c r="F14" s="26">
        <f>(B14/D14)*100</f>
        <v>40.614811170511189</v>
      </c>
      <c r="G14" s="25">
        <f>((B14-B13)/B14)*100</f>
        <v>5.3870683580056307</v>
      </c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45">
      <c r="A15" s="8" t="s">
        <v>5</v>
      </c>
      <c r="B15" s="1"/>
      <c r="C15" s="1"/>
      <c r="D15" s="1"/>
      <c r="E15" s="1"/>
      <c r="F15" s="1"/>
      <c r="G15" s="9" t="s">
        <v>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.3" footer="0.3"/>
  <pageSetup paperSize="9" scale="95" orientation="landscape" horizontalDpi="4294967295" verticalDpi="4294967295" r:id="rId1"/>
  <ignoredErrors>
    <ignoredError sqref="D7:D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2018-05-14T05:40:14Z</cp:lastPrinted>
  <dcterms:modified xsi:type="dcterms:W3CDTF">2018-05-14T05:40:22Z</dcterms:modified>
</cp:coreProperties>
</file>