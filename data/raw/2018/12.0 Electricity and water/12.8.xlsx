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2. ELECTRICITY  WATER\"/>
    </mc:Choice>
  </mc:AlternateContent>
  <bookViews>
    <workbookView xWindow="0" yWindow="0" windowWidth="28800" windowHeight="12330" tabRatio="831"/>
  </bookViews>
  <sheets>
    <sheet name="12.8" sheetId="9" r:id="rId1"/>
  </sheets>
  <externalReferences>
    <externalReference r:id="rId2"/>
    <externalReference r:id="rId3"/>
  </externalReferences>
  <definedNames>
    <definedName name="island">'[1]Entry2015 (for other Islands) '!$A$8:$AAA$331</definedName>
    <definedName name="Male">'[1]Entry2015 (for male region)'!$A$8:$AAA$67</definedName>
    <definedName name="_xlnm.Print_Area" localSheetId="0">'12.8'!$A$1:$M$39</definedName>
  </definedNames>
  <calcPr calcId="162913"/>
</workbook>
</file>

<file path=xl/calcChain.xml><?xml version="1.0" encoding="utf-8"?>
<calcChain xmlns="http://schemas.openxmlformats.org/spreadsheetml/2006/main">
  <c r="H20" i="9" l="1"/>
  <c r="D20" i="9"/>
  <c r="B20" i="9"/>
  <c r="K19" i="9"/>
  <c r="J19" i="9"/>
  <c r="I19" i="9"/>
  <c r="F19" i="9"/>
  <c r="D19" i="9"/>
  <c r="K18" i="9"/>
  <c r="J18" i="9"/>
  <c r="I18" i="9"/>
  <c r="H18" i="9"/>
  <c r="F18" i="9"/>
  <c r="E18" i="9"/>
  <c r="D18" i="9"/>
  <c r="K17" i="9"/>
  <c r="J17" i="9"/>
  <c r="I17" i="9"/>
  <c r="H17" i="9"/>
  <c r="F17" i="9"/>
  <c r="E17" i="9"/>
  <c r="D17" i="9"/>
  <c r="B17" i="9"/>
  <c r="D16" i="9"/>
  <c r="D15" i="9"/>
  <c r="D14" i="9"/>
  <c r="J12" i="9"/>
  <c r="D12" i="9"/>
  <c r="G10" i="9"/>
  <c r="G20" i="9" s="1"/>
  <c r="E10" i="9"/>
  <c r="E15" i="9" s="1"/>
  <c r="B10" i="9"/>
  <c r="C20" i="9" s="1"/>
  <c r="G9" i="9"/>
  <c r="E9" i="9"/>
  <c r="E19" i="9" s="1"/>
  <c r="B9" i="9"/>
  <c r="C19" i="9" s="1"/>
  <c r="G8" i="9"/>
  <c r="G18" i="9" s="1"/>
  <c r="B8" i="9"/>
  <c r="C18" i="9" s="1"/>
  <c r="G7" i="9"/>
  <c r="G17" i="9" s="1"/>
  <c r="B7" i="9"/>
  <c r="C17" i="9" s="1"/>
  <c r="K6" i="9"/>
  <c r="K16" i="9" s="1"/>
  <c r="J6" i="9"/>
  <c r="J16" i="9" s="1"/>
  <c r="I6" i="9"/>
  <c r="I13" i="9" s="1"/>
  <c r="H6" i="9"/>
  <c r="F6" i="9"/>
  <c r="F14" i="9" s="1"/>
  <c r="E6" i="9"/>
  <c r="E13" i="9" s="1"/>
  <c r="D6" i="9"/>
  <c r="D13" i="9" s="1"/>
  <c r="D11" i="9" s="1"/>
  <c r="C6" i="9"/>
  <c r="J11" i="9" l="1"/>
  <c r="H13" i="9"/>
  <c r="B6" i="9"/>
  <c r="J13" i="9"/>
  <c r="H14" i="9"/>
  <c r="F15" i="9"/>
  <c r="E12" i="9"/>
  <c r="E11" i="9" s="1"/>
  <c r="C13" i="9"/>
  <c r="K13" i="9"/>
  <c r="I14" i="9"/>
  <c r="E16" i="9"/>
  <c r="G19" i="9"/>
  <c r="E20" i="9"/>
  <c r="F12" i="9"/>
  <c r="F11" i="9" s="1"/>
  <c r="B14" i="9"/>
  <c r="J14" i="9"/>
  <c r="H15" i="9"/>
  <c r="F16" i="9"/>
  <c r="B18" i="9"/>
  <c r="H19" i="9"/>
  <c r="F20" i="9"/>
  <c r="B13" i="9"/>
  <c r="C14" i="9"/>
  <c r="K14" i="9"/>
  <c r="I15" i="9"/>
  <c r="H12" i="9"/>
  <c r="F13" i="9"/>
  <c r="J15" i="9"/>
  <c r="B19" i="9"/>
  <c r="G6" i="9"/>
  <c r="G16" i="9" s="1"/>
  <c r="I12" i="9"/>
  <c r="E14" i="9"/>
  <c r="C15" i="9"/>
  <c r="K15" i="9"/>
  <c r="I16" i="9"/>
  <c r="C12" i="9"/>
  <c r="K12" i="9"/>
  <c r="K11" i="9" s="1"/>
  <c r="G14" i="9" l="1"/>
  <c r="K20" i="9"/>
  <c r="H11" i="9"/>
  <c r="G12" i="9"/>
  <c r="J20" i="9"/>
  <c r="I20" i="9"/>
  <c r="B16" i="9"/>
  <c r="B12" i="9"/>
  <c r="B15" i="9"/>
  <c r="G13" i="9"/>
  <c r="H16" i="9"/>
  <c r="G15" i="9"/>
  <c r="I11" i="9"/>
  <c r="C16" i="9"/>
  <c r="C11" i="9"/>
  <c r="B11" i="9" l="1"/>
  <c r="G11" i="9"/>
</calcChain>
</file>

<file path=xl/sharedStrings.xml><?xml version="1.0" encoding="utf-8"?>
<sst xmlns="http://schemas.openxmlformats.org/spreadsheetml/2006/main" count="38" uniqueCount="22">
  <si>
    <t xml:space="preserve"> % cnutogWviawfiheb</t>
  </si>
  <si>
    <t>% change over previous year</t>
  </si>
  <si>
    <t xml:space="preserve"> % urwvcnim ivurutia eruvcSwrwhwa Iruk</t>
  </si>
  <si>
    <t>cnwt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</si>
  <si>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</si>
  <si>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</si>
  <si>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</si>
  <si>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</si>
  <si>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</si>
  <si>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</si>
  <si>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</si>
  <si>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</si>
  <si>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</si>
  <si>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</si>
  <si>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</si>
  <si>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</si>
  <si>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</si>
  <si>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>cDeTimil Inepcmok cjErevcs cDcnea rwTOv ElWm :ctWrwf ivcaedutWmUluawm</t>
  </si>
  <si>
    <t>Percentage  share</t>
  </si>
  <si>
    <t>2017 - 2010  ,urwvcnim unuverukcnunEb iawgElWm cnef Everukclib  : 12.8  ulwvWt</t>
  </si>
  <si>
    <t>Table 12.8 : BILLED WATER CONSUMPTION IN MALE',   2010 - 2017</t>
  </si>
  <si>
    <t>Source: Male' Water &amp; Sewerage Company 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</si>
</sst>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7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A_Randhoo"/>
    </font>
    <font>
      <b/>
      <sz val="10"/>
      <name val="A_Funa"/>
    </font>
    <font>
      <sz val="9"/>
      <color theme="1"/>
      <name val="A_Randhoo"/>
    </font>
    <font>
      <sz val="10"/>
      <name val="Garamond"/>
      <family val="1"/>
    </font>
    <font>
      <sz val="10"/>
      <name val="Arial"/>
      <family val="2"/>
      <charset val="1"/>
    </font>
    <font>
      <b/>
      <sz val="12"/>
      <color theme="1"/>
      <name val="Calibri"/>
      <family val="2"/>
      <scheme val="minor"/>
    </font>
    <font>
      <b/>
      <sz val="9"/>
      <name val="A_Funa"/>
    </font>
    <font>
      <b/>
      <sz val="8"/>
      <name val="A_Funa"/>
    </font>
    <font>
      <b/>
      <sz val="10"/>
      <color theme="1"/>
      <name val="Calibri"/>
      <family val="2"/>
      <scheme val="minor"/>
    </font>
    <font>
      <b/>
      <sz val="9"/>
      <color theme="1"/>
      <name val="A_Randhoo"/>
    </font>
    <font>
      <b/>
      <sz val="9"/>
      <color theme="1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Garamond"/>
      <family val="1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0" fillId="0" borderId="0"/>
  </cellStyleXfs>
  <cellXfs count="54">
    <xf numFmtId="0" fontId="0" fillId="0" borderId="0" xfId="0"/>
    <xf numFmtId="0" fontId="4" fillId="2" borderId="0" xfId="3" applyFont="1" applyFill="1" applyBorder="1" applyAlignment="1">
      <alignment horizontal="center" vertical="center" wrapText="1"/>
    </xf>
    <xf numFmtId="0" fontId="2" fillId="2" borderId="0" xfId="3" applyFont="1" applyFill="1" applyBorder="1"/>
    <xf numFmtId="0" fontId="8" fillId="2" borderId="0" xfId="6" applyFont="1" applyFill="1" applyAlignment="1">
      <alignment horizontal="right"/>
    </xf>
    <xf numFmtId="0" fontId="3" fillId="2" borderId="0" xfId="0" applyFont="1" applyFill="1" applyBorder="1" applyAlignment="1">
      <alignment horizontal="left" vertical="center"/>
    </xf>
    <xf numFmtId="0" fontId="4" fillId="2" borderId="0" xfId="3" applyFont="1" applyFill="1" applyBorder="1" applyAlignment="1">
      <alignment vertical="center" wrapText="1"/>
    </xf>
    <xf numFmtId="0" fontId="0" fillId="2" borderId="0" xfId="0" applyFont="1" applyFill="1"/>
    <xf numFmtId="0" fontId="0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0" fillId="2" borderId="0" xfId="0" applyFont="1" applyFill="1" applyBorder="1"/>
    <xf numFmtId="0" fontId="3" fillId="2" borderId="1" xfId="3" applyFont="1" applyFill="1" applyBorder="1" applyAlignment="1">
      <alignment horizontal="right" vertical="center" wrapText="1"/>
    </xf>
    <xf numFmtId="0" fontId="12" fillId="2" borderId="1" xfId="3" applyFont="1" applyFill="1" applyBorder="1" applyAlignment="1">
      <alignment vertical="center"/>
    </xf>
    <xf numFmtId="0" fontId="13" fillId="2" borderId="1" xfId="3" applyFont="1" applyFill="1" applyBorder="1" applyAlignment="1">
      <alignment vertical="center"/>
    </xf>
    <xf numFmtId="0" fontId="7" fillId="2" borderId="1" xfId="3" applyFont="1" applyFill="1" applyBorder="1" applyAlignment="1">
      <alignment vertical="center"/>
    </xf>
    <xf numFmtId="0" fontId="14" fillId="2" borderId="2" xfId="0" applyFont="1" applyFill="1" applyBorder="1" applyAlignment="1">
      <alignment horizontal="left" vertical="center"/>
    </xf>
    <xf numFmtId="0" fontId="14" fillId="2" borderId="2" xfId="0" applyFont="1" applyFill="1" applyBorder="1" applyAlignment="1">
      <alignment vertical="center"/>
    </xf>
    <xf numFmtId="0" fontId="15" fillId="2" borderId="2" xfId="0" applyFont="1" applyFill="1" applyBorder="1" applyAlignment="1">
      <alignment horizontal="right" vertical="center"/>
    </xf>
    <xf numFmtId="0" fontId="16" fillId="2" borderId="0" xfId="0" applyFont="1" applyFill="1"/>
    <xf numFmtId="0" fontId="5" fillId="2" borderId="0" xfId="6" applyFont="1" applyFill="1" applyBorder="1" applyAlignment="1">
      <alignment horizontal="right"/>
    </xf>
    <xf numFmtId="0" fontId="16" fillId="2" borderId="0" xfId="0" applyFont="1" applyFill="1" applyBorder="1"/>
    <xf numFmtId="164" fontId="14" fillId="2" borderId="0" xfId="1" applyNumberFormat="1" applyFont="1" applyFill="1" applyAlignment="1">
      <alignment vertical="center"/>
    </xf>
    <xf numFmtId="0" fontId="17" fillId="2" borderId="0" xfId="0" applyFont="1" applyFill="1"/>
    <xf numFmtId="164" fontId="17" fillId="2" borderId="0" xfId="1" applyNumberFormat="1" applyFont="1" applyFill="1" applyAlignment="1">
      <alignment vertical="center"/>
    </xf>
    <xf numFmtId="0" fontId="18" fillId="2" borderId="0" xfId="0" applyFont="1" applyFill="1"/>
    <xf numFmtId="167" fontId="18" fillId="2" borderId="0" xfId="0" applyNumberFormat="1" applyFont="1" applyFill="1" applyBorder="1"/>
    <xf numFmtId="0" fontId="18" fillId="2" borderId="0" xfId="0" applyFont="1" applyFill="1" applyBorder="1"/>
    <xf numFmtId="164" fontId="17" fillId="2" borderId="3" xfId="1" applyNumberFormat="1" applyFont="1" applyFill="1" applyBorder="1" applyAlignment="1">
      <alignment vertical="center"/>
    </xf>
    <xf numFmtId="164" fontId="17" fillId="2" borderId="4" xfId="1" applyNumberFormat="1" applyFont="1" applyFill="1" applyBorder="1" applyAlignment="1">
      <alignment vertical="center"/>
    </xf>
    <xf numFmtId="164" fontId="14" fillId="2" borderId="0" xfId="1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164" fontId="17" fillId="2" borderId="0" xfId="1" applyNumberFormat="1" applyFont="1" applyFill="1" applyAlignment="1">
      <alignment horizontal="right" vertical="center"/>
    </xf>
    <xf numFmtId="167" fontId="18" fillId="2" borderId="0" xfId="0" applyNumberFormat="1" applyFont="1" applyFill="1"/>
    <xf numFmtId="164" fontId="17" fillId="2" borderId="3" xfId="1" applyNumberFormat="1" applyFont="1" applyFill="1" applyBorder="1" applyAlignment="1">
      <alignment horizontal="right" vertical="center"/>
    </xf>
    <xf numFmtId="37" fontId="17" fillId="2" borderId="3" xfId="1" applyNumberFormat="1" applyFont="1" applyFill="1" applyBorder="1" applyAlignment="1">
      <alignment horizontal="right" vertical="center"/>
    </xf>
    <xf numFmtId="0" fontId="14" fillId="2" borderId="0" xfId="0" applyFont="1" applyFill="1" applyBorder="1" applyAlignment="1" applyProtection="1">
      <alignment horizontal="left" vertical="center"/>
    </xf>
    <xf numFmtId="3" fontId="14" fillId="2" borderId="0" xfId="1" applyNumberFormat="1" applyFont="1" applyFill="1" applyBorder="1" applyAlignment="1">
      <alignment vertical="center"/>
    </xf>
    <xf numFmtId="3" fontId="17" fillId="2" borderId="0" xfId="1" applyNumberFormat="1" applyFont="1" applyFill="1" applyAlignment="1">
      <alignment vertical="center"/>
    </xf>
    <xf numFmtId="3" fontId="17" fillId="2" borderId="1" xfId="1" applyNumberFormat="1" applyFont="1" applyFill="1" applyBorder="1" applyAlignment="1">
      <alignment vertical="center"/>
    </xf>
    <xf numFmtId="0" fontId="19" fillId="2" borderId="0" xfId="6" applyFont="1" applyFill="1"/>
    <xf numFmtId="0" fontId="17" fillId="2" borderId="0" xfId="0" applyFont="1" applyFill="1" applyAlignment="1">
      <alignment vertical="center"/>
    </xf>
    <xf numFmtId="0" fontId="20" fillId="2" borderId="0" xfId="6" applyFont="1" applyFill="1"/>
    <xf numFmtId="0" fontId="20" fillId="2" borderId="0" xfId="6" applyFont="1" applyFill="1" applyAlignment="1">
      <alignment vertical="center"/>
    </xf>
    <xf numFmtId="0" fontId="21" fillId="2" borderId="0" xfId="0" applyFont="1" applyFill="1" applyAlignment="1"/>
    <xf numFmtId="1" fontId="0" fillId="2" borderId="0" xfId="0" applyNumberFormat="1" applyFont="1" applyFill="1"/>
    <xf numFmtId="0" fontId="21" fillId="2" borderId="0" xfId="0" applyFont="1" applyFill="1"/>
    <xf numFmtId="0" fontId="21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8" fillId="2" borderId="0" xfId="0" applyFont="1" applyFill="1" applyAlignment="1">
      <alignment horizontal="right" vertical="center" indent="1"/>
    </xf>
    <xf numFmtId="0" fontId="8" fillId="2" borderId="3" xfId="0" applyFont="1" applyFill="1" applyBorder="1" applyAlignment="1">
      <alignment horizontal="right" vertical="center" indent="1"/>
    </xf>
    <xf numFmtId="0" fontId="8" fillId="2" borderId="1" xfId="0" applyFont="1" applyFill="1" applyBorder="1" applyAlignment="1">
      <alignment horizontal="right" vertical="center" indent="1"/>
    </xf>
    <xf numFmtId="0" fontId="17" fillId="2" borderId="0" xfId="0" applyFont="1" applyFill="1" applyAlignment="1">
      <alignment horizontal="left" vertical="center" indent="1"/>
    </xf>
    <xf numFmtId="0" fontId="17" fillId="2" borderId="3" xfId="0" applyFont="1" applyFill="1" applyBorder="1" applyAlignment="1">
      <alignment horizontal="left" vertical="center" indent="1"/>
    </xf>
    <xf numFmtId="0" fontId="17" fillId="2" borderId="1" xfId="0" applyFont="1" applyFill="1" applyBorder="1" applyAlignment="1">
      <alignment horizontal="left" vertical="center" indent="1"/>
    </xf>
  </cellXfs>
  <cellStyles count="11">
    <cellStyle name="Comma" xfId="1" builtinId="3"/>
    <cellStyle name="Comma 2" xfId="2"/>
    <cellStyle name="Comma 2 2" xfId="9"/>
    <cellStyle name="Comma 4" xfId="4"/>
    <cellStyle name="Comma 4 2" xfId="5"/>
    <cellStyle name="Normal" xfId="0" builtinId="0"/>
    <cellStyle name="Normal 2" xfId="3"/>
    <cellStyle name="Normal 2 2" xfId="7"/>
    <cellStyle name="Normal 4" xfId="10"/>
    <cellStyle name="Normal 5" xfId="8"/>
    <cellStyle name="Normal_X-5 (Electricity)" xfId="6"/>
  </cellStyles>
  <dxfs count="0"/>
  <tableStyles count="0" defaultTableStyle="TableStyleMedium9" defaultPivotStyle="PivotStyleLight16"/>
  <colors>
    <mruColors>
      <color rgb="FF6893C6"/>
      <color rgb="FFFFCC00"/>
      <color rgb="FFFAC090"/>
      <color rgb="FF953735"/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608781153111172E-2"/>
          <c:y val="0.17376292539326452"/>
          <c:w val="0.87957481900865109"/>
          <c:h val="0.65144048102228125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explosion val="7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A242-482B-AF93-3AC392F47DA6}"/>
              </c:ext>
            </c:extLst>
          </c:dPt>
          <c:dPt>
            <c:idx val="1"/>
            <c:invertIfNegative val="0"/>
            <c:bubble3D val="0"/>
            <c:explosion val="8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A242-482B-AF93-3AC392F47DA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A242-482B-AF93-3AC392F47DA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242-482B-AF93-3AC392F47D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'12.8'!$A$12:$A$14</c:f>
              <c:strCache>
                <c:ptCount val="3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</c:strCache>
            </c:strRef>
          </c:cat>
          <c:val>
            <c:numRef>
              <c:f>'12.8'!$K$12:$K$14</c:f>
              <c:numCache>
                <c:formatCode>_(* #,##0_);_(* \(#,##0\);_(* "-"??_);_(@_)</c:formatCode>
                <c:ptCount val="3"/>
                <c:pt idx="0">
                  <c:v>78.03924400927842</c:v>
                </c:pt>
                <c:pt idx="1">
                  <c:v>9.7815984466118078</c:v>
                </c:pt>
                <c:pt idx="2">
                  <c:v>12.179157544109779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42-482B-AF93-3AC392F47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92482127"/>
        <c:axId val="392474223"/>
      </c:barChart>
      <c:catAx>
        <c:axId val="3924821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92474223"/>
        <c:crosses val="autoZero"/>
        <c:auto val="1"/>
        <c:lblAlgn val="ctr"/>
        <c:lblOffset val="100"/>
        <c:noMultiLvlLbl val="0"/>
      </c:catAx>
      <c:valAx>
        <c:axId val="392474223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crossAx val="392482127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zero"/>
    <c:showDLblsOverMax val="0"/>
  </c:chart>
  <c:spPr>
    <a:solidFill>
      <a:sysClr val="window" lastClr="FFFFFF"/>
    </a:solidFill>
  </c:spPr>
  <c:printSettings>
    <c:headerFooter alignWithMargins="0"/>
    <c:pageMargins b="1" l="0.75000000000000377" r="0.75000000000000377" t="1" header="0.5" footer="0.5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409576</xdr:colOff>
      <xdr:row>22</xdr:row>
      <xdr:rowOff>86624</xdr:rowOff>
    </xdr:from>
    <xdr:to>
      <xdr:col>11</xdr:col>
      <xdr:colOff>600076</xdr:colOff>
      <xdr:row>38</xdr:row>
      <xdr:rowOff>66675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988004</xdr:colOff>
      <xdr:row>22</xdr:row>
      <xdr:rowOff>170328</xdr:rowOff>
    </xdr:from>
    <xdr:to>
      <xdr:col>11</xdr:col>
      <xdr:colOff>285750</xdr:colOff>
      <xdr:row>24</xdr:row>
      <xdr:rowOff>51027</xdr:rowOff>
    </xdr:to>
    <xdr:sp macro="" textlink="">
      <xdr:nvSpPr>
        <xdr:cNvPr id="3" name="TextBox 7"/>
        <xdr:cNvSpPr txBox="1"/>
      </xdr:nvSpPr>
      <xdr:spPr>
        <a:xfrm>
          <a:off x="988004" y="5961528"/>
          <a:ext cx="5412796" cy="261699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100" b="1" i="0" baseline="0">
              <a:solidFill>
                <a:schemeClr val="accent1">
                  <a:lumMod val="75000"/>
                </a:schemeClr>
              </a:solidFill>
              <a:latin typeface="Consolas" pitchFamily="49" charset="0"/>
              <a:ea typeface="+mn-ea"/>
              <a:cs typeface="Consolas" pitchFamily="49" charset="0"/>
            </a:rPr>
            <a:t>Figure 12.3: Percentage share of water consumption in Male', 2017</a:t>
          </a:r>
          <a:endParaRPr lang="en-US" sz="1200">
            <a:solidFill>
              <a:schemeClr val="accent1">
                <a:lumMod val="75000"/>
              </a:schemeClr>
            </a:solidFill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1223812</xdr:colOff>
      <xdr:row>24</xdr:row>
      <xdr:rowOff>38099</xdr:rowOff>
    </xdr:from>
    <xdr:to>
      <xdr:col>11</xdr:col>
      <xdr:colOff>209550</xdr:colOff>
      <xdr:row>24</xdr:row>
      <xdr:rowOff>51851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1223812" y="6210299"/>
          <a:ext cx="5100788" cy="13752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Checking/New%20folder/12.%20ELECTRICITY%20and%20%20WA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  <cell r="B8" t="str">
            <v>Jan</v>
          </cell>
          <cell r="C8" t="str">
            <v>AA.</v>
          </cell>
          <cell r="D8" t="str">
            <v>Bodufolhudhoo</v>
          </cell>
          <cell r="E8">
            <v>0</v>
          </cell>
          <cell r="F8">
            <v>38182</v>
          </cell>
          <cell r="G8">
            <v>161</v>
          </cell>
          <cell r="H8">
            <v>161</v>
          </cell>
          <cell r="I8">
            <v>0</v>
          </cell>
          <cell r="J8">
            <v>0</v>
          </cell>
          <cell r="K8">
            <v>161</v>
          </cell>
          <cell r="L8">
            <v>161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161</v>
          </cell>
          <cell r="U8">
            <v>161</v>
          </cell>
          <cell r="V8">
            <v>0</v>
          </cell>
          <cell r="W8">
            <v>11081</v>
          </cell>
          <cell r="X8">
            <v>42567.8</v>
          </cell>
          <cell r="Y8">
            <v>0</v>
          </cell>
          <cell r="Z8">
            <v>42567.81</v>
          </cell>
          <cell r="AA8">
            <v>38182</v>
          </cell>
          <cell r="AB8">
            <v>1601</v>
          </cell>
          <cell r="AC8">
            <v>39783</v>
          </cell>
          <cell r="AD8">
            <v>27</v>
          </cell>
          <cell r="AE8">
            <v>75</v>
          </cell>
          <cell r="AF8">
            <v>15689</v>
          </cell>
          <cell r="AG8">
            <v>59</v>
          </cell>
          <cell r="AH8">
            <v>1354</v>
          </cell>
          <cell r="AI8">
            <v>17</v>
          </cell>
          <cell r="AJ8">
            <v>1044</v>
          </cell>
          <cell r="AK8">
            <v>1</v>
          </cell>
          <cell r="AL8">
            <v>819</v>
          </cell>
          <cell r="AM8">
            <v>3</v>
          </cell>
          <cell r="AN8">
            <v>3187</v>
          </cell>
          <cell r="AO8">
            <v>7</v>
          </cell>
          <cell r="AP8">
            <v>6404</v>
          </cell>
          <cell r="AQ8">
            <v>28</v>
          </cell>
          <cell r="AR8">
            <v>182</v>
          </cell>
          <cell r="AS8">
            <v>1</v>
          </cell>
          <cell r="AT8">
            <v>100</v>
          </cell>
          <cell r="AU8" t="str">
            <v xml:space="preserve"> -   </v>
          </cell>
          <cell r="AV8">
            <v>100</v>
          </cell>
          <cell r="AW8" t="str">
            <v xml:space="preserve"> -   </v>
          </cell>
          <cell r="AX8">
            <v>335</v>
          </cell>
          <cell r="AY8">
            <v>1</v>
          </cell>
          <cell r="AZ8">
            <v>717</v>
          </cell>
          <cell r="BA8">
            <v>2</v>
          </cell>
          <cell r="BB8">
            <v>9631</v>
          </cell>
          <cell r="BC8">
            <v>33</v>
          </cell>
          <cell r="BD8">
            <v>7068</v>
          </cell>
          <cell r="BE8">
            <v>25</v>
          </cell>
          <cell r="BF8">
            <v>4476</v>
          </cell>
          <cell r="BG8">
            <v>26</v>
          </cell>
          <cell r="BH8">
            <v>3256</v>
          </cell>
          <cell r="BI8">
            <v>32</v>
          </cell>
          <cell r="BJ8">
            <v>24431</v>
          </cell>
          <cell r="BK8">
            <v>116</v>
          </cell>
          <cell r="BL8">
            <v>800</v>
          </cell>
          <cell r="BM8">
            <v>1</v>
          </cell>
          <cell r="BN8">
            <v>662</v>
          </cell>
          <cell r="BO8">
            <v>3</v>
          </cell>
          <cell r="BP8">
            <v>499</v>
          </cell>
          <cell r="BQ8">
            <v>1</v>
          </cell>
          <cell r="BR8">
            <v>1417</v>
          </cell>
          <cell r="BS8">
            <v>4</v>
          </cell>
          <cell r="BT8">
            <v>3378</v>
          </cell>
          <cell r="BU8">
            <v>9</v>
          </cell>
          <cell r="BV8">
            <v>400</v>
          </cell>
          <cell r="BW8" t="str">
            <v xml:space="preserve"> -   </v>
          </cell>
          <cell r="BX8">
            <v>343</v>
          </cell>
          <cell r="BY8">
            <v>1</v>
          </cell>
          <cell r="BZ8">
            <v>127</v>
          </cell>
          <cell r="CA8">
            <v>2</v>
          </cell>
          <cell r="CB8">
            <v>1080</v>
          </cell>
          <cell r="CC8">
            <v>1</v>
          </cell>
          <cell r="CD8">
            <v>1950</v>
          </cell>
          <cell r="CE8">
            <v>4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 t="str">
            <v xml:space="preserve"> -   </v>
          </cell>
          <cell r="CO8" t="str">
            <v xml:space="preserve"> -   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 t="str">
            <v xml:space="preserve"> -   </v>
          </cell>
          <cell r="CY8" t="str">
            <v xml:space="preserve"> -   </v>
          </cell>
          <cell r="CZ8">
            <v>200</v>
          </cell>
          <cell r="DA8" t="str">
            <v xml:space="preserve"> -   </v>
          </cell>
          <cell r="DB8">
            <v>200</v>
          </cell>
          <cell r="DC8" t="str">
            <v xml:space="preserve"> -   </v>
          </cell>
          <cell r="DD8">
            <v>200</v>
          </cell>
          <cell r="DE8" t="str">
            <v xml:space="preserve"> -   </v>
          </cell>
          <cell r="DF8">
            <v>702</v>
          </cell>
          <cell r="DG8">
            <v>2</v>
          </cell>
          <cell r="DH8">
            <v>1302</v>
          </cell>
          <cell r="DI8">
            <v>2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 t="str">
            <v xml:space="preserve"> -   </v>
          </cell>
          <cell r="DS8" t="str">
            <v xml:space="preserve"> -   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 t="str">
            <v xml:space="preserve"> -   </v>
          </cell>
          <cell r="EC8" t="str">
            <v xml:space="preserve"> -   </v>
          </cell>
          <cell r="ED8">
            <v>0</v>
          </cell>
          <cell r="EE8">
            <v>0</v>
          </cell>
          <cell r="EF8">
            <v>0</v>
          </cell>
          <cell r="EH8">
            <v>0</v>
          </cell>
          <cell r="EI8">
            <v>0</v>
          </cell>
          <cell r="EJ8">
            <v>0</v>
          </cell>
        </row>
        <row r="9">
          <cell r="A9" t="str">
            <v>FebBodufolhudhoo</v>
          </cell>
          <cell r="B9" t="str">
            <v>Feb</v>
          </cell>
          <cell r="C9" t="str">
            <v>AA.</v>
          </cell>
          <cell r="D9" t="str">
            <v>Bodufolhudhoo</v>
          </cell>
          <cell r="E9">
            <v>0</v>
          </cell>
          <cell r="F9">
            <v>44766</v>
          </cell>
          <cell r="G9">
            <v>160</v>
          </cell>
          <cell r="H9">
            <v>161</v>
          </cell>
          <cell r="I9">
            <v>0</v>
          </cell>
          <cell r="J9">
            <v>0</v>
          </cell>
          <cell r="K9">
            <v>161</v>
          </cell>
          <cell r="L9">
            <v>160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161</v>
          </cell>
          <cell r="U9">
            <v>160</v>
          </cell>
          <cell r="V9">
            <v>1</v>
          </cell>
          <cell r="W9">
            <v>10409</v>
          </cell>
          <cell r="X9">
            <v>49626.6</v>
          </cell>
          <cell r="Y9">
            <v>0</v>
          </cell>
          <cell r="Z9">
            <v>49626.6</v>
          </cell>
          <cell r="AA9">
            <v>44766</v>
          </cell>
          <cell r="AB9">
            <v>1614</v>
          </cell>
          <cell r="AC9">
            <v>46380</v>
          </cell>
          <cell r="AD9">
            <v>29</v>
          </cell>
          <cell r="AE9">
            <v>84</v>
          </cell>
          <cell r="AF9">
            <v>14559.6</v>
          </cell>
          <cell r="AG9">
            <v>53</v>
          </cell>
          <cell r="AH9">
            <v>1504</v>
          </cell>
          <cell r="AI9">
            <v>15</v>
          </cell>
          <cell r="AJ9">
            <v>1202</v>
          </cell>
          <cell r="AK9">
            <v>2</v>
          </cell>
          <cell r="AL9">
            <v>886</v>
          </cell>
          <cell r="AM9">
            <v>4</v>
          </cell>
          <cell r="AN9">
            <v>3675</v>
          </cell>
          <cell r="AO9">
            <v>6</v>
          </cell>
          <cell r="AP9">
            <v>7267</v>
          </cell>
          <cell r="AQ9">
            <v>27</v>
          </cell>
          <cell r="AR9">
            <v>220</v>
          </cell>
          <cell r="AS9" t="str">
            <v xml:space="preserve"> -   </v>
          </cell>
          <cell r="AT9">
            <v>135</v>
          </cell>
          <cell r="AU9">
            <v>1</v>
          </cell>
          <cell r="AV9">
            <v>110</v>
          </cell>
          <cell r="AW9" t="str">
            <v xml:space="preserve"> -   </v>
          </cell>
          <cell r="AX9">
            <v>361</v>
          </cell>
          <cell r="AY9">
            <v>1</v>
          </cell>
          <cell r="AZ9">
            <v>826</v>
          </cell>
          <cell r="BA9">
            <v>2</v>
          </cell>
          <cell r="BB9">
            <v>10730</v>
          </cell>
          <cell r="BC9">
            <v>32</v>
          </cell>
          <cell r="BD9">
            <v>7843</v>
          </cell>
          <cell r="BE9">
            <v>29</v>
          </cell>
          <cell r="BF9">
            <v>5088</v>
          </cell>
          <cell r="BG9">
            <v>21</v>
          </cell>
          <cell r="BH9">
            <v>4054</v>
          </cell>
          <cell r="BI9">
            <v>34</v>
          </cell>
          <cell r="BJ9">
            <v>27715</v>
          </cell>
          <cell r="BK9">
            <v>116</v>
          </cell>
          <cell r="BL9">
            <v>900</v>
          </cell>
          <cell r="BM9">
            <v>1</v>
          </cell>
          <cell r="BN9">
            <v>781</v>
          </cell>
          <cell r="BO9">
            <v>2</v>
          </cell>
          <cell r="BP9">
            <v>584</v>
          </cell>
          <cell r="BQ9">
            <v>1</v>
          </cell>
          <cell r="BR9">
            <v>2059</v>
          </cell>
          <cell r="BS9">
            <v>5</v>
          </cell>
          <cell r="BT9">
            <v>4324</v>
          </cell>
          <cell r="BU9">
            <v>9</v>
          </cell>
          <cell r="BV9">
            <v>440</v>
          </cell>
          <cell r="BW9" t="str">
            <v xml:space="preserve"> -   </v>
          </cell>
          <cell r="BX9">
            <v>440</v>
          </cell>
          <cell r="BY9" t="str">
            <v xml:space="preserve"> -   </v>
          </cell>
          <cell r="BZ9">
            <v>412</v>
          </cell>
          <cell r="CA9">
            <v>1</v>
          </cell>
          <cell r="CB9">
            <v>1909</v>
          </cell>
          <cell r="CC9">
            <v>3</v>
          </cell>
          <cell r="CD9">
            <v>3201</v>
          </cell>
          <cell r="CE9">
            <v>4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 t="str">
            <v xml:space="preserve"> -   </v>
          </cell>
          <cell r="CO9" t="str">
            <v xml:space="preserve"> -   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 t="str">
            <v xml:space="preserve"> -   </v>
          </cell>
          <cell r="CY9" t="str">
            <v xml:space="preserve"> -   </v>
          </cell>
          <cell r="CZ9">
            <v>220</v>
          </cell>
          <cell r="DA9" t="str">
            <v xml:space="preserve"> -   </v>
          </cell>
          <cell r="DB9">
            <v>220</v>
          </cell>
          <cell r="DC9" t="str">
            <v xml:space="preserve"> -   </v>
          </cell>
          <cell r="DD9">
            <v>220</v>
          </cell>
          <cell r="DE9" t="str">
            <v xml:space="preserve"> -   </v>
          </cell>
          <cell r="DF9">
            <v>773</v>
          </cell>
          <cell r="DG9">
            <v>2</v>
          </cell>
          <cell r="DH9">
            <v>1433</v>
          </cell>
          <cell r="DI9">
            <v>2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 t="str">
            <v xml:space="preserve"> -   </v>
          </cell>
          <cell r="DS9" t="str">
            <v xml:space="preserve"> -   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 t="str">
            <v xml:space="preserve"> -   </v>
          </cell>
          <cell r="EC9" t="str">
            <v xml:space="preserve"> -   </v>
          </cell>
          <cell r="ED9">
            <v>0</v>
          </cell>
          <cell r="EE9">
            <v>0</v>
          </cell>
          <cell r="EF9">
            <v>0</v>
          </cell>
          <cell r="EH9">
            <v>0</v>
          </cell>
          <cell r="EI9">
            <v>0</v>
          </cell>
          <cell r="EJ9">
            <v>0</v>
          </cell>
        </row>
        <row r="10">
          <cell r="A10" t="str">
            <v>MarBodufolhudhoo</v>
          </cell>
          <cell r="B10" t="str">
            <v>Mar</v>
          </cell>
          <cell r="C10" t="str">
            <v>AA.</v>
          </cell>
          <cell r="D10" t="str">
            <v>Bodufolhudhoo</v>
          </cell>
          <cell r="E10">
            <v>0</v>
          </cell>
          <cell r="F10">
            <v>41592</v>
          </cell>
          <cell r="G10">
            <v>161</v>
          </cell>
          <cell r="H10">
            <v>161</v>
          </cell>
          <cell r="I10">
            <v>0</v>
          </cell>
          <cell r="J10">
            <v>0</v>
          </cell>
          <cell r="K10">
            <v>161</v>
          </cell>
          <cell r="L10">
            <v>161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161</v>
          </cell>
          <cell r="U10">
            <v>161</v>
          </cell>
          <cell r="V10">
            <v>0</v>
          </cell>
          <cell r="W10">
            <v>10409</v>
          </cell>
          <cell r="X10">
            <v>46230.400000000001</v>
          </cell>
          <cell r="Y10">
            <v>0</v>
          </cell>
          <cell r="Z10">
            <v>46230.42</v>
          </cell>
          <cell r="AA10">
            <v>41592</v>
          </cell>
          <cell r="AB10">
            <v>1614</v>
          </cell>
          <cell r="AC10">
            <v>43206</v>
          </cell>
          <cell r="AD10">
            <v>29</v>
          </cell>
          <cell r="AE10">
            <v>83</v>
          </cell>
          <cell r="AF10">
            <v>17554.8</v>
          </cell>
          <cell r="AG10">
            <v>34</v>
          </cell>
          <cell r="AH10">
            <v>1253.6500000000001</v>
          </cell>
          <cell r="AI10">
            <v>16</v>
          </cell>
          <cell r="AJ10">
            <v>877.65</v>
          </cell>
          <cell r="AK10">
            <v>3</v>
          </cell>
          <cell r="AL10">
            <v>690.65</v>
          </cell>
          <cell r="AM10">
            <v>3</v>
          </cell>
          <cell r="AN10">
            <v>3804.05</v>
          </cell>
          <cell r="AO10">
            <v>6</v>
          </cell>
          <cell r="AP10">
            <v>6626</v>
          </cell>
          <cell r="AQ10">
            <v>28</v>
          </cell>
          <cell r="AR10">
            <v>186.66</v>
          </cell>
          <cell r="AS10" t="str">
            <v xml:space="preserve"> -   </v>
          </cell>
          <cell r="AT10">
            <v>119</v>
          </cell>
          <cell r="AU10">
            <v>1</v>
          </cell>
          <cell r="AV10">
            <v>93.33</v>
          </cell>
          <cell r="AW10" t="str">
            <v xml:space="preserve"> -   </v>
          </cell>
          <cell r="AX10">
            <v>314.01</v>
          </cell>
          <cell r="AY10">
            <v>1</v>
          </cell>
          <cell r="AZ10">
            <v>713</v>
          </cell>
          <cell r="BA10">
            <v>2</v>
          </cell>
          <cell r="BB10">
            <v>9185.07</v>
          </cell>
          <cell r="BC10">
            <v>28</v>
          </cell>
          <cell r="BD10">
            <v>7268.87</v>
          </cell>
          <cell r="BE10">
            <v>23</v>
          </cell>
          <cell r="BF10">
            <v>5086.68</v>
          </cell>
          <cell r="BG10">
            <v>23</v>
          </cell>
          <cell r="BH10">
            <v>5151.38</v>
          </cell>
          <cell r="BI10">
            <v>43</v>
          </cell>
          <cell r="BJ10">
            <v>26692</v>
          </cell>
          <cell r="BK10">
            <v>117</v>
          </cell>
          <cell r="BL10">
            <v>752.64</v>
          </cell>
          <cell r="BM10">
            <v>1</v>
          </cell>
          <cell r="BN10">
            <v>659.98</v>
          </cell>
          <cell r="BO10">
            <v>1</v>
          </cell>
          <cell r="BP10">
            <v>588.33000000000004</v>
          </cell>
          <cell r="BQ10">
            <v>2</v>
          </cell>
          <cell r="BR10">
            <v>2128.0500000000002</v>
          </cell>
          <cell r="BS10">
            <v>5</v>
          </cell>
          <cell r="BT10">
            <v>4129</v>
          </cell>
          <cell r="BU10">
            <v>9</v>
          </cell>
          <cell r="BV10">
            <v>279.99</v>
          </cell>
          <cell r="BW10">
            <v>0</v>
          </cell>
          <cell r="BX10">
            <v>279.99</v>
          </cell>
          <cell r="BY10">
            <v>0</v>
          </cell>
          <cell r="BZ10">
            <v>243</v>
          </cell>
          <cell r="CA10">
            <v>1</v>
          </cell>
          <cell r="CB10">
            <v>1457.02</v>
          </cell>
          <cell r="CC10">
            <v>2</v>
          </cell>
          <cell r="CD10">
            <v>2260</v>
          </cell>
          <cell r="CE10">
            <v>3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 t="str">
            <v xml:space="preserve"> -   </v>
          </cell>
          <cell r="CO10" t="str">
            <v xml:space="preserve"> -   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 t="str">
            <v xml:space="preserve"> -   </v>
          </cell>
          <cell r="CY10" t="str">
            <v xml:space="preserve"> -   </v>
          </cell>
          <cell r="CZ10">
            <v>180</v>
          </cell>
          <cell r="DA10">
            <v>0</v>
          </cell>
          <cell r="DB10">
            <v>180</v>
          </cell>
          <cell r="DC10" t="str">
            <v xml:space="preserve"> -   </v>
          </cell>
          <cell r="DD10">
            <v>180</v>
          </cell>
          <cell r="DE10" t="str">
            <v xml:space="preserve"> -   </v>
          </cell>
          <cell r="DF10">
            <v>632</v>
          </cell>
          <cell r="DG10">
            <v>2</v>
          </cell>
          <cell r="DH10">
            <v>1172</v>
          </cell>
          <cell r="DI10">
            <v>2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 t="str">
            <v xml:space="preserve"> -   </v>
          </cell>
          <cell r="DS10" t="str">
            <v xml:space="preserve"> -   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 t="str">
            <v xml:space="preserve"> -   </v>
          </cell>
          <cell r="EC10" t="str">
            <v xml:space="preserve"> -   </v>
          </cell>
          <cell r="ED10">
            <v>0</v>
          </cell>
          <cell r="EE10">
            <v>0</v>
          </cell>
          <cell r="EF10">
            <v>0</v>
          </cell>
          <cell r="EH10">
            <v>0</v>
          </cell>
          <cell r="EI10">
            <v>0</v>
          </cell>
          <cell r="EJ10">
            <v>0</v>
          </cell>
        </row>
        <row r="11">
          <cell r="A11" t="str">
            <v>AprBodufolhudhoo</v>
          </cell>
          <cell r="B11" t="str">
            <v>Apr</v>
          </cell>
          <cell r="C11" t="str">
            <v>AA.</v>
          </cell>
          <cell r="D11" t="str">
            <v>Bodufolhudhoo</v>
          </cell>
          <cell r="E11">
            <v>0</v>
          </cell>
          <cell r="F11">
            <v>44969</v>
          </cell>
          <cell r="G11">
            <v>162</v>
          </cell>
          <cell r="H11">
            <v>162</v>
          </cell>
          <cell r="I11">
            <v>0</v>
          </cell>
          <cell r="J11">
            <v>0</v>
          </cell>
          <cell r="K11">
            <v>162</v>
          </cell>
          <cell r="L11">
            <v>162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162</v>
          </cell>
          <cell r="U11">
            <v>162</v>
          </cell>
          <cell r="V11">
            <v>0</v>
          </cell>
          <cell r="W11">
            <v>12625</v>
          </cell>
          <cell r="X11">
            <v>48319.060000000005</v>
          </cell>
          <cell r="Y11">
            <v>0</v>
          </cell>
          <cell r="Z11">
            <v>48319.060000000005</v>
          </cell>
          <cell r="AA11">
            <v>44969</v>
          </cell>
          <cell r="AB11">
            <v>189</v>
          </cell>
          <cell r="AC11">
            <v>45158</v>
          </cell>
          <cell r="AD11">
            <v>30</v>
          </cell>
          <cell r="AE11">
            <v>91</v>
          </cell>
          <cell r="AF11">
            <v>18246.400000000001</v>
          </cell>
          <cell r="AG11">
            <v>58.25</v>
          </cell>
          <cell r="AH11">
            <v>1258.02</v>
          </cell>
          <cell r="AI11">
            <v>18</v>
          </cell>
          <cell r="AJ11">
            <v>911.02</v>
          </cell>
          <cell r="AK11">
            <v>1</v>
          </cell>
          <cell r="AL11">
            <v>701.01</v>
          </cell>
          <cell r="AM11">
            <v>3</v>
          </cell>
          <cell r="AN11">
            <v>4050.95</v>
          </cell>
          <cell r="AO11">
            <v>6</v>
          </cell>
          <cell r="AP11">
            <v>6921</v>
          </cell>
          <cell r="AQ11">
            <v>28</v>
          </cell>
          <cell r="AR11">
            <v>193.34</v>
          </cell>
          <cell r="AS11">
            <v>0</v>
          </cell>
          <cell r="AT11">
            <v>116</v>
          </cell>
          <cell r="AU11">
            <v>1</v>
          </cell>
          <cell r="AV11">
            <v>96.67</v>
          </cell>
          <cell r="AW11">
            <v>0</v>
          </cell>
          <cell r="AX11">
            <v>345.99</v>
          </cell>
          <cell r="AY11">
            <v>1</v>
          </cell>
          <cell r="AZ11">
            <v>752</v>
          </cell>
          <cell r="BA11">
            <v>2</v>
          </cell>
          <cell r="BB11">
            <v>9807.27</v>
          </cell>
          <cell r="BC11">
            <v>26</v>
          </cell>
          <cell r="BD11">
            <v>7708.45</v>
          </cell>
          <cell r="BE11">
            <v>27</v>
          </cell>
          <cell r="BF11">
            <v>5179.68</v>
          </cell>
          <cell r="BG11">
            <v>19</v>
          </cell>
          <cell r="BH11">
            <v>6168.6</v>
          </cell>
          <cell r="BI11">
            <v>45</v>
          </cell>
          <cell r="BJ11">
            <v>28864</v>
          </cell>
          <cell r="BK11">
            <v>117</v>
          </cell>
          <cell r="BL11">
            <v>815.36</v>
          </cell>
          <cell r="BM11">
            <v>1</v>
          </cell>
          <cell r="BN11">
            <v>679.68</v>
          </cell>
          <cell r="BO11">
            <v>2</v>
          </cell>
          <cell r="BP11">
            <v>534.01</v>
          </cell>
          <cell r="BQ11">
            <v>1</v>
          </cell>
          <cell r="BR11">
            <v>2409.9499999999998</v>
          </cell>
          <cell r="BS11">
            <v>5</v>
          </cell>
          <cell r="BT11">
            <v>4439</v>
          </cell>
          <cell r="BU11">
            <v>9</v>
          </cell>
          <cell r="BV11">
            <v>386.68</v>
          </cell>
          <cell r="BW11">
            <v>0</v>
          </cell>
          <cell r="BX11">
            <v>386.68</v>
          </cell>
          <cell r="BY11">
            <v>0</v>
          </cell>
          <cell r="BZ11">
            <v>353.67</v>
          </cell>
          <cell r="CA11">
            <v>1</v>
          </cell>
          <cell r="CB11">
            <v>1563.97</v>
          </cell>
          <cell r="CC11">
            <v>3</v>
          </cell>
          <cell r="CD11">
            <v>2691</v>
          </cell>
          <cell r="CE11">
            <v>4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200</v>
          </cell>
          <cell r="DA11">
            <v>0</v>
          </cell>
          <cell r="DB11">
            <v>200</v>
          </cell>
          <cell r="DC11">
            <v>0</v>
          </cell>
          <cell r="DD11">
            <v>200</v>
          </cell>
          <cell r="DE11">
            <v>0</v>
          </cell>
          <cell r="DF11">
            <v>702</v>
          </cell>
          <cell r="DG11">
            <v>2</v>
          </cell>
          <cell r="DH11">
            <v>1302</v>
          </cell>
          <cell r="DI11">
            <v>2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H11">
            <v>0</v>
          </cell>
          <cell r="EI11">
            <v>0</v>
          </cell>
          <cell r="EJ11">
            <v>0</v>
          </cell>
        </row>
        <row r="12">
          <cell r="A12" t="str">
            <v>MayBodufolhudhoo</v>
          </cell>
          <cell r="B12" t="str">
            <v>May</v>
          </cell>
          <cell r="C12" t="str">
            <v>AA.</v>
          </cell>
          <cell r="D12" t="str">
            <v>Bodufolhudhoo</v>
          </cell>
          <cell r="E12">
            <v>0</v>
          </cell>
          <cell r="F12">
            <v>46116</v>
          </cell>
          <cell r="G12">
            <v>163</v>
          </cell>
          <cell r="H12">
            <v>162</v>
          </cell>
          <cell r="I12">
            <v>1</v>
          </cell>
          <cell r="J12">
            <v>0</v>
          </cell>
          <cell r="K12">
            <v>163</v>
          </cell>
          <cell r="L12">
            <v>163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163</v>
          </cell>
          <cell r="U12">
            <v>163</v>
          </cell>
          <cell r="V12">
            <v>0</v>
          </cell>
          <cell r="W12">
            <v>12079</v>
          </cell>
          <cell r="X12">
            <v>51179.170000000006</v>
          </cell>
          <cell r="Y12">
            <v>0</v>
          </cell>
          <cell r="Z12">
            <v>51179.170000000006</v>
          </cell>
          <cell r="AA12">
            <v>46116</v>
          </cell>
          <cell r="AB12">
            <v>1715</v>
          </cell>
          <cell r="AC12">
            <v>47831</v>
          </cell>
          <cell r="AD12">
            <v>31</v>
          </cell>
          <cell r="AE12">
            <v>97</v>
          </cell>
          <cell r="AF12">
            <v>17202</v>
          </cell>
          <cell r="AG12">
            <v>70.25</v>
          </cell>
          <cell r="AH12">
            <v>1196</v>
          </cell>
          <cell r="AI12">
            <v>19</v>
          </cell>
          <cell r="AJ12">
            <v>845</v>
          </cell>
          <cell r="AK12">
            <v>1</v>
          </cell>
          <cell r="AL12">
            <v>719</v>
          </cell>
          <cell r="AM12">
            <v>2</v>
          </cell>
          <cell r="AN12">
            <v>2744</v>
          </cell>
          <cell r="AO12">
            <v>6</v>
          </cell>
          <cell r="AP12">
            <v>5504</v>
          </cell>
          <cell r="AQ12">
            <v>28</v>
          </cell>
          <cell r="AR12">
            <v>200</v>
          </cell>
          <cell r="AS12">
            <v>0</v>
          </cell>
          <cell r="AT12">
            <v>123</v>
          </cell>
          <cell r="AU12">
            <v>1</v>
          </cell>
          <cell r="AV12">
            <v>100</v>
          </cell>
          <cell r="AW12">
            <v>0</v>
          </cell>
          <cell r="AX12">
            <v>395</v>
          </cell>
          <cell r="AY12">
            <v>1</v>
          </cell>
          <cell r="AZ12">
            <v>818</v>
          </cell>
          <cell r="BA12">
            <v>2</v>
          </cell>
          <cell r="BB12">
            <v>10050</v>
          </cell>
          <cell r="BC12">
            <v>29</v>
          </cell>
          <cell r="BD12">
            <v>7823</v>
          </cell>
          <cell r="BE12">
            <v>24</v>
          </cell>
          <cell r="BF12">
            <v>5656</v>
          </cell>
          <cell r="BG12">
            <v>19</v>
          </cell>
          <cell r="BH12">
            <v>7230</v>
          </cell>
          <cell r="BI12">
            <v>46</v>
          </cell>
          <cell r="BJ12">
            <v>30759</v>
          </cell>
          <cell r="BK12">
            <v>118</v>
          </cell>
          <cell r="BL12">
            <v>801</v>
          </cell>
          <cell r="BM12">
            <v>1</v>
          </cell>
          <cell r="BN12">
            <v>716</v>
          </cell>
          <cell r="BO12">
            <v>1</v>
          </cell>
          <cell r="BP12">
            <v>572</v>
          </cell>
          <cell r="BQ12">
            <v>2</v>
          </cell>
          <cell r="BR12">
            <v>2450</v>
          </cell>
          <cell r="BS12">
            <v>5</v>
          </cell>
          <cell r="BT12">
            <v>4539</v>
          </cell>
          <cell r="BU12">
            <v>9</v>
          </cell>
          <cell r="BV12">
            <v>400</v>
          </cell>
          <cell r="BW12">
            <v>0</v>
          </cell>
          <cell r="BX12">
            <v>400</v>
          </cell>
          <cell r="BY12">
            <v>0</v>
          </cell>
          <cell r="BZ12">
            <v>400</v>
          </cell>
          <cell r="CA12">
            <v>0</v>
          </cell>
          <cell r="CB12">
            <v>1994</v>
          </cell>
          <cell r="CC12">
            <v>4</v>
          </cell>
          <cell r="CD12">
            <v>3194</v>
          </cell>
          <cell r="CE12">
            <v>4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200</v>
          </cell>
          <cell r="DA12">
            <v>0</v>
          </cell>
          <cell r="DB12">
            <v>200</v>
          </cell>
          <cell r="DC12">
            <v>0</v>
          </cell>
          <cell r="DD12">
            <v>200</v>
          </cell>
          <cell r="DE12">
            <v>0</v>
          </cell>
          <cell r="DF12">
            <v>702</v>
          </cell>
          <cell r="DG12">
            <v>2</v>
          </cell>
          <cell r="DH12">
            <v>1302</v>
          </cell>
          <cell r="DI12">
            <v>2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H12">
            <v>0</v>
          </cell>
          <cell r="EI12">
            <v>0</v>
          </cell>
          <cell r="EJ12">
            <v>0</v>
          </cell>
        </row>
        <row r="13">
          <cell r="A13" t="str">
            <v>JunBodufolhudhoo</v>
          </cell>
          <cell r="B13" t="str">
            <v>Jun</v>
          </cell>
          <cell r="C13" t="str">
            <v>AA.</v>
          </cell>
          <cell r="D13" t="str">
            <v>Bodufolhudhoo</v>
          </cell>
          <cell r="E13">
            <v>0</v>
          </cell>
          <cell r="F13">
            <v>43952</v>
          </cell>
          <cell r="G13">
            <v>163</v>
          </cell>
          <cell r="H13">
            <v>163</v>
          </cell>
          <cell r="I13">
            <v>0</v>
          </cell>
          <cell r="J13">
            <v>0</v>
          </cell>
          <cell r="K13">
            <v>163</v>
          </cell>
          <cell r="L13">
            <v>163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163</v>
          </cell>
          <cell r="U13">
            <v>163</v>
          </cell>
          <cell r="V13">
            <v>0</v>
          </cell>
          <cell r="W13">
            <v>11579</v>
          </cell>
          <cell r="X13">
            <v>48801.630000000005</v>
          </cell>
          <cell r="Y13">
            <v>0</v>
          </cell>
          <cell r="Z13">
            <v>48801.630000000005</v>
          </cell>
          <cell r="AA13">
            <v>43952</v>
          </cell>
          <cell r="AB13">
            <v>1657</v>
          </cell>
          <cell r="AC13">
            <v>45609</v>
          </cell>
          <cell r="AD13">
            <v>27</v>
          </cell>
          <cell r="AE13">
            <v>109</v>
          </cell>
          <cell r="AF13">
            <v>17606.900000000001</v>
          </cell>
          <cell r="AG13">
            <v>45.25</v>
          </cell>
          <cell r="AH13">
            <v>1194.97</v>
          </cell>
          <cell r="AI13">
            <v>19</v>
          </cell>
          <cell r="AJ13">
            <v>858.31</v>
          </cell>
          <cell r="AK13">
            <v>1</v>
          </cell>
          <cell r="AL13">
            <v>700.66</v>
          </cell>
          <cell r="AM13">
            <v>2</v>
          </cell>
          <cell r="AN13">
            <v>2634.06</v>
          </cell>
          <cell r="AO13">
            <v>6</v>
          </cell>
          <cell r="AP13">
            <v>5388</v>
          </cell>
          <cell r="AQ13">
            <v>28</v>
          </cell>
          <cell r="AR13">
            <v>206.66</v>
          </cell>
          <cell r="AS13">
            <v>0</v>
          </cell>
          <cell r="AT13">
            <v>119</v>
          </cell>
          <cell r="AU13">
            <v>1</v>
          </cell>
          <cell r="AV13">
            <v>103.33</v>
          </cell>
          <cell r="AW13">
            <v>0</v>
          </cell>
          <cell r="AX13">
            <v>268.01</v>
          </cell>
          <cell r="AY13">
            <v>1</v>
          </cell>
          <cell r="AZ13">
            <v>697</v>
          </cell>
          <cell r="BA13">
            <v>2</v>
          </cell>
          <cell r="BB13">
            <v>10301.370000000001</v>
          </cell>
          <cell r="BC13">
            <v>29</v>
          </cell>
          <cell r="BD13">
            <v>8032.87</v>
          </cell>
          <cell r="BE13">
            <v>25</v>
          </cell>
          <cell r="BF13">
            <v>5415.32</v>
          </cell>
          <cell r="BG13">
            <v>20</v>
          </cell>
          <cell r="BH13">
            <v>5977.44</v>
          </cell>
          <cell r="BI13">
            <v>44</v>
          </cell>
          <cell r="BJ13">
            <v>29727</v>
          </cell>
          <cell r="BK13">
            <v>118</v>
          </cell>
          <cell r="BL13">
            <v>826.64</v>
          </cell>
          <cell r="BM13">
            <v>1</v>
          </cell>
          <cell r="BN13">
            <v>746.98</v>
          </cell>
          <cell r="BO13">
            <v>1</v>
          </cell>
          <cell r="BP13">
            <v>620.33000000000004</v>
          </cell>
          <cell r="BQ13">
            <v>2</v>
          </cell>
          <cell r="BR13">
            <v>2214.0500000000002</v>
          </cell>
          <cell r="BS13">
            <v>5</v>
          </cell>
          <cell r="BT13">
            <v>4408</v>
          </cell>
          <cell r="BU13">
            <v>9</v>
          </cell>
          <cell r="BV13">
            <v>413.32</v>
          </cell>
          <cell r="BW13">
            <v>0</v>
          </cell>
          <cell r="BX13">
            <v>413.32</v>
          </cell>
          <cell r="BY13">
            <v>0</v>
          </cell>
          <cell r="BZ13">
            <v>311.33</v>
          </cell>
          <cell r="CA13">
            <v>1</v>
          </cell>
          <cell r="CB13">
            <v>1248.03</v>
          </cell>
          <cell r="CC13">
            <v>3</v>
          </cell>
          <cell r="CD13">
            <v>2386</v>
          </cell>
          <cell r="CE13">
            <v>4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206.66</v>
          </cell>
          <cell r="DA13">
            <v>0</v>
          </cell>
          <cell r="DB13">
            <v>206.66</v>
          </cell>
          <cell r="DC13">
            <v>0</v>
          </cell>
          <cell r="DD13">
            <v>206.66</v>
          </cell>
          <cell r="DE13">
            <v>0</v>
          </cell>
          <cell r="DF13">
            <v>726.02</v>
          </cell>
          <cell r="DG13">
            <v>2</v>
          </cell>
          <cell r="DH13">
            <v>1346</v>
          </cell>
          <cell r="DI13">
            <v>2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H13">
            <v>0</v>
          </cell>
          <cell r="EI13">
            <v>0</v>
          </cell>
          <cell r="EJ13">
            <v>0</v>
          </cell>
        </row>
        <row r="14">
          <cell r="A14" t="str">
            <v>JulBodufolhudhoo</v>
          </cell>
          <cell r="B14" t="str">
            <v>Jul</v>
          </cell>
          <cell r="C14" t="str">
            <v>AA.</v>
          </cell>
          <cell r="D14" t="str">
            <v>Bodufolhudhoo</v>
          </cell>
          <cell r="E14">
            <v>0</v>
          </cell>
          <cell r="F14">
            <v>48097</v>
          </cell>
          <cell r="G14">
            <v>162</v>
          </cell>
          <cell r="H14">
            <v>163</v>
          </cell>
          <cell r="I14">
            <v>0</v>
          </cell>
          <cell r="J14">
            <v>0</v>
          </cell>
          <cell r="K14">
            <v>163</v>
          </cell>
          <cell r="L14">
            <v>162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163</v>
          </cell>
          <cell r="U14">
            <v>162</v>
          </cell>
          <cell r="V14">
            <v>1</v>
          </cell>
          <cell r="W14">
            <v>16251</v>
          </cell>
          <cell r="X14">
            <v>53511.770000000004</v>
          </cell>
          <cell r="Y14">
            <v>0</v>
          </cell>
          <cell r="Z14">
            <v>53511.770000000004</v>
          </cell>
          <cell r="AA14">
            <v>48097</v>
          </cell>
          <cell r="AB14">
            <v>1914</v>
          </cell>
          <cell r="AC14">
            <v>50011</v>
          </cell>
          <cell r="AD14">
            <v>35</v>
          </cell>
          <cell r="AE14">
            <v>90</v>
          </cell>
          <cell r="AF14">
            <v>20289.5</v>
          </cell>
          <cell r="AG14">
            <v>94</v>
          </cell>
          <cell r="AH14">
            <v>1173</v>
          </cell>
          <cell r="AI14">
            <v>17</v>
          </cell>
          <cell r="AJ14">
            <v>909</v>
          </cell>
          <cell r="AK14">
            <v>3</v>
          </cell>
          <cell r="AL14">
            <v>623</v>
          </cell>
          <cell r="AM14">
            <v>2</v>
          </cell>
          <cell r="AN14">
            <v>2008</v>
          </cell>
          <cell r="AO14">
            <v>5</v>
          </cell>
          <cell r="AP14">
            <v>4713</v>
          </cell>
          <cell r="AQ14">
            <v>27</v>
          </cell>
          <cell r="AR14">
            <v>200</v>
          </cell>
          <cell r="AS14">
            <v>0</v>
          </cell>
          <cell r="AT14">
            <v>132</v>
          </cell>
          <cell r="AU14">
            <v>1</v>
          </cell>
          <cell r="AV14">
            <v>100</v>
          </cell>
          <cell r="AW14">
            <v>0</v>
          </cell>
          <cell r="AX14">
            <v>334</v>
          </cell>
          <cell r="AY14">
            <v>1</v>
          </cell>
          <cell r="AZ14">
            <v>766</v>
          </cell>
          <cell r="BA14">
            <v>2</v>
          </cell>
          <cell r="BB14">
            <v>10330</v>
          </cell>
          <cell r="BC14">
            <v>25</v>
          </cell>
          <cell r="BD14">
            <v>8518</v>
          </cell>
          <cell r="BE14">
            <v>21</v>
          </cell>
          <cell r="BF14">
            <v>6123</v>
          </cell>
          <cell r="BG14">
            <v>20</v>
          </cell>
          <cell r="BH14">
            <v>9912</v>
          </cell>
          <cell r="BI14">
            <v>52</v>
          </cell>
          <cell r="BJ14">
            <v>34883</v>
          </cell>
          <cell r="BK14">
            <v>118</v>
          </cell>
          <cell r="BL14">
            <v>810</v>
          </cell>
          <cell r="BM14">
            <v>1</v>
          </cell>
          <cell r="BN14">
            <v>696</v>
          </cell>
          <cell r="BO14">
            <v>2</v>
          </cell>
          <cell r="BP14">
            <v>547</v>
          </cell>
          <cell r="BQ14">
            <v>1</v>
          </cell>
          <cell r="BR14">
            <v>2188</v>
          </cell>
          <cell r="BS14">
            <v>5</v>
          </cell>
          <cell r="BT14">
            <v>4241</v>
          </cell>
          <cell r="BU14">
            <v>9</v>
          </cell>
          <cell r="BV14">
            <v>378</v>
          </cell>
          <cell r="BW14">
            <v>1</v>
          </cell>
          <cell r="BX14">
            <v>289</v>
          </cell>
          <cell r="BY14">
            <v>1</v>
          </cell>
          <cell r="BZ14">
            <v>200</v>
          </cell>
          <cell r="CA14">
            <v>0</v>
          </cell>
          <cell r="CB14">
            <v>1325</v>
          </cell>
          <cell r="CC14">
            <v>2</v>
          </cell>
          <cell r="CD14">
            <v>2192</v>
          </cell>
          <cell r="CE14">
            <v>4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200</v>
          </cell>
          <cell r="DA14">
            <v>0</v>
          </cell>
          <cell r="DB14">
            <v>200</v>
          </cell>
          <cell r="DC14">
            <v>0</v>
          </cell>
          <cell r="DD14">
            <v>200</v>
          </cell>
          <cell r="DE14">
            <v>0</v>
          </cell>
          <cell r="DF14">
            <v>702</v>
          </cell>
          <cell r="DG14">
            <v>2</v>
          </cell>
          <cell r="DH14">
            <v>1302</v>
          </cell>
          <cell r="DI14">
            <v>2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H14">
            <v>0</v>
          </cell>
          <cell r="EI14">
            <v>0</v>
          </cell>
          <cell r="EJ14">
            <v>0</v>
          </cell>
        </row>
        <row r="15">
          <cell r="A15" t="str">
            <v>AugBodufolhudhoo</v>
          </cell>
          <cell r="B15" t="str">
            <v>Aug</v>
          </cell>
          <cell r="C15" t="str">
            <v>AA.</v>
          </cell>
          <cell r="D15" t="str">
            <v>Bodufolhudhoo</v>
          </cell>
          <cell r="E15">
            <v>0</v>
          </cell>
          <cell r="F15">
            <v>49291.000000000007</v>
          </cell>
          <cell r="G15">
            <v>163</v>
          </cell>
          <cell r="H15">
            <v>163</v>
          </cell>
          <cell r="I15">
            <v>0</v>
          </cell>
          <cell r="J15">
            <v>0</v>
          </cell>
          <cell r="K15">
            <v>163</v>
          </cell>
          <cell r="L15">
            <v>163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163</v>
          </cell>
          <cell r="U15">
            <v>163</v>
          </cell>
          <cell r="V15">
            <v>0</v>
          </cell>
          <cell r="W15">
            <v>11134</v>
          </cell>
          <cell r="X15">
            <v>54354.93</v>
          </cell>
          <cell r="Y15">
            <v>0</v>
          </cell>
          <cell r="Z15">
            <v>54354.93</v>
          </cell>
          <cell r="AA15">
            <v>49291</v>
          </cell>
          <cell r="AB15">
            <v>1508</v>
          </cell>
          <cell r="AC15">
            <v>50799</v>
          </cell>
          <cell r="AD15">
            <v>35</v>
          </cell>
          <cell r="AE15">
            <v>107</v>
          </cell>
          <cell r="AF15">
            <v>18062.5</v>
          </cell>
          <cell r="AG15">
            <v>71.5</v>
          </cell>
          <cell r="AH15">
            <v>1433.3</v>
          </cell>
          <cell r="AI15">
            <v>18</v>
          </cell>
          <cell r="AJ15">
            <v>974.66</v>
          </cell>
          <cell r="AK15">
            <v>4</v>
          </cell>
          <cell r="AL15">
            <v>604</v>
          </cell>
          <cell r="AM15">
            <v>2</v>
          </cell>
          <cell r="AN15">
            <v>2596.04</v>
          </cell>
          <cell r="AO15">
            <v>4</v>
          </cell>
          <cell r="AP15">
            <v>5608</v>
          </cell>
          <cell r="AQ15">
            <v>28</v>
          </cell>
          <cell r="AR15">
            <v>226.66</v>
          </cell>
          <cell r="AS15">
            <v>0</v>
          </cell>
          <cell r="AT15">
            <v>144</v>
          </cell>
          <cell r="AU15">
            <v>1</v>
          </cell>
          <cell r="AV15">
            <v>113.33</v>
          </cell>
          <cell r="AW15">
            <v>0</v>
          </cell>
          <cell r="AX15">
            <v>360.01</v>
          </cell>
          <cell r="AY15">
            <v>1</v>
          </cell>
          <cell r="AZ15">
            <v>844</v>
          </cell>
          <cell r="BA15">
            <v>2</v>
          </cell>
          <cell r="BB15">
            <v>11796.69</v>
          </cell>
          <cell r="BC15">
            <v>25</v>
          </cell>
          <cell r="BD15">
            <v>9314.8700000000008</v>
          </cell>
          <cell r="BE15">
            <v>27</v>
          </cell>
          <cell r="BF15">
            <v>6132.01</v>
          </cell>
          <cell r="BG15">
            <v>23</v>
          </cell>
          <cell r="BH15">
            <v>6704.43</v>
          </cell>
          <cell r="BI15">
            <v>43</v>
          </cell>
          <cell r="BJ15">
            <v>33948.000000000007</v>
          </cell>
          <cell r="BK15">
            <v>118</v>
          </cell>
          <cell r="BL15">
            <v>912.64</v>
          </cell>
          <cell r="BM15">
            <v>1</v>
          </cell>
          <cell r="BN15">
            <v>758.32</v>
          </cell>
          <cell r="BO15">
            <v>2</v>
          </cell>
          <cell r="BP15">
            <v>623.99</v>
          </cell>
          <cell r="BQ15">
            <v>1</v>
          </cell>
          <cell r="BR15">
            <v>2430.0500000000002</v>
          </cell>
          <cell r="BS15">
            <v>5</v>
          </cell>
          <cell r="BT15">
            <v>4725</v>
          </cell>
          <cell r="BU15">
            <v>9</v>
          </cell>
          <cell r="BV15">
            <v>453.32</v>
          </cell>
          <cell r="BW15">
            <v>0</v>
          </cell>
          <cell r="BX15">
            <v>453.32</v>
          </cell>
          <cell r="BY15">
            <v>0</v>
          </cell>
          <cell r="BZ15">
            <v>433.33</v>
          </cell>
          <cell r="CA15">
            <v>1</v>
          </cell>
          <cell r="CB15">
            <v>1350.03</v>
          </cell>
          <cell r="CC15">
            <v>3</v>
          </cell>
          <cell r="CD15">
            <v>2690</v>
          </cell>
          <cell r="CE15">
            <v>4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226.66</v>
          </cell>
          <cell r="DA15">
            <v>0</v>
          </cell>
          <cell r="DB15">
            <v>226.66</v>
          </cell>
          <cell r="DC15">
            <v>0</v>
          </cell>
          <cell r="DD15">
            <v>226.66</v>
          </cell>
          <cell r="DE15">
            <v>0</v>
          </cell>
          <cell r="DF15">
            <v>796.02</v>
          </cell>
          <cell r="DG15">
            <v>2</v>
          </cell>
          <cell r="DH15">
            <v>1476</v>
          </cell>
          <cell r="DI15">
            <v>2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H15">
            <v>0</v>
          </cell>
          <cell r="EI15">
            <v>0</v>
          </cell>
          <cell r="EJ15">
            <v>0</v>
          </cell>
        </row>
        <row r="16">
          <cell r="A16" t="str">
            <v>SepBodufolhudhoo</v>
          </cell>
          <cell r="B16" t="str">
            <v>Sep</v>
          </cell>
          <cell r="C16" t="str">
            <v>AA.</v>
          </cell>
          <cell r="D16" t="str">
            <v>Bodufolhudhoo</v>
          </cell>
          <cell r="E16">
            <v>0</v>
          </cell>
          <cell r="F16">
            <v>40575</v>
          </cell>
          <cell r="G16">
            <v>166</v>
          </cell>
          <cell r="H16">
            <v>163</v>
          </cell>
          <cell r="I16">
            <v>4</v>
          </cell>
          <cell r="J16">
            <v>0</v>
          </cell>
          <cell r="K16">
            <v>167</v>
          </cell>
          <cell r="L16">
            <v>166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167</v>
          </cell>
          <cell r="U16">
            <v>166</v>
          </cell>
          <cell r="V16">
            <v>1</v>
          </cell>
          <cell r="W16">
            <v>12961</v>
          </cell>
          <cell r="X16">
            <v>45335.9</v>
          </cell>
          <cell r="Y16">
            <v>0</v>
          </cell>
          <cell r="Z16">
            <v>45335.9</v>
          </cell>
          <cell r="AA16">
            <v>40575</v>
          </cell>
          <cell r="AB16">
            <v>1795</v>
          </cell>
          <cell r="AC16">
            <v>42370</v>
          </cell>
          <cell r="AD16">
            <v>33</v>
          </cell>
          <cell r="AE16">
            <v>107</v>
          </cell>
          <cell r="AF16">
            <v>16097.5</v>
          </cell>
          <cell r="AG16">
            <v>68</v>
          </cell>
          <cell r="AH16">
            <v>1140.97</v>
          </cell>
          <cell r="AI16">
            <v>18</v>
          </cell>
          <cell r="AJ16">
            <v>800.65</v>
          </cell>
          <cell r="AK16">
            <v>2</v>
          </cell>
          <cell r="AL16">
            <v>590.32000000000005</v>
          </cell>
          <cell r="AM16">
            <v>1</v>
          </cell>
          <cell r="AN16">
            <v>2650.06</v>
          </cell>
          <cell r="AO16">
            <v>6</v>
          </cell>
          <cell r="AP16">
            <v>5181.9999999999991</v>
          </cell>
          <cell r="AQ16">
            <v>27</v>
          </cell>
          <cell r="AR16">
            <v>186.66</v>
          </cell>
          <cell r="AS16">
            <v>0</v>
          </cell>
          <cell r="AT16">
            <v>111</v>
          </cell>
          <cell r="AU16">
            <v>1</v>
          </cell>
          <cell r="AV16">
            <v>93.33</v>
          </cell>
          <cell r="AW16">
            <v>0</v>
          </cell>
          <cell r="AX16">
            <v>349.01</v>
          </cell>
          <cell r="AY16">
            <v>1</v>
          </cell>
          <cell r="AZ16">
            <v>740</v>
          </cell>
          <cell r="BA16">
            <v>2</v>
          </cell>
          <cell r="BB16">
            <v>9564.3700000000008</v>
          </cell>
          <cell r="BC16">
            <v>29</v>
          </cell>
          <cell r="BD16">
            <v>7542.53</v>
          </cell>
          <cell r="BE16">
            <v>24</v>
          </cell>
          <cell r="BF16">
            <v>4930.7</v>
          </cell>
          <cell r="BG16">
            <v>26</v>
          </cell>
          <cell r="BH16">
            <v>4651.3999999999996</v>
          </cell>
          <cell r="BI16">
            <v>40</v>
          </cell>
          <cell r="BJ16">
            <v>26689</v>
          </cell>
          <cell r="BK16">
            <v>119</v>
          </cell>
          <cell r="BL16">
            <v>747.64</v>
          </cell>
          <cell r="BM16">
            <v>1</v>
          </cell>
          <cell r="BN16">
            <v>600.32000000000005</v>
          </cell>
          <cell r="BO16">
            <v>2</v>
          </cell>
          <cell r="BP16">
            <v>529</v>
          </cell>
          <cell r="BQ16">
            <v>2</v>
          </cell>
          <cell r="BR16">
            <v>1729.04</v>
          </cell>
          <cell r="BS16">
            <v>4</v>
          </cell>
          <cell r="BT16">
            <v>3606</v>
          </cell>
          <cell r="BU16">
            <v>9</v>
          </cell>
          <cell r="BV16">
            <v>493.31</v>
          </cell>
          <cell r="BW16">
            <v>0</v>
          </cell>
          <cell r="BX16">
            <v>434.65</v>
          </cell>
          <cell r="BY16">
            <v>1</v>
          </cell>
          <cell r="BZ16">
            <v>277.01</v>
          </cell>
          <cell r="CA16">
            <v>3</v>
          </cell>
          <cell r="CB16">
            <v>1937.03</v>
          </cell>
          <cell r="CC16">
            <v>3</v>
          </cell>
          <cell r="CD16">
            <v>3142</v>
          </cell>
          <cell r="CE16">
            <v>7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186.66</v>
          </cell>
          <cell r="DA16">
            <v>0</v>
          </cell>
          <cell r="DB16">
            <v>186.66</v>
          </cell>
          <cell r="DC16">
            <v>0</v>
          </cell>
          <cell r="DD16">
            <v>186.66</v>
          </cell>
          <cell r="DE16">
            <v>0</v>
          </cell>
          <cell r="DF16">
            <v>656.02</v>
          </cell>
          <cell r="DG16">
            <v>2</v>
          </cell>
          <cell r="DH16">
            <v>1216</v>
          </cell>
          <cell r="DI16">
            <v>2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H16">
            <v>0</v>
          </cell>
          <cell r="EI16">
            <v>0</v>
          </cell>
          <cell r="EJ16">
            <v>0</v>
          </cell>
        </row>
        <row r="17">
          <cell r="A17" t="str">
            <v>OctBodufolhudhoo</v>
          </cell>
          <cell r="B17" t="str">
            <v>Oct</v>
          </cell>
          <cell r="C17" t="str">
            <v>AA.</v>
          </cell>
          <cell r="D17" t="str">
            <v>Bodufolhudhoo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H17">
            <v>0</v>
          </cell>
          <cell r="EI17">
            <v>0</v>
          </cell>
          <cell r="EJ17">
            <v>0</v>
          </cell>
        </row>
        <row r="18">
          <cell r="A18" t="str">
            <v>NovBodufolhudhoo</v>
          </cell>
          <cell r="B18" t="str">
            <v>Nov</v>
          </cell>
          <cell r="C18" t="str">
            <v>AA.</v>
          </cell>
          <cell r="D18" t="str">
            <v>Bodufolhudhoo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H18">
            <v>0</v>
          </cell>
          <cell r="EI18">
            <v>0</v>
          </cell>
          <cell r="EJ18">
            <v>0</v>
          </cell>
        </row>
        <row r="19">
          <cell r="A19" t="str">
            <v>DecBodufolhudhoo</v>
          </cell>
          <cell r="B19" t="str">
            <v>Dec</v>
          </cell>
          <cell r="C19" t="str">
            <v>AA.</v>
          </cell>
          <cell r="D19" t="str">
            <v>Bodufolhudhoo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H19">
            <v>0</v>
          </cell>
          <cell r="EI19">
            <v>0</v>
          </cell>
          <cell r="EJ19">
            <v>0</v>
          </cell>
        </row>
        <row r="20">
          <cell r="A20" t="str">
            <v>JanDhiffushi</v>
          </cell>
          <cell r="B20" t="str">
            <v>Jan</v>
          </cell>
          <cell r="C20" t="str">
            <v>K.</v>
          </cell>
          <cell r="D20" t="str">
            <v>Dhiffushi</v>
          </cell>
          <cell r="E20">
            <v>0</v>
          </cell>
          <cell r="F20">
            <v>61824</v>
          </cell>
          <cell r="G20">
            <v>318</v>
          </cell>
          <cell r="H20">
            <v>328</v>
          </cell>
          <cell r="I20">
            <v>1</v>
          </cell>
          <cell r="J20">
            <v>2</v>
          </cell>
          <cell r="K20">
            <v>327</v>
          </cell>
          <cell r="L20">
            <v>316</v>
          </cell>
          <cell r="M20">
            <v>11</v>
          </cell>
          <cell r="N20">
            <v>1</v>
          </cell>
          <cell r="O20">
            <v>2</v>
          </cell>
          <cell r="P20">
            <v>1</v>
          </cell>
          <cell r="Q20">
            <v>2</v>
          </cell>
          <cell r="R20">
            <v>2</v>
          </cell>
          <cell r="S20">
            <v>0</v>
          </cell>
          <cell r="T20">
            <v>329</v>
          </cell>
          <cell r="U20">
            <v>318</v>
          </cell>
          <cell r="V20">
            <v>11</v>
          </cell>
          <cell r="W20">
            <v>71898</v>
          </cell>
          <cell r="X20">
            <v>71898</v>
          </cell>
          <cell r="Y20">
            <v>0</v>
          </cell>
          <cell r="Z20">
            <v>71898</v>
          </cell>
          <cell r="AA20">
            <v>61824</v>
          </cell>
          <cell r="AB20">
            <v>1942</v>
          </cell>
          <cell r="AC20">
            <v>63766</v>
          </cell>
          <cell r="AD20">
            <v>70</v>
          </cell>
          <cell r="AE20">
            <v>167</v>
          </cell>
          <cell r="AF20">
            <v>21300</v>
          </cell>
          <cell r="AG20">
            <v>122</v>
          </cell>
          <cell r="AH20">
            <v>1683</v>
          </cell>
          <cell r="AI20">
            <v>23</v>
          </cell>
          <cell r="AJ20">
            <v>1331.66</v>
          </cell>
          <cell r="AK20">
            <v>1</v>
          </cell>
          <cell r="AL20">
            <v>1209.33</v>
          </cell>
          <cell r="AM20">
            <v>2</v>
          </cell>
          <cell r="AN20">
            <v>4394.01</v>
          </cell>
          <cell r="AO20">
            <v>11</v>
          </cell>
          <cell r="AP20">
            <v>8618</v>
          </cell>
          <cell r="AQ20">
            <v>37</v>
          </cell>
          <cell r="AR20">
            <v>216.66</v>
          </cell>
          <cell r="AS20" t="str">
            <v xml:space="preserve"> -   </v>
          </cell>
          <cell r="AT20">
            <v>216.66</v>
          </cell>
          <cell r="AU20" t="str">
            <v xml:space="preserve"> -   </v>
          </cell>
          <cell r="AV20">
            <v>216.66</v>
          </cell>
          <cell r="AW20" t="str">
            <v xml:space="preserve"> -   </v>
          </cell>
          <cell r="AX20">
            <v>1195.02</v>
          </cell>
          <cell r="AY20">
            <v>2</v>
          </cell>
          <cell r="AZ20">
            <v>1845</v>
          </cell>
          <cell r="BA20">
            <v>2</v>
          </cell>
          <cell r="BB20">
            <v>20747.150000000001</v>
          </cell>
          <cell r="BC20">
            <v>77</v>
          </cell>
          <cell r="BD20">
            <v>13352.59</v>
          </cell>
          <cell r="BE20">
            <v>89</v>
          </cell>
          <cell r="BF20">
            <v>6667.19</v>
          </cell>
          <cell r="BG20">
            <v>34</v>
          </cell>
          <cell r="BH20">
            <v>5466.07</v>
          </cell>
          <cell r="BI20">
            <v>50</v>
          </cell>
          <cell r="BJ20">
            <v>46233</v>
          </cell>
          <cell r="BK20">
            <v>250</v>
          </cell>
          <cell r="BL20">
            <v>672.67</v>
          </cell>
          <cell r="BM20">
            <v>11</v>
          </cell>
          <cell r="BN20">
            <v>398.33</v>
          </cell>
          <cell r="BO20">
            <v>1</v>
          </cell>
          <cell r="BP20">
            <v>320</v>
          </cell>
          <cell r="BQ20" t="str">
            <v xml:space="preserve"> -   </v>
          </cell>
          <cell r="BR20">
            <v>898</v>
          </cell>
          <cell r="BS20">
            <v>3</v>
          </cell>
          <cell r="BT20">
            <v>2289</v>
          </cell>
          <cell r="BU20">
            <v>15</v>
          </cell>
          <cell r="BV20">
            <v>307</v>
          </cell>
          <cell r="BW20">
            <v>1</v>
          </cell>
          <cell r="BX20">
            <v>220</v>
          </cell>
          <cell r="BY20" t="str">
            <v xml:space="preserve"> -   </v>
          </cell>
          <cell r="BZ20">
            <v>220</v>
          </cell>
          <cell r="CA20" t="str">
            <v xml:space="preserve"> -   </v>
          </cell>
          <cell r="CB20">
            <v>162</v>
          </cell>
          <cell r="CC20">
            <v>2</v>
          </cell>
          <cell r="CD20">
            <v>909</v>
          </cell>
          <cell r="CE20">
            <v>3</v>
          </cell>
          <cell r="CF20">
            <v>7</v>
          </cell>
          <cell r="CG20">
            <v>2</v>
          </cell>
          <cell r="CH20" t="str">
            <v xml:space="preserve"> -   </v>
          </cell>
          <cell r="CI20" t="str">
            <v xml:space="preserve"> -   </v>
          </cell>
          <cell r="CJ20" t="str">
            <v xml:space="preserve"> -   </v>
          </cell>
          <cell r="CK20" t="str">
            <v xml:space="preserve"> -   </v>
          </cell>
          <cell r="CL20" t="str">
            <v xml:space="preserve"> -   </v>
          </cell>
          <cell r="CM20" t="str">
            <v xml:space="preserve"> -   </v>
          </cell>
          <cell r="CN20">
            <v>7</v>
          </cell>
          <cell r="CO20">
            <v>2</v>
          </cell>
          <cell r="CP20">
            <v>368</v>
          </cell>
          <cell r="CQ20">
            <v>2</v>
          </cell>
          <cell r="CR20">
            <v>111</v>
          </cell>
          <cell r="CS20">
            <v>1</v>
          </cell>
          <cell r="CT20">
            <v>62</v>
          </cell>
          <cell r="CU20">
            <v>1</v>
          </cell>
          <cell r="CV20" t="str">
            <v xml:space="preserve"> -   </v>
          </cell>
          <cell r="CW20" t="str">
            <v xml:space="preserve"> -   </v>
          </cell>
          <cell r="CX20">
            <v>541</v>
          </cell>
          <cell r="CY20">
            <v>4</v>
          </cell>
          <cell r="CZ20">
            <v>516.65</v>
          </cell>
          <cell r="DA20" t="str">
            <v xml:space="preserve"> -   </v>
          </cell>
          <cell r="DB20">
            <v>312.67</v>
          </cell>
          <cell r="DC20">
            <v>3</v>
          </cell>
          <cell r="DD20">
            <v>148.66999999999999</v>
          </cell>
          <cell r="DE20">
            <v>1</v>
          </cell>
          <cell r="DF20">
            <v>404.01</v>
          </cell>
          <cell r="DG20">
            <v>1</v>
          </cell>
          <cell r="DH20">
            <v>1382</v>
          </cell>
          <cell r="DI20">
            <v>5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 t="str">
            <v xml:space="preserve"> -   </v>
          </cell>
          <cell r="DS20" t="str">
            <v xml:space="preserve"> -   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 t="str">
            <v xml:space="preserve"> -   </v>
          </cell>
          <cell r="EC20" t="str">
            <v xml:space="preserve"> -   </v>
          </cell>
          <cell r="ED20">
            <v>0</v>
          </cell>
          <cell r="EE20">
            <v>0</v>
          </cell>
          <cell r="EF20">
            <v>0</v>
          </cell>
          <cell r="EH20">
            <v>0</v>
          </cell>
          <cell r="EI20">
            <v>0</v>
          </cell>
        </row>
        <row r="21">
          <cell r="A21" t="str">
            <v>FebDhiffushi</v>
          </cell>
          <cell r="B21" t="str">
            <v>Feb</v>
          </cell>
          <cell r="C21" t="str">
            <v>K.</v>
          </cell>
          <cell r="D21" t="str">
            <v>Dhiffushi</v>
          </cell>
          <cell r="E21">
            <v>0</v>
          </cell>
          <cell r="F21">
            <v>64481</v>
          </cell>
          <cell r="G21">
            <v>327</v>
          </cell>
          <cell r="H21">
            <v>327</v>
          </cell>
          <cell r="I21">
            <v>2</v>
          </cell>
          <cell r="J21">
            <v>0</v>
          </cell>
          <cell r="K21">
            <v>329</v>
          </cell>
          <cell r="L21">
            <v>327</v>
          </cell>
          <cell r="M21">
            <v>2</v>
          </cell>
          <cell r="N21">
            <v>2</v>
          </cell>
          <cell r="O21">
            <v>0</v>
          </cell>
          <cell r="P21">
            <v>2</v>
          </cell>
          <cell r="Q21">
            <v>0</v>
          </cell>
          <cell r="R21">
            <v>0</v>
          </cell>
          <cell r="S21">
            <v>0</v>
          </cell>
          <cell r="T21">
            <v>329</v>
          </cell>
          <cell r="U21">
            <v>327</v>
          </cell>
          <cell r="V21">
            <v>2</v>
          </cell>
          <cell r="W21">
            <v>68636</v>
          </cell>
          <cell r="X21">
            <v>68636</v>
          </cell>
          <cell r="Y21">
            <v>0</v>
          </cell>
          <cell r="Z21">
            <v>68636</v>
          </cell>
          <cell r="AA21">
            <v>64481</v>
          </cell>
          <cell r="AB21">
            <v>1745</v>
          </cell>
          <cell r="AC21">
            <v>66226</v>
          </cell>
          <cell r="AD21">
            <v>73</v>
          </cell>
          <cell r="AE21">
            <v>177</v>
          </cell>
          <cell r="AF21">
            <v>20641</v>
          </cell>
          <cell r="AG21">
            <v>88</v>
          </cell>
          <cell r="AH21">
            <v>2103.65</v>
          </cell>
          <cell r="AI21">
            <v>25</v>
          </cell>
          <cell r="AJ21">
            <v>1447.65</v>
          </cell>
          <cell r="AK21">
            <v>1</v>
          </cell>
          <cell r="AL21">
            <v>1376.65</v>
          </cell>
          <cell r="AM21" t="str">
            <v xml:space="preserve"> -   </v>
          </cell>
          <cell r="AN21">
            <v>6016.05</v>
          </cell>
          <cell r="AO21">
            <v>14</v>
          </cell>
          <cell r="AP21">
            <v>10944</v>
          </cell>
          <cell r="AQ21">
            <v>40</v>
          </cell>
          <cell r="AR21">
            <v>206.66</v>
          </cell>
          <cell r="AS21" t="str">
            <v xml:space="preserve"> -   </v>
          </cell>
          <cell r="AT21">
            <v>206.66</v>
          </cell>
          <cell r="AU21" t="str">
            <v xml:space="preserve"> -   </v>
          </cell>
          <cell r="AV21">
            <v>206.66</v>
          </cell>
          <cell r="AW21" t="str">
            <v xml:space="preserve"> -   </v>
          </cell>
          <cell r="AX21">
            <v>1192.02</v>
          </cell>
          <cell r="AY21">
            <v>2</v>
          </cell>
          <cell r="AZ21">
            <v>1812</v>
          </cell>
          <cell r="BA21">
            <v>2</v>
          </cell>
          <cell r="BB21">
            <v>20556.650000000001</v>
          </cell>
          <cell r="BC21">
            <v>78</v>
          </cell>
          <cell r="BD21">
            <v>13709.97</v>
          </cell>
          <cell r="BE21">
            <v>86</v>
          </cell>
          <cell r="BF21">
            <v>6530.05</v>
          </cell>
          <cell r="BG21">
            <v>46</v>
          </cell>
          <cell r="BH21">
            <v>5424.33</v>
          </cell>
          <cell r="BI21">
            <v>44</v>
          </cell>
          <cell r="BJ21">
            <v>46221</v>
          </cell>
          <cell r="BK21">
            <v>254</v>
          </cell>
          <cell r="BL21">
            <v>616.34</v>
          </cell>
          <cell r="BM21">
            <v>12</v>
          </cell>
          <cell r="BN21">
            <v>397</v>
          </cell>
          <cell r="BO21">
            <v>1</v>
          </cell>
          <cell r="BP21">
            <v>306.67</v>
          </cell>
          <cell r="BQ21" t="str">
            <v xml:space="preserve"> -   </v>
          </cell>
          <cell r="BR21">
            <v>1005.99</v>
          </cell>
          <cell r="BS21">
            <v>3</v>
          </cell>
          <cell r="BT21">
            <v>2326</v>
          </cell>
          <cell r="BU21">
            <v>16</v>
          </cell>
          <cell r="BV21">
            <v>247.67</v>
          </cell>
          <cell r="BW21">
            <v>1</v>
          </cell>
          <cell r="BX21">
            <v>206.67</v>
          </cell>
          <cell r="BY21" t="str">
            <v xml:space="preserve"> -   </v>
          </cell>
          <cell r="BZ21">
            <v>206.67</v>
          </cell>
          <cell r="CA21" t="str">
            <v xml:space="preserve"> -   </v>
          </cell>
          <cell r="CB21">
            <v>620.99</v>
          </cell>
          <cell r="CC21">
            <v>2</v>
          </cell>
          <cell r="CD21">
            <v>1282</v>
          </cell>
          <cell r="CE21">
            <v>3</v>
          </cell>
          <cell r="CF21">
            <v>5</v>
          </cell>
          <cell r="CG21">
            <v>3</v>
          </cell>
          <cell r="CH21" t="str">
            <v xml:space="preserve"> -   </v>
          </cell>
          <cell r="CI21" t="str">
            <v xml:space="preserve"> -   </v>
          </cell>
          <cell r="CJ21" t="str">
            <v xml:space="preserve"> -   </v>
          </cell>
          <cell r="CK21" t="str">
            <v xml:space="preserve"> -   </v>
          </cell>
          <cell r="CL21" t="str">
            <v xml:space="preserve"> -   </v>
          </cell>
          <cell r="CM21" t="str">
            <v xml:space="preserve"> -   </v>
          </cell>
          <cell r="CN21">
            <v>5</v>
          </cell>
          <cell r="CO21">
            <v>3</v>
          </cell>
          <cell r="CP21">
            <v>336.33</v>
          </cell>
          <cell r="CQ21">
            <v>1</v>
          </cell>
          <cell r="CR21">
            <v>117.67</v>
          </cell>
          <cell r="CS21">
            <v>3</v>
          </cell>
          <cell r="CT21" t="str">
            <v xml:space="preserve"> -   </v>
          </cell>
          <cell r="CU21" t="str">
            <v xml:space="preserve"> -   </v>
          </cell>
          <cell r="CV21" t="str">
            <v xml:space="preserve"> -   </v>
          </cell>
          <cell r="CW21" t="str">
            <v xml:space="preserve"> -   </v>
          </cell>
          <cell r="CX21">
            <v>454</v>
          </cell>
          <cell r="CY21">
            <v>4</v>
          </cell>
          <cell r="CZ21">
            <v>533.35</v>
          </cell>
          <cell r="DA21" t="str">
            <v xml:space="preserve"> -   </v>
          </cell>
          <cell r="DB21">
            <v>324.33</v>
          </cell>
          <cell r="DC21">
            <v>3</v>
          </cell>
          <cell r="DD21">
            <v>162.33000000000001</v>
          </cell>
          <cell r="DE21">
            <v>1</v>
          </cell>
          <cell r="DF21">
            <v>416.99</v>
          </cell>
          <cell r="DG21">
            <v>1</v>
          </cell>
          <cell r="DH21">
            <v>1437</v>
          </cell>
          <cell r="DI21">
            <v>5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 t="str">
            <v xml:space="preserve"> -   </v>
          </cell>
          <cell r="DS21" t="str">
            <v xml:space="preserve"> -   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 t="str">
            <v xml:space="preserve"> -   </v>
          </cell>
          <cell r="EC21" t="str">
            <v xml:space="preserve"> -   </v>
          </cell>
          <cell r="ED21">
            <v>0</v>
          </cell>
          <cell r="EE21">
            <v>0</v>
          </cell>
          <cell r="EF21">
            <v>0</v>
          </cell>
          <cell r="EH21">
            <v>0</v>
          </cell>
          <cell r="EI21">
            <v>0</v>
          </cell>
        </row>
        <row r="22">
          <cell r="A22" t="str">
            <v>MarDhiffushi</v>
          </cell>
          <cell r="B22" t="str">
            <v>Mar</v>
          </cell>
          <cell r="C22" t="str">
            <v>K.</v>
          </cell>
          <cell r="D22" t="str">
            <v>Dhiffushi</v>
          </cell>
          <cell r="E22">
            <v>0</v>
          </cell>
          <cell r="F22">
            <v>66060</v>
          </cell>
          <cell r="G22">
            <v>323</v>
          </cell>
          <cell r="H22">
            <v>329</v>
          </cell>
          <cell r="I22">
            <v>2</v>
          </cell>
          <cell r="J22">
            <v>0</v>
          </cell>
          <cell r="K22">
            <v>331</v>
          </cell>
          <cell r="L22">
            <v>322</v>
          </cell>
          <cell r="M22">
            <v>10</v>
          </cell>
          <cell r="N22">
            <v>0</v>
          </cell>
          <cell r="O22">
            <v>1</v>
          </cell>
          <cell r="P22">
            <v>0</v>
          </cell>
          <cell r="Q22">
            <v>1</v>
          </cell>
          <cell r="R22">
            <v>1</v>
          </cell>
          <cell r="S22">
            <v>0</v>
          </cell>
          <cell r="T22">
            <v>332</v>
          </cell>
          <cell r="U22">
            <v>323</v>
          </cell>
          <cell r="V22">
            <v>10</v>
          </cell>
          <cell r="W22">
            <v>84608</v>
          </cell>
          <cell r="X22">
            <v>84608</v>
          </cell>
          <cell r="Y22">
            <v>0</v>
          </cell>
          <cell r="Z22">
            <v>84608</v>
          </cell>
          <cell r="AA22">
            <v>66060</v>
          </cell>
          <cell r="AB22">
            <v>2362</v>
          </cell>
          <cell r="AC22">
            <v>68422</v>
          </cell>
          <cell r="AD22">
            <v>78</v>
          </cell>
          <cell r="AE22">
            <v>191</v>
          </cell>
          <cell r="AF22">
            <v>25786</v>
          </cell>
          <cell r="AG22">
            <v>160</v>
          </cell>
          <cell r="AH22">
            <v>2075.98</v>
          </cell>
          <cell r="AI22">
            <v>22</v>
          </cell>
          <cell r="AJ22">
            <v>1611.32</v>
          </cell>
          <cell r="AK22">
            <v>2</v>
          </cell>
          <cell r="AL22">
            <v>1433.65</v>
          </cell>
          <cell r="AM22">
            <v>1</v>
          </cell>
          <cell r="AN22">
            <v>8620.0499999999993</v>
          </cell>
          <cell r="AO22">
            <v>15</v>
          </cell>
          <cell r="AP22">
            <v>13741</v>
          </cell>
          <cell r="AQ22">
            <v>40</v>
          </cell>
          <cell r="AR22">
            <v>183.33</v>
          </cell>
          <cell r="AS22" t="str">
            <v xml:space="preserve"> -   </v>
          </cell>
          <cell r="AT22">
            <v>183.33</v>
          </cell>
          <cell r="AU22" t="str">
            <v xml:space="preserve"> -   </v>
          </cell>
          <cell r="AV22">
            <v>183.33</v>
          </cell>
          <cell r="AW22" t="str">
            <v xml:space="preserve"> -   </v>
          </cell>
          <cell r="AX22">
            <v>1120.01</v>
          </cell>
          <cell r="AY22">
            <v>2</v>
          </cell>
          <cell r="AZ22">
            <v>1670</v>
          </cell>
          <cell r="BA22">
            <v>2</v>
          </cell>
          <cell r="BB22">
            <v>19032.25</v>
          </cell>
          <cell r="BC22">
            <v>75</v>
          </cell>
          <cell r="BD22">
            <v>13123.93</v>
          </cell>
          <cell r="BE22">
            <v>82</v>
          </cell>
          <cell r="BF22">
            <v>6698.39</v>
          </cell>
          <cell r="BG22">
            <v>37</v>
          </cell>
          <cell r="BH22">
            <v>6598.43</v>
          </cell>
          <cell r="BI22">
            <v>56</v>
          </cell>
          <cell r="BJ22">
            <v>45453</v>
          </cell>
          <cell r="BK22">
            <v>250</v>
          </cell>
          <cell r="BL22">
            <v>623</v>
          </cell>
          <cell r="BM22">
            <v>12</v>
          </cell>
          <cell r="BN22">
            <v>360</v>
          </cell>
          <cell r="BO22" t="str">
            <v xml:space="preserve"> -   </v>
          </cell>
          <cell r="BP22">
            <v>292.99</v>
          </cell>
          <cell r="BQ22">
            <v>1</v>
          </cell>
          <cell r="BR22">
            <v>1056.01</v>
          </cell>
          <cell r="BS22">
            <v>3</v>
          </cell>
          <cell r="BT22">
            <v>2332</v>
          </cell>
          <cell r="BU22">
            <v>16</v>
          </cell>
          <cell r="BV22">
            <v>201.34</v>
          </cell>
          <cell r="BW22">
            <v>1</v>
          </cell>
          <cell r="BX22">
            <v>173.34</v>
          </cell>
          <cell r="BY22" t="str">
            <v xml:space="preserve"> -   </v>
          </cell>
          <cell r="BZ22">
            <v>173.34</v>
          </cell>
          <cell r="CA22" t="str">
            <v xml:space="preserve"> -   </v>
          </cell>
          <cell r="CB22">
            <v>626.98</v>
          </cell>
          <cell r="CC22">
            <v>2</v>
          </cell>
          <cell r="CD22">
            <v>1175</v>
          </cell>
          <cell r="CE22">
            <v>3</v>
          </cell>
          <cell r="CF22">
            <v>3</v>
          </cell>
          <cell r="CG22">
            <v>3</v>
          </cell>
          <cell r="CH22" t="str">
            <v xml:space="preserve"> -   </v>
          </cell>
          <cell r="CI22" t="str">
            <v xml:space="preserve"> -   </v>
          </cell>
          <cell r="CJ22" t="str">
            <v xml:space="preserve"> -   </v>
          </cell>
          <cell r="CK22" t="str">
            <v xml:space="preserve"> -   </v>
          </cell>
          <cell r="CL22" t="str">
            <v xml:space="preserve"> -   </v>
          </cell>
          <cell r="CM22" t="str">
            <v xml:space="preserve"> -   </v>
          </cell>
          <cell r="CN22">
            <v>3</v>
          </cell>
          <cell r="CO22">
            <v>3</v>
          </cell>
          <cell r="CP22">
            <v>327.33</v>
          </cell>
          <cell r="CQ22">
            <v>1</v>
          </cell>
          <cell r="CR22">
            <v>146.66999999999999</v>
          </cell>
          <cell r="CS22">
            <v>3</v>
          </cell>
          <cell r="CT22" t="str">
            <v xml:space="preserve"> -   </v>
          </cell>
          <cell r="CU22" t="str">
            <v xml:space="preserve"> -   </v>
          </cell>
          <cell r="CV22" t="str">
            <v xml:space="preserve"> -   </v>
          </cell>
          <cell r="CW22" t="str">
            <v xml:space="preserve"> -   </v>
          </cell>
          <cell r="CX22">
            <v>474</v>
          </cell>
          <cell r="CY22">
            <v>4</v>
          </cell>
          <cell r="CZ22">
            <v>450</v>
          </cell>
          <cell r="DA22" t="str">
            <v xml:space="preserve"> -   </v>
          </cell>
          <cell r="DB22">
            <v>273</v>
          </cell>
          <cell r="DC22">
            <v>3</v>
          </cell>
          <cell r="DD22">
            <v>137</v>
          </cell>
          <cell r="DE22">
            <v>1</v>
          </cell>
          <cell r="DF22">
            <v>352</v>
          </cell>
          <cell r="DG22">
            <v>1</v>
          </cell>
          <cell r="DH22">
            <v>1212</v>
          </cell>
          <cell r="DI22">
            <v>5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 t="str">
            <v xml:space="preserve"> -   </v>
          </cell>
          <cell r="DS22" t="str">
            <v xml:space="preserve"> -   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 t="str">
            <v xml:space="preserve"> -   </v>
          </cell>
          <cell r="EC22" t="str">
            <v xml:space="preserve"> -   </v>
          </cell>
          <cell r="ED22">
            <v>0</v>
          </cell>
          <cell r="EE22">
            <v>0</v>
          </cell>
          <cell r="EF22">
            <v>0</v>
          </cell>
          <cell r="EH22">
            <v>0</v>
          </cell>
          <cell r="EI22">
            <v>0</v>
          </cell>
        </row>
        <row r="23">
          <cell r="A23" t="str">
            <v>AprDhiffushi</v>
          </cell>
          <cell r="B23" t="str">
            <v>Apr</v>
          </cell>
          <cell r="C23" t="str">
            <v>K.</v>
          </cell>
          <cell r="D23" t="str">
            <v>Dhiffushi</v>
          </cell>
          <cell r="E23">
            <v>0</v>
          </cell>
          <cell r="F23">
            <v>78695</v>
          </cell>
          <cell r="G23">
            <v>330</v>
          </cell>
          <cell r="H23">
            <v>331</v>
          </cell>
          <cell r="I23">
            <v>1</v>
          </cell>
          <cell r="J23">
            <v>0</v>
          </cell>
          <cell r="K23">
            <v>332</v>
          </cell>
          <cell r="L23">
            <v>328</v>
          </cell>
          <cell r="M23">
            <v>4</v>
          </cell>
          <cell r="N23">
            <v>1</v>
          </cell>
          <cell r="O23">
            <v>2</v>
          </cell>
          <cell r="P23">
            <v>3</v>
          </cell>
          <cell r="Q23">
            <v>0</v>
          </cell>
          <cell r="R23">
            <v>2</v>
          </cell>
          <cell r="S23">
            <v>0</v>
          </cell>
          <cell r="T23">
            <v>332</v>
          </cell>
          <cell r="U23">
            <v>330</v>
          </cell>
          <cell r="V23">
            <v>4</v>
          </cell>
          <cell r="W23">
            <v>87006</v>
          </cell>
          <cell r="X23">
            <v>87006</v>
          </cell>
          <cell r="Y23">
            <v>0</v>
          </cell>
          <cell r="Z23">
            <v>87006</v>
          </cell>
          <cell r="AA23">
            <v>78695</v>
          </cell>
          <cell r="AB23">
            <v>2154</v>
          </cell>
          <cell r="AC23">
            <v>80849</v>
          </cell>
          <cell r="AD23">
            <v>79</v>
          </cell>
          <cell r="AE23">
            <v>194</v>
          </cell>
          <cell r="AF23">
            <v>25801</v>
          </cell>
          <cell r="AG23">
            <v>120</v>
          </cell>
          <cell r="AH23">
            <v>2754.01</v>
          </cell>
          <cell r="AI23">
            <v>24</v>
          </cell>
          <cell r="AJ23">
            <v>1977.69</v>
          </cell>
          <cell r="AK23">
            <v>3</v>
          </cell>
          <cell r="AL23">
            <v>1826.35</v>
          </cell>
          <cell r="AM23">
            <v>1</v>
          </cell>
          <cell r="AN23">
            <v>11270.95</v>
          </cell>
          <cell r="AO23">
            <v>17</v>
          </cell>
          <cell r="AP23">
            <v>17829</v>
          </cell>
          <cell r="AQ23">
            <v>45</v>
          </cell>
          <cell r="AR23">
            <v>210</v>
          </cell>
          <cell r="AS23">
            <v>0</v>
          </cell>
          <cell r="AT23">
            <v>210</v>
          </cell>
          <cell r="AU23">
            <v>0</v>
          </cell>
          <cell r="AV23">
            <v>210</v>
          </cell>
          <cell r="AW23">
            <v>0</v>
          </cell>
          <cell r="AX23">
            <v>952</v>
          </cell>
          <cell r="AY23">
            <v>2</v>
          </cell>
          <cell r="AZ23">
            <v>1582</v>
          </cell>
          <cell r="BA23">
            <v>2</v>
          </cell>
          <cell r="BB23">
            <v>21651.82</v>
          </cell>
          <cell r="BC23">
            <v>69</v>
          </cell>
          <cell r="BD23">
            <v>15141.36</v>
          </cell>
          <cell r="BE23">
            <v>79</v>
          </cell>
          <cell r="BF23">
            <v>7916.98</v>
          </cell>
          <cell r="BG23">
            <v>49</v>
          </cell>
          <cell r="BH23">
            <v>8590.84</v>
          </cell>
          <cell r="BI23">
            <v>56</v>
          </cell>
          <cell r="BJ23">
            <v>53301</v>
          </cell>
          <cell r="BK23">
            <v>253</v>
          </cell>
          <cell r="BL23">
            <v>701.01</v>
          </cell>
          <cell r="BM23">
            <v>11</v>
          </cell>
          <cell r="BN23">
            <v>492.67</v>
          </cell>
          <cell r="BO23">
            <v>1</v>
          </cell>
          <cell r="BP23">
            <v>338.33</v>
          </cell>
          <cell r="BQ23">
            <v>1</v>
          </cell>
          <cell r="BR23">
            <v>1091.99</v>
          </cell>
          <cell r="BS23">
            <v>3</v>
          </cell>
          <cell r="BT23">
            <v>2624</v>
          </cell>
          <cell r="BU23">
            <v>16</v>
          </cell>
          <cell r="BV23">
            <v>307.33999999999997</v>
          </cell>
          <cell r="BW23">
            <v>1</v>
          </cell>
          <cell r="BX23">
            <v>213.34</v>
          </cell>
          <cell r="BY23">
            <v>0</v>
          </cell>
          <cell r="BZ23">
            <v>213.34</v>
          </cell>
          <cell r="CA23">
            <v>0</v>
          </cell>
          <cell r="CB23">
            <v>470.98</v>
          </cell>
          <cell r="CC23">
            <v>2</v>
          </cell>
          <cell r="CD23">
            <v>1205</v>
          </cell>
          <cell r="CE23">
            <v>3</v>
          </cell>
          <cell r="CF23">
            <v>19</v>
          </cell>
          <cell r="CG23">
            <v>2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19</v>
          </cell>
          <cell r="CO23">
            <v>2</v>
          </cell>
          <cell r="CP23">
            <v>399.66</v>
          </cell>
          <cell r="CQ23">
            <v>1</v>
          </cell>
          <cell r="CR23">
            <v>189</v>
          </cell>
          <cell r="CS23">
            <v>2</v>
          </cell>
          <cell r="CT23">
            <v>65.34</v>
          </cell>
          <cell r="CU23">
            <v>1</v>
          </cell>
          <cell r="CV23">
            <v>0</v>
          </cell>
          <cell r="CW23">
            <v>0</v>
          </cell>
          <cell r="CX23">
            <v>654.00000000000011</v>
          </cell>
          <cell r="CY23">
            <v>4</v>
          </cell>
          <cell r="CZ23">
            <v>550</v>
          </cell>
          <cell r="DA23">
            <v>0</v>
          </cell>
          <cell r="DB23">
            <v>334</v>
          </cell>
          <cell r="DC23">
            <v>3</v>
          </cell>
          <cell r="DD23">
            <v>167</v>
          </cell>
          <cell r="DE23">
            <v>1</v>
          </cell>
          <cell r="DF23">
            <v>430</v>
          </cell>
          <cell r="DG23">
            <v>1</v>
          </cell>
          <cell r="DH23">
            <v>1481</v>
          </cell>
          <cell r="DI23">
            <v>5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H23">
            <v>0</v>
          </cell>
          <cell r="EI23">
            <v>0</v>
          </cell>
        </row>
        <row r="24">
          <cell r="A24" t="str">
            <v>MayDhiffushi</v>
          </cell>
          <cell r="B24" t="str">
            <v>May</v>
          </cell>
          <cell r="C24" t="str">
            <v>K.</v>
          </cell>
          <cell r="D24" t="str">
            <v>Dhiffushi</v>
          </cell>
          <cell r="E24">
            <v>0</v>
          </cell>
          <cell r="F24">
            <v>77597</v>
          </cell>
          <cell r="G24">
            <v>326</v>
          </cell>
          <cell r="H24">
            <v>332</v>
          </cell>
          <cell r="I24">
            <v>0</v>
          </cell>
          <cell r="J24">
            <v>1</v>
          </cell>
          <cell r="K24">
            <v>331</v>
          </cell>
          <cell r="L24">
            <v>325</v>
          </cell>
          <cell r="M24">
            <v>6</v>
          </cell>
          <cell r="N24">
            <v>0</v>
          </cell>
          <cell r="O24">
            <v>1</v>
          </cell>
          <cell r="P24">
            <v>0</v>
          </cell>
          <cell r="Q24">
            <v>1</v>
          </cell>
          <cell r="R24">
            <v>1</v>
          </cell>
          <cell r="S24">
            <v>0</v>
          </cell>
          <cell r="T24">
            <v>332</v>
          </cell>
          <cell r="U24">
            <v>326</v>
          </cell>
          <cell r="V24">
            <v>6</v>
          </cell>
          <cell r="W24">
            <v>84618</v>
          </cell>
          <cell r="X24">
            <v>84618</v>
          </cell>
          <cell r="Y24">
            <v>0</v>
          </cell>
          <cell r="Z24">
            <v>84618</v>
          </cell>
          <cell r="AA24">
            <v>77597</v>
          </cell>
          <cell r="AB24">
            <v>2637</v>
          </cell>
          <cell r="AC24">
            <v>80234</v>
          </cell>
          <cell r="AD24">
            <v>70</v>
          </cell>
          <cell r="AE24">
            <v>203</v>
          </cell>
          <cell r="AF24">
            <v>26848</v>
          </cell>
          <cell r="AG24">
            <v>87</v>
          </cell>
          <cell r="AH24">
            <v>2453.0100000000002</v>
          </cell>
          <cell r="AI24">
            <v>20</v>
          </cell>
          <cell r="AJ24">
            <v>2079.0100000000002</v>
          </cell>
          <cell r="AK24">
            <v>1</v>
          </cell>
          <cell r="AL24">
            <v>1887</v>
          </cell>
          <cell r="AM24">
            <v>3</v>
          </cell>
          <cell r="AN24">
            <v>10883.98</v>
          </cell>
          <cell r="AO24">
            <v>17</v>
          </cell>
          <cell r="AP24">
            <v>17303</v>
          </cell>
          <cell r="AQ24">
            <v>41</v>
          </cell>
          <cell r="AR24">
            <v>196.67</v>
          </cell>
          <cell r="AS24">
            <v>0</v>
          </cell>
          <cell r="AT24">
            <v>196.67</v>
          </cell>
          <cell r="AU24">
            <v>0</v>
          </cell>
          <cell r="AV24">
            <v>196.67</v>
          </cell>
          <cell r="AW24">
            <v>0</v>
          </cell>
          <cell r="AX24">
            <v>996.99</v>
          </cell>
          <cell r="AY24">
            <v>2</v>
          </cell>
          <cell r="AZ24">
            <v>1587.0000000000002</v>
          </cell>
          <cell r="BA24">
            <v>2</v>
          </cell>
          <cell r="BB24">
            <v>21256.28</v>
          </cell>
          <cell r="BC24">
            <v>72</v>
          </cell>
          <cell r="BD24">
            <v>14653.38</v>
          </cell>
          <cell r="BE24">
            <v>73</v>
          </cell>
          <cell r="BF24">
            <v>8097.59</v>
          </cell>
          <cell r="BG24">
            <v>51</v>
          </cell>
          <cell r="BH24">
            <v>8265.75</v>
          </cell>
          <cell r="BI24">
            <v>56</v>
          </cell>
          <cell r="BJ24">
            <v>52273</v>
          </cell>
          <cell r="BK24">
            <v>252</v>
          </cell>
          <cell r="BL24">
            <v>650.66999999999996</v>
          </cell>
          <cell r="BM24">
            <v>11</v>
          </cell>
          <cell r="BN24">
            <v>474.67</v>
          </cell>
          <cell r="BO24">
            <v>1</v>
          </cell>
          <cell r="BP24">
            <v>350.67</v>
          </cell>
          <cell r="BQ24">
            <v>1</v>
          </cell>
          <cell r="BR24">
            <v>1304.99</v>
          </cell>
          <cell r="BS24">
            <v>3</v>
          </cell>
          <cell r="BT24">
            <v>2781</v>
          </cell>
          <cell r="BU24">
            <v>16</v>
          </cell>
          <cell r="BV24">
            <v>320</v>
          </cell>
          <cell r="BW24">
            <v>0</v>
          </cell>
          <cell r="BX24">
            <v>320</v>
          </cell>
          <cell r="BY24">
            <v>0</v>
          </cell>
          <cell r="BZ24">
            <v>315</v>
          </cell>
          <cell r="CA24">
            <v>1</v>
          </cell>
          <cell r="CB24">
            <v>928</v>
          </cell>
          <cell r="CC24">
            <v>2</v>
          </cell>
          <cell r="CD24">
            <v>1883</v>
          </cell>
          <cell r="CE24">
            <v>3</v>
          </cell>
          <cell r="CF24">
            <v>3</v>
          </cell>
          <cell r="CG24">
            <v>3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3</v>
          </cell>
          <cell r="CO24">
            <v>3</v>
          </cell>
          <cell r="CP24">
            <v>370.34</v>
          </cell>
          <cell r="CQ24">
            <v>2</v>
          </cell>
          <cell r="CR24">
            <v>81.66</v>
          </cell>
          <cell r="CS24">
            <v>2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452</v>
          </cell>
          <cell r="CY24">
            <v>4</v>
          </cell>
          <cell r="CZ24">
            <v>490.01</v>
          </cell>
          <cell r="DA24">
            <v>0</v>
          </cell>
          <cell r="DB24">
            <v>298.33</v>
          </cell>
          <cell r="DC24">
            <v>3</v>
          </cell>
          <cell r="DD24">
            <v>148.66999999999999</v>
          </cell>
          <cell r="DE24">
            <v>1</v>
          </cell>
          <cell r="DF24">
            <v>377.99</v>
          </cell>
          <cell r="DG24">
            <v>1</v>
          </cell>
          <cell r="DH24">
            <v>1315</v>
          </cell>
          <cell r="DI24">
            <v>5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H24">
            <v>0</v>
          </cell>
          <cell r="EI24">
            <v>0</v>
          </cell>
        </row>
        <row r="25">
          <cell r="A25" t="str">
            <v>JunDhiffushi</v>
          </cell>
          <cell r="B25" t="str">
            <v>Jun</v>
          </cell>
          <cell r="C25" t="str">
            <v>K.</v>
          </cell>
          <cell r="D25" t="str">
            <v>Dhiffushi</v>
          </cell>
          <cell r="E25">
            <v>0</v>
          </cell>
          <cell r="F25">
            <v>72715</v>
          </cell>
          <cell r="G25">
            <v>319</v>
          </cell>
          <cell r="H25">
            <v>331</v>
          </cell>
          <cell r="I25">
            <v>0</v>
          </cell>
          <cell r="J25">
            <v>1</v>
          </cell>
          <cell r="K25">
            <v>330</v>
          </cell>
          <cell r="L25">
            <v>319</v>
          </cell>
          <cell r="M25">
            <v>11</v>
          </cell>
          <cell r="N25">
            <v>1</v>
          </cell>
          <cell r="O25">
            <v>0</v>
          </cell>
          <cell r="P25">
            <v>1</v>
          </cell>
          <cell r="Q25">
            <v>0</v>
          </cell>
          <cell r="R25">
            <v>0</v>
          </cell>
          <cell r="S25">
            <v>0</v>
          </cell>
          <cell r="T25">
            <v>330</v>
          </cell>
          <cell r="U25">
            <v>319</v>
          </cell>
          <cell r="V25">
            <v>11</v>
          </cell>
          <cell r="W25">
            <v>79959</v>
          </cell>
          <cell r="X25">
            <v>79959</v>
          </cell>
          <cell r="Y25">
            <v>0</v>
          </cell>
          <cell r="Z25">
            <v>79959</v>
          </cell>
          <cell r="AA25">
            <v>72715</v>
          </cell>
          <cell r="AB25">
            <v>1994</v>
          </cell>
          <cell r="AC25">
            <v>74709</v>
          </cell>
          <cell r="AD25">
            <v>28</v>
          </cell>
          <cell r="AE25">
            <v>179</v>
          </cell>
          <cell r="AF25">
            <v>27058</v>
          </cell>
          <cell r="AG25">
            <v>143</v>
          </cell>
          <cell r="AH25">
            <v>2295.31</v>
          </cell>
          <cell r="AI25">
            <v>20</v>
          </cell>
          <cell r="AJ25">
            <v>1789.31</v>
          </cell>
          <cell r="AK25">
            <v>3</v>
          </cell>
          <cell r="AL25">
            <v>1386.32</v>
          </cell>
          <cell r="AM25">
            <v>4</v>
          </cell>
          <cell r="AN25">
            <v>7232.06</v>
          </cell>
          <cell r="AO25">
            <v>12</v>
          </cell>
          <cell r="AP25">
            <v>12703</v>
          </cell>
          <cell r="AQ25">
            <v>39</v>
          </cell>
          <cell r="AR25">
            <v>216.67</v>
          </cell>
          <cell r="AS25">
            <v>0</v>
          </cell>
          <cell r="AT25">
            <v>216.67</v>
          </cell>
          <cell r="AU25">
            <v>0</v>
          </cell>
          <cell r="AV25">
            <v>216.67</v>
          </cell>
          <cell r="AW25">
            <v>0</v>
          </cell>
          <cell r="AX25">
            <v>879.99</v>
          </cell>
          <cell r="AY25">
            <v>2</v>
          </cell>
          <cell r="AZ25">
            <v>1530.0000000000002</v>
          </cell>
          <cell r="BA25">
            <v>2</v>
          </cell>
          <cell r="BB25">
            <v>21106.48</v>
          </cell>
          <cell r="BC25">
            <v>66</v>
          </cell>
          <cell r="BD25">
            <v>15026.64</v>
          </cell>
          <cell r="BE25">
            <v>68</v>
          </cell>
          <cell r="BF25">
            <v>8671.81</v>
          </cell>
          <cell r="BG25">
            <v>53</v>
          </cell>
          <cell r="BH25">
            <v>7809.07</v>
          </cell>
          <cell r="BI25">
            <v>61</v>
          </cell>
          <cell r="BJ25">
            <v>52614</v>
          </cell>
          <cell r="BK25">
            <v>248</v>
          </cell>
          <cell r="BL25">
            <v>601.33000000000004</v>
          </cell>
          <cell r="BM25">
            <v>11</v>
          </cell>
          <cell r="BN25">
            <v>349.67</v>
          </cell>
          <cell r="BO25">
            <v>1</v>
          </cell>
          <cell r="BP25">
            <v>320</v>
          </cell>
          <cell r="BQ25">
            <v>0</v>
          </cell>
          <cell r="BR25">
            <v>1455</v>
          </cell>
          <cell r="BS25">
            <v>3</v>
          </cell>
          <cell r="BT25">
            <v>2726</v>
          </cell>
          <cell r="BU25">
            <v>15</v>
          </cell>
          <cell r="BV25">
            <v>300.01</v>
          </cell>
          <cell r="BW25">
            <v>0</v>
          </cell>
          <cell r="BX25">
            <v>300.01</v>
          </cell>
          <cell r="BY25">
            <v>0</v>
          </cell>
          <cell r="BZ25">
            <v>300.01</v>
          </cell>
          <cell r="CA25">
            <v>0</v>
          </cell>
          <cell r="CB25">
            <v>507.97</v>
          </cell>
          <cell r="CC25">
            <v>3</v>
          </cell>
          <cell r="CD25">
            <v>1408</v>
          </cell>
          <cell r="CE25">
            <v>3</v>
          </cell>
          <cell r="CF25">
            <v>4</v>
          </cell>
          <cell r="CG25">
            <v>3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4</v>
          </cell>
          <cell r="CO25">
            <v>3</v>
          </cell>
          <cell r="CP25">
            <v>323</v>
          </cell>
          <cell r="CQ25">
            <v>3</v>
          </cell>
          <cell r="CR25">
            <v>31</v>
          </cell>
          <cell r="CS25">
            <v>1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354</v>
          </cell>
          <cell r="CY25">
            <v>4</v>
          </cell>
          <cell r="CZ25">
            <v>509.99</v>
          </cell>
          <cell r="DA25">
            <v>0</v>
          </cell>
          <cell r="DB25">
            <v>306.67</v>
          </cell>
          <cell r="DC25">
            <v>3</v>
          </cell>
          <cell r="DD25">
            <v>155.33000000000001</v>
          </cell>
          <cell r="DE25">
            <v>1</v>
          </cell>
          <cell r="DF25">
            <v>404.01</v>
          </cell>
          <cell r="DG25">
            <v>1</v>
          </cell>
          <cell r="DH25">
            <v>1376</v>
          </cell>
          <cell r="DI25">
            <v>5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H25">
            <v>0</v>
          </cell>
          <cell r="EI25">
            <v>0</v>
          </cell>
        </row>
        <row r="26">
          <cell r="A26" t="str">
            <v>JulDhiffushi</v>
          </cell>
          <cell r="B26" t="str">
            <v>Jul</v>
          </cell>
          <cell r="C26" t="str">
            <v>K.</v>
          </cell>
          <cell r="D26" t="str">
            <v>Dhiffushi</v>
          </cell>
          <cell r="E26">
            <v>0</v>
          </cell>
          <cell r="F26">
            <v>83178</v>
          </cell>
          <cell r="G26">
            <v>326</v>
          </cell>
          <cell r="H26">
            <v>330</v>
          </cell>
          <cell r="I26">
            <v>0</v>
          </cell>
          <cell r="J26">
            <v>0</v>
          </cell>
          <cell r="K26">
            <v>330</v>
          </cell>
          <cell r="L26">
            <v>326</v>
          </cell>
          <cell r="M26">
            <v>4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330</v>
          </cell>
          <cell r="U26">
            <v>326</v>
          </cell>
          <cell r="V26">
            <v>4</v>
          </cell>
          <cell r="W26">
            <v>89367</v>
          </cell>
          <cell r="X26">
            <v>89367</v>
          </cell>
          <cell r="Y26">
            <v>0</v>
          </cell>
          <cell r="Z26">
            <v>89367</v>
          </cell>
          <cell r="AA26">
            <v>83178</v>
          </cell>
          <cell r="AB26">
            <v>2305</v>
          </cell>
          <cell r="AC26">
            <v>85483</v>
          </cell>
          <cell r="AD26">
            <v>80</v>
          </cell>
          <cell r="AE26">
            <v>190</v>
          </cell>
          <cell r="AF26">
            <v>31650</v>
          </cell>
          <cell r="AG26">
            <v>99</v>
          </cell>
          <cell r="AH26">
            <v>2888.68</v>
          </cell>
          <cell r="AI26">
            <v>22</v>
          </cell>
          <cell r="AJ26">
            <v>2307.66</v>
          </cell>
          <cell r="AK26">
            <v>4</v>
          </cell>
          <cell r="AL26">
            <v>1619.68</v>
          </cell>
          <cell r="AM26">
            <v>6</v>
          </cell>
          <cell r="AN26">
            <v>9568.98</v>
          </cell>
          <cell r="AO26">
            <v>13</v>
          </cell>
          <cell r="AP26">
            <v>16385</v>
          </cell>
          <cell r="AQ26">
            <v>45</v>
          </cell>
          <cell r="AR26">
            <v>190</v>
          </cell>
          <cell r="AS26">
            <v>0</v>
          </cell>
          <cell r="AT26">
            <v>190</v>
          </cell>
          <cell r="AU26">
            <v>0</v>
          </cell>
          <cell r="AV26">
            <v>190</v>
          </cell>
          <cell r="AW26">
            <v>0</v>
          </cell>
          <cell r="AX26">
            <v>795</v>
          </cell>
          <cell r="AY26">
            <v>2</v>
          </cell>
          <cell r="AZ26">
            <v>1365</v>
          </cell>
          <cell r="BA26">
            <v>2</v>
          </cell>
          <cell r="BB26">
            <v>20444.14</v>
          </cell>
          <cell r="BC26">
            <v>64</v>
          </cell>
          <cell r="BD26">
            <v>15774.74</v>
          </cell>
          <cell r="BE26">
            <v>57</v>
          </cell>
          <cell r="BF26">
            <v>10260.32</v>
          </cell>
          <cell r="BG26">
            <v>47</v>
          </cell>
          <cell r="BH26">
            <v>12993.8</v>
          </cell>
          <cell r="BI26">
            <v>81</v>
          </cell>
          <cell r="BJ26">
            <v>59473</v>
          </cell>
          <cell r="BK26">
            <v>249</v>
          </cell>
          <cell r="BL26">
            <v>708.66</v>
          </cell>
          <cell r="BM26">
            <v>9</v>
          </cell>
          <cell r="BN26">
            <v>534.66</v>
          </cell>
          <cell r="BO26">
            <v>1</v>
          </cell>
          <cell r="BP26">
            <v>322.68</v>
          </cell>
          <cell r="BQ26">
            <v>2</v>
          </cell>
          <cell r="BR26">
            <v>1281</v>
          </cell>
          <cell r="BS26">
            <v>3</v>
          </cell>
          <cell r="BT26">
            <v>2846.9999999999995</v>
          </cell>
          <cell r="BU26">
            <v>15</v>
          </cell>
          <cell r="BV26">
            <v>316.67</v>
          </cell>
          <cell r="BW26">
            <v>0</v>
          </cell>
          <cell r="BX26">
            <v>316.67</v>
          </cell>
          <cell r="BY26">
            <v>0</v>
          </cell>
          <cell r="BZ26">
            <v>244.68</v>
          </cell>
          <cell r="CA26">
            <v>1</v>
          </cell>
          <cell r="CB26">
            <v>410.98</v>
          </cell>
          <cell r="CC26">
            <v>2</v>
          </cell>
          <cell r="CD26">
            <v>1289.0000000000002</v>
          </cell>
          <cell r="CE26">
            <v>3</v>
          </cell>
          <cell r="CF26">
            <v>0</v>
          </cell>
          <cell r="CG26">
            <v>3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3</v>
          </cell>
          <cell r="CP26">
            <v>361.67</v>
          </cell>
          <cell r="CQ26">
            <v>2</v>
          </cell>
          <cell r="CR26">
            <v>111.33</v>
          </cell>
          <cell r="CS26">
            <v>2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473</v>
          </cell>
          <cell r="CY26">
            <v>4</v>
          </cell>
          <cell r="CZ26">
            <v>500</v>
          </cell>
          <cell r="DA26">
            <v>0</v>
          </cell>
          <cell r="DB26">
            <v>303</v>
          </cell>
          <cell r="DC26">
            <v>3</v>
          </cell>
          <cell r="DD26">
            <v>152</v>
          </cell>
          <cell r="DE26">
            <v>1</v>
          </cell>
          <cell r="DF26">
            <v>391</v>
          </cell>
          <cell r="DG26">
            <v>1</v>
          </cell>
          <cell r="DH26">
            <v>1346</v>
          </cell>
          <cell r="DI26">
            <v>5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H26">
            <v>0</v>
          </cell>
          <cell r="EI26">
            <v>0</v>
          </cell>
        </row>
        <row r="27">
          <cell r="A27" t="str">
            <v>AugDhiffushi</v>
          </cell>
          <cell r="B27" t="str">
            <v>Aug</v>
          </cell>
          <cell r="C27" t="str">
            <v>K.</v>
          </cell>
          <cell r="D27" t="str">
            <v>Dhiffushi</v>
          </cell>
          <cell r="E27">
            <v>0</v>
          </cell>
          <cell r="F27">
            <v>84945</v>
          </cell>
          <cell r="G27">
            <v>328</v>
          </cell>
          <cell r="H27">
            <v>330</v>
          </cell>
          <cell r="I27">
            <v>1</v>
          </cell>
          <cell r="J27">
            <v>0</v>
          </cell>
          <cell r="K27">
            <v>331</v>
          </cell>
          <cell r="L27">
            <v>328</v>
          </cell>
          <cell r="M27">
            <v>3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331</v>
          </cell>
          <cell r="U27">
            <v>328</v>
          </cell>
          <cell r="V27">
            <v>3</v>
          </cell>
          <cell r="W27">
            <v>86405</v>
          </cell>
          <cell r="X27">
            <v>93377.83</v>
          </cell>
          <cell r="Y27">
            <v>0</v>
          </cell>
          <cell r="Z27">
            <v>93377.83</v>
          </cell>
          <cell r="AA27">
            <v>84945</v>
          </cell>
          <cell r="AB27">
            <v>2324</v>
          </cell>
          <cell r="AC27">
            <v>87269</v>
          </cell>
          <cell r="AD27">
            <v>77</v>
          </cell>
          <cell r="AE27">
            <v>193</v>
          </cell>
          <cell r="AF27">
            <v>28517</v>
          </cell>
          <cell r="AG27">
            <v>120</v>
          </cell>
          <cell r="AH27">
            <v>2759.34</v>
          </cell>
          <cell r="AI27">
            <v>21</v>
          </cell>
          <cell r="AJ27">
            <v>2219.66</v>
          </cell>
          <cell r="AK27">
            <v>3</v>
          </cell>
          <cell r="AL27">
            <v>1903.03</v>
          </cell>
          <cell r="AM27">
            <v>3</v>
          </cell>
          <cell r="AN27">
            <v>12672.97</v>
          </cell>
          <cell r="AO27">
            <v>17</v>
          </cell>
          <cell r="AP27">
            <v>19555</v>
          </cell>
          <cell r="AQ27">
            <v>44</v>
          </cell>
          <cell r="AR27">
            <v>213.33</v>
          </cell>
          <cell r="AS27">
            <v>0</v>
          </cell>
          <cell r="AT27">
            <v>213.33</v>
          </cell>
          <cell r="AU27">
            <v>0</v>
          </cell>
          <cell r="AV27">
            <v>213.33</v>
          </cell>
          <cell r="AW27">
            <v>0</v>
          </cell>
          <cell r="AX27">
            <v>951.01</v>
          </cell>
          <cell r="AY27">
            <v>2</v>
          </cell>
          <cell r="AZ27">
            <v>1590.9999999999998</v>
          </cell>
          <cell r="BA27">
            <v>2</v>
          </cell>
          <cell r="BB27">
            <v>22300.67</v>
          </cell>
          <cell r="BC27">
            <v>65</v>
          </cell>
          <cell r="BD27">
            <v>16179.87</v>
          </cell>
          <cell r="BE27">
            <v>71</v>
          </cell>
          <cell r="BF27">
            <v>9300.1</v>
          </cell>
          <cell r="BG27">
            <v>54</v>
          </cell>
          <cell r="BH27">
            <v>9442.36</v>
          </cell>
          <cell r="BI27">
            <v>62</v>
          </cell>
          <cell r="BJ27">
            <v>57223</v>
          </cell>
          <cell r="BK27">
            <v>252</v>
          </cell>
          <cell r="BL27">
            <v>748.67</v>
          </cell>
          <cell r="BM27">
            <v>11</v>
          </cell>
          <cell r="BN27">
            <v>450.33</v>
          </cell>
          <cell r="BO27">
            <v>1</v>
          </cell>
          <cell r="BP27">
            <v>356.99</v>
          </cell>
          <cell r="BQ27">
            <v>1</v>
          </cell>
          <cell r="BR27">
            <v>1287.01</v>
          </cell>
          <cell r="BS27">
            <v>3</v>
          </cell>
          <cell r="BT27">
            <v>2843</v>
          </cell>
          <cell r="BU27">
            <v>16</v>
          </cell>
          <cell r="BV27">
            <v>279.99</v>
          </cell>
          <cell r="BW27">
            <v>0</v>
          </cell>
          <cell r="BX27">
            <v>279.99</v>
          </cell>
          <cell r="BY27">
            <v>0</v>
          </cell>
          <cell r="BZ27">
            <v>279.99</v>
          </cell>
          <cell r="CA27">
            <v>0</v>
          </cell>
          <cell r="CB27">
            <v>978.03</v>
          </cell>
          <cell r="CC27">
            <v>3</v>
          </cell>
          <cell r="CD27">
            <v>1818</v>
          </cell>
          <cell r="CE27">
            <v>3</v>
          </cell>
          <cell r="CF27">
            <v>1</v>
          </cell>
          <cell r="CG27">
            <v>2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1</v>
          </cell>
          <cell r="CO27">
            <v>2</v>
          </cell>
          <cell r="CP27">
            <v>402.34</v>
          </cell>
          <cell r="CQ27">
            <v>1</v>
          </cell>
          <cell r="CR27">
            <v>121.66</v>
          </cell>
          <cell r="CS27">
            <v>3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524</v>
          </cell>
          <cell r="CY27">
            <v>4</v>
          </cell>
          <cell r="CZ27">
            <v>516.65</v>
          </cell>
          <cell r="DA27">
            <v>0</v>
          </cell>
          <cell r="DB27">
            <v>312.67</v>
          </cell>
          <cell r="DC27">
            <v>3</v>
          </cell>
          <cell r="DD27">
            <v>156.66999999999999</v>
          </cell>
          <cell r="DE27">
            <v>1</v>
          </cell>
          <cell r="DF27">
            <v>404.01</v>
          </cell>
          <cell r="DG27">
            <v>1</v>
          </cell>
          <cell r="DH27">
            <v>1390</v>
          </cell>
          <cell r="DI27">
            <v>5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H27">
            <v>0</v>
          </cell>
          <cell r="EI27">
            <v>0</v>
          </cell>
        </row>
        <row r="28">
          <cell r="A28" t="str">
            <v>SepDhiffushi</v>
          </cell>
          <cell r="B28" t="str">
            <v>Sep</v>
          </cell>
          <cell r="C28" t="str">
            <v>K.</v>
          </cell>
          <cell r="D28" t="str">
            <v>Dhiffushi</v>
          </cell>
          <cell r="E28">
            <v>0</v>
          </cell>
          <cell r="F28">
            <v>75368</v>
          </cell>
          <cell r="G28">
            <v>320</v>
          </cell>
          <cell r="H28">
            <v>331</v>
          </cell>
          <cell r="I28">
            <v>0</v>
          </cell>
          <cell r="J28">
            <v>0</v>
          </cell>
          <cell r="K28">
            <v>331</v>
          </cell>
          <cell r="L28">
            <v>320</v>
          </cell>
          <cell r="M28">
            <v>11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331</v>
          </cell>
          <cell r="U28">
            <v>320</v>
          </cell>
          <cell r="V28">
            <v>11</v>
          </cell>
          <cell r="W28">
            <v>81224</v>
          </cell>
          <cell r="X28">
            <v>81224</v>
          </cell>
          <cell r="Y28">
            <v>0</v>
          </cell>
          <cell r="Z28">
            <v>81224</v>
          </cell>
          <cell r="AA28">
            <v>75368</v>
          </cell>
          <cell r="AB28">
            <v>2093</v>
          </cell>
          <cell r="AC28">
            <v>77461</v>
          </cell>
          <cell r="AD28">
            <v>48</v>
          </cell>
          <cell r="AE28">
            <v>188</v>
          </cell>
          <cell r="AF28">
            <v>27235</v>
          </cell>
          <cell r="AG28">
            <v>118</v>
          </cell>
          <cell r="AH28">
            <v>2448.36</v>
          </cell>
          <cell r="AI28">
            <v>17</v>
          </cell>
          <cell r="AJ28">
            <v>2093.02</v>
          </cell>
          <cell r="AK28">
            <v>2</v>
          </cell>
          <cell r="AL28">
            <v>1821.7</v>
          </cell>
          <cell r="AM28">
            <v>3</v>
          </cell>
          <cell r="AN28">
            <v>9235.92</v>
          </cell>
          <cell r="AO28">
            <v>17</v>
          </cell>
          <cell r="AP28">
            <v>15599.000000000002</v>
          </cell>
          <cell r="AQ28">
            <v>39</v>
          </cell>
          <cell r="AR28">
            <v>220</v>
          </cell>
          <cell r="AS28">
            <v>0</v>
          </cell>
          <cell r="AT28">
            <v>220</v>
          </cell>
          <cell r="AU28">
            <v>0</v>
          </cell>
          <cell r="AV28">
            <v>220</v>
          </cell>
          <cell r="AW28">
            <v>0</v>
          </cell>
          <cell r="AX28">
            <v>937</v>
          </cell>
          <cell r="AY28">
            <v>2</v>
          </cell>
          <cell r="AZ28">
            <v>1597</v>
          </cell>
          <cell r="BA28">
            <v>2</v>
          </cell>
          <cell r="BB28">
            <v>21005.78</v>
          </cell>
          <cell r="BC28">
            <v>67</v>
          </cell>
          <cell r="BD28">
            <v>15071.68</v>
          </cell>
          <cell r="BE28">
            <v>71</v>
          </cell>
          <cell r="BF28">
            <v>8052.65</v>
          </cell>
          <cell r="BG28">
            <v>58</v>
          </cell>
          <cell r="BH28">
            <v>8370.89</v>
          </cell>
          <cell r="BI28">
            <v>56</v>
          </cell>
          <cell r="BJ28">
            <v>52501</v>
          </cell>
          <cell r="BK28">
            <v>252</v>
          </cell>
          <cell r="BL28">
            <v>569.01</v>
          </cell>
          <cell r="BM28">
            <v>9</v>
          </cell>
          <cell r="BN28">
            <v>360.33</v>
          </cell>
          <cell r="BO28">
            <v>2</v>
          </cell>
          <cell r="BP28">
            <v>276.67</v>
          </cell>
          <cell r="BQ28">
            <v>0</v>
          </cell>
          <cell r="BR28">
            <v>1053.99</v>
          </cell>
          <cell r="BS28">
            <v>3</v>
          </cell>
          <cell r="BT28">
            <v>2260</v>
          </cell>
          <cell r="BU28">
            <v>14</v>
          </cell>
          <cell r="BV28">
            <v>263.33</v>
          </cell>
          <cell r="BW28">
            <v>0</v>
          </cell>
          <cell r="BX28">
            <v>263.33</v>
          </cell>
          <cell r="BY28">
            <v>0</v>
          </cell>
          <cell r="BZ28">
            <v>263.33</v>
          </cell>
          <cell r="CA28">
            <v>0</v>
          </cell>
          <cell r="CB28">
            <v>764.01</v>
          </cell>
          <cell r="CC28">
            <v>3</v>
          </cell>
          <cell r="CD28">
            <v>1553.9999999999998</v>
          </cell>
          <cell r="CE28">
            <v>3</v>
          </cell>
          <cell r="CF28">
            <v>0</v>
          </cell>
          <cell r="CG28">
            <v>1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1</v>
          </cell>
          <cell r="CP28">
            <v>380.01</v>
          </cell>
          <cell r="CQ28">
            <v>0</v>
          </cell>
          <cell r="CR28">
            <v>86.99</v>
          </cell>
          <cell r="CS28">
            <v>4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467</v>
          </cell>
          <cell r="CY28">
            <v>4</v>
          </cell>
          <cell r="CZ28">
            <v>516.65</v>
          </cell>
          <cell r="DA28">
            <v>0</v>
          </cell>
          <cell r="DB28">
            <v>312.67</v>
          </cell>
          <cell r="DC28">
            <v>3</v>
          </cell>
          <cell r="DD28">
            <v>156.66999999999999</v>
          </cell>
          <cell r="DE28">
            <v>1</v>
          </cell>
          <cell r="DF28">
            <v>404.01</v>
          </cell>
          <cell r="DG28">
            <v>1</v>
          </cell>
          <cell r="DH28">
            <v>1390</v>
          </cell>
          <cell r="DI28">
            <v>5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H28">
            <v>0</v>
          </cell>
          <cell r="EI28">
            <v>0</v>
          </cell>
        </row>
        <row r="29">
          <cell r="A29" t="str">
            <v>OctDhiffushi</v>
          </cell>
          <cell r="B29" t="str">
            <v>Oct</v>
          </cell>
          <cell r="C29" t="str">
            <v>K.</v>
          </cell>
          <cell r="D29" t="str">
            <v>Dhiffushi</v>
          </cell>
          <cell r="E29">
            <v>0</v>
          </cell>
          <cell r="F29">
            <v>83635</v>
          </cell>
          <cell r="G29">
            <v>319</v>
          </cell>
          <cell r="H29">
            <v>331</v>
          </cell>
          <cell r="I29">
            <v>1</v>
          </cell>
          <cell r="J29">
            <v>0</v>
          </cell>
          <cell r="K29">
            <v>332</v>
          </cell>
          <cell r="L29">
            <v>317</v>
          </cell>
          <cell r="M29">
            <v>15</v>
          </cell>
          <cell r="N29">
            <v>0</v>
          </cell>
          <cell r="O29">
            <v>2</v>
          </cell>
          <cell r="P29">
            <v>0</v>
          </cell>
          <cell r="Q29">
            <v>2</v>
          </cell>
          <cell r="R29">
            <v>2</v>
          </cell>
          <cell r="S29">
            <v>0</v>
          </cell>
          <cell r="T29">
            <v>334</v>
          </cell>
          <cell r="U29">
            <v>319</v>
          </cell>
          <cell r="V29">
            <v>15</v>
          </cell>
          <cell r="W29">
            <v>88002</v>
          </cell>
          <cell r="X29">
            <v>88002</v>
          </cell>
          <cell r="Y29">
            <v>0</v>
          </cell>
          <cell r="Z29">
            <v>88002</v>
          </cell>
          <cell r="AA29">
            <v>83635</v>
          </cell>
          <cell r="AB29">
            <v>2522</v>
          </cell>
          <cell r="AC29">
            <v>86157</v>
          </cell>
          <cell r="AD29">
            <v>83</v>
          </cell>
          <cell r="AE29">
            <v>202</v>
          </cell>
          <cell r="AF29">
            <v>27982</v>
          </cell>
          <cell r="AG29">
            <v>120</v>
          </cell>
          <cell r="AH29">
            <v>2807.32</v>
          </cell>
          <cell r="AI29">
            <v>20</v>
          </cell>
          <cell r="AJ29">
            <v>2249.3200000000002</v>
          </cell>
          <cell r="AK29">
            <v>2</v>
          </cell>
          <cell r="AL29">
            <v>1986.31</v>
          </cell>
          <cell r="AM29">
            <v>3</v>
          </cell>
          <cell r="AN29">
            <v>10936.05</v>
          </cell>
          <cell r="AO29">
            <v>17</v>
          </cell>
          <cell r="AP29">
            <v>17979</v>
          </cell>
          <cell r="AQ29">
            <v>42</v>
          </cell>
          <cell r="AR29">
            <v>266.67</v>
          </cell>
          <cell r="AS29">
            <v>0</v>
          </cell>
          <cell r="AT29">
            <v>266.67</v>
          </cell>
          <cell r="AU29">
            <v>0</v>
          </cell>
          <cell r="AV29">
            <v>266.67</v>
          </cell>
          <cell r="AW29">
            <v>0</v>
          </cell>
          <cell r="AX29">
            <v>1233.99</v>
          </cell>
          <cell r="AY29">
            <v>3</v>
          </cell>
          <cell r="AZ29">
            <v>2034.0000000000002</v>
          </cell>
          <cell r="BA29">
            <v>3</v>
          </cell>
          <cell r="BB29">
            <v>21628.66</v>
          </cell>
          <cell r="BC29">
            <v>63</v>
          </cell>
          <cell r="BD29">
            <v>15873.38</v>
          </cell>
          <cell r="BE29">
            <v>66</v>
          </cell>
          <cell r="BF29">
            <v>9565.0499999999993</v>
          </cell>
          <cell r="BG29">
            <v>56</v>
          </cell>
          <cell r="BH29">
            <v>10232.91</v>
          </cell>
          <cell r="BI29">
            <v>61</v>
          </cell>
          <cell r="BJ29">
            <v>57300</v>
          </cell>
          <cell r="BK29">
            <v>246</v>
          </cell>
          <cell r="BL29">
            <v>628.66</v>
          </cell>
          <cell r="BM29">
            <v>11</v>
          </cell>
          <cell r="BN29">
            <v>415</v>
          </cell>
          <cell r="BO29">
            <v>1</v>
          </cell>
          <cell r="BP29">
            <v>333.33</v>
          </cell>
          <cell r="BQ29">
            <v>0</v>
          </cell>
          <cell r="BR29">
            <v>1152.01</v>
          </cell>
          <cell r="BS29">
            <v>3</v>
          </cell>
          <cell r="BT29">
            <v>2529</v>
          </cell>
          <cell r="BU29">
            <v>15</v>
          </cell>
          <cell r="BV29">
            <v>350.01</v>
          </cell>
          <cell r="BW29">
            <v>0</v>
          </cell>
          <cell r="BX29">
            <v>350.01</v>
          </cell>
          <cell r="BY29">
            <v>0</v>
          </cell>
          <cell r="BZ29">
            <v>350.01</v>
          </cell>
          <cell r="CA29">
            <v>0</v>
          </cell>
          <cell r="CB29">
            <v>815.97</v>
          </cell>
          <cell r="CC29">
            <v>3</v>
          </cell>
          <cell r="CD29">
            <v>1866</v>
          </cell>
          <cell r="CE29">
            <v>3</v>
          </cell>
          <cell r="CF29">
            <v>40</v>
          </cell>
          <cell r="CG29">
            <v>1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40</v>
          </cell>
          <cell r="CO29">
            <v>1</v>
          </cell>
          <cell r="CP29">
            <v>422.33</v>
          </cell>
          <cell r="CQ29">
            <v>1</v>
          </cell>
          <cell r="CR29">
            <v>74.67</v>
          </cell>
          <cell r="CS29">
            <v>3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497</v>
          </cell>
          <cell r="CY29">
            <v>4</v>
          </cell>
          <cell r="CZ29">
            <v>516.65</v>
          </cell>
          <cell r="DA29">
            <v>0</v>
          </cell>
          <cell r="DB29">
            <v>312.67</v>
          </cell>
          <cell r="DC29">
            <v>3</v>
          </cell>
          <cell r="DD29">
            <v>156.66999999999999</v>
          </cell>
          <cell r="DE29">
            <v>1</v>
          </cell>
          <cell r="DF29">
            <v>404.01</v>
          </cell>
          <cell r="DG29">
            <v>1</v>
          </cell>
          <cell r="DH29">
            <v>1390</v>
          </cell>
          <cell r="DI29">
            <v>5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H29">
            <v>0</v>
          </cell>
          <cell r="EI29">
            <v>0</v>
          </cell>
        </row>
        <row r="30">
          <cell r="A30" t="str">
            <v>NovDhiffushi</v>
          </cell>
          <cell r="B30" t="str">
            <v>Nov</v>
          </cell>
          <cell r="C30" t="str">
            <v>K.</v>
          </cell>
          <cell r="D30" t="str">
            <v>Dhiffushi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H30">
            <v>0</v>
          </cell>
          <cell r="EI30">
            <v>0</v>
          </cell>
        </row>
        <row r="31">
          <cell r="A31" t="str">
            <v>DecDhiffushi</v>
          </cell>
          <cell r="B31" t="str">
            <v>Dec</v>
          </cell>
          <cell r="C31" t="str">
            <v>K.</v>
          </cell>
          <cell r="D31" t="str">
            <v>Dhiffushi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H31">
            <v>0</v>
          </cell>
          <cell r="EI31">
            <v>0</v>
          </cell>
        </row>
        <row r="32">
          <cell r="A32" t="str">
            <v>JanDhigurah</v>
          </cell>
          <cell r="B32" t="str">
            <v>Jan</v>
          </cell>
          <cell r="C32" t="str">
            <v>ADh.</v>
          </cell>
          <cell r="D32" t="str">
            <v>Dhigurah</v>
          </cell>
          <cell r="E32">
            <v>0</v>
          </cell>
          <cell r="F32">
            <v>48125</v>
          </cell>
          <cell r="G32">
            <v>195</v>
          </cell>
          <cell r="H32">
            <v>201</v>
          </cell>
          <cell r="I32">
            <v>0</v>
          </cell>
          <cell r="J32">
            <v>0</v>
          </cell>
          <cell r="K32">
            <v>201</v>
          </cell>
          <cell r="L32">
            <v>195</v>
          </cell>
          <cell r="M32">
            <v>6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201</v>
          </cell>
          <cell r="U32">
            <v>195</v>
          </cell>
          <cell r="V32">
            <v>6</v>
          </cell>
          <cell r="W32">
            <v>56447</v>
          </cell>
          <cell r="X32">
            <v>56447</v>
          </cell>
          <cell r="Y32">
            <v>0</v>
          </cell>
          <cell r="Z32">
            <v>56447</v>
          </cell>
          <cell r="AA32">
            <v>48125</v>
          </cell>
          <cell r="AB32">
            <v>1811</v>
          </cell>
          <cell r="AC32">
            <v>49936</v>
          </cell>
          <cell r="AD32">
            <v>52</v>
          </cell>
          <cell r="AE32">
            <v>158</v>
          </cell>
          <cell r="AF32">
            <v>17547</v>
          </cell>
          <cell r="AG32">
            <v>61</v>
          </cell>
          <cell r="AH32">
            <v>2087</v>
          </cell>
          <cell r="AI32">
            <v>19</v>
          </cell>
          <cell r="AJ32">
            <v>1468</v>
          </cell>
          <cell r="AK32">
            <v>3</v>
          </cell>
          <cell r="AL32">
            <v>1205</v>
          </cell>
          <cell r="AM32">
            <v>2</v>
          </cell>
          <cell r="AN32">
            <v>5086</v>
          </cell>
          <cell r="AO32">
            <v>11</v>
          </cell>
          <cell r="AP32">
            <v>9846</v>
          </cell>
          <cell r="AQ32">
            <v>35</v>
          </cell>
          <cell r="AR32">
            <v>200</v>
          </cell>
          <cell r="AS32" t="str">
            <v xml:space="preserve"> -   </v>
          </cell>
          <cell r="AT32">
            <v>200</v>
          </cell>
          <cell r="AU32" t="str">
            <v xml:space="preserve"> -   </v>
          </cell>
          <cell r="AV32">
            <v>200</v>
          </cell>
          <cell r="AW32" t="str">
            <v xml:space="preserve"> -   </v>
          </cell>
          <cell r="AX32">
            <v>983</v>
          </cell>
          <cell r="AY32">
            <v>2</v>
          </cell>
          <cell r="AZ32">
            <v>1583</v>
          </cell>
          <cell r="BA32">
            <v>2</v>
          </cell>
          <cell r="BB32">
            <v>12353.64</v>
          </cell>
          <cell r="BC32">
            <v>38</v>
          </cell>
          <cell r="BD32">
            <v>8975.68</v>
          </cell>
          <cell r="BE32">
            <v>31</v>
          </cell>
          <cell r="BF32">
            <v>5500.66</v>
          </cell>
          <cell r="BG32">
            <v>31</v>
          </cell>
          <cell r="BH32">
            <v>5007.0200000000004</v>
          </cell>
          <cell r="BI32">
            <v>38</v>
          </cell>
          <cell r="BJ32">
            <v>31837</v>
          </cell>
          <cell r="BK32">
            <v>138</v>
          </cell>
          <cell r="BL32">
            <v>760</v>
          </cell>
          <cell r="BM32">
            <v>4</v>
          </cell>
          <cell r="BN32">
            <v>676</v>
          </cell>
          <cell r="BO32">
            <v>1</v>
          </cell>
          <cell r="BP32">
            <v>456</v>
          </cell>
          <cell r="BQ32">
            <v>2</v>
          </cell>
          <cell r="BR32">
            <v>753</v>
          </cell>
          <cell r="BS32">
            <v>4</v>
          </cell>
          <cell r="BT32">
            <v>2645</v>
          </cell>
          <cell r="BU32">
            <v>11</v>
          </cell>
          <cell r="BV32">
            <v>278</v>
          </cell>
          <cell r="BW32">
            <v>1</v>
          </cell>
          <cell r="BX32">
            <v>200</v>
          </cell>
          <cell r="BY32" t="str">
            <v xml:space="preserve"> -   </v>
          </cell>
          <cell r="BZ32">
            <v>145</v>
          </cell>
          <cell r="CA32">
            <v>1</v>
          </cell>
          <cell r="CB32">
            <v>484</v>
          </cell>
          <cell r="CC32">
            <v>1</v>
          </cell>
          <cell r="CD32">
            <v>1107</v>
          </cell>
          <cell r="CE32">
            <v>3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 t="str">
            <v xml:space="preserve"> -   </v>
          </cell>
          <cell r="CO32" t="str">
            <v xml:space="preserve"> -   </v>
          </cell>
          <cell r="CP32">
            <v>87</v>
          </cell>
          <cell r="CQ32">
            <v>2</v>
          </cell>
          <cell r="CR32" t="str">
            <v xml:space="preserve"> -   </v>
          </cell>
          <cell r="CS32" t="str">
            <v xml:space="preserve"> -   </v>
          </cell>
          <cell r="CT32" t="str">
            <v xml:space="preserve"> -   </v>
          </cell>
          <cell r="CU32" t="str">
            <v xml:space="preserve"> -   </v>
          </cell>
          <cell r="CV32" t="str">
            <v xml:space="preserve"> -   </v>
          </cell>
          <cell r="CW32" t="str">
            <v xml:space="preserve"> -   </v>
          </cell>
          <cell r="CX32">
            <v>87</v>
          </cell>
          <cell r="CY32">
            <v>2</v>
          </cell>
          <cell r="CZ32">
            <v>236</v>
          </cell>
          <cell r="DA32">
            <v>2</v>
          </cell>
          <cell r="DB32">
            <v>200</v>
          </cell>
          <cell r="DC32" t="str">
            <v xml:space="preserve"> -   </v>
          </cell>
          <cell r="DD32">
            <v>200</v>
          </cell>
          <cell r="DE32" t="str">
            <v xml:space="preserve"> -   </v>
          </cell>
          <cell r="DF32">
            <v>384</v>
          </cell>
          <cell r="DG32">
            <v>2</v>
          </cell>
          <cell r="DH32">
            <v>1020</v>
          </cell>
          <cell r="DI32">
            <v>4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 t="str">
            <v xml:space="preserve"> -   </v>
          </cell>
          <cell r="DS32" t="str">
            <v xml:space="preserve"> -   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 t="str">
            <v xml:space="preserve"> -   </v>
          </cell>
          <cell r="EC32" t="str">
            <v xml:space="preserve"> -   </v>
          </cell>
          <cell r="ED32">
            <v>0</v>
          </cell>
          <cell r="EE32">
            <v>0</v>
          </cell>
          <cell r="EF32">
            <v>0</v>
          </cell>
          <cell r="EH32">
            <v>0</v>
          </cell>
          <cell r="EI32">
            <v>0</v>
          </cell>
        </row>
        <row r="33">
          <cell r="A33" t="str">
            <v>FebDhigurah</v>
          </cell>
          <cell r="B33" t="str">
            <v>Feb</v>
          </cell>
          <cell r="C33" t="str">
            <v>ADh.</v>
          </cell>
          <cell r="D33" t="str">
            <v>Dhigurah</v>
          </cell>
          <cell r="E33">
            <v>0</v>
          </cell>
          <cell r="F33">
            <v>56167</v>
          </cell>
          <cell r="G33">
            <v>191</v>
          </cell>
          <cell r="H33">
            <v>201</v>
          </cell>
          <cell r="I33">
            <v>2</v>
          </cell>
          <cell r="J33">
            <v>0</v>
          </cell>
          <cell r="K33">
            <v>203</v>
          </cell>
          <cell r="L33">
            <v>191</v>
          </cell>
          <cell r="M33">
            <v>12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203</v>
          </cell>
          <cell r="U33">
            <v>191</v>
          </cell>
          <cell r="V33">
            <v>12</v>
          </cell>
          <cell r="W33">
            <v>55055</v>
          </cell>
          <cell r="X33">
            <v>62014</v>
          </cell>
          <cell r="Y33">
            <v>0</v>
          </cell>
          <cell r="Z33">
            <v>62013.99</v>
          </cell>
          <cell r="AA33">
            <v>56167</v>
          </cell>
          <cell r="AB33">
            <v>1790</v>
          </cell>
          <cell r="AC33">
            <v>57957</v>
          </cell>
          <cell r="AD33">
            <v>55</v>
          </cell>
          <cell r="AE33">
            <v>141</v>
          </cell>
          <cell r="AF33">
            <v>16313</v>
          </cell>
          <cell r="AG33">
            <v>35</v>
          </cell>
          <cell r="AH33">
            <v>2325.39</v>
          </cell>
          <cell r="AI33">
            <v>15</v>
          </cell>
          <cell r="AJ33">
            <v>1587.03</v>
          </cell>
          <cell r="AK33">
            <v>4</v>
          </cell>
          <cell r="AL33">
            <v>1263.69</v>
          </cell>
          <cell r="AM33">
            <v>2</v>
          </cell>
          <cell r="AN33">
            <v>6922.89</v>
          </cell>
          <cell r="AO33">
            <v>11</v>
          </cell>
          <cell r="AP33">
            <v>12099</v>
          </cell>
          <cell r="AQ33">
            <v>32</v>
          </cell>
          <cell r="AR33">
            <v>213.34</v>
          </cell>
          <cell r="AS33" t="str">
            <v xml:space="preserve"> -   </v>
          </cell>
          <cell r="AT33">
            <v>213.34</v>
          </cell>
          <cell r="AU33" t="str">
            <v xml:space="preserve"> -   </v>
          </cell>
          <cell r="AV33">
            <v>213.34</v>
          </cell>
          <cell r="AW33" t="str">
            <v xml:space="preserve"> -   </v>
          </cell>
          <cell r="AX33">
            <v>1042.98</v>
          </cell>
          <cell r="AY33">
            <v>2</v>
          </cell>
          <cell r="AZ33">
            <v>1683</v>
          </cell>
          <cell r="BA33">
            <v>2</v>
          </cell>
          <cell r="BB33">
            <v>12291.35</v>
          </cell>
          <cell r="BC33">
            <v>32</v>
          </cell>
          <cell r="BD33">
            <v>9727.4699999999993</v>
          </cell>
          <cell r="BE33">
            <v>32</v>
          </cell>
          <cell r="BF33">
            <v>6298.61</v>
          </cell>
          <cell r="BG33">
            <v>30</v>
          </cell>
          <cell r="BH33">
            <v>7947.57</v>
          </cell>
          <cell r="BI33">
            <v>43</v>
          </cell>
          <cell r="BJ33">
            <v>36265</v>
          </cell>
          <cell r="BK33">
            <v>137</v>
          </cell>
          <cell r="BL33">
            <v>822.69</v>
          </cell>
          <cell r="BM33">
            <v>4</v>
          </cell>
          <cell r="BN33">
            <v>740.35</v>
          </cell>
          <cell r="BO33">
            <v>1</v>
          </cell>
          <cell r="BP33">
            <v>548</v>
          </cell>
          <cell r="BQ33">
            <v>2</v>
          </cell>
          <cell r="BR33">
            <v>1208.96</v>
          </cell>
          <cell r="BS33">
            <v>4</v>
          </cell>
          <cell r="BT33">
            <v>3320</v>
          </cell>
          <cell r="BU33">
            <v>11</v>
          </cell>
          <cell r="BV33">
            <v>320.01</v>
          </cell>
          <cell r="BW33" t="str">
            <v xml:space="preserve"> -   </v>
          </cell>
          <cell r="BX33">
            <v>240.67</v>
          </cell>
          <cell r="BY33">
            <v>1</v>
          </cell>
          <cell r="BZ33">
            <v>203.33</v>
          </cell>
          <cell r="CA33">
            <v>1</v>
          </cell>
          <cell r="CB33">
            <v>667.99</v>
          </cell>
          <cell r="CC33">
            <v>1</v>
          </cell>
          <cell r="CD33">
            <v>1432</v>
          </cell>
          <cell r="CE33">
            <v>3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 t="str">
            <v xml:space="preserve"> -   </v>
          </cell>
          <cell r="CO33" t="str">
            <v xml:space="preserve"> -   </v>
          </cell>
          <cell r="CP33">
            <v>213.34</v>
          </cell>
          <cell r="CQ33" t="str">
            <v xml:space="preserve"> -   </v>
          </cell>
          <cell r="CR33">
            <v>67.66</v>
          </cell>
          <cell r="CS33">
            <v>2</v>
          </cell>
          <cell r="CT33" t="str">
            <v xml:space="preserve"> -   </v>
          </cell>
          <cell r="CU33" t="str">
            <v xml:space="preserve"> -   </v>
          </cell>
          <cell r="CV33" t="str">
            <v xml:space="preserve"> -   </v>
          </cell>
          <cell r="CW33" t="str">
            <v xml:space="preserve"> -   </v>
          </cell>
          <cell r="CX33">
            <v>281</v>
          </cell>
          <cell r="CY33">
            <v>2</v>
          </cell>
          <cell r="CZ33">
            <v>251.34</v>
          </cell>
          <cell r="DA33">
            <v>2</v>
          </cell>
          <cell r="DB33">
            <v>213.34</v>
          </cell>
          <cell r="DC33" t="str">
            <v xml:space="preserve"> -   </v>
          </cell>
          <cell r="DD33">
            <v>213.34</v>
          </cell>
          <cell r="DE33" t="str">
            <v xml:space="preserve"> -   </v>
          </cell>
          <cell r="DF33">
            <v>408.98</v>
          </cell>
          <cell r="DG33">
            <v>2</v>
          </cell>
          <cell r="DH33">
            <v>1087</v>
          </cell>
          <cell r="DI33">
            <v>4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 t="str">
            <v xml:space="preserve"> -   </v>
          </cell>
          <cell r="DS33" t="str">
            <v xml:space="preserve"> -   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 t="str">
            <v xml:space="preserve"> -   </v>
          </cell>
          <cell r="EC33" t="str">
            <v xml:space="preserve"> -   </v>
          </cell>
          <cell r="ED33">
            <v>0</v>
          </cell>
          <cell r="EE33">
            <v>0</v>
          </cell>
          <cell r="EF33">
            <v>0</v>
          </cell>
          <cell r="EH33">
            <v>0</v>
          </cell>
          <cell r="EI33">
            <v>0</v>
          </cell>
        </row>
        <row r="34">
          <cell r="A34" t="str">
            <v>MarDhigurah</v>
          </cell>
          <cell r="B34" t="str">
            <v>Mar</v>
          </cell>
          <cell r="C34" t="str">
            <v>ADh.</v>
          </cell>
          <cell r="D34" t="str">
            <v>Dhigurah</v>
          </cell>
          <cell r="E34">
            <v>0</v>
          </cell>
          <cell r="F34">
            <v>50486</v>
          </cell>
          <cell r="G34">
            <v>188</v>
          </cell>
          <cell r="H34">
            <v>203</v>
          </cell>
          <cell r="I34">
            <v>0</v>
          </cell>
          <cell r="J34">
            <v>0</v>
          </cell>
          <cell r="K34">
            <v>203</v>
          </cell>
          <cell r="L34">
            <v>188</v>
          </cell>
          <cell r="M34">
            <v>15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203</v>
          </cell>
          <cell r="U34">
            <v>188</v>
          </cell>
          <cell r="V34">
            <v>15</v>
          </cell>
          <cell r="W34">
            <v>64508</v>
          </cell>
          <cell r="X34">
            <v>64508</v>
          </cell>
          <cell r="Y34">
            <v>0</v>
          </cell>
          <cell r="Z34">
            <v>64508</v>
          </cell>
          <cell r="AA34">
            <v>50486</v>
          </cell>
          <cell r="AB34">
            <v>2143</v>
          </cell>
          <cell r="AC34">
            <v>52629</v>
          </cell>
          <cell r="AD34">
            <v>55</v>
          </cell>
          <cell r="AE34">
            <v>141</v>
          </cell>
          <cell r="AF34">
            <v>16313</v>
          </cell>
          <cell r="AG34">
            <v>35</v>
          </cell>
          <cell r="AH34">
            <v>2045.61</v>
          </cell>
          <cell r="AI34">
            <v>17</v>
          </cell>
          <cell r="AJ34">
            <v>1395.97</v>
          </cell>
          <cell r="AK34">
            <v>4</v>
          </cell>
          <cell r="AL34">
            <v>1141.32</v>
          </cell>
          <cell r="AM34">
            <v>3</v>
          </cell>
          <cell r="AN34">
            <v>5960.1</v>
          </cell>
          <cell r="AO34">
            <v>10</v>
          </cell>
          <cell r="AP34">
            <v>10543</v>
          </cell>
          <cell r="AQ34">
            <v>34</v>
          </cell>
          <cell r="AR34">
            <v>186.66</v>
          </cell>
          <cell r="AS34">
            <v>0</v>
          </cell>
          <cell r="AT34">
            <v>186.66</v>
          </cell>
          <cell r="AU34">
            <v>0</v>
          </cell>
          <cell r="AV34">
            <v>186.66</v>
          </cell>
          <cell r="AW34" t="str">
            <v xml:space="preserve"> -   </v>
          </cell>
          <cell r="AX34">
            <v>1014.02</v>
          </cell>
          <cell r="AY34">
            <v>2</v>
          </cell>
          <cell r="AZ34">
            <v>1574</v>
          </cell>
          <cell r="BA34">
            <v>2</v>
          </cell>
          <cell r="BB34">
            <v>10355</v>
          </cell>
          <cell r="BC34">
            <v>34</v>
          </cell>
          <cell r="BD34">
            <v>8374.52</v>
          </cell>
          <cell r="BE34">
            <v>28</v>
          </cell>
          <cell r="BF34">
            <v>5553.99</v>
          </cell>
          <cell r="BG34">
            <v>23</v>
          </cell>
          <cell r="BH34">
            <v>8505.49</v>
          </cell>
          <cell r="BI34">
            <v>49</v>
          </cell>
          <cell r="BJ34">
            <v>32789</v>
          </cell>
          <cell r="BK34">
            <v>134</v>
          </cell>
          <cell r="BL34">
            <v>688.31</v>
          </cell>
          <cell r="BM34">
            <v>3</v>
          </cell>
          <cell r="BN34">
            <v>624.99</v>
          </cell>
          <cell r="BO34">
            <v>2</v>
          </cell>
          <cell r="BP34">
            <v>466.65</v>
          </cell>
          <cell r="BQ34" t="str">
            <v xml:space="preserve"> -   </v>
          </cell>
          <cell r="BR34">
            <v>1377.05</v>
          </cell>
          <cell r="BS34">
            <v>5</v>
          </cell>
          <cell r="BT34">
            <v>3157</v>
          </cell>
          <cell r="BU34">
            <v>10</v>
          </cell>
          <cell r="BV34">
            <v>279.99</v>
          </cell>
          <cell r="BW34">
            <v>0</v>
          </cell>
          <cell r="BX34">
            <v>196.33</v>
          </cell>
          <cell r="BY34">
            <v>1</v>
          </cell>
          <cell r="BZ34">
            <v>186.66</v>
          </cell>
          <cell r="CA34" t="str">
            <v xml:space="preserve"> -   </v>
          </cell>
          <cell r="CB34">
            <v>611.02</v>
          </cell>
          <cell r="CC34">
            <v>2</v>
          </cell>
          <cell r="CD34">
            <v>1274</v>
          </cell>
          <cell r="CE34">
            <v>3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 t="str">
            <v xml:space="preserve"> -   </v>
          </cell>
          <cell r="CO34" t="str">
            <v xml:space="preserve"> -   </v>
          </cell>
          <cell r="CP34">
            <v>93.33</v>
          </cell>
          <cell r="CQ34">
            <v>0</v>
          </cell>
          <cell r="CR34">
            <v>24.67</v>
          </cell>
          <cell r="CS34">
            <v>1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118</v>
          </cell>
          <cell r="CY34">
            <v>1</v>
          </cell>
          <cell r="CZ34">
            <v>218.66</v>
          </cell>
          <cell r="DA34">
            <v>2</v>
          </cell>
          <cell r="DB34">
            <v>186.66</v>
          </cell>
          <cell r="DC34">
            <v>0</v>
          </cell>
          <cell r="DD34">
            <v>186.66</v>
          </cell>
          <cell r="DE34">
            <v>0</v>
          </cell>
          <cell r="DF34">
            <v>439.02</v>
          </cell>
          <cell r="DG34">
            <v>2</v>
          </cell>
          <cell r="DH34">
            <v>1031</v>
          </cell>
          <cell r="DI34">
            <v>4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 t="str">
            <v xml:space="preserve"> -   </v>
          </cell>
          <cell r="DS34" t="str">
            <v xml:space="preserve"> -   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 t="str">
            <v xml:space="preserve"> -   </v>
          </cell>
          <cell r="EC34" t="str">
            <v xml:space="preserve"> -   </v>
          </cell>
          <cell r="ED34">
            <v>0</v>
          </cell>
          <cell r="EE34">
            <v>0</v>
          </cell>
          <cell r="EF34">
            <v>0</v>
          </cell>
          <cell r="EH34">
            <v>0</v>
          </cell>
          <cell r="EI34">
            <v>0</v>
          </cell>
        </row>
        <row r="35">
          <cell r="A35" t="str">
            <v>AprDhigurah</v>
          </cell>
          <cell r="B35" t="str">
            <v>Apr</v>
          </cell>
          <cell r="C35" t="str">
            <v>ADh.</v>
          </cell>
          <cell r="D35" t="str">
            <v>Dhigurah</v>
          </cell>
          <cell r="E35">
            <v>0</v>
          </cell>
          <cell r="F35">
            <v>62164.2</v>
          </cell>
          <cell r="G35">
            <v>198</v>
          </cell>
          <cell r="H35">
            <v>203</v>
          </cell>
          <cell r="I35">
            <v>1</v>
          </cell>
          <cell r="J35">
            <v>0</v>
          </cell>
          <cell r="K35">
            <v>204</v>
          </cell>
          <cell r="L35">
            <v>198</v>
          </cell>
          <cell r="M35">
            <v>6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204</v>
          </cell>
          <cell r="U35">
            <v>198</v>
          </cell>
          <cell r="V35">
            <v>6</v>
          </cell>
          <cell r="W35">
            <v>67431</v>
          </cell>
          <cell r="X35">
            <v>67431</v>
          </cell>
          <cell r="Y35">
            <v>0</v>
          </cell>
          <cell r="Z35">
            <v>67431</v>
          </cell>
          <cell r="AA35">
            <v>62164.2</v>
          </cell>
          <cell r="AB35">
            <v>2142</v>
          </cell>
          <cell r="AC35">
            <v>64306.2</v>
          </cell>
          <cell r="AD35">
            <v>60</v>
          </cell>
          <cell r="AE35">
            <v>191</v>
          </cell>
          <cell r="AF35">
            <v>21000</v>
          </cell>
          <cell r="AG35">
            <v>62</v>
          </cell>
          <cell r="AH35">
            <v>2563</v>
          </cell>
          <cell r="AI35">
            <v>18</v>
          </cell>
          <cell r="AJ35">
            <v>1814</v>
          </cell>
          <cell r="AK35">
            <v>5</v>
          </cell>
          <cell r="AL35">
            <v>1445</v>
          </cell>
          <cell r="AM35">
            <v>2</v>
          </cell>
          <cell r="AN35">
            <v>7499</v>
          </cell>
          <cell r="AO35">
            <v>12</v>
          </cell>
          <cell r="AP35">
            <v>13321</v>
          </cell>
          <cell r="AQ35">
            <v>37</v>
          </cell>
          <cell r="AR35">
            <v>220</v>
          </cell>
          <cell r="AS35">
            <v>0</v>
          </cell>
          <cell r="AT35">
            <v>220</v>
          </cell>
          <cell r="AU35">
            <v>0</v>
          </cell>
          <cell r="AV35">
            <v>220</v>
          </cell>
          <cell r="AW35">
            <v>0</v>
          </cell>
          <cell r="AX35">
            <v>1270</v>
          </cell>
          <cell r="AY35">
            <v>2</v>
          </cell>
          <cell r="AZ35">
            <v>1930</v>
          </cell>
          <cell r="BA35">
            <v>2</v>
          </cell>
          <cell r="BB35">
            <v>13165.65</v>
          </cell>
          <cell r="BC35">
            <v>35</v>
          </cell>
          <cell r="BD35">
            <v>9978.8700000000008</v>
          </cell>
          <cell r="BE35">
            <v>35</v>
          </cell>
          <cell r="BF35">
            <v>6437.66</v>
          </cell>
          <cell r="BG35">
            <v>25</v>
          </cell>
          <cell r="BH35">
            <v>10525.02</v>
          </cell>
          <cell r="BI35">
            <v>44</v>
          </cell>
          <cell r="BJ35">
            <v>40107.199999999997</v>
          </cell>
          <cell r="BK35">
            <v>139</v>
          </cell>
          <cell r="BL35">
            <v>1004.33</v>
          </cell>
          <cell r="BM35">
            <v>3</v>
          </cell>
          <cell r="BN35">
            <v>817.67</v>
          </cell>
          <cell r="BO35">
            <v>3</v>
          </cell>
          <cell r="BP35">
            <v>550</v>
          </cell>
          <cell r="BQ35">
            <v>0</v>
          </cell>
          <cell r="BR35">
            <v>1576</v>
          </cell>
          <cell r="BS35">
            <v>5</v>
          </cell>
          <cell r="BT35">
            <v>3948</v>
          </cell>
          <cell r="BU35">
            <v>11</v>
          </cell>
          <cell r="BV35">
            <v>328</v>
          </cell>
          <cell r="BW35">
            <v>1</v>
          </cell>
          <cell r="BX35">
            <v>220</v>
          </cell>
          <cell r="BY35">
            <v>0</v>
          </cell>
          <cell r="BZ35">
            <v>177</v>
          </cell>
          <cell r="CA35">
            <v>1</v>
          </cell>
          <cell r="CB35">
            <v>670</v>
          </cell>
          <cell r="CC35">
            <v>1</v>
          </cell>
          <cell r="CD35">
            <v>1395</v>
          </cell>
          <cell r="CE35">
            <v>3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246</v>
          </cell>
          <cell r="CQ35">
            <v>1</v>
          </cell>
          <cell r="CR35">
            <v>2</v>
          </cell>
          <cell r="CS35">
            <v>1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248</v>
          </cell>
          <cell r="CY35">
            <v>2</v>
          </cell>
          <cell r="CZ35">
            <v>258</v>
          </cell>
          <cell r="DA35">
            <v>2</v>
          </cell>
          <cell r="DB35">
            <v>220</v>
          </cell>
          <cell r="DC35">
            <v>0</v>
          </cell>
          <cell r="DD35">
            <v>220</v>
          </cell>
          <cell r="DE35">
            <v>0</v>
          </cell>
          <cell r="DF35">
            <v>517</v>
          </cell>
          <cell r="DG35">
            <v>2</v>
          </cell>
          <cell r="DH35">
            <v>1215</v>
          </cell>
          <cell r="DI35">
            <v>4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H35">
            <v>0</v>
          </cell>
          <cell r="EI35">
            <v>0</v>
          </cell>
        </row>
        <row r="36">
          <cell r="A36" t="str">
            <v>MayDhigurah</v>
          </cell>
          <cell r="B36" t="str">
            <v>May</v>
          </cell>
          <cell r="C36" t="str">
            <v>ADh.</v>
          </cell>
          <cell r="D36" t="str">
            <v>Dhigurah</v>
          </cell>
          <cell r="E36">
            <v>0</v>
          </cell>
          <cell r="F36">
            <v>50486</v>
          </cell>
          <cell r="G36">
            <v>188</v>
          </cell>
          <cell r="H36">
            <v>203</v>
          </cell>
          <cell r="I36">
            <v>0</v>
          </cell>
          <cell r="J36">
            <v>0</v>
          </cell>
          <cell r="K36">
            <v>203</v>
          </cell>
          <cell r="L36">
            <v>188</v>
          </cell>
          <cell r="M36">
            <v>15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203</v>
          </cell>
          <cell r="U36">
            <v>188</v>
          </cell>
          <cell r="V36">
            <v>15</v>
          </cell>
          <cell r="W36">
            <v>63889</v>
          </cell>
          <cell r="X36">
            <v>63889</v>
          </cell>
          <cell r="Y36">
            <v>0</v>
          </cell>
          <cell r="Z36">
            <v>63889</v>
          </cell>
          <cell r="AA36">
            <v>50486</v>
          </cell>
          <cell r="AB36">
            <v>2402</v>
          </cell>
          <cell r="AC36">
            <v>52888</v>
          </cell>
          <cell r="AD36">
            <v>51</v>
          </cell>
          <cell r="AE36">
            <v>148</v>
          </cell>
          <cell r="AF36">
            <v>20074</v>
          </cell>
          <cell r="AG36">
            <v>71</v>
          </cell>
          <cell r="AH36">
            <v>2045.61</v>
          </cell>
          <cell r="AI36">
            <v>17</v>
          </cell>
          <cell r="AJ36">
            <v>1395.97</v>
          </cell>
          <cell r="AK36">
            <v>4</v>
          </cell>
          <cell r="AL36">
            <v>1141.32</v>
          </cell>
          <cell r="AM36">
            <v>3</v>
          </cell>
          <cell r="AN36">
            <v>5960.1</v>
          </cell>
          <cell r="AO36">
            <v>10</v>
          </cell>
          <cell r="AP36">
            <v>10543</v>
          </cell>
          <cell r="AQ36">
            <v>34</v>
          </cell>
          <cell r="AR36">
            <v>186.66</v>
          </cell>
          <cell r="AS36">
            <v>0</v>
          </cell>
          <cell r="AT36">
            <v>186.66</v>
          </cell>
          <cell r="AU36">
            <v>0</v>
          </cell>
          <cell r="AV36">
            <v>186.66</v>
          </cell>
          <cell r="AW36">
            <v>0</v>
          </cell>
          <cell r="AX36">
            <v>1014.02</v>
          </cell>
          <cell r="AY36">
            <v>2</v>
          </cell>
          <cell r="AZ36">
            <v>1574.0000000000002</v>
          </cell>
          <cell r="BA36">
            <v>2</v>
          </cell>
          <cell r="BB36">
            <v>10355</v>
          </cell>
          <cell r="BC36">
            <v>34</v>
          </cell>
          <cell r="BD36">
            <v>8374.52</v>
          </cell>
          <cell r="BE36">
            <v>28</v>
          </cell>
          <cell r="BF36">
            <v>5553.99</v>
          </cell>
          <cell r="BG36">
            <v>23</v>
          </cell>
          <cell r="BH36">
            <v>8505.49</v>
          </cell>
          <cell r="BI36">
            <v>49</v>
          </cell>
          <cell r="BJ36">
            <v>32789</v>
          </cell>
          <cell r="BK36">
            <v>134</v>
          </cell>
          <cell r="BL36">
            <v>688.31</v>
          </cell>
          <cell r="BM36">
            <v>3</v>
          </cell>
          <cell r="BN36">
            <v>624.99</v>
          </cell>
          <cell r="BO36">
            <v>2</v>
          </cell>
          <cell r="BP36">
            <v>466.65</v>
          </cell>
          <cell r="BQ36">
            <v>0</v>
          </cell>
          <cell r="BR36">
            <v>1377.05</v>
          </cell>
          <cell r="BS36">
            <v>5</v>
          </cell>
          <cell r="BT36">
            <v>3156.9999999999995</v>
          </cell>
          <cell r="BU36">
            <v>10</v>
          </cell>
          <cell r="BV36">
            <v>279.99</v>
          </cell>
          <cell r="BW36">
            <v>0</v>
          </cell>
          <cell r="BX36">
            <v>196.33</v>
          </cell>
          <cell r="BY36">
            <v>1</v>
          </cell>
          <cell r="BZ36">
            <v>186.66</v>
          </cell>
          <cell r="CA36">
            <v>0</v>
          </cell>
          <cell r="CB36">
            <v>611.02</v>
          </cell>
          <cell r="CC36">
            <v>2</v>
          </cell>
          <cell r="CD36">
            <v>1274</v>
          </cell>
          <cell r="CE36">
            <v>3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93.33</v>
          </cell>
          <cell r="CQ36">
            <v>0</v>
          </cell>
          <cell r="CR36">
            <v>24.67</v>
          </cell>
          <cell r="CS36">
            <v>1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118</v>
          </cell>
          <cell r="CY36">
            <v>1</v>
          </cell>
          <cell r="CZ36">
            <v>218.66</v>
          </cell>
          <cell r="DA36">
            <v>2</v>
          </cell>
          <cell r="DB36">
            <v>186.66</v>
          </cell>
          <cell r="DC36">
            <v>0</v>
          </cell>
          <cell r="DD36">
            <v>186.66</v>
          </cell>
          <cell r="DE36">
            <v>0</v>
          </cell>
          <cell r="DF36">
            <v>439.02</v>
          </cell>
          <cell r="DG36">
            <v>2</v>
          </cell>
          <cell r="DH36">
            <v>1031</v>
          </cell>
          <cell r="DI36">
            <v>4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H36">
            <v>0</v>
          </cell>
          <cell r="EI36">
            <v>0</v>
          </cell>
        </row>
        <row r="37">
          <cell r="A37" t="str">
            <v>JunDhigurah</v>
          </cell>
          <cell r="B37" t="str">
            <v>Jun</v>
          </cell>
          <cell r="C37" t="str">
            <v>ADh.</v>
          </cell>
          <cell r="D37" t="str">
            <v>Dhigurah</v>
          </cell>
          <cell r="E37">
            <v>0</v>
          </cell>
          <cell r="F37">
            <v>58921</v>
          </cell>
          <cell r="G37">
            <v>199</v>
          </cell>
          <cell r="H37">
            <v>204</v>
          </cell>
          <cell r="I37">
            <v>2</v>
          </cell>
          <cell r="J37">
            <v>0</v>
          </cell>
          <cell r="K37">
            <v>206</v>
          </cell>
          <cell r="L37">
            <v>199</v>
          </cell>
          <cell r="M37">
            <v>7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206</v>
          </cell>
          <cell r="U37">
            <v>199</v>
          </cell>
          <cell r="V37">
            <v>7</v>
          </cell>
          <cell r="W37">
            <v>60825</v>
          </cell>
          <cell r="X37">
            <v>65622.03</v>
          </cell>
          <cell r="Y37">
            <v>0</v>
          </cell>
          <cell r="Z37">
            <v>65622.03</v>
          </cell>
          <cell r="AA37">
            <v>58921</v>
          </cell>
          <cell r="AB37">
            <v>2408</v>
          </cell>
          <cell r="AC37">
            <v>61329</v>
          </cell>
          <cell r="AD37">
            <v>51</v>
          </cell>
          <cell r="AE37">
            <v>156</v>
          </cell>
          <cell r="AF37">
            <v>18814</v>
          </cell>
          <cell r="AG37">
            <v>60</v>
          </cell>
          <cell r="AH37">
            <v>2100.94</v>
          </cell>
          <cell r="AI37">
            <v>20</v>
          </cell>
          <cell r="AJ37">
            <v>1513.96</v>
          </cell>
          <cell r="AK37">
            <v>3</v>
          </cell>
          <cell r="AL37">
            <v>1231.99</v>
          </cell>
          <cell r="AM37">
            <v>4</v>
          </cell>
          <cell r="AN37">
            <v>6698.11</v>
          </cell>
          <cell r="AO37">
            <v>11</v>
          </cell>
          <cell r="AP37">
            <v>11544.999999999998</v>
          </cell>
          <cell r="AQ37">
            <v>38</v>
          </cell>
          <cell r="AR37">
            <v>186.66</v>
          </cell>
          <cell r="AS37">
            <v>0</v>
          </cell>
          <cell r="AT37">
            <v>186.66</v>
          </cell>
          <cell r="AU37">
            <v>0</v>
          </cell>
          <cell r="AV37">
            <v>186.66</v>
          </cell>
          <cell r="AW37">
            <v>0</v>
          </cell>
          <cell r="AX37">
            <v>1326.02</v>
          </cell>
          <cell r="AY37">
            <v>2</v>
          </cell>
          <cell r="AZ37">
            <v>1886.0000000000002</v>
          </cell>
          <cell r="BA37">
            <v>2</v>
          </cell>
          <cell r="BB37">
            <v>11241.31</v>
          </cell>
          <cell r="BC37">
            <v>32</v>
          </cell>
          <cell r="BD37">
            <v>9235.4500000000007</v>
          </cell>
          <cell r="BE37">
            <v>21</v>
          </cell>
          <cell r="BF37">
            <v>6197.69</v>
          </cell>
          <cell r="BG37">
            <v>31</v>
          </cell>
          <cell r="BH37">
            <v>12087.55</v>
          </cell>
          <cell r="BI37">
            <v>55</v>
          </cell>
          <cell r="BJ37">
            <v>38762</v>
          </cell>
          <cell r="BK37">
            <v>139</v>
          </cell>
          <cell r="BL37">
            <v>750.31</v>
          </cell>
          <cell r="BM37">
            <v>4</v>
          </cell>
          <cell r="BN37">
            <v>651.65</v>
          </cell>
          <cell r="BO37">
            <v>1</v>
          </cell>
          <cell r="BP37">
            <v>509.99</v>
          </cell>
          <cell r="BQ37">
            <v>1</v>
          </cell>
          <cell r="BR37">
            <v>2022.05</v>
          </cell>
          <cell r="BS37">
            <v>5</v>
          </cell>
          <cell r="BT37">
            <v>3934</v>
          </cell>
          <cell r="BU37">
            <v>11</v>
          </cell>
          <cell r="BV37">
            <v>279.99</v>
          </cell>
          <cell r="BW37">
            <v>0</v>
          </cell>
          <cell r="BX37">
            <v>216.33</v>
          </cell>
          <cell r="BY37">
            <v>1</v>
          </cell>
          <cell r="BZ37">
            <v>186.66</v>
          </cell>
          <cell r="CA37">
            <v>0</v>
          </cell>
          <cell r="CB37">
            <v>778.02</v>
          </cell>
          <cell r="CC37">
            <v>2</v>
          </cell>
          <cell r="CD37">
            <v>1461</v>
          </cell>
          <cell r="CE37">
            <v>3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186.66</v>
          </cell>
          <cell r="CQ37">
            <v>0</v>
          </cell>
          <cell r="CR37">
            <v>115.34</v>
          </cell>
          <cell r="CS37">
            <v>2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302</v>
          </cell>
          <cell r="CY37">
            <v>2</v>
          </cell>
          <cell r="CZ37">
            <v>218.66</v>
          </cell>
          <cell r="DA37">
            <v>2</v>
          </cell>
          <cell r="DB37">
            <v>186.66</v>
          </cell>
          <cell r="DC37">
            <v>0</v>
          </cell>
          <cell r="DD37">
            <v>186.66</v>
          </cell>
          <cell r="DE37">
            <v>0</v>
          </cell>
          <cell r="DF37">
            <v>439.02</v>
          </cell>
          <cell r="DG37">
            <v>2</v>
          </cell>
          <cell r="DH37">
            <v>1031</v>
          </cell>
          <cell r="DI37">
            <v>4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H37">
            <v>0</v>
          </cell>
          <cell r="EI37">
            <v>0</v>
          </cell>
        </row>
        <row r="38">
          <cell r="A38" t="str">
            <v>JulDhigurah</v>
          </cell>
          <cell r="B38" t="str">
            <v>Jul</v>
          </cell>
          <cell r="C38" t="str">
            <v>ADh.</v>
          </cell>
          <cell r="D38" t="str">
            <v>Dhigurah</v>
          </cell>
          <cell r="E38">
            <v>0</v>
          </cell>
          <cell r="F38">
            <v>57036</v>
          </cell>
          <cell r="G38">
            <v>203</v>
          </cell>
          <cell r="H38">
            <v>204</v>
          </cell>
          <cell r="I38">
            <v>2</v>
          </cell>
          <cell r="J38">
            <v>0</v>
          </cell>
          <cell r="K38">
            <v>206</v>
          </cell>
          <cell r="L38">
            <v>203</v>
          </cell>
          <cell r="M38">
            <v>3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206</v>
          </cell>
          <cell r="U38">
            <v>203</v>
          </cell>
          <cell r="V38">
            <v>3</v>
          </cell>
          <cell r="W38">
            <v>60825</v>
          </cell>
          <cell r="X38">
            <v>60825</v>
          </cell>
          <cell r="Y38">
            <v>0</v>
          </cell>
          <cell r="Z38">
            <v>60825</v>
          </cell>
          <cell r="AA38">
            <v>57036</v>
          </cell>
          <cell r="AB38">
            <v>2730</v>
          </cell>
          <cell r="AC38">
            <v>59766</v>
          </cell>
          <cell r="AD38">
            <v>51</v>
          </cell>
          <cell r="AE38">
            <v>156</v>
          </cell>
          <cell r="AF38">
            <v>24039</v>
          </cell>
          <cell r="AG38">
            <v>31</v>
          </cell>
          <cell r="AH38">
            <v>2218</v>
          </cell>
          <cell r="AI38">
            <v>21</v>
          </cell>
          <cell r="AJ38">
            <v>1575</v>
          </cell>
          <cell r="AK38">
            <v>3</v>
          </cell>
          <cell r="AL38">
            <v>1274</v>
          </cell>
          <cell r="AM38">
            <v>3</v>
          </cell>
          <cell r="AN38">
            <v>4524</v>
          </cell>
          <cell r="AO38">
            <v>12</v>
          </cell>
          <cell r="AP38">
            <v>9591</v>
          </cell>
          <cell r="AQ38">
            <v>39</v>
          </cell>
          <cell r="AR38">
            <v>200</v>
          </cell>
          <cell r="AS38">
            <v>0</v>
          </cell>
          <cell r="AT38">
            <v>200</v>
          </cell>
          <cell r="AU38">
            <v>0</v>
          </cell>
          <cell r="AV38">
            <v>200</v>
          </cell>
          <cell r="AW38">
            <v>0</v>
          </cell>
          <cell r="AX38">
            <v>1323</v>
          </cell>
          <cell r="AY38">
            <v>2</v>
          </cell>
          <cell r="AZ38">
            <v>1923</v>
          </cell>
          <cell r="BA38">
            <v>2</v>
          </cell>
          <cell r="BB38">
            <v>11767.33</v>
          </cell>
          <cell r="BC38">
            <v>34</v>
          </cell>
          <cell r="BD38">
            <v>9646.67</v>
          </cell>
          <cell r="BE38">
            <v>24</v>
          </cell>
          <cell r="BF38">
            <v>7043</v>
          </cell>
          <cell r="BG38">
            <v>28</v>
          </cell>
          <cell r="BH38">
            <v>11167</v>
          </cell>
          <cell r="BI38">
            <v>54</v>
          </cell>
          <cell r="BJ38">
            <v>39624</v>
          </cell>
          <cell r="BK38">
            <v>140</v>
          </cell>
          <cell r="BL38">
            <v>920</v>
          </cell>
          <cell r="BM38">
            <v>5</v>
          </cell>
          <cell r="BN38">
            <v>724</v>
          </cell>
          <cell r="BO38">
            <v>1</v>
          </cell>
          <cell r="BP38">
            <v>610</v>
          </cell>
          <cell r="BQ38">
            <v>2</v>
          </cell>
          <cell r="BR38">
            <v>1537</v>
          </cell>
          <cell r="BS38">
            <v>5</v>
          </cell>
          <cell r="BT38">
            <v>3791</v>
          </cell>
          <cell r="BU38">
            <v>13</v>
          </cell>
          <cell r="BV38">
            <v>265</v>
          </cell>
          <cell r="BW38">
            <v>1</v>
          </cell>
          <cell r="BX38">
            <v>200</v>
          </cell>
          <cell r="BY38">
            <v>0</v>
          </cell>
          <cell r="BZ38">
            <v>131</v>
          </cell>
          <cell r="CA38">
            <v>1</v>
          </cell>
          <cell r="CB38">
            <v>299</v>
          </cell>
          <cell r="CC38">
            <v>1</v>
          </cell>
          <cell r="CD38">
            <v>895</v>
          </cell>
          <cell r="CE38">
            <v>3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107</v>
          </cell>
          <cell r="CQ38">
            <v>2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107</v>
          </cell>
          <cell r="CY38">
            <v>2</v>
          </cell>
          <cell r="CZ38">
            <v>235</v>
          </cell>
          <cell r="DA38">
            <v>2</v>
          </cell>
          <cell r="DB38">
            <v>200</v>
          </cell>
          <cell r="DC38">
            <v>0</v>
          </cell>
          <cell r="DD38">
            <v>200</v>
          </cell>
          <cell r="DE38">
            <v>0</v>
          </cell>
          <cell r="DF38">
            <v>470</v>
          </cell>
          <cell r="DG38">
            <v>2</v>
          </cell>
          <cell r="DH38">
            <v>1105</v>
          </cell>
          <cell r="DI38">
            <v>4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H38">
            <v>0</v>
          </cell>
          <cell r="EI38">
            <v>0</v>
          </cell>
        </row>
        <row r="39">
          <cell r="A39" t="str">
            <v>AugDhigurah</v>
          </cell>
          <cell r="B39" t="str">
            <v>Aug</v>
          </cell>
          <cell r="C39" t="str">
            <v>ADh.</v>
          </cell>
          <cell r="D39" t="str">
            <v>Dhigurah</v>
          </cell>
          <cell r="E39" t="str">
            <v>billed normal &amp; temp more than usage</v>
          </cell>
          <cell r="F39">
            <v>60442</v>
          </cell>
          <cell r="G39">
            <v>207</v>
          </cell>
          <cell r="H39">
            <v>206</v>
          </cell>
          <cell r="I39">
            <v>2</v>
          </cell>
          <cell r="J39">
            <v>0</v>
          </cell>
          <cell r="K39">
            <v>208</v>
          </cell>
          <cell r="L39">
            <v>207</v>
          </cell>
          <cell r="M39">
            <v>1</v>
          </cell>
          <cell r="N39">
            <v>0</v>
          </cell>
          <cell r="O39">
            <v>1</v>
          </cell>
          <cell r="P39">
            <v>0</v>
          </cell>
          <cell r="Q39">
            <v>1</v>
          </cell>
          <cell r="R39">
            <v>1</v>
          </cell>
          <cell r="S39">
            <v>0</v>
          </cell>
          <cell r="T39">
            <v>209</v>
          </cell>
          <cell r="U39">
            <v>208</v>
          </cell>
          <cell r="V39">
            <v>1</v>
          </cell>
          <cell r="W39">
            <v>66944</v>
          </cell>
          <cell r="X39">
            <v>66944</v>
          </cell>
          <cell r="Y39">
            <v>0</v>
          </cell>
          <cell r="Z39">
            <v>66944</v>
          </cell>
          <cell r="AA39">
            <v>60442</v>
          </cell>
          <cell r="AB39">
            <v>2385</v>
          </cell>
          <cell r="AC39">
            <v>62827</v>
          </cell>
          <cell r="AD39">
            <v>57</v>
          </cell>
          <cell r="AE39">
            <v>153</v>
          </cell>
          <cell r="AF39">
            <v>24552</v>
          </cell>
          <cell r="AG39">
            <v>65</v>
          </cell>
          <cell r="AH39">
            <v>2520.98</v>
          </cell>
          <cell r="AI39">
            <v>21</v>
          </cell>
          <cell r="AJ39">
            <v>1739.32</v>
          </cell>
          <cell r="AK39">
            <v>4</v>
          </cell>
          <cell r="AL39">
            <v>1363.65</v>
          </cell>
          <cell r="AM39">
            <v>2</v>
          </cell>
          <cell r="AN39">
            <v>7161.05</v>
          </cell>
          <cell r="AO39">
            <v>13</v>
          </cell>
          <cell r="AP39">
            <v>12785</v>
          </cell>
          <cell r="AQ39">
            <v>40</v>
          </cell>
          <cell r="AR39">
            <v>203.33</v>
          </cell>
          <cell r="AS39">
            <v>0</v>
          </cell>
          <cell r="AT39">
            <v>203.33</v>
          </cell>
          <cell r="AU39">
            <v>0</v>
          </cell>
          <cell r="AV39">
            <v>203.33</v>
          </cell>
          <cell r="AW39">
            <v>0</v>
          </cell>
          <cell r="AX39">
            <v>1289.01</v>
          </cell>
          <cell r="AY39">
            <v>2</v>
          </cell>
          <cell r="AZ39">
            <v>1898.9999999999998</v>
          </cell>
          <cell r="BA39">
            <v>2</v>
          </cell>
          <cell r="BB39">
            <v>11789.32</v>
          </cell>
          <cell r="BC39">
            <v>36</v>
          </cell>
          <cell r="BD39">
            <v>9954.66</v>
          </cell>
          <cell r="BE39">
            <v>19</v>
          </cell>
          <cell r="BF39">
            <v>7140</v>
          </cell>
          <cell r="BG39">
            <v>36</v>
          </cell>
          <cell r="BH39">
            <v>10410.02</v>
          </cell>
          <cell r="BI39">
            <v>52</v>
          </cell>
          <cell r="BJ39">
            <v>39294</v>
          </cell>
          <cell r="BK39">
            <v>143</v>
          </cell>
          <cell r="BL39">
            <v>923.66</v>
          </cell>
          <cell r="BM39">
            <v>6</v>
          </cell>
          <cell r="BN39">
            <v>716.66</v>
          </cell>
          <cell r="BO39">
            <v>0</v>
          </cell>
          <cell r="BP39">
            <v>481.67</v>
          </cell>
          <cell r="BQ39">
            <v>3</v>
          </cell>
          <cell r="BR39">
            <v>1691.01</v>
          </cell>
          <cell r="BS39">
            <v>4</v>
          </cell>
          <cell r="BT39">
            <v>3813</v>
          </cell>
          <cell r="BU39">
            <v>13</v>
          </cell>
          <cell r="BV39">
            <v>300</v>
          </cell>
          <cell r="BW39">
            <v>0</v>
          </cell>
          <cell r="BX39">
            <v>222</v>
          </cell>
          <cell r="BY39">
            <v>1</v>
          </cell>
          <cell r="BZ39">
            <v>200</v>
          </cell>
          <cell r="CA39">
            <v>0</v>
          </cell>
          <cell r="CB39">
            <v>647</v>
          </cell>
          <cell r="CC39">
            <v>2</v>
          </cell>
          <cell r="CD39">
            <v>1369</v>
          </cell>
          <cell r="CE39">
            <v>3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167</v>
          </cell>
          <cell r="CQ39">
            <v>1</v>
          </cell>
          <cell r="CR39">
            <v>10</v>
          </cell>
          <cell r="CS39">
            <v>1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177</v>
          </cell>
          <cell r="CY39">
            <v>2</v>
          </cell>
          <cell r="CZ39">
            <v>235</v>
          </cell>
          <cell r="DA39">
            <v>2</v>
          </cell>
          <cell r="DB39">
            <v>200</v>
          </cell>
          <cell r="DC39">
            <v>0</v>
          </cell>
          <cell r="DD39">
            <v>200</v>
          </cell>
          <cell r="DE39">
            <v>0</v>
          </cell>
          <cell r="DF39">
            <v>470</v>
          </cell>
          <cell r="DG39">
            <v>2</v>
          </cell>
          <cell r="DH39">
            <v>1105</v>
          </cell>
          <cell r="DI39">
            <v>4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H39">
            <v>0</v>
          </cell>
          <cell r="EI39">
            <v>0</v>
          </cell>
        </row>
        <row r="40">
          <cell r="A40" t="str">
            <v>SepDhigurah</v>
          </cell>
          <cell r="B40" t="str">
            <v>Sep</v>
          </cell>
          <cell r="C40" t="str">
            <v>ADh.</v>
          </cell>
          <cell r="D40" t="str">
            <v>Dhigurah</v>
          </cell>
          <cell r="E40" t="str">
            <v>usage units more than billed</v>
          </cell>
          <cell r="F40">
            <v>58648.999999999993</v>
          </cell>
          <cell r="G40">
            <v>206</v>
          </cell>
          <cell r="H40">
            <v>208</v>
          </cell>
          <cell r="I40">
            <v>2</v>
          </cell>
          <cell r="J40">
            <v>0</v>
          </cell>
          <cell r="K40">
            <v>210</v>
          </cell>
          <cell r="L40">
            <v>204</v>
          </cell>
          <cell r="M40">
            <v>6</v>
          </cell>
          <cell r="N40">
            <v>1</v>
          </cell>
          <cell r="O40">
            <v>1</v>
          </cell>
          <cell r="P40">
            <v>0</v>
          </cell>
          <cell r="Q40">
            <v>2</v>
          </cell>
          <cell r="R40">
            <v>2</v>
          </cell>
          <cell r="S40">
            <v>0</v>
          </cell>
          <cell r="T40">
            <v>212</v>
          </cell>
          <cell r="U40">
            <v>206</v>
          </cell>
          <cell r="V40">
            <v>6</v>
          </cell>
          <cell r="W40">
            <v>65042</v>
          </cell>
          <cell r="X40">
            <v>65042</v>
          </cell>
          <cell r="Y40">
            <v>0</v>
          </cell>
          <cell r="Z40">
            <v>65042</v>
          </cell>
          <cell r="AA40">
            <v>58523</v>
          </cell>
          <cell r="AB40">
            <v>2541</v>
          </cell>
          <cell r="AC40">
            <v>61064</v>
          </cell>
          <cell r="AD40">
            <v>54</v>
          </cell>
          <cell r="AE40">
            <v>155</v>
          </cell>
          <cell r="AF40">
            <v>21478</v>
          </cell>
          <cell r="AG40">
            <v>42</v>
          </cell>
          <cell r="AH40">
            <v>2540.62</v>
          </cell>
          <cell r="AI40">
            <v>22</v>
          </cell>
          <cell r="AJ40">
            <v>1658.64</v>
          </cell>
          <cell r="AK40">
            <v>3</v>
          </cell>
          <cell r="AL40">
            <v>1378.66</v>
          </cell>
          <cell r="AM40">
            <v>3</v>
          </cell>
          <cell r="AN40">
            <v>6906.08</v>
          </cell>
          <cell r="AO40">
            <v>12</v>
          </cell>
          <cell r="AP40">
            <v>12484</v>
          </cell>
          <cell r="AQ40">
            <v>40</v>
          </cell>
          <cell r="AR40">
            <v>203.33</v>
          </cell>
          <cell r="AS40">
            <v>0</v>
          </cell>
          <cell r="AT40">
            <v>203.33</v>
          </cell>
          <cell r="AU40">
            <v>0</v>
          </cell>
          <cell r="AV40">
            <v>203.33</v>
          </cell>
          <cell r="AW40">
            <v>0</v>
          </cell>
          <cell r="AX40">
            <v>1305.01</v>
          </cell>
          <cell r="AY40">
            <v>2</v>
          </cell>
          <cell r="AZ40">
            <v>1914.9999999999998</v>
          </cell>
          <cell r="BA40">
            <v>2</v>
          </cell>
          <cell r="BB40">
            <v>12107.71</v>
          </cell>
          <cell r="BC40">
            <v>37</v>
          </cell>
          <cell r="BD40">
            <v>10042.17</v>
          </cell>
          <cell r="BE40">
            <v>22</v>
          </cell>
          <cell r="BF40">
            <v>6939.63</v>
          </cell>
          <cell r="BG40">
            <v>32</v>
          </cell>
          <cell r="BH40">
            <v>8962.49</v>
          </cell>
          <cell r="BI40">
            <v>53</v>
          </cell>
          <cell r="BJ40">
            <v>38051.999999999993</v>
          </cell>
          <cell r="BK40">
            <v>144</v>
          </cell>
          <cell r="BL40">
            <v>829.99</v>
          </cell>
          <cell r="BM40">
            <v>5</v>
          </cell>
          <cell r="BN40">
            <v>697.99</v>
          </cell>
          <cell r="BO40">
            <v>1</v>
          </cell>
          <cell r="BP40">
            <v>528.99</v>
          </cell>
          <cell r="BQ40">
            <v>2</v>
          </cell>
          <cell r="BR40">
            <v>1503.03</v>
          </cell>
          <cell r="BS40">
            <v>4</v>
          </cell>
          <cell r="BT40">
            <v>3560</v>
          </cell>
          <cell r="BU40">
            <v>12</v>
          </cell>
          <cell r="BV40">
            <v>309.99</v>
          </cell>
          <cell r="BW40">
            <v>0</v>
          </cell>
          <cell r="BX40">
            <v>215.33</v>
          </cell>
          <cell r="BY40">
            <v>1</v>
          </cell>
          <cell r="BZ40">
            <v>169.67</v>
          </cell>
          <cell r="CA40">
            <v>1</v>
          </cell>
          <cell r="CB40">
            <v>571.01</v>
          </cell>
          <cell r="CC40">
            <v>1</v>
          </cell>
          <cell r="CD40">
            <v>1266</v>
          </cell>
          <cell r="CE40">
            <v>3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194</v>
          </cell>
          <cell r="CQ40">
            <v>1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194</v>
          </cell>
          <cell r="CY40">
            <v>1</v>
          </cell>
          <cell r="CZ40">
            <v>250.34</v>
          </cell>
          <cell r="DA40">
            <v>2</v>
          </cell>
          <cell r="DB40">
            <v>213.34</v>
          </cell>
          <cell r="DC40">
            <v>0</v>
          </cell>
          <cell r="DD40">
            <v>213.34</v>
          </cell>
          <cell r="DE40">
            <v>0</v>
          </cell>
          <cell r="DF40">
            <v>500.98</v>
          </cell>
          <cell r="DG40">
            <v>2</v>
          </cell>
          <cell r="DH40">
            <v>1178</v>
          </cell>
          <cell r="DI40">
            <v>4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H40">
            <v>0</v>
          </cell>
          <cell r="EI40">
            <v>0</v>
          </cell>
        </row>
        <row r="41">
          <cell r="A41" t="str">
            <v>OctDhigurah</v>
          </cell>
          <cell r="B41" t="str">
            <v>Oct</v>
          </cell>
          <cell r="C41" t="str">
            <v>ADh.</v>
          </cell>
          <cell r="D41" t="str">
            <v>Dhigurah</v>
          </cell>
          <cell r="E41" t="str">
            <v>billed normal &amp; temp more than usage</v>
          </cell>
          <cell r="F41">
            <v>63178</v>
          </cell>
          <cell r="G41">
            <v>213</v>
          </cell>
          <cell r="H41">
            <v>214</v>
          </cell>
          <cell r="I41">
            <v>0</v>
          </cell>
          <cell r="J41">
            <v>0</v>
          </cell>
          <cell r="K41">
            <v>214</v>
          </cell>
          <cell r="L41">
            <v>213</v>
          </cell>
          <cell r="M41">
            <v>1</v>
          </cell>
          <cell r="N41">
            <v>2</v>
          </cell>
          <cell r="O41">
            <v>0</v>
          </cell>
          <cell r="P41">
            <v>0</v>
          </cell>
          <cell r="Q41">
            <v>2</v>
          </cell>
          <cell r="R41">
            <v>2</v>
          </cell>
          <cell r="S41">
            <v>0</v>
          </cell>
          <cell r="T41">
            <v>216</v>
          </cell>
          <cell r="U41">
            <v>215</v>
          </cell>
          <cell r="V41">
            <v>1</v>
          </cell>
          <cell r="W41">
            <v>67087</v>
          </cell>
          <cell r="X41">
            <v>67087</v>
          </cell>
          <cell r="Y41">
            <v>0</v>
          </cell>
          <cell r="Z41">
            <v>67087</v>
          </cell>
          <cell r="AA41">
            <v>63178</v>
          </cell>
          <cell r="AB41">
            <v>3009</v>
          </cell>
          <cell r="AC41">
            <v>66187</v>
          </cell>
          <cell r="AD41">
            <v>62</v>
          </cell>
          <cell r="AE41">
            <v>148</v>
          </cell>
          <cell r="AF41">
            <v>21644</v>
          </cell>
          <cell r="AG41">
            <v>132</v>
          </cell>
          <cell r="AH41">
            <v>2620.06</v>
          </cell>
          <cell r="AI41">
            <v>23</v>
          </cell>
          <cell r="AJ41">
            <v>1764.36</v>
          </cell>
          <cell r="AK41">
            <v>5</v>
          </cell>
          <cell r="AL41">
            <v>1372.68</v>
          </cell>
          <cell r="AM41">
            <v>3</v>
          </cell>
          <cell r="AN41">
            <v>7303.9</v>
          </cell>
          <cell r="AO41">
            <v>12</v>
          </cell>
          <cell r="AP41">
            <v>13061</v>
          </cell>
          <cell r="AQ41">
            <v>43</v>
          </cell>
          <cell r="AR41">
            <v>213.34</v>
          </cell>
          <cell r="AS41">
            <v>0</v>
          </cell>
          <cell r="AT41">
            <v>213.34</v>
          </cell>
          <cell r="AU41">
            <v>0</v>
          </cell>
          <cell r="AV41">
            <v>213.34</v>
          </cell>
          <cell r="AW41">
            <v>0</v>
          </cell>
          <cell r="AX41">
            <v>1424.98</v>
          </cell>
          <cell r="AY41">
            <v>2</v>
          </cell>
          <cell r="AZ41">
            <v>2065</v>
          </cell>
          <cell r="BA41">
            <v>2</v>
          </cell>
          <cell r="BB41">
            <v>13013.99</v>
          </cell>
          <cell r="BC41">
            <v>34</v>
          </cell>
          <cell r="BD41">
            <v>10753.53</v>
          </cell>
          <cell r="BE41">
            <v>21</v>
          </cell>
          <cell r="BF41">
            <v>7574.94</v>
          </cell>
          <cell r="BG41">
            <v>40</v>
          </cell>
          <cell r="BH41">
            <v>10226.540000000001</v>
          </cell>
          <cell r="BI41">
            <v>52</v>
          </cell>
          <cell r="BJ41">
            <v>41569</v>
          </cell>
          <cell r="BK41">
            <v>147</v>
          </cell>
          <cell r="BL41">
            <v>888.35</v>
          </cell>
          <cell r="BM41">
            <v>5</v>
          </cell>
          <cell r="BN41">
            <v>743.35</v>
          </cell>
          <cell r="BO41">
            <v>0</v>
          </cell>
          <cell r="BP41">
            <v>511.34</v>
          </cell>
          <cell r="BQ41">
            <v>3</v>
          </cell>
          <cell r="BR41">
            <v>1733.96</v>
          </cell>
          <cell r="BS41">
            <v>4</v>
          </cell>
          <cell r="BT41">
            <v>3877</v>
          </cell>
          <cell r="BU41">
            <v>12</v>
          </cell>
          <cell r="BV41">
            <v>330.01</v>
          </cell>
          <cell r="BW41">
            <v>0</v>
          </cell>
          <cell r="BX41">
            <v>265.67</v>
          </cell>
          <cell r="BY41">
            <v>1</v>
          </cell>
          <cell r="BZ41">
            <v>155.33000000000001</v>
          </cell>
          <cell r="CA41">
            <v>1</v>
          </cell>
          <cell r="CB41">
            <v>516.99</v>
          </cell>
          <cell r="CC41">
            <v>1</v>
          </cell>
          <cell r="CD41">
            <v>1268</v>
          </cell>
          <cell r="CE41">
            <v>3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197</v>
          </cell>
          <cell r="CQ41">
            <v>2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197</v>
          </cell>
          <cell r="CY41">
            <v>2</v>
          </cell>
          <cell r="CZ41">
            <v>241.66</v>
          </cell>
          <cell r="DA41">
            <v>2</v>
          </cell>
          <cell r="DB41">
            <v>206.66</v>
          </cell>
          <cell r="DC41">
            <v>0</v>
          </cell>
          <cell r="DD41">
            <v>206.66</v>
          </cell>
          <cell r="DE41">
            <v>0</v>
          </cell>
          <cell r="DF41">
            <v>486.02</v>
          </cell>
          <cell r="DG41">
            <v>2</v>
          </cell>
          <cell r="DH41">
            <v>1141</v>
          </cell>
          <cell r="DI41">
            <v>4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H41">
            <v>0</v>
          </cell>
          <cell r="EI41">
            <v>0</v>
          </cell>
        </row>
        <row r="42">
          <cell r="A42" t="str">
            <v>NovDhigurah</v>
          </cell>
          <cell r="B42" t="str">
            <v>Nov</v>
          </cell>
          <cell r="C42" t="str">
            <v>ADh.</v>
          </cell>
          <cell r="D42" t="str">
            <v>Dhigurah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H42">
            <v>0</v>
          </cell>
          <cell r="EI42">
            <v>0</v>
          </cell>
        </row>
        <row r="43">
          <cell r="A43" t="str">
            <v>DecDhigurah</v>
          </cell>
          <cell r="B43" t="str">
            <v>Dec</v>
          </cell>
          <cell r="C43" t="str">
            <v>ADh.</v>
          </cell>
          <cell r="D43" t="str">
            <v>Dhigurah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H43">
            <v>0</v>
          </cell>
          <cell r="EI43">
            <v>0</v>
          </cell>
        </row>
        <row r="44">
          <cell r="A44" t="str">
            <v>JanDhihdhoo</v>
          </cell>
          <cell r="B44" t="str">
            <v>Jan</v>
          </cell>
          <cell r="C44" t="str">
            <v>ADh.</v>
          </cell>
          <cell r="D44" t="str">
            <v>Dhihdhoo</v>
          </cell>
          <cell r="E44">
            <v>0</v>
          </cell>
          <cell r="F44">
            <v>8322</v>
          </cell>
          <cell r="G44">
            <v>56</v>
          </cell>
          <cell r="H44">
            <v>62</v>
          </cell>
          <cell r="I44">
            <v>1</v>
          </cell>
          <cell r="J44">
            <v>0</v>
          </cell>
          <cell r="K44">
            <v>63</v>
          </cell>
          <cell r="L44">
            <v>56</v>
          </cell>
          <cell r="M44">
            <v>7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63</v>
          </cell>
          <cell r="U44">
            <v>56</v>
          </cell>
          <cell r="V44">
            <v>7</v>
          </cell>
          <cell r="W44">
            <v>17058.93</v>
          </cell>
          <cell r="X44">
            <v>17058.900000000001</v>
          </cell>
          <cell r="Y44">
            <v>0</v>
          </cell>
          <cell r="Z44">
            <v>17058.93</v>
          </cell>
          <cell r="AA44">
            <v>8322</v>
          </cell>
          <cell r="AB44">
            <v>0</v>
          </cell>
          <cell r="AC44">
            <v>8322</v>
          </cell>
          <cell r="AD44">
            <v>8</v>
          </cell>
          <cell r="AE44">
            <v>27</v>
          </cell>
          <cell r="AF44">
            <v>4915</v>
          </cell>
          <cell r="AG44">
            <v>22</v>
          </cell>
          <cell r="AH44">
            <v>75</v>
          </cell>
          <cell r="AI44">
            <v>3</v>
          </cell>
          <cell r="AJ44" t="str">
            <v xml:space="preserve"> -   </v>
          </cell>
          <cell r="AK44" t="str">
            <v xml:space="preserve"> -   </v>
          </cell>
          <cell r="AL44" t="str">
            <v xml:space="preserve"> -   </v>
          </cell>
          <cell r="AM44" t="str">
            <v xml:space="preserve"> -   </v>
          </cell>
          <cell r="AN44" t="str">
            <v xml:space="preserve"> -   </v>
          </cell>
          <cell r="AO44" t="str">
            <v xml:space="preserve"> -   </v>
          </cell>
          <cell r="AP44">
            <v>75</v>
          </cell>
          <cell r="AQ44">
            <v>3</v>
          </cell>
          <cell r="AR44">
            <v>100</v>
          </cell>
          <cell r="AS44" t="str">
            <v xml:space="preserve"> -   </v>
          </cell>
          <cell r="AT44">
            <v>96</v>
          </cell>
          <cell r="AU44">
            <v>1</v>
          </cell>
          <cell r="AV44" t="str">
            <v xml:space="preserve"> -   </v>
          </cell>
          <cell r="AW44" t="str">
            <v xml:space="preserve"> -   </v>
          </cell>
          <cell r="AX44" t="str">
            <v xml:space="preserve"> -   </v>
          </cell>
          <cell r="AY44" t="str">
            <v xml:space="preserve"> -   </v>
          </cell>
          <cell r="AZ44">
            <v>196</v>
          </cell>
          <cell r="BA44">
            <v>1</v>
          </cell>
          <cell r="BB44">
            <v>3041</v>
          </cell>
          <cell r="BC44">
            <v>20</v>
          </cell>
          <cell r="BD44">
            <v>1607</v>
          </cell>
          <cell r="BE44">
            <v>9</v>
          </cell>
          <cell r="BF44">
            <v>810</v>
          </cell>
          <cell r="BG44">
            <v>8</v>
          </cell>
          <cell r="BH44">
            <v>596</v>
          </cell>
          <cell r="BI44">
            <v>4</v>
          </cell>
          <cell r="BJ44">
            <v>6054</v>
          </cell>
          <cell r="BK44">
            <v>41</v>
          </cell>
          <cell r="BL44">
            <v>513</v>
          </cell>
          <cell r="BM44">
            <v>3</v>
          </cell>
          <cell r="BN44">
            <v>296</v>
          </cell>
          <cell r="BO44">
            <v>1</v>
          </cell>
          <cell r="BP44">
            <v>155</v>
          </cell>
          <cell r="BQ44">
            <v>1</v>
          </cell>
          <cell r="BR44">
            <v>238</v>
          </cell>
          <cell r="BS44">
            <v>1</v>
          </cell>
          <cell r="BT44">
            <v>1202</v>
          </cell>
          <cell r="BU44">
            <v>6</v>
          </cell>
          <cell r="BV44">
            <v>41</v>
          </cell>
          <cell r="BW44">
            <v>1</v>
          </cell>
          <cell r="BX44" t="str">
            <v xml:space="preserve"> -   </v>
          </cell>
          <cell r="BY44" t="str">
            <v xml:space="preserve"> -   </v>
          </cell>
          <cell r="BZ44" t="str">
            <v xml:space="preserve"> -   </v>
          </cell>
          <cell r="CA44" t="str">
            <v xml:space="preserve"> -   </v>
          </cell>
          <cell r="CB44" t="str">
            <v xml:space="preserve"> -   </v>
          </cell>
          <cell r="CC44" t="str">
            <v xml:space="preserve"> -   </v>
          </cell>
          <cell r="CD44">
            <v>41</v>
          </cell>
          <cell r="CE44">
            <v>1</v>
          </cell>
          <cell r="CF44" t="str">
            <v xml:space="preserve"> -   </v>
          </cell>
          <cell r="CG44" t="str">
            <v xml:space="preserve"> -   </v>
          </cell>
          <cell r="CH44" t="str">
            <v xml:space="preserve"> -   </v>
          </cell>
          <cell r="CI44" t="str">
            <v xml:space="preserve"> -   </v>
          </cell>
          <cell r="CJ44" t="str">
            <v xml:space="preserve"> -   </v>
          </cell>
          <cell r="CK44" t="str">
            <v xml:space="preserve"> -   </v>
          </cell>
          <cell r="CL44" t="str">
            <v xml:space="preserve"> -   </v>
          </cell>
          <cell r="CM44" t="str">
            <v xml:space="preserve"> -   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 t="str">
            <v xml:space="preserve"> -   </v>
          </cell>
          <cell r="CY44" t="str">
            <v xml:space="preserve"> -   </v>
          </cell>
          <cell r="CZ44">
            <v>288</v>
          </cell>
          <cell r="DA44">
            <v>2</v>
          </cell>
          <cell r="DB44">
            <v>180</v>
          </cell>
          <cell r="DC44">
            <v>1</v>
          </cell>
          <cell r="DD44">
            <v>100</v>
          </cell>
          <cell r="DE44" t="str">
            <v xml:space="preserve"> -   </v>
          </cell>
          <cell r="DF44">
            <v>186</v>
          </cell>
          <cell r="DG44">
            <v>1</v>
          </cell>
          <cell r="DH44">
            <v>754</v>
          </cell>
          <cell r="DI44">
            <v>4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 t="str">
            <v xml:space="preserve"> -   </v>
          </cell>
          <cell r="DS44" t="str">
            <v xml:space="preserve"> -   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 t="str">
            <v xml:space="preserve"> -   </v>
          </cell>
          <cell r="EC44" t="str">
            <v xml:space="preserve"> -   </v>
          </cell>
          <cell r="ED44">
            <v>0</v>
          </cell>
          <cell r="EE44">
            <v>0</v>
          </cell>
          <cell r="EF44">
            <v>0</v>
          </cell>
          <cell r="EH44">
            <v>0</v>
          </cell>
          <cell r="EI44">
            <v>0</v>
          </cell>
        </row>
        <row r="45">
          <cell r="A45" t="str">
            <v>FebDhihdhoo</v>
          </cell>
          <cell r="B45" t="str">
            <v>Feb</v>
          </cell>
          <cell r="C45" t="str">
            <v>ADh.</v>
          </cell>
          <cell r="D45" t="str">
            <v>Dhihdhoo</v>
          </cell>
          <cell r="E45">
            <v>0</v>
          </cell>
          <cell r="F45">
            <v>9964</v>
          </cell>
          <cell r="G45">
            <v>61</v>
          </cell>
          <cell r="H45">
            <v>63</v>
          </cell>
          <cell r="I45">
            <v>0</v>
          </cell>
          <cell r="J45">
            <v>0</v>
          </cell>
          <cell r="K45">
            <v>63</v>
          </cell>
          <cell r="L45">
            <v>61</v>
          </cell>
          <cell r="M45">
            <v>2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63</v>
          </cell>
          <cell r="U45">
            <v>61</v>
          </cell>
          <cell r="V45">
            <v>2</v>
          </cell>
          <cell r="W45">
            <v>11747.29</v>
          </cell>
          <cell r="X45">
            <v>11747.29</v>
          </cell>
          <cell r="Y45">
            <v>0</v>
          </cell>
          <cell r="Z45">
            <v>11747.29</v>
          </cell>
          <cell r="AA45">
            <v>9964</v>
          </cell>
          <cell r="AB45">
            <v>1783</v>
          </cell>
          <cell r="AC45">
            <v>11747</v>
          </cell>
          <cell r="AD45">
            <v>9</v>
          </cell>
          <cell r="AE45">
            <v>25</v>
          </cell>
          <cell r="AF45">
            <v>4907</v>
          </cell>
          <cell r="AG45">
            <v>35</v>
          </cell>
          <cell r="AH45">
            <v>18</v>
          </cell>
          <cell r="AI45">
            <v>3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18</v>
          </cell>
          <cell r="AQ45">
            <v>3</v>
          </cell>
          <cell r="AR45">
            <v>103</v>
          </cell>
          <cell r="AS45">
            <v>0</v>
          </cell>
          <cell r="AT45">
            <v>55</v>
          </cell>
          <cell r="AU45">
            <v>1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158</v>
          </cell>
          <cell r="BA45">
            <v>1</v>
          </cell>
          <cell r="BB45">
            <v>3382</v>
          </cell>
          <cell r="BC45">
            <v>16</v>
          </cell>
          <cell r="BD45">
            <v>2085</v>
          </cell>
          <cell r="BE45">
            <v>17</v>
          </cell>
          <cell r="BF45">
            <v>768</v>
          </cell>
          <cell r="BG45">
            <v>6</v>
          </cell>
          <cell r="BH45">
            <v>1375</v>
          </cell>
          <cell r="BI45">
            <v>5</v>
          </cell>
          <cell r="BJ45">
            <v>7610</v>
          </cell>
          <cell r="BK45">
            <v>44</v>
          </cell>
          <cell r="BL45">
            <v>530</v>
          </cell>
          <cell r="BM45">
            <v>4</v>
          </cell>
          <cell r="BN45">
            <v>354</v>
          </cell>
          <cell r="BO45">
            <v>1</v>
          </cell>
          <cell r="BP45">
            <v>277</v>
          </cell>
          <cell r="BQ45">
            <v>2</v>
          </cell>
          <cell r="BR45">
            <v>171</v>
          </cell>
          <cell r="BS45">
            <v>1</v>
          </cell>
          <cell r="BT45">
            <v>1332</v>
          </cell>
          <cell r="BU45">
            <v>8</v>
          </cell>
          <cell r="BV45">
            <v>64</v>
          </cell>
          <cell r="BW45">
            <v>1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64</v>
          </cell>
          <cell r="CE45">
            <v>1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301</v>
          </cell>
          <cell r="DA45">
            <v>2</v>
          </cell>
          <cell r="DB45">
            <v>186</v>
          </cell>
          <cell r="DC45">
            <v>1</v>
          </cell>
          <cell r="DD45">
            <v>103</v>
          </cell>
          <cell r="DE45">
            <v>0</v>
          </cell>
          <cell r="DF45">
            <v>192</v>
          </cell>
          <cell r="DG45">
            <v>1</v>
          </cell>
          <cell r="DH45">
            <v>782</v>
          </cell>
          <cell r="DI45">
            <v>4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H45">
            <v>0</v>
          </cell>
          <cell r="EI45">
            <v>0</v>
          </cell>
        </row>
        <row r="46">
          <cell r="A46" t="str">
            <v>MarDhihdhoo</v>
          </cell>
          <cell r="B46" t="str">
            <v>Mar</v>
          </cell>
          <cell r="C46" t="str">
            <v>ADh.</v>
          </cell>
          <cell r="D46" t="str">
            <v>Dhihdhoo</v>
          </cell>
          <cell r="E46" t="str">
            <v>usage units less than billed</v>
          </cell>
          <cell r="F46">
            <v>10440</v>
          </cell>
          <cell r="G46">
            <v>56</v>
          </cell>
          <cell r="H46">
            <v>63</v>
          </cell>
          <cell r="I46">
            <v>0</v>
          </cell>
          <cell r="J46">
            <v>0</v>
          </cell>
          <cell r="K46">
            <v>63</v>
          </cell>
          <cell r="L46">
            <v>56</v>
          </cell>
          <cell r="M46">
            <v>7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63</v>
          </cell>
          <cell r="U46">
            <v>56</v>
          </cell>
          <cell r="V46">
            <v>7</v>
          </cell>
          <cell r="W46">
            <v>14111.9</v>
          </cell>
          <cell r="X46">
            <v>14111.9</v>
          </cell>
          <cell r="Y46">
            <v>0</v>
          </cell>
          <cell r="Z46">
            <v>14111.9</v>
          </cell>
          <cell r="AA46">
            <v>10441</v>
          </cell>
          <cell r="AB46">
            <v>3670</v>
          </cell>
          <cell r="AC46">
            <v>14111</v>
          </cell>
          <cell r="AD46">
            <v>0</v>
          </cell>
          <cell r="AE46">
            <v>0</v>
          </cell>
          <cell r="AF46">
            <v>5600</v>
          </cell>
          <cell r="AG46">
            <v>26</v>
          </cell>
          <cell r="AH46">
            <v>49</v>
          </cell>
          <cell r="AI46">
            <v>2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49</v>
          </cell>
          <cell r="AQ46">
            <v>2</v>
          </cell>
          <cell r="AR46">
            <v>97</v>
          </cell>
          <cell r="AS46">
            <v>0</v>
          </cell>
          <cell r="AT46">
            <v>73</v>
          </cell>
          <cell r="AU46">
            <v>1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170</v>
          </cell>
          <cell r="BA46">
            <v>1</v>
          </cell>
          <cell r="BB46">
            <v>3347</v>
          </cell>
          <cell r="BC46">
            <v>11</v>
          </cell>
          <cell r="BD46">
            <v>2165</v>
          </cell>
          <cell r="BE46">
            <v>18</v>
          </cell>
          <cell r="BF46">
            <v>737</v>
          </cell>
          <cell r="BG46">
            <v>5</v>
          </cell>
          <cell r="BH46">
            <v>1757</v>
          </cell>
          <cell r="BI46">
            <v>6</v>
          </cell>
          <cell r="BJ46">
            <v>8006</v>
          </cell>
          <cell r="BK46">
            <v>40</v>
          </cell>
          <cell r="BL46">
            <v>554</v>
          </cell>
          <cell r="BM46">
            <v>4</v>
          </cell>
          <cell r="BN46">
            <v>333</v>
          </cell>
          <cell r="BO46">
            <v>1</v>
          </cell>
          <cell r="BP46">
            <v>290</v>
          </cell>
          <cell r="BQ46">
            <v>0</v>
          </cell>
          <cell r="BR46">
            <v>237</v>
          </cell>
          <cell r="BS46">
            <v>3</v>
          </cell>
          <cell r="BT46">
            <v>1414</v>
          </cell>
          <cell r="BU46">
            <v>8</v>
          </cell>
          <cell r="BV46">
            <v>68</v>
          </cell>
          <cell r="BW46">
            <v>1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68</v>
          </cell>
          <cell r="CE46">
            <v>1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282</v>
          </cell>
          <cell r="DA46">
            <v>2</v>
          </cell>
          <cell r="DB46">
            <v>174</v>
          </cell>
          <cell r="DC46">
            <v>1</v>
          </cell>
          <cell r="DD46">
            <v>97</v>
          </cell>
          <cell r="DE46">
            <v>0</v>
          </cell>
          <cell r="DF46">
            <v>180</v>
          </cell>
          <cell r="DG46">
            <v>1</v>
          </cell>
          <cell r="DH46">
            <v>733</v>
          </cell>
          <cell r="DI46">
            <v>4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H46">
            <v>0</v>
          </cell>
          <cell r="EI46">
            <v>0</v>
          </cell>
        </row>
        <row r="47">
          <cell r="A47" t="str">
            <v>AprDhihdhoo</v>
          </cell>
          <cell r="B47" t="str">
            <v>Apr</v>
          </cell>
          <cell r="C47" t="str">
            <v>ADh.</v>
          </cell>
          <cell r="D47" t="str">
            <v>Dhihdhoo</v>
          </cell>
          <cell r="E47" t="str">
            <v>usage units more than billed</v>
          </cell>
          <cell r="F47">
            <v>11274</v>
          </cell>
          <cell r="G47">
            <v>64</v>
          </cell>
          <cell r="H47">
            <v>63</v>
          </cell>
          <cell r="I47">
            <v>1</v>
          </cell>
          <cell r="J47">
            <v>0</v>
          </cell>
          <cell r="K47">
            <v>64</v>
          </cell>
          <cell r="L47">
            <v>63</v>
          </cell>
          <cell r="M47">
            <v>1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64</v>
          </cell>
          <cell r="U47">
            <v>63</v>
          </cell>
          <cell r="V47">
            <v>1</v>
          </cell>
          <cell r="W47">
            <v>14540.66</v>
          </cell>
          <cell r="X47">
            <v>14540.66</v>
          </cell>
          <cell r="Y47">
            <v>0</v>
          </cell>
          <cell r="Z47">
            <v>14540.66</v>
          </cell>
          <cell r="AA47">
            <v>11273</v>
          </cell>
          <cell r="AB47">
            <v>3267.66</v>
          </cell>
          <cell r="AC47">
            <v>14540.66</v>
          </cell>
          <cell r="AD47">
            <v>12</v>
          </cell>
          <cell r="AE47">
            <v>32</v>
          </cell>
          <cell r="AF47">
            <v>6501</v>
          </cell>
          <cell r="AG47">
            <v>31</v>
          </cell>
          <cell r="AH47">
            <v>41</v>
          </cell>
          <cell r="AI47">
            <v>5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41</v>
          </cell>
          <cell r="AQ47">
            <v>5</v>
          </cell>
          <cell r="AR47">
            <v>100</v>
          </cell>
          <cell r="AS47">
            <v>0</v>
          </cell>
          <cell r="AT47">
            <v>73</v>
          </cell>
          <cell r="AU47">
            <v>1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173</v>
          </cell>
          <cell r="BA47">
            <v>1</v>
          </cell>
          <cell r="BB47">
            <v>3564</v>
          </cell>
          <cell r="BC47">
            <v>17</v>
          </cell>
          <cell r="BD47">
            <v>2481</v>
          </cell>
          <cell r="BE47">
            <v>15</v>
          </cell>
          <cell r="BF47">
            <v>1159</v>
          </cell>
          <cell r="BG47">
            <v>8</v>
          </cell>
          <cell r="BH47">
            <v>1654</v>
          </cell>
          <cell r="BI47">
            <v>5</v>
          </cell>
          <cell r="BJ47">
            <v>8858</v>
          </cell>
          <cell r="BK47">
            <v>45</v>
          </cell>
          <cell r="BL47">
            <v>555</v>
          </cell>
          <cell r="BM47">
            <v>4</v>
          </cell>
          <cell r="BN47">
            <v>326</v>
          </cell>
          <cell r="BO47">
            <v>1</v>
          </cell>
          <cell r="BP47">
            <v>254</v>
          </cell>
          <cell r="BQ47">
            <v>1</v>
          </cell>
          <cell r="BR47">
            <v>261</v>
          </cell>
          <cell r="BS47">
            <v>2</v>
          </cell>
          <cell r="BT47">
            <v>1396</v>
          </cell>
          <cell r="BU47">
            <v>8</v>
          </cell>
          <cell r="BV47">
            <v>60</v>
          </cell>
          <cell r="BW47">
            <v>1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60</v>
          </cell>
          <cell r="CE47">
            <v>1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280</v>
          </cell>
          <cell r="DA47">
            <v>2</v>
          </cell>
          <cell r="DB47">
            <v>180</v>
          </cell>
          <cell r="DC47">
            <v>1</v>
          </cell>
          <cell r="DD47">
            <v>100</v>
          </cell>
          <cell r="DE47">
            <v>0</v>
          </cell>
          <cell r="DF47">
            <v>186</v>
          </cell>
          <cell r="DG47">
            <v>1</v>
          </cell>
          <cell r="DH47">
            <v>746</v>
          </cell>
          <cell r="DI47">
            <v>4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H47">
            <v>0</v>
          </cell>
          <cell r="EI47">
            <v>0</v>
          </cell>
        </row>
        <row r="48">
          <cell r="A48" t="str">
            <v>MayDhihdhoo</v>
          </cell>
          <cell r="B48" t="str">
            <v>May</v>
          </cell>
          <cell r="C48" t="str">
            <v>ADh.</v>
          </cell>
          <cell r="D48" t="str">
            <v>Dhihdhoo</v>
          </cell>
          <cell r="E48" t="str">
            <v>billed normal &amp; temp less than billed cons.</v>
          </cell>
          <cell r="F48">
            <v>10340</v>
          </cell>
          <cell r="G48">
            <v>64</v>
          </cell>
          <cell r="H48">
            <v>64</v>
          </cell>
          <cell r="I48">
            <v>0</v>
          </cell>
          <cell r="J48">
            <v>0</v>
          </cell>
          <cell r="K48">
            <v>64</v>
          </cell>
          <cell r="L48">
            <v>63</v>
          </cell>
          <cell r="M48">
            <v>1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64</v>
          </cell>
          <cell r="U48">
            <v>63</v>
          </cell>
          <cell r="V48">
            <v>1</v>
          </cell>
          <cell r="W48">
            <v>13659.1</v>
          </cell>
          <cell r="X48">
            <v>13659.1</v>
          </cell>
          <cell r="Y48">
            <v>0</v>
          </cell>
          <cell r="Z48">
            <v>13659.1</v>
          </cell>
          <cell r="AA48">
            <v>10340</v>
          </cell>
          <cell r="AB48">
            <v>3319</v>
          </cell>
          <cell r="AC48">
            <v>13659</v>
          </cell>
          <cell r="AD48">
            <v>8</v>
          </cell>
          <cell r="AE48">
            <v>26</v>
          </cell>
          <cell r="AF48">
            <v>5776</v>
          </cell>
          <cell r="AG48">
            <v>5</v>
          </cell>
          <cell r="AH48">
            <v>123</v>
          </cell>
          <cell r="AI48">
            <v>5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123</v>
          </cell>
          <cell r="AQ48">
            <v>5</v>
          </cell>
          <cell r="AR48">
            <v>100</v>
          </cell>
          <cell r="AS48">
            <v>0</v>
          </cell>
          <cell r="AT48">
            <v>66</v>
          </cell>
          <cell r="AU48">
            <v>1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166</v>
          </cell>
          <cell r="BA48">
            <v>1</v>
          </cell>
          <cell r="BB48">
            <v>3411</v>
          </cell>
          <cell r="BC48">
            <v>17</v>
          </cell>
          <cell r="BD48">
            <v>2245</v>
          </cell>
          <cell r="BE48">
            <v>15</v>
          </cell>
          <cell r="BF48">
            <v>879</v>
          </cell>
          <cell r="BG48">
            <v>8</v>
          </cell>
          <cell r="BH48">
            <v>1366</v>
          </cell>
          <cell r="BI48">
            <v>5</v>
          </cell>
          <cell r="BJ48">
            <v>7901</v>
          </cell>
          <cell r="BK48">
            <v>45</v>
          </cell>
          <cell r="BL48">
            <v>571</v>
          </cell>
          <cell r="BM48">
            <v>4</v>
          </cell>
          <cell r="BN48">
            <v>308</v>
          </cell>
          <cell r="BO48">
            <v>1</v>
          </cell>
          <cell r="BP48">
            <v>220</v>
          </cell>
          <cell r="BQ48">
            <v>1</v>
          </cell>
          <cell r="BR48">
            <v>244</v>
          </cell>
          <cell r="BS48">
            <v>2</v>
          </cell>
          <cell r="BT48">
            <v>1343</v>
          </cell>
          <cell r="BU48">
            <v>8</v>
          </cell>
          <cell r="BV48">
            <v>67</v>
          </cell>
          <cell r="BW48">
            <v>1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67</v>
          </cell>
          <cell r="CE48">
            <v>1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274</v>
          </cell>
          <cell r="DA48">
            <v>2</v>
          </cell>
          <cell r="DB48">
            <v>180</v>
          </cell>
          <cell r="DC48">
            <v>1</v>
          </cell>
          <cell r="DD48">
            <v>100</v>
          </cell>
          <cell r="DE48">
            <v>0</v>
          </cell>
          <cell r="DF48">
            <v>186</v>
          </cell>
          <cell r="DG48">
            <v>1</v>
          </cell>
          <cell r="DH48">
            <v>740</v>
          </cell>
          <cell r="DI48">
            <v>4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H48">
            <v>0</v>
          </cell>
          <cell r="EI48">
            <v>0</v>
          </cell>
        </row>
        <row r="49">
          <cell r="A49" t="str">
            <v>JunDhihdhoo</v>
          </cell>
          <cell r="B49" t="str">
            <v>Jun</v>
          </cell>
          <cell r="C49" t="str">
            <v>ADh.</v>
          </cell>
          <cell r="D49" t="str">
            <v>Dhihdhoo</v>
          </cell>
          <cell r="E49" t="str">
            <v>usage units more than billed</v>
          </cell>
          <cell r="F49">
            <v>15474</v>
          </cell>
          <cell r="G49">
            <v>63</v>
          </cell>
          <cell r="H49">
            <v>64</v>
          </cell>
          <cell r="I49">
            <v>0</v>
          </cell>
          <cell r="J49">
            <v>0</v>
          </cell>
          <cell r="K49">
            <v>64</v>
          </cell>
          <cell r="L49">
            <v>62</v>
          </cell>
          <cell r="M49">
            <v>2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64</v>
          </cell>
          <cell r="U49">
            <v>62</v>
          </cell>
          <cell r="V49">
            <v>2</v>
          </cell>
          <cell r="W49">
            <v>15035.96</v>
          </cell>
          <cell r="X49">
            <v>15035.96</v>
          </cell>
          <cell r="Y49">
            <v>0</v>
          </cell>
          <cell r="Z49">
            <v>15035.96</v>
          </cell>
          <cell r="AA49">
            <v>15473</v>
          </cell>
          <cell r="AB49">
            <v>-437.04</v>
          </cell>
          <cell r="AC49">
            <v>15035.96</v>
          </cell>
          <cell r="AD49">
            <v>10</v>
          </cell>
          <cell r="AE49">
            <v>38</v>
          </cell>
          <cell r="AF49">
            <v>5561</v>
          </cell>
          <cell r="AG49">
            <v>18</v>
          </cell>
          <cell r="AH49">
            <v>87</v>
          </cell>
          <cell r="AI49">
            <v>5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87</v>
          </cell>
          <cell r="AQ49">
            <v>5</v>
          </cell>
          <cell r="AR49">
            <v>117</v>
          </cell>
          <cell r="AS49">
            <v>0</v>
          </cell>
          <cell r="AT49">
            <v>117</v>
          </cell>
          <cell r="AU49">
            <v>0</v>
          </cell>
          <cell r="AV49">
            <v>1</v>
          </cell>
          <cell r="AW49">
            <v>1</v>
          </cell>
          <cell r="AX49">
            <v>0</v>
          </cell>
          <cell r="AY49">
            <v>0</v>
          </cell>
          <cell r="AZ49">
            <v>235</v>
          </cell>
          <cell r="BA49">
            <v>1</v>
          </cell>
          <cell r="BB49">
            <v>3980</v>
          </cell>
          <cell r="BC49">
            <v>13</v>
          </cell>
          <cell r="BD49">
            <v>3121</v>
          </cell>
          <cell r="BE49">
            <v>10</v>
          </cell>
          <cell r="BF49">
            <v>1529</v>
          </cell>
          <cell r="BG49">
            <v>11</v>
          </cell>
          <cell r="BH49">
            <v>3059</v>
          </cell>
          <cell r="BI49">
            <v>10</v>
          </cell>
          <cell r="BJ49">
            <v>11689</v>
          </cell>
          <cell r="BK49">
            <v>44</v>
          </cell>
          <cell r="BL49">
            <v>757</v>
          </cell>
          <cell r="BM49">
            <v>4</v>
          </cell>
          <cell r="BN49">
            <v>483</v>
          </cell>
          <cell r="BO49">
            <v>1</v>
          </cell>
          <cell r="BP49">
            <v>467</v>
          </cell>
          <cell r="BQ49">
            <v>1</v>
          </cell>
          <cell r="BR49">
            <v>801</v>
          </cell>
          <cell r="BS49">
            <v>2</v>
          </cell>
          <cell r="BT49">
            <v>2508</v>
          </cell>
          <cell r="BU49">
            <v>8</v>
          </cell>
          <cell r="BV49">
            <v>48</v>
          </cell>
          <cell r="BW49">
            <v>1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48</v>
          </cell>
          <cell r="CE49">
            <v>1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363</v>
          </cell>
          <cell r="DA49">
            <v>2</v>
          </cell>
          <cell r="DB49">
            <v>210</v>
          </cell>
          <cell r="DC49">
            <v>1</v>
          </cell>
          <cell r="DD49">
            <v>117</v>
          </cell>
          <cell r="DE49">
            <v>0</v>
          </cell>
          <cell r="DF49">
            <v>217</v>
          </cell>
          <cell r="DG49">
            <v>1</v>
          </cell>
          <cell r="DH49">
            <v>907</v>
          </cell>
          <cell r="DI49">
            <v>4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H49">
            <v>0</v>
          </cell>
          <cell r="EI49">
            <v>0</v>
          </cell>
        </row>
        <row r="50">
          <cell r="A50" t="str">
            <v>JulDhihdhoo</v>
          </cell>
          <cell r="B50" t="str">
            <v>Jul</v>
          </cell>
          <cell r="C50" t="str">
            <v>ADh.</v>
          </cell>
          <cell r="D50" t="str">
            <v>Dhihdhoo</v>
          </cell>
          <cell r="E50" t="str">
            <v>usage units more than billed</v>
          </cell>
          <cell r="F50">
            <v>9571</v>
          </cell>
          <cell r="G50">
            <v>62</v>
          </cell>
          <cell r="H50">
            <v>64</v>
          </cell>
          <cell r="I50">
            <v>0</v>
          </cell>
          <cell r="J50">
            <v>0</v>
          </cell>
          <cell r="K50">
            <v>64</v>
          </cell>
          <cell r="L50">
            <v>62</v>
          </cell>
          <cell r="M50">
            <v>2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64</v>
          </cell>
          <cell r="U50">
            <v>62</v>
          </cell>
          <cell r="V50">
            <v>2</v>
          </cell>
          <cell r="W50">
            <v>16566.82</v>
          </cell>
          <cell r="X50">
            <v>15566</v>
          </cell>
          <cell r="Y50">
            <v>0</v>
          </cell>
          <cell r="Z50">
            <v>15566</v>
          </cell>
          <cell r="AA50">
            <v>9569</v>
          </cell>
          <cell r="AB50">
            <v>6997.55</v>
          </cell>
          <cell r="AC50">
            <v>16566.55</v>
          </cell>
          <cell r="AD50">
            <v>10</v>
          </cell>
          <cell r="AE50">
            <v>33</v>
          </cell>
          <cell r="AF50">
            <v>6908</v>
          </cell>
          <cell r="AG50">
            <v>59</v>
          </cell>
          <cell r="AH50">
            <v>21</v>
          </cell>
          <cell r="AI50">
            <v>4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21</v>
          </cell>
          <cell r="AQ50">
            <v>4</v>
          </cell>
          <cell r="AR50">
            <v>87</v>
          </cell>
          <cell r="AS50">
            <v>0</v>
          </cell>
          <cell r="AT50">
            <v>40</v>
          </cell>
          <cell r="AU50">
            <v>1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127</v>
          </cell>
          <cell r="BA50">
            <v>1</v>
          </cell>
          <cell r="BB50">
            <v>2844</v>
          </cell>
          <cell r="BC50">
            <v>16</v>
          </cell>
          <cell r="BD50">
            <v>1855</v>
          </cell>
          <cell r="BE50">
            <v>15</v>
          </cell>
          <cell r="BF50">
            <v>822</v>
          </cell>
          <cell r="BG50">
            <v>7</v>
          </cell>
          <cell r="BH50">
            <v>1672</v>
          </cell>
          <cell r="BI50">
            <v>6</v>
          </cell>
          <cell r="BJ50">
            <v>7193</v>
          </cell>
          <cell r="BK50">
            <v>44</v>
          </cell>
          <cell r="BL50">
            <v>447</v>
          </cell>
          <cell r="BM50">
            <v>4</v>
          </cell>
          <cell r="BN50">
            <v>245</v>
          </cell>
          <cell r="BO50">
            <v>2</v>
          </cell>
          <cell r="BP50">
            <v>173</v>
          </cell>
          <cell r="BQ50">
            <v>0</v>
          </cell>
          <cell r="BR50">
            <v>674</v>
          </cell>
          <cell r="BS50">
            <v>2</v>
          </cell>
          <cell r="BT50">
            <v>1539</v>
          </cell>
          <cell r="BU50">
            <v>8</v>
          </cell>
          <cell r="BV50">
            <v>1</v>
          </cell>
          <cell r="BW50">
            <v>1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1</v>
          </cell>
          <cell r="CE50">
            <v>1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286</v>
          </cell>
          <cell r="DA50">
            <v>2</v>
          </cell>
          <cell r="DB50">
            <v>156</v>
          </cell>
          <cell r="DC50">
            <v>1</v>
          </cell>
          <cell r="DD50">
            <v>87</v>
          </cell>
          <cell r="DE50">
            <v>0</v>
          </cell>
          <cell r="DF50">
            <v>161</v>
          </cell>
          <cell r="DG50">
            <v>1</v>
          </cell>
          <cell r="DH50">
            <v>690</v>
          </cell>
          <cell r="DI50">
            <v>4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H50">
            <v>0</v>
          </cell>
          <cell r="EI50">
            <v>0</v>
          </cell>
        </row>
        <row r="51">
          <cell r="A51" t="str">
            <v>AugDhihdhoo</v>
          </cell>
          <cell r="B51" t="str">
            <v>Aug</v>
          </cell>
          <cell r="C51" t="str">
            <v>ADh.</v>
          </cell>
          <cell r="D51" t="str">
            <v>Dhihdhoo</v>
          </cell>
          <cell r="E51">
            <v>0</v>
          </cell>
          <cell r="F51">
            <v>12028</v>
          </cell>
          <cell r="G51">
            <v>58</v>
          </cell>
          <cell r="H51">
            <v>64</v>
          </cell>
          <cell r="I51">
            <v>0</v>
          </cell>
          <cell r="J51">
            <v>0</v>
          </cell>
          <cell r="K51">
            <v>64</v>
          </cell>
          <cell r="L51">
            <v>58</v>
          </cell>
          <cell r="M51">
            <v>6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64</v>
          </cell>
          <cell r="U51">
            <v>58</v>
          </cell>
          <cell r="V51">
            <v>6</v>
          </cell>
          <cell r="W51">
            <v>14924.33</v>
          </cell>
          <cell r="X51">
            <v>14924.33</v>
          </cell>
          <cell r="Y51">
            <v>0</v>
          </cell>
          <cell r="Z51">
            <v>14924.33</v>
          </cell>
          <cell r="AA51">
            <v>12028</v>
          </cell>
          <cell r="AB51">
            <v>2896.33</v>
          </cell>
          <cell r="AC51">
            <v>14924.33</v>
          </cell>
          <cell r="AD51">
            <v>10</v>
          </cell>
          <cell r="AE51">
            <v>37</v>
          </cell>
          <cell r="AF51">
            <v>5846</v>
          </cell>
          <cell r="AG51">
            <v>6</v>
          </cell>
          <cell r="AH51">
            <v>14</v>
          </cell>
          <cell r="AI51">
            <v>3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14</v>
          </cell>
          <cell r="AQ51">
            <v>3</v>
          </cell>
          <cell r="AR51">
            <v>143</v>
          </cell>
          <cell r="AS51">
            <v>0</v>
          </cell>
          <cell r="AT51">
            <v>143</v>
          </cell>
          <cell r="AU51">
            <v>0</v>
          </cell>
          <cell r="AV51">
            <v>141</v>
          </cell>
          <cell r="AW51">
            <v>1</v>
          </cell>
          <cell r="AX51">
            <v>0</v>
          </cell>
          <cell r="AY51">
            <v>0</v>
          </cell>
          <cell r="AZ51">
            <v>427</v>
          </cell>
          <cell r="BA51">
            <v>1</v>
          </cell>
          <cell r="BB51">
            <v>3504</v>
          </cell>
          <cell r="BC51">
            <v>15</v>
          </cell>
          <cell r="BD51">
            <v>2133</v>
          </cell>
          <cell r="BE51">
            <v>16</v>
          </cell>
          <cell r="BF51">
            <v>917</v>
          </cell>
          <cell r="BG51">
            <v>3</v>
          </cell>
          <cell r="BH51">
            <v>1956</v>
          </cell>
          <cell r="BI51">
            <v>7</v>
          </cell>
          <cell r="BJ51">
            <v>8510</v>
          </cell>
          <cell r="BK51">
            <v>41</v>
          </cell>
          <cell r="BL51">
            <v>639</v>
          </cell>
          <cell r="BM51">
            <v>4</v>
          </cell>
          <cell r="BN51">
            <v>464</v>
          </cell>
          <cell r="BO51">
            <v>1</v>
          </cell>
          <cell r="BP51">
            <v>281</v>
          </cell>
          <cell r="BQ51">
            <v>1</v>
          </cell>
          <cell r="BR51">
            <v>857</v>
          </cell>
          <cell r="BS51">
            <v>2</v>
          </cell>
          <cell r="BT51">
            <v>2241</v>
          </cell>
          <cell r="BU51">
            <v>8</v>
          </cell>
          <cell r="BV51">
            <v>72</v>
          </cell>
          <cell r="BW51">
            <v>1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72</v>
          </cell>
          <cell r="CE51">
            <v>1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273</v>
          </cell>
          <cell r="DA51">
            <v>2</v>
          </cell>
          <cell r="DB51">
            <v>157</v>
          </cell>
          <cell r="DC51">
            <v>1</v>
          </cell>
          <cell r="DD51">
            <v>117</v>
          </cell>
          <cell r="DE51">
            <v>0</v>
          </cell>
          <cell r="DF51">
            <v>217</v>
          </cell>
          <cell r="DG51">
            <v>1</v>
          </cell>
          <cell r="DH51">
            <v>764</v>
          </cell>
          <cell r="DI51">
            <v>4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H51">
            <v>0</v>
          </cell>
          <cell r="EI51">
            <v>0</v>
          </cell>
        </row>
        <row r="52">
          <cell r="A52" t="str">
            <v>SepDhihdhoo</v>
          </cell>
          <cell r="B52" t="str">
            <v>Sep</v>
          </cell>
          <cell r="C52" t="str">
            <v>ADh.</v>
          </cell>
          <cell r="D52" t="str">
            <v>Dhihdhoo</v>
          </cell>
          <cell r="E52" t="str">
            <v>usage units less than billed</v>
          </cell>
          <cell r="F52">
            <v>10381</v>
          </cell>
          <cell r="G52">
            <v>60</v>
          </cell>
          <cell r="H52">
            <v>64</v>
          </cell>
          <cell r="I52">
            <v>0</v>
          </cell>
          <cell r="J52">
            <v>0</v>
          </cell>
          <cell r="K52">
            <v>64</v>
          </cell>
          <cell r="L52">
            <v>60</v>
          </cell>
          <cell r="M52">
            <v>4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64</v>
          </cell>
          <cell r="U52">
            <v>60</v>
          </cell>
          <cell r="V52">
            <v>4</v>
          </cell>
          <cell r="W52">
            <v>14202.32</v>
          </cell>
          <cell r="X52">
            <v>14202.32</v>
          </cell>
          <cell r="Y52">
            <v>0</v>
          </cell>
          <cell r="Z52">
            <v>14202.32</v>
          </cell>
          <cell r="AA52">
            <v>10382</v>
          </cell>
          <cell r="AB52">
            <v>3820.32</v>
          </cell>
          <cell r="AC52">
            <v>14202.32</v>
          </cell>
          <cell r="AD52">
            <v>11</v>
          </cell>
          <cell r="AE52">
            <v>34</v>
          </cell>
          <cell r="AF52">
            <v>5941</v>
          </cell>
          <cell r="AG52">
            <v>29</v>
          </cell>
          <cell r="AH52">
            <v>63</v>
          </cell>
          <cell r="AI52">
            <v>3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63</v>
          </cell>
          <cell r="AQ52">
            <v>3</v>
          </cell>
          <cell r="AR52">
            <v>50</v>
          </cell>
          <cell r="AS52">
            <v>0</v>
          </cell>
          <cell r="AT52">
            <v>50</v>
          </cell>
          <cell r="AU52">
            <v>0</v>
          </cell>
          <cell r="AV52">
            <v>50</v>
          </cell>
          <cell r="AW52">
            <v>0</v>
          </cell>
          <cell r="AX52">
            <v>3</v>
          </cell>
          <cell r="AY52">
            <v>1</v>
          </cell>
          <cell r="AZ52">
            <v>153</v>
          </cell>
          <cell r="BA52">
            <v>1</v>
          </cell>
          <cell r="BB52">
            <v>3171</v>
          </cell>
          <cell r="BC52">
            <v>15</v>
          </cell>
          <cell r="BD52">
            <v>1956</v>
          </cell>
          <cell r="BE52">
            <v>14</v>
          </cell>
          <cell r="BF52">
            <v>888</v>
          </cell>
          <cell r="BG52">
            <v>6</v>
          </cell>
          <cell r="BH52">
            <v>1779</v>
          </cell>
          <cell r="BI52">
            <v>7</v>
          </cell>
          <cell r="BJ52">
            <v>7794</v>
          </cell>
          <cell r="BK52">
            <v>42</v>
          </cell>
          <cell r="BL52">
            <v>418</v>
          </cell>
          <cell r="BM52">
            <v>4</v>
          </cell>
          <cell r="BN52">
            <v>293</v>
          </cell>
          <cell r="BO52">
            <v>1</v>
          </cell>
          <cell r="BP52">
            <v>227</v>
          </cell>
          <cell r="BQ52">
            <v>1</v>
          </cell>
          <cell r="BR52">
            <v>783</v>
          </cell>
          <cell r="BS52">
            <v>2</v>
          </cell>
          <cell r="BT52">
            <v>1721</v>
          </cell>
          <cell r="BU52">
            <v>8</v>
          </cell>
          <cell r="BV52">
            <v>58</v>
          </cell>
          <cell r="BW52">
            <v>1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58</v>
          </cell>
          <cell r="CE52">
            <v>1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205</v>
          </cell>
          <cell r="DA52">
            <v>3</v>
          </cell>
          <cell r="DB52">
            <v>130</v>
          </cell>
          <cell r="DC52">
            <v>1</v>
          </cell>
          <cell r="DD52">
            <v>90</v>
          </cell>
          <cell r="DE52">
            <v>0</v>
          </cell>
          <cell r="DF52">
            <v>167</v>
          </cell>
          <cell r="DG52">
            <v>1</v>
          </cell>
          <cell r="DH52">
            <v>592</v>
          </cell>
          <cell r="DI52">
            <v>5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H52">
            <v>0</v>
          </cell>
          <cell r="EI52">
            <v>0</v>
          </cell>
        </row>
        <row r="53">
          <cell r="A53" t="str">
            <v>OctDhihdhoo</v>
          </cell>
          <cell r="B53" t="str">
            <v>Oct</v>
          </cell>
          <cell r="C53" t="str">
            <v>ADh.</v>
          </cell>
          <cell r="D53" t="str">
            <v>Dhihdhoo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H53">
            <v>0</v>
          </cell>
          <cell r="EI53">
            <v>0</v>
          </cell>
        </row>
        <row r="54">
          <cell r="A54" t="str">
            <v>NovDhihdhoo</v>
          </cell>
          <cell r="B54" t="str">
            <v>Nov</v>
          </cell>
          <cell r="C54" t="str">
            <v>ADh.</v>
          </cell>
          <cell r="D54" t="str">
            <v>Dhihdhoo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H54">
            <v>0</v>
          </cell>
          <cell r="EI54">
            <v>0</v>
          </cell>
        </row>
        <row r="55">
          <cell r="A55" t="str">
            <v>DecDhihdhoo</v>
          </cell>
          <cell r="B55" t="str">
            <v>Dec</v>
          </cell>
          <cell r="C55" t="str">
            <v>ADh.</v>
          </cell>
          <cell r="D55" t="str">
            <v>Dhihdhoo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H55">
            <v>0</v>
          </cell>
          <cell r="EI55">
            <v>0</v>
          </cell>
        </row>
        <row r="56">
          <cell r="A56" t="str">
            <v>JanFelidhoo</v>
          </cell>
          <cell r="B56" t="str">
            <v>Jan</v>
          </cell>
          <cell r="C56" t="str">
            <v>V.</v>
          </cell>
          <cell r="D56" t="str">
            <v>Felidhoo</v>
          </cell>
          <cell r="E56">
            <v>0</v>
          </cell>
          <cell r="F56">
            <v>50979.18</v>
          </cell>
          <cell r="G56">
            <v>175</v>
          </cell>
          <cell r="H56">
            <v>178</v>
          </cell>
          <cell r="I56">
            <v>0</v>
          </cell>
          <cell r="J56">
            <v>0</v>
          </cell>
          <cell r="K56">
            <v>178</v>
          </cell>
          <cell r="L56">
            <v>175</v>
          </cell>
          <cell r="M56">
            <v>3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178</v>
          </cell>
          <cell r="U56">
            <v>175</v>
          </cell>
          <cell r="V56">
            <v>3</v>
          </cell>
          <cell r="W56">
            <v>67632.899999999994</v>
          </cell>
          <cell r="X56">
            <v>67632.899999999994</v>
          </cell>
          <cell r="Y56">
            <v>0</v>
          </cell>
          <cell r="Z56">
            <v>67632.899999999994</v>
          </cell>
          <cell r="AA56">
            <v>50979.18</v>
          </cell>
          <cell r="AB56">
            <v>1719</v>
          </cell>
          <cell r="AC56">
            <v>52698.18</v>
          </cell>
          <cell r="AD56">
            <v>45</v>
          </cell>
          <cell r="AE56">
            <v>127</v>
          </cell>
          <cell r="AF56">
            <v>17644</v>
          </cell>
          <cell r="AG56">
            <v>147</v>
          </cell>
          <cell r="AH56">
            <v>1269.32</v>
          </cell>
          <cell r="AI56">
            <v>22</v>
          </cell>
          <cell r="AJ56">
            <v>896.66</v>
          </cell>
          <cell r="AK56">
            <v>2</v>
          </cell>
          <cell r="AL56">
            <v>578.99</v>
          </cell>
          <cell r="AM56">
            <v>3</v>
          </cell>
          <cell r="AN56">
            <v>353.03</v>
          </cell>
          <cell r="AO56">
            <v>4</v>
          </cell>
          <cell r="AP56">
            <v>3098</v>
          </cell>
          <cell r="AQ56">
            <v>31</v>
          </cell>
          <cell r="AR56">
            <v>206.66</v>
          </cell>
          <cell r="AS56" t="str">
            <v xml:space="preserve"> -   </v>
          </cell>
          <cell r="AT56">
            <v>206.66</v>
          </cell>
          <cell r="AU56" t="str">
            <v xml:space="preserve"> -   </v>
          </cell>
          <cell r="AV56">
            <v>206.66</v>
          </cell>
          <cell r="AW56" t="str">
            <v xml:space="preserve"> -   </v>
          </cell>
          <cell r="AX56">
            <v>6368.2</v>
          </cell>
          <cell r="AY56">
            <v>2</v>
          </cell>
          <cell r="AZ56">
            <v>6988.18</v>
          </cell>
          <cell r="BA56">
            <v>2</v>
          </cell>
          <cell r="BB56">
            <v>10282.219999999999</v>
          </cell>
          <cell r="BC56">
            <v>30</v>
          </cell>
          <cell r="BD56">
            <v>8096.94</v>
          </cell>
          <cell r="BE56">
            <v>33</v>
          </cell>
          <cell r="BF56">
            <v>4653.71</v>
          </cell>
          <cell r="BG56">
            <v>29</v>
          </cell>
          <cell r="BH56">
            <v>3055.13</v>
          </cell>
          <cell r="BI56">
            <v>31</v>
          </cell>
          <cell r="BJ56">
            <v>26088</v>
          </cell>
          <cell r="BK56">
            <v>123</v>
          </cell>
          <cell r="BL56">
            <v>1004</v>
          </cell>
          <cell r="BM56">
            <v>3</v>
          </cell>
          <cell r="BN56">
            <v>910</v>
          </cell>
          <cell r="BO56" t="str">
            <v xml:space="preserve"> -   </v>
          </cell>
          <cell r="BP56">
            <v>910</v>
          </cell>
          <cell r="BQ56" t="str">
            <v xml:space="preserve"> -   </v>
          </cell>
          <cell r="BR56">
            <v>8511</v>
          </cell>
          <cell r="BS56">
            <v>8</v>
          </cell>
          <cell r="BT56">
            <v>11335</v>
          </cell>
          <cell r="BU56">
            <v>11</v>
          </cell>
          <cell r="BV56">
            <v>210</v>
          </cell>
          <cell r="BW56" t="str">
            <v xml:space="preserve"> -   </v>
          </cell>
          <cell r="BX56">
            <v>210</v>
          </cell>
          <cell r="BY56" t="str">
            <v xml:space="preserve"> -   </v>
          </cell>
          <cell r="BZ56">
            <v>210</v>
          </cell>
          <cell r="CA56" t="str">
            <v xml:space="preserve"> -   </v>
          </cell>
          <cell r="CB56">
            <v>772</v>
          </cell>
          <cell r="CC56">
            <v>2</v>
          </cell>
          <cell r="CD56">
            <v>1402</v>
          </cell>
          <cell r="CE56">
            <v>2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58</v>
          </cell>
          <cell r="CQ56">
            <v>2</v>
          </cell>
          <cell r="CR56" t="str">
            <v xml:space="preserve"> -   </v>
          </cell>
          <cell r="CS56" t="str">
            <v xml:space="preserve"> -   </v>
          </cell>
          <cell r="CT56" t="str">
            <v xml:space="preserve"> -   </v>
          </cell>
          <cell r="CU56" t="str">
            <v xml:space="preserve"> -   </v>
          </cell>
          <cell r="CV56" t="str">
            <v xml:space="preserve"> -   </v>
          </cell>
          <cell r="CW56" t="str">
            <v xml:space="preserve"> -   </v>
          </cell>
          <cell r="CX56">
            <v>58</v>
          </cell>
          <cell r="CY56">
            <v>2</v>
          </cell>
          <cell r="CZ56">
            <v>400</v>
          </cell>
          <cell r="DA56">
            <v>1</v>
          </cell>
          <cell r="DB56">
            <v>356</v>
          </cell>
          <cell r="DC56" t="str">
            <v xml:space="preserve"> -   </v>
          </cell>
          <cell r="DD56">
            <v>288</v>
          </cell>
          <cell r="DE56">
            <v>1</v>
          </cell>
          <cell r="DF56">
            <v>966</v>
          </cell>
          <cell r="DG56">
            <v>2</v>
          </cell>
          <cell r="DH56">
            <v>2010</v>
          </cell>
          <cell r="DI56">
            <v>4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 t="str">
            <v xml:space="preserve"> -   </v>
          </cell>
          <cell r="DS56" t="str">
            <v xml:space="preserve"> -   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 t="str">
            <v xml:space="preserve"> -   </v>
          </cell>
          <cell r="EC56" t="str">
            <v xml:space="preserve"> -   </v>
          </cell>
          <cell r="ED56">
            <v>0</v>
          </cell>
          <cell r="EE56">
            <v>0</v>
          </cell>
          <cell r="EF56">
            <v>0</v>
          </cell>
          <cell r="EH56">
            <v>0</v>
          </cell>
          <cell r="EI56">
            <v>0</v>
          </cell>
        </row>
        <row r="57">
          <cell r="A57" t="str">
            <v>FebFelidhoo</v>
          </cell>
          <cell r="B57" t="str">
            <v>Feb</v>
          </cell>
          <cell r="C57" t="str">
            <v>V.</v>
          </cell>
          <cell r="D57" t="str">
            <v>Felidhoo</v>
          </cell>
          <cell r="E57">
            <v>0</v>
          </cell>
          <cell r="F57">
            <v>57203</v>
          </cell>
          <cell r="G57">
            <v>175</v>
          </cell>
          <cell r="H57">
            <v>178</v>
          </cell>
          <cell r="I57">
            <v>0</v>
          </cell>
          <cell r="J57">
            <v>0</v>
          </cell>
          <cell r="K57">
            <v>178</v>
          </cell>
          <cell r="L57">
            <v>175</v>
          </cell>
          <cell r="M57">
            <v>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178</v>
          </cell>
          <cell r="U57">
            <v>175</v>
          </cell>
          <cell r="V57">
            <v>3</v>
          </cell>
          <cell r="W57">
            <v>66552.800000000003</v>
          </cell>
          <cell r="X57">
            <v>66552.800000000003</v>
          </cell>
          <cell r="Y57">
            <v>0</v>
          </cell>
          <cell r="Z57">
            <v>66552.800000000003</v>
          </cell>
          <cell r="AA57">
            <v>57203</v>
          </cell>
          <cell r="AB57">
            <v>1624</v>
          </cell>
          <cell r="AC57">
            <v>58827</v>
          </cell>
          <cell r="AD57">
            <v>44</v>
          </cell>
          <cell r="AE57">
            <v>130</v>
          </cell>
          <cell r="AF57">
            <v>17673</v>
          </cell>
          <cell r="AG57">
            <v>67</v>
          </cell>
          <cell r="AH57">
            <v>1415.68</v>
          </cell>
          <cell r="AI57">
            <v>22</v>
          </cell>
          <cell r="AJ57">
            <v>953.68</v>
          </cell>
          <cell r="AK57">
            <v>1</v>
          </cell>
          <cell r="AL57">
            <v>750.68</v>
          </cell>
          <cell r="AM57">
            <v>2</v>
          </cell>
          <cell r="AN57">
            <v>429.96</v>
          </cell>
          <cell r="AO57">
            <v>6</v>
          </cell>
          <cell r="AP57">
            <v>3550</v>
          </cell>
          <cell r="AQ57">
            <v>31</v>
          </cell>
          <cell r="AR57">
            <v>213.34</v>
          </cell>
          <cell r="AS57" t="str">
            <v xml:space="preserve"> -   </v>
          </cell>
          <cell r="AT57">
            <v>213.34</v>
          </cell>
          <cell r="AU57" t="str">
            <v xml:space="preserve"> -   </v>
          </cell>
          <cell r="AV57">
            <v>213.34</v>
          </cell>
          <cell r="AW57" t="str">
            <v xml:space="preserve"> -   </v>
          </cell>
          <cell r="AX57">
            <v>6935.98</v>
          </cell>
          <cell r="AY57">
            <v>2</v>
          </cell>
          <cell r="AZ57">
            <v>7576</v>
          </cell>
          <cell r="BA57">
            <v>2</v>
          </cell>
          <cell r="BB57">
            <v>10892.81</v>
          </cell>
          <cell r="BC57">
            <v>31</v>
          </cell>
          <cell r="BD57">
            <v>8656.73</v>
          </cell>
          <cell r="BE57">
            <v>31</v>
          </cell>
          <cell r="BF57">
            <v>5290.63</v>
          </cell>
          <cell r="BG57">
            <v>25</v>
          </cell>
          <cell r="BH57">
            <v>4374.83</v>
          </cell>
          <cell r="BI57">
            <v>36</v>
          </cell>
          <cell r="BJ57">
            <v>29215</v>
          </cell>
          <cell r="BK57">
            <v>123</v>
          </cell>
          <cell r="BL57">
            <v>1004.34</v>
          </cell>
          <cell r="BM57">
            <v>3</v>
          </cell>
          <cell r="BN57">
            <v>873.34</v>
          </cell>
          <cell r="BO57" t="str">
            <v xml:space="preserve"> -   </v>
          </cell>
          <cell r="BP57">
            <v>873.34</v>
          </cell>
          <cell r="BQ57" t="str">
            <v xml:space="preserve"> -   </v>
          </cell>
          <cell r="BR57">
            <v>9606.98</v>
          </cell>
          <cell r="BS57">
            <v>8</v>
          </cell>
          <cell r="BT57">
            <v>12358</v>
          </cell>
          <cell r="BU57">
            <v>11</v>
          </cell>
          <cell r="BV57">
            <v>210</v>
          </cell>
          <cell r="BW57" t="str">
            <v xml:space="preserve"> -   </v>
          </cell>
          <cell r="BX57">
            <v>210</v>
          </cell>
          <cell r="BY57" t="str">
            <v xml:space="preserve"> -   </v>
          </cell>
          <cell r="BZ57">
            <v>210</v>
          </cell>
          <cell r="CA57" t="str">
            <v xml:space="preserve"> -   </v>
          </cell>
          <cell r="CB57">
            <v>1471</v>
          </cell>
          <cell r="CC57">
            <v>2</v>
          </cell>
          <cell r="CD57">
            <v>2101</v>
          </cell>
          <cell r="CE57">
            <v>2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173.67</v>
          </cell>
          <cell r="CQ57">
            <v>1</v>
          </cell>
          <cell r="CR57">
            <v>19.329999999999998</v>
          </cell>
          <cell r="CS57">
            <v>1</v>
          </cell>
          <cell r="CT57" t="str">
            <v xml:space="preserve"> -   </v>
          </cell>
          <cell r="CU57" t="str">
            <v xml:space="preserve"> -   </v>
          </cell>
          <cell r="CV57" t="str">
            <v xml:space="preserve"> -   </v>
          </cell>
          <cell r="CW57" t="str">
            <v xml:space="preserve"> -   </v>
          </cell>
          <cell r="CX57">
            <v>193</v>
          </cell>
          <cell r="CY57">
            <v>2</v>
          </cell>
          <cell r="CZ57">
            <v>440</v>
          </cell>
          <cell r="DA57" t="str">
            <v xml:space="preserve"> -   </v>
          </cell>
          <cell r="DB57">
            <v>391</v>
          </cell>
          <cell r="DC57">
            <v>1</v>
          </cell>
          <cell r="DD57">
            <v>317</v>
          </cell>
          <cell r="DE57">
            <v>1</v>
          </cell>
          <cell r="DF57">
            <v>1062</v>
          </cell>
          <cell r="DG57">
            <v>2</v>
          </cell>
          <cell r="DH57">
            <v>2210</v>
          </cell>
          <cell r="DI57">
            <v>4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 t="str">
            <v xml:space="preserve"> -   </v>
          </cell>
          <cell r="DS57" t="str">
            <v xml:space="preserve"> -   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 xml:space="preserve"> -   </v>
          </cell>
          <cell r="EC57" t="str">
            <v xml:space="preserve"> -   </v>
          </cell>
          <cell r="ED57">
            <v>0</v>
          </cell>
          <cell r="EE57">
            <v>0</v>
          </cell>
          <cell r="EF57">
            <v>0</v>
          </cell>
          <cell r="EH57">
            <v>0</v>
          </cell>
          <cell r="EI57">
            <v>0</v>
          </cell>
        </row>
        <row r="58">
          <cell r="A58" t="str">
            <v>MarFelidhoo</v>
          </cell>
          <cell r="B58" t="str">
            <v>Mar</v>
          </cell>
          <cell r="C58" t="str">
            <v>V.</v>
          </cell>
          <cell r="D58" t="str">
            <v>Felidhoo</v>
          </cell>
          <cell r="E58">
            <v>0</v>
          </cell>
          <cell r="F58">
            <v>54731</v>
          </cell>
          <cell r="G58">
            <v>172</v>
          </cell>
          <cell r="H58">
            <v>178</v>
          </cell>
          <cell r="I58">
            <v>1</v>
          </cell>
          <cell r="J58">
            <v>0</v>
          </cell>
          <cell r="K58">
            <v>179</v>
          </cell>
          <cell r="L58">
            <v>172</v>
          </cell>
          <cell r="M58">
            <v>7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179</v>
          </cell>
          <cell r="U58">
            <v>172</v>
          </cell>
          <cell r="V58">
            <v>7</v>
          </cell>
          <cell r="W58">
            <v>87940.6</v>
          </cell>
          <cell r="X58">
            <v>87940.6</v>
          </cell>
          <cell r="Y58">
            <v>0</v>
          </cell>
          <cell r="Z58">
            <v>87940.6</v>
          </cell>
          <cell r="AA58">
            <v>54731</v>
          </cell>
          <cell r="AB58">
            <v>2026</v>
          </cell>
          <cell r="AC58">
            <v>56757</v>
          </cell>
          <cell r="AD58">
            <v>50</v>
          </cell>
          <cell r="AE58">
            <v>144</v>
          </cell>
          <cell r="AF58">
            <v>21052</v>
          </cell>
          <cell r="AG58">
            <v>120</v>
          </cell>
          <cell r="AH58">
            <v>1245.3499999999999</v>
          </cell>
          <cell r="AI58">
            <v>22</v>
          </cell>
          <cell r="AJ58">
            <v>775.69</v>
          </cell>
          <cell r="AK58">
            <v>1</v>
          </cell>
          <cell r="AL58">
            <v>694.01</v>
          </cell>
          <cell r="AM58">
            <v>1</v>
          </cell>
          <cell r="AN58">
            <v>958.95</v>
          </cell>
          <cell r="AO58">
            <v>7</v>
          </cell>
          <cell r="AP58">
            <v>3674</v>
          </cell>
          <cell r="AQ58">
            <v>31</v>
          </cell>
          <cell r="AR58">
            <v>186.66</v>
          </cell>
          <cell r="AS58" t="str">
            <v xml:space="preserve"> -   </v>
          </cell>
          <cell r="AT58">
            <v>186.66</v>
          </cell>
          <cell r="AU58" t="str">
            <v xml:space="preserve"> -   </v>
          </cell>
          <cell r="AV58">
            <v>186.66</v>
          </cell>
          <cell r="AW58" t="str">
            <v xml:space="preserve"> -   </v>
          </cell>
          <cell r="AX58">
            <v>6540.02</v>
          </cell>
          <cell r="AY58">
            <v>2</v>
          </cell>
          <cell r="AZ58">
            <v>7100</v>
          </cell>
          <cell r="BA58">
            <v>2</v>
          </cell>
          <cell r="BB58">
            <v>9572.6299999999992</v>
          </cell>
          <cell r="BC58">
            <v>25</v>
          </cell>
          <cell r="BD58">
            <v>7741.69</v>
          </cell>
          <cell r="BE58">
            <v>33</v>
          </cell>
          <cell r="BF58">
            <v>4914.63</v>
          </cell>
          <cell r="BG58">
            <v>21</v>
          </cell>
          <cell r="BH58">
            <v>5748.05</v>
          </cell>
          <cell r="BI58">
            <v>41</v>
          </cell>
          <cell r="BJ58">
            <v>27977</v>
          </cell>
          <cell r="BK58">
            <v>120</v>
          </cell>
          <cell r="BL58">
            <v>873.68</v>
          </cell>
          <cell r="BM58">
            <v>3</v>
          </cell>
          <cell r="BN58">
            <v>766.68</v>
          </cell>
          <cell r="BO58" t="str">
            <v xml:space="preserve"> -   </v>
          </cell>
          <cell r="BP58">
            <v>766.68</v>
          </cell>
          <cell r="BQ58" t="str">
            <v xml:space="preserve"> -   </v>
          </cell>
          <cell r="BR58">
            <v>9702.9599999999991</v>
          </cell>
          <cell r="BS58">
            <v>8</v>
          </cell>
          <cell r="BT58">
            <v>12110</v>
          </cell>
          <cell r="BU58">
            <v>11</v>
          </cell>
          <cell r="BV58">
            <v>193.34</v>
          </cell>
          <cell r="BW58" t="str">
            <v xml:space="preserve"> -   </v>
          </cell>
          <cell r="BX58">
            <v>193.34</v>
          </cell>
          <cell r="BY58" t="str">
            <v xml:space="preserve"> -   </v>
          </cell>
          <cell r="BZ58">
            <v>193.34</v>
          </cell>
          <cell r="CA58" t="str">
            <v xml:space="preserve"> -   </v>
          </cell>
          <cell r="CB58">
            <v>1175.98</v>
          </cell>
          <cell r="CC58">
            <v>2</v>
          </cell>
          <cell r="CD58">
            <v>1756</v>
          </cell>
          <cell r="CE58">
            <v>2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148.66999999999999</v>
          </cell>
          <cell r="CQ58">
            <v>1</v>
          </cell>
          <cell r="CR58">
            <v>23.33</v>
          </cell>
          <cell r="CS58">
            <v>1</v>
          </cell>
          <cell r="CT58" t="str">
            <v xml:space="preserve"> -   </v>
          </cell>
          <cell r="CU58" t="str">
            <v xml:space="preserve"> -   </v>
          </cell>
          <cell r="CV58" t="str">
            <v xml:space="preserve"> -   </v>
          </cell>
          <cell r="CW58" t="str">
            <v xml:space="preserve"> -   </v>
          </cell>
          <cell r="CX58">
            <v>172</v>
          </cell>
          <cell r="CY58">
            <v>2</v>
          </cell>
          <cell r="CZ58">
            <v>386.68</v>
          </cell>
          <cell r="DA58" t="str">
            <v xml:space="preserve"> -   </v>
          </cell>
          <cell r="DB58">
            <v>343.34</v>
          </cell>
          <cell r="DC58">
            <v>1</v>
          </cell>
          <cell r="DD58">
            <v>278</v>
          </cell>
          <cell r="DE58">
            <v>1</v>
          </cell>
          <cell r="DF58">
            <v>933.98</v>
          </cell>
          <cell r="DG58">
            <v>2</v>
          </cell>
          <cell r="DH58">
            <v>1942</v>
          </cell>
          <cell r="DI58">
            <v>4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 t="str">
            <v xml:space="preserve"> -   </v>
          </cell>
          <cell r="DS58" t="str">
            <v xml:space="preserve"> -   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 t="str">
            <v xml:space="preserve"> -   </v>
          </cell>
          <cell r="EC58" t="str">
            <v xml:space="preserve"> -   </v>
          </cell>
          <cell r="ED58">
            <v>0</v>
          </cell>
          <cell r="EE58">
            <v>0</v>
          </cell>
          <cell r="EF58">
            <v>0</v>
          </cell>
          <cell r="EH58">
            <v>0</v>
          </cell>
          <cell r="EI58">
            <v>0</v>
          </cell>
        </row>
        <row r="59">
          <cell r="A59" t="str">
            <v>AprFelidhoo</v>
          </cell>
          <cell r="B59" t="str">
            <v>Apr</v>
          </cell>
          <cell r="C59" t="str">
            <v>V.</v>
          </cell>
          <cell r="D59" t="str">
            <v>Felidhoo</v>
          </cell>
          <cell r="E59">
            <v>0</v>
          </cell>
          <cell r="F59">
            <v>59287</v>
          </cell>
          <cell r="G59">
            <v>174</v>
          </cell>
          <cell r="H59">
            <v>179</v>
          </cell>
          <cell r="I59">
            <v>0</v>
          </cell>
          <cell r="J59">
            <v>0</v>
          </cell>
          <cell r="K59">
            <v>179</v>
          </cell>
          <cell r="L59">
            <v>174</v>
          </cell>
          <cell r="M59">
            <v>5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179</v>
          </cell>
          <cell r="U59">
            <v>174</v>
          </cell>
          <cell r="V59">
            <v>5</v>
          </cell>
          <cell r="W59">
            <v>68983.100000000006</v>
          </cell>
          <cell r="X59">
            <v>68983.100000000006</v>
          </cell>
          <cell r="Y59">
            <v>0</v>
          </cell>
          <cell r="Z59">
            <v>68983.100000000006</v>
          </cell>
          <cell r="AA59">
            <v>59287</v>
          </cell>
          <cell r="AB59">
            <v>1843</v>
          </cell>
          <cell r="AC59">
            <v>61130</v>
          </cell>
          <cell r="AD59">
            <v>60</v>
          </cell>
          <cell r="AE59">
            <v>151</v>
          </cell>
          <cell r="AF59">
            <v>20910</v>
          </cell>
          <cell r="AG59">
            <v>68</v>
          </cell>
          <cell r="AH59">
            <v>1297.6400000000001</v>
          </cell>
          <cell r="AI59">
            <v>22</v>
          </cell>
          <cell r="AJ59">
            <v>892.32</v>
          </cell>
          <cell r="AK59">
            <v>2</v>
          </cell>
          <cell r="AL59">
            <v>641.01</v>
          </cell>
          <cell r="AM59">
            <v>3</v>
          </cell>
          <cell r="AN59">
            <v>1123.03</v>
          </cell>
          <cell r="AO59">
            <v>5</v>
          </cell>
          <cell r="AP59">
            <v>3954</v>
          </cell>
          <cell r="AQ59">
            <v>32</v>
          </cell>
          <cell r="AR59">
            <v>193.34</v>
          </cell>
          <cell r="AS59">
            <v>0</v>
          </cell>
          <cell r="AT59">
            <v>193.34</v>
          </cell>
          <cell r="AU59">
            <v>0</v>
          </cell>
          <cell r="AV59">
            <v>193.34</v>
          </cell>
          <cell r="AW59">
            <v>0</v>
          </cell>
          <cell r="AX59">
            <v>6807.98</v>
          </cell>
          <cell r="AY59">
            <v>2</v>
          </cell>
          <cell r="AZ59">
            <v>7388</v>
          </cell>
          <cell r="BA59">
            <v>2</v>
          </cell>
          <cell r="BB59">
            <v>10050.74</v>
          </cell>
          <cell r="BC59">
            <v>27</v>
          </cell>
          <cell r="BD59">
            <v>8116.34</v>
          </cell>
          <cell r="BE59">
            <v>25</v>
          </cell>
          <cell r="BF59">
            <v>5390.05</v>
          </cell>
          <cell r="BG59">
            <v>25</v>
          </cell>
          <cell r="BH59">
            <v>7796.87</v>
          </cell>
          <cell r="BI59">
            <v>45</v>
          </cell>
          <cell r="BJ59">
            <v>31354</v>
          </cell>
          <cell r="BK59">
            <v>122</v>
          </cell>
          <cell r="BL59">
            <v>792.32</v>
          </cell>
          <cell r="BM59">
            <v>2</v>
          </cell>
          <cell r="BN59">
            <v>682.98</v>
          </cell>
          <cell r="BO59">
            <v>1</v>
          </cell>
          <cell r="BP59">
            <v>656.65</v>
          </cell>
          <cell r="BQ59">
            <v>0</v>
          </cell>
          <cell r="BR59">
            <v>10363.049999999999</v>
          </cell>
          <cell r="BS59">
            <v>7</v>
          </cell>
          <cell r="BT59">
            <v>12494.999999999998</v>
          </cell>
          <cell r="BU59">
            <v>10</v>
          </cell>
          <cell r="BV59">
            <v>186.66</v>
          </cell>
          <cell r="BW59">
            <v>0</v>
          </cell>
          <cell r="BX59">
            <v>186.66</v>
          </cell>
          <cell r="BY59">
            <v>0</v>
          </cell>
          <cell r="BZ59">
            <v>186.66</v>
          </cell>
          <cell r="CA59">
            <v>0</v>
          </cell>
          <cell r="CB59">
            <v>1454.02</v>
          </cell>
          <cell r="CC59">
            <v>2</v>
          </cell>
          <cell r="CD59">
            <v>2014.0000000000002</v>
          </cell>
          <cell r="CE59">
            <v>2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136.33000000000001</v>
          </cell>
          <cell r="CQ59">
            <v>1</v>
          </cell>
          <cell r="CR59">
            <v>3.67</v>
          </cell>
          <cell r="CS59">
            <v>1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140</v>
          </cell>
          <cell r="CY59">
            <v>2</v>
          </cell>
          <cell r="CZ59">
            <v>386.68</v>
          </cell>
          <cell r="DA59">
            <v>0</v>
          </cell>
          <cell r="DB59">
            <v>343.34</v>
          </cell>
          <cell r="DC59">
            <v>1</v>
          </cell>
          <cell r="DD59">
            <v>278</v>
          </cell>
          <cell r="DE59">
            <v>1</v>
          </cell>
          <cell r="DF59">
            <v>933.98</v>
          </cell>
          <cell r="DG59">
            <v>2</v>
          </cell>
          <cell r="DH59">
            <v>1942</v>
          </cell>
          <cell r="DI59">
            <v>4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H59">
            <v>0</v>
          </cell>
          <cell r="EI59">
            <v>0</v>
          </cell>
        </row>
        <row r="60">
          <cell r="A60" t="str">
            <v>MayFelidhoo</v>
          </cell>
          <cell r="B60" t="str">
            <v>May</v>
          </cell>
          <cell r="C60" t="str">
            <v>V.</v>
          </cell>
          <cell r="D60" t="str">
            <v>Felidhoo</v>
          </cell>
          <cell r="E60" t="str">
            <v>usage units less than billed</v>
          </cell>
          <cell r="F60">
            <v>48806</v>
          </cell>
          <cell r="G60">
            <v>166</v>
          </cell>
          <cell r="H60">
            <v>176</v>
          </cell>
          <cell r="I60">
            <v>1</v>
          </cell>
          <cell r="J60">
            <v>0</v>
          </cell>
          <cell r="K60">
            <v>177</v>
          </cell>
          <cell r="L60">
            <v>175</v>
          </cell>
          <cell r="M60">
            <v>2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177</v>
          </cell>
          <cell r="U60">
            <v>175</v>
          </cell>
          <cell r="V60">
            <v>2</v>
          </cell>
          <cell r="W60">
            <v>75124.3</v>
          </cell>
          <cell r="X60">
            <v>75124.3</v>
          </cell>
          <cell r="Y60">
            <v>0</v>
          </cell>
          <cell r="Z60">
            <v>75124.3</v>
          </cell>
          <cell r="AA60">
            <v>59518</v>
          </cell>
          <cell r="AB60">
            <v>1916</v>
          </cell>
          <cell r="AC60">
            <v>61434</v>
          </cell>
          <cell r="AD60">
            <v>55</v>
          </cell>
          <cell r="AE60">
            <v>148</v>
          </cell>
          <cell r="AF60">
            <v>20430</v>
          </cell>
          <cell r="AG60">
            <v>119</v>
          </cell>
          <cell r="AH60">
            <v>1165</v>
          </cell>
          <cell r="AI60">
            <v>23</v>
          </cell>
          <cell r="AJ60">
            <v>900</v>
          </cell>
          <cell r="AK60">
            <v>0</v>
          </cell>
          <cell r="AL60">
            <v>802</v>
          </cell>
          <cell r="AM60">
            <v>2</v>
          </cell>
          <cell r="AN60">
            <v>1304</v>
          </cell>
          <cell r="AO60">
            <v>7</v>
          </cell>
          <cell r="AP60">
            <v>4171</v>
          </cell>
          <cell r="AQ60">
            <v>32</v>
          </cell>
          <cell r="AR60">
            <v>203.33</v>
          </cell>
          <cell r="AS60">
            <v>0</v>
          </cell>
          <cell r="AT60">
            <v>203.33</v>
          </cell>
          <cell r="AU60">
            <v>0</v>
          </cell>
          <cell r="AV60">
            <v>203.33</v>
          </cell>
          <cell r="AW60">
            <v>2</v>
          </cell>
          <cell r="AX60">
            <v>6752.01</v>
          </cell>
          <cell r="AY60">
            <v>0</v>
          </cell>
          <cell r="AZ60">
            <v>7362</v>
          </cell>
          <cell r="BA60">
            <v>2</v>
          </cell>
          <cell r="BB60">
            <v>9915.67</v>
          </cell>
          <cell r="BC60">
            <v>30</v>
          </cell>
          <cell r="BD60">
            <v>8093.67</v>
          </cell>
          <cell r="BE60">
            <v>28</v>
          </cell>
          <cell r="BF60">
            <v>5269.69</v>
          </cell>
          <cell r="BG60">
            <v>21</v>
          </cell>
          <cell r="BH60">
            <v>7410.97</v>
          </cell>
          <cell r="BI60">
            <v>43</v>
          </cell>
          <cell r="BJ60">
            <v>30689.999999999996</v>
          </cell>
          <cell r="BK60">
            <v>122</v>
          </cell>
          <cell r="BL60">
            <v>206.66</v>
          </cell>
          <cell r="BM60">
            <v>0</v>
          </cell>
          <cell r="BN60">
            <v>206.66</v>
          </cell>
          <cell r="BO60">
            <v>0</v>
          </cell>
          <cell r="BP60">
            <v>206.66</v>
          </cell>
          <cell r="BQ60">
            <v>0</v>
          </cell>
          <cell r="BR60">
            <v>1623.02</v>
          </cell>
          <cell r="BS60">
            <v>2</v>
          </cell>
          <cell r="BT60">
            <v>2243</v>
          </cell>
          <cell r="BU60">
            <v>2</v>
          </cell>
          <cell r="BV60">
            <v>206.66</v>
          </cell>
          <cell r="BW60">
            <v>0</v>
          </cell>
          <cell r="BX60">
            <v>206.66</v>
          </cell>
          <cell r="BY60">
            <v>0</v>
          </cell>
          <cell r="BZ60">
            <v>206.66</v>
          </cell>
          <cell r="CA60">
            <v>0</v>
          </cell>
          <cell r="CB60">
            <v>1623.02</v>
          </cell>
          <cell r="CC60">
            <v>2</v>
          </cell>
          <cell r="CD60">
            <v>2243</v>
          </cell>
          <cell r="CE60">
            <v>2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143.33000000000001</v>
          </cell>
          <cell r="CQ60">
            <v>1</v>
          </cell>
          <cell r="CR60">
            <v>11.67</v>
          </cell>
          <cell r="CS60">
            <v>1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155</v>
          </cell>
          <cell r="CY60">
            <v>2</v>
          </cell>
          <cell r="CZ60">
            <v>386.68</v>
          </cell>
          <cell r="DA60">
            <v>1</v>
          </cell>
          <cell r="DB60">
            <v>343.34</v>
          </cell>
          <cell r="DC60">
            <v>0</v>
          </cell>
          <cell r="DD60">
            <v>278</v>
          </cell>
          <cell r="DE60">
            <v>1</v>
          </cell>
          <cell r="DF60">
            <v>933.98</v>
          </cell>
          <cell r="DG60">
            <v>2</v>
          </cell>
          <cell r="DH60">
            <v>1942</v>
          </cell>
          <cell r="DI60">
            <v>4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H60">
            <v>0</v>
          </cell>
          <cell r="EI60">
            <v>0</v>
          </cell>
        </row>
        <row r="61">
          <cell r="A61" t="str">
            <v>JunFelidhoo</v>
          </cell>
          <cell r="B61" t="str">
            <v>Jun</v>
          </cell>
          <cell r="C61" t="str">
            <v>V.</v>
          </cell>
          <cell r="D61" t="str">
            <v>Felidhoo</v>
          </cell>
          <cell r="E61" t="str">
            <v>usage units more than billed</v>
          </cell>
          <cell r="F61">
            <v>68485</v>
          </cell>
          <cell r="G61">
            <v>183</v>
          </cell>
          <cell r="H61">
            <v>177</v>
          </cell>
          <cell r="I61">
            <v>1</v>
          </cell>
          <cell r="J61">
            <v>0</v>
          </cell>
          <cell r="K61">
            <v>178</v>
          </cell>
          <cell r="L61">
            <v>175</v>
          </cell>
          <cell r="M61">
            <v>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178</v>
          </cell>
          <cell r="U61">
            <v>175</v>
          </cell>
          <cell r="V61">
            <v>3</v>
          </cell>
          <cell r="W61">
            <v>73031.100000000006</v>
          </cell>
          <cell r="X61">
            <v>73031.100000000006</v>
          </cell>
          <cell r="Y61">
            <v>0</v>
          </cell>
          <cell r="Z61">
            <v>73031.100000000006</v>
          </cell>
          <cell r="AA61">
            <v>58775</v>
          </cell>
          <cell r="AB61">
            <v>1869</v>
          </cell>
          <cell r="AC61">
            <v>60644</v>
          </cell>
          <cell r="AD61">
            <v>50</v>
          </cell>
          <cell r="AE61">
            <v>135</v>
          </cell>
          <cell r="AF61">
            <v>19440</v>
          </cell>
          <cell r="AG61">
            <v>91.5</v>
          </cell>
          <cell r="AH61">
            <v>1143.98</v>
          </cell>
          <cell r="AI61">
            <v>23</v>
          </cell>
          <cell r="AJ61">
            <v>939.98</v>
          </cell>
          <cell r="AK61">
            <v>0</v>
          </cell>
          <cell r="AL61">
            <v>802.98</v>
          </cell>
          <cell r="AM61">
            <v>2</v>
          </cell>
          <cell r="AN61">
            <v>785.06</v>
          </cell>
          <cell r="AO61">
            <v>7</v>
          </cell>
          <cell r="AP61">
            <v>3672</v>
          </cell>
          <cell r="AQ61">
            <v>32</v>
          </cell>
          <cell r="AR61">
            <v>320</v>
          </cell>
          <cell r="AS61">
            <v>0</v>
          </cell>
          <cell r="AT61">
            <v>320</v>
          </cell>
          <cell r="AU61">
            <v>0</v>
          </cell>
          <cell r="AV61">
            <v>320</v>
          </cell>
          <cell r="AW61">
            <v>0</v>
          </cell>
          <cell r="AX61">
            <v>7739</v>
          </cell>
          <cell r="AY61">
            <v>3</v>
          </cell>
          <cell r="AZ61">
            <v>8699</v>
          </cell>
          <cell r="BA61">
            <v>3</v>
          </cell>
          <cell r="BB61">
            <v>10313.950000000001</v>
          </cell>
          <cell r="BC61">
            <v>29</v>
          </cell>
          <cell r="BD61">
            <v>8687.65</v>
          </cell>
          <cell r="BE61">
            <v>24</v>
          </cell>
          <cell r="BF61">
            <v>5815.37</v>
          </cell>
          <cell r="BG61">
            <v>23</v>
          </cell>
          <cell r="BH61">
            <v>6570.03</v>
          </cell>
          <cell r="BI61">
            <v>46</v>
          </cell>
          <cell r="BJ61">
            <v>31386.999999999996</v>
          </cell>
          <cell r="BK61">
            <v>122</v>
          </cell>
          <cell r="BL61">
            <v>843.32</v>
          </cell>
          <cell r="BM61">
            <v>2</v>
          </cell>
          <cell r="BN61">
            <v>776.66</v>
          </cell>
          <cell r="BO61">
            <v>1</v>
          </cell>
          <cell r="BP61">
            <v>739.99</v>
          </cell>
          <cell r="BQ61">
            <v>0</v>
          </cell>
          <cell r="BR61">
            <v>8914.0300000000007</v>
          </cell>
          <cell r="BS61">
            <v>7</v>
          </cell>
          <cell r="BT61">
            <v>11274</v>
          </cell>
          <cell r="BU61">
            <v>10</v>
          </cell>
          <cell r="BV61">
            <v>843.32</v>
          </cell>
          <cell r="BW61">
            <v>2</v>
          </cell>
          <cell r="BX61">
            <v>776.66</v>
          </cell>
          <cell r="BY61">
            <v>1</v>
          </cell>
          <cell r="BZ61">
            <v>739.99</v>
          </cell>
          <cell r="CA61">
            <v>0</v>
          </cell>
          <cell r="CB61">
            <v>8914.0300000000007</v>
          </cell>
          <cell r="CC61">
            <v>7</v>
          </cell>
          <cell r="CD61">
            <v>11274</v>
          </cell>
          <cell r="CE61">
            <v>10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102</v>
          </cell>
          <cell r="CQ61">
            <v>2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102</v>
          </cell>
          <cell r="CY61">
            <v>2</v>
          </cell>
          <cell r="CZ61">
            <v>413.32</v>
          </cell>
          <cell r="DA61">
            <v>0</v>
          </cell>
          <cell r="DB61">
            <v>367.66</v>
          </cell>
          <cell r="DC61">
            <v>1</v>
          </cell>
          <cell r="DD61">
            <v>298</v>
          </cell>
          <cell r="DE61">
            <v>1</v>
          </cell>
          <cell r="DF61">
            <v>998.02</v>
          </cell>
          <cell r="DG61">
            <v>2</v>
          </cell>
          <cell r="DH61">
            <v>2077</v>
          </cell>
          <cell r="DI61">
            <v>4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H61">
            <v>0</v>
          </cell>
          <cell r="EI61">
            <v>0</v>
          </cell>
        </row>
        <row r="62">
          <cell r="A62" t="str">
            <v>JulFelidhoo</v>
          </cell>
          <cell r="B62" t="str">
            <v>Jul</v>
          </cell>
          <cell r="C62" t="str">
            <v>V.</v>
          </cell>
          <cell r="D62" t="str">
            <v>Felidhoo</v>
          </cell>
          <cell r="E62" t="str">
            <v>usage units more than billed</v>
          </cell>
          <cell r="F62">
            <v>57840.979999999996</v>
          </cell>
          <cell r="G62">
            <v>174</v>
          </cell>
          <cell r="H62">
            <v>177</v>
          </cell>
          <cell r="I62">
            <v>0</v>
          </cell>
          <cell r="J62">
            <v>0</v>
          </cell>
          <cell r="K62">
            <v>177</v>
          </cell>
          <cell r="L62">
            <v>174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177</v>
          </cell>
          <cell r="U62">
            <v>174</v>
          </cell>
          <cell r="V62">
            <v>3</v>
          </cell>
          <cell r="W62">
            <v>60918.3</v>
          </cell>
          <cell r="X62">
            <v>60918.3</v>
          </cell>
          <cell r="Y62">
            <v>0</v>
          </cell>
          <cell r="Z62">
            <v>60918.3</v>
          </cell>
          <cell r="AA62">
            <v>57588</v>
          </cell>
          <cell r="AB62">
            <v>2352</v>
          </cell>
          <cell r="AC62">
            <v>59940</v>
          </cell>
          <cell r="AD62">
            <v>52</v>
          </cell>
          <cell r="AE62">
            <v>140</v>
          </cell>
          <cell r="AF62">
            <v>20660</v>
          </cell>
          <cell r="AG62">
            <v>73</v>
          </cell>
          <cell r="AH62">
            <v>1025.32</v>
          </cell>
          <cell r="AI62">
            <v>26</v>
          </cell>
          <cell r="AJ62">
            <v>554</v>
          </cell>
          <cell r="AK62">
            <v>2</v>
          </cell>
          <cell r="AL62">
            <v>322.67</v>
          </cell>
          <cell r="AM62">
            <v>1</v>
          </cell>
          <cell r="AN62">
            <v>520.01</v>
          </cell>
          <cell r="AO62">
            <v>3</v>
          </cell>
          <cell r="AP62">
            <v>2422</v>
          </cell>
          <cell r="AQ62">
            <v>32</v>
          </cell>
          <cell r="AR62">
            <v>300</v>
          </cell>
          <cell r="AS62">
            <v>0</v>
          </cell>
          <cell r="AT62">
            <v>300</v>
          </cell>
          <cell r="AU62">
            <v>0</v>
          </cell>
          <cell r="AV62">
            <v>300</v>
          </cell>
          <cell r="AW62">
            <v>0</v>
          </cell>
          <cell r="AX62">
            <v>7246</v>
          </cell>
          <cell r="AY62">
            <v>3</v>
          </cell>
          <cell r="AZ62">
            <v>8146</v>
          </cell>
          <cell r="BA62">
            <v>3</v>
          </cell>
          <cell r="BB62">
            <v>9979.18</v>
          </cell>
          <cell r="BC62">
            <v>30</v>
          </cell>
          <cell r="BD62">
            <v>8569.26</v>
          </cell>
          <cell r="BE62">
            <v>22</v>
          </cell>
          <cell r="BF62">
            <v>5924.35</v>
          </cell>
          <cell r="BG62">
            <v>23</v>
          </cell>
          <cell r="BH62">
            <v>9060.2099999999991</v>
          </cell>
          <cell r="BI62">
            <v>46</v>
          </cell>
          <cell r="BJ62">
            <v>33533</v>
          </cell>
          <cell r="BK62">
            <v>121</v>
          </cell>
          <cell r="BL62">
            <v>830.99</v>
          </cell>
          <cell r="BM62">
            <v>2</v>
          </cell>
          <cell r="BN62">
            <v>758.33</v>
          </cell>
          <cell r="BO62">
            <v>1</v>
          </cell>
          <cell r="BP62">
            <v>706.66</v>
          </cell>
          <cell r="BQ62">
            <v>0</v>
          </cell>
          <cell r="BR62">
            <v>7823</v>
          </cell>
          <cell r="BS62">
            <v>7</v>
          </cell>
          <cell r="BT62">
            <v>10118.98</v>
          </cell>
          <cell r="BU62">
            <v>10</v>
          </cell>
          <cell r="BV62">
            <v>193.34</v>
          </cell>
          <cell r="BW62">
            <v>0</v>
          </cell>
          <cell r="BX62">
            <v>193.34</v>
          </cell>
          <cell r="BY62">
            <v>0</v>
          </cell>
          <cell r="BZ62">
            <v>193.34</v>
          </cell>
          <cell r="CA62">
            <v>0</v>
          </cell>
          <cell r="CB62">
            <v>913.98</v>
          </cell>
          <cell r="CC62">
            <v>2</v>
          </cell>
          <cell r="CD62">
            <v>1493.9999999999998</v>
          </cell>
          <cell r="CE62">
            <v>2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50</v>
          </cell>
          <cell r="CQ62">
            <v>2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50</v>
          </cell>
          <cell r="CY62">
            <v>2</v>
          </cell>
          <cell r="CZ62">
            <v>413.32</v>
          </cell>
          <cell r="DA62">
            <v>0</v>
          </cell>
          <cell r="DB62">
            <v>367.66</v>
          </cell>
          <cell r="DC62">
            <v>1</v>
          </cell>
          <cell r="DD62">
            <v>298</v>
          </cell>
          <cell r="DE62">
            <v>1</v>
          </cell>
          <cell r="DF62">
            <v>998.02</v>
          </cell>
          <cell r="DG62">
            <v>2</v>
          </cell>
          <cell r="DH62">
            <v>2077</v>
          </cell>
          <cell r="DI62">
            <v>4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H62">
            <v>0</v>
          </cell>
          <cell r="EI62">
            <v>0</v>
          </cell>
        </row>
        <row r="63">
          <cell r="A63" t="str">
            <v>AugFelidhoo</v>
          </cell>
          <cell r="B63" t="str">
            <v>Aug</v>
          </cell>
          <cell r="C63" t="str">
            <v>V.</v>
          </cell>
          <cell r="D63" t="str">
            <v>Felidhoo</v>
          </cell>
          <cell r="E63" t="str">
            <v>usage units less than billed</v>
          </cell>
          <cell r="F63">
            <v>52986</v>
          </cell>
          <cell r="G63">
            <v>175</v>
          </cell>
          <cell r="H63">
            <v>178</v>
          </cell>
          <cell r="I63">
            <v>0</v>
          </cell>
          <cell r="J63">
            <v>0</v>
          </cell>
          <cell r="K63">
            <v>178</v>
          </cell>
          <cell r="L63">
            <v>176</v>
          </cell>
          <cell r="M63">
            <v>2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178</v>
          </cell>
          <cell r="U63">
            <v>176</v>
          </cell>
          <cell r="V63">
            <v>2</v>
          </cell>
          <cell r="W63">
            <v>79869.7</v>
          </cell>
          <cell r="X63">
            <v>79869.7</v>
          </cell>
          <cell r="Y63">
            <v>0</v>
          </cell>
          <cell r="Z63">
            <v>79869.7</v>
          </cell>
          <cell r="AA63">
            <v>63619</v>
          </cell>
          <cell r="AB63">
            <v>1935</v>
          </cell>
          <cell r="AC63">
            <v>65554</v>
          </cell>
          <cell r="AD63">
            <v>55</v>
          </cell>
          <cell r="AE63">
            <v>139</v>
          </cell>
          <cell r="AF63">
            <v>20330</v>
          </cell>
          <cell r="AG63">
            <v>75</v>
          </cell>
          <cell r="AH63">
            <v>1047.68</v>
          </cell>
          <cell r="AI63">
            <v>23</v>
          </cell>
          <cell r="AJ63">
            <v>810</v>
          </cell>
          <cell r="AK63">
            <v>2</v>
          </cell>
          <cell r="AL63">
            <v>483.31</v>
          </cell>
          <cell r="AM63">
            <v>3</v>
          </cell>
          <cell r="AN63">
            <v>500.01</v>
          </cell>
          <cell r="AO63">
            <v>4</v>
          </cell>
          <cell r="AP63">
            <v>2841</v>
          </cell>
          <cell r="AQ63">
            <v>32</v>
          </cell>
          <cell r="AR63">
            <v>296.67</v>
          </cell>
          <cell r="AS63">
            <v>0</v>
          </cell>
          <cell r="AT63">
            <v>296.67</v>
          </cell>
          <cell r="AU63">
            <v>0</v>
          </cell>
          <cell r="AV63">
            <v>296.67</v>
          </cell>
          <cell r="AW63">
            <v>0</v>
          </cell>
          <cell r="AX63">
            <v>7240.99</v>
          </cell>
          <cell r="AY63">
            <v>3</v>
          </cell>
          <cell r="AZ63">
            <v>8131</v>
          </cell>
          <cell r="BA63">
            <v>3</v>
          </cell>
          <cell r="BB63">
            <v>9826.68</v>
          </cell>
          <cell r="BC63">
            <v>33</v>
          </cell>
          <cell r="BD63">
            <v>7636.34</v>
          </cell>
          <cell r="BE63">
            <v>30</v>
          </cell>
          <cell r="BF63">
            <v>4835</v>
          </cell>
          <cell r="BG63">
            <v>21</v>
          </cell>
          <cell r="BH63">
            <v>5901.98</v>
          </cell>
          <cell r="BI63">
            <v>39</v>
          </cell>
          <cell r="BJ63">
            <v>28200</v>
          </cell>
          <cell r="BK63">
            <v>123</v>
          </cell>
          <cell r="BL63">
            <v>697.69</v>
          </cell>
          <cell r="BM63">
            <v>2</v>
          </cell>
          <cell r="BN63">
            <v>633.35</v>
          </cell>
          <cell r="BO63">
            <v>1</v>
          </cell>
          <cell r="BP63">
            <v>580.02</v>
          </cell>
          <cell r="BQ63">
            <v>0</v>
          </cell>
          <cell r="BR63">
            <v>8101.94</v>
          </cell>
          <cell r="BS63">
            <v>6</v>
          </cell>
          <cell r="BT63">
            <v>10013</v>
          </cell>
          <cell r="BU63">
            <v>9</v>
          </cell>
          <cell r="BV63">
            <v>200</v>
          </cell>
          <cell r="BW63">
            <v>0</v>
          </cell>
          <cell r="BX63">
            <v>200</v>
          </cell>
          <cell r="BY63">
            <v>0</v>
          </cell>
          <cell r="BZ63">
            <v>200</v>
          </cell>
          <cell r="CA63">
            <v>0</v>
          </cell>
          <cell r="CB63">
            <v>1165</v>
          </cell>
          <cell r="CC63">
            <v>2</v>
          </cell>
          <cell r="CD63">
            <v>1765</v>
          </cell>
          <cell r="CE63">
            <v>2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94</v>
          </cell>
          <cell r="CQ63">
            <v>2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94</v>
          </cell>
          <cell r="CY63">
            <v>2</v>
          </cell>
          <cell r="CZ63">
            <v>386.68</v>
          </cell>
          <cell r="DA63">
            <v>0</v>
          </cell>
          <cell r="DB63">
            <v>343.34</v>
          </cell>
          <cell r="DC63">
            <v>1</v>
          </cell>
          <cell r="DD63">
            <v>278</v>
          </cell>
          <cell r="DE63">
            <v>1</v>
          </cell>
          <cell r="DF63">
            <v>933.98</v>
          </cell>
          <cell r="DG63">
            <v>2</v>
          </cell>
          <cell r="DH63">
            <v>1942</v>
          </cell>
          <cell r="DI63">
            <v>4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H63">
            <v>0</v>
          </cell>
          <cell r="EI63">
            <v>0</v>
          </cell>
        </row>
        <row r="64">
          <cell r="A64" t="str">
            <v>SepFelidhoo</v>
          </cell>
          <cell r="B64" t="str">
            <v>Sep</v>
          </cell>
          <cell r="C64" t="str">
            <v>V.</v>
          </cell>
          <cell r="D64" t="str">
            <v>Felidhoo</v>
          </cell>
          <cell r="E64" t="str">
            <v>usage units less than billed</v>
          </cell>
          <cell r="F64">
            <v>54493</v>
          </cell>
          <cell r="G64">
            <v>173</v>
          </cell>
          <cell r="H64">
            <v>177</v>
          </cell>
          <cell r="I64">
            <v>1</v>
          </cell>
          <cell r="J64">
            <v>0</v>
          </cell>
          <cell r="K64">
            <v>178</v>
          </cell>
          <cell r="L64">
            <v>175</v>
          </cell>
          <cell r="M64">
            <v>3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178</v>
          </cell>
          <cell r="U64">
            <v>175</v>
          </cell>
          <cell r="V64">
            <v>3</v>
          </cell>
          <cell r="W64">
            <v>57347.9</v>
          </cell>
          <cell r="X64">
            <v>57347.9</v>
          </cell>
          <cell r="Y64">
            <v>0</v>
          </cell>
          <cell r="Z64">
            <v>57347.9</v>
          </cell>
          <cell r="AA64">
            <v>56280</v>
          </cell>
          <cell r="AB64">
            <v>2636</v>
          </cell>
          <cell r="AC64">
            <v>58916</v>
          </cell>
          <cell r="AD64">
            <v>49</v>
          </cell>
          <cell r="AE64">
            <v>135</v>
          </cell>
          <cell r="AF64">
            <v>18990</v>
          </cell>
          <cell r="AG64">
            <v>99.5</v>
          </cell>
          <cell r="AH64">
            <v>1090.6600000000001</v>
          </cell>
          <cell r="AI64">
            <v>24</v>
          </cell>
          <cell r="AJ64">
            <v>806.32</v>
          </cell>
          <cell r="AK64">
            <v>3</v>
          </cell>
          <cell r="AL64">
            <v>433.99</v>
          </cell>
          <cell r="AM64">
            <v>1</v>
          </cell>
          <cell r="AN64">
            <v>565.03</v>
          </cell>
          <cell r="AO64">
            <v>4</v>
          </cell>
          <cell r="AP64">
            <v>2896</v>
          </cell>
          <cell r="AQ64">
            <v>32</v>
          </cell>
          <cell r="AR64">
            <v>309.99</v>
          </cell>
          <cell r="AS64">
            <v>0</v>
          </cell>
          <cell r="AT64">
            <v>309.99</v>
          </cell>
          <cell r="AU64">
            <v>0</v>
          </cell>
          <cell r="AV64">
            <v>309.99</v>
          </cell>
          <cell r="AW64">
            <v>0</v>
          </cell>
          <cell r="AX64">
            <v>7320.03</v>
          </cell>
          <cell r="AY64">
            <v>3</v>
          </cell>
          <cell r="AZ64">
            <v>8250</v>
          </cell>
          <cell r="BA64">
            <v>3</v>
          </cell>
          <cell r="BB64">
            <v>10005.19</v>
          </cell>
          <cell r="BC64">
            <v>34</v>
          </cell>
          <cell r="BD64">
            <v>7841.59</v>
          </cell>
          <cell r="BE64">
            <v>27</v>
          </cell>
          <cell r="BF64">
            <v>4860</v>
          </cell>
          <cell r="BG64">
            <v>22</v>
          </cell>
          <cell r="BH64">
            <v>5770.22</v>
          </cell>
          <cell r="BI64">
            <v>39</v>
          </cell>
          <cell r="BJ64">
            <v>28477</v>
          </cell>
          <cell r="BK64">
            <v>122</v>
          </cell>
          <cell r="BL64">
            <v>985.33</v>
          </cell>
          <cell r="BM64">
            <v>2</v>
          </cell>
          <cell r="BN64">
            <v>902.33</v>
          </cell>
          <cell r="BO64">
            <v>1</v>
          </cell>
          <cell r="BP64">
            <v>863.33</v>
          </cell>
          <cell r="BQ64">
            <v>0</v>
          </cell>
          <cell r="BR64">
            <v>9875.01</v>
          </cell>
          <cell r="BS64">
            <v>7</v>
          </cell>
          <cell r="BT64">
            <v>12626</v>
          </cell>
          <cell r="BU64">
            <v>10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100</v>
          </cell>
          <cell r="CQ64">
            <v>2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100</v>
          </cell>
          <cell r="CY64">
            <v>2</v>
          </cell>
          <cell r="CZ64">
            <v>426.68</v>
          </cell>
          <cell r="DA64">
            <v>0</v>
          </cell>
          <cell r="DB64">
            <v>379.34</v>
          </cell>
          <cell r="DC64">
            <v>1</v>
          </cell>
          <cell r="DD64">
            <v>307</v>
          </cell>
          <cell r="DE64">
            <v>1</v>
          </cell>
          <cell r="DF64">
            <v>1030.98</v>
          </cell>
          <cell r="DG64">
            <v>2</v>
          </cell>
          <cell r="DH64">
            <v>2144</v>
          </cell>
          <cell r="DI64">
            <v>4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H64">
            <v>0</v>
          </cell>
          <cell r="EI64">
            <v>0</v>
          </cell>
        </row>
        <row r="65">
          <cell r="A65" t="str">
            <v>OctFelidhoo</v>
          </cell>
          <cell r="B65" t="str">
            <v>Oct</v>
          </cell>
          <cell r="C65" t="str">
            <v>V.</v>
          </cell>
          <cell r="D65" t="str">
            <v>Felidhoo</v>
          </cell>
          <cell r="E65">
            <v>0</v>
          </cell>
          <cell r="F65">
            <v>55809</v>
          </cell>
          <cell r="G65">
            <v>176</v>
          </cell>
          <cell r="H65">
            <v>178</v>
          </cell>
          <cell r="I65">
            <v>0</v>
          </cell>
          <cell r="J65">
            <v>0</v>
          </cell>
          <cell r="K65">
            <v>178</v>
          </cell>
          <cell r="L65">
            <v>176</v>
          </cell>
          <cell r="M65">
            <v>2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178</v>
          </cell>
          <cell r="U65">
            <v>176</v>
          </cell>
          <cell r="V65">
            <v>2</v>
          </cell>
          <cell r="W65">
            <v>61674.1</v>
          </cell>
          <cell r="X65">
            <v>61674.1</v>
          </cell>
          <cell r="Y65">
            <v>0</v>
          </cell>
          <cell r="Z65">
            <v>61674.1</v>
          </cell>
          <cell r="AA65">
            <v>55809</v>
          </cell>
          <cell r="AB65">
            <v>2894</v>
          </cell>
          <cell r="AC65">
            <v>58703</v>
          </cell>
          <cell r="AD65">
            <v>54</v>
          </cell>
          <cell r="AE65">
            <v>136</v>
          </cell>
          <cell r="AF65" t="str">
            <v xml:space="preserve"> </v>
          </cell>
          <cell r="AG65">
            <v>80</v>
          </cell>
          <cell r="AH65">
            <v>1132.98</v>
          </cell>
          <cell r="AI65">
            <v>25</v>
          </cell>
          <cell r="AJ65">
            <v>818.66</v>
          </cell>
          <cell r="AK65">
            <v>2</v>
          </cell>
          <cell r="AL65">
            <v>437.34</v>
          </cell>
          <cell r="AM65">
            <v>2</v>
          </cell>
          <cell r="AN65">
            <v>678.02</v>
          </cell>
          <cell r="AO65">
            <v>4</v>
          </cell>
          <cell r="AP65">
            <v>3067</v>
          </cell>
          <cell r="AQ65">
            <v>33</v>
          </cell>
          <cell r="AR65">
            <v>309.99</v>
          </cell>
          <cell r="AS65">
            <v>0</v>
          </cell>
          <cell r="AT65">
            <v>309.99</v>
          </cell>
          <cell r="AU65">
            <v>0</v>
          </cell>
          <cell r="AV65">
            <v>309.99</v>
          </cell>
          <cell r="AW65">
            <v>0</v>
          </cell>
          <cell r="AX65">
            <v>7115.03</v>
          </cell>
          <cell r="AY65">
            <v>3</v>
          </cell>
          <cell r="AZ65">
            <v>8044.9999999999991</v>
          </cell>
          <cell r="BA65">
            <v>3</v>
          </cell>
          <cell r="BB65">
            <v>10421.92</v>
          </cell>
          <cell r="BC65">
            <v>32</v>
          </cell>
          <cell r="BD65">
            <v>8301.9599999999991</v>
          </cell>
          <cell r="BE65">
            <v>28</v>
          </cell>
          <cell r="BF65">
            <v>5289.07</v>
          </cell>
          <cell r="BG65">
            <v>23</v>
          </cell>
          <cell r="BH65">
            <v>6661.05</v>
          </cell>
          <cell r="BI65">
            <v>39</v>
          </cell>
          <cell r="BJ65">
            <v>30674</v>
          </cell>
          <cell r="BK65">
            <v>122</v>
          </cell>
          <cell r="BL65">
            <v>825.31</v>
          </cell>
          <cell r="BM65">
            <v>3</v>
          </cell>
          <cell r="BN65">
            <v>723.31</v>
          </cell>
          <cell r="BO65">
            <v>0</v>
          </cell>
          <cell r="BP65">
            <v>723.31</v>
          </cell>
          <cell r="BQ65">
            <v>0</v>
          </cell>
          <cell r="BR65">
            <v>7998.07</v>
          </cell>
          <cell r="BS65">
            <v>7</v>
          </cell>
          <cell r="BT65">
            <v>10269.999999999998</v>
          </cell>
          <cell r="BU65">
            <v>10</v>
          </cell>
          <cell r="BV65">
            <v>206.66</v>
          </cell>
          <cell r="BW65">
            <v>0</v>
          </cell>
          <cell r="BX65">
            <v>206.66</v>
          </cell>
          <cell r="BY65">
            <v>0</v>
          </cell>
          <cell r="BZ65">
            <v>206.66</v>
          </cell>
          <cell r="CA65">
            <v>0</v>
          </cell>
          <cell r="CB65">
            <v>954.02</v>
          </cell>
          <cell r="CC65">
            <v>2</v>
          </cell>
          <cell r="CD65">
            <v>1574.0000000000002</v>
          </cell>
          <cell r="CE65">
            <v>2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102</v>
          </cell>
          <cell r="CQ65">
            <v>2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102</v>
          </cell>
          <cell r="CY65">
            <v>2</v>
          </cell>
          <cell r="CZ65">
            <v>413.32</v>
          </cell>
          <cell r="DA65">
            <v>0</v>
          </cell>
          <cell r="DB65">
            <v>367.66</v>
          </cell>
          <cell r="DC65">
            <v>1</v>
          </cell>
          <cell r="DD65">
            <v>298</v>
          </cell>
          <cell r="DE65">
            <v>1</v>
          </cell>
          <cell r="DF65">
            <v>998.02</v>
          </cell>
          <cell r="DG65">
            <v>2</v>
          </cell>
          <cell r="DH65">
            <v>2077</v>
          </cell>
          <cell r="DI65">
            <v>4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H65">
            <v>0</v>
          </cell>
          <cell r="EI65">
            <v>0</v>
          </cell>
        </row>
        <row r="66">
          <cell r="A66" t="str">
            <v>NovFelidhoo</v>
          </cell>
          <cell r="B66" t="str">
            <v>Nov</v>
          </cell>
          <cell r="C66" t="str">
            <v>V.</v>
          </cell>
          <cell r="D66" t="str">
            <v>Felidhoo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74043</v>
          </cell>
          <cell r="AB66">
            <v>2812</v>
          </cell>
          <cell r="AC66">
            <v>76855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H66">
            <v>0</v>
          </cell>
          <cell r="EI66">
            <v>0</v>
          </cell>
        </row>
        <row r="67">
          <cell r="A67" t="str">
            <v>DecFelidhoo</v>
          </cell>
          <cell r="B67" t="str">
            <v>Dec</v>
          </cell>
          <cell r="C67" t="str">
            <v>V.</v>
          </cell>
          <cell r="D67" t="str">
            <v>Felidhoo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64283</v>
          </cell>
          <cell r="AB67">
            <v>2753</v>
          </cell>
          <cell r="AC67">
            <v>67036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H67">
            <v>0</v>
          </cell>
          <cell r="EI67">
            <v>0</v>
          </cell>
        </row>
        <row r="68">
          <cell r="A68" t="str">
            <v>JanFenfushi</v>
          </cell>
          <cell r="B68" t="str">
            <v>Jan</v>
          </cell>
          <cell r="C68" t="str">
            <v>ADh.</v>
          </cell>
          <cell r="D68" t="str">
            <v>Fenfushi</v>
          </cell>
          <cell r="E68">
            <v>0</v>
          </cell>
          <cell r="F68">
            <v>57588</v>
          </cell>
          <cell r="G68">
            <v>220</v>
          </cell>
          <cell r="H68">
            <v>240</v>
          </cell>
          <cell r="I68">
            <v>0</v>
          </cell>
          <cell r="J68">
            <v>0</v>
          </cell>
          <cell r="K68">
            <v>240</v>
          </cell>
          <cell r="L68">
            <v>220</v>
          </cell>
          <cell r="M68">
            <v>20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240</v>
          </cell>
          <cell r="U68">
            <v>220</v>
          </cell>
          <cell r="V68">
            <v>20</v>
          </cell>
          <cell r="W68">
            <v>66563</v>
          </cell>
          <cell r="X68">
            <v>66563</v>
          </cell>
          <cell r="Y68">
            <v>0</v>
          </cell>
          <cell r="Z68">
            <v>66563</v>
          </cell>
          <cell r="AA68">
            <v>35582</v>
          </cell>
          <cell r="AB68">
            <v>2805</v>
          </cell>
          <cell r="AC68">
            <v>38387</v>
          </cell>
          <cell r="AD68">
            <v>62</v>
          </cell>
          <cell r="AE68">
            <v>141</v>
          </cell>
          <cell r="AF68">
            <v>19408</v>
          </cell>
          <cell r="AG68">
            <v>102</v>
          </cell>
          <cell r="AH68">
            <v>1885.99</v>
          </cell>
          <cell r="AI68">
            <v>13</v>
          </cell>
          <cell r="AJ68">
            <v>1295.99</v>
          </cell>
          <cell r="AK68">
            <v>6</v>
          </cell>
          <cell r="AL68">
            <v>836.01</v>
          </cell>
          <cell r="AM68">
            <v>2</v>
          </cell>
          <cell r="AN68">
            <v>2773.01</v>
          </cell>
          <cell r="AO68">
            <v>7</v>
          </cell>
          <cell r="AP68">
            <v>6791</v>
          </cell>
          <cell r="AQ68">
            <v>28</v>
          </cell>
          <cell r="AR68">
            <v>203.33</v>
          </cell>
          <cell r="AS68" t="str">
            <v xml:space="preserve"> -   </v>
          </cell>
          <cell r="AT68">
            <v>203.33</v>
          </cell>
          <cell r="AU68" t="str">
            <v xml:space="preserve"> -   </v>
          </cell>
          <cell r="AV68">
            <v>203.33</v>
          </cell>
          <cell r="AW68" t="str">
            <v xml:space="preserve"> -   </v>
          </cell>
          <cell r="AX68">
            <v>1443.01</v>
          </cell>
          <cell r="AY68">
            <v>2</v>
          </cell>
          <cell r="AZ68">
            <v>2053</v>
          </cell>
          <cell r="BA68">
            <v>2</v>
          </cell>
          <cell r="BB68">
            <v>14601.02</v>
          </cell>
          <cell r="BC68">
            <v>44</v>
          </cell>
          <cell r="BD68">
            <v>10646.64</v>
          </cell>
          <cell r="BE68">
            <v>32</v>
          </cell>
          <cell r="BF68">
            <v>7170.37</v>
          </cell>
          <cell r="BG68">
            <v>34</v>
          </cell>
          <cell r="BH68">
            <v>8864.9699999999993</v>
          </cell>
          <cell r="BI68">
            <v>56</v>
          </cell>
          <cell r="BJ68">
            <v>41283</v>
          </cell>
          <cell r="BK68">
            <v>166</v>
          </cell>
          <cell r="BL68">
            <v>511.66</v>
          </cell>
          <cell r="BM68">
            <v>2</v>
          </cell>
          <cell r="BN68">
            <v>506.66</v>
          </cell>
          <cell r="BO68" t="str">
            <v xml:space="preserve"> -   </v>
          </cell>
          <cell r="BP68">
            <v>497.66</v>
          </cell>
          <cell r="BQ68">
            <v>1</v>
          </cell>
          <cell r="BR68">
            <v>2991.02</v>
          </cell>
          <cell r="BS68">
            <v>4</v>
          </cell>
          <cell r="BT68">
            <v>4507</v>
          </cell>
          <cell r="BU68">
            <v>7</v>
          </cell>
          <cell r="BV68">
            <v>306.66000000000003</v>
          </cell>
          <cell r="BW68" t="str">
            <v xml:space="preserve"> -   </v>
          </cell>
          <cell r="BX68">
            <v>241.66</v>
          </cell>
          <cell r="BY68">
            <v>1</v>
          </cell>
          <cell r="BZ68">
            <v>130.66999999999999</v>
          </cell>
          <cell r="CA68">
            <v>1</v>
          </cell>
          <cell r="CB68">
            <v>1318.01</v>
          </cell>
          <cell r="CC68">
            <v>1</v>
          </cell>
          <cell r="CD68">
            <v>1997</v>
          </cell>
          <cell r="CE68">
            <v>3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 t="str">
            <v xml:space="preserve"> -   </v>
          </cell>
          <cell r="CO68" t="str">
            <v xml:space="preserve"> -   </v>
          </cell>
          <cell r="CP68">
            <v>100</v>
          </cell>
          <cell r="CQ68" t="str">
            <v xml:space="preserve"> -   </v>
          </cell>
          <cell r="CR68">
            <v>100</v>
          </cell>
          <cell r="CS68" t="str">
            <v xml:space="preserve"> -   </v>
          </cell>
          <cell r="CT68">
            <v>9</v>
          </cell>
          <cell r="CU68">
            <v>1</v>
          </cell>
          <cell r="CV68" t="str">
            <v xml:space="preserve"> -   </v>
          </cell>
          <cell r="CW68" t="str">
            <v xml:space="preserve"> -   </v>
          </cell>
          <cell r="CX68">
            <v>209</v>
          </cell>
          <cell r="CY68">
            <v>1</v>
          </cell>
          <cell r="CZ68">
            <v>701.33</v>
          </cell>
          <cell r="DA68">
            <v>12</v>
          </cell>
          <cell r="DB68">
            <v>46.67</v>
          </cell>
          <cell r="DC68">
            <v>1</v>
          </cell>
          <cell r="DD68" t="str">
            <v xml:space="preserve"> -   </v>
          </cell>
          <cell r="DE68" t="str">
            <v xml:space="preserve"> -   </v>
          </cell>
          <cell r="DF68" t="str">
            <v xml:space="preserve"> -   </v>
          </cell>
          <cell r="DG68" t="str">
            <v xml:space="preserve"> -   </v>
          </cell>
          <cell r="DH68">
            <v>748</v>
          </cell>
          <cell r="DI68">
            <v>13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 t="str">
            <v xml:space="preserve"> -   </v>
          </cell>
          <cell r="DS68" t="str">
            <v xml:space="preserve"> -   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 t="str">
            <v xml:space="preserve"> -   </v>
          </cell>
          <cell r="EC68" t="str">
            <v xml:space="preserve"> -   </v>
          </cell>
          <cell r="ED68">
            <v>0</v>
          </cell>
          <cell r="EE68">
            <v>0</v>
          </cell>
          <cell r="EF68">
            <v>0</v>
          </cell>
          <cell r="EH68">
            <v>0</v>
          </cell>
          <cell r="EI68">
            <v>0</v>
          </cell>
        </row>
        <row r="69">
          <cell r="A69" t="str">
            <v>FebFenfushi</v>
          </cell>
          <cell r="B69" t="str">
            <v>Feb</v>
          </cell>
          <cell r="C69" t="str">
            <v>ADh.</v>
          </cell>
          <cell r="D69" t="str">
            <v>Fenfushi</v>
          </cell>
          <cell r="E69">
            <v>0</v>
          </cell>
          <cell r="F69">
            <v>63619</v>
          </cell>
          <cell r="G69">
            <v>213</v>
          </cell>
          <cell r="H69">
            <v>240</v>
          </cell>
          <cell r="I69">
            <v>0</v>
          </cell>
          <cell r="J69">
            <v>0</v>
          </cell>
          <cell r="K69">
            <v>240</v>
          </cell>
          <cell r="L69">
            <v>213</v>
          </cell>
          <cell r="M69">
            <v>27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240</v>
          </cell>
          <cell r="U69">
            <v>213</v>
          </cell>
          <cell r="V69">
            <v>27</v>
          </cell>
          <cell r="W69">
            <v>60712</v>
          </cell>
          <cell r="X69">
            <v>70142.8</v>
          </cell>
          <cell r="Y69">
            <v>0</v>
          </cell>
          <cell r="Z69">
            <v>70142.78</v>
          </cell>
          <cell r="AA69">
            <v>35021</v>
          </cell>
          <cell r="AB69">
            <v>2331</v>
          </cell>
          <cell r="AC69">
            <v>37352</v>
          </cell>
          <cell r="AD69">
            <v>62</v>
          </cell>
          <cell r="AE69">
            <v>146</v>
          </cell>
          <cell r="AF69">
            <v>18324</v>
          </cell>
          <cell r="AG69">
            <v>46</v>
          </cell>
          <cell r="AH69">
            <v>2221.02</v>
          </cell>
          <cell r="AI69">
            <v>9</v>
          </cell>
          <cell r="AJ69">
            <v>1599.68</v>
          </cell>
          <cell r="AK69">
            <v>7</v>
          </cell>
          <cell r="AL69">
            <v>1236.3399999999999</v>
          </cell>
          <cell r="AM69">
            <v>1</v>
          </cell>
          <cell r="AN69">
            <v>3287.96</v>
          </cell>
          <cell r="AO69">
            <v>9</v>
          </cell>
          <cell r="AP69">
            <v>8345</v>
          </cell>
          <cell r="AQ69">
            <v>26</v>
          </cell>
          <cell r="AR69">
            <v>216.67</v>
          </cell>
          <cell r="AS69" t="str">
            <v xml:space="preserve"> -   </v>
          </cell>
          <cell r="AT69">
            <v>216.67</v>
          </cell>
          <cell r="AU69" t="str">
            <v xml:space="preserve"> -   </v>
          </cell>
          <cell r="AV69">
            <v>216.67</v>
          </cell>
          <cell r="AW69" t="str">
            <v xml:space="preserve"> -   </v>
          </cell>
          <cell r="AX69">
            <v>1132.99</v>
          </cell>
          <cell r="AY69">
            <v>2</v>
          </cell>
          <cell r="AZ69">
            <v>1783</v>
          </cell>
          <cell r="BA69">
            <v>2</v>
          </cell>
          <cell r="BB69">
            <v>15028.5</v>
          </cell>
          <cell r="BC69">
            <v>37</v>
          </cell>
          <cell r="BD69">
            <v>11996.06</v>
          </cell>
          <cell r="BE69">
            <v>33</v>
          </cell>
          <cell r="BF69">
            <v>7944.62</v>
          </cell>
          <cell r="BG69">
            <v>39</v>
          </cell>
          <cell r="BH69">
            <v>9349.82</v>
          </cell>
          <cell r="BI69">
            <v>52</v>
          </cell>
          <cell r="BJ69">
            <v>44319</v>
          </cell>
          <cell r="BK69">
            <v>161</v>
          </cell>
          <cell r="BL69">
            <v>540.01</v>
          </cell>
          <cell r="BM69">
            <v>2</v>
          </cell>
          <cell r="BN69">
            <v>540.01</v>
          </cell>
          <cell r="BO69" t="str">
            <v xml:space="preserve"> -   </v>
          </cell>
          <cell r="BP69">
            <v>517.01</v>
          </cell>
          <cell r="BQ69">
            <v>1</v>
          </cell>
          <cell r="BR69">
            <v>3326.97</v>
          </cell>
          <cell r="BS69">
            <v>4</v>
          </cell>
          <cell r="BT69">
            <v>4924</v>
          </cell>
          <cell r="BU69">
            <v>7</v>
          </cell>
          <cell r="BV69">
            <v>323.33999999999997</v>
          </cell>
          <cell r="BW69" t="str">
            <v xml:space="preserve"> -   </v>
          </cell>
          <cell r="BX69">
            <v>323.33999999999997</v>
          </cell>
          <cell r="BY69" t="str">
            <v xml:space="preserve"> -   </v>
          </cell>
          <cell r="BZ69">
            <v>287.33999999999997</v>
          </cell>
          <cell r="CA69">
            <v>1</v>
          </cell>
          <cell r="CB69">
            <v>2136.98</v>
          </cell>
          <cell r="CC69">
            <v>2</v>
          </cell>
          <cell r="CD69">
            <v>3071</v>
          </cell>
          <cell r="CE69">
            <v>3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 t="str">
            <v xml:space="preserve"> -   </v>
          </cell>
          <cell r="CO69" t="str">
            <v xml:space="preserve"> -   </v>
          </cell>
          <cell r="CP69">
            <v>106.67</v>
          </cell>
          <cell r="CQ69" t="str">
            <v xml:space="preserve"> -   </v>
          </cell>
          <cell r="CR69">
            <v>106.67</v>
          </cell>
          <cell r="CS69" t="str">
            <v xml:space="preserve"> -   </v>
          </cell>
          <cell r="CT69">
            <v>106.67</v>
          </cell>
          <cell r="CU69" t="str">
            <v xml:space="preserve"> -   </v>
          </cell>
          <cell r="CV69">
            <v>91.99</v>
          </cell>
          <cell r="CW69">
            <v>1</v>
          </cell>
          <cell r="CX69">
            <v>412</v>
          </cell>
          <cell r="CY69">
            <v>1</v>
          </cell>
          <cell r="CZ69">
            <v>707.67</v>
          </cell>
          <cell r="DA69">
            <v>12</v>
          </cell>
          <cell r="DB69">
            <v>57.33</v>
          </cell>
          <cell r="DC69">
            <v>1</v>
          </cell>
          <cell r="DD69" t="str">
            <v xml:space="preserve"> -   </v>
          </cell>
          <cell r="DE69" t="str">
            <v xml:space="preserve"> -   </v>
          </cell>
          <cell r="DF69" t="str">
            <v xml:space="preserve"> -   </v>
          </cell>
          <cell r="DG69" t="str">
            <v xml:space="preserve"> -   </v>
          </cell>
          <cell r="DH69">
            <v>765</v>
          </cell>
          <cell r="DI69">
            <v>13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 t="str">
            <v xml:space="preserve"> -   </v>
          </cell>
          <cell r="DS69" t="str">
            <v xml:space="preserve"> -   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 t="str">
            <v xml:space="preserve"> -   </v>
          </cell>
          <cell r="EC69" t="str">
            <v xml:space="preserve"> -   </v>
          </cell>
          <cell r="ED69">
            <v>0</v>
          </cell>
          <cell r="EE69">
            <v>0</v>
          </cell>
          <cell r="EF69">
            <v>0</v>
          </cell>
          <cell r="EH69">
            <v>0</v>
          </cell>
          <cell r="EI69">
            <v>0</v>
          </cell>
        </row>
        <row r="70">
          <cell r="A70" t="str">
            <v>MarFenfushi</v>
          </cell>
          <cell r="B70" t="str">
            <v>Mar</v>
          </cell>
          <cell r="C70" t="str">
            <v>ADh.</v>
          </cell>
          <cell r="D70" t="str">
            <v>Fenfushi</v>
          </cell>
          <cell r="E70">
            <v>0</v>
          </cell>
          <cell r="F70">
            <v>61574.06</v>
          </cell>
          <cell r="G70">
            <v>228</v>
          </cell>
          <cell r="H70">
            <v>240</v>
          </cell>
          <cell r="I70">
            <v>0</v>
          </cell>
          <cell r="J70">
            <v>0</v>
          </cell>
          <cell r="K70">
            <v>240</v>
          </cell>
          <cell r="L70">
            <v>228</v>
          </cell>
          <cell r="M70">
            <v>12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240</v>
          </cell>
          <cell r="U70">
            <v>228</v>
          </cell>
          <cell r="V70">
            <v>12</v>
          </cell>
          <cell r="W70">
            <v>60342</v>
          </cell>
          <cell r="X70">
            <v>66743.100000000006</v>
          </cell>
          <cell r="Y70">
            <v>0</v>
          </cell>
          <cell r="Z70">
            <v>66743.08</v>
          </cell>
          <cell r="AA70">
            <v>34916</v>
          </cell>
          <cell r="AB70">
            <v>2823</v>
          </cell>
          <cell r="AC70">
            <v>37739</v>
          </cell>
          <cell r="AD70">
            <v>64</v>
          </cell>
          <cell r="AE70">
            <v>156</v>
          </cell>
          <cell r="AF70">
            <v>21822.240000000002</v>
          </cell>
          <cell r="AG70">
            <v>91</v>
          </cell>
          <cell r="AH70">
            <v>2092.9899999999998</v>
          </cell>
          <cell r="AI70">
            <v>15</v>
          </cell>
          <cell r="AJ70">
            <v>1319.99</v>
          </cell>
          <cell r="AK70">
            <v>4</v>
          </cell>
          <cell r="AL70">
            <v>966.07</v>
          </cell>
          <cell r="AM70">
            <v>4</v>
          </cell>
          <cell r="AN70">
            <v>3261.01</v>
          </cell>
          <cell r="AO70">
            <v>9</v>
          </cell>
          <cell r="AP70">
            <v>7640.06</v>
          </cell>
          <cell r="AQ70">
            <v>32</v>
          </cell>
          <cell r="AR70">
            <v>186.67</v>
          </cell>
          <cell r="AS70">
            <v>0</v>
          </cell>
          <cell r="AT70">
            <v>186.67</v>
          </cell>
          <cell r="AU70">
            <v>0</v>
          </cell>
          <cell r="AV70">
            <v>186.67</v>
          </cell>
          <cell r="AW70">
            <v>0</v>
          </cell>
          <cell r="AX70">
            <v>1212.99</v>
          </cell>
          <cell r="AY70">
            <v>2</v>
          </cell>
          <cell r="AZ70">
            <v>1773</v>
          </cell>
          <cell r="BA70">
            <v>2</v>
          </cell>
          <cell r="BB70">
            <v>14175.21</v>
          </cell>
          <cell r="BC70">
            <v>38</v>
          </cell>
          <cell r="BD70">
            <v>10495.95</v>
          </cell>
          <cell r="BE70">
            <v>38</v>
          </cell>
          <cell r="BF70">
            <v>7167.67</v>
          </cell>
          <cell r="BG70">
            <v>36</v>
          </cell>
          <cell r="BH70">
            <v>11260.17</v>
          </cell>
          <cell r="BI70">
            <v>58</v>
          </cell>
          <cell r="BJ70">
            <v>43099</v>
          </cell>
          <cell r="BK70">
            <v>170</v>
          </cell>
          <cell r="BL70">
            <v>474.34</v>
          </cell>
          <cell r="BM70">
            <v>2</v>
          </cell>
          <cell r="BN70">
            <v>463.34</v>
          </cell>
          <cell r="BO70">
            <v>0</v>
          </cell>
          <cell r="BP70">
            <v>463.34</v>
          </cell>
          <cell r="BQ70">
            <v>0</v>
          </cell>
          <cell r="BR70">
            <v>3605.98</v>
          </cell>
          <cell r="BS70">
            <v>5</v>
          </cell>
          <cell r="BT70">
            <v>5007</v>
          </cell>
          <cell r="BU70">
            <v>7</v>
          </cell>
          <cell r="BV70">
            <v>290.01</v>
          </cell>
          <cell r="BW70">
            <v>0</v>
          </cell>
          <cell r="BX70">
            <v>290.01</v>
          </cell>
          <cell r="BY70">
            <v>0</v>
          </cell>
          <cell r="BZ70">
            <v>290.01</v>
          </cell>
          <cell r="CA70">
            <v>0</v>
          </cell>
          <cell r="CB70">
            <v>2127.9699999999998</v>
          </cell>
          <cell r="CC70">
            <v>3</v>
          </cell>
          <cell r="CD70">
            <v>2998</v>
          </cell>
          <cell r="CE70">
            <v>3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 t="str">
            <v xml:space="preserve"> -   </v>
          </cell>
          <cell r="CO70" t="str">
            <v xml:space="preserve"> -   </v>
          </cell>
          <cell r="CP70">
            <v>96.67</v>
          </cell>
          <cell r="CQ70">
            <v>0</v>
          </cell>
          <cell r="CR70">
            <v>96.67</v>
          </cell>
          <cell r="CS70">
            <v>0</v>
          </cell>
          <cell r="CT70">
            <v>96.67</v>
          </cell>
          <cell r="CU70">
            <v>0</v>
          </cell>
          <cell r="CV70">
            <v>129.99</v>
          </cell>
          <cell r="CW70">
            <v>1</v>
          </cell>
          <cell r="CX70">
            <v>420</v>
          </cell>
          <cell r="CY70">
            <v>1</v>
          </cell>
          <cell r="CZ70">
            <v>590</v>
          </cell>
          <cell r="DA70">
            <v>12</v>
          </cell>
          <cell r="DB70">
            <v>47</v>
          </cell>
          <cell r="DC70">
            <v>1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637</v>
          </cell>
          <cell r="DI70">
            <v>13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 t="str">
            <v xml:space="preserve"> -   </v>
          </cell>
          <cell r="DS70" t="str">
            <v xml:space="preserve"> -   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 t="str">
            <v xml:space="preserve"> -   </v>
          </cell>
          <cell r="EC70" t="str">
            <v xml:space="preserve"> -   </v>
          </cell>
          <cell r="ED70">
            <v>0</v>
          </cell>
          <cell r="EE70">
            <v>0</v>
          </cell>
          <cell r="EF70">
            <v>0</v>
          </cell>
          <cell r="EH70">
            <v>0</v>
          </cell>
          <cell r="EI70">
            <v>0</v>
          </cell>
        </row>
        <row r="71">
          <cell r="A71" t="str">
            <v>AprFenfushi</v>
          </cell>
          <cell r="B71" t="str">
            <v>Apr</v>
          </cell>
          <cell r="C71" t="str">
            <v>ADh.</v>
          </cell>
          <cell r="D71" t="str">
            <v>Fenfushi</v>
          </cell>
          <cell r="E71">
            <v>0</v>
          </cell>
          <cell r="F71">
            <v>69605</v>
          </cell>
          <cell r="G71">
            <v>214</v>
          </cell>
          <cell r="H71">
            <v>250</v>
          </cell>
          <cell r="I71">
            <v>0</v>
          </cell>
          <cell r="J71">
            <v>0</v>
          </cell>
          <cell r="K71">
            <v>250</v>
          </cell>
          <cell r="L71">
            <v>214</v>
          </cell>
          <cell r="M71">
            <v>36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250</v>
          </cell>
          <cell r="U71">
            <v>214</v>
          </cell>
          <cell r="V71">
            <v>36</v>
          </cell>
          <cell r="W71">
            <v>76570</v>
          </cell>
          <cell r="X71">
            <v>76570</v>
          </cell>
          <cell r="Y71">
            <v>0</v>
          </cell>
          <cell r="Z71">
            <v>76570</v>
          </cell>
          <cell r="AA71">
            <v>33404</v>
          </cell>
          <cell r="AB71">
            <v>2478</v>
          </cell>
          <cell r="AC71">
            <v>35882</v>
          </cell>
          <cell r="AD71">
            <v>69</v>
          </cell>
          <cell r="AE71">
            <v>174</v>
          </cell>
          <cell r="AF71">
            <v>22315.439999999999</v>
          </cell>
          <cell r="AG71">
            <v>96</v>
          </cell>
          <cell r="AH71">
            <v>2016.01</v>
          </cell>
          <cell r="AI71">
            <v>12</v>
          </cell>
          <cell r="AJ71">
            <v>1508.01</v>
          </cell>
          <cell r="AK71">
            <v>3</v>
          </cell>
          <cell r="AL71">
            <v>1286</v>
          </cell>
          <cell r="AM71">
            <v>3</v>
          </cell>
          <cell r="AN71">
            <v>3901.98</v>
          </cell>
          <cell r="AO71">
            <v>11</v>
          </cell>
          <cell r="AP71">
            <v>8712</v>
          </cell>
          <cell r="AQ71">
            <v>29</v>
          </cell>
          <cell r="AR71">
            <v>93.33</v>
          </cell>
          <cell r="AS71">
            <v>0</v>
          </cell>
          <cell r="AT71">
            <v>93.33</v>
          </cell>
          <cell r="AU71">
            <v>0</v>
          </cell>
          <cell r="AV71">
            <v>93.33</v>
          </cell>
          <cell r="AW71">
            <v>0</v>
          </cell>
          <cell r="AX71">
            <v>709.01</v>
          </cell>
          <cell r="AY71">
            <v>1</v>
          </cell>
          <cell r="AZ71">
            <v>989.00000000000011</v>
          </cell>
          <cell r="BA71">
            <v>1</v>
          </cell>
          <cell r="BB71">
            <v>14409.1</v>
          </cell>
          <cell r="BC71">
            <v>29</v>
          </cell>
          <cell r="BD71">
            <v>11779.04</v>
          </cell>
          <cell r="BE71">
            <v>33</v>
          </cell>
          <cell r="BF71">
            <v>8454</v>
          </cell>
          <cell r="BG71">
            <v>29</v>
          </cell>
          <cell r="BH71">
            <v>14752.86</v>
          </cell>
          <cell r="BI71">
            <v>69</v>
          </cell>
          <cell r="BJ71">
            <v>49395</v>
          </cell>
          <cell r="BK71">
            <v>160</v>
          </cell>
          <cell r="BL71">
            <v>524.66</v>
          </cell>
          <cell r="BM71">
            <v>2</v>
          </cell>
          <cell r="BN71">
            <v>486.66</v>
          </cell>
          <cell r="BO71">
            <v>0</v>
          </cell>
          <cell r="BP71">
            <v>486.66</v>
          </cell>
          <cell r="BQ71">
            <v>0</v>
          </cell>
          <cell r="BR71">
            <v>4537.0200000000004</v>
          </cell>
          <cell r="BS71">
            <v>5</v>
          </cell>
          <cell r="BT71">
            <v>6035</v>
          </cell>
          <cell r="BU71">
            <v>7</v>
          </cell>
          <cell r="BV71">
            <v>279.99</v>
          </cell>
          <cell r="BW71">
            <v>0</v>
          </cell>
          <cell r="BX71">
            <v>279.99</v>
          </cell>
          <cell r="BY71">
            <v>0</v>
          </cell>
          <cell r="BZ71">
            <v>279.99</v>
          </cell>
          <cell r="CA71">
            <v>0</v>
          </cell>
          <cell r="CB71">
            <v>2457.0300000000002</v>
          </cell>
          <cell r="CC71">
            <v>3</v>
          </cell>
          <cell r="CD71">
            <v>3297</v>
          </cell>
          <cell r="CE71">
            <v>3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93.33</v>
          </cell>
          <cell r="CQ71">
            <v>0</v>
          </cell>
          <cell r="CR71">
            <v>93.33</v>
          </cell>
          <cell r="CS71">
            <v>0</v>
          </cell>
          <cell r="CT71">
            <v>93.33</v>
          </cell>
          <cell r="CU71">
            <v>0</v>
          </cell>
          <cell r="CV71">
            <v>192.01</v>
          </cell>
          <cell r="CW71">
            <v>1</v>
          </cell>
          <cell r="CX71">
            <v>471.99999999999994</v>
          </cell>
          <cell r="CY71">
            <v>1</v>
          </cell>
          <cell r="CZ71">
            <v>652</v>
          </cell>
          <cell r="DA71">
            <v>12</v>
          </cell>
          <cell r="DB71">
            <v>53</v>
          </cell>
          <cell r="DC71">
            <v>1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705</v>
          </cell>
          <cell r="DI71">
            <v>13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H71">
            <v>0</v>
          </cell>
          <cell r="EI71">
            <v>0</v>
          </cell>
        </row>
        <row r="72">
          <cell r="A72" t="str">
            <v>MayFenfushi</v>
          </cell>
          <cell r="B72" t="str">
            <v>May</v>
          </cell>
          <cell r="C72" t="str">
            <v>ADh.</v>
          </cell>
          <cell r="D72" t="str">
            <v>Fenfushi</v>
          </cell>
          <cell r="E72" t="str">
            <v>usage units more than billed</v>
          </cell>
          <cell r="F72">
            <v>74043</v>
          </cell>
          <cell r="G72">
            <v>228</v>
          </cell>
          <cell r="H72">
            <v>250</v>
          </cell>
          <cell r="I72">
            <v>7</v>
          </cell>
          <cell r="J72">
            <v>0</v>
          </cell>
          <cell r="K72">
            <v>257</v>
          </cell>
          <cell r="L72">
            <v>228</v>
          </cell>
          <cell r="M72">
            <v>29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257</v>
          </cell>
          <cell r="U72">
            <v>228</v>
          </cell>
          <cell r="V72">
            <v>29</v>
          </cell>
          <cell r="W72">
            <v>75589.94</v>
          </cell>
          <cell r="X72">
            <v>40795.89</v>
          </cell>
          <cell r="Y72">
            <v>0</v>
          </cell>
          <cell r="Z72">
            <v>40795.89</v>
          </cell>
          <cell r="AA72">
            <v>35836</v>
          </cell>
          <cell r="AB72">
            <v>2291</v>
          </cell>
          <cell r="AC72">
            <v>38127</v>
          </cell>
          <cell r="AD72">
            <v>24</v>
          </cell>
          <cell r="AE72">
            <v>157</v>
          </cell>
          <cell r="AF72">
            <v>22682.48</v>
          </cell>
          <cell r="AG72">
            <v>134.25</v>
          </cell>
          <cell r="AH72">
            <v>2050.33</v>
          </cell>
          <cell r="AI72">
            <v>17</v>
          </cell>
          <cell r="AJ72">
            <v>1476.33</v>
          </cell>
          <cell r="AK72">
            <v>4</v>
          </cell>
          <cell r="AL72">
            <v>1103.33</v>
          </cell>
          <cell r="AM72">
            <v>4</v>
          </cell>
          <cell r="AN72">
            <v>3230.01</v>
          </cell>
          <cell r="AO72">
            <v>8</v>
          </cell>
          <cell r="AP72">
            <v>7860</v>
          </cell>
          <cell r="AQ72">
            <v>33</v>
          </cell>
          <cell r="AR72">
            <v>323.33999999999997</v>
          </cell>
          <cell r="AS72">
            <v>0</v>
          </cell>
          <cell r="AT72">
            <v>323.33999999999997</v>
          </cell>
          <cell r="AU72">
            <v>0</v>
          </cell>
          <cell r="AV72">
            <v>323.33999999999997</v>
          </cell>
          <cell r="AW72">
            <v>0</v>
          </cell>
          <cell r="AX72">
            <v>1982.98</v>
          </cell>
          <cell r="AY72">
            <v>3</v>
          </cell>
          <cell r="AZ72">
            <v>2953.0000000000005</v>
          </cell>
          <cell r="BA72">
            <v>3</v>
          </cell>
          <cell r="BB72">
            <v>15484.03</v>
          </cell>
          <cell r="BC72">
            <v>38</v>
          </cell>
          <cell r="BD72">
            <v>12519.67</v>
          </cell>
          <cell r="BE72">
            <v>34</v>
          </cell>
          <cell r="BF72">
            <v>8585.31</v>
          </cell>
          <cell r="BG72">
            <v>31</v>
          </cell>
          <cell r="BH72">
            <v>15130.99</v>
          </cell>
          <cell r="BI72">
            <v>63</v>
          </cell>
          <cell r="BJ72">
            <v>51720</v>
          </cell>
          <cell r="BK72">
            <v>166</v>
          </cell>
          <cell r="BL72">
            <v>936.66</v>
          </cell>
          <cell r="BM72">
            <v>3</v>
          </cell>
          <cell r="BN72">
            <v>726</v>
          </cell>
          <cell r="BO72">
            <v>1</v>
          </cell>
          <cell r="BP72">
            <v>533.33000000000004</v>
          </cell>
          <cell r="BQ72">
            <v>1</v>
          </cell>
          <cell r="BR72">
            <v>4614.01</v>
          </cell>
          <cell r="BS72">
            <v>4</v>
          </cell>
          <cell r="BT72">
            <v>6810</v>
          </cell>
          <cell r="BU72">
            <v>9</v>
          </cell>
          <cell r="BV72">
            <v>330</v>
          </cell>
          <cell r="BW72">
            <v>0</v>
          </cell>
          <cell r="BX72">
            <v>330</v>
          </cell>
          <cell r="BY72">
            <v>0</v>
          </cell>
          <cell r="BZ72">
            <v>312</v>
          </cell>
          <cell r="CA72">
            <v>1</v>
          </cell>
          <cell r="CB72">
            <v>2294</v>
          </cell>
          <cell r="CC72">
            <v>2</v>
          </cell>
          <cell r="CD72">
            <v>3266</v>
          </cell>
          <cell r="CE72">
            <v>3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110</v>
          </cell>
          <cell r="CQ72">
            <v>0</v>
          </cell>
          <cell r="CR72">
            <v>110</v>
          </cell>
          <cell r="CS72">
            <v>0</v>
          </cell>
          <cell r="CT72">
            <v>110</v>
          </cell>
          <cell r="CU72">
            <v>0</v>
          </cell>
          <cell r="CV72">
            <v>357</v>
          </cell>
          <cell r="CW72">
            <v>1</v>
          </cell>
          <cell r="CX72">
            <v>687</v>
          </cell>
          <cell r="CY72">
            <v>1</v>
          </cell>
          <cell r="CZ72">
            <v>698</v>
          </cell>
          <cell r="DA72">
            <v>12</v>
          </cell>
          <cell r="DB72">
            <v>49</v>
          </cell>
          <cell r="DC72">
            <v>1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747</v>
          </cell>
          <cell r="DI72">
            <v>13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H72">
            <v>0</v>
          </cell>
          <cell r="EI72">
            <v>0</v>
          </cell>
        </row>
        <row r="73">
          <cell r="A73" t="str">
            <v>JunFenfushi</v>
          </cell>
          <cell r="B73" t="str">
            <v>Jun</v>
          </cell>
          <cell r="C73" t="str">
            <v>ADh.</v>
          </cell>
          <cell r="D73" t="str">
            <v>Fenfushi</v>
          </cell>
          <cell r="E73" t="str">
            <v>usage units more than billed</v>
          </cell>
          <cell r="F73">
            <v>64283</v>
          </cell>
          <cell r="G73">
            <v>233</v>
          </cell>
          <cell r="H73">
            <v>257</v>
          </cell>
          <cell r="I73">
            <v>0</v>
          </cell>
          <cell r="J73">
            <v>0</v>
          </cell>
          <cell r="K73">
            <v>257</v>
          </cell>
          <cell r="L73">
            <v>233</v>
          </cell>
          <cell r="M73">
            <v>24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257</v>
          </cell>
          <cell r="U73">
            <v>233</v>
          </cell>
          <cell r="V73">
            <v>24</v>
          </cell>
          <cell r="W73">
            <v>74320</v>
          </cell>
          <cell r="X73">
            <v>74320</v>
          </cell>
          <cell r="Y73">
            <v>0</v>
          </cell>
          <cell r="Z73">
            <v>74320</v>
          </cell>
          <cell r="AA73">
            <v>33397</v>
          </cell>
          <cell r="AB73">
            <v>2308</v>
          </cell>
          <cell r="AC73">
            <v>35705</v>
          </cell>
          <cell r="AD73">
            <v>27</v>
          </cell>
          <cell r="AE73">
            <v>157</v>
          </cell>
          <cell r="AF73">
            <v>21864.720000000001</v>
          </cell>
          <cell r="AG73">
            <v>94.75</v>
          </cell>
          <cell r="AH73">
            <v>1845.04</v>
          </cell>
          <cell r="AI73">
            <v>20</v>
          </cell>
          <cell r="AJ73">
            <v>1283.3599999999999</v>
          </cell>
          <cell r="AK73">
            <v>2</v>
          </cell>
          <cell r="AL73">
            <v>861.65</v>
          </cell>
          <cell r="AM73">
            <v>5</v>
          </cell>
          <cell r="AN73">
            <v>2753.95</v>
          </cell>
          <cell r="AO73">
            <v>7</v>
          </cell>
          <cell r="AP73">
            <v>6743.9999999999991</v>
          </cell>
          <cell r="AQ73">
            <v>34</v>
          </cell>
          <cell r="AR73">
            <v>190</v>
          </cell>
          <cell r="AS73">
            <v>0</v>
          </cell>
          <cell r="AT73">
            <v>190</v>
          </cell>
          <cell r="AU73">
            <v>0</v>
          </cell>
          <cell r="AV73">
            <v>190</v>
          </cell>
          <cell r="AW73">
            <v>0</v>
          </cell>
          <cell r="AX73">
            <v>1172</v>
          </cell>
          <cell r="AY73">
            <v>2</v>
          </cell>
          <cell r="AZ73">
            <v>1742</v>
          </cell>
          <cell r="BA73">
            <v>2</v>
          </cell>
          <cell r="BB73">
            <v>14634.05</v>
          </cell>
          <cell r="BC73">
            <v>43</v>
          </cell>
          <cell r="BD73">
            <v>11238.21</v>
          </cell>
          <cell r="BE73">
            <v>30</v>
          </cell>
          <cell r="BF73">
            <v>7741.32</v>
          </cell>
          <cell r="BG73">
            <v>33</v>
          </cell>
          <cell r="BH73">
            <v>12747.42</v>
          </cell>
          <cell r="BI73">
            <v>65</v>
          </cell>
          <cell r="BJ73">
            <v>46361</v>
          </cell>
          <cell r="BK73">
            <v>171</v>
          </cell>
          <cell r="BL73">
            <v>1153.3499999999999</v>
          </cell>
          <cell r="BM73">
            <v>3</v>
          </cell>
          <cell r="BN73">
            <v>756.01</v>
          </cell>
          <cell r="BO73">
            <v>1</v>
          </cell>
          <cell r="BP73">
            <v>486.68</v>
          </cell>
          <cell r="BQ73">
            <v>0</v>
          </cell>
          <cell r="BR73">
            <v>3921.96</v>
          </cell>
          <cell r="BS73">
            <v>5</v>
          </cell>
          <cell r="BT73">
            <v>6318</v>
          </cell>
          <cell r="BU73">
            <v>9</v>
          </cell>
          <cell r="BV73">
            <v>290.01</v>
          </cell>
          <cell r="BW73">
            <v>0</v>
          </cell>
          <cell r="BX73">
            <v>235.67</v>
          </cell>
          <cell r="BY73">
            <v>1</v>
          </cell>
          <cell r="BZ73">
            <v>193.34</v>
          </cell>
          <cell r="CA73">
            <v>0</v>
          </cell>
          <cell r="CB73">
            <v>1405.98</v>
          </cell>
          <cell r="CC73">
            <v>2</v>
          </cell>
          <cell r="CD73">
            <v>2125</v>
          </cell>
          <cell r="CE73">
            <v>3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96.67</v>
          </cell>
          <cell r="CQ73">
            <v>0</v>
          </cell>
          <cell r="CR73">
            <v>96.67</v>
          </cell>
          <cell r="CS73">
            <v>0</v>
          </cell>
          <cell r="CT73">
            <v>96.67</v>
          </cell>
          <cell r="CU73">
            <v>0</v>
          </cell>
          <cell r="CV73">
            <v>38.99</v>
          </cell>
          <cell r="CW73">
            <v>1</v>
          </cell>
          <cell r="CX73">
            <v>329</v>
          </cell>
          <cell r="CY73">
            <v>1</v>
          </cell>
          <cell r="CZ73">
            <v>620.66999999999996</v>
          </cell>
          <cell r="DA73">
            <v>12</v>
          </cell>
          <cell r="DB73">
            <v>43.33</v>
          </cell>
          <cell r="DC73">
            <v>1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664</v>
          </cell>
          <cell r="DI73">
            <v>13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H73">
            <v>0</v>
          </cell>
          <cell r="EI73">
            <v>0</v>
          </cell>
        </row>
        <row r="74">
          <cell r="A74" t="str">
            <v>JulFenfushi</v>
          </cell>
          <cell r="B74" t="str">
            <v>Jul</v>
          </cell>
          <cell r="C74" t="str">
            <v>ADh.</v>
          </cell>
          <cell r="D74" t="str">
            <v>Fenfushi</v>
          </cell>
          <cell r="E74">
            <v>0</v>
          </cell>
          <cell r="F74">
            <v>70244</v>
          </cell>
          <cell r="G74">
            <v>231</v>
          </cell>
          <cell r="H74">
            <v>257</v>
          </cell>
          <cell r="I74">
            <v>0</v>
          </cell>
          <cell r="J74">
            <v>0</v>
          </cell>
          <cell r="K74">
            <v>257</v>
          </cell>
          <cell r="L74">
            <v>231</v>
          </cell>
          <cell r="M74">
            <v>26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257</v>
          </cell>
          <cell r="U74">
            <v>231</v>
          </cell>
          <cell r="V74">
            <v>26</v>
          </cell>
          <cell r="W74">
            <v>74363</v>
          </cell>
          <cell r="X74">
            <v>74363</v>
          </cell>
          <cell r="Y74">
            <v>0</v>
          </cell>
          <cell r="Z74">
            <v>74363</v>
          </cell>
          <cell r="AA74">
            <v>31176</v>
          </cell>
          <cell r="AB74">
            <v>2079</v>
          </cell>
          <cell r="AC74">
            <v>33255</v>
          </cell>
          <cell r="AD74">
            <v>62</v>
          </cell>
          <cell r="AE74">
            <v>153</v>
          </cell>
          <cell r="AF74">
            <v>21834.48</v>
          </cell>
          <cell r="AG74">
            <v>88.5</v>
          </cell>
          <cell r="AH74">
            <v>1779.65</v>
          </cell>
          <cell r="AI74">
            <v>19</v>
          </cell>
          <cell r="AJ74">
            <v>1302.67</v>
          </cell>
          <cell r="AK74">
            <v>3</v>
          </cell>
          <cell r="AL74">
            <v>864.67</v>
          </cell>
          <cell r="AM74">
            <v>3</v>
          </cell>
          <cell r="AN74">
            <v>2296.0100000000002</v>
          </cell>
          <cell r="AO74">
            <v>7</v>
          </cell>
          <cell r="AP74">
            <v>6243</v>
          </cell>
          <cell r="AQ74">
            <v>32</v>
          </cell>
          <cell r="AR74">
            <v>210</v>
          </cell>
          <cell r="AS74">
            <v>0</v>
          </cell>
          <cell r="AT74">
            <v>210</v>
          </cell>
          <cell r="AU74">
            <v>0</v>
          </cell>
          <cell r="AV74">
            <v>210</v>
          </cell>
          <cell r="AW74">
            <v>0</v>
          </cell>
          <cell r="AX74">
            <v>1322</v>
          </cell>
          <cell r="AY74">
            <v>2</v>
          </cell>
          <cell r="AZ74">
            <v>1952</v>
          </cell>
          <cell r="BA74">
            <v>2</v>
          </cell>
          <cell r="BB74">
            <v>14943.87</v>
          </cell>
          <cell r="BC74">
            <v>40</v>
          </cell>
          <cell r="BD74">
            <v>12284.25</v>
          </cell>
          <cell r="BE74">
            <v>28</v>
          </cell>
          <cell r="BF74">
            <v>9146.57</v>
          </cell>
          <cell r="BG74">
            <v>28</v>
          </cell>
          <cell r="BH74">
            <v>15931.31</v>
          </cell>
          <cell r="BI74">
            <v>73</v>
          </cell>
          <cell r="BJ74">
            <v>52306</v>
          </cell>
          <cell r="BK74">
            <v>169</v>
          </cell>
          <cell r="BL74">
            <v>910.33</v>
          </cell>
          <cell r="BM74">
            <v>5</v>
          </cell>
          <cell r="BN74">
            <v>683.33</v>
          </cell>
          <cell r="BO74">
            <v>0</v>
          </cell>
          <cell r="BP74">
            <v>535.35</v>
          </cell>
          <cell r="BQ74">
            <v>2</v>
          </cell>
          <cell r="BR74">
            <v>4465.99</v>
          </cell>
          <cell r="BS74">
            <v>4</v>
          </cell>
          <cell r="BT74">
            <v>6595</v>
          </cell>
          <cell r="BU74">
            <v>11</v>
          </cell>
          <cell r="BV74">
            <v>309.99</v>
          </cell>
          <cell r="BW74">
            <v>0</v>
          </cell>
          <cell r="BX74">
            <v>236.33</v>
          </cell>
          <cell r="BY74">
            <v>1</v>
          </cell>
          <cell r="BZ74">
            <v>206.66</v>
          </cell>
          <cell r="CA74">
            <v>0</v>
          </cell>
          <cell r="CB74">
            <v>1513.02</v>
          </cell>
          <cell r="CC74">
            <v>2</v>
          </cell>
          <cell r="CD74">
            <v>2266</v>
          </cell>
          <cell r="CE74">
            <v>3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106.67</v>
          </cell>
          <cell r="CQ74">
            <v>0</v>
          </cell>
          <cell r="CR74">
            <v>34.33</v>
          </cell>
          <cell r="CS74">
            <v>1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141</v>
          </cell>
          <cell r="CY74">
            <v>1</v>
          </cell>
          <cell r="CZ74">
            <v>700.67</v>
          </cell>
          <cell r="DA74">
            <v>12</v>
          </cell>
          <cell r="DB74">
            <v>40.33</v>
          </cell>
          <cell r="DC74">
            <v>1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741</v>
          </cell>
          <cell r="DI74">
            <v>13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H74">
            <v>0</v>
          </cell>
          <cell r="EI74">
            <v>0</v>
          </cell>
        </row>
        <row r="75">
          <cell r="A75" t="str">
            <v>AugFenfushi</v>
          </cell>
          <cell r="B75" t="str">
            <v>Aug</v>
          </cell>
          <cell r="C75" t="str">
            <v>ADh.</v>
          </cell>
          <cell r="D75" t="str">
            <v>Fenfushi</v>
          </cell>
          <cell r="E75">
            <v>0</v>
          </cell>
          <cell r="F75">
            <v>61374</v>
          </cell>
          <cell r="G75">
            <v>227</v>
          </cell>
          <cell r="H75">
            <v>257</v>
          </cell>
          <cell r="I75">
            <v>1</v>
          </cell>
          <cell r="J75">
            <v>0</v>
          </cell>
          <cell r="K75">
            <v>258</v>
          </cell>
          <cell r="L75">
            <v>227</v>
          </cell>
          <cell r="M75">
            <v>31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258</v>
          </cell>
          <cell r="U75">
            <v>227</v>
          </cell>
          <cell r="V75">
            <v>31</v>
          </cell>
          <cell r="W75">
            <v>68789</v>
          </cell>
          <cell r="X75">
            <v>68789</v>
          </cell>
          <cell r="Y75">
            <v>0</v>
          </cell>
          <cell r="Z75">
            <v>68789</v>
          </cell>
          <cell r="AA75">
            <v>26773</v>
          </cell>
          <cell r="AB75">
            <v>2079</v>
          </cell>
          <cell r="AC75">
            <v>28852</v>
          </cell>
          <cell r="AD75">
            <v>55</v>
          </cell>
          <cell r="AE75">
            <v>156</v>
          </cell>
          <cell r="AF75">
            <v>20185.28</v>
          </cell>
          <cell r="AG75">
            <v>89.5</v>
          </cell>
          <cell r="AH75">
            <v>1829.02</v>
          </cell>
          <cell r="AI75">
            <v>17</v>
          </cell>
          <cell r="AJ75">
            <v>1463.68</v>
          </cell>
          <cell r="AK75">
            <v>3</v>
          </cell>
          <cell r="AL75">
            <v>828.33</v>
          </cell>
          <cell r="AM75">
            <v>5</v>
          </cell>
          <cell r="AN75">
            <v>2216.9699999999998</v>
          </cell>
          <cell r="AO75">
            <v>7</v>
          </cell>
          <cell r="AP75">
            <v>6338</v>
          </cell>
          <cell r="AQ75">
            <v>32</v>
          </cell>
          <cell r="AR75">
            <v>190</v>
          </cell>
          <cell r="AS75">
            <v>0</v>
          </cell>
          <cell r="AT75">
            <v>190</v>
          </cell>
          <cell r="AU75">
            <v>0</v>
          </cell>
          <cell r="AV75">
            <v>190</v>
          </cell>
          <cell r="AW75">
            <v>0</v>
          </cell>
          <cell r="AX75">
            <v>1232</v>
          </cell>
          <cell r="AY75">
            <v>2</v>
          </cell>
          <cell r="AZ75">
            <v>1802</v>
          </cell>
          <cell r="BA75">
            <v>2</v>
          </cell>
          <cell r="BB75">
            <v>13855.46</v>
          </cell>
          <cell r="BC75">
            <v>38</v>
          </cell>
          <cell r="BD75">
            <v>11201.08</v>
          </cell>
          <cell r="BE75">
            <v>25</v>
          </cell>
          <cell r="BF75">
            <v>7289.64</v>
          </cell>
          <cell r="BG75">
            <v>42</v>
          </cell>
          <cell r="BH75">
            <v>10939.82</v>
          </cell>
          <cell r="BI75">
            <v>60</v>
          </cell>
          <cell r="BJ75">
            <v>43286</v>
          </cell>
          <cell r="BK75">
            <v>165</v>
          </cell>
          <cell r="BL75">
            <v>749.32</v>
          </cell>
          <cell r="BM75">
            <v>5</v>
          </cell>
          <cell r="BN75">
            <v>543.32000000000005</v>
          </cell>
          <cell r="BO75">
            <v>0</v>
          </cell>
          <cell r="BP75">
            <v>454.33</v>
          </cell>
          <cell r="BQ75">
            <v>1</v>
          </cell>
          <cell r="BR75">
            <v>4436.03</v>
          </cell>
          <cell r="BS75">
            <v>5</v>
          </cell>
          <cell r="BT75">
            <v>6182.9999999999991</v>
          </cell>
          <cell r="BU75">
            <v>11</v>
          </cell>
          <cell r="BV75">
            <v>290.01</v>
          </cell>
          <cell r="BW75">
            <v>0</v>
          </cell>
          <cell r="BX75">
            <v>290.01</v>
          </cell>
          <cell r="BY75">
            <v>0</v>
          </cell>
          <cell r="BZ75">
            <v>290.01</v>
          </cell>
          <cell r="CA75">
            <v>0</v>
          </cell>
          <cell r="CB75">
            <v>1948.97</v>
          </cell>
          <cell r="CC75">
            <v>3</v>
          </cell>
          <cell r="CD75">
            <v>2819</v>
          </cell>
          <cell r="CE75">
            <v>3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93.33</v>
          </cell>
          <cell r="CQ75">
            <v>0</v>
          </cell>
          <cell r="CR75">
            <v>93.33</v>
          </cell>
          <cell r="CS75">
            <v>0</v>
          </cell>
          <cell r="CT75">
            <v>93.33</v>
          </cell>
          <cell r="CU75">
            <v>0</v>
          </cell>
          <cell r="CV75">
            <v>26.01</v>
          </cell>
          <cell r="CW75">
            <v>1</v>
          </cell>
          <cell r="CX75">
            <v>306</v>
          </cell>
          <cell r="CY75">
            <v>1</v>
          </cell>
          <cell r="CZ75">
            <v>610.33000000000004</v>
          </cell>
          <cell r="DA75">
            <v>12</v>
          </cell>
          <cell r="DB75">
            <v>29.67</v>
          </cell>
          <cell r="DC75">
            <v>1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640</v>
          </cell>
          <cell r="DI75">
            <v>13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H75">
            <v>0</v>
          </cell>
          <cell r="EI75">
            <v>0</v>
          </cell>
        </row>
        <row r="76">
          <cell r="A76" t="str">
            <v>SepFenfushi</v>
          </cell>
          <cell r="B76" t="str">
            <v>Sep</v>
          </cell>
          <cell r="C76" t="str">
            <v>ADh.</v>
          </cell>
          <cell r="D76" t="str">
            <v>Fenfushi</v>
          </cell>
          <cell r="E76" t="str">
            <v>usage units more than billed</v>
          </cell>
          <cell r="F76">
            <v>62080</v>
          </cell>
          <cell r="G76">
            <v>235</v>
          </cell>
          <cell r="H76">
            <v>258</v>
          </cell>
          <cell r="I76">
            <v>0</v>
          </cell>
          <cell r="J76">
            <v>0</v>
          </cell>
          <cell r="K76">
            <v>258</v>
          </cell>
          <cell r="L76">
            <v>235</v>
          </cell>
          <cell r="M76">
            <v>23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258</v>
          </cell>
          <cell r="U76">
            <v>235</v>
          </cell>
          <cell r="V76">
            <v>23</v>
          </cell>
          <cell r="W76">
            <v>69098</v>
          </cell>
          <cell r="X76">
            <v>69098</v>
          </cell>
          <cell r="Y76">
            <v>0</v>
          </cell>
          <cell r="Z76">
            <v>69098</v>
          </cell>
          <cell r="AA76">
            <v>0</v>
          </cell>
          <cell r="AB76">
            <v>2630</v>
          </cell>
          <cell r="AC76">
            <v>2630</v>
          </cell>
          <cell r="AD76">
            <v>57</v>
          </cell>
          <cell r="AE76">
            <v>158</v>
          </cell>
          <cell r="AF76">
            <v>20554.400000000001</v>
          </cell>
          <cell r="AG76">
            <v>141</v>
          </cell>
          <cell r="AH76">
            <v>1894.62</v>
          </cell>
          <cell r="AI76">
            <v>20</v>
          </cell>
          <cell r="AJ76">
            <v>1341.98</v>
          </cell>
          <cell r="AK76">
            <v>4</v>
          </cell>
          <cell r="AL76">
            <v>807.35</v>
          </cell>
          <cell r="AM76">
            <v>5</v>
          </cell>
          <cell r="AN76">
            <v>2404.0500000000002</v>
          </cell>
          <cell r="AO76">
            <v>5</v>
          </cell>
          <cell r="AP76">
            <v>6448</v>
          </cell>
          <cell r="AQ76">
            <v>34</v>
          </cell>
          <cell r="AR76">
            <v>206.66</v>
          </cell>
          <cell r="AS76">
            <v>0</v>
          </cell>
          <cell r="AT76">
            <v>206.66</v>
          </cell>
          <cell r="AU76">
            <v>0</v>
          </cell>
          <cell r="AV76">
            <v>206.66</v>
          </cell>
          <cell r="AW76">
            <v>0</v>
          </cell>
          <cell r="AX76">
            <v>1394.02</v>
          </cell>
          <cell r="AY76">
            <v>2</v>
          </cell>
          <cell r="AZ76">
            <v>2014.0000000000002</v>
          </cell>
          <cell r="BA76">
            <v>2</v>
          </cell>
          <cell r="BB76">
            <v>15152.24</v>
          </cell>
          <cell r="BC76">
            <v>42</v>
          </cell>
          <cell r="BD76">
            <v>11848.1</v>
          </cell>
          <cell r="BE76">
            <v>30</v>
          </cell>
          <cell r="BF76">
            <v>7644.09</v>
          </cell>
          <cell r="BG76">
            <v>42</v>
          </cell>
          <cell r="BH76">
            <v>9946.57</v>
          </cell>
          <cell r="BI76">
            <v>57</v>
          </cell>
          <cell r="BJ76">
            <v>44591</v>
          </cell>
          <cell r="BK76">
            <v>171</v>
          </cell>
          <cell r="BL76">
            <v>764.98</v>
          </cell>
          <cell r="BM76">
            <v>5</v>
          </cell>
          <cell r="BN76">
            <v>579.32000000000005</v>
          </cell>
          <cell r="BO76">
            <v>1</v>
          </cell>
          <cell r="BP76">
            <v>516.65</v>
          </cell>
          <cell r="BQ76">
            <v>0</v>
          </cell>
          <cell r="BR76">
            <v>3415.05</v>
          </cell>
          <cell r="BS76">
            <v>5</v>
          </cell>
          <cell r="BT76">
            <v>5276</v>
          </cell>
          <cell r="BU76">
            <v>11</v>
          </cell>
          <cell r="BV76">
            <v>309.99</v>
          </cell>
          <cell r="BW76">
            <v>0</v>
          </cell>
          <cell r="BX76">
            <v>309.99</v>
          </cell>
          <cell r="BY76">
            <v>0</v>
          </cell>
          <cell r="BZ76">
            <v>309.99</v>
          </cell>
          <cell r="CA76">
            <v>0</v>
          </cell>
          <cell r="CB76">
            <v>1816.03</v>
          </cell>
          <cell r="CC76">
            <v>3</v>
          </cell>
          <cell r="CD76">
            <v>2746</v>
          </cell>
          <cell r="CE76">
            <v>3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103.33</v>
          </cell>
          <cell r="CQ76">
            <v>0</v>
          </cell>
          <cell r="CR76">
            <v>103.33</v>
          </cell>
          <cell r="CS76">
            <v>0</v>
          </cell>
          <cell r="CT76">
            <v>103.33</v>
          </cell>
          <cell r="CU76">
            <v>0</v>
          </cell>
          <cell r="CV76">
            <v>21.01</v>
          </cell>
          <cell r="CW76">
            <v>1</v>
          </cell>
          <cell r="CX76">
            <v>331</v>
          </cell>
          <cell r="CY76">
            <v>1</v>
          </cell>
          <cell r="CZ76">
            <v>651.33000000000004</v>
          </cell>
          <cell r="DA76">
            <v>12</v>
          </cell>
          <cell r="DB76">
            <v>22.67</v>
          </cell>
          <cell r="DC76">
            <v>1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674</v>
          </cell>
          <cell r="DI76">
            <v>13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H76">
            <v>0</v>
          </cell>
          <cell r="EI76">
            <v>0</v>
          </cell>
        </row>
        <row r="77">
          <cell r="A77" t="str">
            <v>OctFenfushi</v>
          </cell>
          <cell r="B77" t="str">
            <v>Oct</v>
          </cell>
          <cell r="C77" t="str">
            <v>ADh.</v>
          </cell>
          <cell r="D77" t="str">
            <v>Fenfushi</v>
          </cell>
          <cell r="E77">
            <v>0</v>
          </cell>
          <cell r="F77">
            <v>68302</v>
          </cell>
          <cell r="G77">
            <v>231</v>
          </cell>
          <cell r="H77">
            <v>248</v>
          </cell>
          <cell r="I77">
            <v>0</v>
          </cell>
          <cell r="J77">
            <v>0</v>
          </cell>
          <cell r="K77">
            <v>248</v>
          </cell>
          <cell r="L77">
            <v>231</v>
          </cell>
          <cell r="M77">
            <v>17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248</v>
          </cell>
          <cell r="U77">
            <v>231</v>
          </cell>
          <cell r="V77">
            <v>17</v>
          </cell>
          <cell r="W77">
            <v>72930</v>
          </cell>
          <cell r="X77">
            <v>72930</v>
          </cell>
          <cell r="Y77">
            <v>0</v>
          </cell>
          <cell r="Z77">
            <v>72930</v>
          </cell>
          <cell r="AA77">
            <v>68302</v>
          </cell>
          <cell r="AB77">
            <v>2942</v>
          </cell>
          <cell r="AC77">
            <v>71244</v>
          </cell>
          <cell r="AD77">
            <v>65</v>
          </cell>
          <cell r="AE77">
            <v>172</v>
          </cell>
          <cell r="AF77">
            <v>21532.400000000001</v>
          </cell>
          <cell r="AG77">
            <v>104.25</v>
          </cell>
          <cell r="AH77">
            <v>1987.3</v>
          </cell>
          <cell r="AI77">
            <v>17</v>
          </cell>
          <cell r="AJ77">
            <v>1444.66</v>
          </cell>
          <cell r="AK77">
            <v>6</v>
          </cell>
          <cell r="AL77">
            <v>951.99</v>
          </cell>
          <cell r="AM77">
            <v>3</v>
          </cell>
          <cell r="AN77">
            <v>3134.05</v>
          </cell>
          <cell r="AO77">
            <v>7</v>
          </cell>
          <cell r="AP77">
            <v>7518</v>
          </cell>
          <cell r="AQ77">
            <v>33</v>
          </cell>
          <cell r="AR77">
            <v>220</v>
          </cell>
          <cell r="AS77">
            <v>0</v>
          </cell>
          <cell r="AT77">
            <v>220</v>
          </cell>
          <cell r="AU77">
            <v>0</v>
          </cell>
          <cell r="AV77">
            <v>220</v>
          </cell>
          <cell r="AW77">
            <v>0</v>
          </cell>
          <cell r="AX77">
            <v>1726</v>
          </cell>
          <cell r="AY77">
            <v>2</v>
          </cell>
          <cell r="AZ77">
            <v>2386</v>
          </cell>
          <cell r="BA77">
            <v>2</v>
          </cell>
          <cell r="BB77">
            <v>15421.69</v>
          </cell>
          <cell r="BC77">
            <v>39</v>
          </cell>
          <cell r="BD77">
            <v>11883.49</v>
          </cell>
          <cell r="BE77">
            <v>32</v>
          </cell>
          <cell r="BF77">
            <v>8145.41</v>
          </cell>
          <cell r="BG77">
            <v>42</v>
          </cell>
          <cell r="BH77">
            <v>12260.41</v>
          </cell>
          <cell r="BI77">
            <v>55</v>
          </cell>
          <cell r="BJ77">
            <v>47711</v>
          </cell>
          <cell r="BK77">
            <v>168</v>
          </cell>
          <cell r="BL77">
            <v>823.33</v>
          </cell>
          <cell r="BM77">
            <v>4</v>
          </cell>
          <cell r="BN77">
            <v>662.67</v>
          </cell>
          <cell r="BO77">
            <v>1</v>
          </cell>
          <cell r="BP77">
            <v>660</v>
          </cell>
          <cell r="BQ77">
            <v>0</v>
          </cell>
          <cell r="BR77">
            <v>4282</v>
          </cell>
          <cell r="BS77">
            <v>6</v>
          </cell>
          <cell r="BT77">
            <v>6428</v>
          </cell>
          <cell r="BU77">
            <v>11</v>
          </cell>
          <cell r="BV77">
            <v>309.99</v>
          </cell>
          <cell r="BW77">
            <v>0</v>
          </cell>
          <cell r="BX77">
            <v>309.99</v>
          </cell>
          <cell r="BY77">
            <v>0</v>
          </cell>
          <cell r="BZ77">
            <v>309.99</v>
          </cell>
          <cell r="CA77">
            <v>0</v>
          </cell>
          <cell r="CB77">
            <v>2341.0300000000002</v>
          </cell>
          <cell r="CC77">
            <v>3</v>
          </cell>
          <cell r="CD77">
            <v>3271</v>
          </cell>
          <cell r="CE77">
            <v>3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103.33</v>
          </cell>
          <cell r="CQ77">
            <v>0</v>
          </cell>
          <cell r="CR77">
            <v>103.33</v>
          </cell>
          <cell r="CS77">
            <v>0</v>
          </cell>
          <cell r="CT77">
            <v>103.33</v>
          </cell>
          <cell r="CU77">
            <v>0</v>
          </cell>
          <cell r="CV77">
            <v>13.01</v>
          </cell>
          <cell r="CW77">
            <v>1</v>
          </cell>
          <cell r="CX77">
            <v>323</v>
          </cell>
          <cell r="CY77">
            <v>1</v>
          </cell>
          <cell r="CZ77">
            <v>663.33</v>
          </cell>
          <cell r="DA77">
            <v>12</v>
          </cell>
          <cell r="DB77">
            <v>1.67</v>
          </cell>
          <cell r="DC77">
            <v>1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665</v>
          </cell>
          <cell r="DI77">
            <v>13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H77">
            <v>0</v>
          </cell>
          <cell r="EI77">
            <v>0</v>
          </cell>
        </row>
        <row r="78">
          <cell r="A78" t="str">
            <v>NovFenfushi</v>
          </cell>
          <cell r="B78" t="str">
            <v>Nov</v>
          </cell>
          <cell r="C78" t="str">
            <v>ADh.</v>
          </cell>
          <cell r="D78" t="str">
            <v>Fenfushi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31239</v>
          </cell>
          <cell r="AB78">
            <v>2316</v>
          </cell>
          <cell r="AC78">
            <v>33555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H78">
            <v>0</v>
          </cell>
          <cell r="EI78">
            <v>0</v>
          </cell>
        </row>
        <row r="79">
          <cell r="A79" t="str">
            <v>DecFenfushi</v>
          </cell>
          <cell r="B79" t="str">
            <v>Dec</v>
          </cell>
          <cell r="C79" t="str">
            <v>ADh.</v>
          </cell>
          <cell r="D79" t="str">
            <v>Fenfushi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31274</v>
          </cell>
          <cell r="AB79">
            <v>2240</v>
          </cell>
          <cell r="AC79">
            <v>33514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H79">
            <v>0</v>
          </cell>
          <cell r="EI79">
            <v>0</v>
          </cell>
        </row>
        <row r="80">
          <cell r="A80" t="str">
            <v>JanFeridhoo</v>
          </cell>
          <cell r="B80" t="str">
            <v>Jan</v>
          </cell>
          <cell r="C80" t="str">
            <v>AA.</v>
          </cell>
          <cell r="D80" t="str">
            <v>Feridhoo</v>
          </cell>
          <cell r="E80">
            <v>0</v>
          </cell>
          <cell r="F80">
            <v>35582</v>
          </cell>
          <cell r="G80">
            <v>134</v>
          </cell>
          <cell r="H80">
            <v>152</v>
          </cell>
          <cell r="I80">
            <v>3</v>
          </cell>
          <cell r="J80">
            <v>0</v>
          </cell>
          <cell r="K80">
            <v>155</v>
          </cell>
          <cell r="L80">
            <v>134</v>
          </cell>
          <cell r="M80">
            <v>21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155</v>
          </cell>
          <cell r="U80">
            <v>134</v>
          </cell>
          <cell r="V80">
            <v>21</v>
          </cell>
          <cell r="W80">
            <v>37045</v>
          </cell>
          <cell r="X80">
            <v>41074.1</v>
          </cell>
          <cell r="Y80">
            <v>0</v>
          </cell>
          <cell r="Z80">
            <v>41074.089999999997</v>
          </cell>
          <cell r="AA80">
            <v>35582</v>
          </cell>
          <cell r="AB80">
            <v>2805</v>
          </cell>
          <cell r="AC80">
            <v>38387</v>
          </cell>
          <cell r="AD80">
            <v>36</v>
          </cell>
          <cell r="AE80">
            <v>70</v>
          </cell>
          <cell r="AF80">
            <v>11087</v>
          </cell>
          <cell r="AG80">
            <v>45</v>
          </cell>
          <cell r="AH80">
            <v>561</v>
          </cell>
          <cell r="AI80">
            <v>8</v>
          </cell>
          <cell r="AJ80">
            <v>334</v>
          </cell>
          <cell r="AK80" t="str">
            <v xml:space="preserve"> -   </v>
          </cell>
          <cell r="AL80">
            <v>210</v>
          </cell>
          <cell r="AM80" t="str">
            <v xml:space="preserve"> -   </v>
          </cell>
          <cell r="AN80">
            <v>185</v>
          </cell>
          <cell r="AO80" t="str">
            <v xml:space="preserve"> -   </v>
          </cell>
          <cell r="AP80">
            <v>1290</v>
          </cell>
          <cell r="AQ80">
            <v>8</v>
          </cell>
          <cell r="AR80">
            <v>200</v>
          </cell>
          <cell r="AS80">
            <v>2</v>
          </cell>
          <cell r="AT80">
            <v>200</v>
          </cell>
          <cell r="AU80" t="str">
            <v xml:space="preserve"> -   </v>
          </cell>
          <cell r="AV80">
            <v>126</v>
          </cell>
          <cell r="AW80" t="str">
            <v xml:space="preserve"> -   </v>
          </cell>
          <cell r="AX80">
            <v>284</v>
          </cell>
          <cell r="AY80" t="str">
            <v xml:space="preserve"> -   </v>
          </cell>
          <cell r="AZ80">
            <v>810</v>
          </cell>
          <cell r="BA80">
            <v>2</v>
          </cell>
          <cell r="BB80">
            <v>10008</v>
          </cell>
          <cell r="BC80">
            <v>113</v>
          </cell>
          <cell r="BD80">
            <v>7711</v>
          </cell>
          <cell r="BE80" t="str">
            <v xml:space="preserve"> -   </v>
          </cell>
          <cell r="BF80">
            <v>4724</v>
          </cell>
          <cell r="BG80" t="str">
            <v xml:space="preserve"> -   </v>
          </cell>
          <cell r="BH80">
            <v>4276</v>
          </cell>
          <cell r="BI80" t="str">
            <v xml:space="preserve"> -   </v>
          </cell>
          <cell r="BJ80">
            <v>26719</v>
          </cell>
          <cell r="BK80">
            <v>113</v>
          </cell>
          <cell r="BL80">
            <v>585</v>
          </cell>
          <cell r="BM80">
            <v>7</v>
          </cell>
          <cell r="BN80">
            <v>500</v>
          </cell>
          <cell r="BO80" t="str">
            <v xml:space="preserve"> -   </v>
          </cell>
          <cell r="BP80">
            <v>458</v>
          </cell>
          <cell r="BQ80" t="str">
            <v xml:space="preserve"> -   </v>
          </cell>
          <cell r="BR80">
            <v>874</v>
          </cell>
          <cell r="BS80" t="str">
            <v xml:space="preserve"> -   </v>
          </cell>
          <cell r="BT80">
            <v>2417</v>
          </cell>
          <cell r="BU80">
            <v>7</v>
          </cell>
          <cell r="BV80">
            <v>100</v>
          </cell>
          <cell r="BW80">
            <v>1</v>
          </cell>
          <cell r="BX80">
            <v>100</v>
          </cell>
          <cell r="BY80" t="str">
            <v xml:space="preserve"> -   </v>
          </cell>
          <cell r="BZ80">
            <v>100</v>
          </cell>
          <cell r="CA80" t="str">
            <v xml:space="preserve"> -   </v>
          </cell>
          <cell r="CB80">
            <v>79</v>
          </cell>
          <cell r="CC80" t="str">
            <v xml:space="preserve"> -   </v>
          </cell>
          <cell r="CD80">
            <v>379</v>
          </cell>
          <cell r="CE80">
            <v>1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 t="str">
            <v xml:space="preserve"> -   </v>
          </cell>
          <cell r="CO80" t="str">
            <v xml:space="preserve"> -   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 t="str">
            <v xml:space="preserve"> -   </v>
          </cell>
          <cell r="CY80" t="str">
            <v xml:space="preserve"> -   </v>
          </cell>
          <cell r="CZ80">
            <v>200</v>
          </cell>
          <cell r="DA80">
            <v>2</v>
          </cell>
          <cell r="DB80">
            <v>200</v>
          </cell>
          <cell r="DC80" t="str">
            <v xml:space="preserve"> -   </v>
          </cell>
          <cell r="DD80">
            <v>200</v>
          </cell>
          <cell r="DE80" t="str">
            <v xml:space="preserve"> -   </v>
          </cell>
          <cell r="DF80">
            <v>562</v>
          </cell>
          <cell r="DG80" t="str">
            <v xml:space="preserve"> -   </v>
          </cell>
          <cell r="DH80">
            <v>1162</v>
          </cell>
          <cell r="DI80">
            <v>2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 t="str">
            <v xml:space="preserve"> -   </v>
          </cell>
          <cell r="DS80" t="str">
            <v xml:space="preserve"> -   </v>
          </cell>
          <cell r="DT80">
            <v>100</v>
          </cell>
          <cell r="DU80">
            <v>1</v>
          </cell>
          <cell r="DV80">
            <v>100</v>
          </cell>
          <cell r="DW80" t="str">
            <v xml:space="preserve"> -   </v>
          </cell>
          <cell r="DX80">
            <v>100</v>
          </cell>
          <cell r="DY80" t="str">
            <v xml:space="preserve"> -   </v>
          </cell>
          <cell r="DZ80">
            <v>2505</v>
          </cell>
          <cell r="EA80" t="str">
            <v xml:space="preserve"> -   </v>
          </cell>
          <cell r="EB80">
            <v>2805</v>
          </cell>
          <cell r="EC80">
            <v>1</v>
          </cell>
          <cell r="ED80">
            <v>0</v>
          </cell>
          <cell r="EE80">
            <v>0</v>
          </cell>
          <cell r="EF80">
            <v>0</v>
          </cell>
          <cell r="EH80">
            <v>0</v>
          </cell>
          <cell r="EI80">
            <v>0</v>
          </cell>
        </row>
        <row r="81">
          <cell r="A81" t="str">
            <v>FebFeridhoo</v>
          </cell>
          <cell r="B81" t="str">
            <v>Feb</v>
          </cell>
          <cell r="C81" t="str">
            <v>AA.</v>
          </cell>
          <cell r="D81" t="str">
            <v>Feridhoo</v>
          </cell>
          <cell r="E81">
            <v>0</v>
          </cell>
          <cell r="F81">
            <v>35021</v>
          </cell>
          <cell r="G81">
            <v>135</v>
          </cell>
          <cell r="H81">
            <v>155</v>
          </cell>
          <cell r="I81">
            <v>0</v>
          </cell>
          <cell r="J81">
            <v>0</v>
          </cell>
          <cell r="K81">
            <v>155</v>
          </cell>
          <cell r="L81">
            <v>135</v>
          </cell>
          <cell r="M81">
            <v>20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155</v>
          </cell>
          <cell r="U81">
            <v>135</v>
          </cell>
          <cell r="V81">
            <v>20</v>
          </cell>
          <cell r="W81">
            <v>33952</v>
          </cell>
          <cell r="X81">
            <v>39966.6</v>
          </cell>
          <cell r="Y81">
            <v>0</v>
          </cell>
          <cell r="Z81">
            <v>39966.639999999999</v>
          </cell>
          <cell r="AA81">
            <v>35021</v>
          </cell>
          <cell r="AB81">
            <v>2331</v>
          </cell>
          <cell r="AC81">
            <v>37352</v>
          </cell>
          <cell r="AD81">
            <v>35</v>
          </cell>
          <cell r="AE81">
            <v>70</v>
          </cell>
          <cell r="AF81">
            <v>9916</v>
          </cell>
          <cell r="AG81">
            <v>69</v>
          </cell>
          <cell r="AH81">
            <v>620</v>
          </cell>
          <cell r="AI81">
            <v>8</v>
          </cell>
          <cell r="AJ81">
            <v>431</v>
          </cell>
          <cell r="AK81" t="str">
            <v xml:space="preserve"> -   </v>
          </cell>
          <cell r="AL81">
            <v>297</v>
          </cell>
          <cell r="AM81" t="str">
            <v xml:space="preserve"> -   </v>
          </cell>
          <cell r="AN81">
            <v>156</v>
          </cell>
          <cell r="AO81" t="str">
            <v xml:space="preserve"> -   </v>
          </cell>
          <cell r="AP81">
            <v>1504</v>
          </cell>
          <cell r="AQ81">
            <v>8</v>
          </cell>
          <cell r="AR81">
            <v>200</v>
          </cell>
          <cell r="AS81">
            <v>2</v>
          </cell>
          <cell r="AT81">
            <v>200</v>
          </cell>
          <cell r="AU81" t="str">
            <v xml:space="preserve"> -   </v>
          </cell>
          <cell r="AV81">
            <v>130</v>
          </cell>
          <cell r="AW81" t="str">
            <v xml:space="preserve"> -   </v>
          </cell>
          <cell r="AX81">
            <v>291</v>
          </cell>
          <cell r="AY81" t="str">
            <v xml:space="preserve"> -   </v>
          </cell>
          <cell r="AZ81">
            <v>821</v>
          </cell>
          <cell r="BA81">
            <v>2</v>
          </cell>
          <cell r="BB81">
            <v>9788</v>
          </cell>
          <cell r="BC81">
            <v>114</v>
          </cell>
          <cell r="BD81">
            <v>7438</v>
          </cell>
          <cell r="BE81" t="str">
            <v xml:space="preserve"> -   </v>
          </cell>
          <cell r="BF81">
            <v>4451</v>
          </cell>
          <cell r="BG81" t="str">
            <v xml:space="preserve"> -   </v>
          </cell>
          <cell r="BH81">
            <v>4452</v>
          </cell>
          <cell r="BI81" t="str">
            <v xml:space="preserve"> -   </v>
          </cell>
          <cell r="BJ81">
            <v>26129</v>
          </cell>
          <cell r="BK81">
            <v>114</v>
          </cell>
          <cell r="BL81">
            <v>577</v>
          </cell>
          <cell r="BM81">
            <v>7</v>
          </cell>
          <cell r="BN81">
            <v>500</v>
          </cell>
          <cell r="BO81" t="str">
            <v xml:space="preserve"> -   </v>
          </cell>
          <cell r="BP81">
            <v>438</v>
          </cell>
          <cell r="BQ81" t="str">
            <v xml:space="preserve"> -   </v>
          </cell>
          <cell r="BR81">
            <v>997</v>
          </cell>
          <cell r="BS81" t="str">
            <v xml:space="preserve"> -   </v>
          </cell>
          <cell r="BT81">
            <v>2512</v>
          </cell>
          <cell r="BU81">
            <v>7</v>
          </cell>
          <cell r="BV81">
            <v>100</v>
          </cell>
          <cell r="BW81">
            <v>1</v>
          </cell>
          <cell r="BX81">
            <v>100</v>
          </cell>
          <cell r="BY81" t="str">
            <v xml:space="preserve"> -   </v>
          </cell>
          <cell r="BZ81">
            <v>100</v>
          </cell>
          <cell r="CA81" t="str">
            <v xml:space="preserve"> -   </v>
          </cell>
          <cell r="CB81">
            <v>262</v>
          </cell>
          <cell r="CC81" t="str">
            <v xml:space="preserve"> -   </v>
          </cell>
          <cell r="CD81">
            <v>562</v>
          </cell>
          <cell r="CE81">
            <v>1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 t="str">
            <v xml:space="preserve"> -   </v>
          </cell>
          <cell r="CO81" t="str">
            <v xml:space="preserve"> -   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 t="str">
            <v xml:space="preserve"> -   </v>
          </cell>
          <cell r="CY81" t="str">
            <v xml:space="preserve"> -   </v>
          </cell>
          <cell r="CZ81">
            <v>200</v>
          </cell>
          <cell r="DA81">
            <v>2</v>
          </cell>
          <cell r="DB81">
            <v>200</v>
          </cell>
          <cell r="DC81" t="str">
            <v xml:space="preserve"> -   </v>
          </cell>
          <cell r="DD81">
            <v>200</v>
          </cell>
          <cell r="DE81" t="str">
            <v xml:space="preserve"> -   </v>
          </cell>
          <cell r="DF81">
            <v>562</v>
          </cell>
          <cell r="DG81" t="str">
            <v xml:space="preserve"> -   </v>
          </cell>
          <cell r="DH81">
            <v>1162</v>
          </cell>
          <cell r="DI81">
            <v>2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 t="str">
            <v xml:space="preserve"> -   </v>
          </cell>
          <cell r="DS81" t="str">
            <v xml:space="preserve"> -   </v>
          </cell>
          <cell r="DT81">
            <v>100</v>
          </cell>
          <cell r="DU81">
            <v>1</v>
          </cell>
          <cell r="DV81">
            <v>100</v>
          </cell>
          <cell r="DW81" t="str">
            <v xml:space="preserve"> -   </v>
          </cell>
          <cell r="DX81">
            <v>100</v>
          </cell>
          <cell r="DY81" t="str">
            <v xml:space="preserve"> -   </v>
          </cell>
          <cell r="DZ81">
            <v>2031</v>
          </cell>
          <cell r="EA81" t="str">
            <v xml:space="preserve"> -   </v>
          </cell>
          <cell r="EB81">
            <v>2331</v>
          </cell>
          <cell r="EC81">
            <v>1</v>
          </cell>
          <cell r="ED81">
            <v>0</v>
          </cell>
          <cell r="EE81">
            <v>0</v>
          </cell>
          <cell r="EF81">
            <v>0</v>
          </cell>
          <cell r="EH81">
            <v>0</v>
          </cell>
          <cell r="EI81">
            <v>0</v>
          </cell>
        </row>
        <row r="82">
          <cell r="A82" t="str">
            <v>MarFeridhoo</v>
          </cell>
          <cell r="B82" t="str">
            <v>Mar</v>
          </cell>
          <cell r="C82" t="str">
            <v>AA.</v>
          </cell>
          <cell r="D82" t="str">
            <v>Feridhoo</v>
          </cell>
          <cell r="E82">
            <v>0</v>
          </cell>
          <cell r="F82">
            <v>34916</v>
          </cell>
          <cell r="G82">
            <v>151</v>
          </cell>
          <cell r="H82">
            <v>156</v>
          </cell>
          <cell r="I82">
            <v>1</v>
          </cell>
          <cell r="J82">
            <v>0</v>
          </cell>
          <cell r="K82">
            <v>157</v>
          </cell>
          <cell r="L82">
            <v>151</v>
          </cell>
          <cell r="M82">
            <v>6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157</v>
          </cell>
          <cell r="U82">
            <v>151</v>
          </cell>
          <cell r="V82">
            <v>6</v>
          </cell>
          <cell r="W82">
            <v>39227</v>
          </cell>
          <cell r="X82">
            <v>39227</v>
          </cell>
          <cell r="Y82">
            <v>0</v>
          </cell>
          <cell r="Z82">
            <v>39227</v>
          </cell>
          <cell r="AA82">
            <v>34916</v>
          </cell>
          <cell r="AB82">
            <v>2823</v>
          </cell>
          <cell r="AC82">
            <v>37739</v>
          </cell>
          <cell r="AD82">
            <v>35</v>
          </cell>
          <cell r="AE82">
            <v>78</v>
          </cell>
          <cell r="AF82">
            <v>12015</v>
          </cell>
          <cell r="AG82">
            <v>47</v>
          </cell>
          <cell r="AH82">
            <v>836.69</v>
          </cell>
          <cell r="AI82">
            <v>6</v>
          </cell>
          <cell r="AJ82">
            <v>650.66999999999996</v>
          </cell>
          <cell r="AK82">
            <v>3</v>
          </cell>
          <cell r="AL82">
            <v>510.67</v>
          </cell>
          <cell r="AM82">
            <v>1</v>
          </cell>
          <cell r="AN82">
            <v>701.97</v>
          </cell>
          <cell r="AO82">
            <v>5</v>
          </cell>
          <cell r="AP82">
            <v>2700</v>
          </cell>
          <cell r="AQ82">
            <v>15</v>
          </cell>
          <cell r="AR82">
            <v>186.66</v>
          </cell>
          <cell r="AS82" t="str">
            <v xml:space="preserve"> -   </v>
          </cell>
          <cell r="AT82">
            <v>186.66</v>
          </cell>
          <cell r="AU82" t="str">
            <v xml:space="preserve"> -   </v>
          </cell>
          <cell r="AV82">
            <v>120.67</v>
          </cell>
          <cell r="AW82">
            <v>1</v>
          </cell>
          <cell r="AX82">
            <v>282.01</v>
          </cell>
          <cell r="AY82">
            <v>1</v>
          </cell>
          <cell r="AZ82">
            <v>776</v>
          </cell>
          <cell r="BA82">
            <v>2</v>
          </cell>
          <cell r="BB82">
            <v>9106.36</v>
          </cell>
          <cell r="BC82">
            <v>39</v>
          </cell>
          <cell r="BD82">
            <v>6106.36</v>
          </cell>
          <cell r="BE82">
            <v>24</v>
          </cell>
          <cell r="BF82">
            <v>4442.3900000000003</v>
          </cell>
          <cell r="BG82">
            <v>27</v>
          </cell>
          <cell r="BH82">
            <v>4585.8900000000003</v>
          </cell>
          <cell r="BI82">
            <v>33</v>
          </cell>
          <cell r="BJ82">
            <v>24241</v>
          </cell>
          <cell r="BK82">
            <v>123</v>
          </cell>
          <cell r="BL82">
            <v>539.65</v>
          </cell>
          <cell r="BM82">
            <v>2</v>
          </cell>
          <cell r="BN82">
            <v>466.65</v>
          </cell>
          <cell r="BO82" t="str">
            <v xml:space="preserve"> -   </v>
          </cell>
          <cell r="BP82">
            <v>457.66</v>
          </cell>
          <cell r="BQ82">
            <v>1</v>
          </cell>
          <cell r="BR82">
            <v>1028.04</v>
          </cell>
          <cell r="BS82">
            <v>4</v>
          </cell>
          <cell r="BT82">
            <v>2492</v>
          </cell>
          <cell r="BU82">
            <v>7</v>
          </cell>
          <cell r="BV82">
            <v>93.33</v>
          </cell>
          <cell r="BW82" t="str">
            <v xml:space="preserve"> -   </v>
          </cell>
          <cell r="BX82">
            <v>93.33</v>
          </cell>
          <cell r="BY82" t="str">
            <v xml:space="preserve"> -   </v>
          </cell>
          <cell r="BZ82">
            <v>93.33</v>
          </cell>
          <cell r="CA82" t="str">
            <v xml:space="preserve"> -   </v>
          </cell>
          <cell r="CB82">
            <v>280.01</v>
          </cell>
          <cell r="CC82">
            <v>1</v>
          </cell>
          <cell r="CD82">
            <v>560</v>
          </cell>
          <cell r="CE82">
            <v>1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 t="str">
            <v xml:space="preserve"> -   </v>
          </cell>
          <cell r="CO82" t="str">
            <v xml:space="preserve"> -   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 t="str">
            <v xml:space="preserve"> -   </v>
          </cell>
          <cell r="CY82" t="str">
            <v xml:space="preserve"> -   </v>
          </cell>
          <cell r="CZ82">
            <v>193.34</v>
          </cell>
          <cell r="DA82" t="str">
            <v xml:space="preserve"> -   </v>
          </cell>
          <cell r="DB82">
            <v>193.34</v>
          </cell>
          <cell r="DC82" t="str">
            <v xml:space="preserve"> -   </v>
          </cell>
          <cell r="DD82">
            <v>193.34</v>
          </cell>
          <cell r="DE82" t="str">
            <v xml:space="preserve"> -   </v>
          </cell>
          <cell r="DF82">
            <v>543.98</v>
          </cell>
          <cell r="DG82">
            <v>2</v>
          </cell>
          <cell r="DH82">
            <v>1124</v>
          </cell>
          <cell r="DI82">
            <v>2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 t="str">
            <v xml:space="preserve"> -   </v>
          </cell>
          <cell r="DS82" t="str">
            <v xml:space="preserve"> -   </v>
          </cell>
          <cell r="DT82">
            <v>100</v>
          </cell>
          <cell r="DU82" t="str">
            <v xml:space="preserve"> -   </v>
          </cell>
          <cell r="DV82">
            <v>100</v>
          </cell>
          <cell r="DW82" t="str">
            <v xml:space="preserve"> -   </v>
          </cell>
          <cell r="DX82" t="str">
            <v xml:space="preserve"> -   </v>
          </cell>
          <cell r="DY82" t="str">
            <v xml:space="preserve"> -   </v>
          </cell>
          <cell r="DZ82">
            <v>2823</v>
          </cell>
          <cell r="EA82">
            <v>1</v>
          </cell>
          <cell r="EB82">
            <v>3023</v>
          </cell>
          <cell r="EC82">
            <v>1</v>
          </cell>
          <cell r="ED82">
            <v>0</v>
          </cell>
          <cell r="EE82">
            <v>0</v>
          </cell>
          <cell r="EF82">
            <v>0</v>
          </cell>
          <cell r="EH82">
            <v>0</v>
          </cell>
          <cell r="EI82">
            <v>0</v>
          </cell>
        </row>
        <row r="83">
          <cell r="A83" t="str">
            <v>AprFeridhoo</v>
          </cell>
          <cell r="B83" t="str">
            <v>Apr</v>
          </cell>
          <cell r="C83" t="str">
            <v>AA.</v>
          </cell>
          <cell r="D83" t="str">
            <v>Feridhoo</v>
          </cell>
          <cell r="E83">
            <v>0</v>
          </cell>
          <cell r="F83">
            <v>33404</v>
          </cell>
          <cell r="G83">
            <v>155</v>
          </cell>
          <cell r="H83">
            <v>157</v>
          </cell>
          <cell r="I83">
            <v>4</v>
          </cell>
          <cell r="J83">
            <v>0</v>
          </cell>
          <cell r="K83">
            <v>161</v>
          </cell>
          <cell r="L83">
            <v>155</v>
          </cell>
          <cell r="M83">
            <v>6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161</v>
          </cell>
          <cell r="U83">
            <v>155</v>
          </cell>
          <cell r="V83">
            <v>6</v>
          </cell>
          <cell r="W83">
            <v>40432</v>
          </cell>
          <cell r="X83">
            <v>40432</v>
          </cell>
          <cell r="Y83">
            <v>0</v>
          </cell>
          <cell r="Z83">
            <v>40432</v>
          </cell>
          <cell r="AA83">
            <v>33404</v>
          </cell>
          <cell r="AB83">
            <v>2478</v>
          </cell>
          <cell r="AC83">
            <v>35882</v>
          </cell>
          <cell r="AD83">
            <v>38</v>
          </cell>
          <cell r="AE83">
            <v>80</v>
          </cell>
          <cell r="AF83">
            <v>12753</v>
          </cell>
          <cell r="AG83">
            <v>62</v>
          </cell>
          <cell r="AH83">
            <v>910</v>
          </cell>
          <cell r="AI83">
            <v>9</v>
          </cell>
          <cell r="AJ83">
            <v>687</v>
          </cell>
          <cell r="AK83">
            <v>3</v>
          </cell>
          <cell r="AL83">
            <v>556</v>
          </cell>
          <cell r="AM83">
            <v>1</v>
          </cell>
          <cell r="AN83">
            <v>850</v>
          </cell>
          <cell r="AO83">
            <v>5</v>
          </cell>
          <cell r="AP83">
            <v>3003</v>
          </cell>
          <cell r="AQ83">
            <v>18</v>
          </cell>
          <cell r="AR83">
            <v>206.66</v>
          </cell>
          <cell r="AS83">
            <v>0</v>
          </cell>
          <cell r="AT83">
            <v>206.66</v>
          </cell>
          <cell r="AU83">
            <v>0</v>
          </cell>
          <cell r="AV83">
            <v>137.66999999999999</v>
          </cell>
          <cell r="AW83">
            <v>1</v>
          </cell>
          <cell r="AX83">
            <v>298.01</v>
          </cell>
          <cell r="AY83">
            <v>1</v>
          </cell>
          <cell r="AZ83">
            <v>848.99999999999989</v>
          </cell>
          <cell r="BA83">
            <v>2</v>
          </cell>
          <cell r="BB83">
            <v>9555.67</v>
          </cell>
          <cell r="BC83">
            <v>43</v>
          </cell>
          <cell r="BD83">
            <v>7002.33</v>
          </cell>
          <cell r="BE83">
            <v>28</v>
          </cell>
          <cell r="BF83">
            <v>4207</v>
          </cell>
          <cell r="BG83">
            <v>23</v>
          </cell>
          <cell r="BH83">
            <v>4237</v>
          </cell>
          <cell r="BI83">
            <v>31</v>
          </cell>
          <cell r="BJ83">
            <v>25002</v>
          </cell>
          <cell r="BK83">
            <v>125</v>
          </cell>
          <cell r="BL83">
            <v>588.65</v>
          </cell>
          <cell r="BM83">
            <v>2</v>
          </cell>
          <cell r="BN83">
            <v>516.65</v>
          </cell>
          <cell r="BO83">
            <v>0</v>
          </cell>
          <cell r="BP83">
            <v>515.66</v>
          </cell>
          <cell r="BQ83">
            <v>1</v>
          </cell>
          <cell r="BR83">
            <v>1220.04</v>
          </cell>
          <cell r="BS83">
            <v>4</v>
          </cell>
          <cell r="BT83">
            <v>2841</v>
          </cell>
          <cell r="BU83">
            <v>7</v>
          </cell>
          <cell r="BV83">
            <v>103.33</v>
          </cell>
          <cell r="BW83">
            <v>0</v>
          </cell>
          <cell r="BX83">
            <v>103.33</v>
          </cell>
          <cell r="BY83">
            <v>0</v>
          </cell>
          <cell r="BZ83">
            <v>103.33</v>
          </cell>
          <cell r="CA83">
            <v>0</v>
          </cell>
          <cell r="CB83">
            <v>236.01</v>
          </cell>
          <cell r="CC83">
            <v>1</v>
          </cell>
          <cell r="CD83">
            <v>546</v>
          </cell>
          <cell r="CE83">
            <v>1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200</v>
          </cell>
          <cell r="DA83">
            <v>0</v>
          </cell>
          <cell r="DB83">
            <v>200</v>
          </cell>
          <cell r="DC83">
            <v>0</v>
          </cell>
          <cell r="DD83">
            <v>200</v>
          </cell>
          <cell r="DE83">
            <v>0</v>
          </cell>
          <cell r="DF83">
            <v>563</v>
          </cell>
          <cell r="DG83">
            <v>2</v>
          </cell>
          <cell r="DH83">
            <v>1163</v>
          </cell>
          <cell r="DI83">
            <v>2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H83">
            <v>0</v>
          </cell>
          <cell r="EI83">
            <v>0</v>
          </cell>
        </row>
        <row r="84">
          <cell r="A84" t="str">
            <v>MayFeridhoo</v>
          </cell>
          <cell r="B84" t="str">
            <v>May</v>
          </cell>
          <cell r="C84" t="str">
            <v>AA.</v>
          </cell>
          <cell r="D84" t="str">
            <v>Feridhoo</v>
          </cell>
          <cell r="E84">
            <v>0</v>
          </cell>
          <cell r="F84">
            <v>35836</v>
          </cell>
          <cell r="G84">
            <v>157</v>
          </cell>
          <cell r="H84">
            <v>161</v>
          </cell>
          <cell r="I84">
            <v>0</v>
          </cell>
          <cell r="J84">
            <v>1</v>
          </cell>
          <cell r="K84">
            <v>160</v>
          </cell>
          <cell r="L84">
            <v>157</v>
          </cell>
          <cell r="M84">
            <v>3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160</v>
          </cell>
          <cell r="U84">
            <v>157</v>
          </cell>
          <cell r="V84">
            <v>3</v>
          </cell>
          <cell r="W84">
            <v>39185</v>
          </cell>
          <cell r="X84">
            <v>39185</v>
          </cell>
          <cell r="Y84">
            <v>0</v>
          </cell>
          <cell r="Z84">
            <v>39185</v>
          </cell>
          <cell r="AA84">
            <v>35836</v>
          </cell>
          <cell r="AB84">
            <v>2291</v>
          </cell>
          <cell r="AC84">
            <v>38127</v>
          </cell>
          <cell r="AD84">
            <v>35</v>
          </cell>
          <cell r="AE84">
            <v>73</v>
          </cell>
          <cell r="AF84">
            <v>12763</v>
          </cell>
          <cell r="AG84">
            <v>45</v>
          </cell>
          <cell r="AH84">
            <v>976.31</v>
          </cell>
          <cell r="AI84">
            <v>12</v>
          </cell>
          <cell r="AJ84">
            <v>588.99</v>
          </cell>
          <cell r="AK84">
            <v>2</v>
          </cell>
          <cell r="AL84">
            <v>490.67</v>
          </cell>
          <cell r="AM84">
            <v>2</v>
          </cell>
          <cell r="AN84">
            <v>1109.03</v>
          </cell>
          <cell r="AO84">
            <v>3</v>
          </cell>
          <cell r="AP84">
            <v>3165</v>
          </cell>
          <cell r="AQ84">
            <v>19</v>
          </cell>
          <cell r="AR84">
            <v>206.66</v>
          </cell>
          <cell r="AS84">
            <v>0</v>
          </cell>
          <cell r="AT84">
            <v>206.66</v>
          </cell>
          <cell r="AU84">
            <v>0</v>
          </cell>
          <cell r="AV84">
            <v>161.66999999999999</v>
          </cell>
          <cell r="AW84">
            <v>1</v>
          </cell>
          <cell r="AX84">
            <v>296.01</v>
          </cell>
          <cell r="AY84">
            <v>1</v>
          </cell>
          <cell r="AZ84">
            <v>870.99999999999989</v>
          </cell>
          <cell r="BA84">
            <v>2</v>
          </cell>
          <cell r="BB84">
            <v>9719.06</v>
          </cell>
          <cell r="BC84">
            <v>44</v>
          </cell>
          <cell r="BD84">
            <v>6963.58</v>
          </cell>
          <cell r="BE84">
            <v>28</v>
          </cell>
          <cell r="BF84">
            <v>4394.04</v>
          </cell>
          <cell r="BG84">
            <v>22</v>
          </cell>
          <cell r="BH84">
            <v>5979.32</v>
          </cell>
          <cell r="BI84">
            <v>32</v>
          </cell>
          <cell r="BJ84">
            <v>27056</v>
          </cell>
          <cell r="BK84">
            <v>126</v>
          </cell>
          <cell r="BL84">
            <v>600.65</v>
          </cell>
          <cell r="BM84">
            <v>2</v>
          </cell>
          <cell r="BN84">
            <v>516.65</v>
          </cell>
          <cell r="BO84">
            <v>0</v>
          </cell>
          <cell r="BP84">
            <v>502.66</v>
          </cell>
          <cell r="BQ84">
            <v>1</v>
          </cell>
          <cell r="BR84">
            <v>1326.04</v>
          </cell>
          <cell r="BS84">
            <v>4</v>
          </cell>
          <cell r="BT84">
            <v>2946</v>
          </cell>
          <cell r="BU84">
            <v>7</v>
          </cell>
          <cell r="BV84">
            <v>103.33</v>
          </cell>
          <cell r="BW84">
            <v>0</v>
          </cell>
          <cell r="BX84">
            <v>103.33</v>
          </cell>
          <cell r="BY84">
            <v>0</v>
          </cell>
          <cell r="BZ84">
            <v>103.33</v>
          </cell>
          <cell r="CA84">
            <v>0</v>
          </cell>
          <cell r="CB84">
            <v>287.01</v>
          </cell>
          <cell r="CC84">
            <v>1</v>
          </cell>
          <cell r="CD84">
            <v>597</v>
          </cell>
          <cell r="CE84">
            <v>1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206.66</v>
          </cell>
          <cell r="DA84">
            <v>0</v>
          </cell>
          <cell r="DB84">
            <v>206.66</v>
          </cell>
          <cell r="DC84">
            <v>0</v>
          </cell>
          <cell r="DD84">
            <v>206.66</v>
          </cell>
          <cell r="DE84">
            <v>0</v>
          </cell>
          <cell r="DF84">
            <v>581.02</v>
          </cell>
          <cell r="DG84">
            <v>2</v>
          </cell>
          <cell r="DH84">
            <v>1201</v>
          </cell>
          <cell r="DI84">
            <v>2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H84">
            <v>0</v>
          </cell>
          <cell r="EI84">
            <v>0</v>
          </cell>
        </row>
        <row r="85">
          <cell r="A85" t="str">
            <v>JunFeridhoo</v>
          </cell>
          <cell r="B85" t="str">
            <v>Jun</v>
          </cell>
          <cell r="C85" t="str">
            <v>AA.</v>
          </cell>
          <cell r="D85" t="str">
            <v>Feridhoo</v>
          </cell>
          <cell r="E85">
            <v>0</v>
          </cell>
          <cell r="F85">
            <v>33397</v>
          </cell>
          <cell r="G85">
            <v>156</v>
          </cell>
          <cell r="H85">
            <v>160</v>
          </cell>
          <cell r="I85">
            <v>0</v>
          </cell>
          <cell r="J85">
            <v>0</v>
          </cell>
          <cell r="K85">
            <v>160</v>
          </cell>
          <cell r="L85">
            <v>156</v>
          </cell>
          <cell r="M85">
            <v>4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160</v>
          </cell>
          <cell r="U85">
            <v>156</v>
          </cell>
          <cell r="V85">
            <v>4</v>
          </cell>
          <cell r="W85">
            <v>37185</v>
          </cell>
          <cell r="X85">
            <v>37185</v>
          </cell>
          <cell r="Y85">
            <v>0</v>
          </cell>
          <cell r="Z85">
            <v>37185</v>
          </cell>
          <cell r="AA85">
            <v>33397</v>
          </cell>
          <cell r="AB85">
            <v>2308</v>
          </cell>
          <cell r="AC85">
            <v>35705</v>
          </cell>
          <cell r="AD85">
            <v>30</v>
          </cell>
          <cell r="AE85">
            <v>80</v>
          </cell>
          <cell r="AF85">
            <v>12316</v>
          </cell>
          <cell r="AG85">
            <v>72</v>
          </cell>
          <cell r="AH85">
            <v>1008.98</v>
          </cell>
          <cell r="AI85">
            <v>11</v>
          </cell>
          <cell r="AJ85">
            <v>588.32000000000005</v>
          </cell>
          <cell r="AK85">
            <v>3</v>
          </cell>
          <cell r="AL85">
            <v>475.67</v>
          </cell>
          <cell r="AM85">
            <v>2</v>
          </cell>
          <cell r="AN85">
            <v>945.03</v>
          </cell>
          <cell r="AO85">
            <v>3</v>
          </cell>
          <cell r="AP85">
            <v>3018</v>
          </cell>
          <cell r="AQ85">
            <v>19</v>
          </cell>
          <cell r="AR85">
            <v>206.66</v>
          </cell>
          <cell r="AS85">
            <v>0</v>
          </cell>
          <cell r="AT85">
            <v>206.66</v>
          </cell>
          <cell r="AU85">
            <v>0</v>
          </cell>
          <cell r="AV85">
            <v>148.66999999999999</v>
          </cell>
          <cell r="AW85">
            <v>1</v>
          </cell>
          <cell r="AX85">
            <v>302.01</v>
          </cell>
          <cell r="AY85">
            <v>1</v>
          </cell>
          <cell r="AZ85">
            <v>864</v>
          </cell>
          <cell r="BA85">
            <v>2</v>
          </cell>
          <cell r="BB85">
            <v>9509.56</v>
          </cell>
          <cell r="BC85">
            <v>44</v>
          </cell>
          <cell r="BD85">
            <v>6599.66</v>
          </cell>
          <cell r="BE85">
            <v>31</v>
          </cell>
          <cell r="BF85">
            <v>4030.71</v>
          </cell>
          <cell r="BG85">
            <v>19</v>
          </cell>
          <cell r="BH85">
            <v>4600.07</v>
          </cell>
          <cell r="BI85">
            <v>31</v>
          </cell>
          <cell r="BJ85">
            <v>24740</v>
          </cell>
          <cell r="BK85">
            <v>125</v>
          </cell>
          <cell r="BL85">
            <v>612.65</v>
          </cell>
          <cell r="BM85">
            <v>2</v>
          </cell>
          <cell r="BN85">
            <v>516.65</v>
          </cell>
          <cell r="BO85">
            <v>0</v>
          </cell>
          <cell r="BP85">
            <v>516.65</v>
          </cell>
          <cell r="BQ85">
            <v>0</v>
          </cell>
          <cell r="BR85">
            <v>1435.05</v>
          </cell>
          <cell r="BS85">
            <v>5</v>
          </cell>
          <cell r="BT85">
            <v>3081</v>
          </cell>
          <cell r="BU85">
            <v>7</v>
          </cell>
          <cell r="BV85">
            <v>103.33</v>
          </cell>
          <cell r="BW85">
            <v>0</v>
          </cell>
          <cell r="BX85">
            <v>103.33</v>
          </cell>
          <cell r="BY85">
            <v>0</v>
          </cell>
          <cell r="BZ85">
            <v>103.33</v>
          </cell>
          <cell r="CA85">
            <v>0</v>
          </cell>
          <cell r="CB85">
            <v>183.01</v>
          </cell>
          <cell r="CC85">
            <v>1</v>
          </cell>
          <cell r="CD85">
            <v>493</v>
          </cell>
          <cell r="CE85">
            <v>1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206.66</v>
          </cell>
          <cell r="DA85">
            <v>0</v>
          </cell>
          <cell r="DB85">
            <v>206.66</v>
          </cell>
          <cell r="DC85">
            <v>0</v>
          </cell>
          <cell r="DD85">
            <v>206.66</v>
          </cell>
          <cell r="DE85">
            <v>0</v>
          </cell>
          <cell r="DF85">
            <v>581.02</v>
          </cell>
          <cell r="DG85">
            <v>2</v>
          </cell>
          <cell r="DH85">
            <v>1201</v>
          </cell>
          <cell r="DI85">
            <v>2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H85">
            <v>0</v>
          </cell>
          <cell r="EI85">
            <v>0</v>
          </cell>
        </row>
        <row r="86">
          <cell r="A86" t="str">
            <v>JulFeridhoo</v>
          </cell>
          <cell r="B86" t="str">
            <v>Jul</v>
          </cell>
          <cell r="C86" t="str">
            <v>AA.</v>
          </cell>
          <cell r="D86" t="str">
            <v>Feridhoo</v>
          </cell>
          <cell r="E86" t="str">
            <v>usage units less than billed</v>
          </cell>
          <cell r="F86">
            <v>35471</v>
          </cell>
          <cell r="G86">
            <v>155</v>
          </cell>
          <cell r="H86">
            <v>160</v>
          </cell>
          <cell r="I86">
            <v>1</v>
          </cell>
          <cell r="J86">
            <v>0</v>
          </cell>
          <cell r="K86">
            <v>161</v>
          </cell>
          <cell r="L86">
            <v>155</v>
          </cell>
          <cell r="M86">
            <v>6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161</v>
          </cell>
          <cell r="U86">
            <v>155</v>
          </cell>
          <cell r="V86">
            <v>6</v>
          </cell>
          <cell r="W86">
            <v>42576</v>
          </cell>
          <cell r="X86">
            <v>42576</v>
          </cell>
          <cell r="Y86">
            <v>0</v>
          </cell>
          <cell r="Z86">
            <v>42576</v>
          </cell>
          <cell r="AA86">
            <v>52301</v>
          </cell>
          <cell r="AB86">
            <v>2248</v>
          </cell>
          <cell r="AC86">
            <v>54549</v>
          </cell>
          <cell r="AD86">
            <v>37</v>
          </cell>
          <cell r="AE86">
            <v>85</v>
          </cell>
          <cell r="AF86">
            <v>13816</v>
          </cell>
          <cell r="AG86">
            <v>44</v>
          </cell>
          <cell r="AH86">
            <v>730.35</v>
          </cell>
          <cell r="AI86">
            <v>12</v>
          </cell>
          <cell r="AJ86">
            <v>445.67</v>
          </cell>
          <cell r="AK86">
            <v>3</v>
          </cell>
          <cell r="AL86">
            <v>268</v>
          </cell>
          <cell r="AM86">
            <v>1</v>
          </cell>
          <cell r="AN86">
            <v>810.98</v>
          </cell>
          <cell r="AO86">
            <v>2</v>
          </cell>
          <cell r="AP86">
            <v>2255</v>
          </cell>
          <cell r="AQ86">
            <v>18</v>
          </cell>
          <cell r="AR86">
            <v>196.67</v>
          </cell>
          <cell r="AS86">
            <v>0</v>
          </cell>
          <cell r="AT86">
            <v>196.67</v>
          </cell>
          <cell r="AU86">
            <v>0</v>
          </cell>
          <cell r="AV86">
            <v>105.66</v>
          </cell>
          <cell r="AW86">
            <v>1</v>
          </cell>
          <cell r="AX86">
            <v>264</v>
          </cell>
          <cell r="AY86">
            <v>1</v>
          </cell>
          <cell r="AZ86">
            <v>762.99999999999989</v>
          </cell>
          <cell r="BA86">
            <v>2</v>
          </cell>
          <cell r="BB86">
            <v>9353.11</v>
          </cell>
          <cell r="BC86">
            <v>42</v>
          </cell>
          <cell r="BD86">
            <v>7064.71</v>
          </cell>
          <cell r="BE86">
            <v>24</v>
          </cell>
          <cell r="BF86">
            <v>4886.28</v>
          </cell>
          <cell r="BG86">
            <v>20</v>
          </cell>
          <cell r="BH86">
            <v>6834.9</v>
          </cell>
          <cell r="BI86">
            <v>39</v>
          </cell>
          <cell r="BJ86">
            <v>28139</v>
          </cell>
          <cell r="BK86">
            <v>125</v>
          </cell>
          <cell r="BL86">
            <v>588.02</v>
          </cell>
          <cell r="BM86">
            <v>1</v>
          </cell>
          <cell r="BN86">
            <v>484.68</v>
          </cell>
          <cell r="BO86">
            <v>1</v>
          </cell>
          <cell r="BP86">
            <v>472.34</v>
          </cell>
          <cell r="BQ86">
            <v>1</v>
          </cell>
          <cell r="BR86">
            <v>1224.96</v>
          </cell>
          <cell r="BS86">
            <v>4</v>
          </cell>
          <cell r="BT86">
            <v>2770</v>
          </cell>
          <cell r="BU86">
            <v>7</v>
          </cell>
          <cell r="BV86">
            <v>96.67</v>
          </cell>
          <cell r="BW86">
            <v>0</v>
          </cell>
          <cell r="BX86">
            <v>96.67</v>
          </cell>
          <cell r="BY86">
            <v>0</v>
          </cell>
          <cell r="BZ86">
            <v>96.67</v>
          </cell>
          <cell r="CA86">
            <v>0</v>
          </cell>
          <cell r="CB86">
            <v>90.99</v>
          </cell>
          <cell r="CC86">
            <v>1</v>
          </cell>
          <cell r="CD86">
            <v>381</v>
          </cell>
          <cell r="CE86">
            <v>1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200</v>
          </cell>
          <cell r="DA86">
            <v>0</v>
          </cell>
          <cell r="DB86">
            <v>200</v>
          </cell>
          <cell r="DC86">
            <v>0</v>
          </cell>
          <cell r="DD86">
            <v>200</v>
          </cell>
          <cell r="DE86">
            <v>0</v>
          </cell>
          <cell r="DF86">
            <v>563</v>
          </cell>
          <cell r="DG86">
            <v>2</v>
          </cell>
          <cell r="DH86">
            <v>1163</v>
          </cell>
          <cell r="DI86">
            <v>2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H86">
            <v>0</v>
          </cell>
          <cell r="EI86">
            <v>0</v>
          </cell>
        </row>
        <row r="87">
          <cell r="A87" t="str">
            <v>AugFeridhoo</v>
          </cell>
          <cell r="B87" t="str">
            <v>Aug</v>
          </cell>
          <cell r="C87" t="str">
            <v>AA.</v>
          </cell>
          <cell r="D87" t="str">
            <v>Feridhoo</v>
          </cell>
          <cell r="E87">
            <v>0</v>
          </cell>
          <cell r="F87">
            <v>37667</v>
          </cell>
          <cell r="G87">
            <v>153</v>
          </cell>
          <cell r="H87">
            <v>161</v>
          </cell>
          <cell r="I87">
            <v>0</v>
          </cell>
          <cell r="J87">
            <v>0</v>
          </cell>
          <cell r="K87">
            <v>161</v>
          </cell>
          <cell r="L87">
            <v>152</v>
          </cell>
          <cell r="M87">
            <v>10</v>
          </cell>
          <cell r="N87">
            <v>0</v>
          </cell>
          <cell r="O87">
            <v>1</v>
          </cell>
          <cell r="P87">
            <v>0</v>
          </cell>
          <cell r="Q87">
            <v>1</v>
          </cell>
          <cell r="R87">
            <v>1</v>
          </cell>
          <cell r="S87">
            <v>0</v>
          </cell>
          <cell r="T87">
            <v>162</v>
          </cell>
          <cell r="U87">
            <v>153</v>
          </cell>
          <cell r="V87">
            <v>10</v>
          </cell>
          <cell r="W87">
            <v>39189</v>
          </cell>
          <cell r="X87">
            <v>61510.020000000004</v>
          </cell>
          <cell r="Y87">
            <v>0</v>
          </cell>
          <cell r="Z87">
            <v>61510.020000000004</v>
          </cell>
          <cell r="AA87">
            <v>55020</v>
          </cell>
          <cell r="AB87">
            <v>2466</v>
          </cell>
          <cell r="AC87">
            <v>57486</v>
          </cell>
          <cell r="AD87">
            <v>34</v>
          </cell>
          <cell r="AE87">
            <v>84</v>
          </cell>
          <cell r="AF87">
            <v>13090</v>
          </cell>
          <cell r="AG87">
            <v>29</v>
          </cell>
          <cell r="AH87">
            <v>1018.69</v>
          </cell>
          <cell r="AI87">
            <v>13</v>
          </cell>
          <cell r="AJ87">
            <v>624.01</v>
          </cell>
          <cell r="AK87">
            <v>2</v>
          </cell>
          <cell r="AL87">
            <v>403.33</v>
          </cell>
          <cell r="AM87">
            <v>2</v>
          </cell>
          <cell r="AN87">
            <v>742.97</v>
          </cell>
          <cell r="AO87">
            <v>3</v>
          </cell>
          <cell r="AP87">
            <v>2789</v>
          </cell>
          <cell r="AQ87">
            <v>20</v>
          </cell>
          <cell r="AR87">
            <v>210</v>
          </cell>
          <cell r="AS87">
            <v>0</v>
          </cell>
          <cell r="AT87">
            <v>210</v>
          </cell>
          <cell r="AU87">
            <v>0</v>
          </cell>
          <cell r="AV87">
            <v>210</v>
          </cell>
          <cell r="AW87">
            <v>0</v>
          </cell>
          <cell r="AX87">
            <v>388</v>
          </cell>
          <cell r="AY87">
            <v>2</v>
          </cell>
          <cell r="AZ87">
            <v>1018</v>
          </cell>
          <cell r="BA87">
            <v>2</v>
          </cell>
          <cell r="BB87">
            <v>10531.29</v>
          </cell>
          <cell r="BC87">
            <v>34</v>
          </cell>
          <cell r="BD87">
            <v>7718.77</v>
          </cell>
          <cell r="BE87">
            <v>28</v>
          </cell>
          <cell r="BF87">
            <v>4993.3100000000004</v>
          </cell>
          <cell r="BG87">
            <v>22</v>
          </cell>
          <cell r="BH87">
            <v>5699.63</v>
          </cell>
          <cell r="BI87">
            <v>37</v>
          </cell>
          <cell r="BJ87">
            <v>28943.000000000004</v>
          </cell>
          <cell r="BK87">
            <v>121</v>
          </cell>
          <cell r="BL87">
            <v>643.35</v>
          </cell>
          <cell r="BM87">
            <v>2</v>
          </cell>
          <cell r="BN87">
            <v>533.35</v>
          </cell>
          <cell r="BO87">
            <v>0</v>
          </cell>
          <cell r="BP87">
            <v>533.35</v>
          </cell>
          <cell r="BQ87">
            <v>0</v>
          </cell>
          <cell r="BR87">
            <v>1615.95</v>
          </cell>
          <cell r="BS87">
            <v>5</v>
          </cell>
          <cell r="BT87">
            <v>3326</v>
          </cell>
          <cell r="BU87">
            <v>7</v>
          </cell>
          <cell r="BV87">
            <v>106.67</v>
          </cell>
          <cell r="BW87">
            <v>0</v>
          </cell>
          <cell r="BX87">
            <v>106.67</v>
          </cell>
          <cell r="BY87">
            <v>0</v>
          </cell>
          <cell r="BZ87">
            <v>106.67</v>
          </cell>
          <cell r="CA87">
            <v>0</v>
          </cell>
          <cell r="CB87">
            <v>69.989999999999995</v>
          </cell>
          <cell r="CC87">
            <v>1</v>
          </cell>
          <cell r="CD87">
            <v>390</v>
          </cell>
          <cell r="CE87">
            <v>1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206.66</v>
          </cell>
          <cell r="DA87">
            <v>0</v>
          </cell>
          <cell r="DB87">
            <v>206.66</v>
          </cell>
          <cell r="DC87">
            <v>0</v>
          </cell>
          <cell r="DD87">
            <v>206.66</v>
          </cell>
          <cell r="DE87">
            <v>0</v>
          </cell>
          <cell r="DF87">
            <v>581.02</v>
          </cell>
          <cell r="DG87">
            <v>2</v>
          </cell>
          <cell r="DH87">
            <v>1201</v>
          </cell>
          <cell r="DI87">
            <v>2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H87">
            <v>0</v>
          </cell>
          <cell r="EI87">
            <v>0</v>
          </cell>
        </row>
        <row r="88">
          <cell r="A88" t="str">
            <v>SepFeridhoo</v>
          </cell>
          <cell r="B88" t="str">
            <v>Sep</v>
          </cell>
          <cell r="C88" t="str">
            <v>AA.</v>
          </cell>
          <cell r="D88" t="str">
            <v>Feridhoo</v>
          </cell>
          <cell r="E88">
            <v>0</v>
          </cell>
          <cell r="F88">
            <v>37667</v>
          </cell>
          <cell r="G88">
            <v>153</v>
          </cell>
          <cell r="H88">
            <v>161</v>
          </cell>
          <cell r="I88">
            <v>0</v>
          </cell>
          <cell r="J88">
            <v>0</v>
          </cell>
          <cell r="K88">
            <v>161</v>
          </cell>
          <cell r="L88">
            <v>152</v>
          </cell>
          <cell r="M88">
            <v>10</v>
          </cell>
          <cell r="N88">
            <v>0</v>
          </cell>
          <cell r="O88">
            <v>1</v>
          </cell>
          <cell r="P88">
            <v>0</v>
          </cell>
          <cell r="Q88">
            <v>1</v>
          </cell>
          <cell r="R88">
            <v>1</v>
          </cell>
          <cell r="S88">
            <v>0</v>
          </cell>
          <cell r="T88">
            <v>162</v>
          </cell>
          <cell r="U88">
            <v>153</v>
          </cell>
          <cell r="V88">
            <v>10</v>
          </cell>
          <cell r="W88">
            <v>39189</v>
          </cell>
          <cell r="X88">
            <v>43344.630000000005</v>
          </cell>
          <cell r="Y88">
            <v>0</v>
          </cell>
          <cell r="Z88">
            <v>43344.630000000005</v>
          </cell>
          <cell r="AA88">
            <v>37667</v>
          </cell>
          <cell r="AB88">
            <v>2842</v>
          </cell>
          <cell r="AC88">
            <v>40509</v>
          </cell>
          <cell r="AD88">
            <v>34</v>
          </cell>
          <cell r="AE88">
            <v>84</v>
          </cell>
          <cell r="AF88">
            <v>13090</v>
          </cell>
          <cell r="AG88">
            <v>29</v>
          </cell>
          <cell r="AH88">
            <v>1018.69</v>
          </cell>
          <cell r="AI88">
            <v>13</v>
          </cell>
          <cell r="AJ88">
            <v>624.01</v>
          </cell>
          <cell r="AK88">
            <v>2</v>
          </cell>
          <cell r="AL88">
            <v>403.33</v>
          </cell>
          <cell r="AM88">
            <v>2</v>
          </cell>
          <cell r="AN88">
            <v>742.97</v>
          </cell>
          <cell r="AO88">
            <v>3</v>
          </cell>
          <cell r="AP88">
            <v>2789</v>
          </cell>
          <cell r="AQ88">
            <v>20</v>
          </cell>
          <cell r="AR88">
            <v>210</v>
          </cell>
          <cell r="AS88">
            <v>0</v>
          </cell>
          <cell r="AT88">
            <v>210</v>
          </cell>
          <cell r="AU88">
            <v>0</v>
          </cell>
          <cell r="AV88">
            <v>210</v>
          </cell>
          <cell r="AW88">
            <v>0</v>
          </cell>
          <cell r="AX88">
            <v>388</v>
          </cell>
          <cell r="AY88">
            <v>2</v>
          </cell>
          <cell r="AZ88">
            <v>1018</v>
          </cell>
          <cell r="BA88">
            <v>2</v>
          </cell>
          <cell r="BB88">
            <v>10531.29</v>
          </cell>
          <cell r="BC88">
            <v>34</v>
          </cell>
          <cell r="BD88">
            <v>7718.77</v>
          </cell>
          <cell r="BE88">
            <v>28</v>
          </cell>
          <cell r="BF88">
            <v>4993.3100000000004</v>
          </cell>
          <cell r="BG88">
            <v>22</v>
          </cell>
          <cell r="BH88">
            <v>5699.63</v>
          </cell>
          <cell r="BI88">
            <v>37</v>
          </cell>
          <cell r="BJ88">
            <v>28943.000000000004</v>
          </cell>
          <cell r="BK88">
            <v>121</v>
          </cell>
          <cell r="BL88">
            <v>643.35</v>
          </cell>
          <cell r="BM88">
            <v>2</v>
          </cell>
          <cell r="BN88">
            <v>533.35</v>
          </cell>
          <cell r="BO88">
            <v>0</v>
          </cell>
          <cell r="BP88">
            <v>533.35</v>
          </cell>
          <cell r="BQ88">
            <v>0</v>
          </cell>
          <cell r="BR88">
            <v>1615.95</v>
          </cell>
          <cell r="BS88">
            <v>5</v>
          </cell>
          <cell r="BT88">
            <v>3326</v>
          </cell>
          <cell r="BU88">
            <v>7</v>
          </cell>
          <cell r="BV88">
            <v>106.67</v>
          </cell>
          <cell r="BW88">
            <v>0</v>
          </cell>
          <cell r="BX88">
            <v>106.67</v>
          </cell>
          <cell r="BY88">
            <v>0</v>
          </cell>
          <cell r="BZ88">
            <v>106.67</v>
          </cell>
          <cell r="CA88">
            <v>0</v>
          </cell>
          <cell r="CB88">
            <v>69.989999999999995</v>
          </cell>
          <cell r="CC88">
            <v>1</v>
          </cell>
          <cell r="CD88">
            <v>390</v>
          </cell>
          <cell r="CE88">
            <v>1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206.66</v>
          </cell>
          <cell r="DA88">
            <v>0</v>
          </cell>
          <cell r="DB88">
            <v>206.66</v>
          </cell>
          <cell r="DC88">
            <v>0</v>
          </cell>
          <cell r="DD88">
            <v>206.66</v>
          </cell>
          <cell r="DE88">
            <v>0</v>
          </cell>
          <cell r="DF88">
            <v>581.02</v>
          </cell>
          <cell r="DG88">
            <v>2</v>
          </cell>
          <cell r="DH88">
            <v>1201</v>
          </cell>
          <cell r="DI88">
            <v>2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H88">
            <v>0</v>
          </cell>
          <cell r="EI88">
            <v>0</v>
          </cell>
        </row>
        <row r="89">
          <cell r="A89" t="str">
            <v>OctFeridhoo</v>
          </cell>
          <cell r="B89" t="str">
            <v>Oct</v>
          </cell>
          <cell r="C89" t="str">
            <v>AA.</v>
          </cell>
          <cell r="D89" t="str">
            <v>Feridhoo</v>
          </cell>
          <cell r="E89">
            <v>0</v>
          </cell>
          <cell r="F89">
            <v>36590</v>
          </cell>
          <cell r="G89">
            <v>154</v>
          </cell>
          <cell r="H89">
            <v>162</v>
          </cell>
          <cell r="I89">
            <v>0</v>
          </cell>
          <cell r="J89">
            <v>0</v>
          </cell>
          <cell r="K89">
            <v>162</v>
          </cell>
          <cell r="L89">
            <v>154</v>
          </cell>
          <cell r="M89">
            <v>8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162</v>
          </cell>
          <cell r="U89">
            <v>154</v>
          </cell>
          <cell r="V89">
            <v>8</v>
          </cell>
          <cell r="W89">
            <v>38714</v>
          </cell>
          <cell r="X89">
            <v>42335.62</v>
          </cell>
          <cell r="Y89">
            <v>0</v>
          </cell>
          <cell r="Z89">
            <v>42335.62</v>
          </cell>
          <cell r="AA89">
            <v>36590</v>
          </cell>
          <cell r="AB89">
            <v>2976</v>
          </cell>
          <cell r="AC89">
            <v>39566</v>
          </cell>
          <cell r="AD89">
            <v>35</v>
          </cell>
          <cell r="AE89">
            <v>85</v>
          </cell>
          <cell r="AF89">
            <v>12274</v>
          </cell>
          <cell r="AG89">
            <v>69</v>
          </cell>
          <cell r="AH89">
            <v>1160.31</v>
          </cell>
          <cell r="AI89">
            <v>8</v>
          </cell>
          <cell r="AJ89">
            <v>775.33</v>
          </cell>
          <cell r="AK89">
            <v>5</v>
          </cell>
          <cell r="AL89">
            <v>433.33</v>
          </cell>
          <cell r="AM89">
            <v>2</v>
          </cell>
          <cell r="AN89">
            <v>674.03</v>
          </cell>
          <cell r="AO89">
            <v>3</v>
          </cell>
          <cell r="AP89">
            <v>3043</v>
          </cell>
          <cell r="AQ89">
            <v>18</v>
          </cell>
          <cell r="AR89">
            <v>216.66</v>
          </cell>
          <cell r="AS89">
            <v>0</v>
          </cell>
          <cell r="AT89">
            <v>216.66</v>
          </cell>
          <cell r="AU89">
            <v>0</v>
          </cell>
          <cell r="AV89">
            <v>216.66</v>
          </cell>
          <cell r="AW89">
            <v>0</v>
          </cell>
          <cell r="AX89">
            <v>1188.02</v>
          </cell>
          <cell r="AY89">
            <v>2</v>
          </cell>
          <cell r="AZ89">
            <v>1838.0000000000002</v>
          </cell>
          <cell r="BA89">
            <v>2</v>
          </cell>
          <cell r="BB89">
            <v>9998.5400000000009</v>
          </cell>
          <cell r="BC89">
            <v>35</v>
          </cell>
          <cell r="BD89">
            <v>7219.66</v>
          </cell>
          <cell r="BE89">
            <v>36</v>
          </cell>
          <cell r="BF89">
            <v>4294.71</v>
          </cell>
          <cell r="BG89">
            <v>19</v>
          </cell>
          <cell r="BH89">
            <v>5452.09</v>
          </cell>
          <cell r="BI89">
            <v>34</v>
          </cell>
          <cell r="BJ89">
            <v>26965</v>
          </cell>
          <cell r="BK89">
            <v>124</v>
          </cell>
          <cell r="BL89">
            <v>640</v>
          </cell>
          <cell r="BM89">
            <v>1</v>
          </cell>
          <cell r="BN89">
            <v>551</v>
          </cell>
          <cell r="BO89">
            <v>1</v>
          </cell>
          <cell r="BP89">
            <v>518</v>
          </cell>
          <cell r="BQ89">
            <v>1</v>
          </cell>
          <cell r="BR89">
            <v>1270</v>
          </cell>
          <cell r="BS89">
            <v>4</v>
          </cell>
          <cell r="BT89">
            <v>2979</v>
          </cell>
          <cell r="BU89">
            <v>7</v>
          </cell>
          <cell r="BV89">
            <v>110</v>
          </cell>
          <cell r="BW89">
            <v>0</v>
          </cell>
          <cell r="BX89">
            <v>110</v>
          </cell>
          <cell r="BY89">
            <v>0</v>
          </cell>
          <cell r="BZ89">
            <v>110</v>
          </cell>
          <cell r="CA89">
            <v>0</v>
          </cell>
          <cell r="CB89">
            <v>234</v>
          </cell>
          <cell r="CC89">
            <v>1</v>
          </cell>
          <cell r="CD89">
            <v>564</v>
          </cell>
          <cell r="CE89">
            <v>1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206.66</v>
          </cell>
          <cell r="DA89">
            <v>0</v>
          </cell>
          <cell r="DB89">
            <v>206.66</v>
          </cell>
          <cell r="DC89">
            <v>0</v>
          </cell>
          <cell r="DD89">
            <v>206.66</v>
          </cell>
          <cell r="DE89">
            <v>0</v>
          </cell>
          <cell r="DF89">
            <v>581.02</v>
          </cell>
          <cell r="DG89">
            <v>2</v>
          </cell>
          <cell r="DH89">
            <v>1201</v>
          </cell>
          <cell r="DI89">
            <v>2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H89">
            <v>0</v>
          </cell>
          <cell r="EI89">
            <v>0</v>
          </cell>
        </row>
        <row r="90">
          <cell r="A90" t="str">
            <v>NovFeridhoo</v>
          </cell>
          <cell r="B90" t="str">
            <v>Nov</v>
          </cell>
          <cell r="C90" t="str">
            <v>AA.</v>
          </cell>
          <cell r="D90" t="str">
            <v>Feridhoo</v>
          </cell>
          <cell r="E90" t="str">
            <v>billed normal &amp; temp less than billed cons.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64777</v>
          </cell>
          <cell r="AB90">
            <v>3082</v>
          </cell>
          <cell r="AC90">
            <v>67859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H90">
            <v>0</v>
          </cell>
          <cell r="EI90">
            <v>0</v>
          </cell>
        </row>
        <row r="91">
          <cell r="A91" t="str">
            <v>DecFeridhoo</v>
          </cell>
          <cell r="B91" t="str">
            <v>Dec</v>
          </cell>
          <cell r="C91" t="str">
            <v>AA.</v>
          </cell>
          <cell r="D91" t="str">
            <v>Feridhoo</v>
          </cell>
          <cell r="E91" t="str">
            <v>billed normal &amp; temp less than billed cons.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65276</v>
          </cell>
          <cell r="AB91">
            <v>3099</v>
          </cell>
          <cell r="AC91">
            <v>68375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H91">
            <v>0</v>
          </cell>
          <cell r="EI91">
            <v>0</v>
          </cell>
        </row>
        <row r="92">
          <cell r="A92" t="str">
            <v>JanFulidhoo</v>
          </cell>
          <cell r="B92" t="str">
            <v>Jan</v>
          </cell>
          <cell r="C92" t="str">
            <v>V.</v>
          </cell>
          <cell r="D92" t="str">
            <v>Fulidhoo</v>
          </cell>
          <cell r="E92">
            <v>0</v>
          </cell>
          <cell r="F92">
            <v>31176</v>
          </cell>
          <cell r="G92">
            <v>130</v>
          </cell>
          <cell r="H92">
            <v>130</v>
          </cell>
          <cell r="I92">
            <v>1</v>
          </cell>
          <cell r="J92">
            <v>0</v>
          </cell>
          <cell r="K92">
            <v>131</v>
          </cell>
          <cell r="L92">
            <v>128</v>
          </cell>
          <cell r="M92">
            <v>3</v>
          </cell>
          <cell r="N92">
            <v>1</v>
          </cell>
          <cell r="O92">
            <v>1</v>
          </cell>
          <cell r="P92">
            <v>0</v>
          </cell>
          <cell r="Q92">
            <v>2</v>
          </cell>
          <cell r="R92">
            <v>2</v>
          </cell>
          <cell r="S92">
            <v>0</v>
          </cell>
          <cell r="T92">
            <v>133</v>
          </cell>
          <cell r="U92">
            <v>130</v>
          </cell>
          <cell r="V92">
            <v>3</v>
          </cell>
          <cell r="W92">
            <v>10276</v>
          </cell>
          <cell r="X92">
            <v>35582.9</v>
          </cell>
          <cell r="Y92">
            <v>0</v>
          </cell>
          <cell r="Z92">
            <v>35582.85</v>
          </cell>
          <cell r="AA92">
            <v>31176</v>
          </cell>
          <cell r="AB92">
            <v>2079</v>
          </cell>
          <cell r="AC92">
            <v>33255</v>
          </cell>
          <cell r="AD92">
            <v>29</v>
          </cell>
          <cell r="AE92">
            <v>81</v>
          </cell>
          <cell r="AF92">
            <v>12760</v>
          </cell>
          <cell r="AG92">
            <v>251</v>
          </cell>
          <cell r="AH92">
            <v>1393.64</v>
          </cell>
          <cell r="AI92">
            <v>18</v>
          </cell>
          <cell r="AJ92">
            <v>790.32</v>
          </cell>
          <cell r="AK92">
            <v>2</v>
          </cell>
          <cell r="AL92">
            <v>592</v>
          </cell>
          <cell r="AM92">
            <v>2</v>
          </cell>
          <cell r="AN92">
            <v>1100.04</v>
          </cell>
          <cell r="AO92">
            <v>5</v>
          </cell>
          <cell r="AP92">
            <v>3876</v>
          </cell>
          <cell r="AQ92">
            <v>27</v>
          </cell>
          <cell r="AR92">
            <v>305.67</v>
          </cell>
          <cell r="AS92">
            <v>1</v>
          </cell>
          <cell r="AT92">
            <v>236.67</v>
          </cell>
          <cell r="AU92" t="str">
            <v xml:space="preserve"> -   </v>
          </cell>
          <cell r="AV92">
            <v>236.67</v>
          </cell>
          <cell r="AW92" t="str">
            <v xml:space="preserve"> -   </v>
          </cell>
          <cell r="AX92">
            <v>3400.99</v>
          </cell>
          <cell r="AY92">
            <v>2</v>
          </cell>
          <cell r="AZ92">
            <v>4180</v>
          </cell>
          <cell r="BA92">
            <v>3</v>
          </cell>
          <cell r="BB92">
            <v>7380.14</v>
          </cell>
          <cell r="BC92">
            <v>28</v>
          </cell>
          <cell r="BD92">
            <v>5397.6</v>
          </cell>
          <cell r="BE92">
            <v>20</v>
          </cell>
          <cell r="BF92">
            <v>3039.07</v>
          </cell>
          <cell r="BG92">
            <v>21</v>
          </cell>
          <cell r="BH92">
            <v>4262.1899999999996</v>
          </cell>
          <cell r="BI92">
            <v>20</v>
          </cell>
          <cell r="BJ92">
            <v>20079</v>
          </cell>
          <cell r="BK92">
            <v>89</v>
          </cell>
          <cell r="BL92">
            <v>529.99</v>
          </cell>
          <cell r="BM92" t="str">
            <v xml:space="preserve"> -   </v>
          </cell>
          <cell r="BN92">
            <v>529.99</v>
          </cell>
          <cell r="BO92" t="str">
            <v xml:space="preserve"> -   </v>
          </cell>
          <cell r="BP92">
            <v>302.01</v>
          </cell>
          <cell r="BQ92">
            <v>4</v>
          </cell>
          <cell r="BR92">
            <v>289.01</v>
          </cell>
          <cell r="BS92">
            <v>1</v>
          </cell>
          <cell r="BT92">
            <v>1651</v>
          </cell>
          <cell r="BU92">
            <v>5</v>
          </cell>
          <cell r="BV92">
            <v>103.33</v>
          </cell>
          <cell r="BW92" t="str">
            <v xml:space="preserve"> -   </v>
          </cell>
          <cell r="BX92">
            <v>103.33</v>
          </cell>
          <cell r="BY92" t="str">
            <v xml:space="preserve"> -   </v>
          </cell>
          <cell r="BZ92">
            <v>103.33</v>
          </cell>
          <cell r="CA92" t="str">
            <v xml:space="preserve"> -   </v>
          </cell>
          <cell r="CB92">
            <v>426.01</v>
          </cell>
          <cell r="CC92">
            <v>1</v>
          </cell>
          <cell r="CD92">
            <v>736</v>
          </cell>
          <cell r="CE92">
            <v>1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 t="str">
            <v xml:space="preserve"> -   </v>
          </cell>
          <cell r="CO92" t="str">
            <v xml:space="preserve"> -   </v>
          </cell>
          <cell r="CP92">
            <v>107</v>
          </cell>
          <cell r="CQ92">
            <v>3</v>
          </cell>
          <cell r="CR92" t="str">
            <v xml:space="preserve"> -   </v>
          </cell>
          <cell r="CS92" t="str">
            <v xml:space="preserve"> -   </v>
          </cell>
          <cell r="CT92" t="str">
            <v xml:space="preserve"> -   </v>
          </cell>
          <cell r="CU92" t="str">
            <v xml:space="preserve"> -   </v>
          </cell>
          <cell r="CV92" t="str">
            <v xml:space="preserve"> -   </v>
          </cell>
          <cell r="CW92" t="str">
            <v xml:space="preserve"> -   </v>
          </cell>
          <cell r="CX92">
            <v>107</v>
          </cell>
          <cell r="CY92">
            <v>3</v>
          </cell>
          <cell r="CZ92">
            <v>159.33000000000001</v>
          </cell>
          <cell r="DA92">
            <v>1</v>
          </cell>
          <cell r="DB92">
            <v>103.33</v>
          </cell>
          <cell r="DC92" t="str">
            <v xml:space="preserve"> -   </v>
          </cell>
          <cell r="DD92">
            <v>103.33</v>
          </cell>
          <cell r="DE92" t="str">
            <v xml:space="preserve"> -   </v>
          </cell>
          <cell r="DF92">
            <v>181.01</v>
          </cell>
          <cell r="DG92">
            <v>1</v>
          </cell>
          <cell r="DH92">
            <v>547</v>
          </cell>
          <cell r="DI92">
            <v>2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 t="str">
            <v xml:space="preserve"> -   </v>
          </cell>
          <cell r="DS92" t="str">
            <v xml:space="preserve"> -   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 t="str">
            <v xml:space="preserve"> -   </v>
          </cell>
          <cell r="EC92" t="str">
            <v xml:space="preserve"> -   </v>
          </cell>
          <cell r="ED92">
            <v>0</v>
          </cell>
          <cell r="EE92">
            <v>0</v>
          </cell>
          <cell r="EF92">
            <v>0</v>
          </cell>
          <cell r="EH92">
            <v>0</v>
          </cell>
          <cell r="EI92">
            <v>0</v>
          </cell>
        </row>
        <row r="93">
          <cell r="A93" t="str">
            <v>FebFulidhoo</v>
          </cell>
          <cell r="B93" t="str">
            <v>Feb</v>
          </cell>
          <cell r="C93" t="str">
            <v>V.</v>
          </cell>
          <cell r="D93" t="str">
            <v>Fulidhoo</v>
          </cell>
          <cell r="E93">
            <v>0</v>
          </cell>
          <cell r="F93">
            <v>26773</v>
          </cell>
          <cell r="G93">
            <v>127</v>
          </cell>
          <cell r="H93">
            <v>131</v>
          </cell>
          <cell r="I93">
            <v>2</v>
          </cell>
          <cell r="J93">
            <v>0</v>
          </cell>
          <cell r="K93">
            <v>133</v>
          </cell>
          <cell r="L93">
            <v>126</v>
          </cell>
          <cell r="M93">
            <v>7</v>
          </cell>
          <cell r="N93">
            <v>1</v>
          </cell>
          <cell r="O93">
            <v>0</v>
          </cell>
          <cell r="P93">
            <v>0</v>
          </cell>
          <cell r="Q93">
            <v>1</v>
          </cell>
          <cell r="R93">
            <v>1</v>
          </cell>
          <cell r="S93">
            <v>0</v>
          </cell>
          <cell r="T93">
            <v>134</v>
          </cell>
          <cell r="U93">
            <v>127</v>
          </cell>
          <cell r="V93">
            <v>7</v>
          </cell>
          <cell r="W93">
            <v>30409</v>
          </cell>
          <cell r="X93">
            <v>30409</v>
          </cell>
          <cell r="Y93">
            <v>0</v>
          </cell>
          <cell r="Z93">
            <v>30409</v>
          </cell>
          <cell r="AA93">
            <v>26773</v>
          </cell>
          <cell r="AB93">
            <v>2079</v>
          </cell>
          <cell r="AC93">
            <v>28852</v>
          </cell>
          <cell r="AD93">
            <v>22</v>
          </cell>
          <cell r="AE93">
            <v>78</v>
          </cell>
          <cell r="AF93">
            <v>12128</v>
          </cell>
          <cell r="AG93">
            <v>117</v>
          </cell>
          <cell r="AH93">
            <v>1305.7</v>
          </cell>
          <cell r="AI93">
            <v>16</v>
          </cell>
          <cell r="AJ93">
            <v>841.68</v>
          </cell>
          <cell r="AK93">
            <v>3</v>
          </cell>
          <cell r="AL93">
            <v>580.66</v>
          </cell>
          <cell r="AM93">
            <v>3</v>
          </cell>
          <cell r="AN93">
            <v>825.96</v>
          </cell>
          <cell r="AO93">
            <v>5</v>
          </cell>
          <cell r="AP93">
            <v>3554</v>
          </cell>
          <cell r="AQ93">
            <v>27</v>
          </cell>
          <cell r="AR93">
            <v>247.67</v>
          </cell>
          <cell r="AS93">
            <v>1</v>
          </cell>
          <cell r="AT93">
            <v>196.67</v>
          </cell>
          <cell r="AU93" t="str">
            <v xml:space="preserve"> -   </v>
          </cell>
          <cell r="AV93">
            <v>196.67</v>
          </cell>
          <cell r="AW93" t="str">
            <v xml:space="preserve"> -   </v>
          </cell>
          <cell r="AX93">
            <v>2572.9899999999998</v>
          </cell>
          <cell r="AY93">
            <v>2</v>
          </cell>
          <cell r="AZ93">
            <v>3214</v>
          </cell>
          <cell r="BA93">
            <v>3</v>
          </cell>
          <cell r="BB93">
            <v>6735.52</v>
          </cell>
          <cell r="BC93">
            <v>28</v>
          </cell>
          <cell r="BD93">
            <v>4793.68</v>
          </cell>
          <cell r="BE93">
            <v>26</v>
          </cell>
          <cell r="BF93">
            <v>2341.9899999999998</v>
          </cell>
          <cell r="BG93">
            <v>13</v>
          </cell>
          <cell r="BH93">
            <v>2715.81</v>
          </cell>
          <cell r="BI93">
            <v>19</v>
          </cell>
          <cell r="BJ93">
            <v>16587</v>
          </cell>
          <cell r="BK93">
            <v>86</v>
          </cell>
          <cell r="BL93">
            <v>428.68</v>
          </cell>
          <cell r="BM93">
            <v>1</v>
          </cell>
          <cell r="BN93">
            <v>378.34</v>
          </cell>
          <cell r="BO93">
            <v>1</v>
          </cell>
          <cell r="BP93">
            <v>277</v>
          </cell>
          <cell r="BQ93">
            <v>1</v>
          </cell>
          <cell r="BR93">
            <v>568.98</v>
          </cell>
          <cell r="BS93">
            <v>2</v>
          </cell>
          <cell r="BT93">
            <v>1653</v>
          </cell>
          <cell r="BU93">
            <v>5</v>
          </cell>
          <cell r="BV93">
            <v>96.67</v>
          </cell>
          <cell r="BW93" t="str">
            <v xml:space="preserve"> -   </v>
          </cell>
          <cell r="BX93">
            <v>96.67</v>
          </cell>
          <cell r="BY93" t="str">
            <v xml:space="preserve"> -   </v>
          </cell>
          <cell r="BZ93">
            <v>96.67</v>
          </cell>
          <cell r="CA93" t="str">
            <v xml:space="preserve"> -   </v>
          </cell>
          <cell r="CB93">
            <v>795.99</v>
          </cell>
          <cell r="CC93">
            <v>1</v>
          </cell>
          <cell r="CD93">
            <v>1086</v>
          </cell>
          <cell r="CE93">
            <v>1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 t="str">
            <v xml:space="preserve"> -   </v>
          </cell>
          <cell r="CO93" t="str">
            <v xml:space="preserve"> -   </v>
          </cell>
          <cell r="CP93">
            <v>121.67</v>
          </cell>
          <cell r="CQ93">
            <v>2</v>
          </cell>
          <cell r="CR93">
            <v>46.33</v>
          </cell>
          <cell r="CS93">
            <v>1</v>
          </cell>
          <cell r="CT93" t="str">
            <v xml:space="preserve"> -   </v>
          </cell>
          <cell r="CU93" t="str">
            <v xml:space="preserve"> -   </v>
          </cell>
          <cell r="CV93" t="str">
            <v xml:space="preserve"> -   </v>
          </cell>
          <cell r="CW93" t="str">
            <v xml:space="preserve"> -   </v>
          </cell>
          <cell r="CX93">
            <v>168</v>
          </cell>
          <cell r="CY93">
            <v>3</v>
          </cell>
          <cell r="CZ93">
            <v>148.66999999999999</v>
          </cell>
          <cell r="DA93">
            <v>1</v>
          </cell>
          <cell r="DB93">
            <v>96.67</v>
          </cell>
          <cell r="DC93" t="str">
            <v xml:space="preserve"> -   </v>
          </cell>
          <cell r="DD93">
            <v>96.67</v>
          </cell>
          <cell r="DE93" t="str">
            <v xml:space="preserve"> -   </v>
          </cell>
          <cell r="DF93">
            <v>168.99</v>
          </cell>
          <cell r="DG93">
            <v>1</v>
          </cell>
          <cell r="DH93">
            <v>511</v>
          </cell>
          <cell r="DI93">
            <v>2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 t="str">
            <v xml:space="preserve"> -   </v>
          </cell>
          <cell r="DS93" t="str">
            <v xml:space="preserve"> -   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 t="str">
            <v xml:space="preserve"> -   </v>
          </cell>
          <cell r="EC93" t="str">
            <v xml:space="preserve"> -   </v>
          </cell>
          <cell r="ED93">
            <v>0</v>
          </cell>
          <cell r="EE93">
            <v>0</v>
          </cell>
          <cell r="EF93">
            <v>0</v>
          </cell>
          <cell r="EH93">
            <v>0</v>
          </cell>
          <cell r="EI93">
            <v>0</v>
          </cell>
        </row>
        <row r="94">
          <cell r="A94" t="str">
            <v>MarFulidhoo</v>
          </cell>
          <cell r="B94" t="str">
            <v>Mar</v>
          </cell>
          <cell r="C94" t="str">
            <v>V.</v>
          </cell>
          <cell r="D94" t="str">
            <v>Fulidhoo</v>
          </cell>
          <cell r="E94">
            <v>0</v>
          </cell>
          <cell r="F94">
            <v>33217</v>
          </cell>
          <cell r="G94">
            <v>128</v>
          </cell>
          <cell r="H94">
            <v>131</v>
          </cell>
          <cell r="I94">
            <v>0</v>
          </cell>
          <cell r="J94">
            <v>0</v>
          </cell>
          <cell r="K94">
            <v>131</v>
          </cell>
          <cell r="L94">
            <v>128</v>
          </cell>
          <cell r="M94">
            <v>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131</v>
          </cell>
          <cell r="U94">
            <v>128</v>
          </cell>
          <cell r="V94">
            <v>3</v>
          </cell>
          <cell r="W94">
            <v>37663</v>
          </cell>
          <cell r="X94">
            <v>37663</v>
          </cell>
          <cell r="Y94">
            <v>0</v>
          </cell>
          <cell r="Z94">
            <v>37663</v>
          </cell>
          <cell r="AA94">
            <v>33217</v>
          </cell>
          <cell r="AB94">
            <v>2197</v>
          </cell>
          <cell r="AC94">
            <v>35414</v>
          </cell>
          <cell r="AD94">
            <v>20</v>
          </cell>
          <cell r="AE94">
            <v>80</v>
          </cell>
          <cell r="AF94">
            <v>12128</v>
          </cell>
          <cell r="AG94">
            <v>147</v>
          </cell>
          <cell r="AH94">
            <v>1300.69</v>
          </cell>
          <cell r="AI94">
            <v>17</v>
          </cell>
          <cell r="AJ94">
            <v>872.69</v>
          </cell>
          <cell r="AK94">
            <v>2</v>
          </cell>
          <cell r="AL94">
            <v>703.67</v>
          </cell>
          <cell r="AM94">
            <v>2</v>
          </cell>
          <cell r="AN94">
            <v>1983.95</v>
          </cell>
          <cell r="AO94">
            <v>6</v>
          </cell>
          <cell r="AP94">
            <v>4861</v>
          </cell>
          <cell r="AQ94">
            <v>27</v>
          </cell>
          <cell r="AR94">
            <v>340.67</v>
          </cell>
          <cell r="AS94">
            <v>1</v>
          </cell>
          <cell r="AT94">
            <v>236.67</v>
          </cell>
          <cell r="AU94">
            <v>0</v>
          </cell>
          <cell r="AV94">
            <v>236.67</v>
          </cell>
          <cell r="AW94">
            <v>0</v>
          </cell>
          <cell r="AX94">
            <v>3894.99</v>
          </cell>
          <cell r="AY94">
            <v>2</v>
          </cell>
          <cell r="AZ94">
            <v>4709</v>
          </cell>
          <cell r="BA94">
            <v>3</v>
          </cell>
          <cell r="BB94">
            <v>7192.84</v>
          </cell>
          <cell r="BC94">
            <v>26</v>
          </cell>
          <cell r="BD94">
            <v>5528.38</v>
          </cell>
          <cell r="BE94">
            <v>24</v>
          </cell>
          <cell r="BF94">
            <v>2848.95</v>
          </cell>
          <cell r="BG94">
            <v>18</v>
          </cell>
          <cell r="BH94">
            <v>4260.83</v>
          </cell>
          <cell r="BI94">
            <v>19</v>
          </cell>
          <cell r="BJ94">
            <v>19831</v>
          </cell>
          <cell r="BK94">
            <v>87</v>
          </cell>
          <cell r="BL94">
            <v>488.68</v>
          </cell>
          <cell r="BM94">
            <v>1</v>
          </cell>
          <cell r="BN94">
            <v>420.34</v>
          </cell>
          <cell r="BO94">
            <v>1</v>
          </cell>
          <cell r="BP94">
            <v>296</v>
          </cell>
          <cell r="BQ94">
            <v>1</v>
          </cell>
          <cell r="BR94">
            <v>683.98</v>
          </cell>
          <cell r="BS94">
            <v>2</v>
          </cell>
          <cell r="BT94">
            <v>1889</v>
          </cell>
          <cell r="BU94">
            <v>5</v>
          </cell>
          <cell r="BV94">
            <v>106.67</v>
          </cell>
          <cell r="BW94">
            <v>0</v>
          </cell>
          <cell r="BX94">
            <v>106.67</v>
          </cell>
          <cell r="BY94">
            <v>0</v>
          </cell>
          <cell r="BZ94">
            <v>106.67</v>
          </cell>
          <cell r="CA94">
            <v>0</v>
          </cell>
          <cell r="CB94">
            <v>831.99</v>
          </cell>
          <cell r="CC94">
            <v>1</v>
          </cell>
          <cell r="CD94">
            <v>1152</v>
          </cell>
          <cell r="CE94">
            <v>1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 t="str">
            <v xml:space="preserve"> -   </v>
          </cell>
          <cell r="CO94" t="str">
            <v xml:space="preserve"> -   </v>
          </cell>
          <cell r="CP94">
            <v>174</v>
          </cell>
          <cell r="CQ94">
            <v>2</v>
          </cell>
          <cell r="CR94">
            <v>36</v>
          </cell>
          <cell r="CS94">
            <v>1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210</v>
          </cell>
          <cell r="CY94">
            <v>3</v>
          </cell>
          <cell r="CZ94">
            <v>164.67</v>
          </cell>
          <cell r="DA94">
            <v>1</v>
          </cell>
          <cell r="DB94">
            <v>106.67</v>
          </cell>
          <cell r="DC94">
            <v>0</v>
          </cell>
          <cell r="DD94">
            <v>106.67</v>
          </cell>
          <cell r="DE94">
            <v>0</v>
          </cell>
          <cell r="DF94">
            <v>186.99</v>
          </cell>
          <cell r="DG94">
            <v>1</v>
          </cell>
          <cell r="DH94">
            <v>565</v>
          </cell>
          <cell r="DI94">
            <v>2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 t="str">
            <v xml:space="preserve"> -   </v>
          </cell>
          <cell r="DS94" t="str">
            <v xml:space="preserve"> -   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 t="str">
            <v xml:space="preserve"> -   </v>
          </cell>
          <cell r="EC94" t="str">
            <v xml:space="preserve"> -   </v>
          </cell>
          <cell r="ED94">
            <v>0</v>
          </cell>
          <cell r="EE94">
            <v>0</v>
          </cell>
          <cell r="EF94">
            <v>0</v>
          </cell>
          <cell r="EH94">
            <v>0</v>
          </cell>
          <cell r="EI94">
            <v>0</v>
          </cell>
        </row>
        <row r="95">
          <cell r="A95" t="str">
            <v>AprFulidhoo</v>
          </cell>
          <cell r="B95" t="str">
            <v>Apr</v>
          </cell>
          <cell r="C95" t="str">
            <v>V.</v>
          </cell>
          <cell r="D95" t="str">
            <v>Fulidhoo</v>
          </cell>
          <cell r="E95">
            <v>0</v>
          </cell>
          <cell r="F95">
            <v>29320</v>
          </cell>
          <cell r="G95">
            <v>133</v>
          </cell>
          <cell r="H95">
            <v>134</v>
          </cell>
          <cell r="I95">
            <v>3</v>
          </cell>
          <cell r="J95">
            <v>0</v>
          </cell>
          <cell r="K95">
            <v>137</v>
          </cell>
          <cell r="L95">
            <v>133</v>
          </cell>
          <cell r="M95">
            <v>4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137</v>
          </cell>
          <cell r="U95">
            <v>133</v>
          </cell>
          <cell r="V95">
            <v>4</v>
          </cell>
          <cell r="W95">
            <v>36603</v>
          </cell>
          <cell r="X95">
            <v>36603</v>
          </cell>
          <cell r="Y95">
            <v>0</v>
          </cell>
          <cell r="Z95">
            <v>36603</v>
          </cell>
          <cell r="AA95">
            <v>29320</v>
          </cell>
          <cell r="AB95">
            <v>2210</v>
          </cell>
          <cell r="AC95">
            <v>31530</v>
          </cell>
          <cell r="AD95">
            <v>22</v>
          </cell>
          <cell r="AE95">
            <v>82</v>
          </cell>
          <cell r="AF95">
            <v>12919.77</v>
          </cell>
          <cell r="AG95">
            <v>122.5</v>
          </cell>
          <cell r="AH95">
            <v>1355.97</v>
          </cell>
          <cell r="AI95">
            <v>18</v>
          </cell>
          <cell r="AJ95">
            <v>879.65</v>
          </cell>
          <cell r="AK95">
            <v>3</v>
          </cell>
          <cell r="AL95">
            <v>649.33000000000004</v>
          </cell>
          <cell r="AM95">
            <v>3</v>
          </cell>
          <cell r="AN95">
            <v>1782.05</v>
          </cell>
          <cell r="AO95">
            <v>5</v>
          </cell>
          <cell r="AP95">
            <v>4667</v>
          </cell>
          <cell r="AQ95">
            <v>29</v>
          </cell>
          <cell r="AR95">
            <v>178.67</v>
          </cell>
          <cell r="AS95">
            <v>1</v>
          </cell>
          <cell r="AT95">
            <v>146.66999999999999</v>
          </cell>
          <cell r="AU95">
            <v>0</v>
          </cell>
          <cell r="AV95">
            <v>146.66999999999999</v>
          </cell>
          <cell r="AW95">
            <v>0</v>
          </cell>
          <cell r="AX95">
            <v>2911.99</v>
          </cell>
          <cell r="AY95">
            <v>2</v>
          </cell>
          <cell r="AZ95">
            <v>3384</v>
          </cell>
          <cell r="BA95">
            <v>3</v>
          </cell>
          <cell r="BB95">
            <v>6363.15</v>
          </cell>
          <cell r="BC95">
            <v>29</v>
          </cell>
          <cell r="BD95">
            <v>4806.95</v>
          </cell>
          <cell r="BE95">
            <v>23</v>
          </cell>
          <cell r="BF95">
            <v>2626.7</v>
          </cell>
          <cell r="BG95">
            <v>16</v>
          </cell>
          <cell r="BH95">
            <v>4188.2</v>
          </cell>
          <cell r="BI95">
            <v>22</v>
          </cell>
          <cell r="BJ95">
            <v>17985</v>
          </cell>
          <cell r="BK95">
            <v>90</v>
          </cell>
          <cell r="BL95">
            <v>396.32</v>
          </cell>
          <cell r="BM95">
            <v>1</v>
          </cell>
          <cell r="BN95">
            <v>367.66</v>
          </cell>
          <cell r="BO95">
            <v>1</v>
          </cell>
          <cell r="BP95">
            <v>254</v>
          </cell>
          <cell r="BQ95">
            <v>1</v>
          </cell>
          <cell r="BR95">
            <v>590.02</v>
          </cell>
          <cell r="BS95">
            <v>2</v>
          </cell>
          <cell r="BT95">
            <v>1608</v>
          </cell>
          <cell r="BU95">
            <v>5</v>
          </cell>
          <cell r="BV95">
            <v>93.33</v>
          </cell>
          <cell r="BW95">
            <v>0</v>
          </cell>
          <cell r="BX95">
            <v>93.33</v>
          </cell>
          <cell r="BY95">
            <v>0</v>
          </cell>
          <cell r="BZ95">
            <v>93.33</v>
          </cell>
          <cell r="CA95">
            <v>0</v>
          </cell>
          <cell r="CB95">
            <v>781.01</v>
          </cell>
          <cell r="CC95">
            <v>1</v>
          </cell>
          <cell r="CD95">
            <v>1061</v>
          </cell>
          <cell r="CE95">
            <v>1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88</v>
          </cell>
          <cell r="CQ95">
            <v>2</v>
          </cell>
          <cell r="CR95">
            <v>33</v>
          </cell>
          <cell r="CS95">
            <v>1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121</v>
          </cell>
          <cell r="CY95">
            <v>3</v>
          </cell>
          <cell r="CZ95">
            <v>143.33000000000001</v>
          </cell>
          <cell r="DA95">
            <v>1</v>
          </cell>
          <cell r="DB95">
            <v>93.33</v>
          </cell>
          <cell r="DC95">
            <v>0</v>
          </cell>
          <cell r="DD95">
            <v>93.33</v>
          </cell>
          <cell r="DE95">
            <v>0</v>
          </cell>
          <cell r="DF95">
            <v>164.01</v>
          </cell>
          <cell r="DG95">
            <v>1</v>
          </cell>
          <cell r="DH95">
            <v>494</v>
          </cell>
          <cell r="DI95">
            <v>2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H95">
            <v>0</v>
          </cell>
          <cell r="EI95">
            <v>0</v>
          </cell>
        </row>
        <row r="96">
          <cell r="A96" t="str">
            <v>MayFulidhoo</v>
          </cell>
          <cell r="B96" t="str">
            <v>May</v>
          </cell>
          <cell r="C96" t="str">
            <v>V.</v>
          </cell>
          <cell r="D96" t="str">
            <v>Fulidhoo</v>
          </cell>
          <cell r="E96">
            <v>0</v>
          </cell>
          <cell r="F96">
            <v>31239</v>
          </cell>
          <cell r="G96">
            <v>130</v>
          </cell>
          <cell r="H96">
            <v>134</v>
          </cell>
          <cell r="I96">
            <v>0</v>
          </cell>
          <cell r="J96">
            <v>0</v>
          </cell>
          <cell r="K96">
            <v>134</v>
          </cell>
          <cell r="L96">
            <v>130</v>
          </cell>
          <cell r="M96">
            <v>4</v>
          </cell>
          <cell r="N96">
            <v>1</v>
          </cell>
          <cell r="O96">
            <v>0</v>
          </cell>
          <cell r="P96">
            <v>0</v>
          </cell>
          <cell r="Q96">
            <v>1</v>
          </cell>
          <cell r="R96">
            <v>0</v>
          </cell>
          <cell r="S96">
            <v>1</v>
          </cell>
          <cell r="T96">
            <v>135</v>
          </cell>
          <cell r="U96">
            <v>130</v>
          </cell>
          <cell r="V96">
            <v>5</v>
          </cell>
          <cell r="W96">
            <v>31524</v>
          </cell>
          <cell r="X96">
            <v>35903.85</v>
          </cell>
          <cell r="Y96">
            <v>0</v>
          </cell>
          <cell r="Z96">
            <v>35903.85</v>
          </cell>
          <cell r="AA96">
            <v>31239</v>
          </cell>
          <cell r="AB96">
            <v>2316</v>
          </cell>
          <cell r="AC96">
            <v>33555</v>
          </cell>
          <cell r="AD96">
            <v>23</v>
          </cell>
          <cell r="AE96">
            <v>80</v>
          </cell>
          <cell r="AF96">
            <v>14750</v>
          </cell>
          <cell r="AG96">
            <v>158</v>
          </cell>
          <cell r="AH96">
            <v>1319.97</v>
          </cell>
          <cell r="AI96">
            <v>16</v>
          </cell>
          <cell r="AJ96">
            <v>866.65</v>
          </cell>
          <cell r="AK96">
            <v>4</v>
          </cell>
          <cell r="AL96">
            <v>492.35</v>
          </cell>
          <cell r="AM96">
            <v>4</v>
          </cell>
          <cell r="AN96">
            <v>1501.03</v>
          </cell>
          <cell r="AO96">
            <v>4</v>
          </cell>
          <cell r="AP96">
            <v>4180</v>
          </cell>
          <cell r="AQ96">
            <v>28</v>
          </cell>
          <cell r="AR96">
            <v>302.33</v>
          </cell>
          <cell r="AS96">
            <v>1</v>
          </cell>
          <cell r="AT96">
            <v>223.33</v>
          </cell>
          <cell r="AU96">
            <v>0</v>
          </cell>
          <cell r="AV96">
            <v>223.33</v>
          </cell>
          <cell r="AW96">
            <v>0</v>
          </cell>
          <cell r="AX96">
            <v>3931.01</v>
          </cell>
          <cell r="AY96">
            <v>2</v>
          </cell>
          <cell r="AZ96">
            <v>4680</v>
          </cell>
          <cell r="BA96">
            <v>3</v>
          </cell>
          <cell r="BB96">
            <v>6929.51</v>
          </cell>
          <cell r="BC96">
            <v>27</v>
          </cell>
          <cell r="BD96">
            <v>5329.95</v>
          </cell>
          <cell r="BE96">
            <v>23</v>
          </cell>
          <cell r="BF96">
            <v>2989.37</v>
          </cell>
          <cell r="BG96">
            <v>19</v>
          </cell>
          <cell r="BH96">
            <v>3362.17</v>
          </cell>
          <cell r="BI96">
            <v>19</v>
          </cell>
          <cell r="BJ96">
            <v>18611</v>
          </cell>
          <cell r="BK96">
            <v>88</v>
          </cell>
          <cell r="BL96">
            <v>452.99</v>
          </cell>
          <cell r="BM96">
            <v>1</v>
          </cell>
          <cell r="BN96">
            <v>419.99</v>
          </cell>
          <cell r="BO96">
            <v>0</v>
          </cell>
          <cell r="BP96">
            <v>352</v>
          </cell>
          <cell r="BQ96">
            <v>2</v>
          </cell>
          <cell r="BR96">
            <v>567.02</v>
          </cell>
          <cell r="BS96">
            <v>2</v>
          </cell>
          <cell r="BT96">
            <v>1792</v>
          </cell>
          <cell r="BU96">
            <v>5</v>
          </cell>
          <cell r="BV96">
            <v>103.33</v>
          </cell>
          <cell r="BW96">
            <v>0</v>
          </cell>
          <cell r="BX96">
            <v>103.33</v>
          </cell>
          <cell r="BY96">
            <v>0</v>
          </cell>
          <cell r="BZ96">
            <v>103.33</v>
          </cell>
          <cell r="CA96">
            <v>0</v>
          </cell>
          <cell r="CB96">
            <v>854.01</v>
          </cell>
          <cell r="CC96">
            <v>1</v>
          </cell>
          <cell r="CD96">
            <v>1164</v>
          </cell>
          <cell r="CE96">
            <v>1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149.33000000000001</v>
          </cell>
          <cell r="CQ96">
            <v>2</v>
          </cell>
          <cell r="CR96">
            <v>113.33</v>
          </cell>
          <cell r="CS96">
            <v>0</v>
          </cell>
          <cell r="CT96">
            <v>2.34</v>
          </cell>
          <cell r="CU96">
            <v>1</v>
          </cell>
          <cell r="CV96">
            <v>0</v>
          </cell>
          <cell r="CW96">
            <v>0</v>
          </cell>
          <cell r="CX96">
            <v>265</v>
          </cell>
          <cell r="CY96">
            <v>3</v>
          </cell>
          <cell r="CZ96">
            <v>159.33000000000001</v>
          </cell>
          <cell r="DA96">
            <v>1</v>
          </cell>
          <cell r="DB96">
            <v>103.33</v>
          </cell>
          <cell r="DC96">
            <v>0</v>
          </cell>
          <cell r="DD96">
            <v>103.33</v>
          </cell>
          <cell r="DE96">
            <v>0</v>
          </cell>
          <cell r="DF96">
            <v>181.01</v>
          </cell>
          <cell r="DG96">
            <v>1</v>
          </cell>
          <cell r="DH96">
            <v>547</v>
          </cell>
          <cell r="DI96">
            <v>2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H96">
            <v>0</v>
          </cell>
          <cell r="EI96">
            <v>0</v>
          </cell>
        </row>
        <row r="97">
          <cell r="A97" t="str">
            <v>JunFulidhoo</v>
          </cell>
          <cell r="B97" t="str">
            <v>Jun</v>
          </cell>
          <cell r="C97" t="str">
            <v>V.</v>
          </cell>
          <cell r="D97" t="str">
            <v>Fulidhoo</v>
          </cell>
          <cell r="E97">
            <v>0</v>
          </cell>
          <cell r="F97">
            <v>31274</v>
          </cell>
          <cell r="G97">
            <v>128</v>
          </cell>
          <cell r="H97">
            <v>134</v>
          </cell>
          <cell r="I97">
            <v>0</v>
          </cell>
          <cell r="J97">
            <v>0</v>
          </cell>
          <cell r="K97">
            <v>134</v>
          </cell>
          <cell r="L97">
            <v>128</v>
          </cell>
          <cell r="M97">
            <v>6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134</v>
          </cell>
          <cell r="U97">
            <v>128</v>
          </cell>
          <cell r="V97">
            <v>6</v>
          </cell>
          <cell r="W97">
            <v>31902</v>
          </cell>
          <cell r="X97">
            <v>35859.980000000003</v>
          </cell>
          <cell r="Y97">
            <v>0</v>
          </cell>
          <cell r="Z97">
            <v>35859.980000000003</v>
          </cell>
          <cell r="AA97">
            <v>31274</v>
          </cell>
          <cell r="AB97">
            <v>2240</v>
          </cell>
          <cell r="AC97">
            <v>33514</v>
          </cell>
          <cell r="AD97">
            <v>23</v>
          </cell>
          <cell r="AE97">
            <v>78</v>
          </cell>
          <cell r="AF97">
            <v>14266.04</v>
          </cell>
          <cell r="AG97">
            <v>138</v>
          </cell>
          <cell r="AH97">
            <v>1553.32</v>
          </cell>
          <cell r="AI97">
            <v>16</v>
          </cell>
          <cell r="AJ97">
            <v>935.98</v>
          </cell>
          <cell r="AK97">
            <v>5</v>
          </cell>
          <cell r="AL97">
            <v>542.66</v>
          </cell>
          <cell r="AM97">
            <v>3</v>
          </cell>
          <cell r="AN97">
            <v>1105.04</v>
          </cell>
          <cell r="AO97">
            <v>4</v>
          </cell>
          <cell r="AP97">
            <v>4137</v>
          </cell>
          <cell r="AQ97">
            <v>28</v>
          </cell>
          <cell r="AR97">
            <v>279.33999999999997</v>
          </cell>
          <cell r="AS97">
            <v>1</v>
          </cell>
          <cell r="AT97">
            <v>223.34</v>
          </cell>
          <cell r="AU97">
            <v>0</v>
          </cell>
          <cell r="AV97">
            <v>223.34</v>
          </cell>
          <cell r="AW97">
            <v>0</v>
          </cell>
          <cell r="AX97">
            <v>4076.98</v>
          </cell>
          <cell r="AY97">
            <v>2</v>
          </cell>
          <cell r="AZ97">
            <v>4803</v>
          </cell>
          <cell r="BA97">
            <v>3</v>
          </cell>
          <cell r="BB97">
            <v>7443.91</v>
          </cell>
          <cell r="BC97">
            <v>28</v>
          </cell>
          <cell r="BD97">
            <v>5314.01</v>
          </cell>
          <cell r="BE97">
            <v>23</v>
          </cell>
          <cell r="BF97">
            <v>3205.99</v>
          </cell>
          <cell r="BG97">
            <v>12</v>
          </cell>
          <cell r="BH97">
            <v>3101.09</v>
          </cell>
          <cell r="BI97">
            <v>24</v>
          </cell>
          <cell r="BJ97">
            <v>19065</v>
          </cell>
          <cell r="BK97">
            <v>87</v>
          </cell>
          <cell r="BL97">
            <v>447.66</v>
          </cell>
          <cell r="BM97">
            <v>1</v>
          </cell>
          <cell r="BN97">
            <v>406.66</v>
          </cell>
          <cell r="BO97">
            <v>0</v>
          </cell>
          <cell r="BP97">
            <v>379.65</v>
          </cell>
          <cell r="BQ97">
            <v>1</v>
          </cell>
          <cell r="BR97">
            <v>518.03</v>
          </cell>
          <cell r="BS97">
            <v>3</v>
          </cell>
          <cell r="BT97">
            <v>1752</v>
          </cell>
          <cell r="BU97">
            <v>5</v>
          </cell>
          <cell r="BV97">
            <v>103.33</v>
          </cell>
          <cell r="BW97">
            <v>0</v>
          </cell>
          <cell r="BX97">
            <v>103.33</v>
          </cell>
          <cell r="BY97">
            <v>0</v>
          </cell>
          <cell r="BZ97">
            <v>103.33</v>
          </cell>
          <cell r="CA97">
            <v>0</v>
          </cell>
          <cell r="CB97">
            <v>583.01</v>
          </cell>
          <cell r="CC97">
            <v>1</v>
          </cell>
          <cell r="CD97">
            <v>893.00000000000011</v>
          </cell>
          <cell r="CE97">
            <v>1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77</v>
          </cell>
          <cell r="CQ97">
            <v>2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77</v>
          </cell>
          <cell r="CY97">
            <v>2</v>
          </cell>
          <cell r="CZ97">
            <v>159.33000000000001</v>
          </cell>
          <cell r="DA97">
            <v>1</v>
          </cell>
          <cell r="DB97">
            <v>103.33</v>
          </cell>
          <cell r="DC97">
            <v>0</v>
          </cell>
          <cell r="DD97">
            <v>103.33</v>
          </cell>
          <cell r="DE97">
            <v>0</v>
          </cell>
          <cell r="DF97">
            <v>181.01</v>
          </cell>
          <cell r="DG97">
            <v>1</v>
          </cell>
          <cell r="DH97">
            <v>547</v>
          </cell>
          <cell r="DI97">
            <v>2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H97">
            <v>0</v>
          </cell>
          <cell r="EI97">
            <v>0</v>
          </cell>
        </row>
        <row r="98">
          <cell r="A98" t="str">
            <v>JulFulidhoo</v>
          </cell>
          <cell r="B98" t="str">
            <v>Jul</v>
          </cell>
          <cell r="C98" t="str">
            <v>V.</v>
          </cell>
          <cell r="D98" t="str">
            <v>Fulidhoo</v>
          </cell>
          <cell r="E98" t="str">
            <v>usage units less than billed</v>
          </cell>
          <cell r="F98">
            <v>26152</v>
          </cell>
          <cell r="G98">
            <v>113</v>
          </cell>
          <cell r="H98">
            <v>134</v>
          </cell>
          <cell r="I98">
            <v>0</v>
          </cell>
          <cell r="J98">
            <v>0</v>
          </cell>
          <cell r="K98">
            <v>134</v>
          </cell>
          <cell r="L98">
            <v>113</v>
          </cell>
          <cell r="M98">
            <v>21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134</v>
          </cell>
          <cell r="U98">
            <v>113</v>
          </cell>
          <cell r="V98">
            <v>21</v>
          </cell>
          <cell r="W98">
            <v>32771</v>
          </cell>
          <cell r="X98">
            <v>32771</v>
          </cell>
          <cell r="Y98">
            <v>0</v>
          </cell>
          <cell r="Z98">
            <v>32771</v>
          </cell>
          <cell r="AA98">
            <v>46848</v>
          </cell>
          <cell r="AB98">
            <v>2590</v>
          </cell>
          <cell r="AC98">
            <v>49438</v>
          </cell>
          <cell r="AD98">
            <v>23</v>
          </cell>
          <cell r="AE98">
            <v>72</v>
          </cell>
          <cell r="AF98">
            <v>14733.19</v>
          </cell>
          <cell r="AG98">
            <v>70</v>
          </cell>
          <cell r="AH98">
            <v>1086.69</v>
          </cell>
          <cell r="AI98">
            <v>12</v>
          </cell>
          <cell r="AJ98">
            <v>667.33</v>
          </cell>
          <cell r="AK98">
            <v>7</v>
          </cell>
          <cell r="AL98">
            <v>238.98</v>
          </cell>
          <cell r="AM98">
            <v>3</v>
          </cell>
          <cell r="AN98">
            <v>734</v>
          </cell>
          <cell r="AO98">
            <v>2</v>
          </cell>
          <cell r="AP98">
            <v>2727</v>
          </cell>
          <cell r="AQ98">
            <v>24</v>
          </cell>
          <cell r="AR98">
            <v>169.67</v>
          </cell>
          <cell r="AS98">
            <v>1</v>
          </cell>
          <cell r="AT98">
            <v>96.67</v>
          </cell>
          <cell r="AU98">
            <v>0</v>
          </cell>
          <cell r="AV98">
            <v>96.67</v>
          </cell>
          <cell r="AW98">
            <v>0</v>
          </cell>
          <cell r="AX98">
            <v>875.99</v>
          </cell>
          <cell r="AY98">
            <v>1</v>
          </cell>
          <cell r="AZ98">
            <v>1239.0000000000002</v>
          </cell>
          <cell r="BA98">
            <v>2</v>
          </cell>
          <cell r="BB98">
            <v>5769.11</v>
          </cell>
          <cell r="BC98">
            <v>21</v>
          </cell>
          <cell r="BD98">
            <v>4822.3900000000003</v>
          </cell>
          <cell r="BE98">
            <v>12</v>
          </cell>
          <cell r="BF98">
            <v>3520.69</v>
          </cell>
          <cell r="BG98">
            <v>13</v>
          </cell>
          <cell r="BH98">
            <v>5132.8100000000004</v>
          </cell>
          <cell r="BI98">
            <v>32</v>
          </cell>
          <cell r="BJ98">
            <v>19245</v>
          </cell>
          <cell r="BK98">
            <v>78</v>
          </cell>
          <cell r="BL98">
            <v>423.35</v>
          </cell>
          <cell r="BM98">
            <v>1</v>
          </cell>
          <cell r="BN98">
            <v>401.01</v>
          </cell>
          <cell r="BO98">
            <v>0</v>
          </cell>
          <cell r="BP98">
            <v>330.67</v>
          </cell>
          <cell r="BQ98">
            <v>1</v>
          </cell>
          <cell r="BR98">
            <v>425.97</v>
          </cell>
          <cell r="BS98">
            <v>3</v>
          </cell>
          <cell r="BT98">
            <v>1581</v>
          </cell>
          <cell r="BU98">
            <v>5</v>
          </cell>
          <cell r="BV98">
            <v>96.67</v>
          </cell>
          <cell r="BW98">
            <v>0</v>
          </cell>
          <cell r="BX98">
            <v>96.67</v>
          </cell>
          <cell r="BY98">
            <v>0</v>
          </cell>
          <cell r="BZ98">
            <v>96.67</v>
          </cell>
          <cell r="CA98">
            <v>0</v>
          </cell>
          <cell r="CB98">
            <v>526.99</v>
          </cell>
          <cell r="CC98">
            <v>1</v>
          </cell>
          <cell r="CD98">
            <v>816.99999999999989</v>
          </cell>
          <cell r="CE98">
            <v>1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14</v>
          </cell>
          <cell r="CQ98">
            <v>1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14</v>
          </cell>
          <cell r="CY98">
            <v>1</v>
          </cell>
          <cell r="CZ98">
            <v>154</v>
          </cell>
          <cell r="DA98">
            <v>1</v>
          </cell>
          <cell r="DB98">
            <v>100</v>
          </cell>
          <cell r="DC98">
            <v>0</v>
          </cell>
          <cell r="DD98">
            <v>100</v>
          </cell>
          <cell r="DE98">
            <v>0</v>
          </cell>
          <cell r="DF98">
            <v>175</v>
          </cell>
          <cell r="DG98">
            <v>1</v>
          </cell>
          <cell r="DH98">
            <v>529</v>
          </cell>
          <cell r="DI98">
            <v>2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H98">
            <v>0</v>
          </cell>
          <cell r="EI98">
            <v>0</v>
          </cell>
        </row>
        <row r="99">
          <cell r="A99" t="str">
            <v>AugFulidhoo</v>
          </cell>
          <cell r="B99" t="str">
            <v>Aug</v>
          </cell>
          <cell r="C99" t="str">
            <v>V.</v>
          </cell>
          <cell r="D99" t="str">
            <v>Fulidhoo</v>
          </cell>
          <cell r="E99" t="str">
            <v>usage units less than billed</v>
          </cell>
          <cell r="F99">
            <v>32859</v>
          </cell>
          <cell r="G99">
            <v>130</v>
          </cell>
          <cell r="H99">
            <v>134</v>
          </cell>
          <cell r="I99">
            <v>1</v>
          </cell>
          <cell r="J99">
            <v>0</v>
          </cell>
          <cell r="K99">
            <v>135</v>
          </cell>
          <cell r="L99">
            <v>128</v>
          </cell>
          <cell r="M99">
            <v>7</v>
          </cell>
          <cell r="N99">
            <v>2</v>
          </cell>
          <cell r="O99">
            <v>0</v>
          </cell>
          <cell r="P99">
            <v>0</v>
          </cell>
          <cell r="Q99">
            <v>2</v>
          </cell>
          <cell r="R99">
            <v>2</v>
          </cell>
          <cell r="S99">
            <v>0</v>
          </cell>
          <cell r="T99">
            <v>137</v>
          </cell>
          <cell r="U99">
            <v>130</v>
          </cell>
          <cell r="V99">
            <v>7</v>
          </cell>
          <cell r="W99">
            <v>31726</v>
          </cell>
          <cell r="X99">
            <v>57475.05</v>
          </cell>
          <cell r="Y99">
            <v>0</v>
          </cell>
          <cell r="Z99">
            <v>57475.05</v>
          </cell>
          <cell r="AA99">
            <v>50545</v>
          </cell>
          <cell r="AB99">
            <v>3170</v>
          </cell>
          <cell r="AC99">
            <v>53715</v>
          </cell>
          <cell r="AD99">
            <v>23</v>
          </cell>
          <cell r="AE99">
            <v>70</v>
          </cell>
          <cell r="AF99">
            <v>14747.26</v>
          </cell>
          <cell r="AG99">
            <v>72</v>
          </cell>
          <cell r="AH99">
            <v>1597.64</v>
          </cell>
          <cell r="AI99">
            <v>17</v>
          </cell>
          <cell r="AJ99">
            <v>786.34</v>
          </cell>
          <cell r="AK99">
            <v>7</v>
          </cell>
          <cell r="AL99">
            <v>427</v>
          </cell>
          <cell r="AM99">
            <v>1</v>
          </cell>
          <cell r="AN99">
            <v>1130.02</v>
          </cell>
          <cell r="AO99">
            <v>4</v>
          </cell>
          <cell r="AP99">
            <v>3941</v>
          </cell>
          <cell r="AQ99">
            <v>29</v>
          </cell>
          <cell r="AR99">
            <v>340.67</v>
          </cell>
          <cell r="AS99">
            <v>1</v>
          </cell>
          <cell r="AT99">
            <v>276.67</v>
          </cell>
          <cell r="AU99">
            <v>0</v>
          </cell>
          <cell r="AV99">
            <v>276.67</v>
          </cell>
          <cell r="AW99">
            <v>0</v>
          </cell>
          <cell r="AX99">
            <v>5108.99</v>
          </cell>
          <cell r="AY99">
            <v>2</v>
          </cell>
          <cell r="AZ99">
            <v>6003</v>
          </cell>
          <cell r="BA99">
            <v>3</v>
          </cell>
          <cell r="BB99">
            <v>7556.59</v>
          </cell>
          <cell r="BC99">
            <v>28</v>
          </cell>
          <cell r="BD99">
            <v>5732.91</v>
          </cell>
          <cell r="BE99">
            <v>17</v>
          </cell>
          <cell r="BF99">
            <v>3193.34</v>
          </cell>
          <cell r="BG99">
            <v>19</v>
          </cell>
          <cell r="BH99">
            <v>2965.16</v>
          </cell>
          <cell r="BI99">
            <v>23</v>
          </cell>
          <cell r="BJ99">
            <v>19448</v>
          </cell>
          <cell r="BK99">
            <v>87</v>
          </cell>
          <cell r="BL99">
            <v>526.65</v>
          </cell>
          <cell r="BM99">
            <v>0</v>
          </cell>
          <cell r="BN99">
            <v>526.65</v>
          </cell>
          <cell r="BO99">
            <v>0</v>
          </cell>
          <cell r="BP99">
            <v>307.68</v>
          </cell>
          <cell r="BQ99">
            <v>3</v>
          </cell>
          <cell r="BR99">
            <v>360.02</v>
          </cell>
          <cell r="BS99">
            <v>2</v>
          </cell>
          <cell r="BT99">
            <v>1721</v>
          </cell>
          <cell r="BU99">
            <v>5</v>
          </cell>
          <cell r="BV99">
            <v>103.33</v>
          </cell>
          <cell r="BW99">
            <v>0</v>
          </cell>
          <cell r="BX99">
            <v>103.33</v>
          </cell>
          <cell r="BY99">
            <v>0</v>
          </cell>
          <cell r="BZ99">
            <v>103.33</v>
          </cell>
          <cell r="CA99">
            <v>0</v>
          </cell>
          <cell r="CB99">
            <v>696.01</v>
          </cell>
          <cell r="CC99">
            <v>1</v>
          </cell>
          <cell r="CD99">
            <v>1006.0000000000001</v>
          </cell>
          <cell r="CE99">
            <v>1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211</v>
          </cell>
          <cell r="CQ99">
            <v>3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211</v>
          </cell>
          <cell r="CY99">
            <v>3</v>
          </cell>
          <cell r="CZ99">
            <v>154</v>
          </cell>
          <cell r="DA99">
            <v>1</v>
          </cell>
          <cell r="DB99">
            <v>100</v>
          </cell>
          <cell r="DC99">
            <v>0</v>
          </cell>
          <cell r="DD99">
            <v>100</v>
          </cell>
          <cell r="DE99">
            <v>0</v>
          </cell>
          <cell r="DF99">
            <v>175</v>
          </cell>
          <cell r="DG99">
            <v>1</v>
          </cell>
          <cell r="DH99">
            <v>529</v>
          </cell>
          <cell r="DI99">
            <v>2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H99">
            <v>0</v>
          </cell>
          <cell r="EI99">
            <v>0</v>
          </cell>
        </row>
        <row r="100">
          <cell r="A100" t="str">
            <v>SepFulidhoo</v>
          </cell>
          <cell r="B100" t="str">
            <v>Sep</v>
          </cell>
          <cell r="C100" t="str">
            <v>V.</v>
          </cell>
          <cell r="D100" t="str">
            <v>Fulidhoo</v>
          </cell>
          <cell r="E100" t="str">
            <v>usage units less than billed</v>
          </cell>
          <cell r="F100">
            <v>30466</v>
          </cell>
          <cell r="G100">
            <v>130</v>
          </cell>
          <cell r="H100">
            <v>135</v>
          </cell>
          <cell r="I100">
            <v>1</v>
          </cell>
          <cell r="J100">
            <v>0</v>
          </cell>
          <cell r="K100">
            <v>136</v>
          </cell>
          <cell r="L100">
            <v>130</v>
          </cell>
          <cell r="M100">
            <v>6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136</v>
          </cell>
          <cell r="U100">
            <v>130</v>
          </cell>
          <cell r="V100">
            <v>6</v>
          </cell>
          <cell r="W100">
            <v>33063</v>
          </cell>
          <cell r="X100">
            <v>33063</v>
          </cell>
          <cell r="Y100">
            <v>0</v>
          </cell>
          <cell r="Z100">
            <v>33063</v>
          </cell>
          <cell r="AA100">
            <v>52553</v>
          </cell>
          <cell r="AB100">
            <v>3461</v>
          </cell>
          <cell r="AC100">
            <v>56014</v>
          </cell>
          <cell r="AD100">
            <v>24</v>
          </cell>
          <cell r="AE100">
            <v>78</v>
          </cell>
          <cell r="AF100">
            <v>14240.75</v>
          </cell>
          <cell r="AG100">
            <v>140</v>
          </cell>
          <cell r="AH100">
            <v>1529.3</v>
          </cell>
          <cell r="AI100">
            <v>19</v>
          </cell>
          <cell r="AJ100">
            <v>857.68</v>
          </cell>
          <cell r="AK100">
            <v>7</v>
          </cell>
          <cell r="AL100">
            <v>423</v>
          </cell>
          <cell r="AM100">
            <v>3</v>
          </cell>
          <cell r="AN100">
            <v>1175.02</v>
          </cell>
          <cell r="AO100">
            <v>2</v>
          </cell>
          <cell r="AP100">
            <v>3984.9999999999995</v>
          </cell>
          <cell r="AQ100">
            <v>31</v>
          </cell>
          <cell r="AR100">
            <v>258.66000000000003</v>
          </cell>
          <cell r="AS100">
            <v>1</v>
          </cell>
          <cell r="AT100">
            <v>196.66</v>
          </cell>
          <cell r="AU100">
            <v>0</v>
          </cell>
          <cell r="AV100">
            <v>196.66</v>
          </cell>
          <cell r="AW100">
            <v>0</v>
          </cell>
          <cell r="AX100">
            <v>3100.02</v>
          </cell>
          <cell r="AY100">
            <v>2</v>
          </cell>
          <cell r="AZ100">
            <v>3751.9999999999995</v>
          </cell>
          <cell r="BA100">
            <v>3</v>
          </cell>
          <cell r="BB100">
            <v>7018.56</v>
          </cell>
          <cell r="BC100">
            <v>27</v>
          </cell>
          <cell r="BD100">
            <v>5345.96</v>
          </cell>
          <cell r="BE100">
            <v>18</v>
          </cell>
          <cell r="BF100">
            <v>3325.33</v>
          </cell>
          <cell r="BG100">
            <v>17</v>
          </cell>
          <cell r="BH100">
            <v>3643.15</v>
          </cell>
          <cell r="BI100">
            <v>25</v>
          </cell>
          <cell r="BJ100">
            <v>19333</v>
          </cell>
          <cell r="BK100">
            <v>87</v>
          </cell>
          <cell r="BL100">
            <v>456.65</v>
          </cell>
          <cell r="BM100">
            <v>0</v>
          </cell>
          <cell r="BN100">
            <v>456.65</v>
          </cell>
          <cell r="BO100">
            <v>0</v>
          </cell>
          <cell r="BP100">
            <v>420.66</v>
          </cell>
          <cell r="BQ100">
            <v>1</v>
          </cell>
          <cell r="BR100">
            <v>507.04</v>
          </cell>
          <cell r="BS100">
            <v>4</v>
          </cell>
          <cell r="BT100">
            <v>1841.0000000000002</v>
          </cell>
          <cell r="BU100">
            <v>5</v>
          </cell>
          <cell r="BV100">
            <v>93.33</v>
          </cell>
          <cell r="BW100">
            <v>0</v>
          </cell>
          <cell r="BX100">
            <v>93.33</v>
          </cell>
          <cell r="BY100">
            <v>0</v>
          </cell>
          <cell r="BZ100">
            <v>93.33</v>
          </cell>
          <cell r="CA100">
            <v>0</v>
          </cell>
          <cell r="CB100">
            <v>759.01</v>
          </cell>
          <cell r="CC100">
            <v>1</v>
          </cell>
          <cell r="CD100">
            <v>1039</v>
          </cell>
          <cell r="CE100">
            <v>1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22</v>
          </cell>
          <cell r="CQ100">
            <v>1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22</v>
          </cell>
          <cell r="CY100">
            <v>1</v>
          </cell>
          <cell r="CZ100">
            <v>143.33000000000001</v>
          </cell>
          <cell r="DA100">
            <v>1</v>
          </cell>
          <cell r="DB100">
            <v>93.33</v>
          </cell>
          <cell r="DC100">
            <v>0</v>
          </cell>
          <cell r="DD100">
            <v>93.33</v>
          </cell>
          <cell r="DE100">
            <v>0</v>
          </cell>
          <cell r="DF100">
            <v>164.01</v>
          </cell>
          <cell r="DG100">
            <v>1</v>
          </cell>
          <cell r="DH100">
            <v>494</v>
          </cell>
          <cell r="DI100">
            <v>2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H100">
            <v>0</v>
          </cell>
          <cell r="EI100">
            <v>0</v>
          </cell>
        </row>
        <row r="101">
          <cell r="A101" t="str">
            <v>OctFulidhoo</v>
          </cell>
          <cell r="B101" t="str">
            <v>Oct</v>
          </cell>
          <cell r="C101" t="str">
            <v>V.</v>
          </cell>
          <cell r="D101" t="str">
            <v>Fulidhoo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H101">
            <v>0</v>
          </cell>
          <cell r="EI101">
            <v>0</v>
          </cell>
        </row>
        <row r="102">
          <cell r="A102" t="str">
            <v>NovFulidhoo</v>
          </cell>
          <cell r="B102" t="str">
            <v>Nov</v>
          </cell>
          <cell r="C102" t="str">
            <v>V.</v>
          </cell>
          <cell r="D102" t="str">
            <v>Fulidhoo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62585</v>
          </cell>
          <cell r="AB102">
            <v>3002</v>
          </cell>
          <cell r="AC102">
            <v>65587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H102">
            <v>0</v>
          </cell>
          <cell r="EI102">
            <v>0</v>
          </cell>
        </row>
        <row r="103">
          <cell r="A103" t="str">
            <v>DecFulidhoo</v>
          </cell>
          <cell r="B103" t="str">
            <v>Dec</v>
          </cell>
          <cell r="C103" t="str">
            <v>V.</v>
          </cell>
          <cell r="D103" t="str">
            <v>Fulidhoo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52215</v>
          </cell>
          <cell r="AB103">
            <v>3105</v>
          </cell>
          <cell r="AC103">
            <v>55320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H103">
            <v>0</v>
          </cell>
          <cell r="EI103">
            <v>0</v>
          </cell>
        </row>
        <row r="104">
          <cell r="A104" t="str">
            <v>JanGaafaru</v>
          </cell>
          <cell r="B104" t="str">
            <v>Jan</v>
          </cell>
          <cell r="C104" t="str">
            <v>K.</v>
          </cell>
          <cell r="D104" t="str">
            <v>Gaafaru</v>
          </cell>
          <cell r="E104">
            <v>0</v>
          </cell>
          <cell r="F104">
            <v>72409</v>
          </cell>
          <cell r="G104">
            <v>226</v>
          </cell>
          <cell r="H104">
            <v>242</v>
          </cell>
          <cell r="I104">
            <v>1</v>
          </cell>
          <cell r="J104">
            <v>0</v>
          </cell>
          <cell r="K104">
            <v>243</v>
          </cell>
          <cell r="L104">
            <v>226</v>
          </cell>
          <cell r="M104">
            <v>17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243</v>
          </cell>
          <cell r="U104">
            <v>226</v>
          </cell>
          <cell r="V104">
            <v>17</v>
          </cell>
          <cell r="W104">
            <v>47517</v>
          </cell>
          <cell r="X104">
            <v>80913.399999999994</v>
          </cell>
          <cell r="Y104">
            <v>0</v>
          </cell>
          <cell r="Z104">
            <v>80913.399999999994</v>
          </cell>
          <cell r="AA104">
            <v>143020</v>
          </cell>
          <cell r="AB104">
            <v>10423</v>
          </cell>
          <cell r="AC104">
            <v>153443</v>
          </cell>
          <cell r="AD104">
            <v>77</v>
          </cell>
          <cell r="AE104">
            <v>203</v>
          </cell>
          <cell r="AF104">
            <v>29592</v>
          </cell>
          <cell r="AG104">
            <v>159</v>
          </cell>
          <cell r="AH104">
            <v>1372.96</v>
          </cell>
          <cell r="AI104">
            <v>5</v>
          </cell>
          <cell r="AJ104">
            <v>1078.98</v>
          </cell>
          <cell r="AK104">
            <v>3</v>
          </cell>
          <cell r="AL104">
            <v>802.99</v>
          </cell>
          <cell r="AM104">
            <v>2</v>
          </cell>
          <cell r="AN104">
            <v>1927.07</v>
          </cell>
          <cell r="AO104">
            <v>7</v>
          </cell>
          <cell r="AP104">
            <v>5182</v>
          </cell>
          <cell r="AQ104">
            <v>17</v>
          </cell>
          <cell r="AR104">
            <v>196.66</v>
          </cell>
          <cell r="AS104" t="str">
            <v xml:space="preserve"> -   </v>
          </cell>
          <cell r="AT104">
            <v>196.66</v>
          </cell>
          <cell r="AU104" t="str">
            <v xml:space="preserve"> -   </v>
          </cell>
          <cell r="AV104">
            <v>196.66</v>
          </cell>
          <cell r="AW104" t="str">
            <v xml:space="preserve"> -   </v>
          </cell>
          <cell r="AX104">
            <v>4125.0200000000004</v>
          </cell>
          <cell r="AY104">
            <v>2</v>
          </cell>
          <cell r="AZ104">
            <v>4715</v>
          </cell>
          <cell r="BA104">
            <v>2</v>
          </cell>
          <cell r="BB104">
            <v>18987.16</v>
          </cell>
          <cell r="BC104">
            <v>33</v>
          </cell>
          <cell r="BD104">
            <v>15495.34</v>
          </cell>
          <cell r="BE104">
            <v>33</v>
          </cell>
          <cell r="BF104">
            <v>9797.81</v>
          </cell>
          <cell r="BG104">
            <v>62</v>
          </cell>
          <cell r="BH104">
            <v>12074.69</v>
          </cell>
          <cell r="BI104">
            <v>69</v>
          </cell>
          <cell r="BJ104">
            <v>56355</v>
          </cell>
          <cell r="BK104">
            <v>197</v>
          </cell>
          <cell r="BL104">
            <v>421.32</v>
          </cell>
          <cell r="BM104">
            <v>2</v>
          </cell>
          <cell r="BN104">
            <v>337.66</v>
          </cell>
          <cell r="BO104">
            <v>1</v>
          </cell>
          <cell r="BP104">
            <v>309.99</v>
          </cell>
          <cell r="BQ104" t="str">
            <v xml:space="preserve"> -   </v>
          </cell>
          <cell r="BR104">
            <v>2090.0300000000002</v>
          </cell>
          <cell r="BS104">
            <v>3</v>
          </cell>
          <cell r="BT104">
            <v>3159</v>
          </cell>
          <cell r="BU104">
            <v>6</v>
          </cell>
          <cell r="BV104">
            <v>196.66</v>
          </cell>
          <cell r="BW104" t="str">
            <v xml:space="preserve"> -   </v>
          </cell>
          <cell r="BX104">
            <v>106</v>
          </cell>
          <cell r="BY104">
            <v>1</v>
          </cell>
          <cell r="BZ104">
            <v>103.33</v>
          </cell>
          <cell r="CA104" t="str">
            <v xml:space="preserve"> -   </v>
          </cell>
          <cell r="CB104">
            <v>1316.01</v>
          </cell>
          <cell r="CC104">
            <v>1</v>
          </cell>
          <cell r="CD104">
            <v>1722</v>
          </cell>
          <cell r="CE104">
            <v>2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 t="str">
            <v xml:space="preserve"> -   </v>
          </cell>
          <cell r="CO104" t="str">
            <v xml:space="preserve"> -   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 t="str">
            <v xml:space="preserve"> -   </v>
          </cell>
          <cell r="CY104" t="str">
            <v xml:space="preserve"> -   </v>
          </cell>
          <cell r="CZ104">
            <v>206.66</v>
          </cell>
          <cell r="DA104" t="str">
            <v xml:space="preserve"> -   </v>
          </cell>
          <cell r="DB104">
            <v>206.66</v>
          </cell>
          <cell r="DC104" t="str">
            <v xml:space="preserve"> -   </v>
          </cell>
          <cell r="DD104">
            <v>149.66999999999999</v>
          </cell>
          <cell r="DE104">
            <v>1</v>
          </cell>
          <cell r="DF104">
            <v>713.01</v>
          </cell>
          <cell r="DG104">
            <v>1</v>
          </cell>
          <cell r="DH104">
            <v>1276</v>
          </cell>
          <cell r="DI104">
            <v>2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 t="str">
            <v xml:space="preserve"> -   </v>
          </cell>
          <cell r="DS104" t="str">
            <v xml:space="preserve"> -   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 t="str">
            <v xml:space="preserve"> -   </v>
          </cell>
          <cell r="EC104" t="str">
            <v xml:space="preserve"> -   </v>
          </cell>
          <cell r="ED104">
            <v>0</v>
          </cell>
          <cell r="EE104">
            <v>0</v>
          </cell>
          <cell r="EF104">
            <v>0</v>
          </cell>
          <cell r="EH104">
            <v>0</v>
          </cell>
          <cell r="EI104">
            <v>0</v>
          </cell>
        </row>
        <row r="105">
          <cell r="A105" t="str">
            <v>FebGaafaru</v>
          </cell>
          <cell r="B105" t="str">
            <v>Feb</v>
          </cell>
          <cell r="C105" t="str">
            <v>K.</v>
          </cell>
          <cell r="D105" t="str">
            <v>Gaafaru</v>
          </cell>
          <cell r="E105">
            <v>0</v>
          </cell>
          <cell r="F105">
            <v>72310</v>
          </cell>
          <cell r="G105">
            <v>238</v>
          </cell>
          <cell r="H105">
            <v>243</v>
          </cell>
          <cell r="I105">
            <v>2</v>
          </cell>
          <cell r="J105">
            <v>0</v>
          </cell>
          <cell r="K105">
            <v>245</v>
          </cell>
          <cell r="L105">
            <v>238</v>
          </cell>
          <cell r="M105">
            <v>7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245</v>
          </cell>
          <cell r="U105">
            <v>238</v>
          </cell>
          <cell r="V105">
            <v>7</v>
          </cell>
          <cell r="W105">
            <v>67808</v>
          </cell>
          <cell r="X105">
            <v>80691.899999999994</v>
          </cell>
          <cell r="Y105">
            <v>0</v>
          </cell>
          <cell r="Z105">
            <v>80691.91</v>
          </cell>
          <cell r="AA105">
            <v>140717</v>
          </cell>
          <cell r="AB105">
            <v>8887</v>
          </cell>
          <cell r="AC105">
            <v>149604</v>
          </cell>
          <cell r="AD105">
            <v>61</v>
          </cell>
          <cell r="AE105">
            <v>203</v>
          </cell>
          <cell r="AF105">
            <v>27542</v>
          </cell>
          <cell r="AG105">
            <v>65</v>
          </cell>
          <cell r="AH105">
            <v>1377.97</v>
          </cell>
          <cell r="AI105">
            <v>7</v>
          </cell>
          <cell r="AJ105">
            <v>967.99</v>
          </cell>
          <cell r="AK105">
            <v>3</v>
          </cell>
          <cell r="AL105">
            <v>727</v>
          </cell>
          <cell r="AM105">
            <v>2</v>
          </cell>
          <cell r="AN105">
            <v>1925.04</v>
          </cell>
          <cell r="AO105">
            <v>6</v>
          </cell>
          <cell r="AP105">
            <v>4998</v>
          </cell>
          <cell r="AQ105">
            <v>18</v>
          </cell>
          <cell r="AR105">
            <v>206.66</v>
          </cell>
          <cell r="AS105" t="str">
            <v xml:space="preserve"> -   </v>
          </cell>
          <cell r="AT105">
            <v>206.66</v>
          </cell>
          <cell r="AU105" t="str">
            <v xml:space="preserve"> -   </v>
          </cell>
          <cell r="AV105">
            <v>206.66</v>
          </cell>
          <cell r="AW105" t="str">
            <v xml:space="preserve"> -   </v>
          </cell>
          <cell r="AX105">
            <v>4237.0200000000004</v>
          </cell>
          <cell r="AY105">
            <v>2</v>
          </cell>
          <cell r="AZ105">
            <v>4857</v>
          </cell>
          <cell r="BA105">
            <v>2</v>
          </cell>
          <cell r="BB105">
            <v>19542.14</v>
          </cell>
          <cell r="BC105">
            <v>38</v>
          </cell>
          <cell r="BD105">
            <v>15505.36</v>
          </cell>
          <cell r="BE105">
            <v>42</v>
          </cell>
          <cell r="BF105">
            <v>9510.91</v>
          </cell>
          <cell r="BG105">
            <v>68</v>
          </cell>
          <cell r="BH105">
            <v>11335.59</v>
          </cell>
          <cell r="BI105">
            <v>60</v>
          </cell>
          <cell r="BJ105">
            <v>55894</v>
          </cell>
          <cell r="BK105">
            <v>208</v>
          </cell>
          <cell r="BL105">
            <v>424</v>
          </cell>
          <cell r="BM105">
            <v>2</v>
          </cell>
          <cell r="BN105">
            <v>331.34</v>
          </cell>
          <cell r="BO105">
            <v>1</v>
          </cell>
          <cell r="BP105">
            <v>316.67</v>
          </cell>
          <cell r="BQ105">
            <v>3</v>
          </cell>
          <cell r="BR105">
            <v>2012.99</v>
          </cell>
          <cell r="BS105" t="str">
            <v xml:space="preserve"> -   </v>
          </cell>
          <cell r="BT105">
            <v>3085</v>
          </cell>
          <cell r="BU105">
            <v>6</v>
          </cell>
          <cell r="BV105">
            <v>213.34</v>
          </cell>
          <cell r="BW105" t="str">
            <v xml:space="preserve"> -   </v>
          </cell>
          <cell r="BX105">
            <v>120</v>
          </cell>
          <cell r="BY105">
            <v>1</v>
          </cell>
          <cell r="BZ105">
            <v>106.67</v>
          </cell>
          <cell r="CA105">
            <v>1</v>
          </cell>
          <cell r="CB105">
            <v>1759.99</v>
          </cell>
          <cell r="CC105" t="str">
            <v xml:space="preserve"> -   </v>
          </cell>
          <cell r="CD105">
            <v>2200</v>
          </cell>
          <cell r="CE105">
            <v>2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 t="str">
            <v xml:space="preserve"> -   </v>
          </cell>
          <cell r="CO105" t="str">
            <v xml:space="preserve"> -   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 t="str">
            <v xml:space="preserve"> -   </v>
          </cell>
          <cell r="CY105" t="str">
            <v xml:space="preserve"> -   </v>
          </cell>
          <cell r="CZ105">
            <v>206.66</v>
          </cell>
          <cell r="DA105" t="str">
            <v xml:space="preserve"> -   </v>
          </cell>
          <cell r="DB105">
            <v>206.66</v>
          </cell>
          <cell r="DC105" t="str">
            <v xml:space="preserve"> -   </v>
          </cell>
          <cell r="DD105">
            <v>149.66999999999999</v>
          </cell>
          <cell r="DE105">
            <v>1</v>
          </cell>
          <cell r="DF105">
            <v>713.01</v>
          </cell>
          <cell r="DG105">
            <v>1</v>
          </cell>
          <cell r="DH105">
            <v>1276</v>
          </cell>
          <cell r="DI105">
            <v>2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 t="str">
            <v xml:space="preserve"> -   </v>
          </cell>
          <cell r="DS105" t="str">
            <v xml:space="preserve"> -   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 t="str">
            <v xml:space="preserve"> -   </v>
          </cell>
          <cell r="EC105" t="str">
            <v xml:space="preserve"> -   </v>
          </cell>
          <cell r="ED105">
            <v>0</v>
          </cell>
          <cell r="EE105">
            <v>0</v>
          </cell>
          <cell r="EF105">
            <v>0</v>
          </cell>
          <cell r="EH105">
            <v>0</v>
          </cell>
          <cell r="EI105">
            <v>0</v>
          </cell>
        </row>
        <row r="106">
          <cell r="A106" t="str">
            <v>MarGaafaru</v>
          </cell>
          <cell r="B106" t="str">
            <v>Mar</v>
          </cell>
          <cell r="C106" t="str">
            <v>K.</v>
          </cell>
          <cell r="D106" t="str">
            <v>Gaafaru</v>
          </cell>
          <cell r="E106">
            <v>0</v>
          </cell>
          <cell r="F106">
            <v>65810</v>
          </cell>
          <cell r="G106">
            <v>237</v>
          </cell>
          <cell r="H106">
            <v>245</v>
          </cell>
          <cell r="I106">
            <v>0</v>
          </cell>
          <cell r="J106">
            <v>0</v>
          </cell>
          <cell r="K106">
            <v>245</v>
          </cell>
          <cell r="L106">
            <v>237</v>
          </cell>
          <cell r="M106">
            <v>8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245</v>
          </cell>
          <cell r="U106">
            <v>237</v>
          </cell>
          <cell r="V106">
            <v>8</v>
          </cell>
          <cell r="W106">
            <v>85056</v>
          </cell>
          <cell r="X106">
            <v>85056</v>
          </cell>
          <cell r="Y106" t="str">
            <v xml:space="preserve"> -   </v>
          </cell>
          <cell r="Z106">
            <v>85056</v>
          </cell>
          <cell r="AA106">
            <v>167658</v>
          </cell>
          <cell r="AB106">
            <v>11031</v>
          </cell>
          <cell r="AC106">
            <v>178689</v>
          </cell>
          <cell r="AD106">
            <v>73</v>
          </cell>
          <cell r="AE106">
            <v>199</v>
          </cell>
          <cell r="AF106">
            <v>31804</v>
          </cell>
          <cell r="AG106">
            <v>106</v>
          </cell>
          <cell r="AH106">
            <v>1164.7</v>
          </cell>
          <cell r="AI106">
            <v>6</v>
          </cell>
          <cell r="AJ106">
            <v>854.02</v>
          </cell>
          <cell r="AK106">
            <v>2</v>
          </cell>
          <cell r="AL106">
            <v>673.34</v>
          </cell>
          <cell r="AM106">
            <v>3</v>
          </cell>
          <cell r="AN106">
            <v>1496.94</v>
          </cell>
          <cell r="AO106">
            <v>6</v>
          </cell>
          <cell r="AP106">
            <v>4189</v>
          </cell>
          <cell r="AQ106">
            <v>17</v>
          </cell>
          <cell r="AR106">
            <v>173.34</v>
          </cell>
          <cell r="AS106">
            <v>0</v>
          </cell>
          <cell r="AT106">
            <v>173.34</v>
          </cell>
          <cell r="AU106">
            <v>0</v>
          </cell>
          <cell r="AV106">
            <v>173.34</v>
          </cell>
          <cell r="AW106">
            <v>0</v>
          </cell>
          <cell r="AX106">
            <v>4112.9799999999996</v>
          </cell>
          <cell r="AY106">
            <v>2</v>
          </cell>
          <cell r="AZ106">
            <v>4633</v>
          </cell>
          <cell r="BA106">
            <v>2</v>
          </cell>
          <cell r="BB106">
            <v>16212.52</v>
          </cell>
          <cell r="BC106">
            <v>36</v>
          </cell>
          <cell r="BD106">
            <v>13760.96</v>
          </cell>
          <cell r="BE106">
            <v>34</v>
          </cell>
          <cell r="BF106">
            <v>9034.14</v>
          </cell>
          <cell r="BG106">
            <v>65</v>
          </cell>
          <cell r="BH106">
            <v>11947.38</v>
          </cell>
          <cell r="BI106">
            <v>73</v>
          </cell>
          <cell r="BJ106">
            <v>50955</v>
          </cell>
          <cell r="BK106">
            <v>208</v>
          </cell>
          <cell r="BL106">
            <v>349</v>
          </cell>
          <cell r="BM106">
            <v>2</v>
          </cell>
          <cell r="BN106">
            <v>263.66000000000003</v>
          </cell>
          <cell r="BO106">
            <v>1</v>
          </cell>
          <cell r="BP106">
            <v>253.33</v>
          </cell>
          <cell r="BQ106">
            <v>0</v>
          </cell>
          <cell r="BR106">
            <v>1667.01</v>
          </cell>
          <cell r="BS106">
            <v>3</v>
          </cell>
          <cell r="BT106">
            <v>2533</v>
          </cell>
          <cell r="BU106">
            <v>6</v>
          </cell>
          <cell r="BV106">
            <v>166.66</v>
          </cell>
          <cell r="BW106">
            <v>0</v>
          </cell>
          <cell r="BX106">
            <v>111</v>
          </cell>
          <cell r="BY106">
            <v>1</v>
          </cell>
          <cell r="BZ106">
            <v>83.33</v>
          </cell>
          <cell r="CA106">
            <v>0</v>
          </cell>
          <cell r="CB106">
            <v>1945.01</v>
          </cell>
          <cell r="CC106">
            <v>1</v>
          </cell>
          <cell r="CD106">
            <v>2306</v>
          </cell>
          <cell r="CE106">
            <v>2</v>
          </cell>
          <cell r="CF106">
            <v>193.34</v>
          </cell>
          <cell r="CG106">
            <v>0</v>
          </cell>
          <cell r="CH106">
            <v>193.34</v>
          </cell>
          <cell r="CI106">
            <v>0</v>
          </cell>
          <cell r="CJ106">
            <v>140.33000000000001</v>
          </cell>
          <cell r="CK106">
            <v>1</v>
          </cell>
          <cell r="CL106">
            <v>666.99</v>
          </cell>
          <cell r="CM106">
            <v>1</v>
          </cell>
          <cell r="CN106">
            <v>1194</v>
          </cell>
          <cell r="CO106">
            <v>2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 t="str">
            <v xml:space="preserve"> -   </v>
          </cell>
          <cell r="CY106" t="str">
            <v xml:space="preserve"> -   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 t="str">
            <v xml:space="preserve"> -   </v>
          </cell>
          <cell r="DI106" t="str">
            <v xml:space="preserve"> -   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 t="str">
            <v xml:space="preserve"> -   </v>
          </cell>
          <cell r="DS106" t="str">
            <v xml:space="preserve"> -   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0</v>
          </cell>
          <cell r="EB106" t="str">
            <v xml:space="preserve"> -   </v>
          </cell>
          <cell r="EC106" t="str">
            <v xml:space="preserve"> -   </v>
          </cell>
          <cell r="ED106">
            <v>0</v>
          </cell>
          <cell r="EE106">
            <v>0</v>
          </cell>
          <cell r="EF106">
            <v>0</v>
          </cell>
          <cell r="EH106">
            <v>0</v>
          </cell>
          <cell r="EI106">
            <v>0</v>
          </cell>
        </row>
        <row r="107">
          <cell r="A107" t="str">
            <v>AprGaafaru</v>
          </cell>
          <cell r="B107" t="str">
            <v>Apr</v>
          </cell>
          <cell r="C107" t="str">
            <v>K.</v>
          </cell>
          <cell r="D107" t="str">
            <v>Gaafaru</v>
          </cell>
          <cell r="E107">
            <v>0</v>
          </cell>
          <cell r="F107">
            <v>82586</v>
          </cell>
          <cell r="G107">
            <v>236</v>
          </cell>
          <cell r="H107">
            <v>245</v>
          </cell>
          <cell r="I107">
            <v>3</v>
          </cell>
          <cell r="J107">
            <v>1</v>
          </cell>
          <cell r="K107">
            <v>247</v>
          </cell>
          <cell r="L107">
            <v>236</v>
          </cell>
          <cell r="M107">
            <v>11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247</v>
          </cell>
          <cell r="U107">
            <v>236</v>
          </cell>
          <cell r="V107">
            <v>11</v>
          </cell>
          <cell r="W107">
            <v>91824</v>
          </cell>
          <cell r="X107">
            <v>91824</v>
          </cell>
          <cell r="Y107">
            <v>0</v>
          </cell>
          <cell r="Z107">
            <v>91824</v>
          </cell>
          <cell r="AA107">
            <v>168959</v>
          </cell>
          <cell r="AB107">
            <v>10804</v>
          </cell>
          <cell r="AC107">
            <v>179763</v>
          </cell>
          <cell r="AD107">
            <v>80</v>
          </cell>
          <cell r="AE107">
            <v>191</v>
          </cell>
          <cell r="AF107">
            <v>35557</v>
          </cell>
          <cell r="AG107">
            <v>79</v>
          </cell>
          <cell r="AH107">
            <v>1393.33</v>
          </cell>
          <cell r="AI107">
            <v>7</v>
          </cell>
          <cell r="AJ107">
            <v>1021.33</v>
          </cell>
          <cell r="AK107">
            <v>1</v>
          </cell>
          <cell r="AL107">
            <v>903.33</v>
          </cell>
          <cell r="AM107">
            <v>3</v>
          </cell>
          <cell r="AN107">
            <v>2312.0100000000002</v>
          </cell>
          <cell r="AO107">
            <v>6</v>
          </cell>
          <cell r="AP107">
            <v>5630</v>
          </cell>
          <cell r="AQ107">
            <v>17</v>
          </cell>
          <cell r="AR107">
            <v>220</v>
          </cell>
          <cell r="AS107">
            <v>0</v>
          </cell>
          <cell r="AT107">
            <v>220</v>
          </cell>
          <cell r="AU107">
            <v>0</v>
          </cell>
          <cell r="AV107">
            <v>220</v>
          </cell>
          <cell r="AW107">
            <v>0</v>
          </cell>
          <cell r="AX107">
            <v>5380</v>
          </cell>
          <cell r="AY107">
            <v>2</v>
          </cell>
          <cell r="AZ107">
            <v>6040</v>
          </cell>
          <cell r="BA107">
            <v>2</v>
          </cell>
          <cell r="BB107">
            <v>19797.669999999998</v>
          </cell>
          <cell r="BC107">
            <v>39</v>
          </cell>
          <cell r="BD107">
            <v>16708.990000000002</v>
          </cell>
          <cell r="BE107">
            <v>40</v>
          </cell>
          <cell r="BF107">
            <v>11081.33</v>
          </cell>
          <cell r="BG107">
            <v>53</v>
          </cell>
          <cell r="BH107">
            <v>16331.01</v>
          </cell>
          <cell r="BI107">
            <v>75</v>
          </cell>
          <cell r="BJ107">
            <v>63919</v>
          </cell>
          <cell r="BK107">
            <v>207</v>
          </cell>
          <cell r="BL107">
            <v>478</v>
          </cell>
          <cell r="BM107">
            <v>2</v>
          </cell>
          <cell r="BN107">
            <v>354</v>
          </cell>
          <cell r="BO107">
            <v>1</v>
          </cell>
          <cell r="BP107">
            <v>330</v>
          </cell>
          <cell r="BQ107">
            <v>0</v>
          </cell>
          <cell r="BR107">
            <v>2277</v>
          </cell>
          <cell r="BS107">
            <v>3</v>
          </cell>
          <cell r="BT107">
            <v>3439</v>
          </cell>
          <cell r="BU107">
            <v>6</v>
          </cell>
          <cell r="BV107">
            <v>207</v>
          </cell>
          <cell r="BW107">
            <v>1</v>
          </cell>
          <cell r="BX107">
            <v>110</v>
          </cell>
          <cell r="BY107">
            <v>0</v>
          </cell>
          <cell r="BZ107">
            <v>110</v>
          </cell>
          <cell r="CA107">
            <v>0</v>
          </cell>
          <cell r="CB107">
            <v>1855</v>
          </cell>
          <cell r="CC107">
            <v>1</v>
          </cell>
          <cell r="CD107">
            <v>2282</v>
          </cell>
          <cell r="CE107">
            <v>2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200</v>
          </cell>
          <cell r="DA107">
            <v>0</v>
          </cell>
          <cell r="DB107">
            <v>200</v>
          </cell>
          <cell r="DC107">
            <v>0</v>
          </cell>
          <cell r="DD107">
            <v>153</v>
          </cell>
          <cell r="DE107">
            <v>1</v>
          </cell>
          <cell r="DF107">
            <v>723</v>
          </cell>
          <cell r="DG107">
            <v>1</v>
          </cell>
          <cell r="DH107">
            <v>1276</v>
          </cell>
          <cell r="DI107">
            <v>2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H107">
            <v>0</v>
          </cell>
          <cell r="EI107">
            <v>0</v>
          </cell>
        </row>
        <row r="108">
          <cell r="A108" t="str">
            <v>MayGaafaru</v>
          </cell>
          <cell r="B108" t="str">
            <v>May</v>
          </cell>
          <cell r="C108" t="str">
            <v>K.</v>
          </cell>
          <cell r="D108" t="str">
            <v>Gaafaru</v>
          </cell>
          <cell r="E108" t="str">
            <v>billed normal &amp; temp less than billed cons.</v>
          </cell>
          <cell r="F108">
            <v>80136</v>
          </cell>
          <cell r="G108">
            <v>244</v>
          </cell>
          <cell r="H108">
            <v>247</v>
          </cell>
          <cell r="I108">
            <v>1</v>
          </cell>
          <cell r="J108">
            <v>0</v>
          </cell>
          <cell r="K108">
            <v>248</v>
          </cell>
          <cell r="L108">
            <v>243</v>
          </cell>
          <cell r="M108">
            <v>5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248</v>
          </cell>
          <cell r="U108">
            <v>243</v>
          </cell>
          <cell r="V108">
            <v>5</v>
          </cell>
          <cell r="W108">
            <v>86817</v>
          </cell>
          <cell r="X108">
            <v>86817</v>
          </cell>
          <cell r="Y108">
            <v>0</v>
          </cell>
          <cell r="Z108">
            <v>86817</v>
          </cell>
          <cell r="AA108">
            <v>152706</v>
          </cell>
          <cell r="AB108">
            <v>10827</v>
          </cell>
          <cell r="AC108">
            <v>163533</v>
          </cell>
          <cell r="AD108">
            <v>79</v>
          </cell>
          <cell r="AE108">
            <v>209</v>
          </cell>
          <cell r="AF108">
            <v>29816</v>
          </cell>
          <cell r="AG108">
            <v>151</v>
          </cell>
          <cell r="AH108">
            <v>1159.7</v>
          </cell>
          <cell r="AI108">
            <v>7</v>
          </cell>
          <cell r="AJ108">
            <v>1040.3599999999999</v>
          </cell>
          <cell r="AK108">
            <v>1</v>
          </cell>
          <cell r="AL108">
            <v>902.99</v>
          </cell>
          <cell r="AM108">
            <v>4</v>
          </cell>
          <cell r="AN108">
            <v>2046.95</v>
          </cell>
          <cell r="AO108">
            <v>6</v>
          </cell>
          <cell r="AP108">
            <v>5150</v>
          </cell>
          <cell r="AQ108">
            <v>18</v>
          </cell>
          <cell r="AR108">
            <v>193.34</v>
          </cell>
          <cell r="AS108">
            <v>0</v>
          </cell>
          <cell r="AT108">
            <v>193.34</v>
          </cell>
          <cell r="AU108">
            <v>0</v>
          </cell>
          <cell r="AV108">
            <v>193.34</v>
          </cell>
          <cell r="AW108">
            <v>0</v>
          </cell>
          <cell r="AX108">
            <v>5787.98</v>
          </cell>
          <cell r="AY108">
            <v>2</v>
          </cell>
          <cell r="AZ108">
            <v>6368</v>
          </cell>
          <cell r="BA108">
            <v>2</v>
          </cell>
          <cell r="BB108">
            <v>18744.88</v>
          </cell>
          <cell r="BC108">
            <v>42</v>
          </cell>
          <cell r="BD108">
            <v>15852.74</v>
          </cell>
          <cell r="BE108">
            <v>26</v>
          </cell>
          <cell r="BF108">
            <v>11012.18</v>
          </cell>
          <cell r="BG108">
            <v>66</v>
          </cell>
          <cell r="BH108">
            <v>15976.2</v>
          </cell>
          <cell r="BI108">
            <v>80</v>
          </cell>
          <cell r="BJ108">
            <v>61586</v>
          </cell>
          <cell r="BK108">
            <v>214</v>
          </cell>
          <cell r="BL108">
            <v>486.01</v>
          </cell>
          <cell r="BM108">
            <v>3</v>
          </cell>
          <cell r="BN108">
            <v>290.01</v>
          </cell>
          <cell r="BO108">
            <v>0</v>
          </cell>
          <cell r="BP108">
            <v>290.01</v>
          </cell>
          <cell r="BQ108">
            <v>0</v>
          </cell>
          <cell r="BR108">
            <v>2063.9699999999998</v>
          </cell>
          <cell r="BS108">
            <v>3</v>
          </cell>
          <cell r="BT108">
            <v>3130</v>
          </cell>
          <cell r="BU108">
            <v>6</v>
          </cell>
          <cell r="BV108">
            <v>193.34</v>
          </cell>
          <cell r="BW108">
            <v>0</v>
          </cell>
          <cell r="BX108">
            <v>112</v>
          </cell>
          <cell r="BY108">
            <v>1</v>
          </cell>
          <cell r="BZ108">
            <v>96.67</v>
          </cell>
          <cell r="CA108">
            <v>0</v>
          </cell>
          <cell r="CB108">
            <v>2305.9899999999998</v>
          </cell>
          <cell r="CC108">
            <v>1</v>
          </cell>
          <cell r="CD108">
            <v>2708</v>
          </cell>
          <cell r="CE108">
            <v>2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193.34</v>
          </cell>
          <cell r="DA108">
            <v>0</v>
          </cell>
          <cell r="DB108">
            <v>193.34</v>
          </cell>
          <cell r="DC108">
            <v>0</v>
          </cell>
          <cell r="DD108">
            <v>140.33000000000001</v>
          </cell>
          <cell r="DE108">
            <v>1</v>
          </cell>
          <cell r="DF108">
            <v>666.99</v>
          </cell>
          <cell r="DG108">
            <v>1</v>
          </cell>
          <cell r="DH108">
            <v>1194</v>
          </cell>
          <cell r="DI108">
            <v>2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H108">
            <v>0</v>
          </cell>
          <cell r="EI108">
            <v>0</v>
          </cell>
        </row>
        <row r="109">
          <cell r="A109" t="str">
            <v>JunGaafaru</v>
          </cell>
          <cell r="B109" t="str">
            <v>Jun</v>
          </cell>
          <cell r="C109" t="str">
            <v>K.</v>
          </cell>
          <cell r="D109" t="str">
            <v>Gaafaru</v>
          </cell>
          <cell r="E109">
            <v>0</v>
          </cell>
          <cell r="F109">
            <v>80933</v>
          </cell>
          <cell r="G109">
            <v>241</v>
          </cell>
          <cell r="H109">
            <v>248</v>
          </cell>
          <cell r="I109">
            <v>0</v>
          </cell>
          <cell r="J109">
            <v>0</v>
          </cell>
          <cell r="K109">
            <v>248</v>
          </cell>
          <cell r="L109">
            <v>241</v>
          </cell>
          <cell r="M109">
            <v>7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248</v>
          </cell>
          <cell r="U109">
            <v>241</v>
          </cell>
          <cell r="V109">
            <v>7</v>
          </cell>
          <cell r="W109">
            <v>90402</v>
          </cell>
          <cell r="X109">
            <v>90402</v>
          </cell>
          <cell r="Y109">
            <v>0</v>
          </cell>
          <cell r="Z109">
            <v>90402</v>
          </cell>
          <cell r="AA109">
            <v>191951</v>
          </cell>
          <cell r="AB109">
            <v>10137</v>
          </cell>
          <cell r="AC109">
            <v>202088</v>
          </cell>
          <cell r="AD109">
            <v>73</v>
          </cell>
          <cell r="AE109">
            <v>199</v>
          </cell>
          <cell r="AF109">
            <v>29596</v>
          </cell>
          <cell r="AG109">
            <v>80</v>
          </cell>
          <cell r="AH109">
            <v>1258.03</v>
          </cell>
          <cell r="AI109">
            <v>7</v>
          </cell>
          <cell r="AJ109">
            <v>997.35</v>
          </cell>
          <cell r="AK109">
            <v>2</v>
          </cell>
          <cell r="AL109">
            <v>750.65</v>
          </cell>
          <cell r="AM109">
            <v>4</v>
          </cell>
          <cell r="AN109">
            <v>684.97</v>
          </cell>
          <cell r="AO109">
            <v>5</v>
          </cell>
          <cell r="AP109">
            <v>3691</v>
          </cell>
          <cell r="AQ109">
            <v>18</v>
          </cell>
          <cell r="AR109">
            <v>213.34</v>
          </cell>
          <cell r="AS109">
            <v>0</v>
          </cell>
          <cell r="AT109">
            <v>213.34</v>
          </cell>
          <cell r="AU109">
            <v>0</v>
          </cell>
          <cell r="AV109">
            <v>213.34</v>
          </cell>
          <cell r="AW109">
            <v>0</v>
          </cell>
          <cell r="AX109">
            <v>6421.98</v>
          </cell>
          <cell r="AY109">
            <v>2</v>
          </cell>
          <cell r="AZ109">
            <v>7062</v>
          </cell>
          <cell r="BA109">
            <v>2</v>
          </cell>
          <cell r="BB109">
            <v>19961.89</v>
          </cell>
          <cell r="BC109">
            <v>39</v>
          </cell>
          <cell r="BD109">
            <v>16908.669999999998</v>
          </cell>
          <cell r="BE109">
            <v>33</v>
          </cell>
          <cell r="BF109">
            <v>11540.23</v>
          </cell>
          <cell r="BG109">
            <v>57</v>
          </cell>
          <cell r="BH109">
            <v>15264.21</v>
          </cell>
          <cell r="BI109">
            <v>82</v>
          </cell>
          <cell r="BJ109">
            <v>63675</v>
          </cell>
          <cell r="BK109">
            <v>211</v>
          </cell>
          <cell r="BL109">
            <v>453.01</v>
          </cell>
          <cell r="BM109">
            <v>3</v>
          </cell>
          <cell r="BN109">
            <v>320.01</v>
          </cell>
          <cell r="BO109">
            <v>0</v>
          </cell>
          <cell r="BP109">
            <v>320.01</v>
          </cell>
          <cell r="BQ109">
            <v>0</v>
          </cell>
          <cell r="BR109">
            <v>2187.9699999999998</v>
          </cell>
          <cell r="BS109">
            <v>3</v>
          </cell>
          <cell r="BT109">
            <v>3281</v>
          </cell>
          <cell r="BU109">
            <v>6</v>
          </cell>
          <cell r="BV109">
            <v>171.67</v>
          </cell>
          <cell r="BW109">
            <v>1</v>
          </cell>
          <cell r="BX109">
            <v>106.67</v>
          </cell>
          <cell r="BY109">
            <v>0</v>
          </cell>
          <cell r="BZ109">
            <v>106.67</v>
          </cell>
          <cell r="CA109">
            <v>0</v>
          </cell>
          <cell r="CB109">
            <v>1521.99</v>
          </cell>
          <cell r="CC109">
            <v>1</v>
          </cell>
          <cell r="CD109">
            <v>1907.0000000000002</v>
          </cell>
          <cell r="CE109">
            <v>2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213.34</v>
          </cell>
          <cell r="DA109">
            <v>0</v>
          </cell>
          <cell r="DB109">
            <v>213.34</v>
          </cell>
          <cell r="DC109">
            <v>0</v>
          </cell>
          <cell r="DD109">
            <v>154.33000000000001</v>
          </cell>
          <cell r="DE109">
            <v>1</v>
          </cell>
          <cell r="DF109">
            <v>735.99</v>
          </cell>
          <cell r="DG109">
            <v>1</v>
          </cell>
          <cell r="DH109">
            <v>1317</v>
          </cell>
          <cell r="DI109">
            <v>2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H109">
            <v>0</v>
          </cell>
          <cell r="EI109">
            <v>0</v>
          </cell>
        </row>
        <row r="110">
          <cell r="A110" t="str">
            <v>JulGaafaru</v>
          </cell>
          <cell r="B110" t="str">
            <v>Jul</v>
          </cell>
          <cell r="C110" t="str">
            <v>K.</v>
          </cell>
          <cell r="D110" t="str">
            <v>Gaafaru</v>
          </cell>
          <cell r="E110">
            <v>0</v>
          </cell>
          <cell r="F110">
            <v>86005</v>
          </cell>
          <cell r="G110">
            <v>244</v>
          </cell>
          <cell r="H110">
            <v>248</v>
          </cell>
          <cell r="I110">
            <v>6</v>
          </cell>
          <cell r="J110">
            <v>0</v>
          </cell>
          <cell r="K110">
            <v>254</v>
          </cell>
          <cell r="L110">
            <v>244</v>
          </cell>
          <cell r="M110">
            <v>10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254</v>
          </cell>
          <cell r="U110">
            <v>244</v>
          </cell>
          <cell r="V110">
            <v>10</v>
          </cell>
          <cell r="W110">
            <v>95609</v>
          </cell>
          <cell r="X110">
            <v>95609</v>
          </cell>
          <cell r="Y110">
            <v>0</v>
          </cell>
          <cell r="Z110">
            <v>95609</v>
          </cell>
          <cell r="AA110">
            <v>127532</v>
          </cell>
          <cell r="AB110">
            <v>5254</v>
          </cell>
          <cell r="AC110">
            <v>132786</v>
          </cell>
          <cell r="AD110">
            <v>80</v>
          </cell>
          <cell r="AE110">
            <v>203</v>
          </cell>
          <cell r="AF110">
            <v>33696</v>
          </cell>
          <cell r="AG110">
            <v>64</v>
          </cell>
          <cell r="AH110">
            <v>1229.3699999999999</v>
          </cell>
          <cell r="AI110">
            <v>6</v>
          </cell>
          <cell r="AJ110">
            <v>1033.69</v>
          </cell>
          <cell r="AK110">
            <v>2</v>
          </cell>
          <cell r="AL110">
            <v>713.97</v>
          </cell>
          <cell r="AM110">
            <v>6</v>
          </cell>
          <cell r="AN110">
            <v>1147.97</v>
          </cell>
          <cell r="AO110">
            <v>3</v>
          </cell>
          <cell r="AP110">
            <v>4125</v>
          </cell>
          <cell r="AQ110">
            <v>17</v>
          </cell>
          <cell r="AR110">
            <v>193.34</v>
          </cell>
          <cell r="AS110">
            <v>0</v>
          </cell>
          <cell r="AT110">
            <v>193.34</v>
          </cell>
          <cell r="AU110">
            <v>0</v>
          </cell>
          <cell r="AV110">
            <v>193.34</v>
          </cell>
          <cell r="AW110">
            <v>0</v>
          </cell>
          <cell r="AX110">
            <v>5782.98</v>
          </cell>
          <cell r="AY110">
            <v>2</v>
          </cell>
          <cell r="AZ110">
            <v>6363</v>
          </cell>
          <cell r="BA110">
            <v>2</v>
          </cell>
          <cell r="BB110">
            <v>18862.57</v>
          </cell>
          <cell r="BC110">
            <v>40</v>
          </cell>
          <cell r="BD110">
            <v>16149.75</v>
          </cell>
          <cell r="BE110">
            <v>23</v>
          </cell>
          <cell r="BF110">
            <v>12369.68</v>
          </cell>
          <cell r="BG110">
            <v>49</v>
          </cell>
          <cell r="BH110">
            <v>20751</v>
          </cell>
          <cell r="BI110">
            <v>102</v>
          </cell>
          <cell r="BJ110">
            <v>68133</v>
          </cell>
          <cell r="BK110">
            <v>214</v>
          </cell>
          <cell r="BL110">
            <v>972.35</v>
          </cell>
          <cell r="BM110">
            <v>2</v>
          </cell>
          <cell r="BN110">
            <v>814.01</v>
          </cell>
          <cell r="BO110">
            <v>1</v>
          </cell>
          <cell r="BP110">
            <v>756.68</v>
          </cell>
          <cell r="BQ110">
            <v>4</v>
          </cell>
          <cell r="BR110">
            <v>1719.96</v>
          </cell>
          <cell r="BS110">
            <v>0</v>
          </cell>
          <cell r="BT110">
            <v>4263</v>
          </cell>
          <cell r="BU110">
            <v>7</v>
          </cell>
          <cell r="BV110">
            <v>155.66999999999999</v>
          </cell>
          <cell r="BW110">
            <v>1</v>
          </cell>
          <cell r="BX110">
            <v>96.67</v>
          </cell>
          <cell r="BY110">
            <v>0</v>
          </cell>
          <cell r="BZ110">
            <v>96.67</v>
          </cell>
          <cell r="CA110">
            <v>0</v>
          </cell>
          <cell r="CB110">
            <v>1577.99</v>
          </cell>
          <cell r="CC110">
            <v>1</v>
          </cell>
          <cell r="CD110">
            <v>1927.0000000000002</v>
          </cell>
          <cell r="CE110">
            <v>2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193.34</v>
          </cell>
          <cell r="DA110">
            <v>0</v>
          </cell>
          <cell r="DB110">
            <v>193.34</v>
          </cell>
          <cell r="DC110">
            <v>0</v>
          </cell>
          <cell r="DD110">
            <v>140.33000000000001</v>
          </cell>
          <cell r="DE110">
            <v>1</v>
          </cell>
          <cell r="DF110">
            <v>666.99</v>
          </cell>
          <cell r="DG110">
            <v>1</v>
          </cell>
          <cell r="DH110">
            <v>1194</v>
          </cell>
          <cell r="DI110">
            <v>2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H110">
            <v>0</v>
          </cell>
          <cell r="EI110">
            <v>0</v>
          </cell>
        </row>
        <row r="111">
          <cell r="A111" t="str">
            <v>AugGaafaru</v>
          </cell>
          <cell r="B111" t="str">
            <v>Aug</v>
          </cell>
          <cell r="C111" t="str">
            <v>K.</v>
          </cell>
          <cell r="D111" t="str">
            <v>Gaafaru</v>
          </cell>
          <cell r="E111" t="str">
            <v>usage units less than billed</v>
          </cell>
          <cell r="F111">
            <v>80294</v>
          </cell>
          <cell r="G111">
            <v>245</v>
          </cell>
          <cell r="H111">
            <v>254</v>
          </cell>
          <cell r="I111">
            <v>0</v>
          </cell>
          <cell r="J111">
            <v>0</v>
          </cell>
          <cell r="K111">
            <v>254</v>
          </cell>
          <cell r="L111">
            <v>245</v>
          </cell>
          <cell r="M111">
            <v>9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254</v>
          </cell>
          <cell r="U111">
            <v>245</v>
          </cell>
          <cell r="V111">
            <v>9</v>
          </cell>
          <cell r="W111">
            <v>88511</v>
          </cell>
          <cell r="X111">
            <v>88511</v>
          </cell>
          <cell r="Y111">
            <v>0</v>
          </cell>
          <cell r="Z111">
            <v>88511</v>
          </cell>
          <cell r="AA111">
            <v>116371</v>
          </cell>
          <cell r="AB111">
            <v>4901</v>
          </cell>
          <cell r="AC111">
            <v>121272</v>
          </cell>
          <cell r="AD111">
            <v>72</v>
          </cell>
          <cell r="AE111">
            <v>194</v>
          </cell>
          <cell r="AF111">
            <v>29242</v>
          </cell>
          <cell r="AG111">
            <v>69</v>
          </cell>
          <cell r="AH111">
            <v>1445.7</v>
          </cell>
          <cell r="AI111">
            <v>6</v>
          </cell>
          <cell r="AJ111">
            <v>1093.02</v>
          </cell>
          <cell r="AK111">
            <v>2</v>
          </cell>
          <cell r="AL111">
            <v>858.33</v>
          </cell>
          <cell r="AM111">
            <v>5</v>
          </cell>
          <cell r="AN111">
            <v>1024.95</v>
          </cell>
          <cell r="AO111">
            <v>5</v>
          </cell>
          <cell r="AP111">
            <v>4422</v>
          </cell>
          <cell r="AQ111">
            <v>18</v>
          </cell>
          <cell r="AR111">
            <v>213.34</v>
          </cell>
          <cell r="AS111">
            <v>0</v>
          </cell>
          <cell r="AT111">
            <v>213.34</v>
          </cell>
          <cell r="AU111">
            <v>0</v>
          </cell>
          <cell r="AV111">
            <v>213.34</v>
          </cell>
          <cell r="AW111">
            <v>0</v>
          </cell>
          <cell r="AX111">
            <v>5257.98</v>
          </cell>
          <cell r="AY111">
            <v>2</v>
          </cell>
          <cell r="AZ111">
            <v>5898</v>
          </cell>
          <cell r="BA111">
            <v>2</v>
          </cell>
          <cell r="BB111">
            <v>20152.560000000001</v>
          </cell>
          <cell r="BC111">
            <v>44</v>
          </cell>
          <cell r="BD111">
            <v>16634.32</v>
          </cell>
          <cell r="BE111">
            <v>36</v>
          </cell>
          <cell r="BF111">
            <v>11281.92</v>
          </cell>
          <cell r="BG111">
            <v>52</v>
          </cell>
          <cell r="BH111">
            <v>14019.2</v>
          </cell>
          <cell r="BI111">
            <v>82</v>
          </cell>
          <cell r="BJ111">
            <v>62088</v>
          </cell>
          <cell r="BK111">
            <v>214</v>
          </cell>
          <cell r="BL111">
            <v>591.33000000000004</v>
          </cell>
          <cell r="BM111">
            <v>2</v>
          </cell>
          <cell r="BN111">
            <v>427.99</v>
          </cell>
          <cell r="BO111">
            <v>1</v>
          </cell>
          <cell r="BP111">
            <v>416.66</v>
          </cell>
          <cell r="BQ111">
            <v>0</v>
          </cell>
          <cell r="BR111">
            <v>2463.02</v>
          </cell>
          <cell r="BS111">
            <v>4</v>
          </cell>
          <cell r="BT111">
            <v>3899</v>
          </cell>
          <cell r="BU111">
            <v>7</v>
          </cell>
          <cell r="BV111">
            <v>200</v>
          </cell>
          <cell r="BW111">
            <v>0</v>
          </cell>
          <cell r="BX111">
            <v>112.66</v>
          </cell>
          <cell r="BY111">
            <v>1</v>
          </cell>
          <cell r="BZ111">
            <v>103.33</v>
          </cell>
          <cell r="CA111">
            <v>0</v>
          </cell>
          <cell r="CB111">
            <v>2254.0100000000002</v>
          </cell>
          <cell r="CC111">
            <v>1</v>
          </cell>
          <cell r="CD111">
            <v>2670</v>
          </cell>
          <cell r="CE111">
            <v>2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213.34</v>
          </cell>
          <cell r="DA111">
            <v>0</v>
          </cell>
          <cell r="DB111">
            <v>213.34</v>
          </cell>
          <cell r="DC111">
            <v>0</v>
          </cell>
          <cell r="DD111">
            <v>154.33000000000001</v>
          </cell>
          <cell r="DE111">
            <v>1</v>
          </cell>
          <cell r="DF111">
            <v>735.99</v>
          </cell>
          <cell r="DG111">
            <v>1</v>
          </cell>
          <cell r="DH111">
            <v>1317</v>
          </cell>
          <cell r="DI111">
            <v>2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H111">
            <v>0</v>
          </cell>
          <cell r="EI111">
            <v>0</v>
          </cell>
        </row>
        <row r="112">
          <cell r="A112" t="str">
            <v>SepGaafaru</v>
          </cell>
          <cell r="B112" t="str">
            <v>Sep</v>
          </cell>
          <cell r="C112" t="str">
            <v>K.</v>
          </cell>
          <cell r="D112" t="str">
            <v>Gaafaru</v>
          </cell>
          <cell r="E112" t="str">
            <v>usage units less than billed</v>
          </cell>
          <cell r="F112">
            <v>76610</v>
          </cell>
          <cell r="G112">
            <v>245</v>
          </cell>
          <cell r="H112">
            <v>254</v>
          </cell>
          <cell r="I112">
            <v>2</v>
          </cell>
          <cell r="J112">
            <v>0</v>
          </cell>
          <cell r="K112">
            <v>256</v>
          </cell>
          <cell r="L112">
            <v>245</v>
          </cell>
          <cell r="M112">
            <v>11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256</v>
          </cell>
          <cell r="U112">
            <v>245</v>
          </cell>
          <cell r="V112">
            <v>11</v>
          </cell>
          <cell r="W112">
            <v>84867</v>
          </cell>
          <cell r="X112">
            <v>84867</v>
          </cell>
          <cell r="Y112">
            <v>0</v>
          </cell>
          <cell r="Z112">
            <v>84867</v>
          </cell>
          <cell r="AA112">
            <v>137992</v>
          </cell>
          <cell r="AB112">
            <v>5956</v>
          </cell>
          <cell r="AC112">
            <v>143948</v>
          </cell>
          <cell r="AD112">
            <v>72</v>
          </cell>
          <cell r="AE112">
            <v>193</v>
          </cell>
          <cell r="AF112">
            <v>28375</v>
          </cell>
          <cell r="AG112">
            <v>63</v>
          </cell>
          <cell r="AH112">
            <v>1339.34</v>
          </cell>
          <cell r="AI112">
            <v>6</v>
          </cell>
          <cell r="AJ112">
            <v>1042</v>
          </cell>
          <cell r="AK112">
            <v>2</v>
          </cell>
          <cell r="AL112">
            <v>760.67</v>
          </cell>
          <cell r="AM112">
            <v>5</v>
          </cell>
          <cell r="AN112">
            <v>1383.99</v>
          </cell>
          <cell r="AO112">
            <v>5</v>
          </cell>
          <cell r="AP112">
            <v>4526</v>
          </cell>
          <cell r="AQ112">
            <v>18</v>
          </cell>
          <cell r="AR112">
            <v>226.67</v>
          </cell>
          <cell r="AS112">
            <v>0</v>
          </cell>
          <cell r="AT112">
            <v>226.67</v>
          </cell>
          <cell r="AU112">
            <v>0</v>
          </cell>
          <cell r="AV112">
            <v>226.67</v>
          </cell>
          <cell r="AW112">
            <v>0</v>
          </cell>
          <cell r="AX112">
            <v>6025.99</v>
          </cell>
          <cell r="AY112">
            <v>2</v>
          </cell>
          <cell r="AZ112">
            <v>6706</v>
          </cell>
          <cell r="BA112">
            <v>2</v>
          </cell>
          <cell r="BB112">
            <v>19244.02</v>
          </cell>
          <cell r="BC112">
            <v>41</v>
          </cell>
          <cell r="BD112">
            <v>15997.32</v>
          </cell>
          <cell r="BE112">
            <v>44</v>
          </cell>
          <cell r="BF112">
            <v>10286.66</v>
          </cell>
          <cell r="BG112">
            <v>52</v>
          </cell>
          <cell r="BH112">
            <v>12226</v>
          </cell>
          <cell r="BI112">
            <v>77</v>
          </cell>
          <cell r="BJ112">
            <v>57754</v>
          </cell>
          <cell r="BK112">
            <v>214</v>
          </cell>
          <cell r="BL112">
            <v>646.32000000000005</v>
          </cell>
          <cell r="BM112">
            <v>1</v>
          </cell>
          <cell r="BN112">
            <v>463.66</v>
          </cell>
          <cell r="BO112">
            <v>2</v>
          </cell>
          <cell r="BP112">
            <v>389.99</v>
          </cell>
          <cell r="BQ112">
            <v>0</v>
          </cell>
          <cell r="BR112">
            <v>2147.0300000000002</v>
          </cell>
          <cell r="BS112">
            <v>4</v>
          </cell>
          <cell r="BT112">
            <v>3647</v>
          </cell>
          <cell r="BU112">
            <v>7</v>
          </cell>
          <cell r="BV112">
            <v>170.33</v>
          </cell>
          <cell r="BW112">
            <v>1</v>
          </cell>
          <cell r="BX112">
            <v>93.33</v>
          </cell>
          <cell r="BY112">
            <v>0</v>
          </cell>
          <cell r="BZ112">
            <v>93.33</v>
          </cell>
          <cell r="CA112">
            <v>0</v>
          </cell>
          <cell r="CB112">
            <v>2385.0100000000002</v>
          </cell>
          <cell r="CC112">
            <v>1</v>
          </cell>
          <cell r="CD112">
            <v>2742</v>
          </cell>
          <cell r="CE112">
            <v>2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200</v>
          </cell>
          <cell r="DA112">
            <v>0</v>
          </cell>
          <cell r="DB112">
            <v>200</v>
          </cell>
          <cell r="DC112">
            <v>0</v>
          </cell>
          <cell r="DD112">
            <v>145</v>
          </cell>
          <cell r="DE112">
            <v>1</v>
          </cell>
          <cell r="DF112">
            <v>690</v>
          </cell>
          <cell r="DG112">
            <v>1</v>
          </cell>
          <cell r="DH112">
            <v>1235</v>
          </cell>
          <cell r="DI112">
            <v>2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H112">
            <v>0</v>
          </cell>
          <cell r="EI112">
            <v>0</v>
          </cell>
        </row>
        <row r="113">
          <cell r="A113" t="str">
            <v>OctGaafaru</v>
          </cell>
          <cell r="B113" t="str">
            <v>Oct</v>
          </cell>
          <cell r="C113" t="str">
            <v>K.</v>
          </cell>
          <cell r="D113" t="str">
            <v>Gaafaru</v>
          </cell>
          <cell r="E113" t="str">
            <v>usage units less than billed</v>
          </cell>
          <cell r="F113">
            <v>77301.98</v>
          </cell>
          <cell r="G113">
            <v>248</v>
          </cell>
          <cell r="H113">
            <v>256</v>
          </cell>
          <cell r="I113">
            <v>1</v>
          </cell>
          <cell r="J113">
            <v>0</v>
          </cell>
          <cell r="K113">
            <v>257</v>
          </cell>
          <cell r="L113">
            <v>248</v>
          </cell>
          <cell r="M113">
            <v>9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257</v>
          </cell>
          <cell r="U113">
            <v>248</v>
          </cell>
          <cell r="V113">
            <v>9</v>
          </cell>
          <cell r="W113">
            <v>88112</v>
          </cell>
          <cell r="X113">
            <v>88112</v>
          </cell>
          <cell r="Y113">
            <v>0</v>
          </cell>
          <cell r="Z113">
            <v>88112</v>
          </cell>
          <cell r="AA113">
            <v>77302</v>
          </cell>
          <cell r="AB113">
            <v>3225</v>
          </cell>
          <cell r="AC113">
            <v>80527</v>
          </cell>
          <cell r="AD113">
            <v>77</v>
          </cell>
          <cell r="AE113">
            <v>197</v>
          </cell>
          <cell r="AF113">
            <v>34277</v>
          </cell>
          <cell r="AG113">
            <v>105</v>
          </cell>
          <cell r="AH113">
            <v>1342.33</v>
          </cell>
          <cell r="AI113">
            <v>7</v>
          </cell>
          <cell r="AJ113">
            <v>1063.33</v>
          </cell>
          <cell r="AK113">
            <v>2</v>
          </cell>
          <cell r="AL113">
            <v>896.34</v>
          </cell>
          <cell r="AM113">
            <v>3</v>
          </cell>
          <cell r="AN113">
            <v>1851</v>
          </cell>
          <cell r="AO113">
            <v>7</v>
          </cell>
          <cell r="AP113">
            <v>5153</v>
          </cell>
          <cell r="AQ113">
            <v>19</v>
          </cell>
          <cell r="AR113">
            <v>173.33</v>
          </cell>
          <cell r="AS113">
            <v>0</v>
          </cell>
          <cell r="AT113">
            <v>173.33</v>
          </cell>
          <cell r="AU113">
            <v>0</v>
          </cell>
          <cell r="AV113">
            <v>173.33</v>
          </cell>
          <cell r="AW113">
            <v>0</v>
          </cell>
          <cell r="AX113">
            <v>4231.01</v>
          </cell>
          <cell r="AY113">
            <v>2</v>
          </cell>
          <cell r="AZ113">
            <v>4751</v>
          </cell>
          <cell r="BA113">
            <v>2</v>
          </cell>
          <cell r="BB113">
            <v>19353.98</v>
          </cell>
          <cell r="BC113">
            <v>40</v>
          </cell>
          <cell r="BD113">
            <v>16102.66</v>
          </cell>
          <cell r="BE113">
            <v>37</v>
          </cell>
          <cell r="BF113">
            <v>10686.34</v>
          </cell>
          <cell r="BG113">
            <v>59</v>
          </cell>
          <cell r="BH113">
            <v>14195</v>
          </cell>
          <cell r="BI113">
            <v>80</v>
          </cell>
          <cell r="BJ113">
            <v>60337.979999999996</v>
          </cell>
          <cell r="BK113">
            <v>216</v>
          </cell>
          <cell r="BL113">
            <v>671</v>
          </cell>
          <cell r="BM113">
            <v>1</v>
          </cell>
          <cell r="BN113">
            <v>568</v>
          </cell>
          <cell r="BO113">
            <v>1</v>
          </cell>
          <cell r="BP113">
            <v>421</v>
          </cell>
          <cell r="BQ113">
            <v>1</v>
          </cell>
          <cell r="BR113">
            <v>1792</v>
          </cell>
          <cell r="BS113">
            <v>4</v>
          </cell>
          <cell r="BT113">
            <v>3452</v>
          </cell>
          <cell r="BU113">
            <v>7</v>
          </cell>
          <cell r="BV113">
            <v>219</v>
          </cell>
          <cell r="BW113">
            <v>1</v>
          </cell>
          <cell r="BX113">
            <v>110</v>
          </cell>
          <cell r="BY113">
            <v>0</v>
          </cell>
          <cell r="BZ113">
            <v>110</v>
          </cell>
          <cell r="CA113">
            <v>0</v>
          </cell>
          <cell r="CB113">
            <v>1934</v>
          </cell>
          <cell r="CC113">
            <v>1</v>
          </cell>
          <cell r="CD113">
            <v>2373</v>
          </cell>
          <cell r="CE113">
            <v>2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200</v>
          </cell>
          <cell r="DA113">
            <v>0</v>
          </cell>
          <cell r="DB113">
            <v>200</v>
          </cell>
          <cell r="DC113">
            <v>0</v>
          </cell>
          <cell r="DD113">
            <v>145</v>
          </cell>
          <cell r="DE113">
            <v>1</v>
          </cell>
          <cell r="DF113">
            <v>690</v>
          </cell>
          <cell r="DG113">
            <v>1</v>
          </cell>
          <cell r="DH113">
            <v>1235</v>
          </cell>
          <cell r="DI113">
            <v>2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0</v>
          </cell>
          <cell r="EB113">
            <v>0</v>
          </cell>
          <cell r="EC113">
            <v>0</v>
          </cell>
          <cell r="ED113">
            <v>0</v>
          </cell>
          <cell r="EE113">
            <v>0</v>
          </cell>
          <cell r="EF113">
            <v>0</v>
          </cell>
          <cell r="EH113">
            <v>0</v>
          </cell>
          <cell r="EI113">
            <v>0</v>
          </cell>
        </row>
        <row r="114">
          <cell r="A114" t="str">
            <v>NovGaafaru</v>
          </cell>
          <cell r="B114" t="str">
            <v>Nov</v>
          </cell>
          <cell r="C114" t="str">
            <v>K.</v>
          </cell>
          <cell r="D114" t="str">
            <v>Gaafaru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139620</v>
          </cell>
          <cell r="AB114">
            <v>5497</v>
          </cell>
          <cell r="AC114">
            <v>145117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H114">
            <v>0</v>
          </cell>
          <cell r="EI114">
            <v>0</v>
          </cell>
        </row>
        <row r="115">
          <cell r="A115" t="str">
            <v>DecGaafaru</v>
          </cell>
          <cell r="B115" t="str">
            <v>Dec</v>
          </cell>
          <cell r="C115" t="str">
            <v>K.</v>
          </cell>
          <cell r="D115" t="str">
            <v>Gaafaru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141121</v>
          </cell>
          <cell r="AB115">
            <v>6029</v>
          </cell>
          <cell r="AC115">
            <v>147150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H115">
            <v>0</v>
          </cell>
          <cell r="EI115">
            <v>0</v>
          </cell>
        </row>
        <row r="116">
          <cell r="A116" t="str">
            <v>JanGulhi</v>
          </cell>
          <cell r="B116" t="str">
            <v>Jan</v>
          </cell>
          <cell r="C116" t="str">
            <v>K.</v>
          </cell>
          <cell r="D116" t="str">
            <v>Gulhi</v>
          </cell>
          <cell r="E116">
            <v>0</v>
          </cell>
          <cell r="F116">
            <v>52301</v>
          </cell>
          <cell r="G116">
            <v>167</v>
          </cell>
          <cell r="H116">
            <v>169</v>
          </cell>
          <cell r="I116">
            <v>1</v>
          </cell>
          <cell r="J116">
            <v>2</v>
          </cell>
          <cell r="K116">
            <v>168</v>
          </cell>
          <cell r="L116">
            <v>166</v>
          </cell>
          <cell r="M116">
            <v>2</v>
          </cell>
          <cell r="N116">
            <v>4</v>
          </cell>
          <cell r="O116">
            <v>1</v>
          </cell>
          <cell r="P116">
            <v>4</v>
          </cell>
          <cell r="Q116">
            <v>1</v>
          </cell>
          <cell r="R116">
            <v>1</v>
          </cell>
          <cell r="S116">
            <v>1</v>
          </cell>
          <cell r="T116">
            <v>169</v>
          </cell>
          <cell r="U116">
            <v>167</v>
          </cell>
          <cell r="V116">
            <v>3</v>
          </cell>
          <cell r="W116">
            <v>62898</v>
          </cell>
          <cell r="X116">
            <v>62898</v>
          </cell>
          <cell r="Y116">
            <v>0</v>
          </cell>
          <cell r="Z116">
            <v>62898</v>
          </cell>
          <cell r="AA116">
            <v>38228</v>
          </cell>
          <cell r="AB116">
            <v>1557</v>
          </cell>
          <cell r="AC116">
            <v>39785</v>
          </cell>
          <cell r="AD116">
            <v>58</v>
          </cell>
          <cell r="AE116">
            <v>125</v>
          </cell>
          <cell r="AF116">
            <v>19600</v>
          </cell>
          <cell r="AG116">
            <v>81</v>
          </cell>
          <cell r="AH116">
            <v>1586</v>
          </cell>
          <cell r="AI116">
            <v>6</v>
          </cell>
          <cell r="AJ116">
            <v>1283</v>
          </cell>
          <cell r="AK116">
            <v>2</v>
          </cell>
          <cell r="AL116">
            <v>1106</v>
          </cell>
          <cell r="AM116">
            <v>2</v>
          </cell>
          <cell r="AN116">
            <v>3001</v>
          </cell>
          <cell r="AO116">
            <v>10</v>
          </cell>
          <cell r="AP116">
            <v>6976</v>
          </cell>
          <cell r="AQ116">
            <v>20</v>
          </cell>
          <cell r="AR116">
            <v>200</v>
          </cell>
          <cell r="AS116" t="str">
            <v xml:space="preserve"> -   </v>
          </cell>
          <cell r="AT116">
            <v>200</v>
          </cell>
          <cell r="AU116" t="str">
            <v xml:space="preserve"> -   </v>
          </cell>
          <cell r="AV116">
            <v>200</v>
          </cell>
          <cell r="AW116" t="str">
            <v xml:space="preserve"> -   </v>
          </cell>
          <cell r="AX116">
            <v>284</v>
          </cell>
          <cell r="AY116">
            <v>2</v>
          </cell>
          <cell r="AZ116">
            <v>884</v>
          </cell>
          <cell r="BA116">
            <v>2</v>
          </cell>
          <cell r="BB116">
            <v>11655</v>
          </cell>
          <cell r="BC116">
            <v>18</v>
          </cell>
          <cell r="BD116">
            <v>10070</v>
          </cell>
          <cell r="BE116">
            <v>20</v>
          </cell>
          <cell r="BF116">
            <v>7818</v>
          </cell>
          <cell r="BG116">
            <v>26</v>
          </cell>
          <cell r="BH116">
            <v>10949</v>
          </cell>
          <cell r="BI116">
            <v>65</v>
          </cell>
          <cell r="BJ116">
            <v>40492</v>
          </cell>
          <cell r="BK116">
            <v>129</v>
          </cell>
          <cell r="BL116">
            <v>544</v>
          </cell>
          <cell r="BM116">
            <v>5</v>
          </cell>
          <cell r="BN116">
            <v>500</v>
          </cell>
          <cell r="BO116" t="str">
            <v xml:space="preserve"> -   </v>
          </cell>
          <cell r="BP116">
            <v>402</v>
          </cell>
          <cell r="BQ116">
            <v>1</v>
          </cell>
          <cell r="BR116">
            <v>473</v>
          </cell>
          <cell r="BS116">
            <v>4</v>
          </cell>
          <cell r="BT116">
            <v>1919</v>
          </cell>
          <cell r="BU116">
            <v>10</v>
          </cell>
          <cell r="BV116">
            <v>289</v>
          </cell>
          <cell r="BW116">
            <v>1</v>
          </cell>
          <cell r="BX116">
            <v>200</v>
          </cell>
          <cell r="BY116" t="str">
            <v xml:space="preserve"> -   </v>
          </cell>
          <cell r="BZ116">
            <v>147</v>
          </cell>
          <cell r="CA116">
            <v>1</v>
          </cell>
          <cell r="CB116">
            <v>250</v>
          </cell>
          <cell r="CC116">
            <v>1</v>
          </cell>
          <cell r="CD116">
            <v>886</v>
          </cell>
          <cell r="CE116">
            <v>3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 t="str">
            <v xml:space="preserve"> -   </v>
          </cell>
          <cell r="CO116" t="str">
            <v xml:space="preserve"> -   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 t="str">
            <v xml:space="preserve"> -   </v>
          </cell>
          <cell r="CY116" t="str">
            <v xml:space="preserve"> -   </v>
          </cell>
          <cell r="CZ116">
            <v>214</v>
          </cell>
          <cell r="DA116">
            <v>1</v>
          </cell>
          <cell r="DB116">
            <v>200</v>
          </cell>
          <cell r="DC116" t="str">
            <v xml:space="preserve"> -   </v>
          </cell>
          <cell r="DD116">
            <v>200</v>
          </cell>
          <cell r="DE116" t="str">
            <v xml:space="preserve"> -   </v>
          </cell>
          <cell r="DF116">
            <v>530</v>
          </cell>
          <cell r="DG116">
            <v>2</v>
          </cell>
          <cell r="DH116">
            <v>1144</v>
          </cell>
          <cell r="DI116">
            <v>3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 t="str">
            <v xml:space="preserve"> -   </v>
          </cell>
          <cell r="DS116" t="str">
            <v xml:space="preserve"> -   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 t="str">
            <v xml:space="preserve"> -   </v>
          </cell>
          <cell r="EC116" t="str">
            <v xml:space="preserve"> -   </v>
          </cell>
          <cell r="ED116">
            <v>0</v>
          </cell>
          <cell r="EE116">
            <v>0</v>
          </cell>
          <cell r="EF116">
            <v>0</v>
          </cell>
          <cell r="EH116">
            <v>0</v>
          </cell>
          <cell r="EI116">
            <v>0</v>
          </cell>
        </row>
        <row r="117">
          <cell r="A117" t="str">
            <v>FebGulhi</v>
          </cell>
          <cell r="B117" t="str">
            <v>Feb</v>
          </cell>
          <cell r="C117" t="str">
            <v>K.</v>
          </cell>
          <cell r="D117" t="str">
            <v>Gulhi</v>
          </cell>
          <cell r="E117">
            <v>0</v>
          </cell>
          <cell r="F117">
            <v>55020</v>
          </cell>
          <cell r="G117">
            <v>169</v>
          </cell>
          <cell r="H117">
            <v>168</v>
          </cell>
          <cell r="I117">
            <v>2</v>
          </cell>
          <cell r="J117">
            <v>0</v>
          </cell>
          <cell r="K117">
            <v>170</v>
          </cell>
          <cell r="L117">
            <v>166</v>
          </cell>
          <cell r="M117">
            <v>4</v>
          </cell>
          <cell r="N117">
            <v>1</v>
          </cell>
          <cell r="O117">
            <v>3</v>
          </cell>
          <cell r="P117">
            <v>1</v>
          </cell>
          <cell r="Q117">
            <v>3</v>
          </cell>
          <cell r="R117">
            <v>3</v>
          </cell>
          <cell r="S117">
            <v>0</v>
          </cell>
          <cell r="T117">
            <v>173</v>
          </cell>
          <cell r="U117">
            <v>169</v>
          </cell>
          <cell r="V117">
            <v>4</v>
          </cell>
          <cell r="W117">
            <v>58081</v>
          </cell>
          <cell r="X117">
            <v>58081</v>
          </cell>
          <cell r="Y117">
            <v>0</v>
          </cell>
          <cell r="Z117">
            <v>58081</v>
          </cell>
          <cell r="AA117">
            <v>41807</v>
          </cell>
          <cell r="AB117">
            <v>1518</v>
          </cell>
          <cell r="AC117">
            <v>43325</v>
          </cell>
          <cell r="AD117">
            <v>58</v>
          </cell>
          <cell r="AE117">
            <v>128</v>
          </cell>
          <cell r="AF117">
            <v>19400</v>
          </cell>
          <cell r="AG117">
            <v>81</v>
          </cell>
          <cell r="AH117">
            <v>1617</v>
          </cell>
          <cell r="AI117">
            <v>9</v>
          </cell>
          <cell r="AJ117">
            <v>1426</v>
          </cell>
          <cell r="AK117">
            <v>2</v>
          </cell>
          <cell r="AL117">
            <v>1280</v>
          </cell>
          <cell r="AM117">
            <v>13</v>
          </cell>
          <cell r="AN117">
            <v>3734</v>
          </cell>
          <cell r="AO117" t="str">
            <v xml:space="preserve"> -   </v>
          </cell>
          <cell r="AP117">
            <v>8057</v>
          </cell>
          <cell r="AQ117">
            <v>24</v>
          </cell>
          <cell r="AR117">
            <v>200</v>
          </cell>
          <cell r="AS117" t="str">
            <v xml:space="preserve"> -   </v>
          </cell>
          <cell r="AT117">
            <v>200</v>
          </cell>
          <cell r="AU117" t="str">
            <v xml:space="preserve"> -   </v>
          </cell>
          <cell r="AV117">
            <v>200</v>
          </cell>
          <cell r="AW117" t="str">
            <v xml:space="preserve"> -   </v>
          </cell>
          <cell r="AX117">
            <v>262</v>
          </cell>
          <cell r="AY117">
            <v>2</v>
          </cell>
          <cell r="AZ117">
            <v>862</v>
          </cell>
          <cell r="BA117">
            <v>2</v>
          </cell>
          <cell r="BB117">
            <v>11734</v>
          </cell>
          <cell r="BC117">
            <v>16</v>
          </cell>
          <cell r="BD117">
            <v>10432</v>
          </cell>
          <cell r="BE117">
            <v>21</v>
          </cell>
          <cell r="BF117">
            <v>7674</v>
          </cell>
          <cell r="BG117">
            <v>29</v>
          </cell>
          <cell r="BH117">
            <v>11349</v>
          </cell>
          <cell r="BI117">
            <v>62</v>
          </cell>
          <cell r="BJ117">
            <v>41189</v>
          </cell>
          <cell r="BK117">
            <v>128</v>
          </cell>
          <cell r="BL117">
            <v>519</v>
          </cell>
          <cell r="BM117">
            <v>4</v>
          </cell>
          <cell r="BN117">
            <v>500</v>
          </cell>
          <cell r="BO117">
            <v>1</v>
          </cell>
          <cell r="BP117">
            <v>447</v>
          </cell>
          <cell r="BQ117" t="str">
            <v xml:space="preserve"> -   </v>
          </cell>
          <cell r="BR117">
            <v>477</v>
          </cell>
          <cell r="BS117">
            <v>4</v>
          </cell>
          <cell r="BT117">
            <v>1943</v>
          </cell>
          <cell r="BU117">
            <v>9</v>
          </cell>
          <cell r="BV117">
            <v>300</v>
          </cell>
          <cell r="BW117" t="str">
            <v xml:space="preserve"> -   </v>
          </cell>
          <cell r="BX117">
            <v>300</v>
          </cell>
          <cell r="BY117" t="str">
            <v xml:space="preserve"> -   </v>
          </cell>
          <cell r="BZ117">
            <v>250</v>
          </cell>
          <cell r="CA117">
            <v>1</v>
          </cell>
          <cell r="CB117">
            <v>975</v>
          </cell>
          <cell r="CC117">
            <v>2</v>
          </cell>
          <cell r="CD117">
            <v>1825</v>
          </cell>
          <cell r="CE117">
            <v>3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 t="str">
            <v xml:space="preserve"> -   </v>
          </cell>
          <cell r="CO117" t="str">
            <v xml:space="preserve"> -   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 t="str">
            <v xml:space="preserve"> -   </v>
          </cell>
          <cell r="CY117" t="str">
            <v xml:space="preserve"> -   </v>
          </cell>
          <cell r="CZ117">
            <v>214</v>
          </cell>
          <cell r="DA117">
            <v>1</v>
          </cell>
          <cell r="DB117">
            <v>200</v>
          </cell>
          <cell r="DC117" t="str">
            <v xml:space="preserve"> -   </v>
          </cell>
          <cell r="DD117">
            <v>200</v>
          </cell>
          <cell r="DE117" t="str">
            <v xml:space="preserve"> -   </v>
          </cell>
          <cell r="DF117">
            <v>530</v>
          </cell>
          <cell r="DG117">
            <v>2</v>
          </cell>
          <cell r="DH117">
            <v>1144</v>
          </cell>
          <cell r="DI117">
            <v>3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 t="str">
            <v xml:space="preserve"> -   </v>
          </cell>
          <cell r="DS117" t="str">
            <v xml:space="preserve"> -   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 t="str">
            <v xml:space="preserve"> -   </v>
          </cell>
          <cell r="EC117" t="str">
            <v xml:space="preserve"> -   </v>
          </cell>
          <cell r="ED117">
            <v>0</v>
          </cell>
          <cell r="EE117">
            <v>0</v>
          </cell>
          <cell r="EF117">
            <v>0</v>
          </cell>
          <cell r="EH117">
            <v>0</v>
          </cell>
          <cell r="EI117">
            <v>0</v>
          </cell>
        </row>
        <row r="118">
          <cell r="A118" t="str">
            <v>MarGulhi</v>
          </cell>
          <cell r="B118" t="str">
            <v>Mar</v>
          </cell>
          <cell r="C118" t="str">
            <v>K.</v>
          </cell>
          <cell r="D118" t="str">
            <v>Gulhi</v>
          </cell>
          <cell r="E118">
            <v>0</v>
          </cell>
          <cell r="F118">
            <v>55214</v>
          </cell>
          <cell r="G118">
            <v>167</v>
          </cell>
          <cell r="H118">
            <v>170</v>
          </cell>
          <cell r="I118">
            <v>0</v>
          </cell>
          <cell r="J118">
            <v>0</v>
          </cell>
          <cell r="K118">
            <v>170</v>
          </cell>
          <cell r="L118">
            <v>167</v>
          </cell>
          <cell r="M118">
            <v>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170</v>
          </cell>
          <cell r="U118">
            <v>167</v>
          </cell>
          <cell r="V118">
            <v>3</v>
          </cell>
          <cell r="W118">
            <v>71569</v>
          </cell>
          <cell r="X118">
            <v>71569</v>
          </cell>
          <cell r="Y118">
            <v>0</v>
          </cell>
          <cell r="Z118">
            <v>71569</v>
          </cell>
          <cell r="AA118">
            <v>35090</v>
          </cell>
          <cell r="AB118">
            <v>1826</v>
          </cell>
          <cell r="AC118">
            <v>36916</v>
          </cell>
          <cell r="AD118">
            <v>65</v>
          </cell>
          <cell r="AE118">
            <v>154</v>
          </cell>
          <cell r="AF118">
            <v>24400</v>
          </cell>
          <cell r="AG118">
            <v>103</v>
          </cell>
          <cell r="AH118">
            <v>2084.9299999999998</v>
          </cell>
          <cell r="AI118">
            <v>6</v>
          </cell>
          <cell r="AJ118">
            <v>1709.29</v>
          </cell>
          <cell r="AK118">
            <v>4</v>
          </cell>
          <cell r="AL118">
            <v>1533.63</v>
          </cell>
          <cell r="AM118">
            <v>2</v>
          </cell>
          <cell r="AN118">
            <v>5586.15</v>
          </cell>
          <cell r="AO118">
            <v>15</v>
          </cell>
          <cell r="AP118">
            <v>10914</v>
          </cell>
          <cell r="AQ118">
            <v>27</v>
          </cell>
          <cell r="AR118">
            <v>186.66</v>
          </cell>
          <cell r="AS118" t="str">
            <v xml:space="preserve"> -   </v>
          </cell>
          <cell r="AT118">
            <v>186.66</v>
          </cell>
          <cell r="AU118" t="str">
            <v xml:space="preserve"> -   </v>
          </cell>
          <cell r="AV118">
            <v>186.66</v>
          </cell>
          <cell r="AW118" t="str">
            <v xml:space="preserve"> -   </v>
          </cell>
          <cell r="AX118">
            <v>160.02000000000001</v>
          </cell>
          <cell r="AY118">
            <v>2</v>
          </cell>
          <cell r="AZ118">
            <v>720</v>
          </cell>
          <cell r="BA118">
            <v>2</v>
          </cell>
          <cell r="BB118">
            <v>10552.31</v>
          </cell>
          <cell r="BC118">
            <v>15</v>
          </cell>
          <cell r="BD118">
            <v>9250.43</v>
          </cell>
          <cell r="BE118">
            <v>18</v>
          </cell>
          <cell r="BF118">
            <v>6934.65</v>
          </cell>
          <cell r="BG118">
            <v>28</v>
          </cell>
          <cell r="BH118">
            <v>12123.61</v>
          </cell>
          <cell r="BI118">
            <v>61</v>
          </cell>
          <cell r="BJ118">
            <v>38861</v>
          </cell>
          <cell r="BK118">
            <v>122</v>
          </cell>
          <cell r="BL118">
            <v>473.65</v>
          </cell>
          <cell r="BM118">
            <v>5</v>
          </cell>
          <cell r="BN118">
            <v>410.99</v>
          </cell>
          <cell r="BO118">
            <v>1</v>
          </cell>
          <cell r="BP118">
            <v>373.32</v>
          </cell>
          <cell r="BQ118" t="str">
            <v xml:space="preserve"> -   </v>
          </cell>
          <cell r="BR118">
            <v>659.04</v>
          </cell>
          <cell r="BS118">
            <v>4</v>
          </cell>
          <cell r="BT118">
            <v>1917</v>
          </cell>
          <cell r="BU118">
            <v>10</v>
          </cell>
          <cell r="BV118">
            <v>279.99</v>
          </cell>
          <cell r="BW118" t="str">
            <v xml:space="preserve"> -   </v>
          </cell>
          <cell r="BX118">
            <v>279.99</v>
          </cell>
          <cell r="BY118" t="str">
            <v xml:space="preserve"> -   </v>
          </cell>
          <cell r="BZ118">
            <v>215</v>
          </cell>
          <cell r="CA118">
            <v>1</v>
          </cell>
          <cell r="CB118">
            <v>960.02</v>
          </cell>
          <cell r="CC118">
            <v>2</v>
          </cell>
          <cell r="CD118">
            <v>1735</v>
          </cell>
          <cell r="CE118">
            <v>3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 t="str">
            <v xml:space="preserve"> -   </v>
          </cell>
          <cell r="CO118" t="str">
            <v xml:space="preserve"> -   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 t="str">
            <v xml:space="preserve"> -   </v>
          </cell>
          <cell r="CY118" t="str">
            <v xml:space="preserve"> -   </v>
          </cell>
          <cell r="CZ118">
            <v>199.66</v>
          </cell>
          <cell r="DA118">
            <v>1</v>
          </cell>
          <cell r="DB118">
            <v>186.66</v>
          </cell>
          <cell r="DC118" t="str">
            <v xml:space="preserve"> -   </v>
          </cell>
          <cell r="DD118">
            <v>186.66</v>
          </cell>
          <cell r="DE118" t="str">
            <v xml:space="preserve"> -   </v>
          </cell>
          <cell r="DF118">
            <v>494.02</v>
          </cell>
          <cell r="DG118">
            <v>2</v>
          </cell>
          <cell r="DH118">
            <v>1067</v>
          </cell>
          <cell r="DI118">
            <v>3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 t="str">
            <v xml:space="preserve"> -   </v>
          </cell>
          <cell r="DS118" t="str">
            <v xml:space="preserve"> -   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 t="str">
            <v xml:space="preserve"> -   </v>
          </cell>
          <cell r="EC118" t="str">
            <v xml:space="preserve"> -   </v>
          </cell>
          <cell r="ED118">
            <v>0</v>
          </cell>
          <cell r="EE118">
            <v>0</v>
          </cell>
          <cell r="EF118">
            <v>0</v>
          </cell>
          <cell r="EH118">
            <v>0</v>
          </cell>
          <cell r="EI118">
            <v>0</v>
          </cell>
        </row>
        <row r="119">
          <cell r="A119" t="str">
            <v>AprGulhi</v>
          </cell>
          <cell r="B119" t="str">
            <v>Apr</v>
          </cell>
          <cell r="C119" t="str">
            <v>K.</v>
          </cell>
          <cell r="D119" t="str">
            <v>Gulhi</v>
          </cell>
          <cell r="E119">
            <v>0</v>
          </cell>
          <cell r="F119">
            <v>67224</v>
          </cell>
          <cell r="G119">
            <v>168</v>
          </cell>
          <cell r="H119">
            <v>170</v>
          </cell>
          <cell r="I119">
            <v>1</v>
          </cell>
          <cell r="J119">
            <v>0</v>
          </cell>
          <cell r="K119">
            <v>171</v>
          </cell>
          <cell r="L119">
            <v>166</v>
          </cell>
          <cell r="M119">
            <v>5</v>
          </cell>
          <cell r="N119">
            <v>2</v>
          </cell>
          <cell r="O119">
            <v>1</v>
          </cell>
          <cell r="P119">
            <v>0</v>
          </cell>
          <cell r="Q119">
            <v>3</v>
          </cell>
          <cell r="R119">
            <v>2</v>
          </cell>
          <cell r="S119">
            <v>1</v>
          </cell>
          <cell r="T119">
            <v>174</v>
          </cell>
          <cell r="U119">
            <v>168</v>
          </cell>
          <cell r="V119">
            <v>6</v>
          </cell>
          <cell r="W119">
            <v>73269</v>
          </cell>
          <cell r="X119">
            <v>73269</v>
          </cell>
          <cell r="Y119">
            <v>0</v>
          </cell>
          <cell r="Z119">
            <v>73269</v>
          </cell>
          <cell r="AA119">
            <v>48389</v>
          </cell>
          <cell r="AB119">
            <v>1961</v>
          </cell>
          <cell r="AC119">
            <v>50350</v>
          </cell>
          <cell r="AD119">
            <v>65</v>
          </cell>
          <cell r="AE119">
            <v>151</v>
          </cell>
          <cell r="AF119">
            <v>24600</v>
          </cell>
          <cell r="AG119">
            <v>82</v>
          </cell>
          <cell r="AH119">
            <v>2477.0700000000002</v>
          </cell>
          <cell r="AI119">
            <v>8</v>
          </cell>
          <cell r="AJ119">
            <v>2116.39</v>
          </cell>
          <cell r="AK119">
            <v>2</v>
          </cell>
          <cell r="AL119">
            <v>1970.71</v>
          </cell>
          <cell r="AM119">
            <v>2</v>
          </cell>
          <cell r="AN119">
            <v>7998.83</v>
          </cell>
          <cell r="AO119">
            <v>17</v>
          </cell>
          <cell r="AP119">
            <v>14563</v>
          </cell>
          <cell r="AQ119">
            <v>29</v>
          </cell>
          <cell r="AR119">
            <v>213.34</v>
          </cell>
          <cell r="AS119">
            <v>0</v>
          </cell>
          <cell r="AT119">
            <v>213.34</v>
          </cell>
          <cell r="AU119">
            <v>0</v>
          </cell>
          <cell r="AV119">
            <v>212.33</v>
          </cell>
          <cell r="AW119">
            <v>1</v>
          </cell>
          <cell r="AX119">
            <v>305.99</v>
          </cell>
          <cell r="AY119">
            <v>1</v>
          </cell>
          <cell r="AZ119">
            <v>945.00000000000011</v>
          </cell>
          <cell r="BA119">
            <v>2</v>
          </cell>
          <cell r="BB119">
            <v>11969.69</v>
          </cell>
          <cell r="BC119">
            <v>14</v>
          </cell>
          <cell r="BD119">
            <v>10552.59</v>
          </cell>
          <cell r="BE119">
            <v>15</v>
          </cell>
          <cell r="BF119">
            <v>7861.3</v>
          </cell>
          <cell r="BG119">
            <v>34</v>
          </cell>
          <cell r="BH119">
            <v>16108.42</v>
          </cell>
          <cell r="BI119">
            <v>58</v>
          </cell>
          <cell r="BJ119">
            <v>46492</v>
          </cell>
          <cell r="BK119">
            <v>121</v>
          </cell>
          <cell r="BL119">
            <v>535.35</v>
          </cell>
          <cell r="BM119">
            <v>5</v>
          </cell>
          <cell r="BN119">
            <v>462.01</v>
          </cell>
          <cell r="BO119">
            <v>1</v>
          </cell>
          <cell r="BP119">
            <v>426.68</v>
          </cell>
          <cell r="BQ119">
            <v>0</v>
          </cell>
          <cell r="BR119">
            <v>763.96</v>
          </cell>
          <cell r="BS119">
            <v>4</v>
          </cell>
          <cell r="BT119">
            <v>2188</v>
          </cell>
          <cell r="BU119">
            <v>10</v>
          </cell>
          <cell r="BV119">
            <v>320.01</v>
          </cell>
          <cell r="BW119">
            <v>0</v>
          </cell>
          <cell r="BX119">
            <v>320.01</v>
          </cell>
          <cell r="BY119">
            <v>0</v>
          </cell>
          <cell r="BZ119">
            <v>296</v>
          </cell>
          <cell r="CA119">
            <v>1</v>
          </cell>
          <cell r="CB119">
            <v>879.98</v>
          </cell>
          <cell r="CC119">
            <v>2</v>
          </cell>
          <cell r="CD119">
            <v>1816</v>
          </cell>
          <cell r="CE119">
            <v>3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228.34</v>
          </cell>
          <cell r="DA119">
            <v>1</v>
          </cell>
          <cell r="DB119">
            <v>213.34</v>
          </cell>
          <cell r="DC119">
            <v>0</v>
          </cell>
          <cell r="DD119">
            <v>213.34</v>
          </cell>
          <cell r="DE119">
            <v>0</v>
          </cell>
          <cell r="DF119">
            <v>564.98</v>
          </cell>
          <cell r="DG119">
            <v>2</v>
          </cell>
          <cell r="DH119">
            <v>1220</v>
          </cell>
          <cell r="DI119">
            <v>3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H119">
            <v>0</v>
          </cell>
          <cell r="EI119">
            <v>0</v>
          </cell>
        </row>
        <row r="120">
          <cell r="A120" t="str">
            <v>MayGulhi</v>
          </cell>
          <cell r="B120" t="str">
            <v>May</v>
          </cell>
          <cell r="C120" t="str">
            <v>K.</v>
          </cell>
          <cell r="D120" t="str">
            <v>Gulhi</v>
          </cell>
          <cell r="E120">
            <v>0</v>
          </cell>
          <cell r="F120">
            <v>64777</v>
          </cell>
          <cell r="G120">
            <v>170</v>
          </cell>
          <cell r="H120">
            <v>171</v>
          </cell>
          <cell r="I120">
            <v>1</v>
          </cell>
          <cell r="J120">
            <v>0</v>
          </cell>
          <cell r="K120">
            <v>172</v>
          </cell>
          <cell r="L120">
            <v>166</v>
          </cell>
          <cell r="M120">
            <v>6</v>
          </cell>
          <cell r="N120">
            <v>3</v>
          </cell>
          <cell r="O120">
            <v>3</v>
          </cell>
          <cell r="P120">
            <v>0</v>
          </cell>
          <cell r="Q120">
            <v>6</v>
          </cell>
          <cell r="R120">
            <v>4</v>
          </cell>
          <cell r="S120">
            <v>1</v>
          </cell>
          <cell r="T120">
            <v>178</v>
          </cell>
          <cell r="U120">
            <v>170</v>
          </cell>
          <cell r="V120">
            <v>7</v>
          </cell>
          <cell r="W120">
            <v>70311</v>
          </cell>
          <cell r="X120">
            <v>70311</v>
          </cell>
          <cell r="Y120">
            <v>0</v>
          </cell>
          <cell r="Z120">
            <v>70311</v>
          </cell>
          <cell r="AA120">
            <v>43749</v>
          </cell>
          <cell r="AB120">
            <v>2012</v>
          </cell>
          <cell r="AC120">
            <v>45761</v>
          </cell>
          <cell r="AD120">
            <v>59</v>
          </cell>
          <cell r="AE120">
            <v>152</v>
          </cell>
          <cell r="AF120">
            <v>21200</v>
          </cell>
          <cell r="AG120">
            <v>113</v>
          </cell>
          <cell r="AH120">
            <v>2205</v>
          </cell>
          <cell r="AI120">
            <v>9</v>
          </cell>
          <cell r="AJ120">
            <v>1741</v>
          </cell>
          <cell r="AK120">
            <v>4</v>
          </cell>
          <cell r="AL120">
            <v>1565</v>
          </cell>
          <cell r="AM120">
            <v>2</v>
          </cell>
          <cell r="AN120">
            <v>5531</v>
          </cell>
          <cell r="AO120">
            <v>14</v>
          </cell>
          <cell r="AP120">
            <v>11042</v>
          </cell>
          <cell r="AQ120">
            <v>29</v>
          </cell>
          <cell r="AR120">
            <v>200</v>
          </cell>
          <cell r="AS120">
            <v>0</v>
          </cell>
          <cell r="AT120">
            <v>200</v>
          </cell>
          <cell r="AU120">
            <v>0</v>
          </cell>
          <cell r="AV120">
            <v>200</v>
          </cell>
          <cell r="AW120">
            <v>0</v>
          </cell>
          <cell r="AX120">
            <v>236</v>
          </cell>
          <cell r="AY120">
            <v>2</v>
          </cell>
          <cell r="AZ120">
            <v>836</v>
          </cell>
          <cell r="BA120">
            <v>2</v>
          </cell>
          <cell r="BB120">
            <v>11444.34</v>
          </cell>
          <cell r="BC120">
            <v>14</v>
          </cell>
          <cell r="BD120">
            <v>10374.34</v>
          </cell>
          <cell r="BE120">
            <v>15</v>
          </cell>
          <cell r="BF120">
            <v>7819.33</v>
          </cell>
          <cell r="BG120">
            <v>29</v>
          </cell>
          <cell r="BH120">
            <v>15115.99</v>
          </cell>
          <cell r="BI120">
            <v>64</v>
          </cell>
          <cell r="BJ120">
            <v>44754</v>
          </cell>
          <cell r="BK120">
            <v>122</v>
          </cell>
          <cell r="BL120">
            <v>504</v>
          </cell>
          <cell r="BM120">
            <v>5</v>
          </cell>
          <cell r="BN120">
            <v>452</v>
          </cell>
          <cell r="BO120">
            <v>1</v>
          </cell>
          <cell r="BP120">
            <v>400</v>
          </cell>
          <cell r="BQ120">
            <v>0</v>
          </cell>
          <cell r="BR120">
            <v>925</v>
          </cell>
          <cell r="BS120">
            <v>4</v>
          </cell>
          <cell r="BT120">
            <v>2281</v>
          </cell>
          <cell r="BU120">
            <v>10</v>
          </cell>
          <cell r="BV120">
            <v>300</v>
          </cell>
          <cell r="BW120">
            <v>0</v>
          </cell>
          <cell r="BX120">
            <v>300</v>
          </cell>
          <cell r="BY120">
            <v>0</v>
          </cell>
          <cell r="BZ120">
            <v>300</v>
          </cell>
          <cell r="CA120">
            <v>0</v>
          </cell>
          <cell r="CB120">
            <v>1080</v>
          </cell>
          <cell r="CC120">
            <v>3</v>
          </cell>
          <cell r="CD120">
            <v>1980</v>
          </cell>
          <cell r="CE120">
            <v>3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214</v>
          </cell>
          <cell r="DA120">
            <v>1</v>
          </cell>
          <cell r="DB120">
            <v>200</v>
          </cell>
          <cell r="DC120">
            <v>0</v>
          </cell>
          <cell r="DD120">
            <v>200</v>
          </cell>
          <cell r="DE120">
            <v>0</v>
          </cell>
          <cell r="DF120">
            <v>530</v>
          </cell>
          <cell r="DG120">
            <v>2</v>
          </cell>
          <cell r="DH120">
            <v>1144</v>
          </cell>
          <cell r="DI120">
            <v>3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206.67</v>
          </cell>
          <cell r="DU120">
            <v>0</v>
          </cell>
          <cell r="DV120">
            <v>206.67</v>
          </cell>
          <cell r="DW120">
            <v>0</v>
          </cell>
          <cell r="DX120">
            <v>206.67</v>
          </cell>
          <cell r="DY120">
            <v>0</v>
          </cell>
          <cell r="DZ120">
            <v>2119.9899999999998</v>
          </cell>
          <cell r="EA120">
            <v>1</v>
          </cell>
          <cell r="EB120">
            <v>2740</v>
          </cell>
          <cell r="EC120">
            <v>1</v>
          </cell>
          <cell r="ED120">
            <v>0</v>
          </cell>
          <cell r="EE120">
            <v>0</v>
          </cell>
          <cell r="EF120">
            <v>0</v>
          </cell>
          <cell r="EH120">
            <v>0</v>
          </cell>
          <cell r="EI120">
            <v>0</v>
          </cell>
        </row>
        <row r="121">
          <cell r="A121" t="str">
            <v>JunGulhi</v>
          </cell>
          <cell r="B121" t="str">
            <v>Jun</v>
          </cell>
          <cell r="C121" t="str">
            <v>K.</v>
          </cell>
          <cell r="D121" t="str">
            <v>Gulhi</v>
          </cell>
          <cell r="E121" t="str">
            <v>billed normal &amp; temp less than billed cons.</v>
          </cell>
          <cell r="F121">
            <v>65276</v>
          </cell>
          <cell r="G121">
            <v>168</v>
          </cell>
          <cell r="H121">
            <v>172</v>
          </cell>
          <cell r="I121">
            <v>1</v>
          </cell>
          <cell r="J121">
            <v>0</v>
          </cell>
          <cell r="K121">
            <v>173</v>
          </cell>
          <cell r="L121">
            <v>163</v>
          </cell>
          <cell r="M121">
            <v>10</v>
          </cell>
          <cell r="N121">
            <v>4</v>
          </cell>
          <cell r="O121">
            <v>0</v>
          </cell>
          <cell r="P121">
            <v>0</v>
          </cell>
          <cell r="Q121">
            <v>4</v>
          </cell>
          <cell r="R121">
            <v>3</v>
          </cell>
          <cell r="S121">
            <v>1</v>
          </cell>
          <cell r="T121">
            <v>177</v>
          </cell>
          <cell r="U121">
            <v>166</v>
          </cell>
          <cell r="V121">
            <v>11</v>
          </cell>
          <cell r="W121">
            <v>70397</v>
          </cell>
          <cell r="X121">
            <v>70397</v>
          </cell>
          <cell r="Y121">
            <v>0</v>
          </cell>
          <cell r="Z121">
            <v>70397</v>
          </cell>
          <cell r="AA121">
            <v>41981</v>
          </cell>
          <cell r="AB121">
            <v>1872</v>
          </cell>
          <cell r="AC121">
            <v>43853</v>
          </cell>
          <cell r="AD121">
            <v>49</v>
          </cell>
          <cell r="AE121">
            <v>160</v>
          </cell>
          <cell r="AF121">
            <v>21800</v>
          </cell>
          <cell r="AG121">
            <v>151</v>
          </cell>
          <cell r="AH121">
            <v>2128.06</v>
          </cell>
          <cell r="AI121">
            <v>11</v>
          </cell>
          <cell r="AJ121">
            <v>1642.7</v>
          </cell>
          <cell r="AK121">
            <v>4</v>
          </cell>
          <cell r="AL121">
            <v>1449.37</v>
          </cell>
          <cell r="AM121">
            <v>1</v>
          </cell>
          <cell r="AN121">
            <v>4431.87</v>
          </cell>
          <cell r="AO121">
            <v>13</v>
          </cell>
          <cell r="AP121">
            <v>9652</v>
          </cell>
          <cell r="AQ121">
            <v>29</v>
          </cell>
          <cell r="AR121">
            <v>213.34</v>
          </cell>
          <cell r="AS121">
            <v>0</v>
          </cell>
          <cell r="AT121">
            <v>213.34</v>
          </cell>
          <cell r="AU121">
            <v>0</v>
          </cell>
          <cell r="AV121">
            <v>213.34</v>
          </cell>
          <cell r="AW121">
            <v>0</v>
          </cell>
          <cell r="AX121">
            <v>284.98</v>
          </cell>
          <cell r="AY121">
            <v>2</v>
          </cell>
          <cell r="AZ121">
            <v>925.00000000000011</v>
          </cell>
          <cell r="BA121">
            <v>2</v>
          </cell>
          <cell r="BB121">
            <v>12135.03</v>
          </cell>
          <cell r="BC121">
            <v>13</v>
          </cell>
          <cell r="BD121">
            <v>11104.61</v>
          </cell>
          <cell r="BE121">
            <v>13</v>
          </cell>
          <cell r="BF121">
            <v>8471.02</v>
          </cell>
          <cell r="BG121">
            <v>30</v>
          </cell>
          <cell r="BH121">
            <v>17038.34</v>
          </cell>
          <cell r="BI121">
            <v>66</v>
          </cell>
          <cell r="BJ121">
            <v>48749</v>
          </cell>
          <cell r="BK121">
            <v>122</v>
          </cell>
          <cell r="BL121">
            <v>538.35</v>
          </cell>
          <cell r="BM121">
            <v>4</v>
          </cell>
          <cell r="BN121">
            <v>481.01</v>
          </cell>
          <cell r="BO121">
            <v>1</v>
          </cell>
          <cell r="BP121">
            <v>426.68</v>
          </cell>
          <cell r="BQ121">
            <v>0</v>
          </cell>
          <cell r="BR121">
            <v>886.96</v>
          </cell>
          <cell r="BS121">
            <v>4</v>
          </cell>
          <cell r="BT121">
            <v>2333</v>
          </cell>
          <cell r="BU121">
            <v>9</v>
          </cell>
          <cell r="BV121">
            <v>320.01</v>
          </cell>
          <cell r="BW121">
            <v>0</v>
          </cell>
          <cell r="BX121">
            <v>320.01</v>
          </cell>
          <cell r="BY121">
            <v>0</v>
          </cell>
          <cell r="BZ121">
            <v>228</v>
          </cell>
          <cell r="CA121">
            <v>1</v>
          </cell>
          <cell r="CB121">
            <v>599.98</v>
          </cell>
          <cell r="CC121">
            <v>2</v>
          </cell>
          <cell r="CD121">
            <v>1468</v>
          </cell>
          <cell r="CE121">
            <v>3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106.67</v>
          </cell>
          <cell r="DU121">
            <v>0</v>
          </cell>
          <cell r="DV121">
            <v>1067.67</v>
          </cell>
          <cell r="DW121">
            <v>0</v>
          </cell>
          <cell r="DX121">
            <v>106.67</v>
          </cell>
          <cell r="DY121">
            <v>1</v>
          </cell>
          <cell r="DZ121">
            <v>867.99</v>
          </cell>
          <cell r="EA121">
            <v>2</v>
          </cell>
          <cell r="EB121">
            <v>2149</v>
          </cell>
          <cell r="EC121">
            <v>3</v>
          </cell>
          <cell r="ED121">
            <v>0</v>
          </cell>
          <cell r="EE121">
            <v>0</v>
          </cell>
          <cell r="EF121">
            <v>0</v>
          </cell>
          <cell r="EH121">
            <v>0</v>
          </cell>
          <cell r="EI121">
            <v>0</v>
          </cell>
        </row>
        <row r="122">
          <cell r="A122" t="str">
            <v>JulGulhi</v>
          </cell>
          <cell r="B122" t="str">
            <v>Jul</v>
          </cell>
          <cell r="C122" t="str">
            <v>K.</v>
          </cell>
          <cell r="D122" t="str">
            <v>Gulhi</v>
          </cell>
          <cell r="E122">
            <v>0</v>
          </cell>
          <cell r="F122">
            <v>64260</v>
          </cell>
          <cell r="G122">
            <v>171</v>
          </cell>
          <cell r="H122">
            <v>173</v>
          </cell>
          <cell r="I122">
            <v>0</v>
          </cell>
          <cell r="J122">
            <v>0</v>
          </cell>
          <cell r="K122">
            <v>173</v>
          </cell>
          <cell r="L122">
            <v>168</v>
          </cell>
          <cell r="M122">
            <v>5</v>
          </cell>
          <cell r="N122">
            <v>3</v>
          </cell>
          <cell r="O122">
            <v>0</v>
          </cell>
          <cell r="P122">
            <v>0</v>
          </cell>
          <cell r="Q122">
            <v>3</v>
          </cell>
          <cell r="R122">
            <v>3</v>
          </cell>
          <cell r="S122">
            <v>0</v>
          </cell>
          <cell r="T122">
            <v>176</v>
          </cell>
          <cell r="U122">
            <v>171</v>
          </cell>
          <cell r="V122">
            <v>5</v>
          </cell>
          <cell r="W122">
            <v>75053</v>
          </cell>
          <cell r="X122">
            <v>75053</v>
          </cell>
          <cell r="Y122">
            <v>0</v>
          </cell>
          <cell r="Z122">
            <v>75053</v>
          </cell>
          <cell r="AA122">
            <v>26456</v>
          </cell>
          <cell r="AB122">
            <v>1099</v>
          </cell>
          <cell r="AC122">
            <v>27555</v>
          </cell>
          <cell r="AD122">
            <v>60</v>
          </cell>
          <cell r="AE122">
            <v>156</v>
          </cell>
          <cell r="AF122">
            <v>22900</v>
          </cell>
          <cell r="AG122">
            <v>94</v>
          </cell>
          <cell r="AH122">
            <v>2109.0500000000002</v>
          </cell>
          <cell r="AI122">
            <v>15</v>
          </cell>
          <cell r="AJ122">
            <v>1265.03</v>
          </cell>
          <cell r="AK122">
            <v>3</v>
          </cell>
          <cell r="AL122">
            <v>1114.02</v>
          </cell>
          <cell r="AM122">
            <v>2</v>
          </cell>
          <cell r="AN122">
            <v>3060.9</v>
          </cell>
          <cell r="AO122">
            <v>10</v>
          </cell>
          <cell r="AP122">
            <v>7549</v>
          </cell>
          <cell r="AQ122">
            <v>30</v>
          </cell>
          <cell r="AR122">
            <v>193.34</v>
          </cell>
          <cell r="AS122">
            <v>0</v>
          </cell>
          <cell r="AT122">
            <v>193.34</v>
          </cell>
          <cell r="AU122">
            <v>0</v>
          </cell>
          <cell r="AV122">
            <v>191.33</v>
          </cell>
          <cell r="AW122">
            <v>1</v>
          </cell>
          <cell r="AX122">
            <v>224.99</v>
          </cell>
          <cell r="AY122">
            <v>1</v>
          </cell>
          <cell r="AZ122">
            <v>803.00000000000011</v>
          </cell>
          <cell r="BA122">
            <v>2</v>
          </cell>
          <cell r="BB122">
            <v>11197.36</v>
          </cell>
          <cell r="BC122">
            <v>13</v>
          </cell>
          <cell r="BD122">
            <v>10271.959999999999</v>
          </cell>
          <cell r="BE122">
            <v>12</v>
          </cell>
          <cell r="BF122">
            <v>8359.4</v>
          </cell>
          <cell r="BG122">
            <v>26</v>
          </cell>
          <cell r="BH122">
            <v>19643.28</v>
          </cell>
          <cell r="BI122">
            <v>72</v>
          </cell>
          <cell r="BJ122">
            <v>49472</v>
          </cell>
          <cell r="BK122">
            <v>123</v>
          </cell>
          <cell r="BL122">
            <v>485.35</v>
          </cell>
          <cell r="BM122">
            <v>4</v>
          </cell>
          <cell r="BN122">
            <v>411.01</v>
          </cell>
          <cell r="BO122">
            <v>1</v>
          </cell>
          <cell r="BP122">
            <v>386.68</v>
          </cell>
          <cell r="BQ122">
            <v>0</v>
          </cell>
          <cell r="BR122">
            <v>907.96</v>
          </cell>
          <cell r="BS122">
            <v>4</v>
          </cell>
          <cell r="BT122">
            <v>2191</v>
          </cell>
          <cell r="BU122">
            <v>9</v>
          </cell>
          <cell r="BV122">
            <v>243.34</v>
          </cell>
          <cell r="BW122">
            <v>1</v>
          </cell>
          <cell r="BX122">
            <v>193.34</v>
          </cell>
          <cell r="BY122">
            <v>0</v>
          </cell>
          <cell r="BZ122">
            <v>115.33</v>
          </cell>
          <cell r="CA122">
            <v>1</v>
          </cell>
          <cell r="CB122">
            <v>405.99</v>
          </cell>
          <cell r="CC122">
            <v>1</v>
          </cell>
          <cell r="CD122">
            <v>958.00000000000011</v>
          </cell>
          <cell r="CE122">
            <v>3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435.66</v>
          </cell>
          <cell r="DA122">
            <v>1</v>
          </cell>
          <cell r="DB122">
            <v>406.66</v>
          </cell>
          <cell r="DC122">
            <v>0</v>
          </cell>
          <cell r="DD122">
            <v>406.66</v>
          </cell>
          <cell r="DE122">
            <v>0</v>
          </cell>
          <cell r="DF122">
            <v>1078.02</v>
          </cell>
          <cell r="DG122">
            <v>2</v>
          </cell>
          <cell r="DH122">
            <v>2327</v>
          </cell>
          <cell r="DI122">
            <v>3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96.67</v>
          </cell>
          <cell r="DU122">
            <v>0</v>
          </cell>
          <cell r="DV122">
            <v>96.67</v>
          </cell>
          <cell r="DW122">
            <v>0</v>
          </cell>
          <cell r="DX122">
            <v>96.67</v>
          </cell>
          <cell r="DY122">
            <v>0</v>
          </cell>
          <cell r="DZ122">
            <v>669.99</v>
          </cell>
          <cell r="EA122">
            <v>1</v>
          </cell>
          <cell r="EB122">
            <v>959.99999999999989</v>
          </cell>
          <cell r="EC122">
            <v>1</v>
          </cell>
          <cell r="ED122">
            <v>0</v>
          </cell>
          <cell r="EE122">
            <v>0</v>
          </cell>
          <cell r="EF122">
            <v>0</v>
          </cell>
          <cell r="EH122">
            <v>0</v>
          </cell>
          <cell r="EI122">
            <v>0</v>
          </cell>
        </row>
        <row r="123">
          <cell r="A123" t="str">
            <v>AugGulhi</v>
          </cell>
          <cell r="B123" t="str">
            <v>Aug</v>
          </cell>
          <cell r="C123" t="str">
            <v>K.</v>
          </cell>
          <cell r="D123" t="str">
            <v>Gulhi</v>
          </cell>
          <cell r="E123">
            <v>0</v>
          </cell>
          <cell r="F123">
            <v>64866</v>
          </cell>
          <cell r="G123">
            <v>169</v>
          </cell>
          <cell r="H123">
            <v>173</v>
          </cell>
          <cell r="I123">
            <v>1</v>
          </cell>
          <cell r="J123">
            <v>0</v>
          </cell>
          <cell r="K123">
            <v>174</v>
          </cell>
          <cell r="L123">
            <v>166</v>
          </cell>
          <cell r="M123">
            <v>8</v>
          </cell>
          <cell r="N123">
            <v>3</v>
          </cell>
          <cell r="O123">
            <v>0</v>
          </cell>
          <cell r="P123">
            <v>0</v>
          </cell>
          <cell r="Q123">
            <v>3</v>
          </cell>
          <cell r="R123">
            <v>3</v>
          </cell>
          <cell r="S123">
            <v>0</v>
          </cell>
          <cell r="T123">
            <v>177</v>
          </cell>
          <cell r="U123">
            <v>169</v>
          </cell>
          <cell r="V123">
            <v>8</v>
          </cell>
          <cell r="W123">
            <v>73977</v>
          </cell>
          <cell r="X123">
            <v>73977</v>
          </cell>
          <cell r="Y123">
            <v>0</v>
          </cell>
          <cell r="Z123">
            <v>73977</v>
          </cell>
          <cell r="AA123">
            <v>28637</v>
          </cell>
          <cell r="AB123">
            <v>912</v>
          </cell>
          <cell r="AC123">
            <v>29549</v>
          </cell>
          <cell r="AD123">
            <v>58</v>
          </cell>
          <cell r="AE123">
            <v>165</v>
          </cell>
          <cell r="AF123">
            <v>23600</v>
          </cell>
          <cell r="AG123">
            <v>119</v>
          </cell>
          <cell r="AH123">
            <v>2188.2800000000002</v>
          </cell>
          <cell r="AI123">
            <v>12</v>
          </cell>
          <cell r="AJ123">
            <v>1558.64</v>
          </cell>
          <cell r="AK123">
            <v>4</v>
          </cell>
          <cell r="AL123">
            <v>1388.97</v>
          </cell>
          <cell r="AM123">
            <v>1</v>
          </cell>
          <cell r="AN123">
            <v>6253.11</v>
          </cell>
          <cell r="AO123">
            <v>12</v>
          </cell>
          <cell r="AP123">
            <v>11388.999999999998</v>
          </cell>
          <cell r="AQ123">
            <v>29</v>
          </cell>
          <cell r="AR123">
            <v>206.66</v>
          </cell>
          <cell r="AS123">
            <v>0</v>
          </cell>
          <cell r="AT123">
            <v>206.66</v>
          </cell>
          <cell r="AU123">
            <v>0</v>
          </cell>
          <cell r="AV123">
            <v>206.66</v>
          </cell>
          <cell r="AW123">
            <v>0</v>
          </cell>
          <cell r="AX123">
            <v>459.02</v>
          </cell>
          <cell r="AY123">
            <v>2</v>
          </cell>
          <cell r="AZ123">
            <v>1079</v>
          </cell>
          <cell r="BA123">
            <v>2</v>
          </cell>
          <cell r="BB123">
            <v>11577.97</v>
          </cell>
          <cell r="BC123">
            <v>13</v>
          </cell>
          <cell r="BD123">
            <v>10714.39</v>
          </cell>
          <cell r="BE123">
            <v>13</v>
          </cell>
          <cell r="BF123">
            <v>8366.02</v>
          </cell>
          <cell r="BG123">
            <v>34</v>
          </cell>
          <cell r="BH123">
            <v>15049.62</v>
          </cell>
          <cell r="BI123">
            <v>62</v>
          </cell>
          <cell r="BJ123">
            <v>45708</v>
          </cell>
          <cell r="BK123">
            <v>122</v>
          </cell>
          <cell r="BL123">
            <v>545.65</v>
          </cell>
          <cell r="BM123">
            <v>4</v>
          </cell>
          <cell r="BN123">
            <v>516.65</v>
          </cell>
          <cell r="BO123">
            <v>0</v>
          </cell>
          <cell r="BP123">
            <v>430.66</v>
          </cell>
          <cell r="BQ123">
            <v>1</v>
          </cell>
          <cell r="BR123">
            <v>811.04</v>
          </cell>
          <cell r="BS123">
            <v>4</v>
          </cell>
          <cell r="BT123">
            <v>2304</v>
          </cell>
          <cell r="BU123">
            <v>9</v>
          </cell>
          <cell r="BV123">
            <v>309.99</v>
          </cell>
          <cell r="BW123">
            <v>0</v>
          </cell>
          <cell r="BX123">
            <v>309.99</v>
          </cell>
          <cell r="BY123">
            <v>0</v>
          </cell>
          <cell r="BZ123">
            <v>249</v>
          </cell>
          <cell r="CA123">
            <v>1</v>
          </cell>
          <cell r="CB123">
            <v>1016.02</v>
          </cell>
          <cell r="CC123">
            <v>2</v>
          </cell>
          <cell r="CD123">
            <v>1885</v>
          </cell>
          <cell r="CE123">
            <v>3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221.66</v>
          </cell>
          <cell r="DA123">
            <v>1</v>
          </cell>
          <cell r="DB123">
            <v>206.66</v>
          </cell>
          <cell r="DC123">
            <v>0</v>
          </cell>
          <cell r="DD123">
            <v>206.66</v>
          </cell>
          <cell r="DE123">
            <v>0</v>
          </cell>
          <cell r="DF123">
            <v>548.02</v>
          </cell>
          <cell r="DG123">
            <v>2</v>
          </cell>
          <cell r="DH123">
            <v>1183</v>
          </cell>
          <cell r="DI123">
            <v>3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103.33</v>
          </cell>
          <cell r="DU123">
            <v>0</v>
          </cell>
          <cell r="DV123">
            <v>103.33</v>
          </cell>
          <cell r="DW123">
            <v>0</v>
          </cell>
          <cell r="DX123">
            <v>103.33</v>
          </cell>
          <cell r="DY123">
            <v>0</v>
          </cell>
          <cell r="DZ123">
            <v>1008.01</v>
          </cell>
          <cell r="EA123">
            <v>1</v>
          </cell>
          <cell r="EB123">
            <v>1317.9999999999998</v>
          </cell>
          <cell r="EC123">
            <v>1</v>
          </cell>
          <cell r="ED123">
            <v>0</v>
          </cell>
          <cell r="EE123">
            <v>0</v>
          </cell>
          <cell r="EF123">
            <v>0</v>
          </cell>
          <cell r="EH123">
            <v>0</v>
          </cell>
          <cell r="EI123">
            <v>0</v>
          </cell>
        </row>
        <row r="124">
          <cell r="A124" t="str">
            <v>SepGulhi</v>
          </cell>
          <cell r="B124" t="str">
            <v>Sep</v>
          </cell>
          <cell r="C124" t="str">
            <v>K.</v>
          </cell>
          <cell r="D124" t="str">
            <v>Gulhi</v>
          </cell>
          <cell r="E124" t="str">
            <v>usage units more than billed</v>
          </cell>
          <cell r="F124">
            <v>65646</v>
          </cell>
          <cell r="G124">
            <v>174</v>
          </cell>
          <cell r="H124">
            <v>174</v>
          </cell>
          <cell r="I124">
            <v>1</v>
          </cell>
          <cell r="J124">
            <v>0</v>
          </cell>
          <cell r="K124">
            <v>175</v>
          </cell>
          <cell r="L124">
            <v>171</v>
          </cell>
          <cell r="M124">
            <v>4</v>
          </cell>
          <cell r="N124">
            <v>3</v>
          </cell>
          <cell r="O124">
            <v>0</v>
          </cell>
          <cell r="P124">
            <v>0</v>
          </cell>
          <cell r="Q124">
            <v>3</v>
          </cell>
          <cell r="R124">
            <v>3</v>
          </cell>
          <cell r="S124">
            <v>0</v>
          </cell>
          <cell r="T124">
            <v>178</v>
          </cell>
          <cell r="U124">
            <v>174</v>
          </cell>
          <cell r="V124">
            <v>4</v>
          </cell>
          <cell r="W124">
            <v>68813</v>
          </cell>
          <cell r="X124">
            <v>29590.850000000002</v>
          </cell>
          <cell r="Y124">
            <v>0</v>
          </cell>
          <cell r="Z124">
            <v>29590.850000000002</v>
          </cell>
          <cell r="AA124">
            <v>25288</v>
          </cell>
          <cell r="AB124">
            <v>2367</v>
          </cell>
          <cell r="AC124">
            <v>27655</v>
          </cell>
          <cell r="AD124">
            <v>59</v>
          </cell>
          <cell r="AE124">
            <v>157</v>
          </cell>
          <cell r="AF124">
            <v>22600</v>
          </cell>
          <cell r="AG124">
            <v>118</v>
          </cell>
          <cell r="AH124">
            <v>2259.9699999999998</v>
          </cell>
          <cell r="AI124">
            <v>13</v>
          </cell>
          <cell r="AJ124">
            <v>1608.67</v>
          </cell>
          <cell r="AK124">
            <v>5</v>
          </cell>
          <cell r="AL124">
            <v>1394.31</v>
          </cell>
          <cell r="AM124">
            <v>1</v>
          </cell>
          <cell r="AN124">
            <v>6076.05</v>
          </cell>
          <cell r="AO124">
            <v>13</v>
          </cell>
          <cell r="AP124">
            <v>11339</v>
          </cell>
          <cell r="AQ124">
            <v>32</v>
          </cell>
          <cell r="AR124">
            <v>213.34</v>
          </cell>
          <cell r="AS124">
            <v>0</v>
          </cell>
          <cell r="AT124">
            <v>213.34</v>
          </cell>
          <cell r="AU124">
            <v>0</v>
          </cell>
          <cell r="AV124">
            <v>213.34</v>
          </cell>
          <cell r="AW124">
            <v>0</v>
          </cell>
          <cell r="AX124">
            <v>713.98</v>
          </cell>
          <cell r="AY124">
            <v>2</v>
          </cell>
          <cell r="AZ124">
            <v>1354</v>
          </cell>
          <cell r="BA124">
            <v>2</v>
          </cell>
          <cell r="BB124">
            <v>12082.57</v>
          </cell>
          <cell r="BC124">
            <v>15</v>
          </cell>
          <cell r="BD124">
            <v>10947.29</v>
          </cell>
          <cell r="BE124">
            <v>12</v>
          </cell>
          <cell r="BF124">
            <v>8374.98</v>
          </cell>
          <cell r="BG124">
            <v>29</v>
          </cell>
          <cell r="BH124">
            <v>15395.16</v>
          </cell>
          <cell r="BI124">
            <v>68</v>
          </cell>
          <cell r="BJ124">
            <v>46800</v>
          </cell>
          <cell r="BK124">
            <v>124</v>
          </cell>
          <cell r="BL124">
            <v>478.65</v>
          </cell>
          <cell r="BM124">
            <v>4</v>
          </cell>
          <cell r="BN124">
            <v>405.99</v>
          </cell>
          <cell r="BO124">
            <v>1</v>
          </cell>
          <cell r="BP124">
            <v>383.32</v>
          </cell>
          <cell r="BQ124">
            <v>0</v>
          </cell>
          <cell r="BR124">
            <v>710.04</v>
          </cell>
          <cell r="BS124">
            <v>4</v>
          </cell>
          <cell r="BT124">
            <v>1978</v>
          </cell>
          <cell r="BU124">
            <v>9</v>
          </cell>
          <cell r="BV124">
            <v>279.99</v>
          </cell>
          <cell r="BW124">
            <v>0</v>
          </cell>
          <cell r="BX124">
            <v>279.99</v>
          </cell>
          <cell r="BY124">
            <v>0</v>
          </cell>
          <cell r="BZ124">
            <v>197</v>
          </cell>
          <cell r="CA124">
            <v>1</v>
          </cell>
          <cell r="CB124">
            <v>1121.02</v>
          </cell>
          <cell r="CC124">
            <v>2</v>
          </cell>
          <cell r="CD124">
            <v>1878</v>
          </cell>
          <cell r="CE124">
            <v>3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228.34</v>
          </cell>
          <cell r="DA124">
            <v>1</v>
          </cell>
          <cell r="DB124">
            <v>213.34</v>
          </cell>
          <cell r="DC124">
            <v>0</v>
          </cell>
          <cell r="DD124">
            <v>213.34</v>
          </cell>
          <cell r="DE124">
            <v>0</v>
          </cell>
          <cell r="DF124">
            <v>564.98</v>
          </cell>
          <cell r="DG124">
            <v>2</v>
          </cell>
          <cell r="DH124">
            <v>1220</v>
          </cell>
          <cell r="DI124">
            <v>3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103.33</v>
          </cell>
          <cell r="DU124">
            <v>0</v>
          </cell>
          <cell r="DV124">
            <v>103.33</v>
          </cell>
          <cell r="DW124">
            <v>0</v>
          </cell>
          <cell r="DX124">
            <v>103.33</v>
          </cell>
          <cell r="DY124">
            <v>0</v>
          </cell>
          <cell r="DZ124">
            <v>767.01</v>
          </cell>
          <cell r="EA124">
            <v>1</v>
          </cell>
          <cell r="EB124">
            <v>1077</v>
          </cell>
          <cell r="EC124">
            <v>1</v>
          </cell>
          <cell r="ED124">
            <v>0</v>
          </cell>
          <cell r="EE124">
            <v>0</v>
          </cell>
          <cell r="EF124">
            <v>0</v>
          </cell>
          <cell r="EH124">
            <v>0</v>
          </cell>
          <cell r="EI124">
            <v>0</v>
          </cell>
        </row>
        <row r="125">
          <cell r="A125" t="str">
            <v>OctGulhi</v>
          </cell>
          <cell r="B125" t="str">
            <v>Oct</v>
          </cell>
          <cell r="C125" t="str">
            <v>K.</v>
          </cell>
          <cell r="D125" t="str">
            <v>Gulhi</v>
          </cell>
          <cell r="E125" t="str">
            <v>usage units less than billed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28667</v>
          </cell>
          <cell r="AB125">
            <v>2606</v>
          </cell>
          <cell r="AC125">
            <v>31273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H125">
            <v>0</v>
          </cell>
          <cell r="EI125">
            <v>0</v>
          </cell>
        </row>
        <row r="126">
          <cell r="A126" t="str">
            <v>NovGulhi</v>
          </cell>
          <cell r="B126" t="str">
            <v>Nov</v>
          </cell>
          <cell r="C126" t="str">
            <v>K.</v>
          </cell>
          <cell r="D126" t="str">
            <v>Gulhi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29596</v>
          </cell>
          <cell r="AB126">
            <v>2818</v>
          </cell>
          <cell r="AC126">
            <v>32414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H126">
            <v>0</v>
          </cell>
          <cell r="EI126">
            <v>0</v>
          </cell>
        </row>
        <row r="127">
          <cell r="A127" t="str">
            <v>DecGulhi</v>
          </cell>
          <cell r="B127" t="str">
            <v>Dec</v>
          </cell>
          <cell r="C127" t="str">
            <v>K.</v>
          </cell>
          <cell r="D127" t="str">
            <v>Gulhi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30259</v>
          </cell>
          <cell r="AB127">
            <v>2178</v>
          </cell>
          <cell r="AC127">
            <v>32437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H127">
            <v>0</v>
          </cell>
          <cell r="EI127">
            <v>0</v>
          </cell>
        </row>
        <row r="128">
          <cell r="A128" t="str">
            <v>JanGuraidhoo</v>
          </cell>
          <cell r="B128" t="str">
            <v>Jan</v>
          </cell>
          <cell r="C128" t="str">
            <v>K.</v>
          </cell>
          <cell r="D128" t="str">
            <v>Guraidhoo</v>
          </cell>
          <cell r="E128">
            <v>0</v>
          </cell>
          <cell r="F128">
            <v>150782</v>
          </cell>
          <cell r="G128">
            <v>425</v>
          </cell>
          <cell r="H128">
            <v>426</v>
          </cell>
          <cell r="I128">
            <v>1</v>
          </cell>
          <cell r="J128">
            <v>1</v>
          </cell>
          <cell r="K128">
            <v>426</v>
          </cell>
          <cell r="L128">
            <v>423</v>
          </cell>
          <cell r="M128">
            <v>4</v>
          </cell>
          <cell r="N128">
            <v>0</v>
          </cell>
          <cell r="O128">
            <v>2</v>
          </cell>
          <cell r="P128">
            <v>1</v>
          </cell>
          <cell r="Q128">
            <v>1</v>
          </cell>
          <cell r="R128">
            <v>2</v>
          </cell>
          <cell r="S128">
            <v>1</v>
          </cell>
          <cell r="T128">
            <v>427</v>
          </cell>
          <cell r="U128">
            <v>425</v>
          </cell>
          <cell r="V128">
            <v>5</v>
          </cell>
          <cell r="W128">
            <v>157000</v>
          </cell>
          <cell r="X128">
            <v>157000</v>
          </cell>
          <cell r="Y128">
            <v>6827</v>
          </cell>
          <cell r="Z128">
            <v>163827</v>
          </cell>
          <cell r="AA128">
            <v>150782</v>
          </cell>
          <cell r="AB128">
            <v>1986</v>
          </cell>
          <cell r="AC128">
            <v>152768</v>
          </cell>
          <cell r="AD128">
            <v>150</v>
          </cell>
          <cell r="AE128">
            <v>297</v>
          </cell>
          <cell r="AF128">
            <v>44240</v>
          </cell>
          <cell r="AG128">
            <v>79</v>
          </cell>
          <cell r="AH128">
            <v>3689.6</v>
          </cell>
          <cell r="AI128">
            <v>59</v>
          </cell>
          <cell r="AJ128">
            <v>2238.3000000000002</v>
          </cell>
          <cell r="AK128">
            <v>5</v>
          </cell>
          <cell r="AL128">
            <v>1784.95</v>
          </cell>
          <cell r="AM128">
            <v>4</v>
          </cell>
          <cell r="AN128">
            <v>5493.15</v>
          </cell>
          <cell r="AO128">
            <v>16</v>
          </cell>
          <cell r="AP128">
            <v>13206</v>
          </cell>
          <cell r="AQ128">
            <v>84</v>
          </cell>
          <cell r="AR128">
            <v>214.66</v>
          </cell>
          <cell r="AS128">
            <v>1</v>
          </cell>
          <cell r="AT128">
            <v>206.66</v>
          </cell>
          <cell r="AU128" t="str">
            <v xml:space="preserve"> -   </v>
          </cell>
          <cell r="AV128">
            <v>206.66</v>
          </cell>
          <cell r="AW128" t="str">
            <v xml:space="preserve"> -   </v>
          </cell>
          <cell r="AX128">
            <v>2043.02</v>
          </cell>
          <cell r="AY128">
            <v>2</v>
          </cell>
          <cell r="AZ128">
            <v>2671</v>
          </cell>
          <cell r="BA128">
            <v>3</v>
          </cell>
          <cell r="BB128">
            <v>27096.35</v>
          </cell>
          <cell r="BC128">
            <v>82</v>
          </cell>
          <cell r="BD128">
            <v>22069.27</v>
          </cell>
          <cell r="BE128">
            <v>49</v>
          </cell>
          <cell r="BF128">
            <v>16290.25</v>
          </cell>
          <cell r="BG128">
            <v>51</v>
          </cell>
          <cell r="BH128">
            <v>43282.13</v>
          </cell>
          <cell r="BI128">
            <v>134</v>
          </cell>
          <cell r="BJ128">
            <v>108738</v>
          </cell>
          <cell r="BK128">
            <v>316</v>
          </cell>
          <cell r="BL128">
            <v>203.33</v>
          </cell>
          <cell r="BM128" t="str">
            <v xml:space="preserve"> -   </v>
          </cell>
          <cell r="BN128">
            <v>203.33</v>
          </cell>
          <cell r="BO128" t="str">
            <v xml:space="preserve"> -   </v>
          </cell>
          <cell r="BP128">
            <v>203.33</v>
          </cell>
          <cell r="BQ128" t="str">
            <v xml:space="preserve"> -   </v>
          </cell>
          <cell r="BR128">
            <v>12763.01</v>
          </cell>
          <cell r="BS128">
            <v>2</v>
          </cell>
          <cell r="BT128">
            <v>13373</v>
          </cell>
          <cell r="BU128">
            <v>2</v>
          </cell>
          <cell r="BV128">
            <v>213.33</v>
          </cell>
          <cell r="BW128" t="str">
            <v xml:space="preserve"> -   </v>
          </cell>
          <cell r="BX128">
            <v>213.33</v>
          </cell>
          <cell r="BY128" t="str">
            <v xml:space="preserve"> -   </v>
          </cell>
          <cell r="BZ128">
            <v>194.34</v>
          </cell>
          <cell r="CA128">
            <v>1</v>
          </cell>
          <cell r="CB128">
            <v>2286</v>
          </cell>
          <cell r="CC128">
            <v>1</v>
          </cell>
          <cell r="CD128">
            <v>2907</v>
          </cell>
          <cell r="CE128">
            <v>2</v>
          </cell>
          <cell r="CF128">
            <v>1063.98</v>
          </cell>
          <cell r="CG128">
            <v>3</v>
          </cell>
          <cell r="CH128">
            <v>1022.98</v>
          </cell>
          <cell r="CI128">
            <v>1</v>
          </cell>
          <cell r="CJ128">
            <v>939.98</v>
          </cell>
          <cell r="CK128" t="str">
            <v xml:space="preserve"> -   </v>
          </cell>
          <cell r="CL128">
            <v>3468.06</v>
          </cell>
          <cell r="CM128">
            <v>10</v>
          </cell>
          <cell r="CN128">
            <v>6495</v>
          </cell>
          <cell r="CO128">
            <v>14</v>
          </cell>
          <cell r="CP128">
            <v>43</v>
          </cell>
          <cell r="CQ128">
            <v>2</v>
          </cell>
          <cell r="CR128" t="str">
            <v xml:space="preserve"> -   </v>
          </cell>
          <cell r="CS128" t="str">
            <v xml:space="preserve"> -   </v>
          </cell>
          <cell r="CT128" t="str">
            <v xml:space="preserve"> -   </v>
          </cell>
          <cell r="CU128" t="str">
            <v xml:space="preserve"> -   </v>
          </cell>
          <cell r="CV128" t="str">
            <v xml:space="preserve"> -   </v>
          </cell>
          <cell r="CW128" t="str">
            <v xml:space="preserve"> -   </v>
          </cell>
          <cell r="CX128">
            <v>43</v>
          </cell>
          <cell r="CY128">
            <v>2</v>
          </cell>
          <cell r="CZ128">
            <v>103.33</v>
          </cell>
          <cell r="DA128" t="str">
            <v xml:space="preserve"> -   </v>
          </cell>
          <cell r="DB128">
            <v>103.33</v>
          </cell>
          <cell r="DC128" t="str">
            <v xml:space="preserve"> -   </v>
          </cell>
          <cell r="DD128">
            <v>103.33</v>
          </cell>
          <cell r="DE128" t="str">
            <v xml:space="preserve"> -   </v>
          </cell>
          <cell r="DF128">
            <v>1252.01</v>
          </cell>
          <cell r="DG128">
            <v>1</v>
          </cell>
          <cell r="DH128">
            <v>1562</v>
          </cell>
          <cell r="DI128">
            <v>1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 t="str">
            <v xml:space="preserve"> -   </v>
          </cell>
          <cell r="DS128" t="str">
            <v xml:space="preserve"> -   </v>
          </cell>
          <cell r="DT128">
            <v>103.33</v>
          </cell>
          <cell r="DU128" t="str">
            <v xml:space="preserve"> -   </v>
          </cell>
          <cell r="DV128">
            <v>103.33</v>
          </cell>
          <cell r="DW128" t="str">
            <v xml:space="preserve"> -   </v>
          </cell>
          <cell r="DX128">
            <v>103.33</v>
          </cell>
          <cell r="DY128" t="str">
            <v xml:space="preserve"> -   </v>
          </cell>
          <cell r="DZ128">
            <v>1477.01</v>
          </cell>
          <cell r="EA128">
            <v>1</v>
          </cell>
          <cell r="EB128">
            <v>1787</v>
          </cell>
          <cell r="EC128">
            <v>1</v>
          </cell>
          <cell r="ED128">
            <v>0</v>
          </cell>
          <cell r="EE128">
            <v>0</v>
          </cell>
          <cell r="EF128">
            <v>0</v>
          </cell>
          <cell r="EH128">
            <v>0</v>
          </cell>
          <cell r="EI128">
            <v>0</v>
          </cell>
        </row>
        <row r="129">
          <cell r="A129" t="str">
            <v>FebGuraidhoo</v>
          </cell>
          <cell r="B129" t="str">
            <v>Feb</v>
          </cell>
          <cell r="C129" t="str">
            <v>K.</v>
          </cell>
          <cell r="D129" t="str">
            <v>Guraidhoo</v>
          </cell>
          <cell r="E129">
            <v>0</v>
          </cell>
          <cell r="F129">
            <v>140924</v>
          </cell>
          <cell r="G129">
            <v>427</v>
          </cell>
          <cell r="H129">
            <v>426</v>
          </cell>
          <cell r="I129">
            <v>0</v>
          </cell>
          <cell r="J129">
            <v>0</v>
          </cell>
          <cell r="K129">
            <v>426</v>
          </cell>
          <cell r="L129">
            <v>425</v>
          </cell>
          <cell r="M129">
            <v>1</v>
          </cell>
          <cell r="N129">
            <v>1</v>
          </cell>
          <cell r="O129">
            <v>1</v>
          </cell>
          <cell r="P129">
            <v>2</v>
          </cell>
          <cell r="Q129">
            <v>0</v>
          </cell>
          <cell r="R129">
            <v>2</v>
          </cell>
          <cell r="S129">
            <v>0</v>
          </cell>
          <cell r="T129">
            <v>426</v>
          </cell>
          <cell r="U129">
            <v>427</v>
          </cell>
          <cell r="V129">
            <v>1</v>
          </cell>
          <cell r="W129">
            <v>143370</v>
          </cell>
          <cell r="X129">
            <v>143370</v>
          </cell>
          <cell r="Y129">
            <v>6550</v>
          </cell>
          <cell r="Z129">
            <v>149920</v>
          </cell>
          <cell r="AA129">
            <v>140924</v>
          </cell>
          <cell r="AB129">
            <v>2042</v>
          </cell>
          <cell r="AC129">
            <v>142966</v>
          </cell>
          <cell r="AD129">
            <v>146</v>
          </cell>
          <cell r="AE129">
            <v>313</v>
          </cell>
          <cell r="AF129">
            <v>40118</v>
          </cell>
          <cell r="AG129">
            <v>84</v>
          </cell>
          <cell r="AH129">
            <v>3286.26</v>
          </cell>
          <cell r="AI129">
            <v>59</v>
          </cell>
          <cell r="AJ129">
            <v>1967.28</v>
          </cell>
          <cell r="AK129">
            <v>5</v>
          </cell>
          <cell r="AL129">
            <v>1627.3</v>
          </cell>
          <cell r="AM129">
            <v>4</v>
          </cell>
          <cell r="AN129">
            <v>5330.16</v>
          </cell>
          <cell r="AO129">
            <v>16</v>
          </cell>
          <cell r="AP129">
            <v>12211</v>
          </cell>
          <cell r="AQ129">
            <v>84</v>
          </cell>
          <cell r="AR129">
            <v>246.66</v>
          </cell>
          <cell r="AS129">
            <v>1</v>
          </cell>
          <cell r="AT129">
            <v>186.66</v>
          </cell>
          <cell r="AU129" t="str">
            <v xml:space="preserve"> -   </v>
          </cell>
          <cell r="AV129">
            <v>186.66</v>
          </cell>
          <cell r="AW129" t="str">
            <v xml:space="preserve"> -   </v>
          </cell>
          <cell r="AX129">
            <v>1950.02</v>
          </cell>
          <cell r="AY129">
            <v>2</v>
          </cell>
          <cell r="AZ129">
            <v>2570</v>
          </cell>
          <cell r="BA129">
            <v>3</v>
          </cell>
          <cell r="BB129">
            <v>24528.97</v>
          </cell>
          <cell r="BC129">
            <v>84</v>
          </cell>
          <cell r="BD129">
            <v>20256.849999999999</v>
          </cell>
          <cell r="BE129">
            <v>39</v>
          </cell>
          <cell r="BF129">
            <v>14862.02</v>
          </cell>
          <cell r="BG129">
            <v>69</v>
          </cell>
          <cell r="BH129">
            <v>38398.160000000003</v>
          </cell>
          <cell r="BI129">
            <v>126</v>
          </cell>
          <cell r="BJ129">
            <v>98046</v>
          </cell>
          <cell r="BK129">
            <v>318</v>
          </cell>
          <cell r="BL129">
            <v>193.33</v>
          </cell>
          <cell r="BM129" t="str">
            <v xml:space="preserve"> -   </v>
          </cell>
          <cell r="BN129">
            <v>193.33</v>
          </cell>
          <cell r="BO129" t="str">
            <v xml:space="preserve"> -   </v>
          </cell>
          <cell r="BP129">
            <v>193.33</v>
          </cell>
          <cell r="BQ129" t="str">
            <v xml:space="preserve"> -   </v>
          </cell>
          <cell r="BR129">
            <v>12227.01</v>
          </cell>
          <cell r="BS129">
            <v>2</v>
          </cell>
          <cell r="BT129">
            <v>12807</v>
          </cell>
          <cell r="BU129">
            <v>2</v>
          </cell>
          <cell r="BV129">
            <v>186.66</v>
          </cell>
          <cell r="BW129" t="str">
            <v xml:space="preserve"> -   </v>
          </cell>
          <cell r="BX129">
            <v>186.66</v>
          </cell>
          <cell r="BY129" t="str">
            <v xml:space="preserve"> -   </v>
          </cell>
          <cell r="BZ129">
            <v>186.66</v>
          </cell>
          <cell r="CA129" t="str">
            <v xml:space="preserve"> -   </v>
          </cell>
          <cell r="CB129">
            <v>2769.02</v>
          </cell>
          <cell r="CC129">
            <v>2</v>
          </cell>
          <cell r="CD129">
            <v>3329</v>
          </cell>
          <cell r="CE129">
            <v>2</v>
          </cell>
          <cell r="CF129">
            <v>948.3</v>
          </cell>
          <cell r="CG129">
            <v>3</v>
          </cell>
          <cell r="CH129">
            <v>891.64</v>
          </cell>
          <cell r="CI129">
            <v>1</v>
          </cell>
          <cell r="CJ129">
            <v>839.97</v>
          </cell>
          <cell r="CK129" t="str">
            <v xml:space="preserve"> -   </v>
          </cell>
          <cell r="CL129">
            <v>6421.09</v>
          </cell>
          <cell r="CM129">
            <v>9</v>
          </cell>
          <cell r="CN129">
            <v>9101</v>
          </cell>
          <cell r="CO129">
            <v>13</v>
          </cell>
          <cell r="CP129">
            <v>46</v>
          </cell>
          <cell r="CQ129">
            <v>3</v>
          </cell>
          <cell r="CR129" t="str">
            <v xml:space="preserve"> -   </v>
          </cell>
          <cell r="CS129" t="str">
            <v xml:space="preserve"> -   </v>
          </cell>
          <cell r="CT129" t="str">
            <v xml:space="preserve"> -   </v>
          </cell>
          <cell r="CU129" t="str">
            <v xml:space="preserve"> -   </v>
          </cell>
          <cell r="CV129" t="str">
            <v xml:space="preserve"> -   </v>
          </cell>
          <cell r="CW129" t="str">
            <v xml:space="preserve"> -   </v>
          </cell>
          <cell r="CX129">
            <v>46</v>
          </cell>
          <cell r="CY129">
            <v>3</v>
          </cell>
          <cell r="CZ129">
            <v>93.33</v>
          </cell>
          <cell r="DA129" t="str">
            <v xml:space="preserve"> -   </v>
          </cell>
          <cell r="DB129">
            <v>93.33</v>
          </cell>
          <cell r="DC129" t="str">
            <v xml:space="preserve"> -   </v>
          </cell>
          <cell r="DD129">
            <v>93.33</v>
          </cell>
          <cell r="DE129" t="str">
            <v xml:space="preserve"> -   </v>
          </cell>
          <cell r="DF129">
            <v>1131.01</v>
          </cell>
          <cell r="DG129">
            <v>1</v>
          </cell>
          <cell r="DH129">
            <v>1411</v>
          </cell>
          <cell r="DI129">
            <v>1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 t="str">
            <v xml:space="preserve"> -   </v>
          </cell>
          <cell r="DS129" t="str">
            <v xml:space="preserve"> -   </v>
          </cell>
          <cell r="DT129">
            <v>93.33</v>
          </cell>
          <cell r="DU129" t="str">
            <v xml:space="preserve"> -   </v>
          </cell>
          <cell r="DV129">
            <v>93.33</v>
          </cell>
          <cell r="DW129" t="str">
            <v xml:space="preserve"> -   </v>
          </cell>
          <cell r="DX129">
            <v>93.33</v>
          </cell>
          <cell r="DY129" t="str">
            <v xml:space="preserve"> -   </v>
          </cell>
          <cell r="DZ129">
            <v>1123.01</v>
          </cell>
          <cell r="EA129">
            <v>1</v>
          </cell>
          <cell r="EB129">
            <v>1403</v>
          </cell>
          <cell r="EC129">
            <v>1</v>
          </cell>
          <cell r="ED129">
            <v>0</v>
          </cell>
          <cell r="EE129">
            <v>0</v>
          </cell>
          <cell r="EF129">
            <v>0</v>
          </cell>
          <cell r="EH129">
            <v>0</v>
          </cell>
          <cell r="EI129">
            <v>0</v>
          </cell>
        </row>
        <row r="130">
          <cell r="A130" t="str">
            <v>MarGuraidhoo</v>
          </cell>
          <cell r="B130" t="str">
            <v>Mar</v>
          </cell>
          <cell r="C130" t="str">
            <v>K.</v>
          </cell>
          <cell r="D130" t="str">
            <v>Guraidhoo</v>
          </cell>
          <cell r="E130">
            <v>0</v>
          </cell>
          <cell r="F130">
            <v>166449</v>
          </cell>
          <cell r="G130">
            <v>427</v>
          </cell>
          <cell r="H130">
            <v>426</v>
          </cell>
          <cell r="I130">
            <v>1</v>
          </cell>
          <cell r="J130">
            <v>0</v>
          </cell>
          <cell r="K130">
            <v>427</v>
          </cell>
          <cell r="L130">
            <v>425</v>
          </cell>
          <cell r="M130">
            <v>2</v>
          </cell>
          <cell r="N130">
            <v>0</v>
          </cell>
          <cell r="O130">
            <v>2</v>
          </cell>
          <cell r="P130">
            <v>2</v>
          </cell>
          <cell r="Q130">
            <v>0</v>
          </cell>
          <cell r="R130">
            <v>2</v>
          </cell>
          <cell r="S130">
            <v>0</v>
          </cell>
          <cell r="T130">
            <v>427</v>
          </cell>
          <cell r="U130">
            <v>427</v>
          </cell>
          <cell r="V130">
            <v>2</v>
          </cell>
          <cell r="W130">
            <v>175050</v>
          </cell>
          <cell r="X130">
            <v>175050</v>
          </cell>
          <cell r="Y130">
            <v>8216</v>
          </cell>
          <cell r="Z130">
            <v>183266</v>
          </cell>
          <cell r="AA130">
            <v>166449</v>
          </cell>
          <cell r="AB130">
            <v>2031</v>
          </cell>
          <cell r="AC130">
            <v>168480</v>
          </cell>
          <cell r="AD130">
            <v>165</v>
          </cell>
          <cell r="AE130">
            <v>344</v>
          </cell>
          <cell r="AF130">
            <v>47700</v>
          </cell>
          <cell r="AG130">
            <v>93</v>
          </cell>
          <cell r="AH130">
            <v>3541.92</v>
          </cell>
          <cell r="AI130">
            <v>59</v>
          </cell>
          <cell r="AJ130">
            <v>2374.62</v>
          </cell>
          <cell r="AK130">
            <v>5</v>
          </cell>
          <cell r="AL130">
            <v>1942.29</v>
          </cell>
          <cell r="AM130">
            <v>3</v>
          </cell>
          <cell r="AN130">
            <v>5813.17</v>
          </cell>
          <cell r="AO130">
            <v>17</v>
          </cell>
          <cell r="AP130">
            <v>13672</v>
          </cell>
          <cell r="AQ130">
            <v>84</v>
          </cell>
          <cell r="AR130">
            <v>305.66000000000003</v>
          </cell>
          <cell r="AS130">
            <v>1</v>
          </cell>
          <cell r="AT130">
            <v>206.66</v>
          </cell>
          <cell r="AU130" t="str">
            <v xml:space="preserve"> -   </v>
          </cell>
          <cell r="AV130">
            <v>206.66</v>
          </cell>
          <cell r="AW130" t="str">
            <v xml:space="preserve"> -   </v>
          </cell>
          <cell r="AX130">
            <v>2295.02</v>
          </cell>
          <cell r="AY130">
            <v>2</v>
          </cell>
          <cell r="AZ130">
            <v>3014</v>
          </cell>
          <cell r="BA130">
            <v>3</v>
          </cell>
          <cell r="BB130">
            <v>27462.639999999999</v>
          </cell>
          <cell r="BC130">
            <v>82</v>
          </cell>
          <cell r="BD130">
            <v>22811.78</v>
          </cell>
          <cell r="BE130">
            <v>33</v>
          </cell>
          <cell r="BF130">
            <v>18011.16</v>
          </cell>
          <cell r="BG130">
            <v>54</v>
          </cell>
          <cell r="BH130">
            <v>53481.42</v>
          </cell>
          <cell r="BI130">
            <v>149</v>
          </cell>
          <cell r="BJ130">
            <v>121767</v>
          </cell>
          <cell r="BK130">
            <v>318</v>
          </cell>
          <cell r="BL130">
            <v>203.33</v>
          </cell>
          <cell r="BM130" t="str">
            <v xml:space="preserve"> -   </v>
          </cell>
          <cell r="BN130">
            <v>203.33</v>
          </cell>
          <cell r="BO130" t="str">
            <v xml:space="preserve"> -   </v>
          </cell>
          <cell r="BP130">
            <v>203.33</v>
          </cell>
          <cell r="BQ130" t="str">
            <v xml:space="preserve"> -   </v>
          </cell>
          <cell r="BR130">
            <v>13546.01</v>
          </cell>
          <cell r="BS130">
            <v>2</v>
          </cell>
          <cell r="BT130">
            <v>14156</v>
          </cell>
          <cell r="BU130">
            <v>2</v>
          </cell>
          <cell r="BV130">
            <v>200</v>
          </cell>
          <cell r="BW130" t="str">
            <v xml:space="preserve"> -   </v>
          </cell>
          <cell r="BX130">
            <v>200</v>
          </cell>
          <cell r="BY130" t="str">
            <v xml:space="preserve"> -   </v>
          </cell>
          <cell r="BZ130">
            <v>200</v>
          </cell>
          <cell r="CA130" t="str">
            <v xml:space="preserve"> -   </v>
          </cell>
          <cell r="CB130">
            <v>2780</v>
          </cell>
          <cell r="CC130">
            <v>2</v>
          </cell>
          <cell r="CD130">
            <v>3380</v>
          </cell>
          <cell r="CE130">
            <v>2</v>
          </cell>
          <cell r="CF130">
            <v>1037.31</v>
          </cell>
          <cell r="CG130">
            <v>3</v>
          </cell>
          <cell r="CH130">
            <v>1005.65</v>
          </cell>
          <cell r="CI130">
            <v>1</v>
          </cell>
          <cell r="CJ130">
            <v>865</v>
          </cell>
          <cell r="CK130">
            <v>2</v>
          </cell>
          <cell r="CL130">
            <v>4111.04</v>
          </cell>
          <cell r="CM130">
            <v>7</v>
          </cell>
          <cell r="CN130">
            <v>7019</v>
          </cell>
          <cell r="CO130">
            <v>13</v>
          </cell>
          <cell r="CP130">
            <v>31</v>
          </cell>
          <cell r="CQ130">
            <v>3</v>
          </cell>
          <cell r="CR130" t="str">
            <v xml:space="preserve"> -   </v>
          </cell>
          <cell r="CS130" t="str">
            <v xml:space="preserve"> -   </v>
          </cell>
          <cell r="CT130" t="str">
            <v xml:space="preserve"> -   </v>
          </cell>
          <cell r="CU130" t="str">
            <v xml:space="preserve"> -   </v>
          </cell>
          <cell r="CV130" t="str">
            <v xml:space="preserve"> -   </v>
          </cell>
          <cell r="CW130" t="str">
            <v xml:space="preserve"> -   </v>
          </cell>
          <cell r="CX130">
            <v>31</v>
          </cell>
          <cell r="CY130">
            <v>3</v>
          </cell>
          <cell r="CZ130">
            <v>103.33</v>
          </cell>
          <cell r="DA130" t="str">
            <v xml:space="preserve"> -   </v>
          </cell>
          <cell r="DB130">
            <v>103.33</v>
          </cell>
          <cell r="DC130" t="str">
            <v xml:space="preserve"> -   </v>
          </cell>
          <cell r="DD130">
            <v>103.33</v>
          </cell>
          <cell r="DE130" t="str">
            <v xml:space="preserve"> -   </v>
          </cell>
          <cell r="DF130">
            <v>1252.01</v>
          </cell>
          <cell r="DG130">
            <v>1</v>
          </cell>
          <cell r="DH130">
            <v>1562</v>
          </cell>
          <cell r="DI130">
            <v>1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 t="str">
            <v xml:space="preserve"> -   </v>
          </cell>
          <cell r="DS130" t="str">
            <v xml:space="preserve"> -   </v>
          </cell>
          <cell r="DT130">
            <v>103.33</v>
          </cell>
          <cell r="DU130" t="str">
            <v xml:space="preserve"> -   </v>
          </cell>
          <cell r="DV130">
            <v>103.33</v>
          </cell>
          <cell r="DW130" t="str">
            <v xml:space="preserve"> -   </v>
          </cell>
          <cell r="DX130">
            <v>103.33</v>
          </cell>
          <cell r="DY130" t="str">
            <v xml:space="preserve"> -   </v>
          </cell>
          <cell r="DZ130">
            <v>1538.01</v>
          </cell>
          <cell r="EA130">
            <v>1</v>
          </cell>
          <cell r="EB130">
            <v>1848</v>
          </cell>
          <cell r="EC130">
            <v>1</v>
          </cell>
          <cell r="ED130">
            <v>0</v>
          </cell>
          <cell r="EE130">
            <v>0</v>
          </cell>
          <cell r="EF130">
            <v>0</v>
          </cell>
          <cell r="EH130">
            <v>0</v>
          </cell>
          <cell r="EI130">
            <v>0</v>
          </cell>
        </row>
        <row r="131">
          <cell r="A131" t="str">
            <v>AprGuraidhoo</v>
          </cell>
          <cell r="B131" t="str">
            <v>Apr</v>
          </cell>
          <cell r="C131" t="str">
            <v>K.</v>
          </cell>
          <cell r="D131" t="str">
            <v>Guraidhoo</v>
          </cell>
          <cell r="E131">
            <v>0</v>
          </cell>
          <cell r="F131">
            <v>177169</v>
          </cell>
          <cell r="G131">
            <v>427</v>
          </cell>
          <cell r="H131">
            <v>427</v>
          </cell>
          <cell r="I131">
            <v>1</v>
          </cell>
          <cell r="J131">
            <v>1</v>
          </cell>
          <cell r="K131">
            <v>427</v>
          </cell>
          <cell r="L131">
            <v>427</v>
          </cell>
          <cell r="M131">
            <v>1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427</v>
          </cell>
          <cell r="U131">
            <v>427</v>
          </cell>
          <cell r="V131">
            <v>1</v>
          </cell>
          <cell r="W131">
            <v>186070</v>
          </cell>
          <cell r="X131">
            <v>186070</v>
          </cell>
          <cell r="Y131">
            <v>8586</v>
          </cell>
          <cell r="Z131">
            <v>194656</v>
          </cell>
          <cell r="AA131">
            <v>177169</v>
          </cell>
          <cell r="AB131">
            <v>2064</v>
          </cell>
          <cell r="AC131">
            <v>179233</v>
          </cell>
          <cell r="AD131">
            <v>179</v>
          </cell>
          <cell r="AE131">
            <v>350</v>
          </cell>
          <cell r="AF131">
            <v>52022</v>
          </cell>
          <cell r="AG131">
            <v>172</v>
          </cell>
          <cell r="AH131">
            <v>3527</v>
          </cell>
          <cell r="AI131">
            <v>58</v>
          </cell>
          <cell r="AJ131">
            <v>2345</v>
          </cell>
          <cell r="AK131">
            <v>4</v>
          </cell>
          <cell r="AL131">
            <v>1947</v>
          </cell>
          <cell r="AM131">
            <v>5</v>
          </cell>
          <cell r="AN131">
            <v>5805</v>
          </cell>
          <cell r="AO131">
            <v>16</v>
          </cell>
          <cell r="AP131">
            <v>13624</v>
          </cell>
          <cell r="AQ131">
            <v>83</v>
          </cell>
          <cell r="AR131">
            <v>220</v>
          </cell>
          <cell r="AS131">
            <v>1</v>
          </cell>
          <cell r="AT131">
            <v>200</v>
          </cell>
          <cell r="AU131">
            <v>0</v>
          </cell>
          <cell r="AV131">
            <v>200</v>
          </cell>
          <cell r="AW131">
            <v>0</v>
          </cell>
          <cell r="AX131">
            <v>2333</v>
          </cell>
          <cell r="AY131">
            <v>2</v>
          </cell>
          <cell r="AZ131">
            <v>2953</v>
          </cell>
          <cell r="BA131">
            <v>3</v>
          </cell>
          <cell r="BB131">
            <v>26721.34</v>
          </cell>
          <cell r="BC131">
            <v>75</v>
          </cell>
          <cell r="BD131">
            <v>22669.34</v>
          </cell>
          <cell r="BE131">
            <v>38</v>
          </cell>
          <cell r="BF131">
            <v>18453.32</v>
          </cell>
          <cell r="BG131">
            <v>42</v>
          </cell>
          <cell r="BH131">
            <v>63837</v>
          </cell>
          <cell r="BI131">
            <v>163</v>
          </cell>
          <cell r="BJ131">
            <v>131681</v>
          </cell>
          <cell r="BK131">
            <v>318</v>
          </cell>
          <cell r="BL131">
            <v>196.67</v>
          </cell>
          <cell r="BM131">
            <v>0</v>
          </cell>
          <cell r="BN131">
            <v>196.67</v>
          </cell>
          <cell r="BO131">
            <v>0</v>
          </cell>
          <cell r="BP131">
            <v>196.67</v>
          </cell>
          <cell r="BQ131">
            <v>0</v>
          </cell>
          <cell r="BR131">
            <v>14661.99</v>
          </cell>
          <cell r="BS131">
            <v>2</v>
          </cell>
          <cell r="BT131">
            <v>15252</v>
          </cell>
          <cell r="BU131">
            <v>2</v>
          </cell>
          <cell r="BV131">
            <v>200</v>
          </cell>
          <cell r="BW131">
            <v>0</v>
          </cell>
          <cell r="BX131">
            <v>200</v>
          </cell>
          <cell r="BY131">
            <v>0</v>
          </cell>
          <cell r="BZ131">
            <v>200</v>
          </cell>
          <cell r="CA131">
            <v>0</v>
          </cell>
          <cell r="CB131">
            <v>3192</v>
          </cell>
          <cell r="CC131">
            <v>2</v>
          </cell>
          <cell r="CD131">
            <v>3792</v>
          </cell>
          <cell r="CE131">
            <v>2</v>
          </cell>
          <cell r="CF131">
            <v>1021.67</v>
          </cell>
          <cell r="CG131">
            <v>5</v>
          </cell>
          <cell r="CH131">
            <v>881.67</v>
          </cell>
          <cell r="CI131">
            <v>1</v>
          </cell>
          <cell r="CJ131">
            <v>785.67</v>
          </cell>
          <cell r="CK131">
            <v>1</v>
          </cell>
          <cell r="CL131">
            <v>3628.99</v>
          </cell>
          <cell r="CM131">
            <v>7</v>
          </cell>
          <cell r="CN131">
            <v>6318</v>
          </cell>
          <cell r="CO131">
            <v>14</v>
          </cell>
          <cell r="CP131">
            <v>31</v>
          </cell>
          <cell r="CQ131">
            <v>3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31</v>
          </cell>
          <cell r="CY131">
            <v>3</v>
          </cell>
          <cell r="CZ131">
            <v>100</v>
          </cell>
          <cell r="DA131">
            <v>0</v>
          </cell>
          <cell r="DB131">
            <v>100</v>
          </cell>
          <cell r="DC131">
            <v>0</v>
          </cell>
          <cell r="DD131">
            <v>100</v>
          </cell>
          <cell r="DE131">
            <v>0</v>
          </cell>
          <cell r="DF131">
            <v>1212</v>
          </cell>
          <cell r="DG131">
            <v>1</v>
          </cell>
          <cell r="DH131">
            <v>1512</v>
          </cell>
          <cell r="DI131">
            <v>1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100</v>
          </cell>
          <cell r="DU131">
            <v>0</v>
          </cell>
          <cell r="DV131">
            <v>100</v>
          </cell>
          <cell r="DW131">
            <v>0</v>
          </cell>
          <cell r="DX131">
            <v>100</v>
          </cell>
          <cell r="DY131">
            <v>0</v>
          </cell>
          <cell r="DZ131">
            <v>1706</v>
          </cell>
          <cell r="EA131">
            <v>1</v>
          </cell>
          <cell r="EB131">
            <v>2006</v>
          </cell>
          <cell r="EC131">
            <v>1</v>
          </cell>
          <cell r="ED131">
            <v>0</v>
          </cell>
          <cell r="EE131">
            <v>0</v>
          </cell>
          <cell r="EF131">
            <v>0</v>
          </cell>
          <cell r="EH131">
            <v>0</v>
          </cell>
          <cell r="EI131">
            <v>0</v>
          </cell>
        </row>
        <row r="132">
          <cell r="A132" t="str">
            <v>MayGuraidhoo</v>
          </cell>
          <cell r="B132" t="str">
            <v>May</v>
          </cell>
          <cell r="C132" t="str">
            <v>K.</v>
          </cell>
          <cell r="D132" t="str">
            <v>Guraidhoo</v>
          </cell>
          <cell r="E132">
            <v>0</v>
          </cell>
          <cell r="F132">
            <v>172237</v>
          </cell>
          <cell r="G132">
            <v>432</v>
          </cell>
          <cell r="H132">
            <v>427</v>
          </cell>
          <cell r="I132">
            <v>3</v>
          </cell>
          <cell r="J132">
            <v>0</v>
          </cell>
          <cell r="K132">
            <v>430</v>
          </cell>
          <cell r="L132">
            <v>430</v>
          </cell>
          <cell r="M132">
            <v>0</v>
          </cell>
          <cell r="N132">
            <v>0</v>
          </cell>
          <cell r="O132">
            <v>2</v>
          </cell>
          <cell r="P132">
            <v>2</v>
          </cell>
          <cell r="Q132">
            <v>0</v>
          </cell>
          <cell r="R132">
            <v>2</v>
          </cell>
          <cell r="S132">
            <v>0</v>
          </cell>
          <cell r="T132">
            <v>430</v>
          </cell>
          <cell r="U132">
            <v>432</v>
          </cell>
          <cell r="V132">
            <v>0</v>
          </cell>
          <cell r="W132">
            <v>180112</v>
          </cell>
          <cell r="X132">
            <v>180112</v>
          </cell>
          <cell r="Y132">
            <v>7482</v>
          </cell>
          <cell r="Z132">
            <v>180112</v>
          </cell>
          <cell r="AA132">
            <v>172237</v>
          </cell>
          <cell r="AB132">
            <v>2072</v>
          </cell>
          <cell r="AC132">
            <v>174309</v>
          </cell>
          <cell r="AD132">
            <v>169</v>
          </cell>
          <cell r="AE132">
            <v>360</v>
          </cell>
          <cell r="AF132">
            <v>49698</v>
          </cell>
          <cell r="AG132">
            <v>127</v>
          </cell>
          <cell r="AH132">
            <v>3646.26</v>
          </cell>
          <cell r="AI132">
            <v>58</v>
          </cell>
          <cell r="AJ132">
            <v>2524.3000000000002</v>
          </cell>
          <cell r="AK132">
            <v>8</v>
          </cell>
          <cell r="AL132">
            <v>1940.33</v>
          </cell>
          <cell r="AM132">
            <v>5</v>
          </cell>
          <cell r="AN132">
            <v>5053.1099999999997</v>
          </cell>
          <cell r="AO132">
            <v>15</v>
          </cell>
          <cell r="AP132">
            <v>13163.999999999998</v>
          </cell>
          <cell r="AQ132">
            <v>86</v>
          </cell>
          <cell r="AR132">
            <v>217.34</v>
          </cell>
          <cell r="AS132">
            <v>1</v>
          </cell>
          <cell r="AT132">
            <v>213.34</v>
          </cell>
          <cell r="AU132">
            <v>0</v>
          </cell>
          <cell r="AV132">
            <v>213.34</v>
          </cell>
          <cell r="AW132">
            <v>0</v>
          </cell>
          <cell r="AX132">
            <v>2417.98</v>
          </cell>
          <cell r="AY132">
            <v>2</v>
          </cell>
          <cell r="AZ132">
            <v>3062.0000000000005</v>
          </cell>
          <cell r="BA132">
            <v>3</v>
          </cell>
          <cell r="BB132">
            <v>27573.68</v>
          </cell>
          <cell r="BC132">
            <v>77</v>
          </cell>
          <cell r="BD132">
            <v>23176.48</v>
          </cell>
          <cell r="BE132">
            <v>38</v>
          </cell>
          <cell r="BF132">
            <v>18507.48</v>
          </cell>
          <cell r="BG132">
            <v>46</v>
          </cell>
          <cell r="BH132">
            <v>56778.36</v>
          </cell>
          <cell r="BI132">
            <v>158</v>
          </cell>
          <cell r="BJ132">
            <v>126036</v>
          </cell>
          <cell r="BK132">
            <v>319</v>
          </cell>
          <cell r="BL132">
            <v>313.33</v>
          </cell>
          <cell r="BM132">
            <v>0</v>
          </cell>
          <cell r="BN132">
            <v>313.33</v>
          </cell>
          <cell r="BO132">
            <v>0</v>
          </cell>
          <cell r="BP132">
            <v>296.34000000000003</v>
          </cell>
          <cell r="BQ132">
            <v>1</v>
          </cell>
          <cell r="BR132">
            <v>14747</v>
          </cell>
          <cell r="BS132">
            <v>2</v>
          </cell>
          <cell r="BT132">
            <v>15670</v>
          </cell>
          <cell r="BU132">
            <v>3</v>
          </cell>
          <cell r="BV132">
            <v>210</v>
          </cell>
          <cell r="BW132">
            <v>0</v>
          </cell>
          <cell r="BX132">
            <v>210</v>
          </cell>
          <cell r="BY132">
            <v>0</v>
          </cell>
          <cell r="BZ132">
            <v>210</v>
          </cell>
          <cell r="CA132">
            <v>0</v>
          </cell>
          <cell r="CB132">
            <v>2775</v>
          </cell>
          <cell r="CC132">
            <v>2</v>
          </cell>
          <cell r="CD132">
            <v>3405</v>
          </cell>
          <cell r="CE132">
            <v>2</v>
          </cell>
          <cell r="CF132">
            <v>974.65</v>
          </cell>
          <cell r="CG132">
            <v>5</v>
          </cell>
          <cell r="CH132">
            <v>936.65</v>
          </cell>
          <cell r="CI132">
            <v>0</v>
          </cell>
          <cell r="CJ132">
            <v>842.66</v>
          </cell>
          <cell r="CK132">
            <v>1</v>
          </cell>
          <cell r="CL132">
            <v>4552.04</v>
          </cell>
          <cell r="CM132">
            <v>8</v>
          </cell>
          <cell r="CN132">
            <v>7305.9999999999991</v>
          </cell>
          <cell r="CO132">
            <v>14</v>
          </cell>
          <cell r="CP132">
            <v>32</v>
          </cell>
          <cell r="CQ132">
            <v>3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32</v>
          </cell>
          <cell r="CY132">
            <v>3</v>
          </cell>
          <cell r="CZ132">
            <v>103.33</v>
          </cell>
          <cell r="DA132">
            <v>0</v>
          </cell>
          <cell r="DB132">
            <v>103.33</v>
          </cell>
          <cell r="DC132">
            <v>0</v>
          </cell>
          <cell r="DD132">
            <v>103.33</v>
          </cell>
          <cell r="DE132">
            <v>0</v>
          </cell>
          <cell r="DF132">
            <v>1252.01</v>
          </cell>
          <cell r="DG132">
            <v>1</v>
          </cell>
          <cell r="DH132">
            <v>1561.9999999999998</v>
          </cell>
          <cell r="DI132">
            <v>1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103.33</v>
          </cell>
          <cell r="DU132">
            <v>0</v>
          </cell>
          <cell r="DV132">
            <v>103.33</v>
          </cell>
          <cell r="DW132">
            <v>0</v>
          </cell>
          <cell r="DX132">
            <v>103.33</v>
          </cell>
          <cell r="DY132">
            <v>0</v>
          </cell>
          <cell r="DZ132">
            <v>1690.01</v>
          </cell>
          <cell r="EA132">
            <v>1</v>
          </cell>
          <cell r="EB132">
            <v>1999.9999999999998</v>
          </cell>
          <cell r="EC132">
            <v>1</v>
          </cell>
          <cell r="ED132">
            <v>0</v>
          </cell>
          <cell r="EE132">
            <v>0</v>
          </cell>
          <cell r="EF132">
            <v>0</v>
          </cell>
          <cell r="EH132">
            <v>0</v>
          </cell>
          <cell r="EI132">
            <v>0</v>
          </cell>
        </row>
        <row r="133">
          <cell r="A133" t="str">
            <v>JunGuraidhoo</v>
          </cell>
          <cell r="B133" t="str">
            <v>Jun</v>
          </cell>
          <cell r="C133" t="str">
            <v>K.</v>
          </cell>
          <cell r="D133" t="str">
            <v>Guraidhoo</v>
          </cell>
          <cell r="E133" t="str">
            <v>usage units less than billed</v>
          </cell>
          <cell r="F133">
            <v>155408</v>
          </cell>
          <cell r="G133">
            <v>426</v>
          </cell>
          <cell r="H133">
            <v>430</v>
          </cell>
          <cell r="I133">
            <v>2</v>
          </cell>
          <cell r="J133">
            <v>0</v>
          </cell>
          <cell r="K133">
            <v>432</v>
          </cell>
          <cell r="L133">
            <v>427</v>
          </cell>
          <cell r="M133">
            <v>5</v>
          </cell>
          <cell r="N133">
            <v>0</v>
          </cell>
          <cell r="O133">
            <v>1</v>
          </cell>
          <cell r="P133">
            <v>1</v>
          </cell>
          <cell r="Q133">
            <v>0</v>
          </cell>
          <cell r="R133">
            <v>1</v>
          </cell>
          <cell r="S133">
            <v>0</v>
          </cell>
          <cell r="T133">
            <v>432</v>
          </cell>
          <cell r="U133">
            <v>428</v>
          </cell>
          <cell r="V133">
            <v>5</v>
          </cell>
          <cell r="W133">
            <v>181207</v>
          </cell>
          <cell r="X133">
            <v>181207</v>
          </cell>
          <cell r="Y133">
            <v>6825</v>
          </cell>
          <cell r="Z133">
            <v>188032</v>
          </cell>
          <cell r="AA133">
            <v>169501</v>
          </cell>
          <cell r="AB133">
            <v>2010</v>
          </cell>
          <cell r="AC133">
            <v>171511</v>
          </cell>
          <cell r="AD133">
            <v>152</v>
          </cell>
          <cell r="AE133">
            <v>374</v>
          </cell>
          <cell r="AF133">
            <v>50593</v>
          </cell>
          <cell r="AG133">
            <v>163</v>
          </cell>
          <cell r="AH133">
            <v>3267.33</v>
          </cell>
          <cell r="AI133">
            <v>59</v>
          </cell>
          <cell r="AJ133">
            <v>2321.67</v>
          </cell>
          <cell r="AK133">
            <v>5</v>
          </cell>
          <cell r="AL133">
            <v>1738.01</v>
          </cell>
          <cell r="AM133">
            <v>7</v>
          </cell>
          <cell r="AN133">
            <v>4882.99</v>
          </cell>
          <cell r="AO133">
            <v>14</v>
          </cell>
          <cell r="AP133">
            <v>12210</v>
          </cell>
          <cell r="AQ133">
            <v>85</v>
          </cell>
          <cell r="AR133">
            <v>221.34</v>
          </cell>
          <cell r="AS133">
            <v>1</v>
          </cell>
          <cell r="AT133">
            <v>193.34</v>
          </cell>
          <cell r="AU133">
            <v>0</v>
          </cell>
          <cell r="AV133">
            <v>193.34</v>
          </cell>
          <cell r="AW133">
            <v>0</v>
          </cell>
          <cell r="AX133">
            <v>2233.98</v>
          </cell>
          <cell r="AY133">
            <v>2</v>
          </cell>
          <cell r="AZ133">
            <v>2842</v>
          </cell>
          <cell r="BA133">
            <v>3</v>
          </cell>
          <cell r="BB133">
            <v>26870.02</v>
          </cell>
          <cell r="BC133">
            <v>74</v>
          </cell>
          <cell r="BD133">
            <v>22609.34</v>
          </cell>
          <cell r="BE133">
            <v>29</v>
          </cell>
          <cell r="BF133">
            <v>18557.669999999998</v>
          </cell>
          <cell r="BG133">
            <v>51</v>
          </cell>
          <cell r="BH133">
            <v>59043.97</v>
          </cell>
          <cell r="BI133">
            <v>161</v>
          </cell>
          <cell r="BJ133">
            <v>127081</v>
          </cell>
          <cell r="BK133">
            <v>315</v>
          </cell>
          <cell r="BL133">
            <v>100</v>
          </cell>
          <cell r="BM133">
            <v>0</v>
          </cell>
          <cell r="BN133">
            <v>100</v>
          </cell>
          <cell r="BO133">
            <v>0</v>
          </cell>
          <cell r="BP133">
            <v>100</v>
          </cell>
          <cell r="BQ133">
            <v>0</v>
          </cell>
          <cell r="BR133">
            <v>97</v>
          </cell>
          <cell r="BS133">
            <v>1</v>
          </cell>
          <cell r="BT133">
            <v>397</v>
          </cell>
          <cell r="BU133">
            <v>1</v>
          </cell>
          <cell r="BV133">
            <v>196.67</v>
          </cell>
          <cell r="BW133">
            <v>0</v>
          </cell>
          <cell r="BX133">
            <v>196.67</v>
          </cell>
          <cell r="BY133">
            <v>0</v>
          </cell>
          <cell r="BZ133">
            <v>105.67</v>
          </cell>
          <cell r="CA133">
            <v>0</v>
          </cell>
          <cell r="CB133">
            <v>1881.99</v>
          </cell>
          <cell r="CC133">
            <v>2</v>
          </cell>
          <cell r="CD133">
            <v>2381</v>
          </cell>
          <cell r="CE133">
            <v>2</v>
          </cell>
          <cell r="CF133">
            <v>1122.3399999999999</v>
          </cell>
          <cell r="CG133">
            <v>4</v>
          </cell>
          <cell r="CH133">
            <v>939.34</v>
          </cell>
          <cell r="CI133">
            <v>2</v>
          </cell>
          <cell r="CJ133">
            <v>833.34</v>
          </cell>
          <cell r="CK133">
            <v>0</v>
          </cell>
          <cell r="CL133">
            <v>4057.98</v>
          </cell>
          <cell r="CM133">
            <v>9</v>
          </cell>
          <cell r="CN133">
            <v>6953</v>
          </cell>
          <cell r="CO133">
            <v>15</v>
          </cell>
          <cell r="CP133">
            <v>34</v>
          </cell>
          <cell r="CQ133">
            <v>3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34</v>
          </cell>
          <cell r="CY133">
            <v>3</v>
          </cell>
          <cell r="CZ133">
            <v>100</v>
          </cell>
          <cell r="DA133">
            <v>0</v>
          </cell>
          <cell r="DB133">
            <v>100</v>
          </cell>
          <cell r="DC133">
            <v>0</v>
          </cell>
          <cell r="DD133">
            <v>100</v>
          </cell>
          <cell r="DE133">
            <v>0</v>
          </cell>
          <cell r="DF133">
            <v>1212</v>
          </cell>
          <cell r="DG133">
            <v>1</v>
          </cell>
          <cell r="DH133">
            <v>1512</v>
          </cell>
          <cell r="DI133">
            <v>1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100</v>
          </cell>
          <cell r="DU133">
            <v>0</v>
          </cell>
          <cell r="DV133">
            <v>100</v>
          </cell>
          <cell r="DW133">
            <v>0</v>
          </cell>
          <cell r="DX133">
            <v>100</v>
          </cell>
          <cell r="DY133">
            <v>0</v>
          </cell>
          <cell r="DZ133">
            <v>1698</v>
          </cell>
          <cell r="EA133">
            <v>1</v>
          </cell>
          <cell r="EB133">
            <v>1998</v>
          </cell>
          <cell r="EC133">
            <v>1</v>
          </cell>
          <cell r="ED133">
            <v>0</v>
          </cell>
          <cell r="EE133">
            <v>0</v>
          </cell>
          <cell r="EF133">
            <v>0</v>
          </cell>
          <cell r="EH133">
            <v>0</v>
          </cell>
          <cell r="EI133">
            <v>0</v>
          </cell>
        </row>
        <row r="134">
          <cell r="A134" t="str">
            <v>JulGuraidhoo</v>
          </cell>
          <cell r="B134" t="str">
            <v>Jul</v>
          </cell>
          <cell r="C134" t="str">
            <v>K.</v>
          </cell>
          <cell r="D134" t="str">
            <v>Guraidhoo</v>
          </cell>
          <cell r="E134" t="str">
            <v>usage units more than billed</v>
          </cell>
          <cell r="F134">
            <v>296494</v>
          </cell>
          <cell r="G134">
            <v>427</v>
          </cell>
          <cell r="H134">
            <v>432</v>
          </cell>
          <cell r="I134">
            <v>0</v>
          </cell>
          <cell r="J134">
            <v>1</v>
          </cell>
          <cell r="K134">
            <v>431</v>
          </cell>
          <cell r="L134">
            <v>427</v>
          </cell>
          <cell r="M134">
            <v>5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431</v>
          </cell>
          <cell r="U134">
            <v>427</v>
          </cell>
          <cell r="V134">
            <v>5</v>
          </cell>
          <cell r="W134">
            <v>174720</v>
          </cell>
          <cell r="X134">
            <v>174720</v>
          </cell>
          <cell r="Y134">
            <v>6709</v>
          </cell>
          <cell r="Z134">
            <v>181429</v>
          </cell>
          <cell r="AA134">
            <v>34436</v>
          </cell>
          <cell r="AB134">
            <v>3137</v>
          </cell>
          <cell r="AC134">
            <v>37573</v>
          </cell>
          <cell r="AD134">
            <v>155</v>
          </cell>
          <cell r="AE134">
            <v>362</v>
          </cell>
          <cell r="AF134">
            <v>51059</v>
          </cell>
          <cell r="AG134">
            <v>165</v>
          </cell>
          <cell r="AH134">
            <v>3455.94</v>
          </cell>
          <cell r="AI134">
            <v>58</v>
          </cell>
          <cell r="AJ134">
            <v>2149.62</v>
          </cell>
          <cell r="AK134">
            <v>7</v>
          </cell>
          <cell r="AL134">
            <v>1573.33</v>
          </cell>
          <cell r="AM134">
            <v>5</v>
          </cell>
          <cell r="AN134">
            <v>4698.1099999999997</v>
          </cell>
          <cell r="AO134">
            <v>14</v>
          </cell>
          <cell r="AP134">
            <v>11876.999999999998</v>
          </cell>
          <cell r="AQ134">
            <v>84</v>
          </cell>
          <cell r="AR134">
            <v>233.66</v>
          </cell>
          <cell r="AS134">
            <v>1</v>
          </cell>
          <cell r="AT134">
            <v>206.66</v>
          </cell>
          <cell r="AU134">
            <v>0</v>
          </cell>
          <cell r="AV134">
            <v>206.66</v>
          </cell>
          <cell r="AW134">
            <v>0</v>
          </cell>
          <cell r="AX134">
            <v>2455.02</v>
          </cell>
          <cell r="AY134">
            <v>2</v>
          </cell>
          <cell r="AZ134">
            <v>128690</v>
          </cell>
          <cell r="BA134">
            <v>3</v>
          </cell>
          <cell r="BB134">
            <v>28240.02</v>
          </cell>
          <cell r="BC134">
            <v>73</v>
          </cell>
          <cell r="BD134">
            <v>23676.52</v>
          </cell>
          <cell r="BE134">
            <v>32</v>
          </cell>
          <cell r="BF134">
            <v>19259.150000000001</v>
          </cell>
          <cell r="BG134">
            <v>51</v>
          </cell>
          <cell r="BH134">
            <v>57514.31</v>
          </cell>
          <cell r="BI134">
            <v>160</v>
          </cell>
          <cell r="BJ134">
            <v>128690</v>
          </cell>
          <cell r="BK134">
            <v>316</v>
          </cell>
          <cell r="BL134">
            <v>313.33</v>
          </cell>
          <cell r="BM134">
            <v>0</v>
          </cell>
          <cell r="BN134">
            <v>291.67</v>
          </cell>
          <cell r="BO134">
            <v>1</v>
          </cell>
          <cell r="BP134">
            <v>210</v>
          </cell>
          <cell r="BQ134">
            <v>0</v>
          </cell>
          <cell r="BR134">
            <v>14469</v>
          </cell>
          <cell r="BS134">
            <v>2</v>
          </cell>
          <cell r="BT134">
            <v>15284</v>
          </cell>
          <cell r="BU134">
            <v>3</v>
          </cell>
          <cell r="BV134">
            <v>206.66</v>
          </cell>
          <cell r="BW134">
            <v>0</v>
          </cell>
          <cell r="BX134">
            <v>153</v>
          </cell>
          <cell r="BY134">
            <v>1</v>
          </cell>
          <cell r="BZ134">
            <v>103.33</v>
          </cell>
          <cell r="CA134">
            <v>0</v>
          </cell>
          <cell r="CB134">
            <v>1547.01</v>
          </cell>
          <cell r="CC134">
            <v>1</v>
          </cell>
          <cell r="CD134">
            <v>2010</v>
          </cell>
          <cell r="CE134">
            <v>2</v>
          </cell>
          <cell r="CF134">
            <v>1084.3</v>
          </cell>
          <cell r="CG134">
            <v>4</v>
          </cell>
          <cell r="CH134">
            <v>943.98</v>
          </cell>
          <cell r="CI134">
            <v>2</v>
          </cell>
          <cell r="CJ134">
            <v>749.65</v>
          </cell>
          <cell r="CK134">
            <v>1</v>
          </cell>
          <cell r="CL134">
            <v>3702.07</v>
          </cell>
          <cell r="CM134">
            <v>7</v>
          </cell>
          <cell r="CN134">
            <v>6480</v>
          </cell>
          <cell r="CO134">
            <v>14</v>
          </cell>
          <cell r="CP134">
            <v>36</v>
          </cell>
          <cell r="CQ134">
            <v>3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36</v>
          </cell>
          <cell r="CY134">
            <v>3</v>
          </cell>
          <cell r="CZ134">
            <v>103.33</v>
          </cell>
          <cell r="DA134">
            <v>0</v>
          </cell>
          <cell r="DB134">
            <v>103.33</v>
          </cell>
          <cell r="DC134">
            <v>0</v>
          </cell>
          <cell r="DD134">
            <v>103.33</v>
          </cell>
          <cell r="DE134">
            <v>0</v>
          </cell>
          <cell r="DF134">
            <v>1252.01</v>
          </cell>
          <cell r="DG134">
            <v>1</v>
          </cell>
          <cell r="DH134">
            <v>1561.9999999999998</v>
          </cell>
          <cell r="DI134">
            <v>1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103.33</v>
          </cell>
          <cell r="DU134">
            <v>0</v>
          </cell>
          <cell r="DV134">
            <v>103.33</v>
          </cell>
          <cell r="DW134">
            <v>0</v>
          </cell>
          <cell r="DX134">
            <v>103.33</v>
          </cell>
          <cell r="DY134">
            <v>0</v>
          </cell>
          <cell r="DZ134">
            <v>1555.01</v>
          </cell>
          <cell r="EA134">
            <v>1</v>
          </cell>
          <cell r="EB134">
            <v>1864.9999999999998</v>
          </cell>
          <cell r="EC134">
            <v>1</v>
          </cell>
          <cell r="ED134">
            <v>0</v>
          </cell>
          <cell r="EE134">
            <v>0</v>
          </cell>
          <cell r="EF134">
            <v>0</v>
          </cell>
          <cell r="EH134">
            <v>0</v>
          </cell>
          <cell r="EI134">
            <v>0</v>
          </cell>
        </row>
        <row r="135">
          <cell r="A135" t="str">
            <v>AugGuraidhoo</v>
          </cell>
          <cell r="B135" t="str">
            <v>Aug</v>
          </cell>
          <cell r="C135" t="str">
            <v>K.</v>
          </cell>
          <cell r="D135" t="str">
            <v>Guraidhoo</v>
          </cell>
          <cell r="E135" t="str">
            <v>billed normal &amp; temp less than billed cons.</v>
          </cell>
          <cell r="F135">
            <v>162173</v>
          </cell>
          <cell r="G135">
            <v>431</v>
          </cell>
          <cell r="H135">
            <v>431</v>
          </cell>
          <cell r="I135">
            <v>2</v>
          </cell>
          <cell r="J135">
            <v>0</v>
          </cell>
          <cell r="K135">
            <v>433</v>
          </cell>
          <cell r="L135">
            <v>430</v>
          </cell>
          <cell r="M135">
            <v>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433</v>
          </cell>
          <cell r="U135">
            <v>430</v>
          </cell>
          <cell r="V135">
            <v>3</v>
          </cell>
          <cell r="W135">
            <v>171350</v>
          </cell>
          <cell r="X135">
            <v>171350</v>
          </cell>
          <cell r="Y135">
            <v>6482</v>
          </cell>
          <cell r="Z135">
            <v>177832</v>
          </cell>
          <cell r="AA135">
            <v>32209</v>
          </cell>
          <cell r="AB135">
            <v>3137</v>
          </cell>
          <cell r="AC135">
            <v>35346</v>
          </cell>
          <cell r="AD135">
            <v>160</v>
          </cell>
          <cell r="AE135">
            <v>382</v>
          </cell>
          <cell r="AF135">
            <v>47771</v>
          </cell>
          <cell r="AG135">
            <v>91</v>
          </cell>
          <cell r="AH135">
            <v>3564.93</v>
          </cell>
          <cell r="AI135">
            <v>59</v>
          </cell>
          <cell r="AJ135">
            <v>2444.63</v>
          </cell>
          <cell r="AK135">
            <v>7</v>
          </cell>
          <cell r="AL135">
            <v>1645.33</v>
          </cell>
          <cell r="AM135">
            <v>6</v>
          </cell>
          <cell r="AN135">
            <v>4379.1099999999997</v>
          </cell>
          <cell r="AO135">
            <v>14</v>
          </cell>
          <cell r="AP135">
            <v>12033.999999999998</v>
          </cell>
          <cell r="AQ135">
            <v>86</v>
          </cell>
          <cell r="AR135">
            <v>213.34</v>
          </cell>
          <cell r="AS135">
            <v>1</v>
          </cell>
          <cell r="AT135">
            <v>213.34</v>
          </cell>
          <cell r="AU135">
            <v>0</v>
          </cell>
          <cell r="AV135">
            <v>213.34</v>
          </cell>
          <cell r="AW135">
            <v>0</v>
          </cell>
          <cell r="AX135">
            <v>2460.98</v>
          </cell>
          <cell r="AY135">
            <v>2</v>
          </cell>
          <cell r="AZ135">
            <v>3101.0000000000005</v>
          </cell>
          <cell r="BA135">
            <v>3</v>
          </cell>
          <cell r="BB135">
            <v>27784.32</v>
          </cell>
          <cell r="BC135">
            <v>73</v>
          </cell>
          <cell r="BD135">
            <v>23439.14</v>
          </cell>
          <cell r="BE135">
            <v>39</v>
          </cell>
          <cell r="BF135">
            <v>18176.21</v>
          </cell>
          <cell r="BG135">
            <v>57</v>
          </cell>
          <cell r="BH135">
            <v>49057.33</v>
          </cell>
          <cell r="BI135">
            <v>149</v>
          </cell>
          <cell r="BJ135">
            <v>118457</v>
          </cell>
          <cell r="BK135">
            <v>318</v>
          </cell>
          <cell r="BL135">
            <v>306.66000000000003</v>
          </cell>
          <cell r="BM135">
            <v>0</v>
          </cell>
          <cell r="BN135">
            <v>278</v>
          </cell>
          <cell r="BO135">
            <v>0</v>
          </cell>
          <cell r="BP135">
            <v>203.33</v>
          </cell>
          <cell r="BQ135">
            <v>0</v>
          </cell>
          <cell r="BR135">
            <v>14214.01</v>
          </cell>
          <cell r="BS135">
            <v>4</v>
          </cell>
          <cell r="BT135">
            <v>15002</v>
          </cell>
          <cell r="BU135">
            <v>4</v>
          </cell>
          <cell r="BV135">
            <v>206.66</v>
          </cell>
          <cell r="BW135">
            <v>0</v>
          </cell>
          <cell r="BX135">
            <v>206.66</v>
          </cell>
          <cell r="BY135">
            <v>0</v>
          </cell>
          <cell r="BZ135">
            <v>206.66</v>
          </cell>
          <cell r="CA135">
            <v>0</v>
          </cell>
          <cell r="CB135">
            <v>3375.02</v>
          </cell>
          <cell r="CC135">
            <v>2</v>
          </cell>
          <cell r="CD135">
            <v>3994.9999999999995</v>
          </cell>
          <cell r="CE135">
            <v>2</v>
          </cell>
          <cell r="CF135">
            <v>912.64</v>
          </cell>
          <cell r="CG135">
            <v>5</v>
          </cell>
          <cell r="CH135">
            <v>826.64</v>
          </cell>
          <cell r="CI135">
            <v>0</v>
          </cell>
          <cell r="CJ135">
            <v>761.65</v>
          </cell>
          <cell r="CK135">
            <v>1</v>
          </cell>
          <cell r="CL135">
            <v>3371.07</v>
          </cell>
          <cell r="CM135">
            <v>7</v>
          </cell>
          <cell r="CN135">
            <v>5872</v>
          </cell>
          <cell r="CO135">
            <v>13</v>
          </cell>
          <cell r="CP135">
            <v>37</v>
          </cell>
          <cell r="CQ135">
            <v>3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37</v>
          </cell>
          <cell r="CY135">
            <v>3</v>
          </cell>
          <cell r="CZ135">
            <v>103.33</v>
          </cell>
          <cell r="DA135">
            <v>0</v>
          </cell>
          <cell r="DB135">
            <v>103.33</v>
          </cell>
          <cell r="DC135">
            <v>0</v>
          </cell>
          <cell r="DD135">
            <v>103.33</v>
          </cell>
          <cell r="DE135">
            <v>0</v>
          </cell>
          <cell r="DF135">
            <v>1252.01</v>
          </cell>
          <cell r="DG135">
            <v>1</v>
          </cell>
          <cell r="DH135">
            <v>1561.9999999999998</v>
          </cell>
          <cell r="DI135">
            <v>1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103.33</v>
          </cell>
          <cell r="DU135">
            <v>0</v>
          </cell>
          <cell r="DV135">
            <v>103.33</v>
          </cell>
          <cell r="DW135">
            <v>0</v>
          </cell>
          <cell r="DX135">
            <v>103.33</v>
          </cell>
          <cell r="DY135">
            <v>0</v>
          </cell>
          <cell r="DZ135">
            <v>1803.01</v>
          </cell>
          <cell r="EA135">
            <v>1</v>
          </cell>
          <cell r="EB135">
            <v>2113</v>
          </cell>
          <cell r="EC135">
            <v>1</v>
          </cell>
          <cell r="ED135">
            <v>0</v>
          </cell>
          <cell r="EE135">
            <v>0</v>
          </cell>
          <cell r="EF135">
            <v>0</v>
          </cell>
          <cell r="EH135">
            <v>0</v>
          </cell>
          <cell r="EI135">
            <v>0</v>
          </cell>
        </row>
        <row r="136">
          <cell r="A136" t="str">
            <v>SepGuraidhoo</v>
          </cell>
          <cell r="B136" t="str">
            <v>Sep</v>
          </cell>
          <cell r="C136" t="str">
            <v>K.</v>
          </cell>
          <cell r="D136" t="str">
            <v>Guraidhoo</v>
          </cell>
          <cell r="E136">
            <v>0</v>
          </cell>
          <cell r="F136">
            <v>151817</v>
          </cell>
          <cell r="G136">
            <v>432</v>
          </cell>
          <cell r="H136">
            <v>433</v>
          </cell>
          <cell r="I136">
            <v>2</v>
          </cell>
          <cell r="J136">
            <v>0</v>
          </cell>
          <cell r="K136">
            <v>435</v>
          </cell>
          <cell r="L136">
            <v>431</v>
          </cell>
          <cell r="M136">
            <v>4</v>
          </cell>
          <cell r="N136">
            <v>0</v>
          </cell>
          <cell r="O136">
            <v>1</v>
          </cell>
          <cell r="P136">
            <v>1</v>
          </cell>
          <cell r="Q136">
            <v>0</v>
          </cell>
          <cell r="R136">
            <v>1</v>
          </cell>
          <cell r="S136">
            <v>0</v>
          </cell>
          <cell r="T136">
            <v>435</v>
          </cell>
          <cell r="U136">
            <v>432</v>
          </cell>
          <cell r="V136">
            <v>4</v>
          </cell>
          <cell r="W136">
            <v>160300</v>
          </cell>
          <cell r="X136">
            <v>160300</v>
          </cell>
          <cell r="Y136">
            <v>6084</v>
          </cell>
          <cell r="Z136">
            <v>166384</v>
          </cell>
          <cell r="AA136">
            <v>33413</v>
          </cell>
          <cell r="AB136">
            <v>2590</v>
          </cell>
          <cell r="AC136">
            <v>36003</v>
          </cell>
          <cell r="AD136">
            <v>150</v>
          </cell>
          <cell r="AE136">
            <v>336</v>
          </cell>
          <cell r="AF136">
            <v>44609</v>
          </cell>
          <cell r="AG136">
            <v>118</v>
          </cell>
          <cell r="AH136">
            <v>3314.34</v>
          </cell>
          <cell r="AI136">
            <v>63</v>
          </cell>
          <cell r="AJ136">
            <v>2176.34</v>
          </cell>
          <cell r="AK136">
            <v>3</v>
          </cell>
          <cell r="AL136">
            <v>1649.33</v>
          </cell>
          <cell r="AM136">
            <v>5</v>
          </cell>
          <cell r="AN136">
            <v>3079.99</v>
          </cell>
          <cell r="AO136">
            <v>15</v>
          </cell>
          <cell r="AP136">
            <v>10220</v>
          </cell>
          <cell r="AQ136">
            <v>86</v>
          </cell>
          <cell r="AR136">
            <v>243.34</v>
          </cell>
          <cell r="AS136">
            <v>1</v>
          </cell>
          <cell r="AT136">
            <v>243.34</v>
          </cell>
          <cell r="AU136">
            <v>0</v>
          </cell>
          <cell r="AV136">
            <v>243.34</v>
          </cell>
          <cell r="AW136">
            <v>0</v>
          </cell>
          <cell r="AX136">
            <v>2300.98</v>
          </cell>
          <cell r="AY136">
            <v>3</v>
          </cell>
          <cell r="AZ136">
            <v>3031.0000000000005</v>
          </cell>
          <cell r="BA136">
            <v>4</v>
          </cell>
          <cell r="BB136">
            <v>26862.69</v>
          </cell>
          <cell r="BC136">
            <v>75</v>
          </cell>
          <cell r="BD136">
            <v>22583.33</v>
          </cell>
          <cell r="BE136">
            <v>42</v>
          </cell>
          <cell r="BF136">
            <v>17218.02</v>
          </cell>
          <cell r="BG136">
            <v>54</v>
          </cell>
          <cell r="BH136">
            <v>44383.96</v>
          </cell>
          <cell r="BI136">
            <v>147</v>
          </cell>
          <cell r="BJ136">
            <v>111048</v>
          </cell>
          <cell r="BK136">
            <v>318</v>
          </cell>
          <cell r="BL136">
            <v>303.33000000000004</v>
          </cell>
          <cell r="BM136">
            <v>0</v>
          </cell>
          <cell r="BN136">
            <v>286.33000000000004</v>
          </cell>
          <cell r="BO136">
            <v>1</v>
          </cell>
          <cell r="BP136">
            <v>203.33</v>
          </cell>
          <cell r="BQ136">
            <v>0</v>
          </cell>
          <cell r="BR136">
            <v>14633.01</v>
          </cell>
          <cell r="BS136">
            <v>2</v>
          </cell>
          <cell r="BT136">
            <v>15426</v>
          </cell>
          <cell r="BU136">
            <v>3</v>
          </cell>
          <cell r="BV136">
            <v>200</v>
          </cell>
          <cell r="BW136">
            <v>0</v>
          </cell>
          <cell r="BX136">
            <v>200</v>
          </cell>
          <cell r="BY136">
            <v>0</v>
          </cell>
          <cell r="BZ136">
            <v>146</v>
          </cell>
          <cell r="CA136">
            <v>1</v>
          </cell>
          <cell r="CB136">
            <v>2161</v>
          </cell>
          <cell r="CC136">
            <v>1</v>
          </cell>
          <cell r="CD136">
            <v>2707</v>
          </cell>
          <cell r="CE136">
            <v>2</v>
          </cell>
          <cell r="CF136">
            <v>1125.67</v>
          </cell>
          <cell r="CG136">
            <v>5</v>
          </cell>
          <cell r="CH136">
            <v>1006.67</v>
          </cell>
          <cell r="CI136">
            <v>0</v>
          </cell>
          <cell r="CJ136">
            <v>960.67</v>
          </cell>
          <cell r="CK136">
            <v>1</v>
          </cell>
          <cell r="CL136">
            <v>3151.99</v>
          </cell>
          <cell r="CM136">
            <v>8</v>
          </cell>
          <cell r="CN136">
            <v>6245</v>
          </cell>
          <cell r="CO136">
            <v>14</v>
          </cell>
          <cell r="CP136">
            <v>43</v>
          </cell>
          <cell r="CQ136">
            <v>3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43</v>
          </cell>
          <cell r="CY136">
            <v>3</v>
          </cell>
          <cell r="CZ136">
            <v>100</v>
          </cell>
          <cell r="DA136">
            <v>0</v>
          </cell>
          <cell r="DB136">
            <v>100</v>
          </cell>
          <cell r="DC136">
            <v>0</v>
          </cell>
          <cell r="DD136">
            <v>100</v>
          </cell>
          <cell r="DE136">
            <v>0</v>
          </cell>
          <cell r="DF136">
            <v>1212</v>
          </cell>
          <cell r="DG136">
            <v>1</v>
          </cell>
          <cell r="DH136">
            <v>1512</v>
          </cell>
          <cell r="DI136">
            <v>1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100</v>
          </cell>
          <cell r="DU136">
            <v>0</v>
          </cell>
          <cell r="DV136">
            <v>100</v>
          </cell>
          <cell r="DW136">
            <v>0</v>
          </cell>
          <cell r="DX136">
            <v>100</v>
          </cell>
          <cell r="DY136">
            <v>0</v>
          </cell>
          <cell r="DZ136">
            <v>1285</v>
          </cell>
          <cell r="EA136">
            <v>1</v>
          </cell>
          <cell r="EB136">
            <v>1585</v>
          </cell>
          <cell r="EC136">
            <v>1</v>
          </cell>
          <cell r="ED136">
            <v>0</v>
          </cell>
          <cell r="EE136">
            <v>0</v>
          </cell>
          <cell r="EF136">
            <v>0</v>
          </cell>
          <cell r="EH136">
            <v>0</v>
          </cell>
          <cell r="EI136">
            <v>0</v>
          </cell>
        </row>
        <row r="137">
          <cell r="A137" t="str">
            <v>OctGuraidhoo</v>
          </cell>
          <cell r="B137" t="str">
            <v>Oct</v>
          </cell>
          <cell r="C137" t="str">
            <v>K.</v>
          </cell>
          <cell r="D137" t="str">
            <v>Guraidhoo</v>
          </cell>
          <cell r="E137" t="str">
            <v>usage units less than billed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59182</v>
          </cell>
          <cell r="AB137">
            <v>2340</v>
          </cell>
          <cell r="AC137">
            <v>61522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H137">
            <v>0</v>
          </cell>
          <cell r="EI137">
            <v>0</v>
          </cell>
        </row>
        <row r="138">
          <cell r="A138" t="str">
            <v>NovGuraidhoo</v>
          </cell>
          <cell r="B138" t="str">
            <v>Nov</v>
          </cell>
          <cell r="C138" t="str">
            <v>K.</v>
          </cell>
          <cell r="D138" t="str">
            <v>Guraidhoo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39820</v>
          </cell>
          <cell r="AB138">
            <v>2674</v>
          </cell>
          <cell r="AC138">
            <v>42494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H138">
            <v>0</v>
          </cell>
          <cell r="EI138">
            <v>0</v>
          </cell>
        </row>
        <row r="139">
          <cell r="A139" t="str">
            <v>DecGuraidhoo</v>
          </cell>
          <cell r="B139" t="str">
            <v>Dec</v>
          </cell>
          <cell r="C139" t="str">
            <v>K.</v>
          </cell>
          <cell r="D139" t="str">
            <v>Guraidhoo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40742</v>
          </cell>
          <cell r="AB139">
            <v>2750</v>
          </cell>
          <cell r="AC139">
            <v>43492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H139">
            <v>0</v>
          </cell>
          <cell r="EI139">
            <v>0</v>
          </cell>
        </row>
        <row r="140">
          <cell r="A140" t="str">
            <v>JanHimandhoo</v>
          </cell>
          <cell r="B140" t="str">
            <v>Jan</v>
          </cell>
          <cell r="C140" t="str">
            <v>AA.</v>
          </cell>
          <cell r="D140" t="str">
            <v>Himandhoo</v>
          </cell>
          <cell r="E140">
            <v>0</v>
          </cell>
          <cell r="F140">
            <v>46848</v>
          </cell>
          <cell r="G140">
            <v>168</v>
          </cell>
          <cell r="H140">
            <v>172</v>
          </cell>
          <cell r="I140">
            <v>0</v>
          </cell>
          <cell r="J140">
            <v>0</v>
          </cell>
          <cell r="K140">
            <v>172</v>
          </cell>
          <cell r="L140">
            <v>168</v>
          </cell>
          <cell r="M140">
            <v>4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172</v>
          </cell>
          <cell r="U140">
            <v>168</v>
          </cell>
          <cell r="V140">
            <v>4</v>
          </cell>
          <cell r="W140">
            <v>69410</v>
          </cell>
          <cell r="X140">
            <v>69410</v>
          </cell>
          <cell r="Y140">
            <v>0</v>
          </cell>
          <cell r="Z140">
            <v>69410</v>
          </cell>
          <cell r="AA140">
            <v>59828</v>
          </cell>
          <cell r="AB140">
            <v>3138</v>
          </cell>
          <cell r="AC140">
            <v>62966</v>
          </cell>
          <cell r="AD140">
            <v>41</v>
          </cell>
          <cell r="AE140">
            <v>120</v>
          </cell>
          <cell r="AF140">
            <v>17041</v>
          </cell>
          <cell r="AG140">
            <v>78</v>
          </cell>
          <cell r="AH140">
            <v>1114.97</v>
          </cell>
          <cell r="AI140">
            <v>6</v>
          </cell>
          <cell r="AJ140">
            <v>706.99</v>
          </cell>
          <cell r="AK140">
            <v>3</v>
          </cell>
          <cell r="AL140">
            <v>546</v>
          </cell>
          <cell r="AM140">
            <v>2</v>
          </cell>
          <cell r="AN140">
            <v>719.04</v>
          </cell>
          <cell r="AO140">
            <v>4</v>
          </cell>
          <cell r="AP140">
            <v>3087</v>
          </cell>
          <cell r="AQ140">
            <v>15</v>
          </cell>
          <cell r="AR140">
            <v>206.66</v>
          </cell>
          <cell r="AS140" t="str">
            <v xml:space="preserve"> -   </v>
          </cell>
          <cell r="AT140">
            <v>206.66</v>
          </cell>
          <cell r="AU140" t="str">
            <v xml:space="preserve"> -   </v>
          </cell>
          <cell r="AV140">
            <v>206.66</v>
          </cell>
          <cell r="AW140" t="str">
            <v xml:space="preserve"> -   </v>
          </cell>
          <cell r="AX140">
            <v>4761.0200000000004</v>
          </cell>
          <cell r="AY140">
            <v>2</v>
          </cell>
          <cell r="AZ140">
            <v>5381</v>
          </cell>
          <cell r="BA140">
            <v>2</v>
          </cell>
          <cell r="BB140">
            <v>12910.95</v>
          </cell>
          <cell r="BC140">
            <v>24</v>
          </cell>
          <cell r="BD140">
            <v>9951.8700000000008</v>
          </cell>
          <cell r="BE140">
            <v>38</v>
          </cell>
          <cell r="BF140">
            <v>5668.81</v>
          </cell>
          <cell r="BG140">
            <v>40</v>
          </cell>
          <cell r="BH140">
            <v>4581.37</v>
          </cell>
          <cell r="BI140">
            <v>37</v>
          </cell>
          <cell r="BJ140">
            <v>33113</v>
          </cell>
          <cell r="BK140">
            <v>139</v>
          </cell>
          <cell r="BL140">
            <v>535.65</v>
          </cell>
          <cell r="BM140">
            <v>2</v>
          </cell>
          <cell r="BN140">
            <v>516.65</v>
          </cell>
          <cell r="BO140" t="str">
            <v xml:space="preserve"> -   </v>
          </cell>
          <cell r="BP140">
            <v>516.65</v>
          </cell>
          <cell r="BQ140" t="str">
            <v xml:space="preserve"> -   </v>
          </cell>
          <cell r="BR140">
            <v>1747.05</v>
          </cell>
          <cell r="BS140">
            <v>5</v>
          </cell>
          <cell r="BT140">
            <v>3316</v>
          </cell>
          <cell r="BU140">
            <v>7</v>
          </cell>
          <cell r="BV140">
            <v>221.66</v>
          </cell>
          <cell r="BW140">
            <v>1</v>
          </cell>
          <cell r="BX140">
            <v>186</v>
          </cell>
          <cell r="BY140">
            <v>1</v>
          </cell>
          <cell r="BZ140">
            <v>103.33</v>
          </cell>
          <cell r="CA140" t="str">
            <v xml:space="preserve"> -   </v>
          </cell>
          <cell r="CB140">
            <v>539.01</v>
          </cell>
          <cell r="CC140">
            <v>1</v>
          </cell>
          <cell r="CD140">
            <v>1050</v>
          </cell>
          <cell r="CE140">
            <v>3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 t="str">
            <v xml:space="preserve"> -   </v>
          </cell>
          <cell r="CO140" t="str">
            <v xml:space="preserve"> -   </v>
          </cell>
          <cell r="CP140">
            <v>103.33</v>
          </cell>
          <cell r="CQ140" t="str">
            <v xml:space="preserve"> -   </v>
          </cell>
          <cell r="CR140">
            <v>103.33</v>
          </cell>
          <cell r="CS140" t="str">
            <v xml:space="preserve"> -   </v>
          </cell>
          <cell r="CT140">
            <v>84.34</v>
          </cell>
          <cell r="CU140">
            <v>1</v>
          </cell>
          <cell r="CV140" t="str">
            <v xml:space="preserve"> -   </v>
          </cell>
          <cell r="CW140" t="str">
            <v xml:space="preserve"> -   </v>
          </cell>
          <cell r="CX140">
            <v>291</v>
          </cell>
          <cell r="CY140">
            <v>1</v>
          </cell>
          <cell r="CZ140">
            <v>103.33</v>
          </cell>
          <cell r="DA140" t="str">
            <v xml:space="preserve"> -   </v>
          </cell>
          <cell r="DB140">
            <v>103.33</v>
          </cell>
          <cell r="DC140" t="str">
            <v xml:space="preserve"> -   </v>
          </cell>
          <cell r="DD140">
            <v>103.33</v>
          </cell>
          <cell r="DE140" t="str">
            <v xml:space="preserve"> -   </v>
          </cell>
          <cell r="DF140">
            <v>300.01</v>
          </cell>
          <cell r="DG140">
            <v>1</v>
          </cell>
          <cell r="DH140">
            <v>610</v>
          </cell>
          <cell r="DI140">
            <v>1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 t="str">
            <v xml:space="preserve"> -   </v>
          </cell>
          <cell r="DS140" t="str">
            <v xml:space="preserve"> -   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 t="str">
            <v xml:space="preserve"> -   </v>
          </cell>
          <cell r="EC140" t="str">
            <v xml:space="preserve"> -   </v>
          </cell>
          <cell r="ED140">
            <v>0</v>
          </cell>
          <cell r="EE140">
            <v>0</v>
          </cell>
          <cell r="EF140">
            <v>0</v>
          </cell>
          <cell r="EH140">
            <v>0</v>
          </cell>
          <cell r="EI140">
            <v>0</v>
          </cell>
        </row>
        <row r="141">
          <cell r="A141" t="str">
            <v>FebHimandhoo</v>
          </cell>
          <cell r="B141" t="str">
            <v>Feb</v>
          </cell>
          <cell r="C141" t="str">
            <v>AA.</v>
          </cell>
          <cell r="D141" t="str">
            <v>Himandhoo</v>
          </cell>
          <cell r="E141">
            <v>0</v>
          </cell>
          <cell r="F141">
            <v>50545</v>
          </cell>
          <cell r="G141">
            <v>170</v>
          </cell>
          <cell r="H141">
            <v>172</v>
          </cell>
          <cell r="I141">
            <v>0</v>
          </cell>
          <cell r="J141">
            <v>0</v>
          </cell>
          <cell r="K141">
            <v>172</v>
          </cell>
          <cell r="L141">
            <v>170</v>
          </cell>
          <cell r="M141">
            <v>2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172</v>
          </cell>
          <cell r="U141">
            <v>170</v>
          </cell>
          <cell r="V141">
            <v>2</v>
          </cell>
          <cell r="W141">
            <v>67370</v>
          </cell>
          <cell r="X141">
            <v>67370</v>
          </cell>
          <cell r="Y141">
            <v>0</v>
          </cell>
          <cell r="Z141">
            <v>67370</v>
          </cell>
          <cell r="AA141">
            <v>64376</v>
          </cell>
          <cell r="AB141">
            <v>3138</v>
          </cell>
          <cell r="AC141">
            <v>67514</v>
          </cell>
          <cell r="AD141">
            <v>49</v>
          </cell>
          <cell r="AE141">
            <v>119</v>
          </cell>
          <cell r="AF141">
            <v>16054</v>
          </cell>
          <cell r="AG141">
            <v>63</v>
          </cell>
          <cell r="AH141">
            <v>1200.7</v>
          </cell>
          <cell r="AI141">
            <v>6</v>
          </cell>
          <cell r="AJ141">
            <v>834.68</v>
          </cell>
          <cell r="AK141">
            <v>3</v>
          </cell>
          <cell r="AL141">
            <v>717.67</v>
          </cell>
          <cell r="AM141">
            <v>2</v>
          </cell>
          <cell r="AN141">
            <v>758.95</v>
          </cell>
          <cell r="AO141">
            <v>5</v>
          </cell>
          <cell r="AP141">
            <v>3512</v>
          </cell>
          <cell r="AQ141">
            <v>16</v>
          </cell>
          <cell r="AR141">
            <v>213.34</v>
          </cell>
          <cell r="AS141" t="str">
            <v xml:space="preserve"> -   </v>
          </cell>
          <cell r="AT141">
            <v>213.34</v>
          </cell>
          <cell r="AU141" t="str">
            <v xml:space="preserve"> -   </v>
          </cell>
          <cell r="AV141">
            <v>213.34</v>
          </cell>
          <cell r="AW141" t="str">
            <v xml:space="preserve"> -   </v>
          </cell>
          <cell r="AX141">
            <v>3657.98</v>
          </cell>
          <cell r="AY141">
            <v>2</v>
          </cell>
          <cell r="AZ141">
            <v>4298</v>
          </cell>
          <cell r="BA141">
            <v>2</v>
          </cell>
          <cell r="BB141">
            <v>13230.71</v>
          </cell>
          <cell r="BC141">
            <v>27</v>
          </cell>
          <cell r="BD141">
            <v>10187.469999999999</v>
          </cell>
          <cell r="BE141">
            <v>36</v>
          </cell>
          <cell r="BF141">
            <v>6034.23</v>
          </cell>
          <cell r="BG141">
            <v>36</v>
          </cell>
          <cell r="BH141">
            <v>6440.59</v>
          </cell>
          <cell r="BI141">
            <v>41</v>
          </cell>
          <cell r="BJ141">
            <v>35893</v>
          </cell>
          <cell r="BK141">
            <v>140</v>
          </cell>
          <cell r="BL141">
            <v>548.35</v>
          </cell>
          <cell r="BM141">
            <v>2</v>
          </cell>
          <cell r="BN141">
            <v>533.35</v>
          </cell>
          <cell r="BO141" t="str">
            <v xml:space="preserve"> -   </v>
          </cell>
          <cell r="BP141">
            <v>533.35</v>
          </cell>
          <cell r="BQ141" t="str">
            <v xml:space="preserve"> -   </v>
          </cell>
          <cell r="BR141">
            <v>2097.9499999999998</v>
          </cell>
          <cell r="BS141">
            <v>5</v>
          </cell>
          <cell r="BT141">
            <v>3713</v>
          </cell>
          <cell r="BU141">
            <v>7</v>
          </cell>
          <cell r="BV141">
            <v>320.01</v>
          </cell>
          <cell r="BW141" t="str">
            <v xml:space="preserve"> -   </v>
          </cell>
          <cell r="BX141">
            <v>297.67</v>
          </cell>
          <cell r="BY141">
            <v>1</v>
          </cell>
          <cell r="BZ141">
            <v>213.34</v>
          </cell>
          <cell r="CA141" t="str">
            <v xml:space="preserve"> -   </v>
          </cell>
          <cell r="CB141">
            <v>1293.98</v>
          </cell>
          <cell r="CC141">
            <v>2</v>
          </cell>
          <cell r="CD141">
            <v>2125</v>
          </cell>
          <cell r="CE141">
            <v>3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 t="str">
            <v xml:space="preserve"> -   </v>
          </cell>
          <cell r="CO141" t="str">
            <v xml:space="preserve"> -   </v>
          </cell>
          <cell r="CP141">
            <v>106.67</v>
          </cell>
          <cell r="CQ141" t="str">
            <v xml:space="preserve"> -   </v>
          </cell>
          <cell r="CR141">
            <v>106.67</v>
          </cell>
          <cell r="CS141" t="str">
            <v xml:space="preserve"> -   </v>
          </cell>
          <cell r="CT141">
            <v>106.67</v>
          </cell>
          <cell r="CU141" t="str">
            <v xml:space="preserve"> -   </v>
          </cell>
          <cell r="CV141">
            <v>54.99</v>
          </cell>
          <cell r="CW141">
            <v>1</v>
          </cell>
          <cell r="CX141">
            <v>375</v>
          </cell>
          <cell r="CY141">
            <v>1</v>
          </cell>
          <cell r="CZ141">
            <v>106.67</v>
          </cell>
          <cell r="DA141" t="str">
            <v xml:space="preserve"> -   </v>
          </cell>
          <cell r="DB141">
            <v>106.67</v>
          </cell>
          <cell r="DC141" t="str">
            <v xml:space="preserve"> -   </v>
          </cell>
          <cell r="DD141">
            <v>106.67</v>
          </cell>
          <cell r="DE141" t="str">
            <v xml:space="preserve"> -   </v>
          </cell>
          <cell r="DF141">
            <v>308.99</v>
          </cell>
          <cell r="DG141">
            <v>1</v>
          </cell>
          <cell r="DH141">
            <v>629</v>
          </cell>
          <cell r="DI141">
            <v>1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 t="str">
            <v xml:space="preserve"> -   </v>
          </cell>
          <cell r="DS141" t="str">
            <v xml:space="preserve"> -   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 t="str">
            <v xml:space="preserve"> -   </v>
          </cell>
          <cell r="EC141" t="str">
            <v xml:space="preserve"> -   </v>
          </cell>
          <cell r="ED141">
            <v>0</v>
          </cell>
          <cell r="EE141">
            <v>0</v>
          </cell>
          <cell r="EF141">
            <v>0</v>
          </cell>
          <cell r="EH141">
            <v>0</v>
          </cell>
          <cell r="EI141">
            <v>0</v>
          </cell>
        </row>
        <row r="142">
          <cell r="A142" t="str">
            <v>MarHimandhoo</v>
          </cell>
          <cell r="B142" t="str">
            <v>Mar</v>
          </cell>
          <cell r="C142" t="str">
            <v>AA.</v>
          </cell>
          <cell r="D142" t="str">
            <v>Himandhoo</v>
          </cell>
          <cell r="E142">
            <v>0</v>
          </cell>
          <cell r="F142">
            <v>52553</v>
          </cell>
          <cell r="G142">
            <v>169</v>
          </cell>
          <cell r="H142">
            <v>13</v>
          </cell>
          <cell r="I142">
            <v>0</v>
          </cell>
          <cell r="J142">
            <v>0</v>
          </cell>
          <cell r="K142">
            <v>13</v>
          </cell>
          <cell r="L142">
            <v>169</v>
          </cell>
          <cell r="M142">
            <v>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13</v>
          </cell>
          <cell r="U142">
            <v>169</v>
          </cell>
          <cell r="V142">
            <v>3</v>
          </cell>
          <cell r="W142">
            <v>77992</v>
          </cell>
          <cell r="X142">
            <v>77992</v>
          </cell>
          <cell r="Y142">
            <v>0</v>
          </cell>
          <cell r="Z142">
            <v>77992</v>
          </cell>
          <cell r="AA142">
            <v>62627</v>
          </cell>
          <cell r="AB142">
            <v>3341</v>
          </cell>
          <cell r="AC142">
            <v>65968</v>
          </cell>
          <cell r="AD142">
            <v>54</v>
          </cell>
          <cell r="AE142">
            <v>140</v>
          </cell>
          <cell r="AF142">
            <v>19459</v>
          </cell>
          <cell r="AG142">
            <v>71</v>
          </cell>
          <cell r="AH142">
            <v>1279.71</v>
          </cell>
          <cell r="AI142">
            <v>3</v>
          </cell>
          <cell r="AJ142">
            <v>956.01</v>
          </cell>
          <cell r="AK142">
            <v>5</v>
          </cell>
          <cell r="AL142">
            <v>685.34</v>
          </cell>
          <cell r="AM142">
            <v>2</v>
          </cell>
          <cell r="AN142">
            <v>1048.94</v>
          </cell>
          <cell r="AO142">
            <v>6</v>
          </cell>
          <cell r="AP142">
            <v>3970</v>
          </cell>
          <cell r="AQ142">
            <v>16</v>
          </cell>
          <cell r="AR142">
            <v>193.34</v>
          </cell>
          <cell r="AS142">
            <v>0</v>
          </cell>
          <cell r="AT142">
            <v>193.34</v>
          </cell>
          <cell r="AU142">
            <v>0</v>
          </cell>
          <cell r="AV142">
            <v>193.34</v>
          </cell>
          <cell r="AW142">
            <v>0</v>
          </cell>
          <cell r="AX142">
            <v>3820.98</v>
          </cell>
          <cell r="AY142">
            <v>2</v>
          </cell>
          <cell r="AZ142">
            <v>4401</v>
          </cell>
          <cell r="BA142">
            <v>2</v>
          </cell>
          <cell r="BB142">
            <v>11871.38</v>
          </cell>
          <cell r="BC142">
            <v>25</v>
          </cell>
          <cell r="BD142">
            <v>9616.52</v>
          </cell>
          <cell r="BE142">
            <v>29</v>
          </cell>
          <cell r="BF142">
            <v>6445.61</v>
          </cell>
          <cell r="BG142">
            <v>34</v>
          </cell>
          <cell r="BH142">
            <v>9069.49</v>
          </cell>
          <cell r="BI142">
            <v>51</v>
          </cell>
          <cell r="BJ142">
            <v>37003</v>
          </cell>
          <cell r="BK142">
            <v>139</v>
          </cell>
          <cell r="BL142">
            <v>541.35</v>
          </cell>
          <cell r="BM142">
            <v>2</v>
          </cell>
          <cell r="BN142">
            <v>483.35</v>
          </cell>
          <cell r="BO142">
            <v>0</v>
          </cell>
          <cell r="BP142">
            <v>483.35</v>
          </cell>
          <cell r="BQ142">
            <v>0</v>
          </cell>
          <cell r="BR142">
            <v>2246.9499999999998</v>
          </cell>
          <cell r="BS142">
            <v>5</v>
          </cell>
          <cell r="BT142">
            <v>3755</v>
          </cell>
          <cell r="BU142">
            <v>7</v>
          </cell>
          <cell r="BV142">
            <v>290.01</v>
          </cell>
          <cell r="BW142">
            <v>0</v>
          </cell>
          <cell r="BX142">
            <v>290.01</v>
          </cell>
          <cell r="BY142">
            <v>0</v>
          </cell>
          <cell r="BZ142">
            <v>286</v>
          </cell>
          <cell r="CA142">
            <v>1</v>
          </cell>
          <cell r="CB142">
            <v>1573.98</v>
          </cell>
          <cell r="CC142">
            <v>2</v>
          </cell>
          <cell r="CD142">
            <v>2440</v>
          </cell>
          <cell r="CE142">
            <v>3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 t="str">
            <v xml:space="preserve"> -   </v>
          </cell>
          <cell r="CO142" t="str">
            <v xml:space="preserve"> -   </v>
          </cell>
          <cell r="CP142">
            <v>96.67</v>
          </cell>
          <cell r="CQ142">
            <v>0</v>
          </cell>
          <cell r="CR142">
            <v>96.67</v>
          </cell>
          <cell r="CS142">
            <v>0</v>
          </cell>
          <cell r="CT142">
            <v>96.67</v>
          </cell>
          <cell r="CU142">
            <v>0</v>
          </cell>
          <cell r="CV142">
            <v>122.99</v>
          </cell>
          <cell r="CW142">
            <v>1</v>
          </cell>
          <cell r="CX142">
            <v>413</v>
          </cell>
          <cell r="CY142">
            <v>1</v>
          </cell>
          <cell r="CZ142">
            <v>96.67</v>
          </cell>
          <cell r="DA142">
            <v>0</v>
          </cell>
          <cell r="DB142">
            <v>96.67</v>
          </cell>
          <cell r="DC142">
            <v>0</v>
          </cell>
          <cell r="DD142">
            <v>96.67</v>
          </cell>
          <cell r="DE142">
            <v>0</v>
          </cell>
          <cell r="DF142">
            <v>280.99</v>
          </cell>
          <cell r="DG142">
            <v>1</v>
          </cell>
          <cell r="DH142">
            <v>571</v>
          </cell>
          <cell r="DI142">
            <v>1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 t="str">
            <v xml:space="preserve"> -   </v>
          </cell>
          <cell r="DS142" t="str">
            <v xml:space="preserve"> -   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 t="str">
            <v xml:space="preserve"> -   </v>
          </cell>
          <cell r="EC142" t="str">
            <v xml:space="preserve"> -   </v>
          </cell>
          <cell r="ED142">
            <v>0</v>
          </cell>
          <cell r="EE142">
            <v>0</v>
          </cell>
          <cell r="EF142">
            <v>0</v>
          </cell>
          <cell r="EH142">
            <v>0</v>
          </cell>
          <cell r="EI142">
            <v>0</v>
          </cell>
        </row>
        <row r="143">
          <cell r="A143" t="str">
            <v>AprHimandhoo</v>
          </cell>
          <cell r="B143" t="str">
            <v>Apr</v>
          </cell>
          <cell r="C143" t="str">
            <v>AA.</v>
          </cell>
          <cell r="D143" t="str">
            <v>Himandhoo</v>
          </cell>
          <cell r="E143">
            <v>0</v>
          </cell>
          <cell r="F143">
            <v>56654</v>
          </cell>
          <cell r="G143">
            <v>166</v>
          </cell>
          <cell r="H143">
            <v>172</v>
          </cell>
          <cell r="I143">
            <v>0</v>
          </cell>
          <cell r="J143">
            <v>0</v>
          </cell>
          <cell r="K143">
            <v>172</v>
          </cell>
          <cell r="L143">
            <v>166</v>
          </cell>
          <cell r="M143">
            <v>6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172</v>
          </cell>
          <cell r="U143">
            <v>166</v>
          </cell>
          <cell r="V143">
            <v>6</v>
          </cell>
          <cell r="W143">
            <v>75640</v>
          </cell>
          <cell r="X143">
            <v>75640</v>
          </cell>
          <cell r="Y143">
            <v>0</v>
          </cell>
          <cell r="Z143">
            <v>75640</v>
          </cell>
          <cell r="AA143">
            <v>80127</v>
          </cell>
          <cell r="AB143">
            <v>3373</v>
          </cell>
          <cell r="AC143">
            <v>83500</v>
          </cell>
          <cell r="AD143">
            <v>34</v>
          </cell>
          <cell r="AE143">
            <v>143</v>
          </cell>
          <cell r="AF143">
            <v>20532</v>
          </cell>
          <cell r="AG143">
            <v>48</v>
          </cell>
          <cell r="AH143">
            <v>1250</v>
          </cell>
          <cell r="AI143">
            <v>4</v>
          </cell>
          <cell r="AJ143">
            <v>919</v>
          </cell>
          <cell r="AK143">
            <v>4</v>
          </cell>
          <cell r="AL143">
            <v>730</v>
          </cell>
          <cell r="AM143">
            <v>2</v>
          </cell>
          <cell r="AN143">
            <v>1406</v>
          </cell>
          <cell r="AO143">
            <v>6</v>
          </cell>
          <cell r="AP143">
            <v>4305</v>
          </cell>
          <cell r="AQ143">
            <v>16</v>
          </cell>
          <cell r="AR143">
            <v>200</v>
          </cell>
          <cell r="AS143">
            <v>0</v>
          </cell>
          <cell r="AT143">
            <v>200</v>
          </cell>
          <cell r="AU143">
            <v>0</v>
          </cell>
          <cell r="AV143">
            <v>200</v>
          </cell>
          <cell r="AW143">
            <v>0</v>
          </cell>
          <cell r="AX143">
            <v>3688</v>
          </cell>
          <cell r="AY143">
            <v>2</v>
          </cell>
          <cell r="AZ143">
            <v>4288</v>
          </cell>
          <cell r="BA143">
            <v>2</v>
          </cell>
          <cell r="BB143">
            <v>12558.34</v>
          </cell>
          <cell r="BC143">
            <v>20</v>
          </cell>
          <cell r="BD143">
            <v>10792</v>
          </cell>
          <cell r="BE143">
            <v>30</v>
          </cell>
          <cell r="BF143">
            <v>6889.67</v>
          </cell>
          <cell r="BG143">
            <v>38</v>
          </cell>
          <cell r="BH143">
            <v>11549.99</v>
          </cell>
          <cell r="BI143">
            <v>49</v>
          </cell>
          <cell r="BJ143">
            <v>41790</v>
          </cell>
          <cell r="BK143">
            <v>137</v>
          </cell>
          <cell r="BL143">
            <v>536</v>
          </cell>
          <cell r="BM143">
            <v>2</v>
          </cell>
          <cell r="BN143">
            <v>500</v>
          </cell>
          <cell r="BO143">
            <v>0</v>
          </cell>
          <cell r="BP143">
            <v>500</v>
          </cell>
          <cell r="BQ143">
            <v>0</v>
          </cell>
          <cell r="BR143">
            <v>2265</v>
          </cell>
          <cell r="BS143">
            <v>5</v>
          </cell>
          <cell r="BT143">
            <v>3801</v>
          </cell>
          <cell r="BU143">
            <v>7</v>
          </cell>
          <cell r="BV143">
            <v>300</v>
          </cell>
          <cell r="BW143">
            <v>0</v>
          </cell>
          <cell r="BX143">
            <v>280</v>
          </cell>
          <cell r="BY143">
            <v>1</v>
          </cell>
          <cell r="BZ143">
            <v>200</v>
          </cell>
          <cell r="CA143">
            <v>0</v>
          </cell>
          <cell r="CB143">
            <v>1259</v>
          </cell>
          <cell r="CC143">
            <v>2</v>
          </cell>
          <cell r="CD143">
            <v>2039</v>
          </cell>
          <cell r="CE143">
            <v>3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100</v>
          </cell>
          <cell r="CQ143">
            <v>0</v>
          </cell>
          <cell r="CR143">
            <v>100</v>
          </cell>
          <cell r="CS143">
            <v>0</v>
          </cell>
          <cell r="CT143">
            <v>100</v>
          </cell>
          <cell r="CU143">
            <v>0</v>
          </cell>
          <cell r="CV143">
            <v>131</v>
          </cell>
          <cell r="CW143">
            <v>1</v>
          </cell>
          <cell r="CX143">
            <v>431</v>
          </cell>
          <cell r="CY143">
            <v>1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H143">
            <v>0</v>
          </cell>
          <cell r="EI143">
            <v>0</v>
          </cell>
        </row>
        <row r="144">
          <cell r="A144" t="str">
            <v>MayHimandhoo</v>
          </cell>
          <cell r="B144" t="str">
            <v>May</v>
          </cell>
          <cell r="C144" t="str">
            <v>AA.</v>
          </cell>
          <cell r="D144" t="str">
            <v>Himandhoo</v>
          </cell>
          <cell r="E144">
            <v>0</v>
          </cell>
          <cell r="F144">
            <v>62585</v>
          </cell>
          <cell r="G144">
            <v>175</v>
          </cell>
          <cell r="H144">
            <v>172</v>
          </cell>
          <cell r="I144">
            <v>3</v>
          </cell>
          <cell r="J144">
            <v>0</v>
          </cell>
          <cell r="K144">
            <v>175</v>
          </cell>
          <cell r="L144">
            <v>174</v>
          </cell>
          <cell r="M144">
            <v>1</v>
          </cell>
          <cell r="N144">
            <v>1</v>
          </cell>
          <cell r="O144">
            <v>2</v>
          </cell>
          <cell r="P144">
            <v>0</v>
          </cell>
          <cell r="Q144">
            <v>3</v>
          </cell>
          <cell r="R144">
            <v>1</v>
          </cell>
          <cell r="S144">
            <v>2</v>
          </cell>
          <cell r="T144">
            <v>178</v>
          </cell>
          <cell r="U144">
            <v>175</v>
          </cell>
          <cell r="V144">
            <v>3</v>
          </cell>
          <cell r="W144">
            <v>47047</v>
          </cell>
          <cell r="X144">
            <v>70178.090000000011</v>
          </cell>
          <cell r="Y144">
            <v>0</v>
          </cell>
          <cell r="Z144">
            <v>70178.090000000011</v>
          </cell>
          <cell r="AA144">
            <v>72164</v>
          </cell>
          <cell r="AB144">
            <v>3138</v>
          </cell>
          <cell r="AC144">
            <v>75302</v>
          </cell>
          <cell r="AD144">
            <v>55</v>
          </cell>
          <cell r="AE144">
            <v>144</v>
          </cell>
          <cell r="AF144">
            <v>19105</v>
          </cell>
          <cell r="AG144">
            <v>48</v>
          </cell>
          <cell r="AH144">
            <v>1267</v>
          </cell>
          <cell r="AI144">
            <v>5</v>
          </cell>
          <cell r="AJ144">
            <v>915</v>
          </cell>
          <cell r="AK144">
            <v>5</v>
          </cell>
          <cell r="AL144">
            <v>684</v>
          </cell>
          <cell r="AM144">
            <v>1</v>
          </cell>
          <cell r="AN144">
            <v>1218</v>
          </cell>
          <cell r="AO144">
            <v>6</v>
          </cell>
          <cell r="AP144">
            <v>4084</v>
          </cell>
          <cell r="AQ144">
            <v>17</v>
          </cell>
          <cell r="AR144">
            <v>200</v>
          </cell>
          <cell r="AS144">
            <v>0</v>
          </cell>
          <cell r="AT144">
            <v>200</v>
          </cell>
          <cell r="AU144">
            <v>0</v>
          </cell>
          <cell r="AV144">
            <v>200</v>
          </cell>
          <cell r="AW144">
            <v>0</v>
          </cell>
          <cell r="AX144">
            <v>4095</v>
          </cell>
          <cell r="AY144">
            <v>2</v>
          </cell>
          <cell r="AZ144">
            <v>4695</v>
          </cell>
          <cell r="BA144">
            <v>2</v>
          </cell>
          <cell r="BB144">
            <v>13020</v>
          </cell>
          <cell r="BC144">
            <v>23</v>
          </cell>
          <cell r="BD144">
            <v>11166</v>
          </cell>
          <cell r="BE144">
            <v>24</v>
          </cell>
          <cell r="BF144">
            <v>8049</v>
          </cell>
          <cell r="BG144">
            <v>35</v>
          </cell>
          <cell r="BH144">
            <v>13562</v>
          </cell>
          <cell r="BI144">
            <v>62</v>
          </cell>
          <cell r="BJ144">
            <v>45797</v>
          </cell>
          <cell r="BK144">
            <v>144</v>
          </cell>
          <cell r="BL144">
            <v>546</v>
          </cell>
          <cell r="BM144">
            <v>2</v>
          </cell>
          <cell r="BN144">
            <v>439</v>
          </cell>
          <cell r="BO144">
            <v>1</v>
          </cell>
          <cell r="BP144">
            <v>400</v>
          </cell>
          <cell r="BQ144">
            <v>0</v>
          </cell>
          <cell r="BR144">
            <v>2492</v>
          </cell>
          <cell r="BS144">
            <v>4</v>
          </cell>
          <cell r="BT144">
            <v>3877</v>
          </cell>
          <cell r="BU144">
            <v>7</v>
          </cell>
          <cell r="BV144">
            <v>300</v>
          </cell>
          <cell r="BW144">
            <v>0</v>
          </cell>
          <cell r="BX144">
            <v>300</v>
          </cell>
          <cell r="BY144">
            <v>0</v>
          </cell>
          <cell r="BZ144">
            <v>206</v>
          </cell>
          <cell r="CA144">
            <v>1</v>
          </cell>
          <cell r="CB144">
            <v>2091</v>
          </cell>
          <cell r="CC144">
            <v>2</v>
          </cell>
          <cell r="CD144">
            <v>2897</v>
          </cell>
          <cell r="CE144">
            <v>3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100</v>
          </cell>
          <cell r="CQ144">
            <v>0</v>
          </cell>
          <cell r="CR144">
            <v>100</v>
          </cell>
          <cell r="CS144">
            <v>0</v>
          </cell>
          <cell r="CT144">
            <v>100</v>
          </cell>
          <cell r="CU144">
            <v>0</v>
          </cell>
          <cell r="CV144">
            <v>345</v>
          </cell>
          <cell r="CW144">
            <v>1</v>
          </cell>
          <cell r="CX144">
            <v>645</v>
          </cell>
          <cell r="CY144">
            <v>1</v>
          </cell>
          <cell r="CZ144">
            <v>100</v>
          </cell>
          <cell r="DA144">
            <v>0</v>
          </cell>
          <cell r="DB144">
            <v>100</v>
          </cell>
          <cell r="DC144">
            <v>0</v>
          </cell>
          <cell r="DD144">
            <v>100</v>
          </cell>
          <cell r="DE144">
            <v>0</v>
          </cell>
          <cell r="DF144">
            <v>290</v>
          </cell>
          <cell r="DG144">
            <v>1</v>
          </cell>
          <cell r="DH144">
            <v>590</v>
          </cell>
          <cell r="DI144">
            <v>1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H144">
            <v>0</v>
          </cell>
          <cell r="EI144">
            <v>0</v>
          </cell>
        </row>
        <row r="145">
          <cell r="A145" t="str">
            <v>JunHimandhoo</v>
          </cell>
          <cell r="B145" t="str">
            <v>Jun</v>
          </cell>
          <cell r="C145" t="str">
            <v>AA.</v>
          </cell>
          <cell r="D145" t="str">
            <v>Himandhoo</v>
          </cell>
          <cell r="E145">
            <v>0</v>
          </cell>
          <cell r="F145">
            <v>52215</v>
          </cell>
          <cell r="G145">
            <v>175</v>
          </cell>
          <cell r="H145">
            <v>175</v>
          </cell>
          <cell r="I145">
            <v>0</v>
          </cell>
          <cell r="J145">
            <v>0</v>
          </cell>
          <cell r="K145">
            <v>175</v>
          </cell>
          <cell r="L145">
            <v>173</v>
          </cell>
          <cell r="M145">
            <v>2</v>
          </cell>
          <cell r="N145">
            <v>2</v>
          </cell>
          <cell r="O145">
            <v>0</v>
          </cell>
          <cell r="P145">
            <v>0</v>
          </cell>
          <cell r="Q145">
            <v>2</v>
          </cell>
          <cell r="R145">
            <v>2</v>
          </cell>
          <cell r="S145">
            <v>0</v>
          </cell>
          <cell r="T145">
            <v>177</v>
          </cell>
          <cell r="U145">
            <v>175</v>
          </cell>
          <cell r="V145">
            <v>2</v>
          </cell>
          <cell r="W145">
            <v>57547</v>
          </cell>
          <cell r="X145">
            <v>57547</v>
          </cell>
          <cell r="Y145">
            <v>0</v>
          </cell>
          <cell r="Z145">
            <v>57547</v>
          </cell>
          <cell r="AA145">
            <v>85511</v>
          </cell>
          <cell r="AB145">
            <v>3671</v>
          </cell>
          <cell r="AC145">
            <v>89182</v>
          </cell>
          <cell r="AD145">
            <v>32</v>
          </cell>
          <cell r="AE145">
            <v>136</v>
          </cell>
          <cell r="AF145">
            <v>20692</v>
          </cell>
          <cell r="AG145">
            <v>48</v>
          </cell>
          <cell r="AH145">
            <v>1252.6300000000001</v>
          </cell>
          <cell r="AI145">
            <v>7</v>
          </cell>
          <cell r="AJ145">
            <v>807.67</v>
          </cell>
          <cell r="AK145">
            <v>6</v>
          </cell>
          <cell r="AL145">
            <v>478.66</v>
          </cell>
          <cell r="AM145">
            <v>1</v>
          </cell>
          <cell r="AN145">
            <v>540.04</v>
          </cell>
          <cell r="AO145">
            <v>4</v>
          </cell>
          <cell r="AP145">
            <v>3079</v>
          </cell>
          <cell r="AQ145">
            <v>18</v>
          </cell>
          <cell r="AR145">
            <v>206.66</v>
          </cell>
          <cell r="AS145">
            <v>0</v>
          </cell>
          <cell r="AT145">
            <v>206.66</v>
          </cell>
          <cell r="AU145">
            <v>0</v>
          </cell>
          <cell r="AV145">
            <v>206.66</v>
          </cell>
          <cell r="AW145">
            <v>0</v>
          </cell>
          <cell r="AX145">
            <v>3507.02</v>
          </cell>
          <cell r="AY145">
            <v>2</v>
          </cell>
          <cell r="AZ145">
            <v>4127</v>
          </cell>
          <cell r="BA145">
            <v>2</v>
          </cell>
          <cell r="BB145">
            <v>12940.62</v>
          </cell>
          <cell r="BC145">
            <v>29</v>
          </cell>
          <cell r="BD145">
            <v>10562.44</v>
          </cell>
          <cell r="BE145">
            <v>23</v>
          </cell>
          <cell r="BF145">
            <v>6806.47</v>
          </cell>
          <cell r="BG145">
            <v>44</v>
          </cell>
          <cell r="BH145">
            <v>8233.4699999999993</v>
          </cell>
          <cell r="BI145">
            <v>47</v>
          </cell>
          <cell r="BJ145">
            <v>38543</v>
          </cell>
          <cell r="BK145">
            <v>143</v>
          </cell>
          <cell r="BL145">
            <v>540.65</v>
          </cell>
          <cell r="BM145">
            <v>2</v>
          </cell>
          <cell r="BN145">
            <v>516.65</v>
          </cell>
          <cell r="BO145">
            <v>0</v>
          </cell>
          <cell r="BP145">
            <v>516.65</v>
          </cell>
          <cell r="BQ145">
            <v>0</v>
          </cell>
          <cell r="BR145">
            <v>2107.0500000000002</v>
          </cell>
          <cell r="BS145">
            <v>5</v>
          </cell>
          <cell r="BT145">
            <v>3681.0000000000005</v>
          </cell>
          <cell r="BU145">
            <v>7</v>
          </cell>
          <cell r="BV145">
            <v>276.66000000000003</v>
          </cell>
          <cell r="BW145">
            <v>1</v>
          </cell>
          <cell r="BX145">
            <v>206.66</v>
          </cell>
          <cell r="BY145">
            <v>0</v>
          </cell>
          <cell r="BZ145">
            <v>206.66</v>
          </cell>
          <cell r="CA145">
            <v>0</v>
          </cell>
          <cell r="CB145">
            <v>1214.02</v>
          </cell>
          <cell r="CC145">
            <v>2</v>
          </cell>
          <cell r="CD145">
            <v>1904.0000000000002</v>
          </cell>
          <cell r="CE145">
            <v>3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103.33</v>
          </cell>
          <cell r="CQ145">
            <v>0</v>
          </cell>
          <cell r="CR145">
            <v>103.33</v>
          </cell>
          <cell r="CS145">
            <v>0</v>
          </cell>
          <cell r="CT145">
            <v>64.34</v>
          </cell>
          <cell r="CU145">
            <v>1</v>
          </cell>
          <cell r="CV145">
            <v>0</v>
          </cell>
          <cell r="CW145">
            <v>0</v>
          </cell>
          <cell r="CX145">
            <v>271</v>
          </cell>
          <cell r="CY145">
            <v>1</v>
          </cell>
          <cell r="CZ145">
            <v>103.33</v>
          </cell>
          <cell r="DA145">
            <v>0</v>
          </cell>
          <cell r="DB145">
            <v>103.33</v>
          </cell>
          <cell r="DC145">
            <v>0</v>
          </cell>
          <cell r="DD145">
            <v>103.33</v>
          </cell>
          <cell r="DE145">
            <v>0</v>
          </cell>
          <cell r="DF145">
            <v>300.01</v>
          </cell>
          <cell r="DG145">
            <v>1</v>
          </cell>
          <cell r="DH145">
            <v>610</v>
          </cell>
          <cell r="DI145">
            <v>1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H145">
            <v>0</v>
          </cell>
          <cell r="EI145">
            <v>0</v>
          </cell>
        </row>
        <row r="146">
          <cell r="A146" t="str">
            <v>JulHimandhoo</v>
          </cell>
          <cell r="B146" t="str">
            <v>Jul</v>
          </cell>
          <cell r="C146" t="str">
            <v>AA.</v>
          </cell>
          <cell r="D146" t="str">
            <v>Himandhoo</v>
          </cell>
          <cell r="E146" t="str">
            <v>usage units more than billed</v>
          </cell>
          <cell r="F146">
            <v>289261.5</v>
          </cell>
          <cell r="G146">
            <v>169</v>
          </cell>
          <cell r="H146">
            <v>175</v>
          </cell>
          <cell r="I146">
            <v>0</v>
          </cell>
          <cell r="J146">
            <v>0</v>
          </cell>
          <cell r="K146">
            <v>175</v>
          </cell>
          <cell r="L146">
            <v>169</v>
          </cell>
          <cell r="M146">
            <v>6</v>
          </cell>
          <cell r="N146">
            <v>1</v>
          </cell>
          <cell r="O146">
            <v>0</v>
          </cell>
          <cell r="P146">
            <v>0</v>
          </cell>
          <cell r="Q146">
            <v>1</v>
          </cell>
          <cell r="R146">
            <v>1</v>
          </cell>
          <cell r="S146">
            <v>0</v>
          </cell>
          <cell r="T146">
            <v>176</v>
          </cell>
          <cell r="U146">
            <v>170</v>
          </cell>
          <cell r="V146">
            <v>6</v>
          </cell>
          <cell r="W146">
            <v>60144</v>
          </cell>
          <cell r="X146">
            <v>51998.79</v>
          </cell>
          <cell r="Y146">
            <v>0</v>
          </cell>
          <cell r="Z146">
            <v>51998.79</v>
          </cell>
          <cell r="AA146">
            <v>47411</v>
          </cell>
          <cell r="AB146">
            <v>1186</v>
          </cell>
          <cell r="AC146">
            <v>48597</v>
          </cell>
          <cell r="AD146">
            <v>52</v>
          </cell>
          <cell r="AE146">
            <v>137</v>
          </cell>
          <cell r="AF146">
            <v>19017</v>
          </cell>
          <cell r="AG146">
            <v>52</v>
          </cell>
          <cell r="AH146">
            <v>5566.5</v>
          </cell>
          <cell r="AI146">
            <v>4</v>
          </cell>
          <cell r="AJ146">
            <v>5353.25</v>
          </cell>
          <cell r="AK146">
            <v>4</v>
          </cell>
          <cell r="AL146">
            <v>3828.5</v>
          </cell>
          <cell r="AM146">
            <v>3</v>
          </cell>
          <cell r="AN146">
            <v>2940</v>
          </cell>
          <cell r="AO146">
            <v>5</v>
          </cell>
          <cell r="AP146">
            <v>17688.25</v>
          </cell>
          <cell r="AQ146">
            <v>16</v>
          </cell>
          <cell r="AR146">
            <v>900</v>
          </cell>
          <cell r="AS146">
            <v>0</v>
          </cell>
          <cell r="AT146">
            <v>1150</v>
          </cell>
          <cell r="AU146">
            <v>0</v>
          </cell>
          <cell r="AV146">
            <v>1300</v>
          </cell>
          <cell r="AW146">
            <v>0</v>
          </cell>
          <cell r="AX146">
            <v>25665</v>
          </cell>
          <cell r="AY146">
            <v>2</v>
          </cell>
          <cell r="AZ146">
            <v>29015</v>
          </cell>
          <cell r="BA146">
            <v>2</v>
          </cell>
          <cell r="BB146">
            <v>48270</v>
          </cell>
          <cell r="BC146">
            <v>16</v>
          </cell>
          <cell r="BD146">
            <v>48267.25</v>
          </cell>
          <cell r="BE146">
            <v>24</v>
          </cell>
          <cell r="BF146">
            <v>38308.5</v>
          </cell>
          <cell r="BG146">
            <v>29</v>
          </cell>
          <cell r="BH146">
            <v>61800</v>
          </cell>
          <cell r="BI146">
            <v>70</v>
          </cell>
          <cell r="BJ146">
            <v>196645.75</v>
          </cell>
          <cell r="BK146">
            <v>139</v>
          </cell>
          <cell r="BL146">
            <v>2362.5</v>
          </cell>
          <cell r="BM146">
            <v>2</v>
          </cell>
          <cell r="BN146">
            <v>2875</v>
          </cell>
          <cell r="BO146">
            <v>0</v>
          </cell>
          <cell r="BP146">
            <v>3250</v>
          </cell>
          <cell r="BQ146">
            <v>0</v>
          </cell>
          <cell r="BR146">
            <v>13237.5</v>
          </cell>
          <cell r="BS146">
            <v>5</v>
          </cell>
          <cell r="BT146">
            <v>21725</v>
          </cell>
          <cell r="BU146">
            <v>7</v>
          </cell>
          <cell r="BV146">
            <v>1170</v>
          </cell>
          <cell r="BW146">
            <v>1</v>
          </cell>
          <cell r="BX146">
            <v>1150</v>
          </cell>
          <cell r="BY146">
            <v>0</v>
          </cell>
          <cell r="BZ146">
            <v>1300</v>
          </cell>
          <cell r="CA146">
            <v>0</v>
          </cell>
          <cell r="CB146">
            <v>11130</v>
          </cell>
          <cell r="CC146">
            <v>2</v>
          </cell>
          <cell r="CD146">
            <v>14750</v>
          </cell>
          <cell r="CE146">
            <v>3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450</v>
          </cell>
          <cell r="CQ146">
            <v>0</v>
          </cell>
          <cell r="CR146">
            <v>575</v>
          </cell>
          <cell r="CS146">
            <v>0</v>
          </cell>
          <cell r="CT146">
            <v>130</v>
          </cell>
          <cell r="CU146">
            <v>1</v>
          </cell>
          <cell r="CV146">
            <v>0</v>
          </cell>
          <cell r="CW146">
            <v>0</v>
          </cell>
          <cell r="CX146">
            <v>1155</v>
          </cell>
          <cell r="CY146">
            <v>1</v>
          </cell>
          <cell r="CZ146">
            <v>450</v>
          </cell>
          <cell r="DA146">
            <v>0</v>
          </cell>
          <cell r="DB146">
            <v>575</v>
          </cell>
          <cell r="DC146">
            <v>0</v>
          </cell>
          <cell r="DD146">
            <v>650</v>
          </cell>
          <cell r="DE146">
            <v>0</v>
          </cell>
          <cell r="DF146">
            <v>6607.5</v>
          </cell>
          <cell r="DG146">
            <v>1</v>
          </cell>
          <cell r="DH146">
            <v>8282.5</v>
          </cell>
          <cell r="DI146">
            <v>1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H146">
            <v>0</v>
          </cell>
          <cell r="EI146">
            <v>0</v>
          </cell>
        </row>
        <row r="147">
          <cell r="A147" t="str">
            <v>AugHimandhoo</v>
          </cell>
          <cell r="B147" t="str">
            <v>Aug</v>
          </cell>
          <cell r="C147" t="str">
            <v>AA.</v>
          </cell>
          <cell r="D147" t="str">
            <v>Himandhoo</v>
          </cell>
          <cell r="E147" t="str">
            <v>usage units more than billed</v>
          </cell>
          <cell r="F147">
            <v>281524.57</v>
          </cell>
          <cell r="G147">
            <v>174</v>
          </cell>
          <cell r="H147">
            <v>175</v>
          </cell>
          <cell r="I147">
            <v>4</v>
          </cell>
          <cell r="J147">
            <v>0</v>
          </cell>
          <cell r="K147">
            <v>179</v>
          </cell>
          <cell r="L147">
            <v>174</v>
          </cell>
          <cell r="M147">
            <v>4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1</v>
          </cell>
          <cell r="S147">
            <v>0</v>
          </cell>
          <cell r="T147">
            <v>179</v>
          </cell>
          <cell r="U147">
            <v>175</v>
          </cell>
          <cell r="V147">
            <v>4</v>
          </cell>
          <cell r="W147">
            <v>58156</v>
          </cell>
          <cell r="X147">
            <v>54474.770000000004</v>
          </cell>
          <cell r="Y147">
            <v>0</v>
          </cell>
          <cell r="Z147">
            <v>54474.770000000004</v>
          </cell>
          <cell r="AA147">
            <v>49890</v>
          </cell>
          <cell r="AB147">
            <v>1021</v>
          </cell>
          <cell r="AC147">
            <v>50911</v>
          </cell>
          <cell r="AD147">
            <v>54</v>
          </cell>
          <cell r="AE147">
            <v>136</v>
          </cell>
          <cell r="AF147">
            <v>18179</v>
          </cell>
          <cell r="AG147">
            <v>63</v>
          </cell>
          <cell r="AH147">
            <v>6124.5</v>
          </cell>
          <cell r="AI147">
            <v>4</v>
          </cell>
          <cell r="AJ147">
            <v>6302</v>
          </cell>
          <cell r="AK147">
            <v>4</v>
          </cell>
          <cell r="AL147">
            <v>4920.5</v>
          </cell>
          <cell r="AM147">
            <v>4</v>
          </cell>
          <cell r="AN147">
            <v>5317.5</v>
          </cell>
          <cell r="AO147">
            <v>4</v>
          </cell>
          <cell r="AP147">
            <v>22664.5</v>
          </cell>
          <cell r="AQ147">
            <v>16</v>
          </cell>
          <cell r="AR147">
            <v>960.04</v>
          </cell>
          <cell r="AS147">
            <v>0</v>
          </cell>
          <cell r="AT147">
            <v>1226.7</v>
          </cell>
          <cell r="AU147">
            <v>0</v>
          </cell>
          <cell r="AV147">
            <v>1386.72</v>
          </cell>
          <cell r="AW147">
            <v>0</v>
          </cell>
          <cell r="AX147">
            <v>26894.86</v>
          </cell>
          <cell r="AY147">
            <v>2</v>
          </cell>
          <cell r="AZ147">
            <v>30468.320000000003</v>
          </cell>
          <cell r="BA147">
            <v>2</v>
          </cell>
          <cell r="BB147">
            <v>53936.25</v>
          </cell>
          <cell r="BC147">
            <v>23</v>
          </cell>
          <cell r="BD147">
            <v>51178.5</v>
          </cell>
          <cell r="BE147">
            <v>32</v>
          </cell>
          <cell r="BF147">
            <v>33475.5</v>
          </cell>
          <cell r="BG147">
            <v>36</v>
          </cell>
          <cell r="BH147">
            <v>37440</v>
          </cell>
          <cell r="BI147">
            <v>53</v>
          </cell>
          <cell r="BJ147">
            <v>176030.25</v>
          </cell>
          <cell r="BK147">
            <v>144</v>
          </cell>
          <cell r="BL147">
            <v>2614.5</v>
          </cell>
          <cell r="BM147">
            <v>2</v>
          </cell>
          <cell r="BN147">
            <v>3162.5</v>
          </cell>
          <cell r="BO147">
            <v>0</v>
          </cell>
          <cell r="BP147">
            <v>3575</v>
          </cell>
          <cell r="BQ147">
            <v>0</v>
          </cell>
          <cell r="BR147">
            <v>13942.5</v>
          </cell>
          <cell r="BS147">
            <v>5</v>
          </cell>
          <cell r="BT147">
            <v>23294.5</v>
          </cell>
          <cell r="BU147">
            <v>7</v>
          </cell>
          <cell r="BV147">
            <v>1485</v>
          </cell>
          <cell r="BW147">
            <v>0</v>
          </cell>
          <cell r="BX147">
            <v>1495</v>
          </cell>
          <cell r="BY147">
            <v>1</v>
          </cell>
          <cell r="BZ147">
            <v>1430</v>
          </cell>
          <cell r="CA147">
            <v>0</v>
          </cell>
          <cell r="CB147">
            <v>13912.5</v>
          </cell>
          <cell r="CC147">
            <v>2</v>
          </cell>
          <cell r="CD147">
            <v>18322.5</v>
          </cell>
          <cell r="CE147">
            <v>3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495</v>
          </cell>
          <cell r="CQ147">
            <v>0</v>
          </cell>
          <cell r="CR147">
            <v>632.5</v>
          </cell>
          <cell r="CS147">
            <v>0</v>
          </cell>
          <cell r="CT147">
            <v>507</v>
          </cell>
          <cell r="CU147">
            <v>1</v>
          </cell>
          <cell r="CV147">
            <v>0</v>
          </cell>
          <cell r="CW147">
            <v>0</v>
          </cell>
          <cell r="CX147">
            <v>1634.5</v>
          </cell>
          <cell r="CY147">
            <v>1</v>
          </cell>
          <cell r="CZ147">
            <v>495</v>
          </cell>
          <cell r="DA147">
            <v>0</v>
          </cell>
          <cell r="DB147">
            <v>632.5</v>
          </cell>
          <cell r="DC147">
            <v>0</v>
          </cell>
          <cell r="DD147">
            <v>715</v>
          </cell>
          <cell r="DE147">
            <v>0</v>
          </cell>
          <cell r="DF147">
            <v>7267.5</v>
          </cell>
          <cell r="DG147">
            <v>1</v>
          </cell>
          <cell r="DH147">
            <v>9110</v>
          </cell>
          <cell r="DI147">
            <v>1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H147">
            <v>0</v>
          </cell>
          <cell r="EI147">
            <v>0</v>
          </cell>
        </row>
        <row r="148">
          <cell r="A148" t="str">
            <v>SepHimandhoo</v>
          </cell>
          <cell r="B148" t="str">
            <v>Sep</v>
          </cell>
          <cell r="C148" t="str">
            <v>AA.</v>
          </cell>
          <cell r="D148" t="str">
            <v>Himandhoo</v>
          </cell>
          <cell r="E148" t="str">
            <v>usage units more than billed</v>
          </cell>
          <cell r="F148">
            <v>247620.29</v>
          </cell>
          <cell r="G148">
            <v>171</v>
          </cell>
          <cell r="H148">
            <v>179</v>
          </cell>
          <cell r="I148">
            <v>0</v>
          </cell>
          <cell r="J148">
            <v>0</v>
          </cell>
          <cell r="K148">
            <v>179</v>
          </cell>
          <cell r="L148">
            <v>176</v>
          </cell>
          <cell r="M148">
            <v>2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179</v>
          </cell>
          <cell r="U148">
            <v>176</v>
          </cell>
          <cell r="V148">
            <v>2</v>
          </cell>
          <cell r="W148">
            <v>57441</v>
          </cell>
          <cell r="X148">
            <v>57441</v>
          </cell>
          <cell r="Y148">
            <v>0</v>
          </cell>
          <cell r="Z148">
            <v>57441</v>
          </cell>
          <cell r="AA148">
            <v>247620</v>
          </cell>
          <cell r="AB148">
            <v>3482</v>
          </cell>
          <cell r="AC148">
            <v>251102</v>
          </cell>
          <cell r="AD148">
            <v>49</v>
          </cell>
          <cell r="AE148">
            <v>150</v>
          </cell>
          <cell r="AF148">
            <v>18435</v>
          </cell>
          <cell r="AG148">
            <v>68</v>
          </cell>
          <cell r="AH148">
            <v>5156.88</v>
          </cell>
          <cell r="AI148">
            <v>5</v>
          </cell>
          <cell r="AJ148">
            <v>5496.9</v>
          </cell>
          <cell r="AK148">
            <v>3</v>
          </cell>
          <cell r="AL148">
            <v>4647.53</v>
          </cell>
          <cell r="AM148">
            <v>3</v>
          </cell>
          <cell r="AN148">
            <v>5625.48</v>
          </cell>
          <cell r="AO148">
            <v>6</v>
          </cell>
          <cell r="AP148">
            <v>20926.79</v>
          </cell>
          <cell r="AQ148">
            <v>17</v>
          </cell>
          <cell r="AR148">
            <v>1710.06</v>
          </cell>
          <cell r="AS148">
            <v>0</v>
          </cell>
          <cell r="AT148">
            <v>1470.1</v>
          </cell>
          <cell r="AU148">
            <v>1</v>
          </cell>
          <cell r="AV148">
            <v>1256.72</v>
          </cell>
          <cell r="AW148">
            <v>0</v>
          </cell>
          <cell r="AX148">
            <v>26002.36</v>
          </cell>
          <cell r="AY148">
            <v>2</v>
          </cell>
          <cell r="AZ148">
            <v>30439.24</v>
          </cell>
          <cell r="BA148">
            <v>3</v>
          </cell>
          <cell r="BB148">
            <v>45462.53</v>
          </cell>
          <cell r="BC148">
            <v>22</v>
          </cell>
          <cell r="BD148">
            <v>42854.55</v>
          </cell>
          <cell r="BE148">
            <v>30</v>
          </cell>
          <cell r="BF148">
            <v>29766.68</v>
          </cell>
          <cell r="BG148">
            <v>40</v>
          </cell>
          <cell r="BH148">
            <v>33252.6</v>
          </cell>
          <cell r="BI148">
            <v>52</v>
          </cell>
          <cell r="BJ148">
            <v>151336.36000000002</v>
          </cell>
          <cell r="BK148">
            <v>144</v>
          </cell>
          <cell r="BL148">
            <v>2342.9499999999998</v>
          </cell>
          <cell r="BM148">
            <v>2</v>
          </cell>
          <cell r="BN148">
            <v>2683.25</v>
          </cell>
          <cell r="BO148">
            <v>0</v>
          </cell>
          <cell r="BP148">
            <v>3033.25</v>
          </cell>
          <cell r="BQ148">
            <v>0</v>
          </cell>
          <cell r="BR148">
            <v>12577.9</v>
          </cell>
          <cell r="BS148">
            <v>0</v>
          </cell>
          <cell r="BT148">
            <v>20637.349999999999</v>
          </cell>
          <cell r="BU148">
            <v>2</v>
          </cell>
          <cell r="BV148">
            <v>1259.97</v>
          </cell>
          <cell r="BW148">
            <v>0</v>
          </cell>
          <cell r="BX148">
            <v>1209.4000000000001</v>
          </cell>
          <cell r="BY148">
            <v>1</v>
          </cell>
          <cell r="BZ148">
            <v>1213.3</v>
          </cell>
          <cell r="CA148">
            <v>0</v>
          </cell>
          <cell r="CB148">
            <v>11377.66</v>
          </cell>
          <cell r="CC148">
            <v>2</v>
          </cell>
          <cell r="CD148">
            <v>15060.329999999998</v>
          </cell>
          <cell r="CE148">
            <v>3</v>
          </cell>
          <cell r="CF148">
            <v>419.99</v>
          </cell>
          <cell r="CG148">
            <v>0</v>
          </cell>
          <cell r="CH148">
            <v>536.65</v>
          </cell>
          <cell r="CI148">
            <v>0</v>
          </cell>
          <cell r="CJ148">
            <v>535.21</v>
          </cell>
          <cell r="CK148">
            <v>1</v>
          </cell>
          <cell r="CL148">
            <v>0</v>
          </cell>
          <cell r="CM148">
            <v>0</v>
          </cell>
          <cell r="CN148">
            <v>1491.85</v>
          </cell>
          <cell r="CO148">
            <v>1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419.99</v>
          </cell>
          <cell r="DA148">
            <v>0</v>
          </cell>
          <cell r="DB148">
            <v>536.65</v>
          </cell>
          <cell r="DC148">
            <v>0</v>
          </cell>
          <cell r="DD148">
            <v>606.65</v>
          </cell>
          <cell r="DE148">
            <v>0</v>
          </cell>
          <cell r="DF148">
            <v>6165.08</v>
          </cell>
          <cell r="DG148">
            <v>1</v>
          </cell>
          <cell r="DH148">
            <v>7728.369999999999</v>
          </cell>
          <cell r="DI148">
            <v>1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H148">
            <v>0</v>
          </cell>
          <cell r="EI148">
            <v>0</v>
          </cell>
        </row>
        <row r="149">
          <cell r="A149" t="str">
            <v>OctHimandhoo</v>
          </cell>
          <cell r="B149" t="str">
            <v>Oct</v>
          </cell>
          <cell r="C149" t="str">
            <v>AA.</v>
          </cell>
          <cell r="D149" t="str">
            <v>Himandhoo</v>
          </cell>
          <cell r="E149" t="str">
            <v>usage units less than billed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55751</v>
          </cell>
          <cell r="AB149">
            <v>1226</v>
          </cell>
          <cell r="AC149">
            <v>56977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0</v>
          </cell>
          <cell r="EH149">
            <v>0</v>
          </cell>
          <cell r="EI149">
            <v>0</v>
          </cell>
        </row>
        <row r="150">
          <cell r="A150" t="str">
            <v>NovHimandhoo</v>
          </cell>
          <cell r="B150" t="str">
            <v>Nov</v>
          </cell>
          <cell r="C150" t="str">
            <v>AA.</v>
          </cell>
          <cell r="D150" t="str">
            <v>Himandhoo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44852</v>
          </cell>
          <cell r="AB150">
            <v>1226</v>
          </cell>
          <cell r="AC150">
            <v>46078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H150">
            <v>0</v>
          </cell>
          <cell r="EI150">
            <v>0</v>
          </cell>
        </row>
        <row r="151">
          <cell r="A151" t="str">
            <v>DecHimandhoo</v>
          </cell>
          <cell r="B151" t="str">
            <v>Dec</v>
          </cell>
          <cell r="C151" t="str">
            <v>AA.</v>
          </cell>
          <cell r="D151" t="str">
            <v>Himandhoo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52562</v>
          </cell>
          <cell r="AB151">
            <v>1200</v>
          </cell>
          <cell r="AC151">
            <v>53762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H151">
            <v>0</v>
          </cell>
          <cell r="EI151">
            <v>0</v>
          </cell>
        </row>
        <row r="152">
          <cell r="A152" t="str">
            <v>JanHimmafushi</v>
          </cell>
          <cell r="B152" t="str">
            <v>Jan</v>
          </cell>
          <cell r="C152" t="str">
            <v>K.</v>
          </cell>
          <cell r="D152" t="str">
            <v>Himmafushi</v>
          </cell>
          <cell r="E152">
            <v>0</v>
          </cell>
          <cell r="F152">
            <v>143020</v>
          </cell>
          <cell r="G152">
            <v>310</v>
          </cell>
          <cell r="H152">
            <v>324</v>
          </cell>
          <cell r="I152">
            <v>0</v>
          </cell>
          <cell r="J152">
            <v>0</v>
          </cell>
          <cell r="K152">
            <v>324</v>
          </cell>
          <cell r="L152">
            <v>310</v>
          </cell>
          <cell r="M152">
            <v>34</v>
          </cell>
          <cell r="N152">
            <v>1</v>
          </cell>
          <cell r="O152">
            <v>0</v>
          </cell>
          <cell r="P152">
            <v>0</v>
          </cell>
          <cell r="Q152">
            <v>1</v>
          </cell>
          <cell r="R152">
            <v>0</v>
          </cell>
          <cell r="S152">
            <v>1</v>
          </cell>
          <cell r="T152">
            <v>325</v>
          </cell>
          <cell r="U152">
            <v>310</v>
          </cell>
          <cell r="V152">
            <v>35</v>
          </cell>
          <cell r="W152">
            <v>161378</v>
          </cell>
          <cell r="X152">
            <v>161378</v>
          </cell>
          <cell r="Y152">
            <v>608</v>
          </cell>
          <cell r="Z152">
            <v>161986</v>
          </cell>
          <cell r="AA152">
            <v>8858</v>
          </cell>
          <cell r="AB152">
            <v>0</v>
          </cell>
          <cell r="AC152">
            <v>8858</v>
          </cell>
          <cell r="AD152">
            <v>145</v>
          </cell>
          <cell r="AE152">
            <v>305</v>
          </cell>
          <cell r="AF152">
            <v>48333</v>
          </cell>
          <cell r="AG152">
            <v>333</v>
          </cell>
          <cell r="AH152">
            <v>2781</v>
          </cell>
          <cell r="AI152">
            <v>26</v>
          </cell>
          <cell r="AJ152">
            <v>2197</v>
          </cell>
          <cell r="AK152">
            <v>4</v>
          </cell>
          <cell r="AL152">
            <v>1940.99</v>
          </cell>
          <cell r="AM152">
            <v>2</v>
          </cell>
          <cell r="AN152">
            <v>6319.01</v>
          </cell>
          <cell r="AO152">
            <v>18</v>
          </cell>
          <cell r="AP152">
            <v>13238</v>
          </cell>
          <cell r="AQ152">
            <v>50</v>
          </cell>
          <cell r="AR152">
            <v>1086.67</v>
          </cell>
          <cell r="AS152">
            <v>1</v>
          </cell>
          <cell r="AT152">
            <v>1086.67</v>
          </cell>
          <cell r="AU152" t="str">
            <v xml:space="preserve"> -   </v>
          </cell>
          <cell r="AV152">
            <v>989.67</v>
          </cell>
          <cell r="AW152">
            <v>2</v>
          </cell>
          <cell r="AX152">
            <v>6364.99</v>
          </cell>
          <cell r="AY152">
            <v>9</v>
          </cell>
          <cell r="AZ152">
            <v>9528</v>
          </cell>
          <cell r="BA152">
            <v>12</v>
          </cell>
          <cell r="BB152">
            <v>19336.36</v>
          </cell>
          <cell r="BC152">
            <v>38</v>
          </cell>
          <cell r="BD152">
            <v>16604.66</v>
          </cell>
          <cell r="BE152">
            <v>35</v>
          </cell>
          <cell r="BF152">
            <v>12612.99</v>
          </cell>
          <cell r="BG152">
            <v>38</v>
          </cell>
          <cell r="BH152">
            <v>31278.99</v>
          </cell>
          <cell r="BI152">
            <v>110</v>
          </cell>
          <cell r="BJ152">
            <v>79833</v>
          </cell>
          <cell r="BK152">
            <v>221</v>
          </cell>
          <cell r="BL152">
            <v>686</v>
          </cell>
          <cell r="BM152">
            <v>10</v>
          </cell>
          <cell r="BN152">
            <v>600</v>
          </cell>
          <cell r="BO152" t="str">
            <v xml:space="preserve"> -   </v>
          </cell>
          <cell r="BP152">
            <v>591</v>
          </cell>
          <cell r="BQ152">
            <v>1</v>
          </cell>
          <cell r="BR152">
            <v>31263</v>
          </cell>
          <cell r="BS152">
            <v>5</v>
          </cell>
          <cell r="BT152">
            <v>33140</v>
          </cell>
          <cell r="BU152">
            <v>16</v>
          </cell>
          <cell r="BV152">
            <v>100</v>
          </cell>
          <cell r="BW152" t="str">
            <v xml:space="preserve"> -   </v>
          </cell>
          <cell r="BX152">
            <v>100</v>
          </cell>
          <cell r="BY152" t="str">
            <v xml:space="preserve"> -   </v>
          </cell>
          <cell r="BZ152">
            <v>100</v>
          </cell>
          <cell r="CA152" t="str">
            <v xml:space="preserve"> -   </v>
          </cell>
          <cell r="CB152">
            <v>1733</v>
          </cell>
          <cell r="CC152">
            <v>1</v>
          </cell>
          <cell r="CD152">
            <v>2033</v>
          </cell>
          <cell r="CE152">
            <v>1</v>
          </cell>
          <cell r="CF152">
            <v>300</v>
          </cell>
          <cell r="CG152">
            <v>2</v>
          </cell>
          <cell r="CH152">
            <v>300</v>
          </cell>
          <cell r="CI152" t="str">
            <v xml:space="preserve"> -   </v>
          </cell>
          <cell r="CJ152">
            <v>300</v>
          </cell>
          <cell r="CK152" t="str">
            <v xml:space="preserve"> -   </v>
          </cell>
          <cell r="CL152">
            <v>946</v>
          </cell>
          <cell r="CM152">
            <v>3</v>
          </cell>
          <cell r="CN152">
            <v>1846</v>
          </cell>
          <cell r="CO152">
            <v>5</v>
          </cell>
          <cell r="CP152">
            <v>100</v>
          </cell>
          <cell r="CQ152">
            <v>1</v>
          </cell>
          <cell r="CR152">
            <v>100</v>
          </cell>
          <cell r="CS152" t="str">
            <v xml:space="preserve"> -   </v>
          </cell>
          <cell r="CT152">
            <v>51</v>
          </cell>
          <cell r="CU152">
            <v>1</v>
          </cell>
          <cell r="CV152" t="str">
            <v xml:space="preserve"> -   </v>
          </cell>
          <cell r="CW152" t="str">
            <v xml:space="preserve"> -   </v>
          </cell>
          <cell r="CX152">
            <v>251</v>
          </cell>
          <cell r="CY152">
            <v>2</v>
          </cell>
          <cell r="CZ152">
            <v>193.33</v>
          </cell>
          <cell r="DA152" t="str">
            <v xml:space="preserve"> -   </v>
          </cell>
          <cell r="DB152">
            <v>193.33</v>
          </cell>
          <cell r="DC152" t="str">
            <v xml:space="preserve"> -   </v>
          </cell>
          <cell r="DD152">
            <v>193.33</v>
          </cell>
          <cell r="DE152" t="str">
            <v xml:space="preserve"> -   </v>
          </cell>
          <cell r="DF152">
            <v>732.01</v>
          </cell>
          <cell r="DG152">
            <v>2</v>
          </cell>
          <cell r="DH152">
            <v>1312</v>
          </cell>
          <cell r="DI152">
            <v>2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 t="str">
            <v xml:space="preserve"> -   </v>
          </cell>
          <cell r="DS152" t="str">
            <v xml:space="preserve"> -   </v>
          </cell>
          <cell r="DT152">
            <v>96.67</v>
          </cell>
          <cell r="DU152" t="str">
            <v xml:space="preserve"> -   </v>
          </cell>
          <cell r="DV152">
            <v>96.67</v>
          </cell>
          <cell r="DW152" t="str">
            <v xml:space="preserve"> -   </v>
          </cell>
          <cell r="DX152">
            <v>96.67</v>
          </cell>
          <cell r="DY152" t="str">
            <v xml:space="preserve"> -   </v>
          </cell>
          <cell r="DZ152">
            <v>1548.99</v>
          </cell>
          <cell r="EA152">
            <v>1</v>
          </cell>
          <cell r="EB152">
            <v>1839</v>
          </cell>
          <cell r="EC152">
            <v>1</v>
          </cell>
          <cell r="ED152">
            <v>0</v>
          </cell>
          <cell r="EE152">
            <v>0</v>
          </cell>
          <cell r="EF152">
            <v>0</v>
          </cell>
          <cell r="EH152">
            <v>0</v>
          </cell>
          <cell r="EI152">
            <v>0</v>
          </cell>
        </row>
        <row r="153">
          <cell r="A153" t="str">
            <v>FebHimmafushi</v>
          </cell>
          <cell r="B153" t="str">
            <v>Feb</v>
          </cell>
          <cell r="C153" t="str">
            <v>K.</v>
          </cell>
          <cell r="D153" t="str">
            <v>Himmafushi</v>
          </cell>
          <cell r="E153">
            <v>0</v>
          </cell>
          <cell r="F153">
            <v>140717</v>
          </cell>
          <cell r="G153">
            <v>310</v>
          </cell>
          <cell r="H153">
            <v>324</v>
          </cell>
          <cell r="I153">
            <v>0</v>
          </cell>
          <cell r="J153">
            <v>0</v>
          </cell>
          <cell r="K153">
            <v>324</v>
          </cell>
          <cell r="L153">
            <v>310</v>
          </cell>
          <cell r="M153">
            <v>14</v>
          </cell>
          <cell r="N153">
            <v>1</v>
          </cell>
          <cell r="O153">
            <v>0</v>
          </cell>
          <cell r="P153">
            <v>0</v>
          </cell>
          <cell r="Q153">
            <v>1</v>
          </cell>
          <cell r="R153">
            <v>0</v>
          </cell>
          <cell r="S153">
            <v>1</v>
          </cell>
          <cell r="T153">
            <v>325</v>
          </cell>
          <cell r="U153">
            <v>310</v>
          </cell>
          <cell r="V153">
            <v>15</v>
          </cell>
          <cell r="W153">
            <v>144755</v>
          </cell>
          <cell r="X153">
            <v>144755</v>
          </cell>
          <cell r="Y153">
            <v>533</v>
          </cell>
          <cell r="Z153">
            <v>145288</v>
          </cell>
          <cell r="AA153">
            <v>8578</v>
          </cell>
          <cell r="AB153">
            <v>0</v>
          </cell>
          <cell r="AC153">
            <v>8578</v>
          </cell>
          <cell r="AD153">
            <v>140</v>
          </cell>
          <cell r="AE153">
            <v>305</v>
          </cell>
          <cell r="AF153">
            <v>43265</v>
          </cell>
          <cell r="AG153">
            <v>268</v>
          </cell>
          <cell r="AH153">
            <v>2582</v>
          </cell>
          <cell r="AI153">
            <v>27</v>
          </cell>
          <cell r="AJ153">
            <v>1980</v>
          </cell>
          <cell r="AK153">
            <v>4</v>
          </cell>
          <cell r="AL153">
            <v>1613</v>
          </cell>
          <cell r="AM153">
            <v>4</v>
          </cell>
          <cell r="AN153">
            <v>6089</v>
          </cell>
          <cell r="AO153">
            <v>14</v>
          </cell>
          <cell r="AP153">
            <v>12264</v>
          </cell>
          <cell r="AQ153">
            <v>49</v>
          </cell>
          <cell r="AR153">
            <v>1000</v>
          </cell>
          <cell r="AS153">
            <v>4</v>
          </cell>
          <cell r="AT153">
            <v>1000</v>
          </cell>
          <cell r="AU153" t="str">
            <v xml:space="preserve"> -   </v>
          </cell>
          <cell r="AV153">
            <v>904</v>
          </cell>
          <cell r="AW153">
            <v>2</v>
          </cell>
          <cell r="AX153">
            <v>7006</v>
          </cell>
          <cell r="AY153">
            <v>8</v>
          </cell>
          <cell r="AZ153">
            <v>9910</v>
          </cell>
          <cell r="BA153">
            <v>14</v>
          </cell>
          <cell r="BB153">
            <v>19267.66</v>
          </cell>
          <cell r="BC153">
            <v>38</v>
          </cell>
          <cell r="BD153">
            <v>16561.34</v>
          </cell>
          <cell r="BE153">
            <v>41</v>
          </cell>
          <cell r="BF153">
            <v>12369</v>
          </cell>
          <cell r="BG153">
            <v>37</v>
          </cell>
          <cell r="BH153">
            <v>31373</v>
          </cell>
          <cell r="BI153">
            <v>106</v>
          </cell>
          <cell r="BJ153">
            <v>79571</v>
          </cell>
          <cell r="BK153">
            <v>222</v>
          </cell>
          <cell r="BL153">
            <v>791</v>
          </cell>
          <cell r="BM153">
            <v>7</v>
          </cell>
          <cell r="BN153">
            <v>526</v>
          </cell>
          <cell r="BO153">
            <v>2</v>
          </cell>
          <cell r="BP153">
            <v>500</v>
          </cell>
          <cell r="BQ153" t="str">
            <v xml:space="preserve"> -   </v>
          </cell>
          <cell r="BR153">
            <v>28721</v>
          </cell>
          <cell r="BS153">
            <v>5</v>
          </cell>
          <cell r="BT153">
            <v>30538</v>
          </cell>
          <cell r="BU153">
            <v>14</v>
          </cell>
          <cell r="BV153">
            <v>100</v>
          </cell>
          <cell r="BW153" t="str">
            <v xml:space="preserve"> -   </v>
          </cell>
          <cell r="BX153">
            <v>100</v>
          </cell>
          <cell r="BY153" t="str">
            <v xml:space="preserve"> -   </v>
          </cell>
          <cell r="BZ153">
            <v>100</v>
          </cell>
          <cell r="CA153" t="str">
            <v xml:space="preserve"> -   </v>
          </cell>
          <cell r="CB153">
            <v>2554</v>
          </cell>
          <cell r="CC153">
            <v>1</v>
          </cell>
          <cell r="CD153">
            <v>2854</v>
          </cell>
          <cell r="CE153">
            <v>1</v>
          </cell>
          <cell r="CF153">
            <v>300</v>
          </cell>
          <cell r="CG153">
            <v>2</v>
          </cell>
          <cell r="CH153">
            <v>300</v>
          </cell>
          <cell r="CI153" t="str">
            <v xml:space="preserve"> -   </v>
          </cell>
          <cell r="CJ153">
            <v>300</v>
          </cell>
          <cell r="CK153" t="str">
            <v xml:space="preserve"> -   </v>
          </cell>
          <cell r="CL153">
            <v>1435</v>
          </cell>
          <cell r="CM153">
            <v>3</v>
          </cell>
          <cell r="CN153">
            <v>2335</v>
          </cell>
          <cell r="CO153">
            <v>5</v>
          </cell>
          <cell r="CP153">
            <v>100</v>
          </cell>
          <cell r="CQ153">
            <v>1</v>
          </cell>
          <cell r="CR153">
            <v>100</v>
          </cell>
          <cell r="CS153" t="str">
            <v xml:space="preserve"> -   </v>
          </cell>
          <cell r="CT153">
            <v>52</v>
          </cell>
          <cell r="CU153" t="str">
            <v xml:space="preserve"> -   </v>
          </cell>
          <cell r="CV153" t="str">
            <v xml:space="preserve"> -   </v>
          </cell>
          <cell r="CW153">
            <v>1</v>
          </cell>
          <cell r="CX153">
            <v>252</v>
          </cell>
          <cell r="CY153">
            <v>2</v>
          </cell>
          <cell r="CZ153">
            <v>200</v>
          </cell>
          <cell r="DA153" t="str">
            <v xml:space="preserve"> -   </v>
          </cell>
          <cell r="DB153">
            <v>200</v>
          </cell>
          <cell r="DC153" t="str">
            <v xml:space="preserve"> -   </v>
          </cell>
          <cell r="DD153">
            <v>200</v>
          </cell>
          <cell r="DE153" t="str">
            <v xml:space="preserve"> -   </v>
          </cell>
          <cell r="DF153">
            <v>809</v>
          </cell>
          <cell r="DG153">
            <v>2</v>
          </cell>
          <cell r="DH153">
            <v>1409</v>
          </cell>
          <cell r="DI153">
            <v>2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 t="str">
            <v xml:space="preserve"> -   </v>
          </cell>
          <cell r="DS153" t="str">
            <v xml:space="preserve"> -   </v>
          </cell>
          <cell r="DT153">
            <v>100</v>
          </cell>
          <cell r="DU153" t="str">
            <v xml:space="preserve"> -   </v>
          </cell>
          <cell r="DV153">
            <v>100</v>
          </cell>
          <cell r="DW153" t="str">
            <v xml:space="preserve"> -   </v>
          </cell>
          <cell r="DX153">
            <v>100</v>
          </cell>
          <cell r="DY153" t="str">
            <v xml:space="preserve"> -   </v>
          </cell>
          <cell r="DZ153">
            <v>1284</v>
          </cell>
          <cell r="EA153">
            <v>1</v>
          </cell>
          <cell r="EB153">
            <v>1584</v>
          </cell>
          <cell r="EC153">
            <v>1</v>
          </cell>
          <cell r="ED153">
            <v>0</v>
          </cell>
          <cell r="EE153">
            <v>0</v>
          </cell>
          <cell r="EF153">
            <v>0</v>
          </cell>
          <cell r="EH153">
            <v>0</v>
          </cell>
          <cell r="EI153">
            <v>0</v>
          </cell>
        </row>
        <row r="154">
          <cell r="A154" t="str">
            <v>MarHimmafushi</v>
          </cell>
          <cell r="B154" t="str">
            <v>Mar</v>
          </cell>
          <cell r="C154" t="str">
            <v>K.</v>
          </cell>
          <cell r="D154" t="str">
            <v>Himmafushi</v>
          </cell>
          <cell r="E154">
            <v>0</v>
          </cell>
          <cell r="F154">
            <v>167658</v>
          </cell>
          <cell r="G154">
            <v>316</v>
          </cell>
          <cell r="H154">
            <v>324</v>
          </cell>
          <cell r="I154">
            <v>0</v>
          </cell>
          <cell r="J154">
            <v>0</v>
          </cell>
          <cell r="K154">
            <v>324</v>
          </cell>
          <cell r="L154">
            <v>315</v>
          </cell>
          <cell r="M154">
            <v>9</v>
          </cell>
          <cell r="N154">
            <v>1</v>
          </cell>
          <cell r="O154">
            <v>0</v>
          </cell>
          <cell r="P154">
            <v>0</v>
          </cell>
          <cell r="Q154">
            <v>1</v>
          </cell>
          <cell r="R154">
            <v>1</v>
          </cell>
          <cell r="S154">
            <v>0</v>
          </cell>
          <cell r="T154">
            <v>325</v>
          </cell>
          <cell r="U154">
            <v>316</v>
          </cell>
          <cell r="V154">
            <v>9</v>
          </cell>
          <cell r="W154">
            <v>179387</v>
          </cell>
          <cell r="X154">
            <v>179387</v>
          </cell>
          <cell r="Y154">
            <v>624</v>
          </cell>
          <cell r="Z154">
            <v>180011</v>
          </cell>
          <cell r="AA154">
            <v>8018</v>
          </cell>
          <cell r="AB154">
            <v>0</v>
          </cell>
          <cell r="AC154">
            <v>8018</v>
          </cell>
          <cell r="AD154">
            <v>165</v>
          </cell>
          <cell r="AE154">
            <v>375</v>
          </cell>
          <cell r="AF154">
            <v>53092</v>
          </cell>
          <cell r="AG154">
            <v>283</v>
          </cell>
          <cell r="AH154">
            <v>2688.26</v>
          </cell>
          <cell r="AI154">
            <v>27</v>
          </cell>
          <cell r="AJ154">
            <v>2036.28</v>
          </cell>
          <cell r="AK154">
            <v>3</v>
          </cell>
          <cell r="AL154">
            <v>1880.28</v>
          </cell>
          <cell r="AM154">
            <v>1</v>
          </cell>
          <cell r="AN154">
            <v>8048.18</v>
          </cell>
          <cell r="AO154">
            <v>18</v>
          </cell>
          <cell r="AP154">
            <v>14653</v>
          </cell>
          <cell r="AQ154">
            <v>49</v>
          </cell>
          <cell r="AR154">
            <v>1041.3</v>
          </cell>
          <cell r="AS154">
            <v>4</v>
          </cell>
          <cell r="AT154">
            <v>1033.3</v>
          </cell>
          <cell r="AU154" t="str">
            <v xml:space="preserve"> -   </v>
          </cell>
          <cell r="AV154">
            <v>914.32</v>
          </cell>
          <cell r="AW154">
            <v>2</v>
          </cell>
          <cell r="AX154">
            <v>6174.08</v>
          </cell>
          <cell r="AY154">
            <v>8</v>
          </cell>
          <cell r="AZ154">
            <v>9163</v>
          </cell>
          <cell r="BA154">
            <v>14</v>
          </cell>
          <cell r="BB154">
            <v>20792.73</v>
          </cell>
          <cell r="BC154">
            <v>37</v>
          </cell>
          <cell r="BD154">
            <v>18025.61</v>
          </cell>
          <cell r="BE154">
            <v>33</v>
          </cell>
          <cell r="BF154">
            <v>14575.52</v>
          </cell>
          <cell r="BG154">
            <v>36</v>
          </cell>
          <cell r="BH154">
            <v>44147.14</v>
          </cell>
          <cell r="BI154">
            <v>119</v>
          </cell>
          <cell r="BJ154">
            <v>97541</v>
          </cell>
          <cell r="BK154">
            <v>225</v>
          </cell>
          <cell r="BL154">
            <v>817.98</v>
          </cell>
          <cell r="BM154">
            <v>8</v>
          </cell>
          <cell r="BN154">
            <v>517.32000000000005</v>
          </cell>
          <cell r="BO154">
            <v>1</v>
          </cell>
          <cell r="BP154">
            <v>516.65</v>
          </cell>
          <cell r="BQ154" t="str">
            <v xml:space="preserve"> -   </v>
          </cell>
          <cell r="BR154">
            <v>35399.050000000003</v>
          </cell>
          <cell r="BS154">
            <v>5</v>
          </cell>
          <cell r="BT154">
            <v>37251</v>
          </cell>
          <cell r="BU154">
            <v>14</v>
          </cell>
          <cell r="BV154">
            <v>103.33</v>
          </cell>
          <cell r="BW154" t="str">
            <v xml:space="preserve"> -   </v>
          </cell>
          <cell r="BX154">
            <v>103.33</v>
          </cell>
          <cell r="BY154" t="str">
            <v xml:space="preserve"> -   </v>
          </cell>
          <cell r="BZ154">
            <v>103.33</v>
          </cell>
          <cell r="CA154" t="str">
            <v xml:space="preserve"> -   </v>
          </cell>
          <cell r="CB154">
            <v>2577.0100000000002</v>
          </cell>
          <cell r="CC154">
            <v>1</v>
          </cell>
          <cell r="CD154">
            <v>2887</v>
          </cell>
          <cell r="CE154">
            <v>1</v>
          </cell>
          <cell r="CF154">
            <v>312.99</v>
          </cell>
          <cell r="CG154">
            <v>5</v>
          </cell>
          <cell r="CH154">
            <v>309.99</v>
          </cell>
          <cell r="CI154" t="str">
            <v xml:space="preserve"> -   </v>
          </cell>
          <cell r="CJ154">
            <v>309.99</v>
          </cell>
          <cell r="CK154" t="str">
            <v xml:space="preserve"> -   </v>
          </cell>
          <cell r="CL154">
            <v>1407.03</v>
          </cell>
          <cell r="CM154">
            <v>3</v>
          </cell>
          <cell r="CN154">
            <v>2340</v>
          </cell>
          <cell r="CO154">
            <v>8</v>
          </cell>
          <cell r="CP154">
            <v>103.33</v>
          </cell>
          <cell r="CQ154">
            <v>1</v>
          </cell>
          <cell r="CR154">
            <v>103.33</v>
          </cell>
          <cell r="CS154" t="str">
            <v xml:space="preserve"> -   </v>
          </cell>
          <cell r="CT154">
            <v>103.33</v>
          </cell>
          <cell r="CU154" t="str">
            <v xml:space="preserve"> -   </v>
          </cell>
          <cell r="CV154">
            <v>30.01</v>
          </cell>
          <cell r="CW154">
            <v>1</v>
          </cell>
          <cell r="CX154">
            <v>340</v>
          </cell>
          <cell r="CY154">
            <v>2</v>
          </cell>
          <cell r="CZ154">
            <v>206.66</v>
          </cell>
          <cell r="DA154" t="str">
            <v xml:space="preserve"> -   </v>
          </cell>
          <cell r="DB154">
            <v>206.66</v>
          </cell>
          <cell r="DC154" t="str">
            <v xml:space="preserve"> -   </v>
          </cell>
          <cell r="DD154">
            <v>205.67</v>
          </cell>
          <cell r="DE154">
            <v>1</v>
          </cell>
          <cell r="DF154">
            <v>1048.01</v>
          </cell>
          <cell r="DG154">
            <v>1</v>
          </cell>
          <cell r="DH154">
            <v>1667</v>
          </cell>
          <cell r="DI154">
            <v>2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 t="str">
            <v xml:space="preserve"> -   </v>
          </cell>
          <cell r="DS154" t="str">
            <v xml:space="preserve"> -   </v>
          </cell>
          <cell r="DT154">
            <v>103.33</v>
          </cell>
          <cell r="DU154" t="str">
            <v xml:space="preserve"> -   </v>
          </cell>
          <cell r="DV154">
            <v>103.33</v>
          </cell>
          <cell r="DW154" t="str">
            <v xml:space="preserve"> -   </v>
          </cell>
          <cell r="DX154">
            <v>103.33</v>
          </cell>
          <cell r="DY154" t="str">
            <v xml:space="preserve"> -   </v>
          </cell>
          <cell r="DZ154">
            <v>1506.01</v>
          </cell>
          <cell r="EA154">
            <v>1</v>
          </cell>
          <cell r="EB154">
            <v>1816</v>
          </cell>
          <cell r="EC154">
            <v>1</v>
          </cell>
          <cell r="ED154">
            <v>0</v>
          </cell>
          <cell r="EE154">
            <v>0</v>
          </cell>
          <cell r="EF154">
            <v>0</v>
          </cell>
          <cell r="EH154">
            <v>0</v>
          </cell>
          <cell r="EI154">
            <v>0</v>
          </cell>
        </row>
        <row r="155">
          <cell r="A155" t="str">
            <v>AprHimmafushi</v>
          </cell>
          <cell r="B155" t="str">
            <v>Apr</v>
          </cell>
          <cell r="C155" t="str">
            <v>K.</v>
          </cell>
          <cell r="D155" t="str">
            <v>Himmafushi</v>
          </cell>
          <cell r="E155">
            <v>0</v>
          </cell>
          <cell r="F155">
            <v>168959</v>
          </cell>
          <cell r="G155">
            <v>321</v>
          </cell>
          <cell r="H155">
            <v>234</v>
          </cell>
          <cell r="I155">
            <v>2</v>
          </cell>
          <cell r="J155">
            <v>0</v>
          </cell>
          <cell r="K155">
            <v>236</v>
          </cell>
          <cell r="L155">
            <v>319</v>
          </cell>
          <cell r="M155">
            <v>7</v>
          </cell>
          <cell r="N155">
            <v>1</v>
          </cell>
          <cell r="O155">
            <v>0</v>
          </cell>
          <cell r="P155">
            <v>0</v>
          </cell>
          <cell r="Q155">
            <v>1</v>
          </cell>
          <cell r="R155">
            <v>2</v>
          </cell>
          <cell r="S155">
            <v>-1</v>
          </cell>
          <cell r="T155">
            <v>237</v>
          </cell>
          <cell r="U155">
            <v>321</v>
          </cell>
          <cell r="V155">
            <v>6</v>
          </cell>
          <cell r="W155">
            <v>186157</v>
          </cell>
          <cell r="X155">
            <v>186157</v>
          </cell>
          <cell r="Y155">
            <v>560</v>
          </cell>
          <cell r="Z155">
            <v>186717</v>
          </cell>
          <cell r="AA155">
            <v>8764</v>
          </cell>
          <cell r="AB155">
            <v>0</v>
          </cell>
          <cell r="AC155">
            <v>8764</v>
          </cell>
          <cell r="AD155">
            <v>175</v>
          </cell>
          <cell r="AE155">
            <v>355</v>
          </cell>
          <cell r="AF155">
            <v>54739</v>
          </cell>
          <cell r="AG155">
            <v>298</v>
          </cell>
          <cell r="AH155">
            <v>2824.33</v>
          </cell>
          <cell r="AI155">
            <v>28</v>
          </cell>
          <cell r="AJ155">
            <v>2191.33</v>
          </cell>
          <cell r="AK155">
            <v>3</v>
          </cell>
          <cell r="AL155">
            <v>2016.34</v>
          </cell>
          <cell r="AM155">
            <v>2</v>
          </cell>
          <cell r="AN155">
            <v>9018</v>
          </cell>
          <cell r="AO155">
            <v>19</v>
          </cell>
          <cell r="AP155">
            <v>16050</v>
          </cell>
          <cell r="AQ155">
            <v>52</v>
          </cell>
          <cell r="AR155">
            <v>1000</v>
          </cell>
          <cell r="AS155">
            <v>4</v>
          </cell>
          <cell r="AT155">
            <v>1000</v>
          </cell>
          <cell r="AU155">
            <v>0</v>
          </cell>
          <cell r="AV155">
            <v>895</v>
          </cell>
          <cell r="AW155">
            <v>2</v>
          </cell>
          <cell r="AX155">
            <v>6537</v>
          </cell>
          <cell r="AY155">
            <v>8</v>
          </cell>
          <cell r="AZ155">
            <v>9432</v>
          </cell>
          <cell r="BA155">
            <v>14</v>
          </cell>
          <cell r="BB155">
            <v>19630.34</v>
          </cell>
          <cell r="BC155">
            <v>43</v>
          </cell>
          <cell r="BD155">
            <v>17150.34</v>
          </cell>
          <cell r="BE155">
            <v>25</v>
          </cell>
          <cell r="BF155">
            <v>13947.33</v>
          </cell>
          <cell r="BG155">
            <v>38</v>
          </cell>
          <cell r="BH155">
            <v>44628.99</v>
          </cell>
          <cell r="BI155">
            <v>121</v>
          </cell>
          <cell r="BJ155">
            <v>95357</v>
          </cell>
          <cell r="BK155">
            <v>227</v>
          </cell>
          <cell r="BL155">
            <v>848</v>
          </cell>
          <cell r="BM155">
            <v>7</v>
          </cell>
          <cell r="BN155">
            <v>606</v>
          </cell>
          <cell r="BO155">
            <v>1</v>
          </cell>
          <cell r="BP155">
            <v>600</v>
          </cell>
          <cell r="BQ155">
            <v>0</v>
          </cell>
          <cell r="BR155">
            <v>35519</v>
          </cell>
          <cell r="BS155">
            <v>6</v>
          </cell>
          <cell r="BT155">
            <v>37573</v>
          </cell>
          <cell r="BU155">
            <v>14</v>
          </cell>
          <cell r="BV155">
            <v>100</v>
          </cell>
          <cell r="BW155">
            <v>0</v>
          </cell>
          <cell r="BX155">
            <v>100</v>
          </cell>
          <cell r="BY155">
            <v>0</v>
          </cell>
          <cell r="BZ155">
            <v>100</v>
          </cell>
          <cell r="CA155">
            <v>0</v>
          </cell>
          <cell r="CB155">
            <v>3249</v>
          </cell>
          <cell r="CC155">
            <v>1</v>
          </cell>
          <cell r="CD155">
            <v>3549</v>
          </cell>
          <cell r="CE155">
            <v>1</v>
          </cell>
          <cell r="CF155">
            <v>300</v>
          </cell>
          <cell r="CG155">
            <v>5</v>
          </cell>
          <cell r="CH155">
            <v>300</v>
          </cell>
          <cell r="CI155">
            <v>0</v>
          </cell>
          <cell r="CJ155">
            <v>300</v>
          </cell>
          <cell r="CK155">
            <v>0</v>
          </cell>
          <cell r="CL155">
            <v>1632</v>
          </cell>
          <cell r="CM155">
            <v>3</v>
          </cell>
          <cell r="CN155">
            <v>2532</v>
          </cell>
          <cell r="CO155">
            <v>8</v>
          </cell>
          <cell r="CP155">
            <v>100</v>
          </cell>
          <cell r="CQ155">
            <v>1</v>
          </cell>
          <cell r="CR155">
            <v>100</v>
          </cell>
          <cell r="CS155">
            <v>0</v>
          </cell>
          <cell r="CT155">
            <v>100</v>
          </cell>
          <cell r="CU155">
            <v>0</v>
          </cell>
          <cell r="CV155">
            <v>445</v>
          </cell>
          <cell r="CW155">
            <v>1</v>
          </cell>
          <cell r="CX155">
            <v>745</v>
          </cell>
          <cell r="CY155">
            <v>2</v>
          </cell>
          <cell r="CZ155">
            <v>200</v>
          </cell>
          <cell r="DA155">
            <v>0</v>
          </cell>
          <cell r="DB155">
            <v>200</v>
          </cell>
          <cell r="DC155">
            <v>0</v>
          </cell>
          <cell r="DD155">
            <v>200</v>
          </cell>
          <cell r="DE155">
            <v>0</v>
          </cell>
          <cell r="DF155">
            <v>970</v>
          </cell>
          <cell r="DG155">
            <v>2</v>
          </cell>
          <cell r="DH155">
            <v>1570</v>
          </cell>
          <cell r="DI155">
            <v>2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100</v>
          </cell>
          <cell r="DU155">
            <v>0</v>
          </cell>
          <cell r="DV155">
            <v>100</v>
          </cell>
          <cell r="DW155">
            <v>0</v>
          </cell>
          <cell r="DX155">
            <v>100</v>
          </cell>
          <cell r="DY155">
            <v>0</v>
          </cell>
          <cell r="DZ155">
            <v>1851</v>
          </cell>
          <cell r="EA155">
            <v>1</v>
          </cell>
          <cell r="EB155">
            <v>2151</v>
          </cell>
          <cell r="EC155">
            <v>1</v>
          </cell>
          <cell r="ED155">
            <v>0</v>
          </cell>
          <cell r="EE155">
            <v>0</v>
          </cell>
          <cell r="EF155">
            <v>0</v>
          </cell>
          <cell r="EH155">
            <v>0</v>
          </cell>
          <cell r="EI155">
            <v>0</v>
          </cell>
        </row>
        <row r="156">
          <cell r="A156" t="str">
            <v>MayHimmafushi</v>
          </cell>
          <cell r="B156" t="str">
            <v>May</v>
          </cell>
          <cell r="C156" t="str">
            <v>K.</v>
          </cell>
          <cell r="D156" t="str">
            <v>Himmafushi</v>
          </cell>
          <cell r="E156">
            <v>0</v>
          </cell>
          <cell r="F156">
            <v>152706</v>
          </cell>
          <cell r="G156">
            <v>317</v>
          </cell>
          <cell r="H156">
            <v>326</v>
          </cell>
          <cell r="I156">
            <v>2</v>
          </cell>
          <cell r="J156">
            <v>0</v>
          </cell>
          <cell r="K156">
            <v>328</v>
          </cell>
          <cell r="L156">
            <v>316</v>
          </cell>
          <cell r="M156">
            <v>12</v>
          </cell>
          <cell r="N156">
            <v>1</v>
          </cell>
          <cell r="O156">
            <v>0</v>
          </cell>
          <cell r="P156">
            <v>0</v>
          </cell>
          <cell r="Q156">
            <v>1</v>
          </cell>
          <cell r="R156">
            <v>1</v>
          </cell>
          <cell r="S156">
            <v>0</v>
          </cell>
          <cell r="T156">
            <v>329</v>
          </cell>
          <cell r="U156">
            <v>317</v>
          </cell>
          <cell r="V156">
            <v>12</v>
          </cell>
          <cell r="W156">
            <v>185588</v>
          </cell>
          <cell r="X156">
            <v>185588</v>
          </cell>
          <cell r="Y156">
            <v>10827</v>
          </cell>
          <cell r="Z156">
            <v>196415</v>
          </cell>
          <cell r="AA156">
            <v>9468</v>
          </cell>
          <cell r="AB156">
            <v>0</v>
          </cell>
          <cell r="AC156">
            <v>9468</v>
          </cell>
          <cell r="AD156">
            <v>135</v>
          </cell>
          <cell r="AE156">
            <v>370</v>
          </cell>
          <cell r="AF156">
            <v>55405</v>
          </cell>
          <cell r="AG156">
            <v>306</v>
          </cell>
          <cell r="AH156">
            <v>2729.66</v>
          </cell>
          <cell r="AI156">
            <v>27</v>
          </cell>
          <cell r="AJ156">
            <v>2023.66</v>
          </cell>
          <cell r="AK156">
            <v>2</v>
          </cell>
          <cell r="AL156">
            <v>1878.67</v>
          </cell>
          <cell r="AM156">
            <v>2</v>
          </cell>
          <cell r="AN156">
            <v>9437.01</v>
          </cell>
          <cell r="AO156">
            <v>18</v>
          </cell>
          <cell r="AP156">
            <v>16069</v>
          </cell>
          <cell r="AQ156">
            <v>49</v>
          </cell>
          <cell r="AR156">
            <v>1023.32</v>
          </cell>
          <cell r="AS156">
            <v>3</v>
          </cell>
          <cell r="AT156">
            <v>1010.66</v>
          </cell>
          <cell r="AU156">
            <v>1</v>
          </cell>
          <cell r="AV156">
            <v>796.99</v>
          </cell>
          <cell r="AW156">
            <v>3</v>
          </cell>
          <cell r="AX156">
            <v>5598.03</v>
          </cell>
          <cell r="AY156">
            <v>6</v>
          </cell>
          <cell r="AZ156">
            <v>8429</v>
          </cell>
          <cell r="BA156">
            <v>13</v>
          </cell>
          <cell r="BB156">
            <v>19428.75</v>
          </cell>
          <cell r="BC156">
            <v>46</v>
          </cell>
          <cell r="BD156">
            <v>16816.490000000002</v>
          </cell>
          <cell r="BE156">
            <v>30</v>
          </cell>
          <cell r="BF156">
            <v>13703.28</v>
          </cell>
          <cell r="BG156">
            <v>36</v>
          </cell>
          <cell r="BH156">
            <v>45214.48</v>
          </cell>
          <cell r="BI156">
            <v>123</v>
          </cell>
          <cell r="BJ156">
            <v>95163</v>
          </cell>
          <cell r="BK156">
            <v>235</v>
          </cell>
          <cell r="BL156">
            <v>525.99</v>
          </cell>
          <cell r="BM156">
            <v>4</v>
          </cell>
          <cell r="BN156">
            <v>479.99</v>
          </cell>
          <cell r="BO156">
            <v>0</v>
          </cell>
          <cell r="BP156">
            <v>479.99</v>
          </cell>
          <cell r="BQ156">
            <v>0</v>
          </cell>
          <cell r="BR156">
            <v>21981.03</v>
          </cell>
          <cell r="BS156">
            <v>5</v>
          </cell>
          <cell r="BT156">
            <v>23467.000000000004</v>
          </cell>
          <cell r="BU156">
            <v>9</v>
          </cell>
          <cell r="BV156">
            <v>103.33</v>
          </cell>
          <cell r="BW156">
            <v>0</v>
          </cell>
          <cell r="BX156">
            <v>103.33</v>
          </cell>
          <cell r="BY156">
            <v>0</v>
          </cell>
          <cell r="BZ156">
            <v>103.33</v>
          </cell>
          <cell r="CA156">
            <v>0</v>
          </cell>
          <cell r="CB156">
            <v>2583.0100000000002</v>
          </cell>
          <cell r="CC156">
            <v>1</v>
          </cell>
          <cell r="CD156">
            <v>2893</v>
          </cell>
          <cell r="CE156">
            <v>1</v>
          </cell>
          <cell r="CF156">
            <v>307.99</v>
          </cell>
          <cell r="CG156">
            <v>2</v>
          </cell>
          <cell r="CH156">
            <v>279.99</v>
          </cell>
          <cell r="CI156">
            <v>0</v>
          </cell>
          <cell r="CJ156">
            <v>279.99</v>
          </cell>
          <cell r="CK156">
            <v>0</v>
          </cell>
          <cell r="CL156">
            <v>1486.03</v>
          </cell>
          <cell r="CM156">
            <v>3</v>
          </cell>
          <cell r="CN156">
            <v>2354</v>
          </cell>
          <cell r="CO156">
            <v>5</v>
          </cell>
          <cell r="CP156">
            <v>107.33</v>
          </cell>
          <cell r="CQ156">
            <v>1</v>
          </cell>
          <cell r="CR156">
            <v>93.33</v>
          </cell>
          <cell r="CS156">
            <v>0</v>
          </cell>
          <cell r="CT156">
            <v>93.33</v>
          </cell>
          <cell r="CU156">
            <v>0</v>
          </cell>
          <cell r="CV156">
            <v>351.01</v>
          </cell>
          <cell r="CW156">
            <v>1</v>
          </cell>
          <cell r="CX156">
            <v>645</v>
          </cell>
          <cell r="CY156">
            <v>2</v>
          </cell>
          <cell r="CZ156">
            <v>206.66</v>
          </cell>
          <cell r="DA156">
            <v>0</v>
          </cell>
          <cell r="DB156">
            <v>206.66</v>
          </cell>
          <cell r="DC156">
            <v>0</v>
          </cell>
          <cell r="DD156">
            <v>206.66</v>
          </cell>
          <cell r="DE156">
            <v>0</v>
          </cell>
          <cell r="DF156">
            <v>1122.02</v>
          </cell>
          <cell r="DG156">
            <v>2</v>
          </cell>
          <cell r="DH156">
            <v>1742.0000000000002</v>
          </cell>
          <cell r="DI156">
            <v>2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100</v>
          </cell>
          <cell r="DU156">
            <v>0</v>
          </cell>
          <cell r="DV156">
            <v>100</v>
          </cell>
          <cell r="DW156">
            <v>0</v>
          </cell>
          <cell r="DX156">
            <v>100</v>
          </cell>
          <cell r="DY156">
            <v>0</v>
          </cell>
          <cell r="DZ156">
            <v>1644</v>
          </cell>
          <cell r="EA156">
            <v>1</v>
          </cell>
          <cell r="EB156">
            <v>1944</v>
          </cell>
          <cell r="EC156">
            <v>1</v>
          </cell>
          <cell r="ED156">
            <v>0</v>
          </cell>
          <cell r="EE156">
            <v>0</v>
          </cell>
          <cell r="EF156">
            <v>0</v>
          </cell>
          <cell r="EH156">
            <v>0</v>
          </cell>
          <cell r="EI156">
            <v>0</v>
          </cell>
        </row>
        <row r="157">
          <cell r="A157" t="str">
            <v>JunHimmafushi</v>
          </cell>
          <cell r="B157" t="str">
            <v>Jun</v>
          </cell>
          <cell r="C157" t="str">
            <v>K.</v>
          </cell>
          <cell r="D157" t="str">
            <v>Himmafushi</v>
          </cell>
          <cell r="E157" t="str">
            <v>usage units more than billed</v>
          </cell>
          <cell r="F157">
            <v>191951</v>
          </cell>
          <cell r="G157">
            <v>323</v>
          </cell>
          <cell r="H157">
            <v>328</v>
          </cell>
          <cell r="I157">
            <v>6</v>
          </cell>
          <cell r="J157">
            <v>0</v>
          </cell>
          <cell r="K157">
            <v>334</v>
          </cell>
          <cell r="L157">
            <v>323</v>
          </cell>
          <cell r="M157">
            <v>11</v>
          </cell>
          <cell r="N157">
            <v>1</v>
          </cell>
          <cell r="O157">
            <v>0</v>
          </cell>
          <cell r="P157">
            <v>0</v>
          </cell>
          <cell r="Q157">
            <v>1</v>
          </cell>
          <cell r="R157">
            <v>0</v>
          </cell>
          <cell r="S157">
            <v>1</v>
          </cell>
          <cell r="T157">
            <v>335</v>
          </cell>
          <cell r="U157">
            <v>323</v>
          </cell>
          <cell r="V157">
            <v>12</v>
          </cell>
          <cell r="W157">
            <v>184481</v>
          </cell>
          <cell r="X157">
            <v>184481</v>
          </cell>
          <cell r="Y157">
            <v>455</v>
          </cell>
          <cell r="Z157">
            <v>184936</v>
          </cell>
          <cell r="AA157">
            <v>9588</v>
          </cell>
          <cell r="AB157">
            <v>0</v>
          </cell>
          <cell r="AC157">
            <v>9588</v>
          </cell>
          <cell r="AD157">
            <v>160</v>
          </cell>
          <cell r="AE157">
            <v>370</v>
          </cell>
          <cell r="AF157">
            <v>55163</v>
          </cell>
          <cell r="AG157">
            <v>291</v>
          </cell>
          <cell r="AH157">
            <v>2917.36</v>
          </cell>
          <cell r="AI157">
            <v>30</v>
          </cell>
          <cell r="AJ157">
            <v>2391.6999999999998</v>
          </cell>
          <cell r="AK157">
            <v>3</v>
          </cell>
          <cell r="AL157">
            <v>2275.0300000000002</v>
          </cell>
          <cell r="AM157">
            <v>1</v>
          </cell>
          <cell r="AN157">
            <v>8230.91</v>
          </cell>
          <cell r="AO157">
            <v>21</v>
          </cell>
          <cell r="AP157">
            <v>15815.000000000002</v>
          </cell>
          <cell r="AQ157">
            <v>55</v>
          </cell>
          <cell r="AR157">
            <v>1023.32</v>
          </cell>
          <cell r="AS157">
            <v>3</v>
          </cell>
          <cell r="AT157">
            <v>973.32</v>
          </cell>
          <cell r="AU157">
            <v>1</v>
          </cell>
          <cell r="AV157">
            <v>728.35</v>
          </cell>
          <cell r="AW157">
            <v>3</v>
          </cell>
          <cell r="AX157">
            <v>5471.01</v>
          </cell>
          <cell r="AY157">
            <v>6</v>
          </cell>
          <cell r="AZ157">
            <v>8196</v>
          </cell>
          <cell r="BA157">
            <v>13</v>
          </cell>
          <cell r="BB157">
            <v>21684.05</v>
          </cell>
          <cell r="BC157">
            <v>40</v>
          </cell>
          <cell r="BD157">
            <v>18982.71</v>
          </cell>
          <cell r="BE157">
            <v>32</v>
          </cell>
          <cell r="BF157">
            <v>15460.37</v>
          </cell>
          <cell r="BG157">
            <v>34</v>
          </cell>
          <cell r="BH157">
            <v>47959.87</v>
          </cell>
          <cell r="BI157">
            <v>128</v>
          </cell>
          <cell r="BJ157">
            <v>104087</v>
          </cell>
          <cell r="BK157">
            <v>234</v>
          </cell>
          <cell r="BL157">
            <v>741</v>
          </cell>
          <cell r="BM157">
            <v>2</v>
          </cell>
          <cell r="BN157">
            <v>692</v>
          </cell>
          <cell r="BO157">
            <v>1</v>
          </cell>
          <cell r="BP157">
            <v>584</v>
          </cell>
          <cell r="BQ157">
            <v>1</v>
          </cell>
          <cell r="BR157">
            <v>53819</v>
          </cell>
          <cell r="BS157">
            <v>5</v>
          </cell>
          <cell r="BT157">
            <v>55836</v>
          </cell>
          <cell r="BU157">
            <v>9</v>
          </cell>
          <cell r="BV157">
            <v>100</v>
          </cell>
          <cell r="BW157">
            <v>0</v>
          </cell>
          <cell r="BX157">
            <v>100</v>
          </cell>
          <cell r="BY157">
            <v>0</v>
          </cell>
          <cell r="BZ157">
            <v>100</v>
          </cell>
          <cell r="CA157">
            <v>0</v>
          </cell>
          <cell r="CB157">
            <v>1777</v>
          </cell>
          <cell r="CC157">
            <v>1</v>
          </cell>
          <cell r="CD157">
            <v>2077</v>
          </cell>
          <cell r="CE157">
            <v>1</v>
          </cell>
          <cell r="CF157">
            <v>330</v>
          </cell>
          <cell r="CG157">
            <v>3</v>
          </cell>
          <cell r="CH157">
            <v>330</v>
          </cell>
          <cell r="CI157">
            <v>0</v>
          </cell>
          <cell r="CJ157">
            <v>329</v>
          </cell>
          <cell r="CK157">
            <v>1</v>
          </cell>
          <cell r="CL157">
            <v>1055</v>
          </cell>
          <cell r="CM157">
            <v>2</v>
          </cell>
          <cell r="CN157">
            <v>2044</v>
          </cell>
          <cell r="CO157">
            <v>6</v>
          </cell>
          <cell r="CP157">
            <v>110</v>
          </cell>
          <cell r="CQ157">
            <v>1</v>
          </cell>
          <cell r="CR157">
            <v>110</v>
          </cell>
          <cell r="CS157">
            <v>0</v>
          </cell>
          <cell r="CT157">
            <v>110</v>
          </cell>
          <cell r="CU157">
            <v>0</v>
          </cell>
          <cell r="CV157">
            <v>41</v>
          </cell>
          <cell r="CW157">
            <v>1</v>
          </cell>
          <cell r="CX157">
            <v>371</v>
          </cell>
          <cell r="CY157">
            <v>2</v>
          </cell>
          <cell r="CZ157">
            <v>200</v>
          </cell>
          <cell r="DA157">
            <v>0</v>
          </cell>
          <cell r="DB157">
            <v>200</v>
          </cell>
          <cell r="DC157">
            <v>0</v>
          </cell>
          <cell r="DD157">
            <v>200</v>
          </cell>
          <cell r="DE157">
            <v>0</v>
          </cell>
          <cell r="DF157">
            <v>1070</v>
          </cell>
          <cell r="DG157">
            <v>2</v>
          </cell>
          <cell r="DH157">
            <v>1670</v>
          </cell>
          <cell r="DI157">
            <v>2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103.33</v>
          </cell>
          <cell r="DU157">
            <v>0</v>
          </cell>
          <cell r="DV157">
            <v>103.33</v>
          </cell>
          <cell r="DW157">
            <v>0</v>
          </cell>
          <cell r="DX157">
            <v>103.33</v>
          </cell>
          <cell r="DY157">
            <v>0</v>
          </cell>
          <cell r="DZ157">
            <v>1545.01</v>
          </cell>
          <cell r="EA157">
            <v>1</v>
          </cell>
          <cell r="EB157">
            <v>1854.9999999999998</v>
          </cell>
          <cell r="EC157">
            <v>1</v>
          </cell>
          <cell r="ED157">
            <v>0</v>
          </cell>
          <cell r="EE157">
            <v>0</v>
          </cell>
          <cell r="EF157">
            <v>0</v>
          </cell>
          <cell r="EH157">
            <v>0</v>
          </cell>
          <cell r="EI157">
            <v>0</v>
          </cell>
        </row>
        <row r="158">
          <cell r="A158" t="str">
            <v>JulHimmafushi</v>
          </cell>
          <cell r="B158" t="str">
            <v>Jul</v>
          </cell>
          <cell r="C158" t="str">
            <v>K.</v>
          </cell>
          <cell r="D158" t="str">
            <v>Himmafushi</v>
          </cell>
          <cell r="E158">
            <v>0</v>
          </cell>
          <cell r="F158">
            <v>166465</v>
          </cell>
          <cell r="G158">
            <v>326</v>
          </cell>
          <cell r="H158">
            <v>328</v>
          </cell>
          <cell r="I158">
            <v>6</v>
          </cell>
          <cell r="J158">
            <v>0</v>
          </cell>
          <cell r="K158">
            <v>334</v>
          </cell>
          <cell r="L158">
            <v>325</v>
          </cell>
          <cell r="M158">
            <v>9</v>
          </cell>
          <cell r="N158">
            <v>1</v>
          </cell>
          <cell r="O158">
            <v>0</v>
          </cell>
          <cell r="P158">
            <v>0</v>
          </cell>
          <cell r="Q158">
            <v>1</v>
          </cell>
          <cell r="R158">
            <v>1</v>
          </cell>
          <cell r="S158">
            <v>0</v>
          </cell>
          <cell r="T158">
            <v>335</v>
          </cell>
          <cell r="U158">
            <v>326</v>
          </cell>
          <cell r="V158">
            <v>9</v>
          </cell>
          <cell r="W158">
            <v>185827</v>
          </cell>
          <cell r="X158">
            <v>182827</v>
          </cell>
          <cell r="Y158">
            <v>544</v>
          </cell>
          <cell r="Z158">
            <v>183371</v>
          </cell>
          <cell r="AA158">
            <v>166465</v>
          </cell>
          <cell r="AB158">
            <v>11113</v>
          </cell>
          <cell r="AC158">
            <v>177578</v>
          </cell>
          <cell r="AD158">
            <v>150</v>
          </cell>
          <cell r="AE158">
            <v>350</v>
          </cell>
          <cell r="AF158">
            <v>56333</v>
          </cell>
          <cell r="AG158">
            <v>333</v>
          </cell>
          <cell r="AH158">
            <v>3014.33</v>
          </cell>
          <cell r="AI158">
            <v>27</v>
          </cell>
          <cell r="AJ158">
            <v>2445.33</v>
          </cell>
          <cell r="AK158">
            <v>2</v>
          </cell>
          <cell r="AL158">
            <v>2144.3200000000002</v>
          </cell>
          <cell r="AM158">
            <v>4</v>
          </cell>
          <cell r="AN158">
            <v>8916.02</v>
          </cell>
          <cell r="AO158">
            <v>20</v>
          </cell>
          <cell r="AP158">
            <v>16520</v>
          </cell>
          <cell r="AQ158">
            <v>53</v>
          </cell>
          <cell r="AR158">
            <v>1186.6600000000001</v>
          </cell>
          <cell r="AS158">
            <v>3</v>
          </cell>
          <cell r="AT158">
            <v>1149.6600000000001</v>
          </cell>
          <cell r="AU158">
            <v>2</v>
          </cell>
          <cell r="AV158">
            <v>898.66</v>
          </cell>
          <cell r="AW158">
            <v>1</v>
          </cell>
          <cell r="AX158">
            <v>7421.02</v>
          </cell>
          <cell r="AY158">
            <v>9</v>
          </cell>
          <cell r="AZ158">
            <v>10656</v>
          </cell>
          <cell r="BA158">
            <v>15</v>
          </cell>
          <cell r="BB158">
            <v>20102.349999999999</v>
          </cell>
          <cell r="BC158">
            <v>44</v>
          </cell>
          <cell r="BD158">
            <v>17583.009999999998</v>
          </cell>
          <cell r="BE158">
            <v>31</v>
          </cell>
          <cell r="BF158">
            <v>14444.67</v>
          </cell>
          <cell r="BG158">
            <v>31</v>
          </cell>
          <cell r="BH158">
            <v>46679.97</v>
          </cell>
          <cell r="BI158">
            <v>129</v>
          </cell>
          <cell r="BJ158">
            <v>98810</v>
          </cell>
          <cell r="BK158">
            <v>235</v>
          </cell>
          <cell r="BL158">
            <v>611.66999999999996</v>
          </cell>
          <cell r="BM158">
            <v>3</v>
          </cell>
          <cell r="BN158">
            <v>596.66999999999996</v>
          </cell>
          <cell r="BO158">
            <v>0</v>
          </cell>
          <cell r="BP158">
            <v>505.67</v>
          </cell>
          <cell r="BQ158">
            <v>1</v>
          </cell>
          <cell r="BR158">
            <v>31147.99</v>
          </cell>
          <cell r="BS158">
            <v>5</v>
          </cell>
          <cell r="BT158">
            <v>32862</v>
          </cell>
          <cell r="BU158">
            <v>9</v>
          </cell>
          <cell r="BV158">
            <v>100</v>
          </cell>
          <cell r="BW158">
            <v>0</v>
          </cell>
          <cell r="BX158">
            <v>100</v>
          </cell>
          <cell r="BY158">
            <v>0</v>
          </cell>
          <cell r="BZ158">
            <v>100</v>
          </cell>
          <cell r="CA158">
            <v>0</v>
          </cell>
          <cell r="CB158">
            <v>1251</v>
          </cell>
          <cell r="CC158">
            <v>1</v>
          </cell>
          <cell r="CD158">
            <v>1551</v>
          </cell>
          <cell r="CE158">
            <v>1</v>
          </cell>
          <cell r="CF158">
            <v>300</v>
          </cell>
          <cell r="CG158">
            <v>5</v>
          </cell>
          <cell r="CH158">
            <v>300</v>
          </cell>
          <cell r="CI158">
            <v>0</v>
          </cell>
          <cell r="CJ158">
            <v>202</v>
          </cell>
          <cell r="CK158">
            <v>1</v>
          </cell>
          <cell r="CL158">
            <v>755</v>
          </cell>
          <cell r="CM158">
            <v>2</v>
          </cell>
          <cell r="CN158">
            <v>1557</v>
          </cell>
          <cell r="CO158">
            <v>8</v>
          </cell>
          <cell r="CP158">
            <v>100</v>
          </cell>
          <cell r="CQ158">
            <v>1</v>
          </cell>
          <cell r="CR158">
            <v>100</v>
          </cell>
          <cell r="CS158">
            <v>0</v>
          </cell>
          <cell r="CT158">
            <v>6</v>
          </cell>
          <cell r="CU158">
            <v>1</v>
          </cell>
          <cell r="CV158">
            <v>0</v>
          </cell>
          <cell r="CW158">
            <v>0</v>
          </cell>
          <cell r="CX158">
            <v>206</v>
          </cell>
          <cell r="CY158">
            <v>2</v>
          </cell>
          <cell r="CZ158">
            <v>200</v>
          </cell>
          <cell r="DA158">
            <v>0</v>
          </cell>
          <cell r="DB158">
            <v>200</v>
          </cell>
          <cell r="DC158">
            <v>0</v>
          </cell>
          <cell r="DD158">
            <v>200</v>
          </cell>
          <cell r="DE158">
            <v>0</v>
          </cell>
          <cell r="DF158">
            <v>1171</v>
          </cell>
          <cell r="DG158">
            <v>2</v>
          </cell>
          <cell r="DH158">
            <v>1771</v>
          </cell>
          <cell r="DI158">
            <v>2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100</v>
          </cell>
          <cell r="DU158">
            <v>0</v>
          </cell>
          <cell r="DV158">
            <v>100</v>
          </cell>
          <cell r="DW158">
            <v>0</v>
          </cell>
          <cell r="DX158">
            <v>100</v>
          </cell>
          <cell r="DY158">
            <v>0</v>
          </cell>
          <cell r="DZ158">
            <v>2232</v>
          </cell>
          <cell r="EA158">
            <v>1</v>
          </cell>
          <cell r="EB158">
            <v>2532</v>
          </cell>
          <cell r="EC158">
            <v>1</v>
          </cell>
          <cell r="ED158">
            <v>0</v>
          </cell>
          <cell r="EE158">
            <v>0</v>
          </cell>
          <cell r="EF158">
            <v>0</v>
          </cell>
          <cell r="EH158">
            <v>0</v>
          </cell>
          <cell r="EI158">
            <v>0</v>
          </cell>
        </row>
        <row r="159">
          <cell r="A159" t="str">
            <v>AugHimmafushi</v>
          </cell>
          <cell r="B159" t="str">
            <v>Aug</v>
          </cell>
          <cell r="C159" t="str">
            <v>K.</v>
          </cell>
          <cell r="D159" t="str">
            <v>Himmafushi</v>
          </cell>
          <cell r="E159">
            <v>0</v>
          </cell>
          <cell r="F159">
            <v>160529</v>
          </cell>
          <cell r="G159">
            <v>318</v>
          </cell>
          <cell r="H159">
            <v>328</v>
          </cell>
          <cell r="I159">
            <v>0</v>
          </cell>
          <cell r="J159">
            <v>0</v>
          </cell>
          <cell r="K159">
            <v>328</v>
          </cell>
          <cell r="L159">
            <v>318</v>
          </cell>
          <cell r="M159">
            <v>10</v>
          </cell>
          <cell r="N159">
            <v>1</v>
          </cell>
          <cell r="O159">
            <v>0</v>
          </cell>
          <cell r="P159">
            <v>0</v>
          </cell>
          <cell r="Q159">
            <v>1</v>
          </cell>
          <cell r="R159">
            <v>0</v>
          </cell>
          <cell r="S159">
            <v>1</v>
          </cell>
          <cell r="T159">
            <v>329</v>
          </cell>
          <cell r="U159">
            <v>318</v>
          </cell>
          <cell r="V159">
            <v>11</v>
          </cell>
          <cell r="W159">
            <v>176171</v>
          </cell>
          <cell r="X159">
            <v>176171</v>
          </cell>
          <cell r="Y159">
            <v>443</v>
          </cell>
          <cell r="Z159">
            <v>176614</v>
          </cell>
          <cell r="AA159">
            <v>160529</v>
          </cell>
          <cell r="AB159">
            <v>11714</v>
          </cell>
          <cell r="AC159">
            <v>172243</v>
          </cell>
          <cell r="AD159">
            <v>120</v>
          </cell>
          <cell r="AE159">
            <v>340</v>
          </cell>
          <cell r="AF159">
            <v>51546</v>
          </cell>
          <cell r="AG159">
            <v>256</v>
          </cell>
          <cell r="AH159">
            <v>3213.75</v>
          </cell>
          <cell r="AI159">
            <v>26</v>
          </cell>
          <cell r="AJ159">
            <v>2532.73</v>
          </cell>
          <cell r="AK159">
            <v>3</v>
          </cell>
          <cell r="AL159">
            <v>2142.6999999999998</v>
          </cell>
          <cell r="AM159">
            <v>4</v>
          </cell>
          <cell r="AN159">
            <v>8702.82</v>
          </cell>
          <cell r="AO159">
            <v>18</v>
          </cell>
          <cell r="AP159">
            <v>16592</v>
          </cell>
          <cell r="AQ159">
            <v>51</v>
          </cell>
          <cell r="AR159">
            <v>1280.69</v>
          </cell>
          <cell r="AS159">
            <v>2</v>
          </cell>
          <cell r="AT159">
            <v>1130.01</v>
          </cell>
          <cell r="AU159">
            <v>2</v>
          </cell>
          <cell r="AV159">
            <v>868.34</v>
          </cell>
          <cell r="AW159">
            <v>1</v>
          </cell>
          <cell r="AX159">
            <v>6121.96</v>
          </cell>
          <cell r="AY159">
            <v>8</v>
          </cell>
          <cell r="AZ159">
            <v>9401</v>
          </cell>
          <cell r="BA159">
            <v>13</v>
          </cell>
          <cell r="BB159">
            <v>21358.6</v>
          </cell>
          <cell r="BC159">
            <v>48</v>
          </cell>
          <cell r="BD159">
            <v>17961.38</v>
          </cell>
          <cell r="BE159">
            <v>35</v>
          </cell>
          <cell r="BF159">
            <v>14458.14</v>
          </cell>
          <cell r="BG159">
            <v>36</v>
          </cell>
          <cell r="BH159">
            <v>38580.879999999997</v>
          </cell>
          <cell r="BI159">
            <v>114</v>
          </cell>
          <cell r="BJ159">
            <v>92359</v>
          </cell>
          <cell r="BK159">
            <v>233</v>
          </cell>
          <cell r="BL159">
            <v>584.35</v>
          </cell>
          <cell r="BM159">
            <v>4</v>
          </cell>
          <cell r="BN159">
            <v>533.35</v>
          </cell>
          <cell r="BO159">
            <v>0</v>
          </cell>
          <cell r="BP159">
            <v>533.35</v>
          </cell>
          <cell r="BQ159">
            <v>0</v>
          </cell>
          <cell r="BR159">
            <v>31734.95</v>
          </cell>
          <cell r="BS159">
            <v>5</v>
          </cell>
          <cell r="BT159">
            <v>33386</v>
          </cell>
          <cell r="BU159">
            <v>9</v>
          </cell>
          <cell r="BV159">
            <v>106.67</v>
          </cell>
          <cell r="BW159">
            <v>0</v>
          </cell>
          <cell r="BX159">
            <v>106.67</v>
          </cell>
          <cell r="BY159">
            <v>0</v>
          </cell>
          <cell r="BZ159">
            <v>106.67</v>
          </cell>
          <cell r="CA159">
            <v>0</v>
          </cell>
          <cell r="CB159">
            <v>2316.9899999999998</v>
          </cell>
          <cell r="CC159">
            <v>1</v>
          </cell>
          <cell r="CD159">
            <v>2637</v>
          </cell>
          <cell r="CE159">
            <v>1</v>
          </cell>
          <cell r="CF159">
            <v>320.01</v>
          </cell>
          <cell r="CG159">
            <v>3</v>
          </cell>
          <cell r="CH159">
            <v>320.01</v>
          </cell>
          <cell r="CI159">
            <v>0</v>
          </cell>
          <cell r="CJ159">
            <v>320.01</v>
          </cell>
          <cell r="CK159">
            <v>0</v>
          </cell>
          <cell r="CL159">
            <v>1120.97</v>
          </cell>
          <cell r="CM159">
            <v>3</v>
          </cell>
          <cell r="CN159">
            <v>2081</v>
          </cell>
          <cell r="CO159">
            <v>6</v>
          </cell>
          <cell r="CP159">
            <v>179.67</v>
          </cell>
          <cell r="CQ159">
            <v>1</v>
          </cell>
          <cell r="CR159">
            <v>106.67</v>
          </cell>
          <cell r="CS159">
            <v>0</v>
          </cell>
          <cell r="CT159">
            <v>106.67</v>
          </cell>
          <cell r="CU159">
            <v>0</v>
          </cell>
          <cell r="CV159">
            <v>191.99</v>
          </cell>
          <cell r="CW159">
            <v>1</v>
          </cell>
          <cell r="CX159">
            <v>585</v>
          </cell>
          <cell r="CY159">
            <v>2</v>
          </cell>
          <cell r="CZ159">
            <v>213.34</v>
          </cell>
          <cell r="DA159">
            <v>0</v>
          </cell>
          <cell r="DB159">
            <v>213.34</v>
          </cell>
          <cell r="DC159">
            <v>0</v>
          </cell>
          <cell r="DD159">
            <v>213.34</v>
          </cell>
          <cell r="DE159">
            <v>0</v>
          </cell>
          <cell r="DF159">
            <v>988.98</v>
          </cell>
          <cell r="DG159">
            <v>2</v>
          </cell>
          <cell r="DH159">
            <v>1628.9999999999998</v>
          </cell>
          <cell r="DI159">
            <v>2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106.67</v>
          </cell>
          <cell r="DU159">
            <v>0</v>
          </cell>
          <cell r="DV159">
            <v>106.67</v>
          </cell>
          <cell r="DW159">
            <v>0</v>
          </cell>
          <cell r="DX159">
            <v>106.67</v>
          </cell>
          <cell r="DY159">
            <v>0</v>
          </cell>
          <cell r="DZ159">
            <v>1538.99</v>
          </cell>
          <cell r="EA159">
            <v>1</v>
          </cell>
          <cell r="EB159">
            <v>1859.0000000000002</v>
          </cell>
          <cell r="EC159">
            <v>1</v>
          </cell>
          <cell r="ED159">
            <v>0</v>
          </cell>
          <cell r="EE159">
            <v>0</v>
          </cell>
          <cell r="EF159">
            <v>0</v>
          </cell>
          <cell r="EH159">
            <v>0</v>
          </cell>
          <cell r="EI159">
            <v>0</v>
          </cell>
        </row>
        <row r="160">
          <cell r="A160" t="str">
            <v>SepHimmafushi</v>
          </cell>
          <cell r="B160" t="str">
            <v>Sep</v>
          </cell>
          <cell r="C160" t="str">
            <v>K.</v>
          </cell>
          <cell r="D160" t="str">
            <v>Himmafushi</v>
          </cell>
          <cell r="E160">
            <v>0</v>
          </cell>
          <cell r="F160">
            <v>155266</v>
          </cell>
          <cell r="G160">
            <v>328</v>
          </cell>
          <cell r="H160">
            <v>328</v>
          </cell>
          <cell r="I160">
            <v>0</v>
          </cell>
          <cell r="J160">
            <v>0</v>
          </cell>
          <cell r="K160">
            <v>328</v>
          </cell>
          <cell r="L160">
            <v>328</v>
          </cell>
          <cell r="M160">
            <v>0</v>
          </cell>
          <cell r="N160">
            <v>1</v>
          </cell>
          <cell r="O160">
            <v>0</v>
          </cell>
          <cell r="P160">
            <v>0</v>
          </cell>
          <cell r="Q160">
            <v>1</v>
          </cell>
          <cell r="R160">
            <v>0</v>
          </cell>
          <cell r="S160">
            <v>1</v>
          </cell>
          <cell r="T160">
            <v>329</v>
          </cell>
          <cell r="U160">
            <v>328</v>
          </cell>
          <cell r="V160">
            <v>1</v>
          </cell>
          <cell r="W160">
            <v>172118</v>
          </cell>
          <cell r="X160">
            <v>172118</v>
          </cell>
          <cell r="Y160">
            <v>438</v>
          </cell>
          <cell r="Z160">
            <v>172556</v>
          </cell>
          <cell r="AA160">
            <v>155266</v>
          </cell>
          <cell r="AB160">
            <v>12741</v>
          </cell>
          <cell r="AC160">
            <v>168007</v>
          </cell>
          <cell r="AD160">
            <v>124</v>
          </cell>
          <cell r="AE160">
            <v>380</v>
          </cell>
          <cell r="AF160">
            <v>49781</v>
          </cell>
          <cell r="AG160">
            <v>203</v>
          </cell>
          <cell r="AH160">
            <v>3212.67</v>
          </cell>
          <cell r="AI160">
            <v>28</v>
          </cell>
          <cell r="AJ160">
            <v>2662.67</v>
          </cell>
          <cell r="AK160">
            <v>3</v>
          </cell>
          <cell r="AL160">
            <v>2393.67</v>
          </cell>
          <cell r="AM160">
            <v>2</v>
          </cell>
          <cell r="AN160">
            <v>8368.99</v>
          </cell>
          <cell r="AO160">
            <v>22</v>
          </cell>
          <cell r="AP160">
            <v>16638</v>
          </cell>
          <cell r="AQ160">
            <v>55</v>
          </cell>
          <cell r="AR160">
            <v>1086.6600000000001</v>
          </cell>
          <cell r="AS160">
            <v>1</v>
          </cell>
          <cell r="AT160">
            <v>961.66</v>
          </cell>
          <cell r="AU160">
            <v>3</v>
          </cell>
          <cell r="AV160">
            <v>786.66</v>
          </cell>
          <cell r="AW160">
            <v>0</v>
          </cell>
          <cell r="AX160">
            <v>6282.02</v>
          </cell>
          <cell r="AY160">
            <v>8</v>
          </cell>
          <cell r="AZ160">
            <v>9117</v>
          </cell>
          <cell r="BA160">
            <v>12</v>
          </cell>
          <cell r="BB160">
            <v>20522.36</v>
          </cell>
          <cell r="BC160">
            <v>49</v>
          </cell>
          <cell r="BD160">
            <v>17885.68</v>
          </cell>
          <cell r="BE160">
            <v>30</v>
          </cell>
          <cell r="BF160">
            <v>14005.02</v>
          </cell>
          <cell r="BG160">
            <v>42</v>
          </cell>
          <cell r="BH160">
            <v>36807.94</v>
          </cell>
          <cell r="BI160">
            <v>117</v>
          </cell>
          <cell r="BJ160">
            <v>89221.000000000015</v>
          </cell>
          <cell r="BK160">
            <v>238</v>
          </cell>
          <cell r="BL160">
            <v>649</v>
          </cell>
          <cell r="BM160">
            <v>3</v>
          </cell>
          <cell r="BN160">
            <v>600</v>
          </cell>
          <cell r="BO160">
            <v>0</v>
          </cell>
          <cell r="BP160">
            <v>501</v>
          </cell>
          <cell r="BQ160">
            <v>1</v>
          </cell>
          <cell r="BR160">
            <v>30491</v>
          </cell>
          <cell r="BS160">
            <v>5</v>
          </cell>
          <cell r="BT160">
            <v>32241</v>
          </cell>
          <cell r="BU160">
            <v>9</v>
          </cell>
          <cell r="BV160">
            <v>100</v>
          </cell>
          <cell r="BW160">
            <v>0</v>
          </cell>
          <cell r="BX160">
            <v>100</v>
          </cell>
          <cell r="BY160">
            <v>0</v>
          </cell>
          <cell r="BZ160">
            <v>100</v>
          </cell>
          <cell r="CA160">
            <v>0</v>
          </cell>
          <cell r="CB160">
            <v>1928</v>
          </cell>
          <cell r="CC160">
            <v>1</v>
          </cell>
          <cell r="CD160">
            <v>2228</v>
          </cell>
          <cell r="CE160">
            <v>1</v>
          </cell>
          <cell r="CF160">
            <v>300</v>
          </cell>
          <cell r="CG160">
            <v>5</v>
          </cell>
          <cell r="CH160">
            <v>300</v>
          </cell>
          <cell r="CI160">
            <v>0</v>
          </cell>
          <cell r="CJ160">
            <v>257</v>
          </cell>
          <cell r="CK160">
            <v>1</v>
          </cell>
          <cell r="CL160">
            <v>807</v>
          </cell>
          <cell r="CM160">
            <v>2</v>
          </cell>
          <cell r="CN160">
            <v>1664</v>
          </cell>
          <cell r="CO160">
            <v>8</v>
          </cell>
          <cell r="CP160">
            <v>200</v>
          </cell>
          <cell r="CQ160">
            <v>0</v>
          </cell>
          <cell r="CR160">
            <v>175</v>
          </cell>
          <cell r="CS160">
            <v>1</v>
          </cell>
          <cell r="CT160">
            <v>100</v>
          </cell>
          <cell r="CU160">
            <v>0</v>
          </cell>
          <cell r="CV160">
            <v>243</v>
          </cell>
          <cell r="CW160">
            <v>1</v>
          </cell>
          <cell r="CX160">
            <v>718</v>
          </cell>
          <cell r="CY160">
            <v>2</v>
          </cell>
          <cell r="CZ160">
            <v>200</v>
          </cell>
          <cell r="DA160">
            <v>0</v>
          </cell>
          <cell r="DB160">
            <v>200</v>
          </cell>
          <cell r="DC160">
            <v>0</v>
          </cell>
          <cell r="DD160">
            <v>200</v>
          </cell>
          <cell r="DE160">
            <v>0</v>
          </cell>
          <cell r="DF160">
            <v>974</v>
          </cell>
          <cell r="DG160">
            <v>2</v>
          </cell>
          <cell r="DH160">
            <v>1574</v>
          </cell>
          <cell r="DI160">
            <v>2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100</v>
          </cell>
          <cell r="DU160">
            <v>0</v>
          </cell>
          <cell r="DV160">
            <v>100</v>
          </cell>
          <cell r="DW160">
            <v>0</v>
          </cell>
          <cell r="DX160">
            <v>100</v>
          </cell>
          <cell r="DY160">
            <v>0</v>
          </cell>
          <cell r="DZ160">
            <v>1565</v>
          </cell>
          <cell r="EA160">
            <v>1</v>
          </cell>
          <cell r="EB160">
            <v>1865</v>
          </cell>
          <cell r="EC160">
            <v>1</v>
          </cell>
          <cell r="ED160">
            <v>0</v>
          </cell>
          <cell r="EE160">
            <v>0</v>
          </cell>
          <cell r="EF160">
            <v>0</v>
          </cell>
          <cell r="EH160">
            <v>0</v>
          </cell>
          <cell r="EI160">
            <v>0</v>
          </cell>
        </row>
        <row r="161">
          <cell r="A161" t="str">
            <v>OctHimmafushi</v>
          </cell>
          <cell r="B161" t="str">
            <v>Oct</v>
          </cell>
          <cell r="C161" t="str">
            <v>K.</v>
          </cell>
          <cell r="D161" t="str">
            <v>Himmafushi</v>
          </cell>
          <cell r="E161" t="str">
            <v>usage units less than billed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36122</v>
          </cell>
          <cell r="AB161">
            <v>1301</v>
          </cell>
          <cell r="AC161">
            <v>37423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H161">
            <v>0</v>
          </cell>
          <cell r="EI161">
            <v>0</v>
          </cell>
        </row>
        <row r="162">
          <cell r="A162" t="str">
            <v>NovHimmafushi</v>
          </cell>
          <cell r="B162" t="str">
            <v>Nov</v>
          </cell>
          <cell r="C162" t="str">
            <v>K.</v>
          </cell>
          <cell r="D162" t="str">
            <v>Himmafushi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21839</v>
          </cell>
          <cell r="AB162">
            <v>1320</v>
          </cell>
          <cell r="AC162">
            <v>23159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H162">
            <v>0</v>
          </cell>
          <cell r="EI162">
            <v>0</v>
          </cell>
        </row>
        <row r="163">
          <cell r="A163" t="str">
            <v>DecHimmafushi</v>
          </cell>
          <cell r="B163" t="str">
            <v>Dec</v>
          </cell>
          <cell r="C163" t="str">
            <v>K.</v>
          </cell>
          <cell r="D163" t="str">
            <v>Himmafushi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21839</v>
          </cell>
          <cell r="AB163">
            <v>1320</v>
          </cell>
          <cell r="AC163">
            <v>23159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H163">
            <v>0</v>
          </cell>
          <cell r="EI163">
            <v>0</v>
          </cell>
        </row>
        <row r="164">
          <cell r="A164" t="str">
            <v>JanKaashidhoo</v>
          </cell>
          <cell r="B164" t="str">
            <v>Jan</v>
          </cell>
          <cell r="C164" t="str">
            <v>K.</v>
          </cell>
          <cell r="D164" t="str">
            <v>Kaashidhoo</v>
          </cell>
          <cell r="E164">
            <v>0</v>
          </cell>
          <cell r="F164">
            <v>127532</v>
          </cell>
          <cell r="G164">
            <v>488</v>
          </cell>
          <cell r="H164">
            <v>489</v>
          </cell>
          <cell r="I164">
            <v>3</v>
          </cell>
          <cell r="J164">
            <v>0</v>
          </cell>
          <cell r="K164">
            <v>492</v>
          </cell>
          <cell r="L164">
            <v>488</v>
          </cell>
          <cell r="M164">
            <v>4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492</v>
          </cell>
          <cell r="U164">
            <v>488</v>
          </cell>
          <cell r="V164">
            <v>4</v>
          </cell>
          <cell r="W164">
            <v>132330</v>
          </cell>
          <cell r="X164">
            <v>132330</v>
          </cell>
          <cell r="Y164">
            <v>4368</v>
          </cell>
          <cell r="Z164">
            <v>136698</v>
          </cell>
          <cell r="AA164">
            <v>132484</v>
          </cell>
          <cell r="AB164">
            <v>3933</v>
          </cell>
          <cell r="AC164">
            <v>136417</v>
          </cell>
          <cell r="AD164">
            <v>122</v>
          </cell>
          <cell r="AE164">
            <v>257</v>
          </cell>
          <cell r="AF164">
            <v>39265</v>
          </cell>
          <cell r="AG164">
            <v>257</v>
          </cell>
          <cell r="AH164">
            <v>3671.91</v>
          </cell>
          <cell r="AI164">
            <v>31</v>
          </cell>
          <cell r="AJ164">
            <v>2437.9499999999998</v>
          </cell>
          <cell r="AK164">
            <v>9</v>
          </cell>
          <cell r="AL164">
            <v>1780</v>
          </cell>
          <cell r="AM164">
            <v>7</v>
          </cell>
          <cell r="AN164">
            <v>2587.14</v>
          </cell>
          <cell r="AO164">
            <v>14</v>
          </cell>
          <cell r="AP164">
            <v>10477</v>
          </cell>
          <cell r="AQ164">
            <v>61</v>
          </cell>
          <cell r="AR164">
            <v>203.33</v>
          </cell>
          <cell r="AS164" t="str">
            <v xml:space="preserve"> -   </v>
          </cell>
          <cell r="AT164">
            <v>203.33</v>
          </cell>
          <cell r="AU164" t="str">
            <v xml:space="preserve"> -   </v>
          </cell>
          <cell r="AV164">
            <v>203.33</v>
          </cell>
          <cell r="AW164" t="str">
            <v xml:space="preserve"> -   </v>
          </cell>
          <cell r="AX164">
            <v>6109.01</v>
          </cell>
          <cell r="AY164">
            <v>2</v>
          </cell>
          <cell r="AZ164">
            <v>6719</v>
          </cell>
          <cell r="BA164">
            <v>2</v>
          </cell>
          <cell r="BB164">
            <v>34731.08</v>
          </cell>
          <cell r="BC164">
            <v>107</v>
          </cell>
          <cell r="BD164">
            <v>26831.24</v>
          </cell>
          <cell r="BE164">
            <v>87</v>
          </cell>
          <cell r="BF164">
            <v>15334.67</v>
          </cell>
          <cell r="BG164">
            <v>107</v>
          </cell>
          <cell r="BH164">
            <v>15744.01</v>
          </cell>
          <cell r="BI164">
            <v>103</v>
          </cell>
          <cell r="BJ164">
            <v>92641</v>
          </cell>
          <cell r="BK164">
            <v>404</v>
          </cell>
          <cell r="BL164">
            <v>1216.31</v>
          </cell>
          <cell r="BM164">
            <v>7</v>
          </cell>
          <cell r="BN164">
            <v>1013.65</v>
          </cell>
          <cell r="BO164">
            <v>1</v>
          </cell>
          <cell r="BP164">
            <v>848.99</v>
          </cell>
          <cell r="BQ164">
            <v>1</v>
          </cell>
          <cell r="BR164">
            <v>5269.05</v>
          </cell>
          <cell r="BS164">
            <v>8</v>
          </cell>
          <cell r="BT164">
            <v>8348</v>
          </cell>
          <cell r="BU164">
            <v>17</v>
          </cell>
          <cell r="BV164">
            <v>103.33</v>
          </cell>
          <cell r="BW164" t="str">
            <v xml:space="preserve"> -   </v>
          </cell>
          <cell r="BX164">
            <v>103.33</v>
          </cell>
          <cell r="BY164" t="str">
            <v xml:space="preserve"> -   </v>
          </cell>
          <cell r="BZ164">
            <v>103.33</v>
          </cell>
          <cell r="CA164" t="str">
            <v xml:space="preserve"> -   </v>
          </cell>
          <cell r="CB164">
            <v>3735.01</v>
          </cell>
          <cell r="CC164">
            <v>1</v>
          </cell>
          <cell r="CD164">
            <v>4045</v>
          </cell>
          <cell r="CE164">
            <v>1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 t="str">
            <v xml:space="preserve"> -   </v>
          </cell>
          <cell r="CO164" t="str">
            <v xml:space="preserve"> -   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 t="str">
            <v xml:space="preserve"> -   </v>
          </cell>
          <cell r="CY164" t="str">
            <v xml:space="preserve"> -   </v>
          </cell>
          <cell r="CZ164">
            <v>103.33</v>
          </cell>
          <cell r="DA164" t="str">
            <v xml:space="preserve"> -   </v>
          </cell>
          <cell r="DB164">
            <v>103.33</v>
          </cell>
          <cell r="DC164" t="str">
            <v xml:space="preserve"> -   </v>
          </cell>
          <cell r="DD164">
            <v>103.33</v>
          </cell>
          <cell r="DE164" t="str">
            <v xml:space="preserve"> -   </v>
          </cell>
          <cell r="DF164">
            <v>3962.01</v>
          </cell>
          <cell r="DG164">
            <v>1</v>
          </cell>
          <cell r="DH164">
            <v>4272</v>
          </cell>
          <cell r="DI164">
            <v>1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 t="str">
            <v xml:space="preserve"> -   </v>
          </cell>
          <cell r="DS164" t="str">
            <v xml:space="preserve"> -   </v>
          </cell>
          <cell r="DT164">
            <v>206.66</v>
          </cell>
          <cell r="DU164" t="str">
            <v xml:space="preserve"> -   </v>
          </cell>
          <cell r="DV164">
            <v>143</v>
          </cell>
          <cell r="DW164">
            <v>1</v>
          </cell>
          <cell r="DX164">
            <v>103.33</v>
          </cell>
          <cell r="DY164" t="str">
            <v xml:space="preserve"> -   </v>
          </cell>
          <cell r="DZ164">
            <v>577.01</v>
          </cell>
          <cell r="EA164">
            <v>1</v>
          </cell>
          <cell r="EB164">
            <v>1030</v>
          </cell>
          <cell r="EC164">
            <v>2</v>
          </cell>
          <cell r="ED164">
            <v>0</v>
          </cell>
          <cell r="EE164">
            <v>0</v>
          </cell>
          <cell r="EF164">
            <v>0</v>
          </cell>
          <cell r="EH164">
            <v>0</v>
          </cell>
          <cell r="EI164">
            <v>0</v>
          </cell>
        </row>
        <row r="165">
          <cell r="A165" t="str">
            <v>FebKaashidhoo</v>
          </cell>
          <cell r="B165" t="str">
            <v>Feb</v>
          </cell>
          <cell r="C165" t="str">
            <v>K.</v>
          </cell>
          <cell r="D165" t="str">
            <v>Kaashidhoo</v>
          </cell>
          <cell r="E165">
            <v>0</v>
          </cell>
          <cell r="F165">
            <v>116371</v>
          </cell>
          <cell r="G165">
            <v>491</v>
          </cell>
          <cell r="H165">
            <v>492</v>
          </cell>
          <cell r="I165">
            <v>1</v>
          </cell>
          <cell r="J165">
            <v>0</v>
          </cell>
          <cell r="K165">
            <v>493</v>
          </cell>
          <cell r="L165">
            <v>491</v>
          </cell>
          <cell r="M165">
            <v>2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493</v>
          </cell>
          <cell r="U165">
            <v>491</v>
          </cell>
          <cell r="V165">
            <v>2</v>
          </cell>
          <cell r="W165">
            <v>124910</v>
          </cell>
          <cell r="X165">
            <v>124910</v>
          </cell>
          <cell r="Y165">
            <v>3437</v>
          </cell>
          <cell r="Z165">
            <v>128347</v>
          </cell>
          <cell r="AA165">
            <v>123639</v>
          </cell>
          <cell r="AB165">
            <v>3987</v>
          </cell>
          <cell r="AC165">
            <v>127626</v>
          </cell>
          <cell r="AD165">
            <v>141</v>
          </cell>
          <cell r="AE165">
            <v>253</v>
          </cell>
          <cell r="AF165">
            <v>35986</v>
          </cell>
          <cell r="AG165">
            <v>189</v>
          </cell>
          <cell r="AH165">
            <v>3319.25</v>
          </cell>
          <cell r="AI165">
            <v>35</v>
          </cell>
          <cell r="AJ165">
            <v>2277.65</v>
          </cell>
          <cell r="AK165">
            <v>10</v>
          </cell>
          <cell r="AL165">
            <v>1448.01</v>
          </cell>
          <cell r="AM165">
            <v>7</v>
          </cell>
          <cell r="AN165">
            <v>2267.09</v>
          </cell>
          <cell r="AO165">
            <v>13</v>
          </cell>
          <cell r="AP165">
            <v>9312</v>
          </cell>
          <cell r="AQ165">
            <v>65</v>
          </cell>
          <cell r="AR165">
            <v>186.66</v>
          </cell>
          <cell r="AS165" t="str">
            <v xml:space="preserve"> -   </v>
          </cell>
          <cell r="AT165">
            <v>186.66</v>
          </cell>
          <cell r="AU165" t="str">
            <v xml:space="preserve"> -   </v>
          </cell>
          <cell r="AV165">
            <v>186.66</v>
          </cell>
          <cell r="AW165" t="str">
            <v xml:space="preserve"> -   </v>
          </cell>
          <cell r="AX165">
            <v>5623.02</v>
          </cell>
          <cell r="AY165">
            <v>2</v>
          </cell>
          <cell r="AZ165">
            <v>6183</v>
          </cell>
          <cell r="BA165">
            <v>2</v>
          </cell>
          <cell r="BB165">
            <v>31108.46</v>
          </cell>
          <cell r="BC165">
            <v>100</v>
          </cell>
          <cell r="BD165">
            <v>24461.66</v>
          </cell>
          <cell r="BE165">
            <v>102</v>
          </cell>
          <cell r="BF165">
            <v>13574.95</v>
          </cell>
          <cell r="BG165">
            <v>102</v>
          </cell>
          <cell r="BH165">
            <v>15462.93</v>
          </cell>
          <cell r="BI165">
            <v>99</v>
          </cell>
          <cell r="BJ165">
            <v>84608</v>
          </cell>
          <cell r="BK165">
            <v>403</v>
          </cell>
          <cell r="BL165">
            <v>1147.6300000000001</v>
          </cell>
          <cell r="BM165">
            <v>5</v>
          </cell>
          <cell r="BN165">
            <v>937.65</v>
          </cell>
          <cell r="BO165">
            <v>4</v>
          </cell>
          <cell r="BP165">
            <v>746.64</v>
          </cell>
          <cell r="BQ165" t="str">
            <v xml:space="preserve"> -   </v>
          </cell>
          <cell r="BR165">
            <v>4157.08</v>
          </cell>
          <cell r="BS165">
            <v>8</v>
          </cell>
          <cell r="BT165">
            <v>6989</v>
          </cell>
          <cell r="BU165">
            <v>17</v>
          </cell>
          <cell r="BV165">
            <v>93.33</v>
          </cell>
          <cell r="BW165" t="str">
            <v xml:space="preserve"> -   </v>
          </cell>
          <cell r="BX165">
            <v>93.33</v>
          </cell>
          <cell r="BY165" t="str">
            <v xml:space="preserve"> -   </v>
          </cell>
          <cell r="BZ165">
            <v>93.33</v>
          </cell>
          <cell r="CA165" t="str">
            <v xml:space="preserve"> -   </v>
          </cell>
          <cell r="CB165">
            <v>3788.01</v>
          </cell>
          <cell r="CC165">
            <v>1</v>
          </cell>
          <cell r="CD165">
            <v>4068</v>
          </cell>
          <cell r="CE165">
            <v>1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 t="str">
            <v xml:space="preserve"> -   </v>
          </cell>
          <cell r="CO165" t="str">
            <v xml:space="preserve"> -   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 t="str">
            <v xml:space="preserve"> -   </v>
          </cell>
          <cell r="CY165" t="str">
            <v xml:space="preserve"> -   </v>
          </cell>
          <cell r="CZ165">
            <v>93.33</v>
          </cell>
          <cell r="DA165" t="str">
            <v xml:space="preserve"> -   </v>
          </cell>
          <cell r="DB165">
            <v>93.33</v>
          </cell>
          <cell r="DC165" t="str">
            <v xml:space="preserve"> -   </v>
          </cell>
          <cell r="DD165">
            <v>93.33</v>
          </cell>
          <cell r="DE165" t="str">
            <v xml:space="preserve"> -   </v>
          </cell>
          <cell r="DF165">
            <v>3579.01</v>
          </cell>
          <cell r="DG165">
            <v>1</v>
          </cell>
          <cell r="DH165">
            <v>3859</v>
          </cell>
          <cell r="DI165">
            <v>1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 t="str">
            <v xml:space="preserve"> -   </v>
          </cell>
          <cell r="DS165" t="str">
            <v xml:space="preserve"> -   </v>
          </cell>
          <cell r="DT165">
            <v>186.66</v>
          </cell>
          <cell r="DU165" t="str">
            <v xml:space="preserve"> -   </v>
          </cell>
          <cell r="DV165">
            <v>140</v>
          </cell>
          <cell r="DW165">
            <v>1</v>
          </cell>
          <cell r="DX165">
            <v>93.33</v>
          </cell>
          <cell r="DY165" t="str">
            <v xml:space="preserve"> -   </v>
          </cell>
          <cell r="DZ165">
            <v>932.01</v>
          </cell>
          <cell r="EA165">
            <v>1</v>
          </cell>
          <cell r="EB165">
            <v>1352</v>
          </cell>
          <cell r="EC165">
            <v>2</v>
          </cell>
          <cell r="ED165">
            <v>0</v>
          </cell>
          <cell r="EE165">
            <v>0</v>
          </cell>
          <cell r="EF165">
            <v>0</v>
          </cell>
          <cell r="EH165">
            <v>0</v>
          </cell>
          <cell r="EI165">
            <v>0</v>
          </cell>
        </row>
        <row r="166">
          <cell r="A166" t="str">
            <v>MarKaashidhoo</v>
          </cell>
          <cell r="B166" t="str">
            <v>Mar</v>
          </cell>
          <cell r="C166" t="str">
            <v>K.</v>
          </cell>
          <cell r="D166" t="str">
            <v>Kaashidhoo</v>
          </cell>
          <cell r="E166">
            <v>0</v>
          </cell>
          <cell r="F166">
            <v>137992</v>
          </cell>
          <cell r="G166">
            <v>491</v>
          </cell>
          <cell r="H166">
            <v>493</v>
          </cell>
          <cell r="I166">
            <v>0</v>
          </cell>
          <cell r="J166">
            <v>0</v>
          </cell>
          <cell r="K166">
            <v>493</v>
          </cell>
          <cell r="L166">
            <v>490</v>
          </cell>
          <cell r="M166">
            <v>3</v>
          </cell>
          <cell r="N166">
            <v>0</v>
          </cell>
          <cell r="O166">
            <v>1</v>
          </cell>
          <cell r="P166">
            <v>0</v>
          </cell>
          <cell r="Q166">
            <v>1</v>
          </cell>
          <cell r="R166">
            <v>1</v>
          </cell>
          <cell r="S166">
            <v>0</v>
          </cell>
          <cell r="T166">
            <v>494</v>
          </cell>
          <cell r="U166">
            <v>491</v>
          </cell>
          <cell r="V166">
            <v>3</v>
          </cell>
          <cell r="W166">
            <v>146410</v>
          </cell>
          <cell r="X166">
            <v>146410</v>
          </cell>
          <cell r="Y166">
            <v>4048</v>
          </cell>
          <cell r="Z166">
            <v>150458</v>
          </cell>
          <cell r="AA166">
            <v>153293</v>
          </cell>
          <cell r="AB166">
            <v>4215</v>
          </cell>
          <cell r="AC166">
            <v>157508</v>
          </cell>
          <cell r="AD166">
            <v>125</v>
          </cell>
          <cell r="AE166">
            <v>364</v>
          </cell>
          <cell r="AF166">
            <v>42288</v>
          </cell>
          <cell r="AG166">
            <v>318</v>
          </cell>
          <cell r="AH166">
            <v>3756.59</v>
          </cell>
          <cell r="AI166">
            <v>32</v>
          </cell>
          <cell r="AJ166">
            <v>2846.29</v>
          </cell>
          <cell r="AK166">
            <v>7</v>
          </cell>
          <cell r="AL166">
            <v>2055.9899999999998</v>
          </cell>
          <cell r="AM166">
            <v>9</v>
          </cell>
          <cell r="AN166">
            <v>3064.13</v>
          </cell>
          <cell r="AO166">
            <v>15</v>
          </cell>
          <cell r="AP166">
            <v>11723</v>
          </cell>
          <cell r="AQ166">
            <v>63</v>
          </cell>
          <cell r="AR166">
            <v>206.66</v>
          </cell>
          <cell r="AS166" t="str">
            <v xml:space="preserve"> -   </v>
          </cell>
          <cell r="AT166">
            <v>206.66</v>
          </cell>
          <cell r="AU166" t="str">
            <v xml:space="preserve"> -   </v>
          </cell>
          <cell r="AV166">
            <v>206.66</v>
          </cell>
          <cell r="AW166" t="str">
            <v xml:space="preserve"> -   </v>
          </cell>
          <cell r="AX166">
            <v>6442.02</v>
          </cell>
          <cell r="AY166">
            <v>2</v>
          </cell>
          <cell r="AZ166">
            <v>7062</v>
          </cell>
          <cell r="BA166">
            <v>2</v>
          </cell>
          <cell r="BB166">
            <v>34730.46</v>
          </cell>
          <cell r="BC166">
            <v>103</v>
          </cell>
          <cell r="BD166">
            <v>28056.86</v>
          </cell>
          <cell r="BE166">
            <v>77</v>
          </cell>
          <cell r="BF166">
            <v>16367.66</v>
          </cell>
          <cell r="BG166">
            <v>118</v>
          </cell>
          <cell r="BH166">
            <v>21050.02</v>
          </cell>
          <cell r="BI166">
            <v>107</v>
          </cell>
          <cell r="BJ166">
            <v>100205</v>
          </cell>
          <cell r="BK166">
            <v>405</v>
          </cell>
          <cell r="BL166">
            <v>1273.3</v>
          </cell>
          <cell r="BM166">
            <v>6</v>
          </cell>
          <cell r="BN166">
            <v>1060.98</v>
          </cell>
          <cell r="BO166">
            <v>2</v>
          </cell>
          <cell r="BP166">
            <v>848.65</v>
          </cell>
          <cell r="BQ166">
            <v>1</v>
          </cell>
          <cell r="BR166">
            <v>4987.07</v>
          </cell>
          <cell r="BS166">
            <v>8</v>
          </cell>
          <cell r="BT166">
            <v>8170</v>
          </cell>
          <cell r="BU166">
            <v>17</v>
          </cell>
          <cell r="BV166">
            <v>103.33</v>
          </cell>
          <cell r="BW166" t="str">
            <v xml:space="preserve"> -   </v>
          </cell>
          <cell r="BX166">
            <v>103.33</v>
          </cell>
          <cell r="BY166" t="str">
            <v xml:space="preserve"> -   </v>
          </cell>
          <cell r="BZ166">
            <v>103.33</v>
          </cell>
          <cell r="CA166" t="str">
            <v xml:space="preserve"> -   </v>
          </cell>
          <cell r="CB166">
            <v>4173.01</v>
          </cell>
          <cell r="CC166">
            <v>1</v>
          </cell>
          <cell r="CD166">
            <v>4483</v>
          </cell>
          <cell r="CE166">
            <v>1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 t="str">
            <v xml:space="preserve"> -   </v>
          </cell>
          <cell r="CO166" t="str">
            <v xml:space="preserve"> -   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 t="str">
            <v xml:space="preserve"> -   </v>
          </cell>
          <cell r="CY166" t="str">
            <v xml:space="preserve"> -   </v>
          </cell>
          <cell r="CZ166">
            <v>106.67</v>
          </cell>
          <cell r="DA166" t="str">
            <v xml:space="preserve"> -   </v>
          </cell>
          <cell r="DB166">
            <v>106.67</v>
          </cell>
          <cell r="DC166" t="str">
            <v xml:space="preserve"> -   </v>
          </cell>
          <cell r="DD166">
            <v>106.67</v>
          </cell>
          <cell r="DE166" t="str">
            <v xml:space="preserve"> -   </v>
          </cell>
          <cell r="DF166">
            <v>4089.99</v>
          </cell>
          <cell r="DG166">
            <v>1</v>
          </cell>
          <cell r="DH166">
            <v>4410</v>
          </cell>
          <cell r="DI166">
            <v>1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 t="str">
            <v xml:space="preserve"> -   </v>
          </cell>
          <cell r="DS166" t="str">
            <v xml:space="preserve"> -   </v>
          </cell>
          <cell r="DT166">
            <v>200</v>
          </cell>
          <cell r="DU166" t="str">
            <v xml:space="preserve"> -   </v>
          </cell>
          <cell r="DV166">
            <v>200</v>
          </cell>
          <cell r="DW166">
            <v>1</v>
          </cell>
          <cell r="DX166">
            <v>125</v>
          </cell>
          <cell r="DY166" t="str">
            <v xml:space="preserve"> -   </v>
          </cell>
          <cell r="DZ166">
            <v>1414</v>
          </cell>
          <cell r="EA166">
            <v>1</v>
          </cell>
          <cell r="EB166">
            <v>1939</v>
          </cell>
          <cell r="EC166">
            <v>2</v>
          </cell>
          <cell r="ED166">
            <v>0</v>
          </cell>
          <cell r="EE166">
            <v>0</v>
          </cell>
          <cell r="EF166">
            <v>0</v>
          </cell>
          <cell r="EH166">
            <v>0</v>
          </cell>
          <cell r="EI166">
            <v>0</v>
          </cell>
        </row>
        <row r="167">
          <cell r="A167" t="str">
            <v>AprKaashidhoo</v>
          </cell>
          <cell r="B167" t="str">
            <v>Apr</v>
          </cell>
          <cell r="C167" t="str">
            <v>K.</v>
          </cell>
          <cell r="D167" t="str">
            <v>Kaashidhoo</v>
          </cell>
          <cell r="E167">
            <v>0</v>
          </cell>
          <cell r="F167">
            <v>140909</v>
          </cell>
          <cell r="G167">
            <v>494</v>
          </cell>
          <cell r="H167">
            <v>493</v>
          </cell>
          <cell r="I167">
            <v>3</v>
          </cell>
          <cell r="J167">
            <v>0</v>
          </cell>
          <cell r="K167">
            <v>496</v>
          </cell>
          <cell r="L167">
            <v>493</v>
          </cell>
          <cell r="M167">
            <v>3</v>
          </cell>
          <cell r="N167">
            <v>0</v>
          </cell>
          <cell r="O167">
            <v>1</v>
          </cell>
          <cell r="P167">
            <v>0</v>
          </cell>
          <cell r="Q167">
            <v>1</v>
          </cell>
          <cell r="R167">
            <v>1</v>
          </cell>
          <cell r="S167">
            <v>0</v>
          </cell>
          <cell r="T167">
            <v>497</v>
          </cell>
          <cell r="U167">
            <v>494</v>
          </cell>
          <cell r="V167">
            <v>3</v>
          </cell>
          <cell r="W167">
            <v>180850</v>
          </cell>
          <cell r="X167">
            <v>0</v>
          </cell>
          <cell r="Y167">
            <v>3913</v>
          </cell>
          <cell r="Z167">
            <v>180850</v>
          </cell>
          <cell r="AA167">
            <v>160368</v>
          </cell>
          <cell r="AB167">
            <v>4123</v>
          </cell>
          <cell r="AC167">
            <v>164491</v>
          </cell>
          <cell r="AD167">
            <v>160</v>
          </cell>
          <cell r="AE167">
            <v>294</v>
          </cell>
          <cell r="AF167">
            <v>43682</v>
          </cell>
          <cell r="AG167">
            <v>246</v>
          </cell>
          <cell r="AH167">
            <v>3614.01</v>
          </cell>
          <cell r="AI167">
            <v>34</v>
          </cell>
          <cell r="AJ167">
            <v>2590.67</v>
          </cell>
          <cell r="AK167">
            <v>10</v>
          </cell>
          <cell r="AL167">
            <v>1814.32</v>
          </cell>
          <cell r="AM167">
            <v>7</v>
          </cell>
          <cell r="AN167">
            <v>3010</v>
          </cell>
          <cell r="AO167">
            <v>14</v>
          </cell>
          <cell r="AP167">
            <v>11029</v>
          </cell>
          <cell r="AQ167">
            <v>65</v>
          </cell>
          <cell r="AR167">
            <v>206.66</v>
          </cell>
          <cell r="AS167">
            <v>0</v>
          </cell>
          <cell r="AT167">
            <v>206.66</v>
          </cell>
          <cell r="AU167">
            <v>0</v>
          </cell>
          <cell r="AV167">
            <v>206.66</v>
          </cell>
          <cell r="AW167">
            <v>0</v>
          </cell>
          <cell r="AX167">
            <v>6770.02</v>
          </cell>
          <cell r="AY167">
            <v>2</v>
          </cell>
          <cell r="AZ167">
            <v>7390</v>
          </cell>
          <cell r="BA167">
            <v>2</v>
          </cell>
          <cell r="BB167">
            <v>33686.019999999997</v>
          </cell>
          <cell r="BC167">
            <v>101</v>
          </cell>
          <cell r="BD167">
            <v>27380.66</v>
          </cell>
          <cell r="BE167">
            <v>76</v>
          </cell>
          <cell r="BF167">
            <v>16847.36</v>
          </cell>
          <cell r="BG167">
            <v>108</v>
          </cell>
          <cell r="BH167">
            <v>25377.96</v>
          </cell>
          <cell r="BI167">
            <v>121</v>
          </cell>
          <cell r="BJ167">
            <v>103292</v>
          </cell>
          <cell r="BK167">
            <v>406</v>
          </cell>
          <cell r="BL167">
            <v>1215.67</v>
          </cell>
          <cell r="BM167">
            <v>7</v>
          </cell>
          <cell r="BN167">
            <v>973.67</v>
          </cell>
          <cell r="BO167">
            <v>1</v>
          </cell>
          <cell r="BP167">
            <v>823.67</v>
          </cell>
          <cell r="BQ167">
            <v>1</v>
          </cell>
          <cell r="BR167">
            <v>5636.99</v>
          </cell>
          <cell r="BS167">
            <v>8</v>
          </cell>
          <cell r="BT167">
            <v>8650</v>
          </cell>
          <cell r="BU167">
            <v>17</v>
          </cell>
          <cell r="BV167">
            <v>100</v>
          </cell>
          <cell r="BW167">
            <v>0</v>
          </cell>
          <cell r="BX167">
            <v>100</v>
          </cell>
          <cell r="BY167">
            <v>0</v>
          </cell>
          <cell r="BZ167">
            <v>100</v>
          </cell>
          <cell r="CA167">
            <v>0</v>
          </cell>
          <cell r="CB167">
            <v>4524</v>
          </cell>
          <cell r="CC167">
            <v>1</v>
          </cell>
          <cell r="CD167">
            <v>4824</v>
          </cell>
          <cell r="CE167">
            <v>1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96.67</v>
          </cell>
          <cell r="DA167">
            <v>0</v>
          </cell>
          <cell r="DB167">
            <v>96.67</v>
          </cell>
          <cell r="DC167">
            <v>0</v>
          </cell>
          <cell r="DD167">
            <v>96.67</v>
          </cell>
          <cell r="DE167">
            <v>0</v>
          </cell>
          <cell r="DF167">
            <v>3706.99</v>
          </cell>
          <cell r="DG167">
            <v>1</v>
          </cell>
          <cell r="DH167">
            <v>3997</v>
          </cell>
          <cell r="DI167">
            <v>1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203.33</v>
          </cell>
          <cell r="DU167">
            <v>0</v>
          </cell>
          <cell r="DV167">
            <v>203.33</v>
          </cell>
          <cell r="DW167">
            <v>0</v>
          </cell>
          <cell r="DX167">
            <v>120.34</v>
          </cell>
          <cell r="DY167">
            <v>1</v>
          </cell>
          <cell r="DZ167">
            <v>1200</v>
          </cell>
          <cell r="EA167">
            <v>1</v>
          </cell>
          <cell r="EB167">
            <v>1726.9999999999998</v>
          </cell>
          <cell r="EC167">
            <v>2</v>
          </cell>
          <cell r="ED167">
            <v>0</v>
          </cell>
          <cell r="EE167">
            <v>0</v>
          </cell>
          <cell r="EF167">
            <v>0</v>
          </cell>
          <cell r="EH167">
            <v>0</v>
          </cell>
          <cell r="EI167">
            <v>0</v>
          </cell>
        </row>
        <row r="168">
          <cell r="A168" t="str">
            <v>MayKaashidhoo</v>
          </cell>
          <cell r="B168" t="str">
            <v>May</v>
          </cell>
          <cell r="C168" t="str">
            <v>K.</v>
          </cell>
          <cell r="D168" t="str">
            <v>Kaashidhoo</v>
          </cell>
          <cell r="E168">
            <v>0</v>
          </cell>
          <cell r="F168">
            <v>139620</v>
          </cell>
          <cell r="G168">
            <v>492</v>
          </cell>
          <cell r="H168">
            <v>496</v>
          </cell>
          <cell r="I168">
            <v>3</v>
          </cell>
          <cell r="J168">
            <v>2</v>
          </cell>
          <cell r="K168">
            <v>497</v>
          </cell>
          <cell r="L168">
            <v>491</v>
          </cell>
          <cell r="M168">
            <v>6</v>
          </cell>
          <cell r="N168">
            <v>0</v>
          </cell>
          <cell r="O168">
            <v>1</v>
          </cell>
          <cell r="P168">
            <v>1</v>
          </cell>
          <cell r="Q168">
            <v>0</v>
          </cell>
          <cell r="R168">
            <v>1</v>
          </cell>
          <cell r="S168">
            <v>0</v>
          </cell>
          <cell r="T168">
            <v>497</v>
          </cell>
          <cell r="U168">
            <v>492</v>
          </cell>
          <cell r="V168">
            <v>6</v>
          </cell>
          <cell r="W168">
            <v>147420</v>
          </cell>
          <cell r="X168">
            <v>0</v>
          </cell>
          <cell r="Y168">
            <v>3806</v>
          </cell>
          <cell r="Z168">
            <v>147420</v>
          </cell>
          <cell r="AA168">
            <v>151301</v>
          </cell>
          <cell r="AB168">
            <v>3628</v>
          </cell>
          <cell r="AC168">
            <v>154929</v>
          </cell>
          <cell r="AD168">
            <v>130</v>
          </cell>
          <cell r="AE168">
            <v>281</v>
          </cell>
          <cell r="AF168">
            <v>43178</v>
          </cell>
          <cell r="AG168">
            <v>282</v>
          </cell>
          <cell r="AH168">
            <v>3862.27</v>
          </cell>
          <cell r="AI168">
            <v>36</v>
          </cell>
          <cell r="AJ168">
            <v>2629.95</v>
          </cell>
          <cell r="AK168">
            <v>10</v>
          </cell>
          <cell r="AL168">
            <v>1815.67</v>
          </cell>
          <cell r="AM168">
            <v>6</v>
          </cell>
          <cell r="AN168">
            <v>3050.11</v>
          </cell>
          <cell r="AO168">
            <v>15</v>
          </cell>
          <cell r="AP168">
            <v>11358</v>
          </cell>
          <cell r="AQ168">
            <v>67</v>
          </cell>
          <cell r="AR168">
            <v>200</v>
          </cell>
          <cell r="AS168">
            <v>0</v>
          </cell>
          <cell r="AT168">
            <v>200</v>
          </cell>
          <cell r="AU168">
            <v>0</v>
          </cell>
          <cell r="AV168">
            <v>200</v>
          </cell>
          <cell r="AW168">
            <v>0</v>
          </cell>
          <cell r="AX168">
            <v>6122</v>
          </cell>
          <cell r="AY168">
            <v>2</v>
          </cell>
          <cell r="AZ168">
            <v>6722</v>
          </cell>
          <cell r="BA168">
            <v>2</v>
          </cell>
          <cell r="BB168">
            <v>34486.78</v>
          </cell>
          <cell r="BC168">
            <v>103</v>
          </cell>
          <cell r="BD168">
            <v>27376.84</v>
          </cell>
          <cell r="BE168">
            <v>74</v>
          </cell>
          <cell r="BF168">
            <v>16885.330000000002</v>
          </cell>
          <cell r="BG168">
            <v>111</v>
          </cell>
          <cell r="BH168">
            <v>23109.05</v>
          </cell>
          <cell r="BI168">
            <v>113</v>
          </cell>
          <cell r="BJ168">
            <v>101858</v>
          </cell>
          <cell r="BK168">
            <v>401</v>
          </cell>
          <cell r="BL168">
            <v>1288.6400000000001</v>
          </cell>
          <cell r="BM168">
            <v>8</v>
          </cell>
          <cell r="BN168">
            <v>1005.98</v>
          </cell>
          <cell r="BO168">
            <v>1</v>
          </cell>
          <cell r="BP168">
            <v>867.32</v>
          </cell>
          <cell r="BQ168">
            <v>1</v>
          </cell>
          <cell r="BR168">
            <v>5757.06</v>
          </cell>
          <cell r="BS168">
            <v>8</v>
          </cell>
          <cell r="BT168">
            <v>8919</v>
          </cell>
          <cell r="BU168">
            <v>18</v>
          </cell>
          <cell r="BV168">
            <v>103.33</v>
          </cell>
          <cell r="BW168">
            <v>0</v>
          </cell>
          <cell r="BX168">
            <v>103.33</v>
          </cell>
          <cell r="BY168">
            <v>0</v>
          </cell>
          <cell r="BZ168">
            <v>103.33</v>
          </cell>
          <cell r="CA168">
            <v>0</v>
          </cell>
          <cell r="CB168">
            <v>4537.01</v>
          </cell>
          <cell r="CC168">
            <v>1</v>
          </cell>
          <cell r="CD168">
            <v>4847</v>
          </cell>
          <cell r="CE168">
            <v>1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103.33</v>
          </cell>
          <cell r="DA168">
            <v>0</v>
          </cell>
          <cell r="DB168">
            <v>103.33</v>
          </cell>
          <cell r="DC168">
            <v>0</v>
          </cell>
          <cell r="DD168">
            <v>103.33</v>
          </cell>
          <cell r="DE168">
            <v>0</v>
          </cell>
          <cell r="DF168">
            <v>3963.01</v>
          </cell>
          <cell r="DG168">
            <v>1</v>
          </cell>
          <cell r="DH168">
            <v>4273</v>
          </cell>
          <cell r="DI168">
            <v>1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206.66</v>
          </cell>
          <cell r="DU168">
            <v>0</v>
          </cell>
          <cell r="DV168">
            <v>206.66</v>
          </cell>
          <cell r="DW168">
            <v>0</v>
          </cell>
          <cell r="DX168">
            <v>135.66999999999999</v>
          </cell>
          <cell r="DY168">
            <v>1</v>
          </cell>
          <cell r="DZ168">
            <v>1094.01</v>
          </cell>
          <cell r="EA168">
            <v>1</v>
          </cell>
          <cell r="EB168">
            <v>1643.0000000000002</v>
          </cell>
          <cell r="EC168">
            <v>2</v>
          </cell>
          <cell r="ED168">
            <v>0</v>
          </cell>
          <cell r="EE168">
            <v>0</v>
          </cell>
          <cell r="EF168">
            <v>0</v>
          </cell>
          <cell r="EH168">
            <v>0</v>
          </cell>
          <cell r="EI168">
            <v>0</v>
          </cell>
        </row>
        <row r="169">
          <cell r="A169" t="str">
            <v>JunKaashidhoo</v>
          </cell>
          <cell r="B169" t="str">
            <v>Jun</v>
          </cell>
          <cell r="C169" t="str">
            <v>K.</v>
          </cell>
          <cell r="D169" t="str">
            <v>Kaashidhoo</v>
          </cell>
          <cell r="E169">
            <v>0</v>
          </cell>
          <cell r="F169">
            <v>141121</v>
          </cell>
          <cell r="G169">
            <v>494</v>
          </cell>
          <cell r="H169">
            <v>497</v>
          </cell>
          <cell r="I169">
            <v>3</v>
          </cell>
          <cell r="J169">
            <v>0</v>
          </cell>
          <cell r="K169">
            <v>500</v>
          </cell>
          <cell r="L169">
            <v>494</v>
          </cell>
          <cell r="M169">
            <v>5</v>
          </cell>
          <cell r="N169">
            <v>0</v>
          </cell>
          <cell r="O169">
            <v>1</v>
          </cell>
          <cell r="P169">
            <v>0</v>
          </cell>
          <cell r="Q169">
            <v>1</v>
          </cell>
          <cell r="R169">
            <v>0</v>
          </cell>
          <cell r="S169">
            <v>1</v>
          </cell>
          <cell r="T169">
            <v>501</v>
          </cell>
          <cell r="U169">
            <v>494</v>
          </cell>
          <cell r="V169">
            <v>6</v>
          </cell>
          <cell r="W169">
            <v>150030</v>
          </cell>
          <cell r="X169">
            <v>150030</v>
          </cell>
          <cell r="Y169">
            <v>4474</v>
          </cell>
          <cell r="Z169">
            <v>154504</v>
          </cell>
          <cell r="AA169">
            <v>152147</v>
          </cell>
          <cell r="AB169">
            <v>3626</v>
          </cell>
          <cell r="AC169">
            <v>155773</v>
          </cell>
          <cell r="AD169">
            <v>146</v>
          </cell>
          <cell r="AE169">
            <v>280</v>
          </cell>
          <cell r="AF169">
            <v>42161</v>
          </cell>
          <cell r="AG169">
            <v>237</v>
          </cell>
          <cell r="AH169">
            <v>3452.67</v>
          </cell>
          <cell r="AI169">
            <v>37</v>
          </cell>
          <cell r="AJ169">
            <v>2353.31</v>
          </cell>
          <cell r="AK169">
            <v>8</v>
          </cell>
          <cell r="AL169">
            <v>1757</v>
          </cell>
          <cell r="AM169">
            <v>6</v>
          </cell>
          <cell r="AN169">
            <v>3356.02</v>
          </cell>
          <cell r="AO169">
            <v>14</v>
          </cell>
          <cell r="AP169">
            <v>10919</v>
          </cell>
          <cell r="AQ169">
            <v>65</v>
          </cell>
          <cell r="AR169">
            <v>206.66</v>
          </cell>
          <cell r="AS169">
            <v>0</v>
          </cell>
          <cell r="AT169">
            <v>206.66</v>
          </cell>
          <cell r="AU169">
            <v>0</v>
          </cell>
          <cell r="AV169">
            <v>206.66</v>
          </cell>
          <cell r="AW169">
            <v>0</v>
          </cell>
          <cell r="AX169">
            <v>6685.02</v>
          </cell>
          <cell r="AY169">
            <v>2</v>
          </cell>
          <cell r="AZ169">
            <v>7305</v>
          </cell>
          <cell r="BA169">
            <v>2</v>
          </cell>
          <cell r="BB169">
            <v>34679.96</v>
          </cell>
          <cell r="BC169">
            <v>97</v>
          </cell>
          <cell r="BD169">
            <v>27734</v>
          </cell>
          <cell r="BE169">
            <v>75</v>
          </cell>
          <cell r="BF169">
            <v>17603.04</v>
          </cell>
          <cell r="BG169">
            <v>116</v>
          </cell>
          <cell r="BH169">
            <v>22842</v>
          </cell>
          <cell r="BI169">
            <v>117</v>
          </cell>
          <cell r="BJ169">
            <v>102859</v>
          </cell>
          <cell r="BK169">
            <v>405</v>
          </cell>
          <cell r="BL169">
            <v>1307</v>
          </cell>
          <cell r="BM169">
            <v>7</v>
          </cell>
          <cell r="BN169">
            <v>1014</v>
          </cell>
          <cell r="BO169">
            <v>1</v>
          </cell>
          <cell r="BP169">
            <v>830</v>
          </cell>
          <cell r="BQ169">
            <v>3</v>
          </cell>
          <cell r="BR169">
            <v>6098</v>
          </cell>
          <cell r="BS169">
            <v>7</v>
          </cell>
          <cell r="BT169">
            <v>9249</v>
          </cell>
          <cell r="BU169">
            <v>18</v>
          </cell>
          <cell r="BV169">
            <v>100</v>
          </cell>
          <cell r="BW169">
            <v>0</v>
          </cell>
          <cell r="BX169">
            <v>100</v>
          </cell>
          <cell r="BY169">
            <v>0</v>
          </cell>
          <cell r="BZ169">
            <v>100</v>
          </cell>
          <cell r="CA169">
            <v>0</v>
          </cell>
          <cell r="CB169">
            <v>4221</v>
          </cell>
          <cell r="CC169">
            <v>1</v>
          </cell>
          <cell r="CD169">
            <v>4521</v>
          </cell>
          <cell r="CE169">
            <v>1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103.33</v>
          </cell>
          <cell r="DA169">
            <v>0</v>
          </cell>
          <cell r="DB169">
            <v>103.33</v>
          </cell>
          <cell r="DC169">
            <v>0</v>
          </cell>
          <cell r="DD169">
            <v>103.33</v>
          </cell>
          <cell r="DE169">
            <v>0</v>
          </cell>
          <cell r="DF169">
            <v>3963.01</v>
          </cell>
          <cell r="DG169">
            <v>1</v>
          </cell>
          <cell r="DH169">
            <v>4273</v>
          </cell>
          <cell r="DI169">
            <v>1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206.66</v>
          </cell>
          <cell r="DU169">
            <v>0</v>
          </cell>
          <cell r="DV169">
            <v>206.66</v>
          </cell>
          <cell r="DW169">
            <v>0</v>
          </cell>
          <cell r="DX169">
            <v>206.66</v>
          </cell>
          <cell r="DY169">
            <v>0</v>
          </cell>
          <cell r="DZ169">
            <v>1375.02</v>
          </cell>
          <cell r="EA169">
            <v>2</v>
          </cell>
          <cell r="EB169">
            <v>1995.0000000000002</v>
          </cell>
          <cell r="EC169">
            <v>2</v>
          </cell>
          <cell r="ED169">
            <v>0</v>
          </cell>
          <cell r="EE169">
            <v>0</v>
          </cell>
          <cell r="EF169">
            <v>0</v>
          </cell>
          <cell r="EH169">
            <v>0</v>
          </cell>
          <cell r="EI169">
            <v>0</v>
          </cell>
        </row>
        <row r="170">
          <cell r="A170" t="str">
            <v>JulKaashidhoo</v>
          </cell>
          <cell r="B170" t="str">
            <v>Jul</v>
          </cell>
          <cell r="C170" t="str">
            <v>K.</v>
          </cell>
          <cell r="D170" t="str">
            <v>Kaashidhoo</v>
          </cell>
          <cell r="E170">
            <v>0</v>
          </cell>
          <cell r="F170">
            <v>145617</v>
          </cell>
          <cell r="G170">
            <v>497</v>
          </cell>
          <cell r="H170">
            <v>499</v>
          </cell>
          <cell r="I170">
            <v>0</v>
          </cell>
          <cell r="J170">
            <v>0</v>
          </cell>
          <cell r="K170">
            <v>499</v>
          </cell>
          <cell r="L170">
            <v>496</v>
          </cell>
          <cell r="M170">
            <v>3</v>
          </cell>
          <cell r="N170">
            <v>1</v>
          </cell>
          <cell r="O170">
            <v>0</v>
          </cell>
          <cell r="P170">
            <v>0</v>
          </cell>
          <cell r="Q170">
            <v>1</v>
          </cell>
          <cell r="R170">
            <v>1</v>
          </cell>
          <cell r="S170">
            <v>0</v>
          </cell>
          <cell r="T170">
            <v>500</v>
          </cell>
          <cell r="U170">
            <v>497</v>
          </cell>
          <cell r="V170">
            <v>3</v>
          </cell>
          <cell r="W170">
            <v>154030</v>
          </cell>
          <cell r="X170">
            <v>154030</v>
          </cell>
          <cell r="Y170">
            <v>4383</v>
          </cell>
          <cell r="Z170">
            <v>158413</v>
          </cell>
          <cell r="AA170">
            <v>63807</v>
          </cell>
          <cell r="AB170">
            <v>2464</v>
          </cell>
          <cell r="AC170">
            <v>66271</v>
          </cell>
          <cell r="AD170">
            <v>100</v>
          </cell>
          <cell r="AE170">
            <v>282</v>
          </cell>
          <cell r="AF170">
            <v>44970</v>
          </cell>
          <cell r="AG170">
            <v>272</v>
          </cell>
          <cell r="AH170">
            <v>3425.94</v>
          </cell>
          <cell r="AI170">
            <v>39</v>
          </cell>
          <cell r="AJ170">
            <v>2312.98</v>
          </cell>
          <cell r="AK170">
            <v>8</v>
          </cell>
          <cell r="AL170">
            <v>1699.99</v>
          </cell>
          <cell r="AM170">
            <v>5</v>
          </cell>
          <cell r="AN170">
            <v>3453.09</v>
          </cell>
          <cell r="AO170">
            <v>14</v>
          </cell>
          <cell r="AP170">
            <v>10892</v>
          </cell>
          <cell r="AQ170">
            <v>66</v>
          </cell>
          <cell r="AR170">
            <v>206.66</v>
          </cell>
          <cell r="AS170">
            <v>0</v>
          </cell>
          <cell r="AT170">
            <v>206.66</v>
          </cell>
          <cell r="AU170">
            <v>0</v>
          </cell>
          <cell r="AV170">
            <v>206.66</v>
          </cell>
          <cell r="AW170">
            <v>0</v>
          </cell>
          <cell r="AX170">
            <v>6309.02</v>
          </cell>
          <cell r="AY170">
            <v>2</v>
          </cell>
          <cell r="AZ170">
            <v>6929</v>
          </cell>
          <cell r="BA170">
            <v>2</v>
          </cell>
          <cell r="BB170">
            <v>35383.129999999997</v>
          </cell>
          <cell r="BC170">
            <v>90</v>
          </cell>
          <cell r="BD170">
            <v>28970.85</v>
          </cell>
          <cell r="BE170">
            <v>79</v>
          </cell>
          <cell r="BF170">
            <v>19141.91</v>
          </cell>
          <cell r="BG170">
            <v>108</v>
          </cell>
          <cell r="BH170">
            <v>24243.11</v>
          </cell>
          <cell r="BI170">
            <v>130</v>
          </cell>
          <cell r="BJ170">
            <v>107739</v>
          </cell>
          <cell r="BK170">
            <v>407</v>
          </cell>
          <cell r="BL170">
            <v>1318.3</v>
          </cell>
          <cell r="BM170">
            <v>6</v>
          </cell>
          <cell r="BN170">
            <v>1033.32</v>
          </cell>
          <cell r="BO170">
            <v>3</v>
          </cell>
          <cell r="BP170">
            <v>815.33</v>
          </cell>
          <cell r="BQ170">
            <v>2</v>
          </cell>
          <cell r="BR170">
            <v>6024.05</v>
          </cell>
          <cell r="BS170">
            <v>7</v>
          </cell>
          <cell r="BT170">
            <v>9191</v>
          </cell>
          <cell r="BU170">
            <v>18</v>
          </cell>
          <cell r="BV170">
            <v>103.33</v>
          </cell>
          <cell r="BW170">
            <v>0</v>
          </cell>
          <cell r="BX170">
            <v>103.33</v>
          </cell>
          <cell r="BY170">
            <v>0</v>
          </cell>
          <cell r="BZ170">
            <v>103.33</v>
          </cell>
          <cell r="CA170">
            <v>0</v>
          </cell>
          <cell r="CB170">
            <v>4485.01</v>
          </cell>
          <cell r="CC170">
            <v>1</v>
          </cell>
          <cell r="CD170">
            <v>4795</v>
          </cell>
          <cell r="CE170">
            <v>1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100</v>
          </cell>
          <cell r="DA170">
            <v>0</v>
          </cell>
          <cell r="DB170">
            <v>100</v>
          </cell>
          <cell r="DC170">
            <v>0</v>
          </cell>
          <cell r="DD170">
            <v>100</v>
          </cell>
          <cell r="DE170">
            <v>0</v>
          </cell>
          <cell r="DF170">
            <v>3835</v>
          </cell>
          <cell r="DG170">
            <v>1</v>
          </cell>
          <cell r="DH170">
            <v>4135</v>
          </cell>
          <cell r="DI170">
            <v>1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200</v>
          </cell>
          <cell r="DU170">
            <v>0</v>
          </cell>
          <cell r="DV170">
            <v>200</v>
          </cell>
          <cell r="DW170">
            <v>0</v>
          </cell>
          <cell r="DX170">
            <v>200</v>
          </cell>
          <cell r="DY170">
            <v>0</v>
          </cell>
          <cell r="DZ170">
            <v>1336</v>
          </cell>
          <cell r="EA170">
            <v>2</v>
          </cell>
          <cell r="EB170">
            <v>1936</v>
          </cell>
          <cell r="EC170">
            <v>2</v>
          </cell>
          <cell r="ED170">
            <v>0</v>
          </cell>
          <cell r="EE170">
            <v>0</v>
          </cell>
          <cell r="EF170">
            <v>0</v>
          </cell>
          <cell r="EH170">
            <v>0</v>
          </cell>
          <cell r="EI170">
            <v>0</v>
          </cell>
        </row>
        <row r="171">
          <cell r="A171" t="str">
            <v>AugKaashidhoo</v>
          </cell>
          <cell r="B171" t="str">
            <v>Aug</v>
          </cell>
          <cell r="C171" t="str">
            <v>K.</v>
          </cell>
          <cell r="D171" t="str">
            <v>Kaashidhoo</v>
          </cell>
          <cell r="E171">
            <v>0</v>
          </cell>
          <cell r="F171">
            <v>138289</v>
          </cell>
          <cell r="G171">
            <v>502</v>
          </cell>
          <cell r="H171">
            <v>499</v>
          </cell>
          <cell r="I171">
            <v>3</v>
          </cell>
          <cell r="J171">
            <v>0</v>
          </cell>
          <cell r="K171">
            <v>502</v>
          </cell>
          <cell r="L171">
            <v>501</v>
          </cell>
          <cell r="M171">
            <v>1</v>
          </cell>
          <cell r="N171">
            <v>1</v>
          </cell>
          <cell r="O171">
            <v>0</v>
          </cell>
          <cell r="P171">
            <v>1</v>
          </cell>
          <cell r="Q171">
            <v>0</v>
          </cell>
          <cell r="R171">
            <v>1</v>
          </cell>
          <cell r="S171">
            <v>0</v>
          </cell>
          <cell r="T171">
            <v>502</v>
          </cell>
          <cell r="U171">
            <v>502</v>
          </cell>
          <cell r="V171">
            <v>1</v>
          </cell>
          <cell r="W171">
            <v>144820</v>
          </cell>
          <cell r="X171">
            <v>144820</v>
          </cell>
          <cell r="Y171">
            <v>4058</v>
          </cell>
          <cell r="Z171">
            <v>148878</v>
          </cell>
          <cell r="AA171">
            <v>66524</v>
          </cell>
          <cell r="AB171">
            <v>2055</v>
          </cell>
          <cell r="AC171">
            <v>68579</v>
          </cell>
          <cell r="AD171">
            <v>145</v>
          </cell>
          <cell r="AE171">
            <v>264</v>
          </cell>
          <cell r="AF171">
            <v>43166</v>
          </cell>
          <cell r="AG171">
            <v>263</v>
          </cell>
          <cell r="AH171">
            <v>3443.92</v>
          </cell>
          <cell r="AI171">
            <v>40</v>
          </cell>
          <cell r="AJ171">
            <v>2400.3000000000002</v>
          </cell>
          <cell r="AK171">
            <v>7</v>
          </cell>
          <cell r="AL171">
            <v>1774.67</v>
          </cell>
          <cell r="AM171">
            <v>6</v>
          </cell>
          <cell r="AN171">
            <v>3600.11</v>
          </cell>
          <cell r="AO171">
            <v>14</v>
          </cell>
          <cell r="AP171">
            <v>11219.000000000002</v>
          </cell>
          <cell r="AQ171">
            <v>67</v>
          </cell>
          <cell r="AR171">
            <v>200</v>
          </cell>
          <cell r="AS171">
            <v>0</v>
          </cell>
          <cell r="AT171">
            <v>200</v>
          </cell>
          <cell r="AU171">
            <v>0</v>
          </cell>
          <cell r="AV171">
            <v>200</v>
          </cell>
          <cell r="AW171">
            <v>0</v>
          </cell>
          <cell r="AX171">
            <v>6635</v>
          </cell>
          <cell r="AY171">
            <v>2</v>
          </cell>
          <cell r="AZ171">
            <v>7235</v>
          </cell>
          <cell r="BA171">
            <v>2</v>
          </cell>
          <cell r="BB171">
            <v>35217.46</v>
          </cell>
          <cell r="BC171">
            <v>100</v>
          </cell>
          <cell r="BD171">
            <v>27472.240000000002</v>
          </cell>
          <cell r="BE171">
            <v>98</v>
          </cell>
          <cell r="BF171">
            <v>15965.32</v>
          </cell>
          <cell r="BG171">
            <v>109</v>
          </cell>
          <cell r="BH171">
            <v>19455.98</v>
          </cell>
          <cell r="BI171">
            <v>103</v>
          </cell>
          <cell r="BJ171">
            <v>98111</v>
          </cell>
          <cell r="BK171">
            <v>410</v>
          </cell>
          <cell r="BL171">
            <v>1388.97</v>
          </cell>
          <cell r="BM171">
            <v>8</v>
          </cell>
          <cell r="BN171">
            <v>1099.6500000000001</v>
          </cell>
          <cell r="BO171">
            <v>2</v>
          </cell>
          <cell r="BP171">
            <v>756.32</v>
          </cell>
          <cell r="BQ171">
            <v>2</v>
          </cell>
          <cell r="BR171">
            <v>6140.06</v>
          </cell>
          <cell r="BS171">
            <v>7</v>
          </cell>
          <cell r="BT171">
            <v>9385</v>
          </cell>
          <cell r="BU171">
            <v>19</v>
          </cell>
          <cell r="BV171">
            <v>103.33</v>
          </cell>
          <cell r="BW171">
            <v>0</v>
          </cell>
          <cell r="BX171">
            <v>103.33</v>
          </cell>
          <cell r="BY171">
            <v>0</v>
          </cell>
          <cell r="BZ171">
            <v>103.33</v>
          </cell>
          <cell r="CA171">
            <v>0</v>
          </cell>
          <cell r="CB171">
            <v>5433.01</v>
          </cell>
          <cell r="CC171">
            <v>1</v>
          </cell>
          <cell r="CD171">
            <v>5743</v>
          </cell>
          <cell r="CE171">
            <v>1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103.33</v>
          </cell>
          <cell r="DA171">
            <v>0</v>
          </cell>
          <cell r="DB171">
            <v>103.33</v>
          </cell>
          <cell r="DC171">
            <v>0</v>
          </cell>
          <cell r="DD171">
            <v>103.33</v>
          </cell>
          <cell r="DE171">
            <v>0</v>
          </cell>
          <cell r="DF171">
            <v>4031.01</v>
          </cell>
          <cell r="DG171">
            <v>1</v>
          </cell>
          <cell r="DH171">
            <v>4341</v>
          </cell>
          <cell r="DI171">
            <v>1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206.66</v>
          </cell>
          <cell r="DU171">
            <v>0</v>
          </cell>
          <cell r="DV171">
            <v>206.66</v>
          </cell>
          <cell r="DW171">
            <v>0</v>
          </cell>
          <cell r="DX171">
            <v>206.66</v>
          </cell>
          <cell r="DY171">
            <v>0</v>
          </cell>
          <cell r="DZ171">
            <v>1635.02</v>
          </cell>
          <cell r="EA171">
            <v>2</v>
          </cell>
          <cell r="EB171">
            <v>2255</v>
          </cell>
          <cell r="EC171">
            <v>2</v>
          </cell>
          <cell r="ED171">
            <v>0</v>
          </cell>
          <cell r="EE171">
            <v>0</v>
          </cell>
          <cell r="EF171">
            <v>0</v>
          </cell>
          <cell r="EH171">
            <v>0</v>
          </cell>
          <cell r="EI171">
            <v>0</v>
          </cell>
        </row>
        <row r="172">
          <cell r="A172" t="str">
            <v>SepKaashidhoo</v>
          </cell>
          <cell r="B172" t="str">
            <v>Sep</v>
          </cell>
          <cell r="C172" t="str">
            <v>K.</v>
          </cell>
          <cell r="D172" t="str">
            <v>Kaashidhoo</v>
          </cell>
          <cell r="E172">
            <v>0</v>
          </cell>
          <cell r="F172">
            <v>132625</v>
          </cell>
          <cell r="G172">
            <v>501</v>
          </cell>
          <cell r="H172">
            <v>502</v>
          </cell>
          <cell r="I172">
            <v>1</v>
          </cell>
          <cell r="J172">
            <v>0</v>
          </cell>
          <cell r="K172">
            <v>503</v>
          </cell>
          <cell r="L172">
            <v>500</v>
          </cell>
          <cell r="M172">
            <v>3</v>
          </cell>
          <cell r="N172">
            <v>0</v>
          </cell>
          <cell r="O172">
            <v>1</v>
          </cell>
          <cell r="P172">
            <v>1</v>
          </cell>
          <cell r="Q172">
            <v>0</v>
          </cell>
          <cell r="R172">
            <v>1</v>
          </cell>
          <cell r="S172">
            <v>0</v>
          </cell>
          <cell r="T172">
            <v>503</v>
          </cell>
          <cell r="U172">
            <v>501</v>
          </cell>
          <cell r="V172">
            <v>3</v>
          </cell>
          <cell r="W172">
            <v>137360</v>
          </cell>
          <cell r="X172">
            <v>137360</v>
          </cell>
          <cell r="Y172">
            <v>2958</v>
          </cell>
          <cell r="Z172">
            <v>140318</v>
          </cell>
          <cell r="AA172">
            <v>63003.67</v>
          </cell>
          <cell r="AB172">
            <v>2196</v>
          </cell>
          <cell r="AC172">
            <v>65199.67</v>
          </cell>
          <cell r="AD172">
            <v>141</v>
          </cell>
          <cell r="AE172">
            <v>281</v>
          </cell>
          <cell r="AF172">
            <v>40656</v>
          </cell>
          <cell r="AG172">
            <v>322</v>
          </cell>
          <cell r="AH172">
            <v>3932.67</v>
          </cell>
          <cell r="AI172">
            <v>41</v>
          </cell>
          <cell r="AJ172">
            <v>2561.33</v>
          </cell>
          <cell r="AK172">
            <v>9</v>
          </cell>
          <cell r="AL172">
            <v>1883</v>
          </cell>
          <cell r="AM172">
            <v>5</v>
          </cell>
          <cell r="AN172">
            <v>3492</v>
          </cell>
          <cell r="AO172">
            <v>16</v>
          </cell>
          <cell r="AP172">
            <v>11869</v>
          </cell>
          <cell r="AQ172">
            <v>71</v>
          </cell>
          <cell r="AR172">
            <v>200</v>
          </cell>
          <cell r="AS172">
            <v>0</v>
          </cell>
          <cell r="AT172">
            <v>200</v>
          </cell>
          <cell r="AU172">
            <v>0</v>
          </cell>
          <cell r="AV172">
            <v>200</v>
          </cell>
          <cell r="AW172">
            <v>0</v>
          </cell>
          <cell r="AX172">
            <v>6830</v>
          </cell>
          <cell r="AY172">
            <v>2</v>
          </cell>
          <cell r="AZ172">
            <v>7430</v>
          </cell>
          <cell r="BA172">
            <v>2</v>
          </cell>
          <cell r="BB172">
            <v>33724.69</v>
          </cell>
          <cell r="BC172">
            <v>101</v>
          </cell>
          <cell r="BD172">
            <v>26323.65</v>
          </cell>
          <cell r="BE172">
            <v>84</v>
          </cell>
          <cell r="BF172">
            <v>15858.65</v>
          </cell>
          <cell r="BG172">
            <v>108</v>
          </cell>
          <cell r="BH172">
            <v>18347.009999999998</v>
          </cell>
          <cell r="BI172">
            <v>112</v>
          </cell>
          <cell r="BJ172">
            <v>94254</v>
          </cell>
          <cell r="BK172">
            <v>405</v>
          </cell>
          <cell r="BL172">
            <v>1256</v>
          </cell>
          <cell r="BM172">
            <v>8</v>
          </cell>
          <cell r="BN172">
            <v>962</v>
          </cell>
          <cell r="BO172">
            <v>2</v>
          </cell>
          <cell r="BP172">
            <v>806</v>
          </cell>
          <cell r="BQ172">
            <v>1</v>
          </cell>
          <cell r="BR172">
            <v>5382</v>
          </cell>
          <cell r="BS172">
            <v>8</v>
          </cell>
          <cell r="BT172">
            <v>8406</v>
          </cell>
          <cell r="BU172">
            <v>19</v>
          </cell>
          <cell r="BV172">
            <v>103.33</v>
          </cell>
          <cell r="BW172">
            <v>0</v>
          </cell>
          <cell r="BX172">
            <v>103.33</v>
          </cell>
          <cell r="BY172">
            <v>0</v>
          </cell>
          <cell r="BZ172">
            <v>103.33</v>
          </cell>
          <cell r="CA172">
            <v>0</v>
          </cell>
          <cell r="CB172">
            <v>4148.01</v>
          </cell>
          <cell r="CC172">
            <v>1</v>
          </cell>
          <cell r="CD172">
            <v>4458</v>
          </cell>
          <cell r="CE172">
            <v>1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100</v>
          </cell>
          <cell r="DA172">
            <v>0</v>
          </cell>
          <cell r="DB172">
            <v>100</v>
          </cell>
          <cell r="DC172">
            <v>0</v>
          </cell>
          <cell r="DD172">
            <v>100</v>
          </cell>
          <cell r="DE172">
            <v>0</v>
          </cell>
          <cell r="DF172">
            <v>3901</v>
          </cell>
          <cell r="DG172">
            <v>1</v>
          </cell>
          <cell r="DH172">
            <v>4201</v>
          </cell>
          <cell r="DI172">
            <v>1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196.67</v>
          </cell>
          <cell r="DU172">
            <v>0</v>
          </cell>
          <cell r="DV172">
            <v>196.67</v>
          </cell>
          <cell r="DW172">
            <v>0</v>
          </cell>
          <cell r="DX172">
            <v>196.67</v>
          </cell>
          <cell r="DY172">
            <v>0</v>
          </cell>
          <cell r="DZ172">
            <v>1416.99</v>
          </cell>
          <cell r="EA172">
            <v>2</v>
          </cell>
          <cell r="EB172">
            <v>2007.0000000000002</v>
          </cell>
          <cell r="EC172">
            <v>2</v>
          </cell>
          <cell r="ED172">
            <v>0</v>
          </cell>
          <cell r="EE172">
            <v>0</v>
          </cell>
          <cell r="EF172">
            <v>0</v>
          </cell>
          <cell r="EH172">
            <v>0</v>
          </cell>
          <cell r="EI172">
            <v>0</v>
          </cell>
        </row>
        <row r="173">
          <cell r="A173" t="str">
            <v>OctKaashidhoo</v>
          </cell>
          <cell r="B173" t="str">
            <v>Oct</v>
          </cell>
          <cell r="C173" t="str">
            <v>K.</v>
          </cell>
          <cell r="D173" t="str">
            <v>Kaashidhoo</v>
          </cell>
          <cell r="E173">
            <v>0</v>
          </cell>
          <cell r="F173">
            <v>137699</v>
          </cell>
          <cell r="G173">
            <v>506</v>
          </cell>
          <cell r="H173">
            <v>503</v>
          </cell>
          <cell r="I173">
            <v>7</v>
          </cell>
          <cell r="J173">
            <v>0</v>
          </cell>
          <cell r="K173">
            <v>510</v>
          </cell>
          <cell r="L173">
            <v>506</v>
          </cell>
          <cell r="M173">
            <v>4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510</v>
          </cell>
          <cell r="U173">
            <v>506</v>
          </cell>
          <cell r="V173">
            <v>4</v>
          </cell>
          <cell r="W173">
            <v>145819</v>
          </cell>
          <cell r="X173">
            <v>145819</v>
          </cell>
          <cell r="Y173">
            <v>3185</v>
          </cell>
          <cell r="Z173">
            <v>149004</v>
          </cell>
          <cell r="AA173">
            <v>137699</v>
          </cell>
          <cell r="AB173">
            <v>5349</v>
          </cell>
          <cell r="AC173">
            <v>143048</v>
          </cell>
          <cell r="AD173">
            <v>150</v>
          </cell>
          <cell r="AE173">
            <v>279</v>
          </cell>
          <cell r="AF173">
            <v>43296</v>
          </cell>
          <cell r="AG173">
            <v>345</v>
          </cell>
          <cell r="AH173">
            <v>4072.25</v>
          </cell>
          <cell r="AI173">
            <v>41</v>
          </cell>
          <cell r="AJ173">
            <v>2833.95</v>
          </cell>
          <cell r="AK173">
            <v>7</v>
          </cell>
          <cell r="AL173">
            <v>2082.67</v>
          </cell>
          <cell r="AM173">
            <v>7</v>
          </cell>
          <cell r="AN173">
            <v>3618.13</v>
          </cell>
          <cell r="AO173">
            <v>17</v>
          </cell>
          <cell r="AP173">
            <v>12607</v>
          </cell>
          <cell r="AQ173">
            <v>72</v>
          </cell>
          <cell r="AR173">
            <v>206.66</v>
          </cell>
          <cell r="AS173">
            <v>0</v>
          </cell>
          <cell r="AT173">
            <v>206.66</v>
          </cell>
          <cell r="AU173">
            <v>0</v>
          </cell>
          <cell r="AV173">
            <v>206.66</v>
          </cell>
          <cell r="AW173">
            <v>0</v>
          </cell>
          <cell r="AX173">
            <v>6307.02</v>
          </cell>
          <cell r="AY173">
            <v>2</v>
          </cell>
          <cell r="AZ173">
            <v>6927</v>
          </cell>
          <cell r="BA173">
            <v>2</v>
          </cell>
          <cell r="BB173">
            <v>35287.379999999997</v>
          </cell>
          <cell r="BC173">
            <v>98</v>
          </cell>
          <cell r="BD173">
            <v>27909.599999999999</v>
          </cell>
          <cell r="BE173">
            <v>94</v>
          </cell>
          <cell r="BF173">
            <v>16293.98</v>
          </cell>
          <cell r="BG173">
            <v>109</v>
          </cell>
          <cell r="BH173">
            <v>19166.04</v>
          </cell>
          <cell r="BI173">
            <v>108</v>
          </cell>
          <cell r="BJ173">
            <v>98656.999999999985</v>
          </cell>
          <cell r="BK173">
            <v>409</v>
          </cell>
          <cell r="BL173">
            <v>1287.6400000000001</v>
          </cell>
          <cell r="BM173">
            <v>8</v>
          </cell>
          <cell r="BN173">
            <v>1028.98</v>
          </cell>
          <cell r="BO173">
            <v>2</v>
          </cell>
          <cell r="BP173">
            <v>874.32</v>
          </cell>
          <cell r="BQ173">
            <v>1</v>
          </cell>
          <cell r="BR173">
            <v>7778.06</v>
          </cell>
          <cell r="BS173">
            <v>8</v>
          </cell>
          <cell r="BT173">
            <v>10969</v>
          </cell>
          <cell r="BU173">
            <v>19</v>
          </cell>
          <cell r="BV173">
            <v>100</v>
          </cell>
          <cell r="BW173">
            <v>0</v>
          </cell>
          <cell r="BX173">
            <v>100</v>
          </cell>
          <cell r="BY173">
            <v>0</v>
          </cell>
          <cell r="BZ173">
            <v>100</v>
          </cell>
          <cell r="CA173">
            <v>0</v>
          </cell>
          <cell r="CB173">
            <v>1774</v>
          </cell>
          <cell r="CC173">
            <v>1</v>
          </cell>
          <cell r="CD173">
            <v>2074</v>
          </cell>
          <cell r="CE173">
            <v>1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103.33</v>
          </cell>
          <cell r="DA173">
            <v>0</v>
          </cell>
          <cell r="DB173">
            <v>103.33</v>
          </cell>
          <cell r="DC173">
            <v>0</v>
          </cell>
          <cell r="DD173">
            <v>103.33</v>
          </cell>
          <cell r="DE173">
            <v>0</v>
          </cell>
          <cell r="DF173">
            <v>4031.01</v>
          </cell>
          <cell r="DG173">
            <v>1</v>
          </cell>
          <cell r="DH173">
            <v>4341</v>
          </cell>
          <cell r="DI173">
            <v>1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206.66</v>
          </cell>
          <cell r="DU173">
            <v>0</v>
          </cell>
          <cell r="DV173">
            <v>206.66</v>
          </cell>
          <cell r="DW173">
            <v>0</v>
          </cell>
          <cell r="DX173">
            <v>206.66</v>
          </cell>
          <cell r="DY173">
            <v>0</v>
          </cell>
          <cell r="DZ173">
            <v>1504.02</v>
          </cell>
          <cell r="EA173">
            <v>2</v>
          </cell>
          <cell r="EB173">
            <v>2124</v>
          </cell>
          <cell r="EC173">
            <v>2</v>
          </cell>
          <cell r="ED173">
            <v>0</v>
          </cell>
          <cell r="EE173">
            <v>0</v>
          </cell>
          <cell r="EF173">
            <v>0</v>
          </cell>
          <cell r="EH173">
            <v>0</v>
          </cell>
          <cell r="EI173">
            <v>0</v>
          </cell>
        </row>
        <row r="174">
          <cell r="A174" t="str">
            <v>NovKaashidhoo</v>
          </cell>
          <cell r="B174" t="str">
            <v>Nov</v>
          </cell>
          <cell r="C174" t="str">
            <v>K.</v>
          </cell>
          <cell r="D174" t="str">
            <v>Kaashidhoo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82494</v>
          </cell>
          <cell r="AB174">
            <v>1633</v>
          </cell>
          <cell r="AC174">
            <v>84127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H174">
            <v>0</v>
          </cell>
          <cell r="EI174">
            <v>0</v>
          </cell>
        </row>
        <row r="175">
          <cell r="A175" t="str">
            <v>DecKaashidhoo</v>
          </cell>
          <cell r="B175" t="str">
            <v>Dec</v>
          </cell>
          <cell r="C175" t="str">
            <v>K.</v>
          </cell>
          <cell r="D175" t="str">
            <v>Kaashidhoo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81188</v>
          </cell>
          <cell r="AB175">
            <v>1430</v>
          </cell>
          <cell r="AC175">
            <v>82618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H175">
            <v>0</v>
          </cell>
          <cell r="EI175">
            <v>0</v>
          </cell>
        </row>
        <row r="176">
          <cell r="A176" t="str">
            <v>JanKeyodhoo</v>
          </cell>
          <cell r="B176" t="str">
            <v>Jan</v>
          </cell>
          <cell r="C176" t="str">
            <v>V.</v>
          </cell>
          <cell r="D176" t="str">
            <v>Keyodhoo</v>
          </cell>
          <cell r="E176">
            <v>0</v>
          </cell>
          <cell r="F176">
            <v>38228</v>
          </cell>
          <cell r="G176">
            <v>196</v>
          </cell>
          <cell r="H176">
            <v>196</v>
          </cell>
          <cell r="I176">
            <v>1</v>
          </cell>
          <cell r="J176">
            <v>0</v>
          </cell>
          <cell r="K176">
            <v>197</v>
          </cell>
          <cell r="L176">
            <v>192</v>
          </cell>
          <cell r="M176">
            <v>5</v>
          </cell>
          <cell r="N176">
            <v>2</v>
          </cell>
          <cell r="O176">
            <v>4</v>
          </cell>
          <cell r="P176">
            <v>2</v>
          </cell>
          <cell r="Q176">
            <v>4</v>
          </cell>
          <cell r="R176">
            <v>4</v>
          </cell>
          <cell r="S176">
            <v>0</v>
          </cell>
          <cell r="T176">
            <v>201</v>
          </cell>
          <cell r="U176">
            <v>196</v>
          </cell>
          <cell r="V176">
            <v>5</v>
          </cell>
          <cell r="W176">
            <v>24056</v>
          </cell>
          <cell r="X176">
            <v>42570</v>
          </cell>
          <cell r="Y176">
            <v>0</v>
          </cell>
          <cell r="Z176">
            <v>42569.95</v>
          </cell>
          <cell r="AA176">
            <v>36072</v>
          </cell>
          <cell r="AB176">
            <v>3054</v>
          </cell>
          <cell r="AC176">
            <v>39126</v>
          </cell>
          <cell r="AD176">
            <v>34</v>
          </cell>
          <cell r="AE176">
            <v>95</v>
          </cell>
          <cell r="AF176">
            <v>12802</v>
          </cell>
          <cell r="AG176">
            <v>25</v>
          </cell>
          <cell r="AH176">
            <v>2354</v>
          </cell>
          <cell r="AI176">
            <v>37</v>
          </cell>
          <cell r="AJ176">
            <v>1630</v>
          </cell>
          <cell r="AK176">
            <v>4</v>
          </cell>
          <cell r="AL176">
            <v>1350</v>
          </cell>
          <cell r="AM176">
            <v>4</v>
          </cell>
          <cell r="AN176">
            <v>2778</v>
          </cell>
          <cell r="AO176">
            <v>11</v>
          </cell>
          <cell r="AP176">
            <v>8112</v>
          </cell>
          <cell r="AQ176">
            <v>56</v>
          </cell>
          <cell r="AR176">
            <v>206.67</v>
          </cell>
          <cell r="AS176" t="str">
            <v xml:space="preserve"> -   </v>
          </cell>
          <cell r="AT176">
            <v>206.67</v>
          </cell>
          <cell r="AU176" t="str">
            <v xml:space="preserve"> -   </v>
          </cell>
          <cell r="AV176">
            <v>85.66</v>
          </cell>
          <cell r="AW176">
            <v>1</v>
          </cell>
          <cell r="AX176" t="str">
            <v xml:space="preserve"> -   </v>
          </cell>
          <cell r="AY176" t="str">
            <v xml:space="preserve"> -   </v>
          </cell>
          <cell r="AZ176">
            <v>499</v>
          </cell>
          <cell r="BA176">
            <v>1</v>
          </cell>
          <cell r="BB176">
            <v>10870</v>
          </cell>
          <cell r="BC176">
            <v>29</v>
          </cell>
          <cell r="BD176">
            <v>8305</v>
          </cell>
          <cell r="BE176">
            <v>30</v>
          </cell>
          <cell r="BF176">
            <v>4750</v>
          </cell>
          <cell r="BG176">
            <v>39</v>
          </cell>
          <cell r="BH176">
            <v>2380</v>
          </cell>
          <cell r="BI176">
            <v>28</v>
          </cell>
          <cell r="BJ176">
            <v>26305</v>
          </cell>
          <cell r="BK176">
            <v>126</v>
          </cell>
          <cell r="BL176">
            <v>535</v>
          </cell>
          <cell r="BM176">
            <v>3</v>
          </cell>
          <cell r="BN176">
            <v>452</v>
          </cell>
          <cell r="BO176">
            <v>1</v>
          </cell>
          <cell r="BP176">
            <v>331</v>
          </cell>
          <cell r="BQ176">
            <v>1</v>
          </cell>
          <cell r="BR176">
            <v>433</v>
          </cell>
          <cell r="BS176">
            <v>3</v>
          </cell>
          <cell r="BT176">
            <v>1751</v>
          </cell>
          <cell r="BU176">
            <v>8</v>
          </cell>
          <cell r="BV176">
            <v>100</v>
          </cell>
          <cell r="BW176" t="str">
            <v xml:space="preserve"> -   </v>
          </cell>
          <cell r="BX176">
            <v>100</v>
          </cell>
          <cell r="BY176" t="str">
            <v xml:space="preserve"> -   </v>
          </cell>
          <cell r="BZ176">
            <v>100</v>
          </cell>
          <cell r="CA176" t="str">
            <v xml:space="preserve"> -   </v>
          </cell>
          <cell r="CB176">
            <v>314</v>
          </cell>
          <cell r="CC176">
            <v>1</v>
          </cell>
          <cell r="CD176">
            <v>614</v>
          </cell>
          <cell r="CE176">
            <v>1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 t="str">
            <v xml:space="preserve"> -   </v>
          </cell>
          <cell r="CO176" t="str">
            <v xml:space="preserve"> -   </v>
          </cell>
          <cell r="CP176">
            <v>27</v>
          </cell>
          <cell r="CQ176">
            <v>1</v>
          </cell>
          <cell r="CR176" t="str">
            <v xml:space="preserve"> -   </v>
          </cell>
          <cell r="CS176" t="str">
            <v xml:space="preserve"> -   </v>
          </cell>
          <cell r="CT176" t="str">
            <v xml:space="preserve"> -   </v>
          </cell>
          <cell r="CU176" t="str">
            <v xml:space="preserve"> -   </v>
          </cell>
          <cell r="CV176" t="str">
            <v xml:space="preserve"> -   </v>
          </cell>
          <cell r="CW176" t="str">
            <v xml:space="preserve"> -   </v>
          </cell>
          <cell r="CX176">
            <v>27</v>
          </cell>
          <cell r="CY176">
            <v>1</v>
          </cell>
          <cell r="CZ176">
            <v>258</v>
          </cell>
          <cell r="DA176">
            <v>1</v>
          </cell>
          <cell r="DB176">
            <v>200</v>
          </cell>
          <cell r="DC176" t="str">
            <v xml:space="preserve"> -   </v>
          </cell>
          <cell r="DD176">
            <v>114</v>
          </cell>
          <cell r="DE176">
            <v>1</v>
          </cell>
          <cell r="DF176">
            <v>348</v>
          </cell>
          <cell r="DG176">
            <v>1</v>
          </cell>
          <cell r="DH176">
            <v>920</v>
          </cell>
          <cell r="DI176">
            <v>3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 t="str">
            <v xml:space="preserve"> -   </v>
          </cell>
          <cell r="DS176" t="str">
            <v xml:space="preserve"> -   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 t="str">
            <v xml:space="preserve"> -   </v>
          </cell>
          <cell r="EC176" t="str">
            <v xml:space="preserve"> -   </v>
          </cell>
          <cell r="ED176">
            <v>0</v>
          </cell>
          <cell r="EE176">
            <v>0</v>
          </cell>
          <cell r="EF176">
            <v>0</v>
          </cell>
          <cell r="EH176">
            <v>0</v>
          </cell>
          <cell r="EI176">
            <v>0</v>
          </cell>
        </row>
        <row r="177">
          <cell r="A177" t="str">
            <v>FebKeyodhoo</v>
          </cell>
          <cell r="B177" t="str">
            <v>Feb</v>
          </cell>
          <cell r="C177" t="str">
            <v>V.</v>
          </cell>
          <cell r="D177" t="str">
            <v>Keyodhoo</v>
          </cell>
          <cell r="E177">
            <v>0</v>
          </cell>
          <cell r="F177">
            <v>41807</v>
          </cell>
          <cell r="G177">
            <v>195</v>
          </cell>
          <cell r="H177">
            <v>197</v>
          </cell>
          <cell r="I177">
            <v>2</v>
          </cell>
          <cell r="J177">
            <v>0</v>
          </cell>
          <cell r="K177">
            <v>199</v>
          </cell>
          <cell r="L177">
            <v>195</v>
          </cell>
          <cell r="M177">
            <v>4</v>
          </cell>
          <cell r="N177">
            <v>4</v>
          </cell>
          <cell r="O177">
            <v>0</v>
          </cell>
          <cell r="P177">
            <v>4</v>
          </cell>
          <cell r="Q177">
            <v>0</v>
          </cell>
          <cell r="R177">
            <v>0</v>
          </cell>
          <cell r="S177">
            <v>0</v>
          </cell>
          <cell r="T177">
            <v>199</v>
          </cell>
          <cell r="U177">
            <v>195</v>
          </cell>
          <cell r="V177">
            <v>4</v>
          </cell>
          <cell r="W177">
            <v>25197</v>
          </cell>
          <cell r="X177">
            <v>46357.8</v>
          </cell>
          <cell r="Y177">
            <v>0</v>
          </cell>
          <cell r="Z177">
            <v>46357.75</v>
          </cell>
          <cell r="AA177">
            <v>37244</v>
          </cell>
          <cell r="AB177">
            <v>2774</v>
          </cell>
          <cell r="AC177">
            <v>40018</v>
          </cell>
          <cell r="AD177">
            <v>34</v>
          </cell>
          <cell r="AE177">
            <v>85</v>
          </cell>
          <cell r="AF177">
            <v>12777</v>
          </cell>
          <cell r="AG177">
            <v>61</v>
          </cell>
          <cell r="AH177">
            <v>2623.67</v>
          </cell>
          <cell r="AI177">
            <v>34</v>
          </cell>
          <cell r="AJ177">
            <v>1890.33</v>
          </cell>
          <cell r="AK177">
            <v>4</v>
          </cell>
          <cell r="AL177">
            <v>1539</v>
          </cell>
          <cell r="AM177">
            <v>5</v>
          </cell>
          <cell r="AN177">
            <v>3376</v>
          </cell>
          <cell r="AO177">
            <v>11</v>
          </cell>
          <cell r="AP177">
            <v>9429</v>
          </cell>
          <cell r="AQ177">
            <v>54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 t="str">
            <v xml:space="preserve"> -   </v>
          </cell>
          <cell r="BA177" t="str">
            <v xml:space="preserve"> -   </v>
          </cell>
          <cell r="BB177">
            <v>12142</v>
          </cell>
          <cell r="BC177">
            <v>27</v>
          </cell>
          <cell r="BD177">
            <v>9158</v>
          </cell>
          <cell r="BE177">
            <v>39</v>
          </cell>
          <cell r="BF177">
            <v>4317</v>
          </cell>
          <cell r="BG177">
            <v>39</v>
          </cell>
          <cell r="BH177">
            <v>2453</v>
          </cell>
          <cell r="BI177">
            <v>22</v>
          </cell>
          <cell r="BJ177">
            <v>28070</v>
          </cell>
          <cell r="BK177">
            <v>127</v>
          </cell>
          <cell r="BL177">
            <v>597</v>
          </cell>
          <cell r="BM177">
            <v>4</v>
          </cell>
          <cell r="BN177">
            <v>515</v>
          </cell>
          <cell r="BO177">
            <v>1</v>
          </cell>
          <cell r="BP177">
            <v>344</v>
          </cell>
          <cell r="BQ177">
            <v>1</v>
          </cell>
          <cell r="BR177">
            <v>725</v>
          </cell>
          <cell r="BS177">
            <v>3</v>
          </cell>
          <cell r="BT177">
            <v>2181</v>
          </cell>
          <cell r="BU177">
            <v>9</v>
          </cell>
          <cell r="BV177">
            <v>110</v>
          </cell>
          <cell r="BW177" t="str">
            <v xml:space="preserve"> -   </v>
          </cell>
          <cell r="BX177">
            <v>110</v>
          </cell>
          <cell r="BY177" t="str">
            <v xml:space="preserve"> -   </v>
          </cell>
          <cell r="BZ177">
            <v>110</v>
          </cell>
          <cell r="CA177" t="str">
            <v xml:space="preserve"> -   </v>
          </cell>
          <cell r="CB177">
            <v>739</v>
          </cell>
          <cell r="CC177">
            <v>1</v>
          </cell>
          <cell r="CD177">
            <v>1069</v>
          </cell>
          <cell r="CE177">
            <v>1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 t="str">
            <v xml:space="preserve"> -   </v>
          </cell>
          <cell r="CO177" t="str">
            <v xml:space="preserve"> -   </v>
          </cell>
          <cell r="CP177">
            <v>47</v>
          </cell>
          <cell r="CQ177">
            <v>1</v>
          </cell>
          <cell r="CR177" t="str">
            <v xml:space="preserve"> -   </v>
          </cell>
          <cell r="CS177" t="str">
            <v xml:space="preserve"> -   </v>
          </cell>
          <cell r="CT177" t="str">
            <v xml:space="preserve"> -   </v>
          </cell>
          <cell r="CU177" t="str">
            <v xml:space="preserve"> -   </v>
          </cell>
          <cell r="CV177" t="str">
            <v xml:space="preserve"> -   </v>
          </cell>
          <cell r="CW177" t="str">
            <v xml:space="preserve"> -   </v>
          </cell>
          <cell r="CX177">
            <v>47</v>
          </cell>
          <cell r="CY177">
            <v>1</v>
          </cell>
          <cell r="CZ177">
            <v>283</v>
          </cell>
          <cell r="DA177">
            <v>1</v>
          </cell>
          <cell r="DB177">
            <v>220</v>
          </cell>
          <cell r="DC177" t="str">
            <v xml:space="preserve"> -   </v>
          </cell>
          <cell r="DD177">
            <v>125</v>
          </cell>
          <cell r="DE177">
            <v>1</v>
          </cell>
          <cell r="DF177">
            <v>383</v>
          </cell>
          <cell r="DG177">
            <v>1</v>
          </cell>
          <cell r="DH177">
            <v>1011</v>
          </cell>
          <cell r="DI177">
            <v>3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 t="str">
            <v xml:space="preserve"> -   </v>
          </cell>
          <cell r="DS177" t="str">
            <v xml:space="preserve"> -   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 t="str">
            <v xml:space="preserve"> -   </v>
          </cell>
          <cell r="EC177" t="str">
            <v xml:space="preserve"> -   </v>
          </cell>
          <cell r="ED177">
            <v>0</v>
          </cell>
          <cell r="EE177">
            <v>0</v>
          </cell>
          <cell r="EF177">
            <v>0</v>
          </cell>
          <cell r="EH177">
            <v>0</v>
          </cell>
          <cell r="EI177">
            <v>0</v>
          </cell>
        </row>
        <row r="178">
          <cell r="A178" t="str">
            <v>MarKeyodhoo</v>
          </cell>
          <cell r="B178" t="str">
            <v>Mar</v>
          </cell>
          <cell r="C178" t="str">
            <v>V.</v>
          </cell>
          <cell r="D178" t="str">
            <v>Keyodhoo</v>
          </cell>
          <cell r="E178">
            <v>0</v>
          </cell>
          <cell r="F178">
            <v>35090</v>
          </cell>
          <cell r="G178">
            <v>194</v>
          </cell>
          <cell r="H178">
            <v>199</v>
          </cell>
          <cell r="I178">
            <v>0</v>
          </cell>
          <cell r="J178">
            <v>0</v>
          </cell>
          <cell r="K178">
            <v>199</v>
          </cell>
          <cell r="L178">
            <v>193</v>
          </cell>
          <cell r="M178">
            <v>6</v>
          </cell>
          <cell r="N178">
            <v>4</v>
          </cell>
          <cell r="O178">
            <v>0</v>
          </cell>
          <cell r="P178">
            <v>0</v>
          </cell>
          <cell r="Q178">
            <v>4</v>
          </cell>
          <cell r="R178">
            <v>1</v>
          </cell>
          <cell r="S178">
            <v>3</v>
          </cell>
          <cell r="T178">
            <v>203</v>
          </cell>
          <cell r="U178">
            <v>194</v>
          </cell>
          <cell r="V178">
            <v>9</v>
          </cell>
          <cell r="W178">
            <v>31676</v>
          </cell>
          <cell r="X178">
            <v>39500.1</v>
          </cell>
          <cell r="Y178">
            <v>0</v>
          </cell>
          <cell r="Z178">
            <v>39500.120000000003</v>
          </cell>
          <cell r="AA178">
            <v>34621</v>
          </cell>
          <cell r="AB178">
            <v>3289</v>
          </cell>
          <cell r="AC178">
            <v>37910</v>
          </cell>
          <cell r="AD178">
            <v>39</v>
          </cell>
          <cell r="AE178">
            <v>108</v>
          </cell>
          <cell r="AF178">
            <v>14987</v>
          </cell>
          <cell r="AG178">
            <v>46</v>
          </cell>
          <cell r="AH178">
            <v>2065.6</v>
          </cell>
          <cell r="AI178">
            <v>35</v>
          </cell>
          <cell r="AJ178">
            <v>1468.3</v>
          </cell>
          <cell r="AK178">
            <v>5</v>
          </cell>
          <cell r="AL178">
            <v>1208.98</v>
          </cell>
          <cell r="AM178">
            <v>3</v>
          </cell>
          <cell r="AN178">
            <v>3734.12</v>
          </cell>
          <cell r="AO178">
            <v>12</v>
          </cell>
          <cell r="AP178">
            <v>8477</v>
          </cell>
          <cell r="AQ178">
            <v>55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 t="str">
            <v xml:space="preserve"> -   </v>
          </cell>
          <cell r="BA178" t="str">
            <v xml:space="preserve"> -   </v>
          </cell>
          <cell r="BB178">
            <v>9069</v>
          </cell>
          <cell r="BC178">
            <v>25</v>
          </cell>
          <cell r="BD178">
            <v>7009.88</v>
          </cell>
          <cell r="BE178">
            <v>32</v>
          </cell>
          <cell r="BF178">
            <v>3813.84</v>
          </cell>
          <cell r="BG178">
            <v>40</v>
          </cell>
          <cell r="BH178">
            <v>2856.28</v>
          </cell>
          <cell r="BI178">
            <v>28</v>
          </cell>
          <cell r="BJ178">
            <v>22749</v>
          </cell>
          <cell r="BK178">
            <v>125</v>
          </cell>
          <cell r="BL178">
            <v>506.98</v>
          </cell>
          <cell r="BM178">
            <v>3</v>
          </cell>
          <cell r="BN178">
            <v>492.32</v>
          </cell>
          <cell r="BO178">
            <v>1</v>
          </cell>
          <cell r="BP178">
            <v>349.66</v>
          </cell>
          <cell r="BQ178">
            <v>1</v>
          </cell>
          <cell r="BR178">
            <v>831.04</v>
          </cell>
          <cell r="BS178">
            <v>4</v>
          </cell>
          <cell r="BT178">
            <v>2180</v>
          </cell>
          <cell r="BU178">
            <v>9</v>
          </cell>
          <cell r="BV178">
            <v>83.33</v>
          </cell>
          <cell r="BW178" t="str">
            <v xml:space="preserve"> -   </v>
          </cell>
          <cell r="BX178">
            <v>83.33</v>
          </cell>
          <cell r="BY178" t="str">
            <v xml:space="preserve"> -   </v>
          </cell>
          <cell r="BZ178">
            <v>83.33</v>
          </cell>
          <cell r="CA178" t="str">
            <v xml:space="preserve"> -   </v>
          </cell>
          <cell r="CB178">
            <v>625.01</v>
          </cell>
          <cell r="CC178">
            <v>1</v>
          </cell>
          <cell r="CD178">
            <v>875</v>
          </cell>
          <cell r="CE178">
            <v>1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 t="str">
            <v xml:space="preserve"> -   </v>
          </cell>
          <cell r="CO178" t="str">
            <v xml:space="preserve"> -   </v>
          </cell>
          <cell r="CP178">
            <v>43</v>
          </cell>
          <cell r="CQ178">
            <v>1</v>
          </cell>
          <cell r="CR178" t="str">
            <v xml:space="preserve"> -   </v>
          </cell>
          <cell r="CS178" t="str">
            <v xml:space="preserve"> -   </v>
          </cell>
          <cell r="CT178" t="str">
            <v xml:space="preserve"> -   </v>
          </cell>
          <cell r="CU178" t="str">
            <v xml:space="preserve"> -   </v>
          </cell>
          <cell r="CV178" t="str">
            <v xml:space="preserve"> -   </v>
          </cell>
          <cell r="CW178" t="str">
            <v xml:space="preserve"> -   </v>
          </cell>
          <cell r="CX178">
            <v>43</v>
          </cell>
          <cell r="CY178">
            <v>1</v>
          </cell>
          <cell r="CZ178">
            <v>214.66</v>
          </cell>
          <cell r="DA178">
            <v>1</v>
          </cell>
          <cell r="DB178">
            <v>166.66</v>
          </cell>
          <cell r="DC178" t="str">
            <v xml:space="preserve"> -   </v>
          </cell>
          <cell r="DD178">
            <v>94.67</v>
          </cell>
          <cell r="DE178">
            <v>1</v>
          </cell>
          <cell r="DF178">
            <v>290.01</v>
          </cell>
          <cell r="DG178">
            <v>1</v>
          </cell>
          <cell r="DH178">
            <v>766</v>
          </cell>
          <cell r="DI178">
            <v>3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 t="str">
            <v xml:space="preserve"> -   </v>
          </cell>
          <cell r="DS178" t="str">
            <v xml:space="preserve"> -   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 t="str">
            <v xml:space="preserve"> -   </v>
          </cell>
          <cell r="EC178" t="str">
            <v xml:space="preserve"> -   </v>
          </cell>
          <cell r="ED178">
            <v>0</v>
          </cell>
          <cell r="EE178">
            <v>0</v>
          </cell>
          <cell r="EF178">
            <v>0</v>
          </cell>
          <cell r="EH178">
            <v>0</v>
          </cell>
          <cell r="EI178">
            <v>0</v>
          </cell>
        </row>
        <row r="179">
          <cell r="A179" t="str">
            <v>AprKeyodhoo</v>
          </cell>
          <cell r="B179" t="str">
            <v>Apr</v>
          </cell>
          <cell r="C179" t="str">
            <v>V.</v>
          </cell>
          <cell r="D179" t="str">
            <v>Keyodhoo</v>
          </cell>
          <cell r="E179">
            <v>0</v>
          </cell>
          <cell r="F179">
            <v>48389</v>
          </cell>
          <cell r="G179">
            <v>196</v>
          </cell>
          <cell r="H179">
            <v>199</v>
          </cell>
          <cell r="I179">
            <v>0</v>
          </cell>
          <cell r="J179">
            <v>0</v>
          </cell>
          <cell r="K179">
            <v>199</v>
          </cell>
          <cell r="L179">
            <v>196</v>
          </cell>
          <cell r="M179">
            <v>3</v>
          </cell>
          <cell r="N179">
            <v>4</v>
          </cell>
          <cell r="O179">
            <v>0</v>
          </cell>
          <cell r="P179">
            <v>1</v>
          </cell>
          <cell r="Q179">
            <v>3</v>
          </cell>
          <cell r="R179">
            <v>0</v>
          </cell>
          <cell r="S179">
            <v>3</v>
          </cell>
          <cell r="T179">
            <v>202</v>
          </cell>
          <cell r="U179">
            <v>196</v>
          </cell>
          <cell r="V179">
            <v>6</v>
          </cell>
          <cell r="W179">
            <v>50193</v>
          </cell>
          <cell r="X179">
            <v>53874.5</v>
          </cell>
          <cell r="Y179">
            <v>0</v>
          </cell>
          <cell r="Z179">
            <v>53874.5</v>
          </cell>
          <cell r="AA179">
            <v>38974</v>
          </cell>
          <cell r="AB179">
            <v>3489</v>
          </cell>
          <cell r="AC179">
            <v>42463</v>
          </cell>
          <cell r="AD179">
            <v>45</v>
          </cell>
          <cell r="AE179">
            <v>116</v>
          </cell>
          <cell r="AF179">
            <v>15728</v>
          </cell>
          <cell r="AG179">
            <v>67</v>
          </cell>
          <cell r="AH179">
            <v>2801.33</v>
          </cell>
          <cell r="AI179">
            <v>33</v>
          </cell>
          <cell r="AJ179">
            <v>1969.67</v>
          </cell>
          <cell r="AK179">
            <v>5</v>
          </cell>
          <cell r="AL179">
            <v>1551</v>
          </cell>
          <cell r="AM179">
            <v>5</v>
          </cell>
          <cell r="AN179">
            <v>4783</v>
          </cell>
          <cell r="AO179">
            <v>11</v>
          </cell>
          <cell r="AP179">
            <v>11105</v>
          </cell>
          <cell r="AQ179">
            <v>54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12610.99</v>
          </cell>
          <cell r="BC179">
            <v>25</v>
          </cell>
          <cell r="BD179">
            <v>9540.67</v>
          </cell>
          <cell r="BE179">
            <v>39</v>
          </cell>
          <cell r="BF179">
            <v>5006.34</v>
          </cell>
          <cell r="BG179">
            <v>37</v>
          </cell>
          <cell r="BH179">
            <v>4160</v>
          </cell>
          <cell r="BI179">
            <v>27</v>
          </cell>
          <cell r="BJ179">
            <v>31317.999999999996</v>
          </cell>
          <cell r="BK179">
            <v>128</v>
          </cell>
          <cell r="BL179">
            <v>660</v>
          </cell>
          <cell r="BM179">
            <v>3</v>
          </cell>
          <cell r="BN179">
            <v>618</v>
          </cell>
          <cell r="BO179">
            <v>1</v>
          </cell>
          <cell r="BP179">
            <v>444</v>
          </cell>
          <cell r="BQ179">
            <v>1</v>
          </cell>
          <cell r="BR179">
            <v>2109</v>
          </cell>
          <cell r="BS179">
            <v>4</v>
          </cell>
          <cell r="BT179">
            <v>3831</v>
          </cell>
          <cell r="BU179">
            <v>9</v>
          </cell>
          <cell r="BV179">
            <v>110</v>
          </cell>
          <cell r="BW179">
            <v>0</v>
          </cell>
          <cell r="BX179">
            <v>110</v>
          </cell>
          <cell r="BY179">
            <v>0</v>
          </cell>
          <cell r="BZ179">
            <v>110</v>
          </cell>
          <cell r="CA179">
            <v>0</v>
          </cell>
          <cell r="CB179">
            <v>733</v>
          </cell>
          <cell r="CC179">
            <v>1</v>
          </cell>
          <cell r="CD179">
            <v>1063</v>
          </cell>
          <cell r="CE179">
            <v>1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42</v>
          </cell>
          <cell r="CQ179">
            <v>1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42</v>
          </cell>
          <cell r="CY179">
            <v>1</v>
          </cell>
          <cell r="CZ179">
            <v>283</v>
          </cell>
          <cell r="DA179">
            <v>1</v>
          </cell>
          <cell r="DB179">
            <v>220</v>
          </cell>
          <cell r="DC179">
            <v>0</v>
          </cell>
          <cell r="DD179">
            <v>144</v>
          </cell>
          <cell r="DE179">
            <v>1</v>
          </cell>
          <cell r="DF179">
            <v>383</v>
          </cell>
          <cell r="DG179">
            <v>1</v>
          </cell>
          <cell r="DH179">
            <v>1030</v>
          </cell>
          <cell r="DI179">
            <v>3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H179">
            <v>0</v>
          </cell>
          <cell r="EI179">
            <v>0</v>
          </cell>
        </row>
        <row r="180">
          <cell r="A180" t="str">
            <v>MayKeyodhoo</v>
          </cell>
          <cell r="B180" t="str">
            <v>May</v>
          </cell>
          <cell r="C180" t="str">
            <v>V.</v>
          </cell>
          <cell r="D180" t="str">
            <v>Keyodhoo</v>
          </cell>
          <cell r="E180">
            <v>0</v>
          </cell>
          <cell r="F180">
            <v>43749</v>
          </cell>
          <cell r="G180">
            <v>200</v>
          </cell>
          <cell r="H180">
            <v>199</v>
          </cell>
          <cell r="I180">
            <v>3</v>
          </cell>
          <cell r="J180">
            <v>0</v>
          </cell>
          <cell r="K180">
            <v>202</v>
          </cell>
          <cell r="L180">
            <v>198</v>
          </cell>
          <cell r="M180">
            <v>4</v>
          </cell>
          <cell r="N180">
            <v>3</v>
          </cell>
          <cell r="O180">
            <v>2</v>
          </cell>
          <cell r="P180">
            <v>1</v>
          </cell>
          <cell r="Q180">
            <v>4</v>
          </cell>
          <cell r="R180">
            <v>2</v>
          </cell>
          <cell r="S180">
            <v>2</v>
          </cell>
          <cell r="T180">
            <v>206</v>
          </cell>
          <cell r="U180">
            <v>200</v>
          </cell>
          <cell r="V180">
            <v>6</v>
          </cell>
          <cell r="W180">
            <v>47015</v>
          </cell>
          <cell r="X180">
            <v>47015</v>
          </cell>
          <cell r="Y180">
            <v>0</v>
          </cell>
          <cell r="Z180">
            <v>47015</v>
          </cell>
          <cell r="AA180">
            <v>37843</v>
          </cell>
          <cell r="AB180">
            <v>3069</v>
          </cell>
          <cell r="AC180">
            <v>40912</v>
          </cell>
          <cell r="AD180">
            <v>32</v>
          </cell>
          <cell r="AE180">
            <v>99</v>
          </cell>
          <cell r="AF180">
            <v>14340</v>
          </cell>
          <cell r="AG180">
            <v>50</v>
          </cell>
          <cell r="AH180">
            <v>2459</v>
          </cell>
          <cell r="AI180">
            <v>36</v>
          </cell>
          <cell r="AJ180">
            <v>1537</v>
          </cell>
          <cell r="AK180">
            <v>9</v>
          </cell>
          <cell r="AL180">
            <v>1037</v>
          </cell>
          <cell r="AM180">
            <v>3</v>
          </cell>
          <cell r="AN180">
            <v>1544</v>
          </cell>
          <cell r="AO180">
            <v>9</v>
          </cell>
          <cell r="AP180">
            <v>6577</v>
          </cell>
          <cell r="AQ180">
            <v>57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11125</v>
          </cell>
          <cell r="BC180">
            <v>27</v>
          </cell>
          <cell r="BD180">
            <v>8874</v>
          </cell>
          <cell r="BE180">
            <v>29</v>
          </cell>
          <cell r="BF180">
            <v>5500</v>
          </cell>
          <cell r="BG180">
            <v>29</v>
          </cell>
          <cell r="BH180">
            <v>5749</v>
          </cell>
          <cell r="BI180">
            <v>42</v>
          </cell>
          <cell r="BJ180">
            <v>31248</v>
          </cell>
          <cell r="BK180">
            <v>127</v>
          </cell>
          <cell r="BL180">
            <v>825</v>
          </cell>
          <cell r="BM180">
            <v>3</v>
          </cell>
          <cell r="BN180">
            <v>731.66</v>
          </cell>
          <cell r="BO180">
            <v>2</v>
          </cell>
          <cell r="BP180">
            <v>435.33</v>
          </cell>
          <cell r="BQ180">
            <v>1</v>
          </cell>
          <cell r="BR180">
            <v>1858.01</v>
          </cell>
          <cell r="BS180">
            <v>5</v>
          </cell>
          <cell r="BT180">
            <v>3850</v>
          </cell>
          <cell r="BU180">
            <v>11</v>
          </cell>
          <cell r="BV180">
            <v>100</v>
          </cell>
          <cell r="BW180">
            <v>0</v>
          </cell>
          <cell r="BX180">
            <v>100</v>
          </cell>
          <cell r="BY180">
            <v>0</v>
          </cell>
          <cell r="BZ180">
            <v>100</v>
          </cell>
          <cell r="CA180">
            <v>0</v>
          </cell>
          <cell r="CB180">
            <v>775</v>
          </cell>
          <cell r="CC180">
            <v>1</v>
          </cell>
          <cell r="CD180">
            <v>1075</v>
          </cell>
          <cell r="CE180">
            <v>1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53</v>
          </cell>
          <cell r="CQ180">
            <v>1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53</v>
          </cell>
          <cell r="CY180">
            <v>1</v>
          </cell>
          <cell r="CZ180">
            <v>258</v>
          </cell>
          <cell r="DA180">
            <v>1</v>
          </cell>
          <cell r="DB180">
            <v>200</v>
          </cell>
          <cell r="DC180">
            <v>0</v>
          </cell>
          <cell r="DD180">
            <v>140</v>
          </cell>
          <cell r="DE180">
            <v>1</v>
          </cell>
          <cell r="DF180">
            <v>348</v>
          </cell>
          <cell r="DG180">
            <v>1</v>
          </cell>
          <cell r="DH180">
            <v>946</v>
          </cell>
          <cell r="DI180">
            <v>3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H180">
            <v>0</v>
          </cell>
          <cell r="EI180">
            <v>0</v>
          </cell>
        </row>
        <row r="181">
          <cell r="A181" t="str">
            <v>JunKeyodhoo</v>
          </cell>
          <cell r="B181" t="str">
            <v>Jun</v>
          </cell>
          <cell r="C181" t="str">
            <v>V.</v>
          </cell>
          <cell r="D181" t="str">
            <v>Keyodhoo</v>
          </cell>
          <cell r="E181" t="str">
            <v>usage units more than billed</v>
          </cell>
          <cell r="F181">
            <v>41189</v>
          </cell>
          <cell r="G181">
            <v>198</v>
          </cell>
          <cell r="H181">
            <v>202</v>
          </cell>
          <cell r="I181">
            <v>1</v>
          </cell>
          <cell r="J181">
            <v>0</v>
          </cell>
          <cell r="K181">
            <v>203</v>
          </cell>
          <cell r="L181">
            <v>198</v>
          </cell>
          <cell r="M181">
            <v>5</v>
          </cell>
          <cell r="N181">
            <v>4</v>
          </cell>
          <cell r="O181">
            <v>4</v>
          </cell>
          <cell r="P181">
            <v>4</v>
          </cell>
          <cell r="Q181">
            <v>4</v>
          </cell>
          <cell r="R181">
            <v>4</v>
          </cell>
          <cell r="S181">
            <v>0</v>
          </cell>
          <cell r="T181">
            <v>207</v>
          </cell>
          <cell r="U181">
            <v>202</v>
          </cell>
          <cell r="V181">
            <v>5</v>
          </cell>
          <cell r="W181">
            <v>45483</v>
          </cell>
          <cell r="X181">
            <v>45483</v>
          </cell>
          <cell r="Y181">
            <v>0</v>
          </cell>
          <cell r="Z181">
            <v>45483</v>
          </cell>
          <cell r="AA181">
            <v>40222</v>
          </cell>
          <cell r="AB181">
            <v>3286</v>
          </cell>
          <cell r="AC181">
            <v>43508</v>
          </cell>
          <cell r="AD181">
            <v>34</v>
          </cell>
          <cell r="AE181">
            <v>100</v>
          </cell>
          <cell r="AF181">
            <v>15515</v>
          </cell>
          <cell r="AG181">
            <v>43</v>
          </cell>
          <cell r="AH181">
            <v>2234.61</v>
          </cell>
          <cell r="AI181">
            <v>38</v>
          </cell>
          <cell r="AJ181">
            <v>1373.99</v>
          </cell>
          <cell r="AK181">
            <v>7</v>
          </cell>
          <cell r="AL181">
            <v>920.32</v>
          </cell>
          <cell r="AM181">
            <v>2</v>
          </cell>
          <cell r="AN181">
            <v>1606.08</v>
          </cell>
          <cell r="AO181">
            <v>8</v>
          </cell>
          <cell r="AP181">
            <v>6135</v>
          </cell>
          <cell r="AQ181">
            <v>55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11584.33</v>
          </cell>
          <cell r="BC181">
            <v>26</v>
          </cell>
          <cell r="BD181">
            <v>8950.89</v>
          </cell>
          <cell r="BE181">
            <v>34</v>
          </cell>
          <cell r="BF181">
            <v>5211.41</v>
          </cell>
          <cell r="BG181">
            <v>30</v>
          </cell>
          <cell r="BH181">
            <v>4232.37</v>
          </cell>
          <cell r="BI181">
            <v>37</v>
          </cell>
          <cell r="BJ181">
            <v>29979</v>
          </cell>
          <cell r="BK181">
            <v>127</v>
          </cell>
          <cell r="BL181">
            <v>706.98</v>
          </cell>
          <cell r="BM181">
            <v>4</v>
          </cell>
          <cell r="BN181">
            <v>662.32</v>
          </cell>
          <cell r="BO181">
            <v>1</v>
          </cell>
          <cell r="BP181">
            <v>527.66</v>
          </cell>
          <cell r="BQ181">
            <v>1</v>
          </cell>
          <cell r="BR181">
            <v>1519.04</v>
          </cell>
          <cell r="BS181">
            <v>5</v>
          </cell>
          <cell r="BT181">
            <v>3416</v>
          </cell>
          <cell r="BU181">
            <v>11</v>
          </cell>
          <cell r="BV181">
            <v>103.33</v>
          </cell>
          <cell r="BW181">
            <v>0</v>
          </cell>
          <cell r="BX181">
            <v>103.33</v>
          </cell>
          <cell r="BY181">
            <v>0</v>
          </cell>
          <cell r="BZ181">
            <v>103.33</v>
          </cell>
          <cell r="CA181">
            <v>0</v>
          </cell>
          <cell r="CB181">
            <v>333.01</v>
          </cell>
          <cell r="CC181">
            <v>1</v>
          </cell>
          <cell r="CD181">
            <v>643</v>
          </cell>
          <cell r="CE181">
            <v>1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38</v>
          </cell>
          <cell r="CQ181">
            <v>1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38</v>
          </cell>
          <cell r="CY181">
            <v>1</v>
          </cell>
          <cell r="CZ181">
            <v>266.66000000000003</v>
          </cell>
          <cell r="DA181">
            <v>1</v>
          </cell>
          <cell r="DB181">
            <v>206.66</v>
          </cell>
          <cell r="DC181">
            <v>0</v>
          </cell>
          <cell r="DD181">
            <v>144.66999999999999</v>
          </cell>
          <cell r="DE181">
            <v>1</v>
          </cell>
          <cell r="DF181">
            <v>360.01</v>
          </cell>
          <cell r="DG181">
            <v>1</v>
          </cell>
          <cell r="DH181">
            <v>978</v>
          </cell>
          <cell r="DI181">
            <v>3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H181">
            <v>0</v>
          </cell>
          <cell r="EI181">
            <v>0</v>
          </cell>
        </row>
        <row r="182">
          <cell r="A182" t="str">
            <v>JulKeyodhoo</v>
          </cell>
          <cell r="B182" t="str">
            <v>Jul</v>
          </cell>
          <cell r="C182" t="str">
            <v>V.</v>
          </cell>
          <cell r="D182" t="str">
            <v>Keyodhoo</v>
          </cell>
          <cell r="E182" t="str">
            <v>usage units less than billed</v>
          </cell>
          <cell r="F182">
            <v>42827</v>
          </cell>
          <cell r="G182">
            <v>198</v>
          </cell>
          <cell r="H182">
            <v>203</v>
          </cell>
          <cell r="I182">
            <v>0</v>
          </cell>
          <cell r="J182">
            <v>0</v>
          </cell>
          <cell r="K182">
            <v>203</v>
          </cell>
          <cell r="L182">
            <v>199</v>
          </cell>
          <cell r="M182">
            <v>4</v>
          </cell>
          <cell r="N182">
            <v>4</v>
          </cell>
          <cell r="O182">
            <v>3</v>
          </cell>
          <cell r="P182">
            <v>4</v>
          </cell>
          <cell r="Q182">
            <v>3</v>
          </cell>
          <cell r="R182">
            <v>3</v>
          </cell>
          <cell r="S182">
            <v>0</v>
          </cell>
          <cell r="T182">
            <v>206</v>
          </cell>
          <cell r="U182">
            <v>202</v>
          </cell>
          <cell r="V182">
            <v>4</v>
          </cell>
          <cell r="W182">
            <v>45483</v>
          </cell>
          <cell r="X182">
            <v>45483</v>
          </cell>
          <cell r="Y182">
            <v>0</v>
          </cell>
          <cell r="Z182">
            <v>45483</v>
          </cell>
          <cell r="AA182">
            <v>180794</v>
          </cell>
          <cell r="AB182">
            <v>0</v>
          </cell>
          <cell r="AC182">
            <v>180794</v>
          </cell>
          <cell r="AD182">
            <v>34</v>
          </cell>
          <cell r="AE182">
            <v>100</v>
          </cell>
          <cell r="AF182">
            <v>15515</v>
          </cell>
          <cell r="AG182">
            <v>43</v>
          </cell>
          <cell r="AH182">
            <v>1802.04</v>
          </cell>
          <cell r="AI182">
            <v>43</v>
          </cell>
          <cell r="AJ182">
            <v>1014.02</v>
          </cell>
          <cell r="AK182">
            <v>3</v>
          </cell>
          <cell r="AL182">
            <v>661</v>
          </cell>
          <cell r="AM182">
            <v>3</v>
          </cell>
          <cell r="AN182">
            <v>1145.94</v>
          </cell>
          <cell r="AO182">
            <v>6</v>
          </cell>
          <cell r="AP182">
            <v>4623</v>
          </cell>
          <cell r="AQ182">
            <v>55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11173.35</v>
          </cell>
          <cell r="BC182">
            <v>21</v>
          </cell>
          <cell r="BD182">
            <v>9444.51</v>
          </cell>
          <cell r="BE182">
            <v>27</v>
          </cell>
          <cell r="BF182">
            <v>6151.64</v>
          </cell>
          <cell r="BG182">
            <v>29</v>
          </cell>
          <cell r="BH182">
            <v>7453.5</v>
          </cell>
          <cell r="BI182">
            <v>51</v>
          </cell>
          <cell r="BJ182">
            <v>34223</v>
          </cell>
          <cell r="BK182">
            <v>128</v>
          </cell>
          <cell r="BL182">
            <v>759.02</v>
          </cell>
          <cell r="BM182">
            <v>4</v>
          </cell>
          <cell r="BN182">
            <v>601.67999999999995</v>
          </cell>
          <cell r="BO182">
            <v>2</v>
          </cell>
          <cell r="BP182">
            <v>483.35</v>
          </cell>
          <cell r="BQ182">
            <v>0</v>
          </cell>
          <cell r="BR182">
            <v>648.95000000000005</v>
          </cell>
          <cell r="BS182">
            <v>5</v>
          </cell>
          <cell r="BT182">
            <v>2493</v>
          </cell>
          <cell r="BU182">
            <v>11</v>
          </cell>
          <cell r="BV182">
            <v>96.67</v>
          </cell>
          <cell r="BW182">
            <v>0</v>
          </cell>
          <cell r="BX182">
            <v>96.67</v>
          </cell>
          <cell r="BY182">
            <v>0</v>
          </cell>
          <cell r="BZ182">
            <v>96.67</v>
          </cell>
          <cell r="CA182">
            <v>0</v>
          </cell>
          <cell r="CB182">
            <v>258.99</v>
          </cell>
          <cell r="CC182">
            <v>0</v>
          </cell>
          <cell r="CD182">
            <v>549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25</v>
          </cell>
          <cell r="CQ182">
            <v>1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25</v>
          </cell>
          <cell r="CY182">
            <v>1</v>
          </cell>
          <cell r="CZ182">
            <v>249.34</v>
          </cell>
          <cell r="DA182">
            <v>1</v>
          </cell>
          <cell r="DB182">
            <v>193.34</v>
          </cell>
          <cell r="DC182">
            <v>0</v>
          </cell>
          <cell r="DD182">
            <v>135.33000000000001</v>
          </cell>
          <cell r="DE182">
            <v>1</v>
          </cell>
          <cell r="DF182">
            <v>335.99</v>
          </cell>
          <cell r="DG182">
            <v>1</v>
          </cell>
          <cell r="DH182">
            <v>914.00000000000011</v>
          </cell>
          <cell r="DI182">
            <v>3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H182">
            <v>0</v>
          </cell>
          <cell r="EI182">
            <v>0</v>
          </cell>
        </row>
        <row r="183">
          <cell r="A183" t="str">
            <v>AugKeyodhoo</v>
          </cell>
          <cell r="B183" t="str">
            <v>Aug</v>
          </cell>
          <cell r="C183" t="str">
            <v>V.</v>
          </cell>
          <cell r="D183" t="str">
            <v>Keyodhoo</v>
          </cell>
          <cell r="E183" t="str">
            <v>usage units less than billed</v>
          </cell>
          <cell r="F183">
            <v>40988</v>
          </cell>
          <cell r="G183">
            <v>200</v>
          </cell>
          <cell r="H183">
            <v>203</v>
          </cell>
          <cell r="I183">
            <v>1</v>
          </cell>
          <cell r="J183">
            <v>0</v>
          </cell>
          <cell r="K183">
            <v>204</v>
          </cell>
          <cell r="L183">
            <v>200</v>
          </cell>
          <cell r="M183">
            <v>4</v>
          </cell>
          <cell r="N183">
            <v>3</v>
          </cell>
          <cell r="O183">
            <v>0</v>
          </cell>
          <cell r="P183">
            <v>3</v>
          </cell>
          <cell r="Q183">
            <v>0</v>
          </cell>
          <cell r="R183">
            <v>0</v>
          </cell>
          <cell r="S183">
            <v>0</v>
          </cell>
          <cell r="T183">
            <v>204</v>
          </cell>
          <cell r="U183">
            <v>200</v>
          </cell>
          <cell r="V183">
            <v>4</v>
          </cell>
          <cell r="W183">
            <v>45844</v>
          </cell>
          <cell r="X183">
            <v>45844</v>
          </cell>
          <cell r="Y183">
            <v>0</v>
          </cell>
          <cell r="Z183">
            <v>45844</v>
          </cell>
          <cell r="AA183">
            <v>187940</v>
          </cell>
          <cell r="AB183">
            <v>0</v>
          </cell>
          <cell r="AC183">
            <v>187940</v>
          </cell>
          <cell r="AD183">
            <v>39</v>
          </cell>
          <cell r="AE183">
            <v>96</v>
          </cell>
          <cell r="AF183">
            <v>15625</v>
          </cell>
          <cell r="AG183">
            <v>41</v>
          </cell>
          <cell r="AH183">
            <v>2039.95</v>
          </cell>
          <cell r="AI183">
            <v>40</v>
          </cell>
          <cell r="AJ183">
            <v>1325.31</v>
          </cell>
          <cell r="AK183">
            <v>4</v>
          </cell>
          <cell r="AL183">
            <v>975.66</v>
          </cell>
          <cell r="AM183">
            <v>3</v>
          </cell>
          <cell r="AN183">
            <v>2124.08</v>
          </cell>
          <cell r="AO183">
            <v>8</v>
          </cell>
          <cell r="AP183">
            <v>6465</v>
          </cell>
          <cell r="AQ183">
            <v>55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11773</v>
          </cell>
          <cell r="BC183">
            <v>26</v>
          </cell>
          <cell r="BD183">
            <v>9128.24</v>
          </cell>
          <cell r="BE183">
            <v>39</v>
          </cell>
          <cell r="BF183">
            <v>5050.3999999999996</v>
          </cell>
          <cell r="BG183">
            <v>28</v>
          </cell>
          <cell r="BH183">
            <v>4022.36</v>
          </cell>
          <cell r="BI183">
            <v>36</v>
          </cell>
          <cell r="BJ183">
            <v>29974</v>
          </cell>
          <cell r="BK183">
            <v>129</v>
          </cell>
          <cell r="BL183">
            <v>749.31</v>
          </cell>
          <cell r="BM183">
            <v>4</v>
          </cell>
          <cell r="BN183">
            <v>644.65</v>
          </cell>
          <cell r="BO183">
            <v>1</v>
          </cell>
          <cell r="BP183">
            <v>527.99</v>
          </cell>
          <cell r="BQ183">
            <v>1</v>
          </cell>
          <cell r="BR183">
            <v>768.05</v>
          </cell>
          <cell r="BS183">
            <v>5</v>
          </cell>
          <cell r="BT183">
            <v>2690</v>
          </cell>
          <cell r="BU183">
            <v>11</v>
          </cell>
          <cell r="BV183">
            <v>103.33</v>
          </cell>
          <cell r="BW183">
            <v>0</v>
          </cell>
          <cell r="BX183">
            <v>103.33</v>
          </cell>
          <cell r="BY183">
            <v>0</v>
          </cell>
          <cell r="BZ183">
            <v>103.33</v>
          </cell>
          <cell r="CA183">
            <v>0</v>
          </cell>
          <cell r="CB183">
            <v>538.01</v>
          </cell>
          <cell r="CC183">
            <v>1</v>
          </cell>
          <cell r="CD183">
            <v>848.00000000000011</v>
          </cell>
          <cell r="CE183">
            <v>1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33</v>
          </cell>
          <cell r="CQ183">
            <v>1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33</v>
          </cell>
          <cell r="CY183">
            <v>1</v>
          </cell>
          <cell r="CZ183">
            <v>266.66000000000003</v>
          </cell>
          <cell r="DA183">
            <v>1</v>
          </cell>
          <cell r="DB183">
            <v>206.66</v>
          </cell>
          <cell r="DC183">
            <v>0</v>
          </cell>
          <cell r="DD183">
            <v>144.66999999999999</v>
          </cell>
          <cell r="DE183">
            <v>1</v>
          </cell>
          <cell r="DF183">
            <v>360.01</v>
          </cell>
          <cell r="DG183">
            <v>1</v>
          </cell>
          <cell r="DH183">
            <v>978</v>
          </cell>
          <cell r="DI183">
            <v>3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H183">
            <v>0</v>
          </cell>
          <cell r="EI183">
            <v>0</v>
          </cell>
        </row>
        <row r="184">
          <cell r="A184" t="str">
            <v>SepKeyodhoo</v>
          </cell>
          <cell r="B184" t="str">
            <v>Sep</v>
          </cell>
          <cell r="C184" t="str">
            <v>V.</v>
          </cell>
          <cell r="D184" t="str">
            <v>Keyodhoo</v>
          </cell>
          <cell r="E184" t="str">
            <v>usage units less than billed</v>
          </cell>
          <cell r="F184">
            <v>41055</v>
          </cell>
          <cell r="G184">
            <v>202</v>
          </cell>
          <cell r="H184">
            <v>204</v>
          </cell>
          <cell r="I184">
            <v>0</v>
          </cell>
          <cell r="J184">
            <v>1</v>
          </cell>
          <cell r="K184">
            <v>203</v>
          </cell>
          <cell r="L184">
            <v>200</v>
          </cell>
          <cell r="M184">
            <v>3</v>
          </cell>
          <cell r="N184">
            <v>0</v>
          </cell>
          <cell r="O184">
            <v>2</v>
          </cell>
          <cell r="P184">
            <v>0</v>
          </cell>
          <cell r="Q184">
            <v>2</v>
          </cell>
          <cell r="R184">
            <v>2</v>
          </cell>
          <cell r="S184">
            <v>0</v>
          </cell>
          <cell r="T184">
            <v>205</v>
          </cell>
          <cell r="U184">
            <v>202</v>
          </cell>
          <cell r="V184">
            <v>3</v>
          </cell>
          <cell r="W184">
            <v>44492</v>
          </cell>
          <cell r="X184">
            <v>44492</v>
          </cell>
          <cell r="Y184">
            <v>0</v>
          </cell>
          <cell r="Z184">
            <v>44492</v>
          </cell>
          <cell r="AA184">
            <v>183851</v>
          </cell>
          <cell r="AB184">
            <v>0</v>
          </cell>
          <cell r="AC184">
            <v>183851</v>
          </cell>
          <cell r="AD184">
            <v>36</v>
          </cell>
          <cell r="AE184">
            <v>105</v>
          </cell>
          <cell r="AF184">
            <v>15365</v>
          </cell>
          <cell r="AG184">
            <v>70</v>
          </cell>
          <cell r="AH184">
            <v>2309.2800000000002</v>
          </cell>
          <cell r="AI184">
            <v>41</v>
          </cell>
          <cell r="AJ184">
            <v>1355.98</v>
          </cell>
          <cell r="AK184">
            <v>5</v>
          </cell>
          <cell r="AL184">
            <v>983.65</v>
          </cell>
          <cell r="AM184">
            <v>2</v>
          </cell>
          <cell r="AN184">
            <v>1825.09</v>
          </cell>
          <cell r="AO184">
            <v>9</v>
          </cell>
          <cell r="AP184">
            <v>6474</v>
          </cell>
          <cell r="AQ184">
            <v>57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11812.33</v>
          </cell>
          <cell r="BC184">
            <v>22</v>
          </cell>
          <cell r="BD184">
            <v>9358.8700000000008</v>
          </cell>
          <cell r="BE184">
            <v>37</v>
          </cell>
          <cell r="BF184">
            <v>5055.46</v>
          </cell>
          <cell r="BG184">
            <v>36</v>
          </cell>
          <cell r="BH184">
            <v>4165.34</v>
          </cell>
          <cell r="BI184">
            <v>34</v>
          </cell>
          <cell r="BJ184">
            <v>30392</v>
          </cell>
          <cell r="BK184">
            <v>129</v>
          </cell>
          <cell r="BL184">
            <v>630.65</v>
          </cell>
          <cell r="BM184">
            <v>5</v>
          </cell>
          <cell r="BN184">
            <v>546.65</v>
          </cell>
          <cell r="BO184">
            <v>0</v>
          </cell>
          <cell r="BP184">
            <v>492.66</v>
          </cell>
          <cell r="BQ184">
            <v>1</v>
          </cell>
          <cell r="BR184">
            <v>514.04</v>
          </cell>
          <cell r="BS184">
            <v>5</v>
          </cell>
          <cell r="BT184">
            <v>2184</v>
          </cell>
          <cell r="BU184">
            <v>11</v>
          </cell>
          <cell r="BV184">
            <v>93.33</v>
          </cell>
          <cell r="BW184">
            <v>0</v>
          </cell>
          <cell r="BX184">
            <v>93.33</v>
          </cell>
          <cell r="BY184">
            <v>0</v>
          </cell>
          <cell r="BZ184">
            <v>93.33</v>
          </cell>
          <cell r="CA184">
            <v>0</v>
          </cell>
          <cell r="CB184">
            <v>754.01</v>
          </cell>
          <cell r="CC184">
            <v>1</v>
          </cell>
          <cell r="CD184">
            <v>1034</v>
          </cell>
          <cell r="CE184">
            <v>1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58</v>
          </cell>
          <cell r="CQ184">
            <v>1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58</v>
          </cell>
          <cell r="CY184">
            <v>1</v>
          </cell>
          <cell r="CZ184">
            <v>266.66000000000003</v>
          </cell>
          <cell r="DA184">
            <v>1</v>
          </cell>
          <cell r="DB184">
            <v>206.66</v>
          </cell>
          <cell r="DC184">
            <v>0</v>
          </cell>
          <cell r="DD184">
            <v>144.66999999999999</v>
          </cell>
          <cell r="DE184">
            <v>1</v>
          </cell>
          <cell r="DF184">
            <v>295.01</v>
          </cell>
          <cell r="DG184">
            <v>1</v>
          </cell>
          <cell r="DH184">
            <v>913</v>
          </cell>
          <cell r="DI184">
            <v>3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H184">
            <v>0</v>
          </cell>
          <cell r="EI184">
            <v>0</v>
          </cell>
        </row>
        <row r="185">
          <cell r="A185" t="str">
            <v>OctKeyodhoo</v>
          </cell>
          <cell r="B185" t="str">
            <v>Oct</v>
          </cell>
          <cell r="C185" t="str">
            <v>V.</v>
          </cell>
          <cell r="D185" t="str">
            <v>Keyodhoo</v>
          </cell>
          <cell r="E185">
            <v>0</v>
          </cell>
          <cell r="F185">
            <v>41013</v>
          </cell>
          <cell r="G185">
            <v>198</v>
          </cell>
          <cell r="H185">
            <v>203</v>
          </cell>
          <cell r="I185">
            <v>1</v>
          </cell>
          <cell r="J185">
            <v>0</v>
          </cell>
          <cell r="K185">
            <v>204</v>
          </cell>
          <cell r="L185">
            <v>196</v>
          </cell>
          <cell r="M185">
            <v>8</v>
          </cell>
          <cell r="N185">
            <v>2</v>
          </cell>
          <cell r="O185">
            <v>2</v>
          </cell>
          <cell r="P185">
            <v>2</v>
          </cell>
          <cell r="Q185">
            <v>2</v>
          </cell>
          <cell r="R185">
            <v>2</v>
          </cell>
          <cell r="S185">
            <v>0</v>
          </cell>
          <cell r="T185">
            <v>206</v>
          </cell>
          <cell r="U185">
            <v>198</v>
          </cell>
          <cell r="V185">
            <v>8</v>
          </cell>
          <cell r="W185">
            <v>48560</v>
          </cell>
          <cell r="X185">
            <v>48560</v>
          </cell>
          <cell r="Y185">
            <v>0</v>
          </cell>
          <cell r="Z185">
            <v>48560</v>
          </cell>
          <cell r="AA185">
            <v>41013</v>
          </cell>
          <cell r="AB185">
            <v>2344</v>
          </cell>
          <cell r="AC185">
            <v>43357</v>
          </cell>
          <cell r="AD185">
            <v>37</v>
          </cell>
          <cell r="AE185">
            <v>105</v>
          </cell>
          <cell r="AF185">
            <v>15569</v>
          </cell>
          <cell r="AG185">
            <v>26</v>
          </cell>
          <cell r="AH185">
            <v>1972</v>
          </cell>
          <cell r="AI185">
            <v>42</v>
          </cell>
          <cell r="AJ185">
            <v>1167</v>
          </cell>
          <cell r="AK185">
            <v>2</v>
          </cell>
          <cell r="AL185">
            <v>778</v>
          </cell>
          <cell r="AM185">
            <v>4</v>
          </cell>
          <cell r="AN185">
            <v>2520</v>
          </cell>
          <cell r="AO185">
            <v>7</v>
          </cell>
          <cell r="AP185">
            <v>6437</v>
          </cell>
          <cell r="AQ185">
            <v>55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11250</v>
          </cell>
          <cell r="BC185">
            <v>25</v>
          </cell>
          <cell r="BD185">
            <v>9127</v>
          </cell>
          <cell r="BE185">
            <v>33</v>
          </cell>
          <cell r="BF185">
            <v>5392</v>
          </cell>
          <cell r="BG185">
            <v>30</v>
          </cell>
          <cell r="BH185">
            <v>4751</v>
          </cell>
          <cell r="BI185">
            <v>39</v>
          </cell>
          <cell r="BJ185">
            <v>30520</v>
          </cell>
          <cell r="BK185">
            <v>127</v>
          </cell>
          <cell r="BL185">
            <v>771</v>
          </cell>
          <cell r="BM185">
            <v>4</v>
          </cell>
          <cell r="BN185">
            <v>629</v>
          </cell>
          <cell r="BO185">
            <v>3</v>
          </cell>
          <cell r="BP185">
            <v>239</v>
          </cell>
          <cell r="BQ185">
            <v>2</v>
          </cell>
          <cell r="BR185">
            <v>240</v>
          </cell>
          <cell r="BS185">
            <v>2</v>
          </cell>
          <cell r="BT185">
            <v>1879</v>
          </cell>
          <cell r="BU185">
            <v>11</v>
          </cell>
          <cell r="BV185">
            <v>110</v>
          </cell>
          <cell r="BW185">
            <v>0</v>
          </cell>
          <cell r="BX185">
            <v>110</v>
          </cell>
          <cell r="BY185">
            <v>0</v>
          </cell>
          <cell r="BZ185">
            <v>110</v>
          </cell>
          <cell r="CA185">
            <v>0</v>
          </cell>
          <cell r="CB185">
            <v>796</v>
          </cell>
          <cell r="CC185">
            <v>1</v>
          </cell>
          <cell r="CD185">
            <v>1126</v>
          </cell>
          <cell r="CE185">
            <v>1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105</v>
          </cell>
          <cell r="CQ185">
            <v>1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105</v>
          </cell>
          <cell r="CY185">
            <v>1</v>
          </cell>
          <cell r="CZ185">
            <v>258</v>
          </cell>
          <cell r="DA185">
            <v>1</v>
          </cell>
          <cell r="DB185">
            <v>200</v>
          </cell>
          <cell r="DC185">
            <v>0</v>
          </cell>
          <cell r="DD185">
            <v>140</v>
          </cell>
          <cell r="DE185">
            <v>1</v>
          </cell>
          <cell r="DF185">
            <v>348</v>
          </cell>
          <cell r="DG185">
            <v>1</v>
          </cell>
          <cell r="DH185">
            <v>946</v>
          </cell>
          <cell r="DI185">
            <v>3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H185">
            <v>0</v>
          </cell>
          <cell r="EI185">
            <v>0</v>
          </cell>
        </row>
        <row r="186">
          <cell r="A186" t="str">
            <v>NovKeyodhoo</v>
          </cell>
          <cell r="B186" t="str">
            <v>Nov</v>
          </cell>
          <cell r="C186" t="str">
            <v>V.</v>
          </cell>
          <cell r="D186" t="str">
            <v>Keyodhoo</v>
          </cell>
          <cell r="E186" t="str">
            <v>generated units less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203387</v>
          </cell>
          <cell r="AB186">
            <v>3924</v>
          </cell>
          <cell r="AC186">
            <v>207311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H186">
            <v>0</v>
          </cell>
          <cell r="EI186">
            <v>0</v>
          </cell>
        </row>
        <row r="187">
          <cell r="A187" t="str">
            <v>DecKeyodhoo</v>
          </cell>
          <cell r="B187" t="str">
            <v>Dec</v>
          </cell>
          <cell r="C187" t="str">
            <v>V.</v>
          </cell>
          <cell r="D187" t="str">
            <v>Keyodhoo</v>
          </cell>
          <cell r="E187" t="str">
            <v>billed normal &amp; temp more than usage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207830</v>
          </cell>
          <cell r="AB187">
            <v>4087</v>
          </cell>
          <cell r="AC187">
            <v>211917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H187">
            <v>0</v>
          </cell>
          <cell r="EI187">
            <v>0</v>
          </cell>
        </row>
        <row r="188">
          <cell r="A188" t="str">
            <v>JanKunburudhoo</v>
          </cell>
          <cell r="B188" t="str">
            <v>Jan</v>
          </cell>
          <cell r="C188" t="str">
            <v>ADh.</v>
          </cell>
          <cell r="D188" t="str">
            <v>Kunburudhoo</v>
          </cell>
          <cell r="E188">
            <v>0</v>
          </cell>
          <cell r="F188">
            <v>26456</v>
          </cell>
          <cell r="G188">
            <v>94</v>
          </cell>
          <cell r="H188">
            <v>88</v>
          </cell>
          <cell r="I188">
            <v>0</v>
          </cell>
          <cell r="J188">
            <v>1</v>
          </cell>
          <cell r="K188">
            <v>87</v>
          </cell>
          <cell r="L188">
            <v>87</v>
          </cell>
          <cell r="M188">
            <v>1</v>
          </cell>
          <cell r="N188">
            <v>1</v>
          </cell>
          <cell r="O188">
            <v>7</v>
          </cell>
          <cell r="P188">
            <v>1</v>
          </cell>
          <cell r="Q188">
            <v>7</v>
          </cell>
          <cell r="R188">
            <v>7</v>
          </cell>
          <cell r="S188">
            <v>0</v>
          </cell>
          <cell r="T188">
            <v>94</v>
          </cell>
          <cell r="U188">
            <v>94</v>
          </cell>
          <cell r="V188">
            <v>1</v>
          </cell>
          <cell r="W188">
            <v>26899.5</v>
          </cell>
          <cell r="X188">
            <v>29483.9</v>
          </cell>
          <cell r="Y188">
            <v>0</v>
          </cell>
          <cell r="Z188">
            <v>29483.85</v>
          </cell>
          <cell r="AA188">
            <v>26456</v>
          </cell>
          <cell r="AB188">
            <v>1099</v>
          </cell>
          <cell r="AC188">
            <v>27555</v>
          </cell>
          <cell r="AD188">
            <v>24</v>
          </cell>
          <cell r="AE188">
            <v>57</v>
          </cell>
          <cell r="AF188">
            <v>9760</v>
          </cell>
          <cell r="AG188">
            <v>20</v>
          </cell>
          <cell r="AH188">
            <v>713.65</v>
          </cell>
          <cell r="AI188">
            <v>8</v>
          </cell>
          <cell r="AJ188">
            <v>428.33</v>
          </cell>
          <cell r="AK188">
            <v>3</v>
          </cell>
          <cell r="AL188">
            <v>260</v>
          </cell>
          <cell r="AM188">
            <v>1</v>
          </cell>
          <cell r="AN188">
            <v>601.02</v>
          </cell>
          <cell r="AO188">
            <v>2</v>
          </cell>
          <cell r="AP188">
            <v>2003</v>
          </cell>
          <cell r="AQ188">
            <v>14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 t="str">
            <v xml:space="preserve"> -   </v>
          </cell>
          <cell r="BA188" t="str">
            <v xml:space="preserve"> -   </v>
          </cell>
          <cell r="BB188">
            <v>6790.8</v>
          </cell>
          <cell r="BC188">
            <v>11</v>
          </cell>
          <cell r="BD188">
            <v>5319.24</v>
          </cell>
          <cell r="BE188">
            <v>16</v>
          </cell>
          <cell r="BF188">
            <v>3680.67</v>
          </cell>
          <cell r="BG188">
            <v>15</v>
          </cell>
          <cell r="BH188">
            <v>6031.29</v>
          </cell>
          <cell r="BI188">
            <v>29</v>
          </cell>
          <cell r="BJ188">
            <v>21822</v>
          </cell>
          <cell r="BK188">
            <v>71</v>
          </cell>
          <cell r="BL188">
            <v>430.99</v>
          </cell>
          <cell r="BM188">
            <v>2</v>
          </cell>
          <cell r="BN188">
            <v>297.33</v>
          </cell>
          <cell r="BO188">
            <v>1</v>
          </cell>
          <cell r="BP188">
            <v>190.67</v>
          </cell>
          <cell r="BQ188">
            <v>1</v>
          </cell>
          <cell r="BR188">
            <v>425.01</v>
          </cell>
          <cell r="BS188">
            <v>1</v>
          </cell>
          <cell r="BT188">
            <v>1344</v>
          </cell>
          <cell r="BU188">
            <v>5</v>
          </cell>
          <cell r="BV188">
            <v>206.66</v>
          </cell>
          <cell r="BW188" t="str">
            <v xml:space="preserve"> -   </v>
          </cell>
          <cell r="BX188">
            <v>206.66</v>
          </cell>
          <cell r="BY188" t="str">
            <v xml:space="preserve"> -   </v>
          </cell>
          <cell r="BZ188">
            <v>206.66</v>
          </cell>
          <cell r="CA188" t="str">
            <v xml:space="preserve"> -   </v>
          </cell>
          <cell r="CB188">
            <v>302.02</v>
          </cell>
          <cell r="CC188">
            <v>2</v>
          </cell>
          <cell r="CD188">
            <v>922</v>
          </cell>
          <cell r="CE188">
            <v>2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 t="str">
            <v xml:space="preserve"> -   </v>
          </cell>
          <cell r="CO188" t="str">
            <v xml:space="preserve"> -   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 t="str">
            <v xml:space="preserve"> -   </v>
          </cell>
          <cell r="CY188" t="str">
            <v xml:space="preserve"> -   </v>
          </cell>
          <cell r="CZ188">
            <v>206.66</v>
          </cell>
          <cell r="DA188" t="str">
            <v xml:space="preserve"> -   </v>
          </cell>
          <cell r="DB188">
            <v>149</v>
          </cell>
          <cell r="DC188">
            <v>1</v>
          </cell>
          <cell r="DD188">
            <v>9.34</v>
          </cell>
          <cell r="DE188">
            <v>1</v>
          </cell>
          <cell r="DF188" t="str">
            <v xml:space="preserve"> -   </v>
          </cell>
          <cell r="DG188" t="str">
            <v xml:space="preserve"> -   </v>
          </cell>
          <cell r="DH188">
            <v>365</v>
          </cell>
          <cell r="DI188">
            <v>2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 t="str">
            <v xml:space="preserve"> -   </v>
          </cell>
          <cell r="DS188" t="str">
            <v xml:space="preserve"> -   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 t="str">
            <v xml:space="preserve"> -   </v>
          </cell>
          <cell r="EC188" t="str">
            <v xml:space="preserve"> -   </v>
          </cell>
          <cell r="ED188">
            <v>0</v>
          </cell>
          <cell r="EE188">
            <v>0</v>
          </cell>
          <cell r="EF188">
            <v>0</v>
          </cell>
          <cell r="EH188">
            <v>0</v>
          </cell>
          <cell r="EI188">
            <v>0</v>
          </cell>
        </row>
        <row r="189">
          <cell r="A189" t="str">
            <v>FebKunburudhoo</v>
          </cell>
          <cell r="B189" t="str">
            <v>Feb</v>
          </cell>
          <cell r="C189" t="str">
            <v>ADh.</v>
          </cell>
          <cell r="D189" t="str">
            <v>Kunburudhoo</v>
          </cell>
          <cell r="E189">
            <v>0</v>
          </cell>
          <cell r="F189">
            <v>28637</v>
          </cell>
          <cell r="G189">
            <v>87</v>
          </cell>
          <cell r="H189">
            <v>87</v>
          </cell>
          <cell r="I189">
            <v>0</v>
          </cell>
          <cell r="J189">
            <v>0</v>
          </cell>
          <cell r="K189">
            <v>87</v>
          </cell>
          <cell r="L189">
            <v>87</v>
          </cell>
          <cell r="M189">
            <v>0</v>
          </cell>
          <cell r="N189">
            <v>7</v>
          </cell>
          <cell r="O189">
            <v>0</v>
          </cell>
          <cell r="P189">
            <v>7</v>
          </cell>
          <cell r="Q189">
            <v>0</v>
          </cell>
          <cell r="R189">
            <v>0</v>
          </cell>
          <cell r="S189">
            <v>0</v>
          </cell>
          <cell r="T189">
            <v>87</v>
          </cell>
          <cell r="U189">
            <v>87</v>
          </cell>
          <cell r="V189">
            <v>0</v>
          </cell>
          <cell r="W189">
            <v>25965</v>
          </cell>
          <cell r="X189">
            <v>31617.4</v>
          </cell>
          <cell r="Y189">
            <v>0</v>
          </cell>
          <cell r="Z189">
            <v>31617.43</v>
          </cell>
          <cell r="AA189">
            <v>28637</v>
          </cell>
          <cell r="AB189">
            <v>912</v>
          </cell>
          <cell r="AC189">
            <v>29549</v>
          </cell>
          <cell r="AD189">
            <v>28</v>
          </cell>
          <cell r="AE189">
            <v>65</v>
          </cell>
          <cell r="AF189">
            <v>8832</v>
          </cell>
          <cell r="AG189">
            <v>37</v>
          </cell>
          <cell r="AH189">
            <v>538.67999999999995</v>
          </cell>
          <cell r="AI189">
            <v>3</v>
          </cell>
          <cell r="AJ189">
            <v>365</v>
          </cell>
          <cell r="AK189">
            <v>2</v>
          </cell>
          <cell r="AL189">
            <v>213.34</v>
          </cell>
          <cell r="AM189" t="str">
            <v xml:space="preserve"> -   </v>
          </cell>
          <cell r="AN189">
            <v>677.98</v>
          </cell>
          <cell r="AO189">
            <v>2</v>
          </cell>
          <cell r="AP189">
            <v>1795</v>
          </cell>
          <cell r="AQ189">
            <v>7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 t="str">
            <v xml:space="preserve"> -   </v>
          </cell>
          <cell r="BA189" t="str">
            <v xml:space="preserve"> -   </v>
          </cell>
          <cell r="BB189">
            <v>6980.2</v>
          </cell>
          <cell r="BC189">
            <v>11</v>
          </cell>
          <cell r="BD189">
            <v>5607.76</v>
          </cell>
          <cell r="BE189">
            <v>16</v>
          </cell>
          <cell r="BF189">
            <v>3880.32</v>
          </cell>
          <cell r="BG189">
            <v>16</v>
          </cell>
          <cell r="BH189">
            <v>6835.72</v>
          </cell>
          <cell r="BI189">
            <v>28</v>
          </cell>
          <cell r="BJ189">
            <v>23304</v>
          </cell>
          <cell r="BK189">
            <v>71</v>
          </cell>
          <cell r="BL189">
            <v>441.01</v>
          </cell>
          <cell r="BM189">
            <v>2</v>
          </cell>
          <cell r="BN189">
            <v>320.01</v>
          </cell>
          <cell r="BO189" t="str">
            <v xml:space="preserve"> -   </v>
          </cell>
          <cell r="BP189">
            <v>215</v>
          </cell>
          <cell r="BQ189">
            <v>1</v>
          </cell>
          <cell r="BR189">
            <v>539.98</v>
          </cell>
          <cell r="BS189">
            <v>2</v>
          </cell>
          <cell r="BT189">
            <v>1516</v>
          </cell>
          <cell r="BU189">
            <v>5</v>
          </cell>
          <cell r="BV189">
            <v>213.34</v>
          </cell>
          <cell r="BW189" t="str">
            <v xml:space="preserve"> -   </v>
          </cell>
          <cell r="BX189">
            <v>213.34</v>
          </cell>
          <cell r="BY189" t="str">
            <v xml:space="preserve"> -   </v>
          </cell>
          <cell r="BZ189">
            <v>213.34</v>
          </cell>
          <cell r="CA189" t="str">
            <v xml:space="preserve"> -   </v>
          </cell>
          <cell r="CB189">
            <v>1004.98</v>
          </cell>
          <cell r="CC189">
            <v>2</v>
          </cell>
          <cell r="CD189">
            <v>1645</v>
          </cell>
          <cell r="CE189">
            <v>2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 t="str">
            <v xml:space="preserve"> -   </v>
          </cell>
          <cell r="CO189" t="str">
            <v xml:space="preserve"> -   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 t="str">
            <v xml:space="preserve"> -   </v>
          </cell>
          <cell r="CY189" t="str">
            <v xml:space="preserve"> -   </v>
          </cell>
          <cell r="CZ189">
            <v>213.34</v>
          </cell>
          <cell r="DA189" t="str">
            <v xml:space="preserve"> -   </v>
          </cell>
          <cell r="DB189">
            <v>154</v>
          </cell>
          <cell r="DC189">
            <v>1</v>
          </cell>
          <cell r="DD189">
            <v>9.66</v>
          </cell>
          <cell r="DE189">
            <v>1</v>
          </cell>
          <cell r="DF189" t="str">
            <v xml:space="preserve"> -   </v>
          </cell>
          <cell r="DG189" t="str">
            <v xml:space="preserve"> -   </v>
          </cell>
          <cell r="DH189">
            <v>377</v>
          </cell>
          <cell r="DI189">
            <v>2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 t="str">
            <v xml:space="preserve"> -   </v>
          </cell>
          <cell r="DS189" t="str">
            <v xml:space="preserve"> -   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 t="str">
            <v xml:space="preserve"> -   </v>
          </cell>
          <cell r="EC189" t="str">
            <v xml:space="preserve"> -   </v>
          </cell>
          <cell r="ED189">
            <v>0</v>
          </cell>
          <cell r="EE189">
            <v>0</v>
          </cell>
          <cell r="EF189">
            <v>0</v>
          </cell>
          <cell r="EH189">
            <v>0</v>
          </cell>
          <cell r="EI189">
            <v>0</v>
          </cell>
        </row>
        <row r="190">
          <cell r="A190" t="str">
            <v>MarKunburudhoo</v>
          </cell>
          <cell r="B190" t="str">
            <v>Mar</v>
          </cell>
          <cell r="C190" t="str">
            <v>ADh.</v>
          </cell>
          <cell r="D190" t="str">
            <v>Kunburudhoo</v>
          </cell>
          <cell r="E190">
            <v>0</v>
          </cell>
          <cell r="F190">
            <v>25288</v>
          </cell>
          <cell r="G190">
            <v>89</v>
          </cell>
          <cell r="H190">
            <v>88</v>
          </cell>
          <cell r="I190">
            <v>0</v>
          </cell>
          <cell r="J190">
            <v>0</v>
          </cell>
          <cell r="K190">
            <v>88</v>
          </cell>
          <cell r="L190">
            <v>87</v>
          </cell>
          <cell r="M190">
            <v>1</v>
          </cell>
          <cell r="N190">
            <v>2</v>
          </cell>
          <cell r="O190">
            <v>2</v>
          </cell>
          <cell r="P190">
            <v>2</v>
          </cell>
          <cell r="Q190">
            <v>2</v>
          </cell>
          <cell r="R190">
            <v>2</v>
          </cell>
          <cell r="S190">
            <v>0</v>
          </cell>
          <cell r="T190">
            <v>90</v>
          </cell>
          <cell r="U190">
            <v>89</v>
          </cell>
          <cell r="V190">
            <v>1</v>
          </cell>
          <cell r="W190">
            <v>36522.5</v>
          </cell>
          <cell r="X190">
            <v>36522.5</v>
          </cell>
          <cell r="Y190">
            <v>0</v>
          </cell>
          <cell r="Z190">
            <v>36522.5</v>
          </cell>
          <cell r="AA190">
            <v>25288</v>
          </cell>
          <cell r="AB190">
            <v>2367</v>
          </cell>
          <cell r="AC190">
            <v>27655</v>
          </cell>
          <cell r="AD190">
            <v>34</v>
          </cell>
          <cell r="AE190">
            <v>68</v>
          </cell>
          <cell r="AF190">
            <v>10275</v>
          </cell>
          <cell r="AG190">
            <v>30</v>
          </cell>
          <cell r="AH190">
            <v>515</v>
          </cell>
          <cell r="AI190">
            <v>5</v>
          </cell>
          <cell r="AJ190">
            <v>296</v>
          </cell>
          <cell r="AK190">
            <v>2</v>
          </cell>
          <cell r="AL190">
            <v>180</v>
          </cell>
          <cell r="AM190">
            <v>0</v>
          </cell>
          <cell r="AN190">
            <v>524</v>
          </cell>
          <cell r="AO190">
            <v>2</v>
          </cell>
          <cell r="AP190">
            <v>1515</v>
          </cell>
          <cell r="AQ190">
            <v>9</v>
          </cell>
          <cell r="AR190" t="str">
            <v xml:space="preserve"> -   </v>
          </cell>
          <cell r="AS190" t="str">
            <v xml:space="preserve"> -   </v>
          </cell>
          <cell r="AT190" t="str">
            <v xml:space="preserve"> -   </v>
          </cell>
          <cell r="AU190" t="str">
            <v xml:space="preserve"> -   </v>
          </cell>
          <cell r="AV190" t="str">
            <v xml:space="preserve"> -   </v>
          </cell>
          <cell r="AW190" t="str">
            <v xml:space="preserve"> -   </v>
          </cell>
          <cell r="AX190" t="str">
            <v xml:space="preserve"> -   </v>
          </cell>
          <cell r="AY190" t="str">
            <v xml:space="preserve"> -   </v>
          </cell>
          <cell r="AZ190" t="str">
            <v xml:space="preserve"> -   </v>
          </cell>
          <cell r="BA190" t="str">
            <v xml:space="preserve"> -   </v>
          </cell>
          <cell r="BB190">
            <v>5873</v>
          </cell>
          <cell r="BC190">
            <v>10</v>
          </cell>
          <cell r="BD190">
            <v>4798</v>
          </cell>
          <cell r="BE190">
            <v>15</v>
          </cell>
          <cell r="BF190">
            <v>3478</v>
          </cell>
          <cell r="BG190">
            <v>15</v>
          </cell>
          <cell r="BH190">
            <v>6480</v>
          </cell>
          <cell r="BI190">
            <v>31</v>
          </cell>
          <cell r="BJ190">
            <v>20629</v>
          </cell>
          <cell r="BK190">
            <v>71</v>
          </cell>
          <cell r="BL190">
            <v>352</v>
          </cell>
          <cell r="BM190">
            <v>2</v>
          </cell>
          <cell r="BN190">
            <v>270</v>
          </cell>
          <cell r="BO190" t="str">
            <v xml:space="preserve"> -   </v>
          </cell>
          <cell r="BP190">
            <v>222</v>
          </cell>
          <cell r="BQ190">
            <v>1</v>
          </cell>
          <cell r="BR190">
            <v>578</v>
          </cell>
          <cell r="BS190">
            <v>2</v>
          </cell>
          <cell r="BT190">
            <v>1422</v>
          </cell>
          <cell r="BU190">
            <v>5</v>
          </cell>
          <cell r="BV190">
            <v>180</v>
          </cell>
          <cell r="BW190" t="str">
            <v xml:space="preserve"> -   </v>
          </cell>
          <cell r="BX190">
            <v>180</v>
          </cell>
          <cell r="BY190" t="str">
            <v xml:space="preserve"> -   </v>
          </cell>
          <cell r="BZ190">
            <v>180</v>
          </cell>
          <cell r="CA190" t="str">
            <v xml:space="preserve"> -   </v>
          </cell>
          <cell r="CB190">
            <v>864</v>
          </cell>
          <cell r="CC190">
            <v>2</v>
          </cell>
          <cell r="CD190">
            <v>1404</v>
          </cell>
          <cell r="CE190">
            <v>2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 t="str">
            <v xml:space="preserve"> -   </v>
          </cell>
          <cell r="CO190" t="str">
            <v xml:space="preserve"> -   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 t="str">
            <v xml:space="preserve"> -   </v>
          </cell>
          <cell r="CY190" t="str">
            <v xml:space="preserve"> -   </v>
          </cell>
          <cell r="CZ190">
            <v>180</v>
          </cell>
          <cell r="DA190">
            <v>0</v>
          </cell>
          <cell r="DB190">
            <v>130</v>
          </cell>
          <cell r="DC190">
            <v>1</v>
          </cell>
          <cell r="DD190">
            <v>8</v>
          </cell>
          <cell r="DE190">
            <v>1</v>
          </cell>
          <cell r="DF190">
            <v>0</v>
          </cell>
          <cell r="DG190">
            <v>0</v>
          </cell>
          <cell r="DH190">
            <v>318</v>
          </cell>
          <cell r="DI190">
            <v>2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 t="str">
            <v xml:space="preserve"> -   </v>
          </cell>
          <cell r="DS190" t="str">
            <v xml:space="preserve"> -   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 t="str">
            <v xml:space="preserve"> -   </v>
          </cell>
          <cell r="EC190" t="str">
            <v xml:space="preserve"> -   </v>
          </cell>
          <cell r="ED190">
            <v>0</v>
          </cell>
          <cell r="EE190">
            <v>0</v>
          </cell>
          <cell r="EF190">
            <v>0</v>
          </cell>
          <cell r="EH190">
            <v>0</v>
          </cell>
          <cell r="EI190">
            <v>0</v>
          </cell>
        </row>
        <row r="191">
          <cell r="A191" t="str">
            <v>AprKunburudhoo</v>
          </cell>
          <cell r="B191" t="str">
            <v>Apr</v>
          </cell>
          <cell r="C191" t="str">
            <v>ADh.</v>
          </cell>
          <cell r="D191" t="str">
            <v>Kunburudhoo</v>
          </cell>
          <cell r="E191">
            <v>0</v>
          </cell>
          <cell r="F191">
            <v>28667</v>
          </cell>
          <cell r="G191">
            <v>89</v>
          </cell>
          <cell r="H191">
            <v>88</v>
          </cell>
          <cell r="I191">
            <v>0</v>
          </cell>
          <cell r="J191">
            <v>0</v>
          </cell>
          <cell r="K191">
            <v>88</v>
          </cell>
          <cell r="L191">
            <v>87</v>
          </cell>
          <cell r="M191">
            <v>1</v>
          </cell>
          <cell r="N191">
            <v>7</v>
          </cell>
          <cell r="O191">
            <v>2</v>
          </cell>
          <cell r="P191">
            <v>7</v>
          </cell>
          <cell r="Q191">
            <v>2</v>
          </cell>
          <cell r="R191">
            <v>2</v>
          </cell>
          <cell r="S191">
            <v>0</v>
          </cell>
          <cell r="T191">
            <v>90</v>
          </cell>
          <cell r="U191">
            <v>89</v>
          </cell>
          <cell r="V191">
            <v>1</v>
          </cell>
          <cell r="W191">
            <v>32041.5</v>
          </cell>
          <cell r="X191">
            <v>32041.5</v>
          </cell>
          <cell r="Y191">
            <v>0</v>
          </cell>
          <cell r="Z191">
            <v>32041.5</v>
          </cell>
          <cell r="AA191">
            <v>28667</v>
          </cell>
          <cell r="AB191">
            <v>2606</v>
          </cell>
          <cell r="AC191">
            <v>31273</v>
          </cell>
          <cell r="AD191">
            <v>14</v>
          </cell>
          <cell r="AE191">
            <v>70</v>
          </cell>
          <cell r="AF191">
            <v>10450</v>
          </cell>
          <cell r="AG191">
            <v>28</v>
          </cell>
          <cell r="AH191">
            <v>568.67999999999995</v>
          </cell>
          <cell r="AI191">
            <v>5</v>
          </cell>
          <cell r="AJ191">
            <v>365</v>
          </cell>
          <cell r="AK191">
            <v>2</v>
          </cell>
          <cell r="AL191">
            <v>213.34</v>
          </cell>
          <cell r="AM191">
            <v>0</v>
          </cell>
          <cell r="AN191">
            <v>677.98</v>
          </cell>
          <cell r="AO191">
            <v>2</v>
          </cell>
          <cell r="AP191">
            <v>1824.9999999999998</v>
          </cell>
          <cell r="AQ191">
            <v>9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6980.2</v>
          </cell>
          <cell r="BC191">
            <v>11</v>
          </cell>
          <cell r="BD191">
            <v>5607.76</v>
          </cell>
          <cell r="BE191">
            <v>16</v>
          </cell>
          <cell r="BF191">
            <v>3880.32</v>
          </cell>
          <cell r="BG191">
            <v>16</v>
          </cell>
          <cell r="BH191">
            <v>6835.72</v>
          </cell>
          <cell r="BI191">
            <v>28</v>
          </cell>
          <cell r="BJ191">
            <v>23304</v>
          </cell>
          <cell r="BK191">
            <v>71</v>
          </cell>
          <cell r="BL191">
            <v>441.01</v>
          </cell>
          <cell r="BM191">
            <v>2</v>
          </cell>
          <cell r="BN191">
            <v>320.01</v>
          </cell>
          <cell r="BO191">
            <v>0</v>
          </cell>
          <cell r="BP191">
            <v>215</v>
          </cell>
          <cell r="BQ191">
            <v>1</v>
          </cell>
          <cell r="BR191">
            <v>539.98</v>
          </cell>
          <cell r="BS191">
            <v>2</v>
          </cell>
          <cell r="BT191">
            <v>1516</v>
          </cell>
          <cell r="BU191">
            <v>5</v>
          </cell>
          <cell r="BV191">
            <v>213.34</v>
          </cell>
          <cell r="BW191">
            <v>0</v>
          </cell>
          <cell r="BX191">
            <v>213.34</v>
          </cell>
          <cell r="BY191">
            <v>0</v>
          </cell>
          <cell r="BZ191">
            <v>213.34</v>
          </cell>
          <cell r="CA191">
            <v>0</v>
          </cell>
          <cell r="CB191">
            <v>1004.98</v>
          </cell>
          <cell r="CC191">
            <v>2</v>
          </cell>
          <cell r="CD191">
            <v>1644.9999999999998</v>
          </cell>
          <cell r="CE191">
            <v>2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213.34</v>
          </cell>
          <cell r="DA191">
            <v>0</v>
          </cell>
          <cell r="DB191">
            <v>154</v>
          </cell>
          <cell r="DC191">
            <v>1</v>
          </cell>
          <cell r="DD191">
            <v>9.66</v>
          </cell>
          <cell r="DE191">
            <v>1</v>
          </cell>
          <cell r="DF191">
            <v>0</v>
          </cell>
          <cell r="DG191">
            <v>0</v>
          </cell>
          <cell r="DH191">
            <v>377.00000000000006</v>
          </cell>
          <cell r="DI191">
            <v>2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H191">
            <v>0</v>
          </cell>
          <cell r="EI191">
            <v>0</v>
          </cell>
        </row>
        <row r="192">
          <cell r="A192" t="str">
            <v>MayKunburudhoo</v>
          </cell>
          <cell r="B192" t="str">
            <v>May</v>
          </cell>
          <cell r="C192" t="str">
            <v>ADh.</v>
          </cell>
          <cell r="D192" t="str">
            <v>Kunburudhoo</v>
          </cell>
          <cell r="E192" t="str">
            <v>generated units less</v>
          </cell>
          <cell r="F192">
            <v>29596</v>
          </cell>
          <cell r="G192">
            <v>90</v>
          </cell>
          <cell r="H192">
            <v>88</v>
          </cell>
          <cell r="I192">
            <v>0</v>
          </cell>
          <cell r="J192">
            <v>0</v>
          </cell>
          <cell r="K192">
            <v>88</v>
          </cell>
          <cell r="L192">
            <v>89</v>
          </cell>
          <cell r="M192">
            <v>1</v>
          </cell>
          <cell r="N192">
            <v>1</v>
          </cell>
          <cell r="O192">
            <v>1</v>
          </cell>
          <cell r="P192">
            <v>1</v>
          </cell>
          <cell r="Q192">
            <v>1</v>
          </cell>
          <cell r="R192">
            <v>1</v>
          </cell>
          <cell r="S192">
            <v>0</v>
          </cell>
          <cell r="T192">
            <v>89</v>
          </cell>
          <cell r="U192">
            <v>90</v>
          </cell>
          <cell r="V192">
            <v>1</v>
          </cell>
          <cell r="W192">
            <v>32196.5</v>
          </cell>
          <cell r="X192">
            <v>32196.5</v>
          </cell>
          <cell r="Y192">
            <v>0</v>
          </cell>
          <cell r="Z192">
            <v>32196.5</v>
          </cell>
          <cell r="AA192">
            <v>29596</v>
          </cell>
          <cell r="AB192">
            <v>2818</v>
          </cell>
          <cell r="AC192">
            <v>32414</v>
          </cell>
          <cell r="AD192">
            <v>16</v>
          </cell>
          <cell r="AE192">
            <v>72</v>
          </cell>
          <cell r="AF192">
            <v>11735</v>
          </cell>
          <cell r="AG192">
            <v>24</v>
          </cell>
          <cell r="AH192">
            <v>621</v>
          </cell>
          <cell r="AI192">
            <v>6</v>
          </cell>
          <cell r="AJ192">
            <v>383</v>
          </cell>
          <cell r="AK192">
            <v>1</v>
          </cell>
          <cell r="AL192">
            <v>300</v>
          </cell>
          <cell r="AM192">
            <v>0</v>
          </cell>
          <cell r="AN192">
            <v>854</v>
          </cell>
          <cell r="AO192">
            <v>3</v>
          </cell>
          <cell r="AP192">
            <v>2158</v>
          </cell>
          <cell r="AQ192">
            <v>10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6570</v>
          </cell>
          <cell r="BC192">
            <v>12</v>
          </cell>
          <cell r="BD192">
            <v>5322</v>
          </cell>
          <cell r="BE192">
            <v>11</v>
          </cell>
          <cell r="BF192">
            <v>3964</v>
          </cell>
          <cell r="BG192">
            <v>14</v>
          </cell>
          <cell r="BH192">
            <v>7783</v>
          </cell>
          <cell r="BI192">
            <v>34</v>
          </cell>
          <cell r="BJ192">
            <v>23639</v>
          </cell>
          <cell r="BK192">
            <v>71</v>
          </cell>
          <cell r="BL192">
            <v>396</v>
          </cell>
          <cell r="BM192">
            <v>2</v>
          </cell>
          <cell r="BN192">
            <v>300</v>
          </cell>
          <cell r="BO192">
            <v>0</v>
          </cell>
          <cell r="BP192">
            <v>207</v>
          </cell>
          <cell r="BQ192">
            <v>1</v>
          </cell>
          <cell r="BR192">
            <v>806</v>
          </cell>
          <cell r="BS192">
            <v>2</v>
          </cell>
          <cell r="BT192">
            <v>1709</v>
          </cell>
          <cell r="BU192">
            <v>5</v>
          </cell>
          <cell r="BV192">
            <v>200</v>
          </cell>
          <cell r="BW192">
            <v>0</v>
          </cell>
          <cell r="BX192">
            <v>200</v>
          </cell>
          <cell r="BY192">
            <v>0</v>
          </cell>
          <cell r="BZ192">
            <v>200</v>
          </cell>
          <cell r="CA192">
            <v>0</v>
          </cell>
          <cell r="CB192">
            <v>1130</v>
          </cell>
          <cell r="CC192">
            <v>2</v>
          </cell>
          <cell r="CD192">
            <v>1730</v>
          </cell>
          <cell r="CE192">
            <v>2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200</v>
          </cell>
          <cell r="DA192">
            <v>0</v>
          </cell>
          <cell r="DB192">
            <v>144</v>
          </cell>
          <cell r="DC192">
            <v>1</v>
          </cell>
          <cell r="DD192">
            <v>16</v>
          </cell>
          <cell r="DE192">
            <v>1</v>
          </cell>
          <cell r="DF192">
            <v>0</v>
          </cell>
          <cell r="DG192">
            <v>0</v>
          </cell>
          <cell r="DH192">
            <v>360</v>
          </cell>
          <cell r="DI192">
            <v>2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H192">
            <v>0</v>
          </cell>
          <cell r="EI192">
            <v>0</v>
          </cell>
        </row>
        <row r="193">
          <cell r="A193" t="str">
            <v>JunKunburudhoo</v>
          </cell>
          <cell r="B193" t="str">
            <v>Jun</v>
          </cell>
          <cell r="C193" t="str">
            <v>ADh.</v>
          </cell>
          <cell r="D193" t="str">
            <v>Kunburudhoo</v>
          </cell>
          <cell r="E193">
            <v>0</v>
          </cell>
          <cell r="F193">
            <v>30259</v>
          </cell>
          <cell r="G193">
            <v>94</v>
          </cell>
          <cell r="H193">
            <v>89</v>
          </cell>
          <cell r="I193">
            <v>2</v>
          </cell>
          <cell r="J193">
            <v>0</v>
          </cell>
          <cell r="K193">
            <v>91</v>
          </cell>
          <cell r="L193">
            <v>91</v>
          </cell>
          <cell r="M193">
            <v>1</v>
          </cell>
          <cell r="N193">
            <v>1</v>
          </cell>
          <cell r="O193">
            <v>3</v>
          </cell>
          <cell r="P193">
            <v>1</v>
          </cell>
          <cell r="Q193">
            <v>3</v>
          </cell>
          <cell r="R193">
            <v>3</v>
          </cell>
          <cell r="S193">
            <v>0</v>
          </cell>
          <cell r="T193">
            <v>94</v>
          </cell>
          <cell r="U193">
            <v>94</v>
          </cell>
          <cell r="V193">
            <v>1</v>
          </cell>
          <cell r="W193">
            <v>34993.5</v>
          </cell>
          <cell r="X193">
            <v>34993.5</v>
          </cell>
          <cell r="Y193">
            <v>0</v>
          </cell>
          <cell r="Z193">
            <v>34993.5</v>
          </cell>
          <cell r="AA193">
            <v>30259</v>
          </cell>
          <cell r="AB193">
            <v>2178</v>
          </cell>
          <cell r="AC193">
            <v>32437</v>
          </cell>
          <cell r="AD193">
            <v>15</v>
          </cell>
          <cell r="AE193">
            <v>79</v>
          </cell>
          <cell r="AF193">
            <v>12550</v>
          </cell>
          <cell r="AG193">
            <v>44</v>
          </cell>
          <cell r="AH193">
            <v>802.65</v>
          </cell>
          <cell r="AI193">
            <v>7</v>
          </cell>
          <cell r="AJ193">
            <v>512.33000000000004</v>
          </cell>
          <cell r="AK193">
            <v>2</v>
          </cell>
          <cell r="AL193">
            <v>359.99</v>
          </cell>
          <cell r="AM193">
            <v>0</v>
          </cell>
          <cell r="AN193">
            <v>867.03</v>
          </cell>
          <cell r="AO193">
            <v>5</v>
          </cell>
          <cell r="AP193">
            <v>2542</v>
          </cell>
          <cell r="AQ193">
            <v>14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6819.13</v>
          </cell>
          <cell r="BC193">
            <v>10</v>
          </cell>
          <cell r="BD193">
            <v>5565.89</v>
          </cell>
          <cell r="BE193">
            <v>14</v>
          </cell>
          <cell r="BF193">
            <v>4117.67</v>
          </cell>
          <cell r="BG193">
            <v>16</v>
          </cell>
          <cell r="BH193">
            <v>8132.31</v>
          </cell>
          <cell r="BI193">
            <v>31</v>
          </cell>
          <cell r="BJ193">
            <v>24635</v>
          </cell>
          <cell r="BK193">
            <v>71</v>
          </cell>
          <cell r="BL193">
            <v>424</v>
          </cell>
          <cell r="BM193">
            <v>1</v>
          </cell>
          <cell r="BN193">
            <v>328.34</v>
          </cell>
          <cell r="BO193">
            <v>1</v>
          </cell>
          <cell r="BP193">
            <v>226.66</v>
          </cell>
          <cell r="BQ193">
            <v>1</v>
          </cell>
          <cell r="BR193">
            <v>740</v>
          </cell>
          <cell r="BS193">
            <v>2</v>
          </cell>
          <cell r="BT193">
            <v>1719</v>
          </cell>
          <cell r="BU193">
            <v>5</v>
          </cell>
          <cell r="BV193">
            <v>213.34</v>
          </cell>
          <cell r="BW193">
            <v>0</v>
          </cell>
          <cell r="BX193">
            <v>213.34</v>
          </cell>
          <cell r="BY193">
            <v>0</v>
          </cell>
          <cell r="BZ193">
            <v>213.34</v>
          </cell>
          <cell r="CA193">
            <v>0</v>
          </cell>
          <cell r="CB193">
            <v>357.98</v>
          </cell>
          <cell r="CC193">
            <v>2</v>
          </cell>
          <cell r="CD193">
            <v>998.00000000000011</v>
          </cell>
          <cell r="CE193">
            <v>2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206.66</v>
          </cell>
          <cell r="DA193">
            <v>0</v>
          </cell>
          <cell r="DB193">
            <v>149</v>
          </cell>
          <cell r="DC193">
            <v>1</v>
          </cell>
          <cell r="DD193">
            <v>9.34</v>
          </cell>
          <cell r="DE193">
            <v>1</v>
          </cell>
          <cell r="DF193">
            <v>0</v>
          </cell>
          <cell r="DG193">
            <v>0</v>
          </cell>
          <cell r="DH193">
            <v>364.99999999999994</v>
          </cell>
          <cell r="DI193">
            <v>2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H193">
            <v>0</v>
          </cell>
          <cell r="EI193">
            <v>0</v>
          </cell>
        </row>
        <row r="194">
          <cell r="A194" t="str">
            <v>JulKunburudhoo</v>
          </cell>
          <cell r="B194" t="str">
            <v>Jul</v>
          </cell>
          <cell r="C194" t="str">
            <v>ADh.</v>
          </cell>
          <cell r="D194" t="str">
            <v>Kunburudhoo</v>
          </cell>
          <cell r="E194">
            <v>0</v>
          </cell>
          <cell r="F194">
            <v>30259</v>
          </cell>
          <cell r="G194">
            <v>94</v>
          </cell>
          <cell r="H194">
            <v>89</v>
          </cell>
          <cell r="I194">
            <v>2</v>
          </cell>
          <cell r="J194">
            <v>0</v>
          </cell>
          <cell r="K194">
            <v>91</v>
          </cell>
          <cell r="L194">
            <v>91</v>
          </cell>
          <cell r="M194">
            <v>1</v>
          </cell>
          <cell r="N194">
            <v>1</v>
          </cell>
          <cell r="O194">
            <v>3</v>
          </cell>
          <cell r="P194">
            <v>1</v>
          </cell>
          <cell r="Q194">
            <v>3</v>
          </cell>
          <cell r="R194">
            <v>3</v>
          </cell>
          <cell r="S194">
            <v>0</v>
          </cell>
          <cell r="T194">
            <v>94</v>
          </cell>
          <cell r="U194">
            <v>94</v>
          </cell>
          <cell r="V194">
            <v>1</v>
          </cell>
          <cell r="W194">
            <v>34993.5</v>
          </cell>
          <cell r="X194">
            <v>34993.5</v>
          </cell>
          <cell r="Y194">
            <v>0</v>
          </cell>
          <cell r="Z194">
            <v>34993.5</v>
          </cell>
          <cell r="AA194">
            <v>30259</v>
          </cell>
          <cell r="AB194">
            <v>2178</v>
          </cell>
          <cell r="AC194">
            <v>32437</v>
          </cell>
          <cell r="AD194">
            <v>15</v>
          </cell>
          <cell r="AE194">
            <v>79</v>
          </cell>
          <cell r="AF194">
            <v>12550</v>
          </cell>
          <cell r="AG194">
            <v>44</v>
          </cell>
          <cell r="AH194">
            <v>802.65</v>
          </cell>
          <cell r="AI194">
            <v>7</v>
          </cell>
          <cell r="AJ194">
            <v>512.33000000000004</v>
          </cell>
          <cell r="AK194">
            <v>2</v>
          </cell>
          <cell r="AL194">
            <v>359.99</v>
          </cell>
          <cell r="AM194">
            <v>0</v>
          </cell>
          <cell r="AN194">
            <v>867.03</v>
          </cell>
          <cell r="AO194">
            <v>5</v>
          </cell>
          <cell r="AP194">
            <v>2542</v>
          </cell>
          <cell r="AQ194">
            <v>14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6819.13</v>
          </cell>
          <cell r="BC194">
            <v>10</v>
          </cell>
          <cell r="BD194">
            <v>5565.89</v>
          </cell>
          <cell r="BE194">
            <v>14</v>
          </cell>
          <cell r="BF194">
            <v>4117.67</v>
          </cell>
          <cell r="BG194">
            <v>16</v>
          </cell>
          <cell r="BH194">
            <v>8132.31</v>
          </cell>
          <cell r="BI194">
            <v>31</v>
          </cell>
          <cell r="BJ194">
            <v>24635</v>
          </cell>
          <cell r="BK194">
            <v>71</v>
          </cell>
          <cell r="BL194">
            <v>424</v>
          </cell>
          <cell r="BM194">
            <v>1</v>
          </cell>
          <cell r="BN194">
            <v>328.34</v>
          </cell>
          <cell r="BO194">
            <v>1</v>
          </cell>
          <cell r="BP194">
            <v>226.66</v>
          </cell>
          <cell r="BQ194">
            <v>1</v>
          </cell>
          <cell r="BR194">
            <v>740</v>
          </cell>
          <cell r="BS194">
            <v>2</v>
          </cell>
          <cell r="BT194">
            <v>1719</v>
          </cell>
          <cell r="BU194">
            <v>5</v>
          </cell>
          <cell r="BV194">
            <v>213.34</v>
          </cell>
          <cell r="BW194">
            <v>0</v>
          </cell>
          <cell r="BX194">
            <v>213.34</v>
          </cell>
          <cell r="BY194">
            <v>0</v>
          </cell>
          <cell r="BZ194">
            <v>213.34</v>
          </cell>
          <cell r="CA194">
            <v>0</v>
          </cell>
          <cell r="CB194">
            <v>357.98</v>
          </cell>
          <cell r="CC194">
            <v>2</v>
          </cell>
          <cell r="CD194">
            <v>998.00000000000011</v>
          </cell>
          <cell r="CE194">
            <v>2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206.66</v>
          </cell>
          <cell r="DA194">
            <v>0</v>
          </cell>
          <cell r="DB194">
            <v>149</v>
          </cell>
          <cell r="DC194">
            <v>1</v>
          </cell>
          <cell r="DD194">
            <v>9.34</v>
          </cell>
          <cell r="DE194">
            <v>1</v>
          </cell>
          <cell r="DF194">
            <v>0</v>
          </cell>
          <cell r="DG194">
            <v>0</v>
          </cell>
          <cell r="DH194">
            <v>364.99999999999994</v>
          </cell>
          <cell r="DI194">
            <v>2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H194">
            <v>0</v>
          </cell>
          <cell r="EI194">
            <v>0</v>
          </cell>
        </row>
        <row r="195">
          <cell r="A195" t="str">
            <v>AugKunburudhoo</v>
          </cell>
          <cell r="B195" t="str">
            <v>Aug</v>
          </cell>
          <cell r="C195" t="str">
            <v>ADh.</v>
          </cell>
          <cell r="D195" t="str">
            <v>Kunburudhoo</v>
          </cell>
          <cell r="E195">
            <v>0</v>
          </cell>
          <cell r="F195">
            <v>31229</v>
          </cell>
          <cell r="G195">
            <v>95</v>
          </cell>
          <cell r="H195">
            <v>91</v>
          </cell>
          <cell r="I195">
            <v>1</v>
          </cell>
          <cell r="J195">
            <v>0</v>
          </cell>
          <cell r="K195">
            <v>92</v>
          </cell>
          <cell r="L195">
            <v>93</v>
          </cell>
          <cell r="M195">
            <v>1</v>
          </cell>
          <cell r="N195">
            <v>3</v>
          </cell>
          <cell r="O195">
            <v>3</v>
          </cell>
          <cell r="P195">
            <v>3</v>
          </cell>
          <cell r="Q195">
            <v>3</v>
          </cell>
          <cell r="R195">
            <v>2</v>
          </cell>
          <cell r="S195">
            <v>0</v>
          </cell>
          <cell r="T195">
            <v>95</v>
          </cell>
          <cell r="U195">
            <v>95</v>
          </cell>
          <cell r="V195">
            <v>1</v>
          </cell>
          <cell r="W195">
            <v>36129.800000000003</v>
          </cell>
          <cell r="X195">
            <v>36129.800000000003</v>
          </cell>
          <cell r="Y195">
            <v>0</v>
          </cell>
          <cell r="Z195">
            <v>36129.800000000003</v>
          </cell>
          <cell r="AA195">
            <v>31229</v>
          </cell>
          <cell r="AB195">
            <v>2619</v>
          </cell>
          <cell r="AC195">
            <v>33848</v>
          </cell>
          <cell r="AD195">
            <v>20</v>
          </cell>
          <cell r="AE195">
            <v>76</v>
          </cell>
          <cell r="AF195">
            <v>10750</v>
          </cell>
          <cell r="AG195">
            <v>22</v>
          </cell>
          <cell r="AH195">
            <v>935.98</v>
          </cell>
          <cell r="AI195">
            <v>7</v>
          </cell>
          <cell r="AJ195">
            <v>527.66</v>
          </cell>
          <cell r="AK195">
            <v>2</v>
          </cell>
          <cell r="AL195">
            <v>413.32</v>
          </cell>
          <cell r="AM195">
            <v>0</v>
          </cell>
          <cell r="AN195">
            <v>1061.04</v>
          </cell>
          <cell r="AO195">
            <v>4</v>
          </cell>
          <cell r="AP195">
            <v>2938</v>
          </cell>
          <cell r="AQ195">
            <v>13</v>
          </cell>
          <cell r="AR195">
            <v>46.67</v>
          </cell>
          <cell r="AS195">
            <v>0</v>
          </cell>
          <cell r="AT195">
            <v>10</v>
          </cell>
          <cell r="AU195">
            <v>1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57</v>
          </cell>
          <cell r="BA195">
            <v>1</v>
          </cell>
          <cell r="BB195">
            <v>7009.79</v>
          </cell>
          <cell r="BC195">
            <v>9</v>
          </cell>
          <cell r="BD195">
            <v>5709.25</v>
          </cell>
          <cell r="BE195">
            <v>19</v>
          </cell>
          <cell r="BF195">
            <v>3898.65</v>
          </cell>
          <cell r="BG195">
            <v>13</v>
          </cell>
          <cell r="BH195">
            <v>7742.31</v>
          </cell>
          <cell r="BI195">
            <v>31</v>
          </cell>
          <cell r="BJ195">
            <v>24360</v>
          </cell>
          <cell r="BK195">
            <v>72</v>
          </cell>
          <cell r="BL195">
            <v>512.66</v>
          </cell>
          <cell r="BM195">
            <v>2</v>
          </cell>
          <cell r="BN195">
            <v>375</v>
          </cell>
          <cell r="BO195">
            <v>1</v>
          </cell>
          <cell r="BP195">
            <v>303.33</v>
          </cell>
          <cell r="BQ195">
            <v>0</v>
          </cell>
          <cell r="BR195">
            <v>1152.01</v>
          </cell>
          <cell r="BS195">
            <v>2</v>
          </cell>
          <cell r="BT195">
            <v>2343</v>
          </cell>
          <cell r="BU195">
            <v>5</v>
          </cell>
          <cell r="BV195">
            <v>206.66</v>
          </cell>
          <cell r="BW195">
            <v>0</v>
          </cell>
          <cell r="BX195">
            <v>206.66</v>
          </cell>
          <cell r="BY195">
            <v>0</v>
          </cell>
          <cell r="BZ195">
            <v>206.66</v>
          </cell>
          <cell r="CA195">
            <v>0</v>
          </cell>
          <cell r="CB195">
            <v>539.02</v>
          </cell>
          <cell r="CC195">
            <v>2</v>
          </cell>
          <cell r="CD195">
            <v>1159</v>
          </cell>
          <cell r="CE195">
            <v>2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206.66</v>
          </cell>
          <cell r="DA195">
            <v>0</v>
          </cell>
          <cell r="DB195">
            <v>149</v>
          </cell>
          <cell r="DC195">
            <v>1</v>
          </cell>
          <cell r="DD195">
            <v>16.34</v>
          </cell>
          <cell r="DE195">
            <v>1</v>
          </cell>
          <cell r="DF195">
            <v>0</v>
          </cell>
          <cell r="DG195">
            <v>0</v>
          </cell>
          <cell r="DH195">
            <v>371.99999999999994</v>
          </cell>
          <cell r="DI195">
            <v>2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H195">
            <v>0</v>
          </cell>
          <cell r="EI195">
            <v>0</v>
          </cell>
        </row>
        <row r="196">
          <cell r="A196" t="str">
            <v>SepKunburudhoo</v>
          </cell>
          <cell r="B196" t="str">
            <v>Sep</v>
          </cell>
          <cell r="C196" t="str">
            <v>ADh.</v>
          </cell>
          <cell r="D196" t="str">
            <v>Kunburudhoo</v>
          </cell>
          <cell r="E196" t="str">
            <v>usage units less than billed</v>
          </cell>
          <cell r="F196">
            <v>30455.33</v>
          </cell>
          <cell r="G196">
            <v>97</v>
          </cell>
          <cell r="H196">
            <v>95</v>
          </cell>
          <cell r="I196">
            <v>0</v>
          </cell>
          <cell r="J196">
            <v>0</v>
          </cell>
          <cell r="K196">
            <v>95</v>
          </cell>
          <cell r="L196">
            <v>94</v>
          </cell>
          <cell r="M196">
            <v>1</v>
          </cell>
          <cell r="N196">
            <v>2</v>
          </cell>
          <cell r="O196">
            <v>4</v>
          </cell>
          <cell r="P196">
            <v>3</v>
          </cell>
          <cell r="Q196">
            <v>3</v>
          </cell>
          <cell r="R196">
            <v>3</v>
          </cell>
          <cell r="S196">
            <v>1</v>
          </cell>
          <cell r="T196">
            <v>98</v>
          </cell>
          <cell r="U196">
            <v>97</v>
          </cell>
          <cell r="V196">
            <v>2</v>
          </cell>
          <cell r="W196">
            <v>35372.9</v>
          </cell>
          <cell r="X196">
            <v>35372.9</v>
          </cell>
          <cell r="Y196">
            <v>0</v>
          </cell>
          <cell r="Z196">
            <v>35372.9</v>
          </cell>
          <cell r="AA196">
            <v>30456</v>
          </cell>
          <cell r="AB196">
            <v>3071</v>
          </cell>
          <cell r="AC196">
            <v>33527</v>
          </cell>
          <cell r="AD196">
            <v>31</v>
          </cell>
          <cell r="AE196">
            <v>80</v>
          </cell>
          <cell r="AF196">
            <v>10575</v>
          </cell>
          <cell r="AG196">
            <v>22</v>
          </cell>
          <cell r="AH196">
            <v>997.31</v>
          </cell>
          <cell r="AI196">
            <v>7</v>
          </cell>
          <cell r="AJ196">
            <v>624.33000000000004</v>
          </cell>
          <cell r="AK196">
            <v>3</v>
          </cell>
          <cell r="AL196">
            <v>413.32</v>
          </cell>
          <cell r="AM196">
            <v>0</v>
          </cell>
          <cell r="AN196">
            <v>1112.04</v>
          </cell>
          <cell r="AO196">
            <v>4</v>
          </cell>
          <cell r="AP196">
            <v>3147</v>
          </cell>
          <cell r="AQ196">
            <v>14</v>
          </cell>
          <cell r="AR196">
            <v>93.33</v>
          </cell>
          <cell r="AS196">
            <v>0</v>
          </cell>
          <cell r="AT196">
            <v>93</v>
          </cell>
          <cell r="AU196">
            <v>0</v>
          </cell>
          <cell r="AV196">
            <v>45</v>
          </cell>
          <cell r="AW196">
            <v>1</v>
          </cell>
          <cell r="AX196">
            <v>0</v>
          </cell>
          <cell r="AY196">
            <v>0</v>
          </cell>
          <cell r="AZ196">
            <v>231.32999999999998</v>
          </cell>
          <cell r="BA196">
            <v>1</v>
          </cell>
          <cell r="BB196">
            <v>7047.79</v>
          </cell>
          <cell r="BC196">
            <v>9</v>
          </cell>
          <cell r="BD196">
            <v>5797.91</v>
          </cell>
          <cell r="BE196">
            <v>18</v>
          </cell>
          <cell r="BF196">
            <v>4015.99</v>
          </cell>
          <cell r="BG196">
            <v>15</v>
          </cell>
          <cell r="BH196">
            <v>7118.31</v>
          </cell>
          <cell r="BI196">
            <v>31</v>
          </cell>
          <cell r="BJ196">
            <v>23980</v>
          </cell>
          <cell r="BK196">
            <v>73</v>
          </cell>
          <cell r="BL196">
            <v>372.99</v>
          </cell>
          <cell r="BM196">
            <v>2</v>
          </cell>
          <cell r="BN196">
            <v>279.99</v>
          </cell>
          <cell r="BO196">
            <v>0</v>
          </cell>
          <cell r="BP196">
            <v>220</v>
          </cell>
          <cell r="BQ196">
            <v>1</v>
          </cell>
          <cell r="BR196">
            <v>534.02</v>
          </cell>
          <cell r="BS196">
            <v>2</v>
          </cell>
          <cell r="BT196">
            <v>1407</v>
          </cell>
          <cell r="BU196">
            <v>5</v>
          </cell>
          <cell r="BV196">
            <v>186.66</v>
          </cell>
          <cell r="BW196">
            <v>0</v>
          </cell>
          <cell r="BX196">
            <v>186.66</v>
          </cell>
          <cell r="BY196">
            <v>0</v>
          </cell>
          <cell r="BZ196">
            <v>186.66</v>
          </cell>
          <cell r="CA196">
            <v>0</v>
          </cell>
          <cell r="CB196">
            <v>758.02</v>
          </cell>
          <cell r="CC196">
            <v>2</v>
          </cell>
          <cell r="CD196">
            <v>1318</v>
          </cell>
          <cell r="CE196">
            <v>2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206.66</v>
          </cell>
          <cell r="DA196">
            <v>0</v>
          </cell>
          <cell r="DB196">
            <v>149</v>
          </cell>
          <cell r="DC196">
            <v>1</v>
          </cell>
          <cell r="DD196">
            <v>16.34</v>
          </cell>
          <cell r="DE196">
            <v>1</v>
          </cell>
          <cell r="DF196">
            <v>0</v>
          </cell>
          <cell r="DG196">
            <v>0</v>
          </cell>
          <cell r="DH196">
            <v>371.99999999999994</v>
          </cell>
          <cell r="DI196">
            <v>2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H196">
            <v>0</v>
          </cell>
          <cell r="EI196">
            <v>0</v>
          </cell>
        </row>
        <row r="197">
          <cell r="A197" t="str">
            <v>OctKunburudhoo</v>
          </cell>
          <cell r="B197" t="str">
            <v>Oct</v>
          </cell>
          <cell r="C197" t="str">
            <v>ADh.</v>
          </cell>
          <cell r="D197" t="str">
            <v>Kunburudhoo</v>
          </cell>
          <cell r="E197">
            <v>0</v>
          </cell>
          <cell r="F197">
            <v>30477</v>
          </cell>
          <cell r="G197">
            <v>97</v>
          </cell>
          <cell r="H197">
            <v>95</v>
          </cell>
          <cell r="I197">
            <v>0</v>
          </cell>
          <cell r="J197">
            <v>0</v>
          </cell>
          <cell r="K197">
            <v>95</v>
          </cell>
          <cell r="L197">
            <v>94</v>
          </cell>
          <cell r="M197">
            <v>1</v>
          </cell>
          <cell r="N197">
            <v>3</v>
          </cell>
          <cell r="O197">
            <v>2</v>
          </cell>
          <cell r="P197">
            <v>2</v>
          </cell>
          <cell r="Q197">
            <v>3</v>
          </cell>
          <cell r="R197">
            <v>3</v>
          </cell>
          <cell r="S197">
            <v>0</v>
          </cell>
          <cell r="T197">
            <v>98</v>
          </cell>
          <cell r="U197">
            <v>97</v>
          </cell>
          <cell r="V197">
            <v>1</v>
          </cell>
          <cell r="W197">
            <v>36437.699999999997</v>
          </cell>
          <cell r="X197">
            <v>36437.699999999997</v>
          </cell>
          <cell r="Y197">
            <v>0</v>
          </cell>
          <cell r="Z197">
            <v>36437.699999999997</v>
          </cell>
          <cell r="AA197">
            <v>30477</v>
          </cell>
          <cell r="AB197">
            <v>3158</v>
          </cell>
          <cell r="AC197">
            <v>33635</v>
          </cell>
          <cell r="AD197">
            <v>32</v>
          </cell>
          <cell r="AE197">
            <v>81</v>
          </cell>
          <cell r="AF197">
            <v>11025</v>
          </cell>
          <cell r="AG197">
            <v>12</v>
          </cell>
          <cell r="AH197">
            <v>1025.67</v>
          </cell>
          <cell r="AI197">
            <v>4</v>
          </cell>
          <cell r="AJ197">
            <v>784.67</v>
          </cell>
          <cell r="AK197">
            <v>3</v>
          </cell>
          <cell r="AL197">
            <v>563.66</v>
          </cell>
          <cell r="AM197">
            <v>3</v>
          </cell>
          <cell r="AN197">
            <v>1056</v>
          </cell>
          <cell r="AO197">
            <v>4</v>
          </cell>
          <cell r="AP197">
            <v>3430</v>
          </cell>
          <cell r="AQ197">
            <v>14</v>
          </cell>
          <cell r="AR197">
            <v>110</v>
          </cell>
          <cell r="AS197">
            <v>0</v>
          </cell>
          <cell r="AT197">
            <v>110</v>
          </cell>
          <cell r="AU197">
            <v>0</v>
          </cell>
          <cell r="AV197">
            <v>42</v>
          </cell>
          <cell r="AW197">
            <v>1</v>
          </cell>
          <cell r="AX197">
            <v>0</v>
          </cell>
          <cell r="AY197">
            <v>0</v>
          </cell>
          <cell r="AZ197">
            <v>262</v>
          </cell>
          <cell r="BA197">
            <v>1</v>
          </cell>
          <cell r="BB197">
            <v>6821</v>
          </cell>
          <cell r="BC197">
            <v>9</v>
          </cell>
          <cell r="BD197">
            <v>5577</v>
          </cell>
          <cell r="BE197">
            <v>18</v>
          </cell>
          <cell r="BF197">
            <v>3934</v>
          </cell>
          <cell r="BG197">
            <v>12</v>
          </cell>
          <cell r="BH197">
            <v>7209</v>
          </cell>
          <cell r="BI197">
            <v>34</v>
          </cell>
          <cell r="BJ197">
            <v>23541</v>
          </cell>
          <cell r="BK197">
            <v>73</v>
          </cell>
          <cell r="BL197">
            <v>443</v>
          </cell>
          <cell r="BM197">
            <v>1</v>
          </cell>
          <cell r="BN197">
            <v>306</v>
          </cell>
          <cell r="BO197">
            <v>2</v>
          </cell>
          <cell r="BP197">
            <v>220</v>
          </cell>
          <cell r="BQ197">
            <v>0</v>
          </cell>
          <cell r="BR197">
            <v>469</v>
          </cell>
          <cell r="BS197">
            <v>2</v>
          </cell>
          <cell r="BT197">
            <v>1438</v>
          </cell>
          <cell r="BU197">
            <v>5</v>
          </cell>
          <cell r="BV197">
            <v>220</v>
          </cell>
          <cell r="BW197">
            <v>0</v>
          </cell>
          <cell r="BX197">
            <v>220</v>
          </cell>
          <cell r="BY197">
            <v>0</v>
          </cell>
          <cell r="BZ197">
            <v>220</v>
          </cell>
          <cell r="CA197">
            <v>0</v>
          </cell>
          <cell r="CB197">
            <v>786</v>
          </cell>
          <cell r="CC197">
            <v>2</v>
          </cell>
          <cell r="CD197">
            <v>1446</v>
          </cell>
          <cell r="CE197">
            <v>2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200</v>
          </cell>
          <cell r="DA197">
            <v>0</v>
          </cell>
          <cell r="DB197">
            <v>144</v>
          </cell>
          <cell r="DC197">
            <v>1</v>
          </cell>
          <cell r="DD197">
            <v>16</v>
          </cell>
          <cell r="DE197">
            <v>1</v>
          </cell>
          <cell r="DF197">
            <v>0</v>
          </cell>
          <cell r="DG197">
            <v>0</v>
          </cell>
          <cell r="DH197">
            <v>360</v>
          </cell>
          <cell r="DI197">
            <v>2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H197">
            <v>0</v>
          </cell>
          <cell r="EI197">
            <v>0</v>
          </cell>
        </row>
        <row r="198">
          <cell r="A198" t="str">
            <v>NovKunburudhoo</v>
          </cell>
          <cell r="B198" t="str">
            <v>Nov</v>
          </cell>
          <cell r="C198" t="str">
            <v>ADh.</v>
          </cell>
          <cell r="D198" t="str">
            <v>Kunburudhoo</v>
          </cell>
          <cell r="E198" t="str">
            <v>billed normal &amp; temp less than billed cons.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H198">
            <v>0</v>
          </cell>
          <cell r="EI198">
            <v>0</v>
          </cell>
        </row>
        <row r="199">
          <cell r="A199" t="str">
            <v>DecKunburudhoo</v>
          </cell>
          <cell r="B199" t="str">
            <v>Dec</v>
          </cell>
          <cell r="C199" t="str">
            <v>ADh.</v>
          </cell>
          <cell r="D199" t="str">
            <v>Kunburudhoo</v>
          </cell>
          <cell r="E199" t="str">
            <v>generated units less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H199">
            <v>0</v>
          </cell>
          <cell r="EI199">
            <v>0</v>
          </cell>
        </row>
        <row r="200">
          <cell r="A200" t="str">
            <v>JanMaafushi</v>
          </cell>
          <cell r="B200" t="str">
            <v>Jan</v>
          </cell>
          <cell r="C200" t="str">
            <v>K.</v>
          </cell>
          <cell r="D200" t="str">
            <v>Maafushi</v>
          </cell>
          <cell r="E200">
            <v>0</v>
          </cell>
          <cell r="F200">
            <v>405251</v>
          </cell>
          <cell r="G200">
            <v>450</v>
          </cell>
          <cell r="H200">
            <v>465</v>
          </cell>
          <cell r="I200">
            <v>3</v>
          </cell>
          <cell r="J200">
            <v>0</v>
          </cell>
          <cell r="K200">
            <v>468</v>
          </cell>
          <cell r="L200">
            <v>447</v>
          </cell>
          <cell r="M200">
            <v>21</v>
          </cell>
          <cell r="N200">
            <v>2</v>
          </cell>
          <cell r="O200">
            <v>1</v>
          </cell>
          <cell r="P200">
            <v>0</v>
          </cell>
          <cell r="Q200">
            <v>3</v>
          </cell>
          <cell r="R200">
            <v>3</v>
          </cell>
          <cell r="S200">
            <v>0</v>
          </cell>
          <cell r="T200">
            <v>471</v>
          </cell>
          <cell r="U200">
            <v>450</v>
          </cell>
          <cell r="V200">
            <v>21</v>
          </cell>
          <cell r="W200">
            <v>429213</v>
          </cell>
          <cell r="X200">
            <v>429213</v>
          </cell>
          <cell r="Y200">
            <v>16821</v>
          </cell>
          <cell r="Z200">
            <v>446034</v>
          </cell>
          <cell r="AA200">
            <v>405251</v>
          </cell>
          <cell r="AB200">
            <v>8010</v>
          </cell>
          <cell r="AC200">
            <v>413261</v>
          </cell>
          <cell r="AD200">
            <v>430</v>
          </cell>
          <cell r="AE200">
            <v>840</v>
          </cell>
          <cell r="AF200">
            <v>122235</v>
          </cell>
          <cell r="AG200">
            <v>358</v>
          </cell>
          <cell r="AH200">
            <v>9716.3799999999992</v>
          </cell>
          <cell r="AI200">
            <v>32</v>
          </cell>
          <cell r="AJ200">
            <v>8382.44</v>
          </cell>
          <cell r="AK200">
            <v>9</v>
          </cell>
          <cell r="AL200">
            <v>7698.47</v>
          </cell>
          <cell r="AM200">
            <v>6</v>
          </cell>
          <cell r="AN200">
            <v>94973.71</v>
          </cell>
          <cell r="AO200">
            <v>71</v>
          </cell>
          <cell r="AP200">
            <v>120771</v>
          </cell>
          <cell r="AQ200">
            <v>118</v>
          </cell>
          <cell r="AR200">
            <v>925.64</v>
          </cell>
          <cell r="AS200">
            <v>3</v>
          </cell>
          <cell r="AT200">
            <v>779.98</v>
          </cell>
          <cell r="AU200">
            <v>1</v>
          </cell>
          <cell r="AV200">
            <v>666.32</v>
          </cell>
          <cell r="AW200">
            <v>1</v>
          </cell>
          <cell r="AX200">
            <v>8724.06</v>
          </cell>
          <cell r="AY200">
            <v>6</v>
          </cell>
          <cell r="AZ200">
            <v>11096</v>
          </cell>
          <cell r="BA200">
            <v>11</v>
          </cell>
          <cell r="BB200">
            <v>28981.11</v>
          </cell>
          <cell r="BC200">
            <v>30</v>
          </cell>
          <cell r="BD200">
            <v>26497.63</v>
          </cell>
          <cell r="BE200">
            <v>31</v>
          </cell>
          <cell r="BF200">
            <v>23309.18</v>
          </cell>
          <cell r="BG200">
            <v>31</v>
          </cell>
          <cell r="BH200">
            <v>99578.08</v>
          </cell>
          <cell r="BI200">
            <v>208</v>
          </cell>
          <cell r="BJ200">
            <v>178366</v>
          </cell>
          <cell r="BK200">
            <v>300</v>
          </cell>
          <cell r="BL200">
            <v>619.98</v>
          </cell>
          <cell r="BM200" t="str">
            <v xml:space="preserve"> -   </v>
          </cell>
          <cell r="BN200">
            <v>619.98</v>
          </cell>
          <cell r="BO200" t="str">
            <v xml:space="preserve"> -   </v>
          </cell>
          <cell r="BP200">
            <v>619.98</v>
          </cell>
          <cell r="BQ200" t="str">
            <v xml:space="preserve"> -   </v>
          </cell>
          <cell r="BR200">
            <v>79107.06</v>
          </cell>
          <cell r="BS200">
            <v>6</v>
          </cell>
          <cell r="BT200">
            <v>80967</v>
          </cell>
          <cell r="BU200">
            <v>6</v>
          </cell>
          <cell r="BV200">
            <v>206.66</v>
          </cell>
          <cell r="BW200" t="str">
            <v xml:space="preserve"> -   </v>
          </cell>
          <cell r="BX200">
            <v>206.66</v>
          </cell>
          <cell r="BY200" t="str">
            <v xml:space="preserve"> -   </v>
          </cell>
          <cell r="BZ200">
            <v>206.66</v>
          </cell>
          <cell r="CA200" t="str">
            <v xml:space="preserve"> -   </v>
          </cell>
          <cell r="CB200">
            <v>3255.02</v>
          </cell>
          <cell r="CC200">
            <v>2</v>
          </cell>
          <cell r="CD200">
            <v>3875</v>
          </cell>
          <cell r="CE200">
            <v>2</v>
          </cell>
          <cell r="CF200">
            <v>887.31</v>
          </cell>
          <cell r="CG200">
            <v>4</v>
          </cell>
          <cell r="CH200">
            <v>668.65</v>
          </cell>
          <cell r="CI200">
            <v>1</v>
          </cell>
          <cell r="CJ200">
            <v>619.98</v>
          </cell>
          <cell r="CK200" t="str">
            <v xml:space="preserve"> -   </v>
          </cell>
          <cell r="CL200">
            <v>4400.0600000000004</v>
          </cell>
          <cell r="CM200">
            <v>6</v>
          </cell>
          <cell r="CN200">
            <v>6576</v>
          </cell>
          <cell r="CO200">
            <v>11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 t="str">
            <v xml:space="preserve"> -   </v>
          </cell>
          <cell r="CY200" t="str">
            <v xml:space="preserve"> -   </v>
          </cell>
          <cell r="CZ200">
            <v>103.33</v>
          </cell>
          <cell r="DA200" t="str">
            <v xml:space="preserve"> -   </v>
          </cell>
          <cell r="DB200">
            <v>103.33</v>
          </cell>
          <cell r="DC200" t="str">
            <v xml:space="preserve"> -   </v>
          </cell>
          <cell r="DD200">
            <v>103.33</v>
          </cell>
          <cell r="DE200" t="str">
            <v xml:space="preserve"> -   </v>
          </cell>
          <cell r="DF200">
            <v>1654.01</v>
          </cell>
          <cell r="DG200">
            <v>1</v>
          </cell>
          <cell r="DH200">
            <v>1964</v>
          </cell>
          <cell r="DI200">
            <v>1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 t="str">
            <v xml:space="preserve"> -   </v>
          </cell>
          <cell r="DS200" t="str">
            <v xml:space="preserve"> -   </v>
          </cell>
          <cell r="DT200">
            <v>103.33</v>
          </cell>
          <cell r="DU200" t="str">
            <v xml:space="preserve"> -   </v>
          </cell>
          <cell r="DV200">
            <v>103.33</v>
          </cell>
          <cell r="DW200" t="str">
            <v xml:space="preserve"> -   </v>
          </cell>
          <cell r="DX200">
            <v>103.33</v>
          </cell>
          <cell r="DY200" t="str">
            <v xml:space="preserve"> -   </v>
          </cell>
          <cell r="DZ200">
            <v>1326.01</v>
          </cell>
          <cell r="EA200">
            <v>1</v>
          </cell>
          <cell r="EB200">
            <v>1636</v>
          </cell>
          <cell r="EC200">
            <v>1</v>
          </cell>
          <cell r="ED200">
            <v>0</v>
          </cell>
          <cell r="EE200">
            <v>0</v>
          </cell>
          <cell r="EF200">
            <v>0</v>
          </cell>
          <cell r="EH200">
            <v>0</v>
          </cell>
          <cell r="EI200">
            <v>0</v>
          </cell>
        </row>
        <row r="201">
          <cell r="A201" t="str">
            <v>FebMaafushi</v>
          </cell>
          <cell r="B201" t="str">
            <v>Feb</v>
          </cell>
          <cell r="C201" t="str">
            <v>K.</v>
          </cell>
          <cell r="D201" t="str">
            <v>Maafushi</v>
          </cell>
          <cell r="E201">
            <v>0</v>
          </cell>
          <cell r="F201">
            <v>377963</v>
          </cell>
          <cell r="G201">
            <v>444</v>
          </cell>
          <cell r="H201">
            <v>468</v>
          </cell>
          <cell r="I201">
            <v>0</v>
          </cell>
          <cell r="J201">
            <v>0</v>
          </cell>
          <cell r="K201">
            <v>468</v>
          </cell>
          <cell r="L201">
            <v>441</v>
          </cell>
          <cell r="M201">
            <v>27</v>
          </cell>
          <cell r="N201">
            <v>3</v>
          </cell>
          <cell r="O201">
            <v>0</v>
          </cell>
          <cell r="P201">
            <v>0</v>
          </cell>
          <cell r="Q201">
            <v>3</v>
          </cell>
          <cell r="R201">
            <v>3</v>
          </cell>
          <cell r="S201">
            <v>0</v>
          </cell>
          <cell r="T201">
            <v>471</v>
          </cell>
          <cell r="U201">
            <v>444</v>
          </cell>
          <cell r="V201">
            <v>27</v>
          </cell>
          <cell r="W201">
            <v>404243</v>
          </cell>
          <cell r="X201">
            <v>404243</v>
          </cell>
          <cell r="Y201">
            <v>15707</v>
          </cell>
          <cell r="Z201">
            <v>419950</v>
          </cell>
          <cell r="AA201">
            <v>377963</v>
          </cell>
          <cell r="AB201">
            <v>5536</v>
          </cell>
          <cell r="AC201">
            <v>383499</v>
          </cell>
          <cell r="AD201">
            <v>320</v>
          </cell>
          <cell r="AE201">
            <v>864</v>
          </cell>
          <cell r="AF201">
            <v>112961</v>
          </cell>
          <cell r="AG201">
            <v>371</v>
          </cell>
          <cell r="AH201">
            <v>9094.3700000000008</v>
          </cell>
          <cell r="AI201">
            <v>28</v>
          </cell>
          <cell r="AJ201">
            <v>8014.09</v>
          </cell>
          <cell r="AK201">
            <v>8</v>
          </cell>
          <cell r="AL201">
            <v>7213.78</v>
          </cell>
          <cell r="AM201">
            <v>5</v>
          </cell>
          <cell r="AN201">
            <v>92818.76</v>
          </cell>
          <cell r="AO201">
            <v>76</v>
          </cell>
          <cell r="AP201">
            <v>117141</v>
          </cell>
          <cell r="AQ201">
            <v>117</v>
          </cell>
          <cell r="AR201">
            <v>831.64</v>
          </cell>
          <cell r="AS201">
            <v>3</v>
          </cell>
          <cell r="AT201">
            <v>736.98</v>
          </cell>
          <cell r="AU201">
            <v>1</v>
          </cell>
          <cell r="AV201">
            <v>573.32000000000005</v>
          </cell>
          <cell r="AW201">
            <v>1</v>
          </cell>
          <cell r="AX201">
            <v>8906.06</v>
          </cell>
          <cell r="AY201">
            <v>6</v>
          </cell>
          <cell r="AZ201">
            <v>11048</v>
          </cell>
          <cell r="BA201">
            <v>11</v>
          </cell>
          <cell r="BB201">
            <v>25932.1</v>
          </cell>
          <cell r="BC201">
            <v>25</v>
          </cell>
          <cell r="BD201">
            <v>23937.62</v>
          </cell>
          <cell r="BE201">
            <v>28</v>
          </cell>
          <cell r="BF201">
            <v>20779.25</v>
          </cell>
          <cell r="BG201">
            <v>39</v>
          </cell>
          <cell r="BH201">
            <v>90259.03</v>
          </cell>
          <cell r="BI201">
            <v>203</v>
          </cell>
          <cell r="BJ201">
            <v>160908</v>
          </cell>
          <cell r="BK201">
            <v>295</v>
          </cell>
          <cell r="BL201">
            <v>559.98</v>
          </cell>
          <cell r="BM201" t="str">
            <v xml:space="preserve"> -   </v>
          </cell>
          <cell r="BN201">
            <v>559.98</v>
          </cell>
          <cell r="BO201" t="str">
            <v xml:space="preserve"> -   </v>
          </cell>
          <cell r="BP201">
            <v>559.98</v>
          </cell>
          <cell r="BQ201" t="str">
            <v xml:space="preserve"> -   </v>
          </cell>
          <cell r="BR201">
            <v>73841.06</v>
          </cell>
          <cell r="BS201">
            <v>6</v>
          </cell>
          <cell r="BT201">
            <v>75521</v>
          </cell>
          <cell r="BU201">
            <v>6</v>
          </cell>
          <cell r="BV201">
            <v>186.66</v>
          </cell>
          <cell r="BW201" t="str">
            <v xml:space="preserve"> -   </v>
          </cell>
          <cell r="BX201">
            <v>186.66</v>
          </cell>
          <cell r="BY201" t="str">
            <v xml:space="preserve"> -   </v>
          </cell>
          <cell r="BZ201">
            <v>186.66</v>
          </cell>
          <cell r="CA201" t="str">
            <v xml:space="preserve"> -   </v>
          </cell>
          <cell r="CB201">
            <v>3377.02</v>
          </cell>
          <cell r="CC201">
            <v>2</v>
          </cell>
          <cell r="CD201">
            <v>3937</v>
          </cell>
          <cell r="CE201">
            <v>2</v>
          </cell>
          <cell r="CF201">
            <v>858.31</v>
          </cell>
          <cell r="CG201">
            <v>4</v>
          </cell>
          <cell r="CH201">
            <v>598.65</v>
          </cell>
          <cell r="CI201">
            <v>1</v>
          </cell>
          <cell r="CJ201">
            <v>546.99</v>
          </cell>
          <cell r="CK201">
            <v>1</v>
          </cell>
          <cell r="CL201">
            <v>4024.05</v>
          </cell>
          <cell r="CM201">
            <v>5</v>
          </cell>
          <cell r="CN201">
            <v>6028</v>
          </cell>
          <cell r="CO201">
            <v>11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 t="str">
            <v xml:space="preserve"> -   </v>
          </cell>
          <cell r="CY201" t="str">
            <v xml:space="preserve"> -   </v>
          </cell>
          <cell r="CZ201">
            <v>93.33</v>
          </cell>
          <cell r="DA201" t="str">
            <v xml:space="preserve"> -   </v>
          </cell>
          <cell r="DB201">
            <v>93.33</v>
          </cell>
          <cell r="DC201" t="str">
            <v xml:space="preserve"> -   </v>
          </cell>
          <cell r="DD201">
            <v>93.33</v>
          </cell>
          <cell r="DE201" t="str">
            <v xml:space="preserve"> -   </v>
          </cell>
          <cell r="DF201">
            <v>1494.01</v>
          </cell>
          <cell r="DG201">
            <v>1</v>
          </cell>
          <cell r="DH201">
            <v>1774</v>
          </cell>
          <cell r="DI201">
            <v>1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 t="str">
            <v xml:space="preserve"> -   </v>
          </cell>
          <cell r="DS201" t="str">
            <v xml:space="preserve"> -   </v>
          </cell>
          <cell r="DT201">
            <v>93.33</v>
          </cell>
          <cell r="DU201" t="str">
            <v xml:space="preserve"> -   </v>
          </cell>
          <cell r="DV201">
            <v>93.33</v>
          </cell>
          <cell r="DW201" t="str">
            <v xml:space="preserve"> -   </v>
          </cell>
          <cell r="DX201">
            <v>93.33</v>
          </cell>
          <cell r="DY201" t="str">
            <v xml:space="preserve"> -   </v>
          </cell>
          <cell r="DZ201">
            <v>1326.01</v>
          </cell>
          <cell r="EA201">
            <v>1</v>
          </cell>
          <cell r="EB201">
            <v>1606</v>
          </cell>
          <cell r="EC201">
            <v>1</v>
          </cell>
          <cell r="ED201">
            <v>0</v>
          </cell>
          <cell r="EE201">
            <v>0</v>
          </cell>
          <cell r="EF201">
            <v>0</v>
          </cell>
          <cell r="EH201">
            <v>0</v>
          </cell>
          <cell r="EI201">
            <v>0</v>
          </cell>
        </row>
        <row r="202">
          <cell r="A202" t="str">
            <v>MarMaafushi</v>
          </cell>
          <cell r="B202" t="str">
            <v>Mar</v>
          </cell>
          <cell r="C202" t="str">
            <v>K.</v>
          </cell>
          <cell r="D202" t="str">
            <v>Maafushi</v>
          </cell>
          <cell r="E202">
            <v>0</v>
          </cell>
          <cell r="F202">
            <v>470688</v>
          </cell>
          <cell r="G202">
            <v>453</v>
          </cell>
          <cell r="H202">
            <v>468</v>
          </cell>
          <cell r="I202">
            <v>4</v>
          </cell>
          <cell r="J202">
            <v>0</v>
          </cell>
          <cell r="K202">
            <v>472</v>
          </cell>
          <cell r="L202">
            <v>450</v>
          </cell>
          <cell r="M202">
            <v>22</v>
          </cell>
          <cell r="N202">
            <v>3</v>
          </cell>
          <cell r="O202">
            <v>0</v>
          </cell>
          <cell r="P202">
            <v>0</v>
          </cell>
          <cell r="Q202">
            <v>3</v>
          </cell>
          <cell r="R202">
            <v>3</v>
          </cell>
          <cell r="S202">
            <v>0</v>
          </cell>
          <cell r="T202">
            <v>475</v>
          </cell>
          <cell r="U202">
            <v>453</v>
          </cell>
          <cell r="V202">
            <v>22</v>
          </cell>
          <cell r="W202">
            <v>498369</v>
          </cell>
          <cell r="X202">
            <v>498369</v>
          </cell>
          <cell r="Y202">
            <v>17994</v>
          </cell>
          <cell r="Z202">
            <v>516363</v>
          </cell>
          <cell r="AA202">
            <v>470688</v>
          </cell>
          <cell r="AB202">
            <v>5195</v>
          </cell>
          <cell r="AC202">
            <v>475883</v>
          </cell>
          <cell r="AD202">
            <v>400</v>
          </cell>
          <cell r="AE202">
            <v>970</v>
          </cell>
          <cell r="AF202">
            <v>134158</v>
          </cell>
          <cell r="AG202">
            <v>515</v>
          </cell>
          <cell r="AH202">
            <v>11436.32</v>
          </cell>
          <cell r="AI202">
            <v>22</v>
          </cell>
          <cell r="AJ202">
            <v>10427.379999999999</v>
          </cell>
          <cell r="AK202">
            <v>9</v>
          </cell>
          <cell r="AL202">
            <v>9422.4500000000007</v>
          </cell>
          <cell r="AM202">
            <v>10</v>
          </cell>
          <cell r="AN202">
            <v>122178.85</v>
          </cell>
          <cell r="AO202">
            <v>87</v>
          </cell>
          <cell r="AP202">
            <v>153465</v>
          </cell>
          <cell r="AQ202">
            <v>128</v>
          </cell>
          <cell r="AR202">
            <v>995.31</v>
          </cell>
          <cell r="AS202">
            <v>6</v>
          </cell>
          <cell r="AT202">
            <v>723.31</v>
          </cell>
          <cell r="AU202" t="str">
            <v xml:space="preserve"> -   </v>
          </cell>
          <cell r="AV202">
            <v>659.32</v>
          </cell>
          <cell r="AW202">
            <v>1</v>
          </cell>
          <cell r="AX202">
            <v>8505.06</v>
          </cell>
          <cell r="AY202">
            <v>6</v>
          </cell>
          <cell r="AZ202">
            <v>10883</v>
          </cell>
          <cell r="BA202">
            <v>13</v>
          </cell>
          <cell r="BB202">
            <v>28175.48</v>
          </cell>
          <cell r="BC202">
            <v>29</v>
          </cell>
          <cell r="BD202">
            <v>26262.959999999999</v>
          </cell>
          <cell r="BE202">
            <v>22</v>
          </cell>
          <cell r="BF202">
            <v>23236.59</v>
          </cell>
          <cell r="BG202">
            <v>39</v>
          </cell>
          <cell r="BH202">
            <v>119070.97</v>
          </cell>
          <cell r="BI202">
            <v>201</v>
          </cell>
          <cell r="BJ202">
            <v>196746</v>
          </cell>
          <cell r="BK202">
            <v>291</v>
          </cell>
          <cell r="BL202">
            <v>619.98</v>
          </cell>
          <cell r="BM202" t="str">
            <v xml:space="preserve"> -   </v>
          </cell>
          <cell r="BN202">
            <v>619.98</v>
          </cell>
          <cell r="BO202" t="str">
            <v xml:space="preserve"> -   </v>
          </cell>
          <cell r="BP202">
            <v>619.98</v>
          </cell>
          <cell r="BQ202" t="str">
            <v xml:space="preserve"> -   </v>
          </cell>
          <cell r="BR202">
            <v>92245.06</v>
          </cell>
          <cell r="BS202">
            <v>6</v>
          </cell>
          <cell r="BT202">
            <v>94105</v>
          </cell>
          <cell r="BU202">
            <v>6</v>
          </cell>
          <cell r="BV202">
            <v>206.66</v>
          </cell>
          <cell r="BW202" t="str">
            <v xml:space="preserve"> -   </v>
          </cell>
          <cell r="BX202">
            <v>206.66</v>
          </cell>
          <cell r="BY202" t="str">
            <v xml:space="preserve"> -   </v>
          </cell>
          <cell r="BZ202">
            <v>206.66</v>
          </cell>
          <cell r="CA202" t="str">
            <v xml:space="preserve"> -   </v>
          </cell>
          <cell r="CB202">
            <v>3659.02</v>
          </cell>
          <cell r="CC202">
            <v>2</v>
          </cell>
          <cell r="CD202">
            <v>4279</v>
          </cell>
          <cell r="CE202">
            <v>2</v>
          </cell>
          <cell r="CF202">
            <v>893.64</v>
          </cell>
          <cell r="CG202">
            <v>3</v>
          </cell>
          <cell r="CH202">
            <v>758.98</v>
          </cell>
          <cell r="CI202">
            <v>1</v>
          </cell>
          <cell r="CJ202">
            <v>697.32</v>
          </cell>
          <cell r="CK202">
            <v>1</v>
          </cell>
          <cell r="CL202">
            <v>5153.0600000000004</v>
          </cell>
          <cell r="CM202">
            <v>6</v>
          </cell>
          <cell r="CN202">
            <v>7503</v>
          </cell>
          <cell r="CO202">
            <v>11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 t="str">
            <v xml:space="preserve"> -   </v>
          </cell>
          <cell r="CY202" t="str">
            <v xml:space="preserve"> -   </v>
          </cell>
          <cell r="CZ202">
            <v>103.33</v>
          </cell>
          <cell r="DA202" t="str">
            <v xml:space="preserve"> -   </v>
          </cell>
          <cell r="DB202">
            <v>103.33</v>
          </cell>
          <cell r="DC202" t="str">
            <v xml:space="preserve"> -   </v>
          </cell>
          <cell r="DD202">
            <v>103.33</v>
          </cell>
          <cell r="DE202" t="str">
            <v xml:space="preserve"> -   </v>
          </cell>
          <cell r="DF202">
            <v>1654.01</v>
          </cell>
          <cell r="DG202">
            <v>1</v>
          </cell>
          <cell r="DH202">
            <v>1964</v>
          </cell>
          <cell r="DI202">
            <v>1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 t="str">
            <v xml:space="preserve"> -   </v>
          </cell>
          <cell r="DS202" t="str">
            <v xml:space="preserve"> -   </v>
          </cell>
          <cell r="DT202">
            <v>103.33</v>
          </cell>
          <cell r="DU202" t="str">
            <v xml:space="preserve"> -   </v>
          </cell>
          <cell r="DV202">
            <v>103.33</v>
          </cell>
          <cell r="DW202" t="str">
            <v xml:space="preserve"> -   </v>
          </cell>
          <cell r="DX202">
            <v>103.33</v>
          </cell>
          <cell r="DY202" t="str">
            <v xml:space="preserve"> -   </v>
          </cell>
          <cell r="DZ202">
            <v>1433.01</v>
          </cell>
          <cell r="EA202">
            <v>1</v>
          </cell>
          <cell r="EB202">
            <v>1743</v>
          </cell>
          <cell r="EC202">
            <v>1</v>
          </cell>
          <cell r="ED202">
            <v>0</v>
          </cell>
          <cell r="EE202">
            <v>0</v>
          </cell>
          <cell r="EF202">
            <v>0</v>
          </cell>
          <cell r="EH202">
            <v>0</v>
          </cell>
          <cell r="EI202">
            <v>0</v>
          </cell>
        </row>
        <row r="203">
          <cell r="A203" t="str">
            <v>AprMaafushi</v>
          </cell>
          <cell r="B203" t="str">
            <v>Apr</v>
          </cell>
          <cell r="C203" t="str">
            <v>K.</v>
          </cell>
          <cell r="D203" t="str">
            <v>Maafushi</v>
          </cell>
          <cell r="E203">
            <v>0</v>
          </cell>
          <cell r="F203">
            <v>502858</v>
          </cell>
          <cell r="G203">
            <v>451</v>
          </cell>
          <cell r="H203">
            <v>472</v>
          </cell>
          <cell r="I203">
            <v>0</v>
          </cell>
          <cell r="J203">
            <v>0</v>
          </cell>
          <cell r="K203">
            <v>472</v>
          </cell>
          <cell r="L203">
            <v>448</v>
          </cell>
          <cell r="M203">
            <v>24</v>
          </cell>
          <cell r="N203">
            <v>3</v>
          </cell>
          <cell r="O203">
            <v>0</v>
          </cell>
          <cell r="P203">
            <v>0</v>
          </cell>
          <cell r="Q203">
            <v>3</v>
          </cell>
          <cell r="R203">
            <v>3</v>
          </cell>
          <cell r="S203">
            <v>0</v>
          </cell>
          <cell r="T203">
            <v>475</v>
          </cell>
          <cell r="U203">
            <v>451</v>
          </cell>
          <cell r="V203">
            <v>24</v>
          </cell>
          <cell r="W203">
            <v>525709</v>
          </cell>
          <cell r="X203">
            <v>525709</v>
          </cell>
          <cell r="Y203">
            <v>17820</v>
          </cell>
          <cell r="Z203">
            <v>543529</v>
          </cell>
          <cell r="AA203">
            <v>502858</v>
          </cell>
          <cell r="AB203">
            <v>5630</v>
          </cell>
          <cell r="AC203">
            <v>508488</v>
          </cell>
          <cell r="AD203">
            <v>400</v>
          </cell>
          <cell r="AE203">
            <v>970</v>
          </cell>
          <cell r="AF203">
            <v>142629</v>
          </cell>
          <cell r="AG203">
            <v>507</v>
          </cell>
          <cell r="AH203">
            <v>11397</v>
          </cell>
          <cell r="AI203">
            <v>16</v>
          </cell>
          <cell r="AJ203">
            <v>10610</v>
          </cell>
          <cell r="AK203">
            <v>10</v>
          </cell>
          <cell r="AL203">
            <v>9508</v>
          </cell>
          <cell r="AM203">
            <v>10</v>
          </cell>
          <cell r="AN203">
            <v>125606</v>
          </cell>
          <cell r="AO203">
            <v>90</v>
          </cell>
          <cell r="AP203">
            <v>157121</v>
          </cell>
          <cell r="AQ203">
            <v>126</v>
          </cell>
          <cell r="AR203">
            <v>898</v>
          </cell>
          <cell r="AS203">
            <v>3</v>
          </cell>
          <cell r="AT203">
            <v>800</v>
          </cell>
          <cell r="AU203">
            <v>1</v>
          </cell>
          <cell r="AV203">
            <v>609</v>
          </cell>
          <cell r="AW203">
            <v>1</v>
          </cell>
          <cell r="AX203">
            <v>9989</v>
          </cell>
          <cell r="AY203">
            <v>6</v>
          </cell>
          <cell r="AZ203">
            <v>12296</v>
          </cell>
          <cell r="BA203">
            <v>11</v>
          </cell>
          <cell r="BB203">
            <v>27576</v>
          </cell>
          <cell r="BC203">
            <v>25</v>
          </cell>
          <cell r="BD203">
            <v>25403</v>
          </cell>
          <cell r="BE203">
            <v>27</v>
          </cell>
          <cell r="BF203">
            <v>22865</v>
          </cell>
          <cell r="BG203">
            <v>25</v>
          </cell>
          <cell r="BH203">
            <v>138566</v>
          </cell>
          <cell r="BI203">
            <v>215</v>
          </cell>
          <cell r="BJ203">
            <v>214410</v>
          </cell>
          <cell r="BK203">
            <v>292</v>
          </cell>
          <cell r="BL203">
            <v>700</v>
          </cell>
          <cell r="BM203">
            <v>0</v>
          </cell>
          <cell r="BN203">
            <v>700</v>
          </cell>
          <cell r="BO203">
            <v>0</v>
          </cell>
          <cell r="BP203">
            <v>700</v>
          </cell>
          <cell r="BQ203">
            <v>0</v>
          </cell>
          <cell r="BR203">
            <v>99684</v>
          </cell>
          <cell r="BS203">
            <v>7</v>
          </cell>
          <cell r="BT203">
            <v>101784</v>
          </cell>
          <cell r="BU203">
            <v>7</v>
          </cell>
          <cell r="BV203">
            <v>200</v>
          </cell>
          <cell r="BW203">
            <v>0</v>
          </cell>
          <cell r="BX203">
            <v>200</v>
          </cell>
          <cell r="BY203">
            <v>0</v>
          </cell>
          <cell r="BZ203">
            <v>200</v>
          </cell>
          <cell r="CA203">
            <v>0</v>
          </cell>
          <cell r="CB203">
            <v>4787</v>
          </cell>
          <cell r="CC203">
            <v>2</v>
          </cell>
          <cell r="CD203">
            <v>5387</v>
          </cell>
          <cell r="CE203">
            <v>2</v>
          </cell>
          <cell r="CF203">
            <v>848</v>
          </cell>
          <cell r="CG203">
            <v>3</v>
          </cell>
          <cell r="CH203">
            <v>724</v>
          </cell>
          <cell r="CI203">
            <v>1</v>
          </cell>
          <cell r="CJ203">
            <v>687</v>
          </cell>
          <cell r="CK203">
            <v>1</v>
          </cell>
          <cell r="CL203">
            <v>5745</v>
          </cell>
          <cell r="CM203">
            <v>6</v>
          </cell>
          <cell r="CN203">
            <v>8004</v>
          </cell>
          <cell r="CO203">
            <v>11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100</v>
          </cell>
          <cell r="DA203">
            <v>0</v>
          </cell>
          <cell r="DB203">
            <v>100</v>
          </cell>
          <cell r="DC203">
            <v>0</v>
          </cell>
          <cell r="DD203">
            <v>100</v>
          </cell>
          <cell r="DE203">
            <v>0</v>
          </cell>
          <cell r="DF203">
            <v>1601</v>
          </cell>
          <cell r="DG203">
            <v>1</v>
          </cell>
          <cell r="DH203">
            <v>1901</v>
          </cell>
          <cell r="DI203">
            <v>1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100</v>
          </cell>
          <cell r="DU203">
            <v>0</v>
          </cell>
          <cell r="DV203">
            <v>100</v>
          </cell>
          <cell r="DW203">
            <v>0</v>
          </cell>
          <cell r="DX203">
            <v>100</v>
          </cell>
          <cell r="DY203">
            <v>0</v>
          </cell>
          <cell r="DZ203">
            <v>1655</v>
          </cell>
          <cell r="EA203">
            <v>1</v>
          </cell>
          <cell r="EB203">
            <v>1955</v>
          </cell>
          <cell r="EC203">
            <v>1</v>
          </cell>
          <cell r="ED203">
            <v>0</v>
          </cell>
          <cell r="EE203">
            <v>0</v>
          </cell>
          <cell r="EF203">
            <v>0</v>
          </cell>
          <cell r="EH203">
            <v>0</v>
          </cell>
          <cell r="EI203">
            <v>0</v>
          </cell>
        </row>
        <row r="204">
          <cell r="A204" t="str">
            <v>MayMaafushi</v>
          </cell>
          <cell r="B204" t="str">
            <v>May</v>
          </cell>
          <cell r="C204" t="str">
            <v>K.</v>
          </cell>
          <cell r="D204" t="str">
            <v>Maafushi</v>
          </cell>
          <cell r="E204" t="str">
            <v>usage units less than billed</v>
          </cell>
          <cell r="F204">
            <v>445753.33</v>
          </cell>
          <cell r="G204">
            <v>450</v>
          </cell>
          <cell r="H204">
            <v>472</v>
          </cell>
          <cell r="I204">
            <v>1</v>
          </cell>
          <cell r="J204">
            <v>0</v>
          </cell>
          <cell r="K204">
            <v>473</v>
          </cell>
          <cell r="L204">
            <v>449</v>
          </cell>
          <cell r="M204">
            <v>24</v>
          </cell>
          <cell r="N204">
            <v>3</v>
          </cell>
          <cell r="O204">
            <v>0</v>
          </cell>
          <cell r="P204">
            <v>0</v>
          </cell>
          <cell r="Q204">
            <v>3</v>
          </cell>
          <cell r="R204">
            <v>3</v>
          </cell>
          <cell r="S204">
            <v>0</v>
          </cell>
          <cell r="T204">
            <v>476</v>
          </cell>
          <cell r="U204">
            <v>452</v>
          </cell>
          <cell r="V204">
            <v>24</v>
          </cell>
          <cell r="W204">
            <v>474354</v>
          </cell>
          <cell r="X204">
            <v>474354</v>
          </cell>
          <cell r="Y204">
            <v>14548</v>
          </cell>
          <cell r="Z204">
            <v>488902</v>
          </cell>
          <cell r="AA204">
            <v>447663</v>
          </cell>
          <cell r="AB204">
            <v>5870</v>
          </cell>
          <cell r="AC204">
            <v>453533</v>
          </cell>
          <cell r="AD204">
            <v>420</v>
          </cell>
          <cell r="AE204">
            <v>935</v>
          </cell>
          <cell r="AF204">
            <v>132212</v>
          </cell>
          <cell r="AG204">
            <v>404</v>
          </cell>
          <cell r="AH204">
            <v>11511.65</v>
          </cell>
          <cell r="AI204">
            <v>22</v>
          </cell>
          <cell r="AJ204">
            <v>10239.07</v>
          </cell>
          <cell r="AK204">
            <v>13</v>
          </cell>
          <cell r="AL204">
            <v>8782.4699999999993</v>
          </cell>
          <cell r="AM204">
            <v>11</v>
          </cell>
          <cell r="AN204">
            <v>96046.81</v>
          </cell>
          <cell r="AO204">
            <v>81</v>
          </cell>
          <cell r="AP204">
            <v>126580</v>
          </cell>
          <cell r="AQ204">
            <v>127</v>
          </cell>
          <cell r="AR204">
            <v>921.64</v>
          </cell>
          <cell r="AS204">
            <v>3</v>
          </cell>
          <cell r="AT204">
            <v>826.64</v>
          </cell>
          <cell r="AU204">
            <v>0</v>
          </cell>
          <cell r="AV204">
            <v>744.65</v>
          </cell>
          <cell r="AW204">
            <v>1</v>
          </cell>
          <cell r="AX204">
            <v>9648.07</v>
          </cell>
          <cell r="AY204">
            <v>7</v>
          </cell>
          <cell r="AZ204">
            <v>12140.999999999998</v>
          </cell>
          <cell r="BA204">
            <v>11</v>
          </cell>
          <cell r="BB204">
            <v>28492.79</v>
          </cell>
          <cell r="BC204">
            <v>27</v>
          </cell>
          <cell r="BD204">
            <v>26467.26</v>
          </cell>
          <cell r="BE204">
            <v>20</v>
          </cell>
          <cell r="BF204">
            <v>23722.18</v>
          </cell>
          <cell r="BG204">
            <v>32</v>
          </cell>
          <cell r="BH204">
            <v>117396.1</v>
          </cell>
          <cell r="BI204">
            <v>212</v>
          </cell>
          <cell r="BJ204">
            <v>196078.33000000002</v>
          </cell>
          <cell r="BK204">
            <v>291</v>
          </cell>
          <cell r="BL204">
            <v>723.31000000000006</v>
          </cell>
          <cell r="BM204">
            <v>0</v>
          </cell>
          <cell r="BN204">
            <v>723.31000000000006</v>
          </cell>
          <cell r="BO204">
            <v>0</v>
          </cell>
          <cell r="BP204">
            <v>723.31000000000006</v>
          </cell>
          <cell r="BQ204">
            <v>0</v>
          </cell>
          <cell r="BR204">
            <v>93444.069999999992</v>
          </cell>
          <cell r="BS204">
            <v>7</v>
          </cell>
          <cell r="BT204">
            <v>95613.999999999985</v>
          </cell>
          <cell r="BU204">
            <v>7</v>
          </cell>
          <cell r="BV204">
            <v>206.66</v>
          </cell>
          <cell r="BW204">
            <v>0</v>
          </cell>
          <cell r="BX204">
            <v>206.66</v>
          </cell>
          <cell r="BY204">
            <v>0</v>
          </cell>
          <cell r="BZ204">
            <v>206.66</v>
          </cell>
          <cell r="CA204">
            <v>0</v>
          </cell>
          <cell r="CB204">
            <v>4770.0200000000004</v>
          </cell>
          <cell r="CC204">
            <v>2</v>
          </cell>
          <cell r="CD204">
            <v>5390</v>
          </cell>
          <cell r="CE204">
            <v>2</v>
          </cell>
          <cell r="CF204">
            <v>894.64</v>
          </cell>
          <cell r="CG204">
            <v>3</v>
          </cell>
          <cell r="CH204">
            <v>742.98</v>
          </cell>
          <cell r="CI204">
            <v>1</v>
          </cell>
          <cell r="CJ204">
            <v>713.32</v>
          </cell>
          <cell r="CK204">
            <v>1</v>
          </cell>
          <cell r="CL204">
            <v>5635.06</v>
          </cell>
          <cell r="CM204">
            <v>6</v>
          </cell>
          <cell r="CN204">
            <v>7986</v>
          </cell>
          <cell r="CO204">
            <v>11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103.33</v>
          </cell>
          <cell r="DA204">
            <v>0</v>
          </cell>
          <cell r="DB204">
            <v>103.33</v>
          </cell>
          <cell r="DC204">
            <v>0</v>
          </cell>
          <cell r="DD204">
            <v>103.33</v>
          </cell>
          <cell r="DE204">
            <v>0</v>
          </cell>
          <cell r="DF204">
            <v>1654.01</v>
          </cell>
          <cell r="DG204">
            <v>1</v>
          </cell>
          <cell r="DH204">
            <v>1963.9999999999998</v>
          </cell>
          <cell r="DI204">
            <v>1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H204">
            <v>0</v>
          </cell>
          <cell r="EI204">
            <v>0</v>
          </cell>
        </row>
        <row r="205">
          <cell r="A205" t="str">
            <v>JunMaafushi</v>
          </cell>
          <cell r="B205" t="str">
            <v>Jun</v>
          </cell>
          <cell r="C205" t="str">
            <v>K.</v>
          </cell>
          <cell r="D205" t="str">
            <v>Maafushi</v>
          </cell>
          <cell r="E205" t="str">
            <v>usage units less than billed</v>
          </cell>
          <cell r="F205">
            <v>230961.34</v>
          </cell>
          <cell r="G205">
            <v>164</v>
          </cell>
          <cell r="H205">
            <v>473</v>
          </cell>
          <cell r="I205">
            <v>2</v>
          </cell>
          <cell r="J205">
            <v>0</v>
          </cell>
          <cell r="K205">
            <v>475</v>
          </cell>
          <cell r="L205">
            <v>454</v>
          </cell>
          <cell r="M205">
            <v>21</v>
          </cell>
          <cell r="N205">
            <v>3</v>
          </cell>
          <cell r="O205">
            <v>0</v>
          </cell>
          <cell r="P205">
            <v>0</v>
          </cell>
          <cell r="Q205">
            <v>3</v>
          </cell>
          <cell r="R205">
            <v>3</v>
          </cell>
          <cell r="S205">
            <v>0</v>
          </cell>
          <cell r="T205">
            <v>478</v>
          </cell>
          <cell r="U205">
            <v>457</v>
          </cell>
          <cell r="V205">
            <v>21</v>
          </cell>
          <cell r="W205">
            <v>458036</v>
          </cell>
          <cell r="X205">
            <v>458036</v>
          </cell>
          <cell r="Y205">
            <v>12883</v>
          </cell>
          <cell r="Z205">
            <v>470919</v>
          </cell>
          <cell r="AA205">
            <v>427473</v>
          </cell>
          <cell r="AB205">
            <v>6706</v>
          </cell>
          <cell r="AC205">
            <v>434179</v>
          </cell>
          <cell r="AD205">
            <v>395</v>
          </cell>
          <cell r="AE205">
            <v>858</v>
          </cell>
          <cell r="AF205">
            <v>129120</v>
          </cell>
          <cell r="AG205">
            <v>449</v>
          </cell>
          <cell r="AH205">
            <v>11057.34</v>
          </cell>
          <cell r="AI205">
            <v>27</v>
          </cell>
          <cell r="AJ205">
            <v>9694</v>
          </cell>
          <cell r="AK205">
            <v>11</v>
          </cell>
          <cell r="AL205">
            <v>8460</v>
          </cell>
          <cell r="AM205">
            <v>11</v>
          </cell>
          <cell r="AN205">
            <v>78857</v>
          </cell>
          <cell r="AO205">
            <v>80</v>
          </cell>
          <cell r="AP205">
            <v>108068.34</v>
          </cell>
          <cell r="AQ205">
            <v>129</v>
          </cell>
          <cell r="AR205">
            <v>930</v>
          </cell>
          <cell r="AS205">
            <v>3</v>
          </cell>
          <cell r="AT205">
            <v>783</v>
          </cell>
          <cell r="AU205">
            <v>1</v>
          </cell>
          <cell r="AV205">
            <v>700</v>
          </cell>
          <cell r="AW205">
            <v>0</v>
          </cell>
          <cell r="AX205">
            <v>8658</v>
          </cell>
          <cell r="AY205">
            <v>7</v>
          </cell>
          <cell r="AZ205">
            <v>11071</v>
          </cell>
          <cell r="BA205">
            <v>11</v>
          </cell>
          <cell r="BB205">
            <v>212</v>
          </cell>
          <cell r="BC205">
            <v>1</v>
          </cell>
          <cell r="BD205">
            <v>113</v>
          </cell>
          <cell r="BE205">
            <v>1</v>
          </cell>
          <cell r="BF205">
            <v>100</v>
          </cell>
          <cell r="BG205">
            <v>0</v>
          </cell>
          <cell r="BH205">
            <v>1227</v>
          </cell>
          <cell r="BI205">
            <v>1</v>
          </cell>
          <cell r="BJ205">
            <v>1652</v>
          </cell>
          <cell r="BK205">
            <v>3</v>
          </cell>
          <cell r="BL205">
            <v>600</v>
          </cell>
          <cell r="BM205">
            <v>0</v>
          </cell>
          <cell r="BN205">
            <v>600</v>
          </cell>
          <cell r="BO205">
            <v>0</v>
          </cell>
          <cell r="BP205">
            <v>600</v>
          </cell>
          <cell r="BQ205">
            <v>0</v>
          </cell>
          <cell r="BR205">
            <v>92517</v>
          </cell>
          <cell r="BS205">
            <v>6</v>
          </cell>
          <cell r="BT205">
            <v>94317</v>
          </cell>
          <cell r="BU205">
            <v>6</v>
          </cell>
          <cell r="BV205">
            <v>200</v>
          </cell>
          <cell r="BW205">
            <v>0</v>
          </cell>
          <cell r="BX205">
            <v>200</v>
          </cell>
          <cell r="BY205">
            <v>0</v>
          </cell>
          <cell r="BZ205">
            <v>200</v>
          </cell>
          <cell r="CA205">
            <v>0</v>
          </cell>
          <cell r="CB205">
            <v>3590</v>
          </cell>
          <cell r="CC205">
            <v>2</v>
          </cell>
          <cell r="CD205">
            <v>4190</v>
          </cell>
          <cell r="CE205">
            <v>2</v>
          </cell>
          <cell r="CF205">
            <v>943</v>
          </cell>
          <cell r="CG205">
            <v>2</v>
          </cell>
          <cell r="CH205">
            <v>783</v>
          </cell>
          <cell r="CI205">
            <v>2</v>
          </cell>
          <cell r="CJ205">
            <v>700</v>
          </cell>
          <cell r="CK205">
            <v>0</v>
          </cell>
          <cell r="CL205">
            <v>5588</v>
          </cell>
          <cell r="CM205">
            <v>7</v>
          </cell>
          <cell r="CN205">
            <v>8014</v>
          </cell>
          <cell r="CO205">
            <v>11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100</v>
          </cell>
          <cell r="DA205">
            <v>0</v>
          </cell>
          <cell r="DB205">
            <v>100</v>
          </cell>
          <cell r="DC205">
            <v>0</v>
          </cell>
          <cell r="DD205">
            <v>100</v>
          </cell>
          <cell r="DE205">
            <v>0</v>
          </cell>
          <cell r="DF205">
            <v>1601</v>
          </cell>
          <cell r="DG205">
            <v>1</v>
          </cell>
          <cell r="DH205">
            <v>1901</v>
          </cell>
          <cell r="DI205">
            <v>1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100</v>
          </cell>
          <cell r="DU205">
            <v>0</v>
          </cell>
          <cell r="DV205">
            <v>100</v>
          </cell>
          <cell r="DW205">
            <v>0</v>
          </cell>
          <cell r="DX205">
            <v>100</v>
          </cell>
          <cell r="DY205">
            <v>0</v>
          </cell>
          <cell r="DZ205">
            <v>1448</v>
          </cell>
          <cell r="EA205">
            <v>1</v>
          </cell>
          <cell r="EB205">
            <v>1748</v>
          </cell>
          <cell r="EC205">
            <v>1</v>
          </cell>
          <cell r="ED205">
            <v>0</v>
          </cell>
          <cell r="EE205">
            <v>0</v>
          </cell>
          <cell r="EF205">
            <v>0</v>
          </cell>
          <cell r="EH205">
            <v>0</v>
          </cell>
          <cell r="EI205">
            <v>0</v>
          </cell>
        </row>
        <row r="206">
          <cell r="A206" t="str">
            <v>JulMaafushi</v>
          </cell>
          <cell r="B206" t="str">
            <v>Jul</v>
          </cell>
          <cell r="C206" t="str">
            <v>K.</v>
          </cell>
          <cell r="D206" t="str">
            <v>Maafushi</v>
          </cell>
          <cell r="E206" t="str">
            <v>usage units less than billed</v>
          </cell>
          <cell r="F206">
            <v>441639</v>
          </cell>
          <cell r="G206">
            <v>463</v>
          </cell>
          <cell r="H206">
            <v>475</v>
          </cell>
          <cell r="I206">
            <v>3</v>
          </cell>
          <cell r="J206">
            <v>0</v>
          </cell>
          <cell r="K206">
            <v>478</v>
          </cell>
          <cell r="L206">
            <v>460</v>
          </cell>
          <cell r="M206">
            <v>18</v>
          </cell>
          <cell r="N206">
            <v>3</v>
          </cell>
          <cell r="O206">
            <v>0</v>
          </cell>
          <cell r="P206">
            <v>1</v>
          </cell>
          <cell r="Q206">
            <v>2</v>
          </cell>
          <cell r="R206">
            <v>3</v>
          </cell>
          <cell r="S206">
            <v>0</v>
          </cell>
          <cell r="T206">
            <v>480</v>
          </cell>
          <cell r="U206">
            <v>463</v>
          </cell>
          <cell r="V206">
            <v>18</v>
          </cell>
          <cell r="W206">
            <v>473857</v>
          </cell>
          <cell r="X206">
            <v>473857</v>
          </cell>
          <cell r="Y206">
            <v>14987</v>
          </cell>
          <cell r="Z206">
            <v>488844</v>
          </cell>
          <cell r="AA206">
            <v>443036</v>
          </cell>
          <cell r="AB206">
            <v>7134</v>
          </cell>
          <cell r="AC206">
            <v>450170</v>
          </cell>
          <cell r="AD206">
            <v>428</v>
          </cell>
          <cell r="AE206">
            <v>880</v>
          </cell>
          <cell r="AF206">
            <v>132731</v>
          </cell>
          <cell r="AG206">
            <v>368</v>
          </cell>
          <cell r="AH206">
            <v>11725.66</v>
          </cell>
          <cell r="AI206">
            <v>25</v>
          </cell>
          <cell r="AJ206">
            <v>10601.06</v>
          </cell>
          <cell r="AK206">
            <v>10</v>
          </cell>
          <cell r="AL206">
            <v>9306.4599999999991</v>
          </cell>
          <cell r="AM206">
            <v>14</v>
          </cell>
          <cell r="AN206">
            <v>91264.82</v>
          </cell>
          <cell r="AO206">
            <v>83</v>
          </cell>
          <cell r="AP206">
            <v>122898</v>
          </cell>
          <cell r="AQ206">
            <v>132</v>
          </cell>
          <cell r="AR206">
            <v>920.64</v>
          </cell>
          <cell r="AS206">
            <v>3</v>
          </cell>
          <cell r="AT206">
            <v>804.98</v>
          </cell>
          <cell r="AU206">
            <v>1</v>
          </cell>
          <cell r="AV206">
            <v>723.31</v>
          </cell>
          <cell r="AW206">
            <v>0</v>
          </cell>
          <cell r="AX206">
            <v>9518.07</v>
          </cell>
          <cell r="AY206">
            <v>7</v>
          </cell>
          <cell r="AZ206">
            <v>11966.999999999998</v>
          </cell>
          <cell r="BA206">
            <v>11</v>
          </cell>
          <cell r="BB206">
            <v>29199.43</v>
          </cell>
          <cell r="BC206">
            <v>25</v>
          </cell>
          <cell r="BD206">
            <v>26919.93</v>
          </cell>
          <cell r="BE206">
            <v>25</v>
          </cell>
          <cell r="BF206">
            <v>24308.52</v>
          </cell>
          <cell r="BG206">
            <v>34</v>
          </cell>
          <cell r="BH206">
            <v>121134.12</v>
          </cell>
          <cell r="BI206">
            <v>215</v>
          </cell>
          <cell r="BJ206">
            <v>201561.99999999997</v>
          </cell>
          <cell r="BK206">
            <v>299</v>
          </cell>
          <cell r="BL206">
            <v>619.98</v>
          </cell>
          <cell r="BM206">
            <v>0</v>
          </cell>
          <cell r="BN206">
            <v>619.98</v>
          </cell>
          <cell r="BO206">
            <v>0</v>
          </cell>
          <cell r="BP206">
            <v>619.98</v>
          </cell>
          <cell r="BQ206">
            <v>0</v>
          </cell>
          <cell r="BR206">
            <v>88093.06</v>
          </cell>
          <cell r="BS206">
            <v>6</v>
          </cell>
          <cell r="BT206">
            <v>89952.999999999985</v>
          </cell>
          <cell r="BU206">
            <v>6</v>
          </cell>
          <cell r="BV206">
            <v>206.66</v>
          </cell>
          <cell r="BW206">
            <v>0</v>
          </cell>
          <cell r="BX206">
            <v>206.66</v>
          </cell>
          <cell r="BY206">
            <v>0</v>
          </cell>
          <cell r="BZ206">
            <v>206.66</v>
          </cell>
          <cell r="CA206">
            <v>0</v>
          </cell>
          <cell r="CB206">
            <v>2813.02</v>
          </cell>
          <cell r="CC206">
            <v>2</v>
          </cell>
          <cell r="CD206">
            <v>3432.9999999999995</v>
          </cell>
          <cell r="CE206">
            <v>2</v>
          </cell>
          <cell r="CF206">
            <v>953.97</v>
          </cell>
          <cell r="CG206">
            <v>2</v>
          </cell>
          <cell r="CH206">
            <v>889.31</v>
          </cell>
          <cell r="CI206">
            <v>1</v>
          </cell>
          <cell r="CJ206">
            <v>763.65</v>
          </cell>
          <cell r="CK206">
            <v>1</v>
          </cell>
          <cell r="CL206">
            <v>5637.07</v>
          </cell>
          <cell r="CM206">
            <v>7</v>
          </cell>
          <cell r="CN206">
            <v>8244</v>
          </cell>
          <cell r="CO206">
            <v>11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103.33</v>
          </cell>
          <cell r="DA206">
            <v>0</v>
          </cell>
          <cell r="DB206">
            <v>103.33</v>
          </cell>
          <cell r="DC206">
            <v>0</v>
          </cell>
          <cell r="DD206">
            <v>103.33</v>
          </cell>
          <cell r="DE206">
            <v>0</v>
          </cell>
          <cell r="DF206">
            <v>1654.01</v>
          </cell>
          <cell r="DG206">
            <v>1</v>
          </cell>
          <cell r="DH206">
            <v>1963.9999999999998</v>
          </cell>
          <cell r="DI206">
            <v>1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103.33</v>
          </cell>
          <cell r="DU206">
            <v>0</v>
          </cell>
          <cell r="DV206">
            <v>103.33</v>
          </cell>
          <cell r="DW206">
            <v>0</v>
          </cell>
          <cell r="DX206">
            <v>103.33</v>
          </cell>
          <cell r="DY206">
            <v>0</v>
          </cell>
          <cell r="DZ206">
            <v>1308.01</v>
          </cell>
          <cell r="EA206">
            <v>1</v>
          </cell>
          <cell r="EB206">
            <v>1617.9999999999998</v>
          </cell>
          <cell r="EC206">
            <v>1</v>
          </cell>
          <cell r="ED206">
            <v>0</v>
          </cell>
          <cell r="EE206">
            <v>0</v>
          </cell>
          <cell r="EF206">
            <v>0</v>
          </cell>
          <cell r="EH206">
            <v>0</v>
          </cell>
          <cell r="EI206">
            <v>0</v>
          </cell>
        </row>
        <row r="207">
          <cell r="A207" t="str">
            <v>AugMaafushi</v>
          </cell>
          <cell r="B207" t="str">
            <v>Aug</v>
          </cell>
          <cell r="C207" t="str">
            <v>K.</v>
          </cell>
          <cell r="D207" t="str">
            <v>Maafushi</v>
          </cell>
          <cell r="E207" t="str">
            <v>usage units less than billed</v>
          </cell>
          <cell r="F207">
            <v>457722</v>
          </cell>
          <cell r="G207">
            <v>459</v>
          </cell>
          <cell r="H207">
            <v>463</v>
          </cell>
          <cell r="I207">
            <v>3</v>
          </cell>
          <cell r="J207">
            <v>0</v>
          </cell>
          <cell r="K207">
            <v>466</v>
          </cell>
          <cell r="L207">
            <v>458</v>
          </cell>
          <cell r="M207">
            <v>8</v>
          </cell>
          <cell r="N207">
            <v>2</v>
          </cell>
          <cell r="O207">
            <v>0</v>
          </cell>
          <cell r="P207">
            <v>0</v>
          </cell>
          <cell r="Q207">
            <v>2</v>
          </cell>
          <cell r="R207">
            <v>2</v>
          </cell>
          <cell r="S207">
            <v>0</v>
          </cell>
          <cell r="T207">
            <v>468</v>
          </cell>
          <cell r="U207">
            <v>460</v>
          </cell>
          <cell r="V207">
            <v>8</v>
          </cell>
          <cell r="W207">
            <v>469764</v>
          </cell>
          <cell r="X207">
            <v>469764</v>
          </cell>
          <cell r="Y207">
            <v>14075</v>
          </cell>
          <cell r="Z207">
            <v>483839</v>
          </cell>
          <cell r="AA207">
            <v>459371</v>
          </cell>
          <cell r="AB207">
            <v>5120</v>
          </cell>
          <cell r="AC207">
            <v>464491</v>
          </cell>
          <cell r="AD207">
            <v>390</v>
          </cell>
          <cell r="AE207">
            <v>950</v>
          </cell>
          <cell r="AF207">
            <v>134265</v>
          </cell>
          <cell r="AG207">
            <v>483</v>
          </cell>
          <cell r="AH207">
            <v>11787.97</v>
          </cell>
          <cell r="AI207">
            <v>21</v>
          </cell>
          <cell r="AJ207">
            <v>10767.69</v>
          </cell>
          <cell r="AK207">
            <v>8</v>
          </cell>
          <cell r="AL207">
            <v>9829.41</v>
          </cell>
          <cell r="AM207">
            <v>8</v>
          </cell>
          <cell r="AN207">
            <v>110942.93</v>
          </cell>
          <cell r="AO207">
            <v>93</v>
          </cell>
          <cell r="AP207">
            <v>143328</v>
          </cell>
          <cell r="AQ207">
            <v>130</v>
          </cell>
          <cell r="AR207">
            <v>920.64</v>
          </cell>
          <cell r="AS207">
            <v>4</v>
          </cell>
          <cell r="AT207">
            <v>826.64</v>
          </cell>
          <cell r="AU207">
            <v>0</v>
          </cell>
          <cell r="AV207">
            <v>729.65</v>
          </cell>
          <cell r="AW207">
            <v>1</v>
          </cell>
          <cell r="AX207">
            <v>10120.07</v>
          </cell>
          <cell r="AY207">
            <v>7</v>
          </cell>
          <cell r="AZ207">
            <v>12596.999999999998</v>
          </cell>
          <cell r="BA207">
            <v>12</v>
          </cell>
          <cell r="BB207">
            <v>29145.75</v>
          </cell>
          <cell r="BC207">
            <v>21</v>
          </cell>
          <cell r="BD207">
            <v>27024.97</v>
          </cell>
          <cell r="BE207">
            <v>33</v>
          </cell>
          <cell r="BF207">
            <v>23519.200000000001</v>
          </cell>
          <cell r="BG207">
            <v>34</v>
          </cell>
          <cell r="BH207">
            <v>113269.08</v>
          </cell>
          <cell r="BI207">
            <v>208</v>
          </cell>
          <cell r="BJ207">
            <v>192959.00000000003</v>
          </cell>
          <cell r="BK207">
            <v>296</v>
          </cell>
          <cell r="BL207">
            <v>723.31000000000006</v>
          </cell>
          <cell r="BM207">
            <v>0</v>
          </cell>
          <cell r="BN207">
            <v>723.31000000000006</v>
          </cell>
          <cell r="BO207">
            <v>0</v>
          </cell>
          <cell r="BP207">
            <v>723.31000000000006</v>
          </cell>
          <cell r="BQ207">
            <v>0</v>
          </cell>
          <cell r="BR207">
            <v>92938.069999999992</v>
          </cell>
          <cell r="BS207">
            <v>7</v>
          </cell>
          <cell r="BT207">
            <v>95107.999999999985</v>
          </cell>
          <cell r="BU207">
            <v>7</v>
          </cell>
          <cell r="BV207">
            <v>206.66</v>
          </cell>
          <cell r="BW207">
            <v>0</v>
          </cell>
          <cell r="BX207">
            <v>206.66</v>
          </cell>
          <cell r="BY207">
            <v>0</v>
          </cell>
          <cell r="BZ207">
            <v>206.66</v>
          </cell>
          <cell r="CA207">
            <v>0</v>
          </cell>
          <cell r="CB207">
            <v>3564.02</v>
          </cell>
          <cell r="CC207">
            <v>2</v>
          </cell>
          <cell r="CD207">
            <v>4184</v>
          </cell>
          <cell r="CE207">
            <v>2</v>
          </cell>
          <cell r="CF207">
            <v>933.97</v>
          </cell>
          <cell r="CG207">
            <v>2</v>
          </cell>
          <cell r="CH207">
            <v>790.65</v>
          </cell>
          <cell r="CI207">
            <v>2</v>
          </cell>
          <cell r="CJ207">
            <v>723.31</v>
          </cell>
          <cell r="CK207">
            <v>0</v>
          </cell>
          <cell r="CL207">
            <v>5134.07</v>
          </cell>
          <cell r="CM207">
            <v>7</v>
          </cell>
          <cell r="CN207">
            <v>7582</v>
          </cell>
          <cell r="CO207">
            <v>11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103.33</v>
          </cell>
          <cell r="DA207">
            <v>0</v>
          </cell>
          <cell r="DB207">
            <v>103.33</v>
          </cell>
          <cell r="DC207">
            <v>0</v>
          </cell>
          <cell r="DD207">
            <v>103.33</v>
          </cell>
          <cell r="DE207">
            <v>0</v>
          </cell>
          <cell r="DF207">
            <v>1654.01</v>
          </cell>
          <cell r="DG207">
            <v>1</v>
          </cell>
          <cell r="DH207">
            <v>1963.9999999999998</v>
          </cell>
          <cell r="DI207">
            <v>1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H207">
            <v>0</v>
          </cell>
          <cell r="EI207">
            <v>0</v>
          </cell>
        </row>
        <row r="208">
          <cell r="A208" t="str">
            <v>SepMaafushi</v>
          </cell>
          <cell r="B208" t="str">
            <v>Sep</v>
          </cell>
          <cell r="C208" t="str">
            <v>K.</v>
          </cell>
          <cell r="D208" t="str">
            <v>Maafushi</v>
          </cell>
          <cell r="E208">
            <v>0</v>
          </cell>
          <cell r="F208">
            <v>411327</v>
          </cell>
          <cell r="G208">
            <v>463</v>
          </cell>
          <cell r="H208">
            <v>466</v>
          </cell>
          <cell r="I208">
            <v>5</v>
          </cell>
          <cell r="J208">
            <v>0</v>
          </cell>
          <cell r="K208">
            <v>471</v>
          </cell>
          <cell r="L208">
            <v>461</v>
          </cell>
          <cell r="M208">
            <v>10</v>
          </cell>
          <cell r="N208">
            <v>2</v>
          </cell>
          <cell r="O208">
            <v>0</v>
          </cell>
          <cell r="P208">
            <v>0</v>
          </cell>
          <cell r="Q208">
            <v>2</v>
          </cell>
          <cell r="R208">
            <v>2</v>
          </cell>
          <cell r="S208">
            <v>0</v>
          </cell>
          <cell r="T208">
            <v>473</v>
          </cell>
          <cell r="U208">
            <v>463</v>
          </cell>
          <cell r="V208">
            <v>10</v>
          </cell>
          <cell r="W208">
            <v>439021</v>
          </cell>
          <cell r="X208">
            <v>439021</v>
          </cell>
          <cell r="Y208">
            <v>14322</v>
          </cell>
          <cell r="Z208">
            <v>453343</v>
          </cell>
          <cell r="AA208">
            <v>411327</v>
          </cell>
          <cell r="AB208">
            <v>6252</v>
          </cell>
          <cell r="AC208">
            <v>417579</v>
          </cell>
          <cell r="AD208">
            <v>404</v>
          </cell>
          <cell r="AE208">
            <v>970</v>
          </cell>
          <cell r="AF208">
            <v>123151</v>
          </cell>
          <cell r="AG208">
            <v>320</v>
          </cell>
          <cell r="AH208">
            <v>11367</v>
          </cell>
          <cell r="AI208">
            <v>24</v>
          </cell>
          <cell r="AJ208">
            <v>10413</v>
          </cell>
          <cell r="AK208">
            <v>10</v>
          </cell>
          <cell r="AL208">
            <v>9332</v>
          </cell>
          <cell r="AM208">
            <v>8</v>
          </cell>
          <cell r="AN208">
            <v>88402</v>
          </cell>
          <cell r="AO208">
            <v>90</v>
          </cell>
          <cell r="AP208">
            <v>119514</v>
          </cell>
          <cell r="AQ208">
            <v>132</v>
          </cell>
          <cell r="AR208">
            <v>990</v>
          </cell>
          <cell r="AS208">
            <v>3</v>
          </cell>
          <cell r="AT208">
            <v>900</v>
          </cell>
          <cell r="AU208">
            <v>1</v>
          </cell>
          <cell r="AV208">
            <v>800</v>
          </cell>
          <cell r="AW208">
            <v>0</v>
          </cell>
          <cell r="AX208">
            <v>9707</v>
          </cell>
          <cell r="AY208">
            <v>8</v>
          </cell>
          <cell r="AZ208">
            <v>12397</v>
          </cell>
          <cell r="BA208">
            <v>12</v>
          </cell>
          <cell r="BB208">
            <v>28402.33</v>
          </cell>
          <cell r="BC208">
            <v>27</v>
          </cell>
          <cell r="BD208">
            <v>25833.33</v>
          </cell>
          <cell r="BE208">
            <v>25</v>
          </cell>
          <cell r="BF208">
            <v>22908.34</v>
          </cell>
          <cell r="BG208">
            <v>34</v>
          </cell>
          <cell r="BH208">
            <v>101420</v>
          </cell>
          <cell r="BI208">
            <v>211</v>
          </cell>
          <cell r="BJ208">
            <v>178564</v>
          </cell>
          <cell r="BK208">
            <v>297</v>
          </cell>
          <cell r="BL208">
            <v>700</v>
          </cell>
          <cell r="BM208">
            <v>0</v>
          </cell>
          <cell r="BN208">
            <v>700</v>
          </cell>
          <cell r="BO208">
            <v>0</v>
          </cell>
          <cell r="BP208">
            <v>700</v>
          </cell>
          <cell r="BQ208">
            <v>0</v>
          </cell>
          <cell r="BR208">
            <v>84402</v>
          </cell>
          <cell r="BS208">
            <v>7</v>
          </cell>
          <cell r="BT208">
            <v>86502</v>
          </cell>
          <cell r="BU208">
            <v>7</v>
          </cell>
          <cell r="BV208">
            <v>200</v>
          </cell>
          <cell r="BW208">
            <v>0</v>
          </cell>
          <cell r="BX208">
            <v>200</v>
          </cell>
          <cell r="BY208">
            <v>0</v>
          </cell>
          <cell r="BZ208">
            <v>200</v>
          </cell>
          <cell r="CA208">
            <v>0</v>
          </cell>
          <cell r="CB208">
            <v>3332</v>
          </cell>
          <cell r="CC208">
            <v>2</v>
          </cell>
          <cell r="CD208">
            <v>3932</v>
          </cell>
          <cell r="CE208">
            <v>2</v>
          </cell>
          <cell r="CF208">
            <v>952</v>
          </cell>
          <cell r="CG208">
            <v>2</v>
          </cell>
          <cell r="CH208">
            <v>819</v>
          </cell>
          <cell r="CI208">
            <v>1</v>
          </cell>
          <cell r="CJ208">
            <v>800</v>
          </cell>
          <cell r="CK208">
            <v>0</v>
          </cell>
          <cell r="CL208">
            <v>4506</v>
          </cell>
          <cell r="CM208">
            <v>8</v>
          </cell>
          <cell r="CN208">
            <v>7077</v>
          </cell>
          <cell r="CO208">
            <v>11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100</v>
          </cell>
          <cell r="DA208">
            <v>0</v>
          </cell>
          <cell r="DB208">
            <v>100</v>
          </cell>
          <cell r="DC208">
            <v>0</v>
          </cell>
          <cell r="DD208">
            <v>100</v>
          </cell>
          <cell r="DE208">
            <v>0</v>
          </cell>
          <cell r="DF208">
            <v>1601</v>
          </cell>
          <cell r="DG208">
            <v>1</v>
          </cell>
          <cell r="DH208">
            <v>1901</v>
          </cell>
          <cell r="DI208">
            <v>1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100</v>
          </cell>
          <cell r="DU208">
            <v>0</v>
          </cell>
          <cell r="DV208">
            <v>100</v>
          </cell>
          <cell r="DW208">
            <v>0</v>
          </cell>
          <cell r="DX208">
            <v>100</v>
          </cell>
          <cell r="DY208">
            <v>0</v>
          </cell>
          <cell r="DZ208">
            <v>1140</v>
          </cell>
          <cell r="EA208">
            <v>1</v>
          </cell>
          <cell r="EB208">
            <v>1440</v>
          </cell>
          <cell r="EC208">
            <v>1</v>
          </cell>
          <cell r="ED208">
            <v>0</v>
          </cell>
          <cell r="EE208">
            <v>0</v>
          </cell>
          <cell r="EF208">
            <v>0</v>
          </cell>
          <cell r="EH208">
            <v>0</v>
          </cell>
          <cell r="EI208">
            <v>0</v>
          </cell>
        </row>
        <row r="209">
          <cell r="A209" t="str">
            <v>OctMaafushi</v>
          </cell>
          <cell r="B209" t="str">
            <v>Oct</v>
          </cell>
          <cell r="C209" t="str">
            <v>K.</v>
          </cell>
          <cell r="D209" t="str">
            <v>Maafushi</v>
          </cell>
          <cell r="E209">
            <v>0</v>
          </cell>
          <cell r="F209">
            <v>442324</v>
          </cell>
          <cell r="G209">
            <v>469</v>
          </cell>
          <cell r="H209">
            <v>471</v>
          </cell>
          <cell r="I209">
            <v>4</v>
          </cell>
          <cell r="J209">
            <v>0</v>
          </cell>
          <cell r="K209">
            <v>475</v>
          </cell>
          <cell r="L209">
            <v>467</v>
          </cell>
          <cell r="M209">
            <v>8</v>
          </cell>
          <cell r="N209">
            <v>2</v>
          </cell>
          <cell r="O209">
            <v>0</v>
          </cell>
          <cell r="P209">
            <v>0</v>
          </cell>
          <cell r="Q209">
            <v>2</v>
          </cell>
          <cell r="R209">
            <v>2</v>
          </cell>
          <cell r="S209">
            <v>0</v>
          </cell>
          <cell r="T209">
            <v>477</v>
          </cell>
          <cell r="U209">
            <v>469</v>
          </cell>
          <cell r="V209">
            <v>8</v>
          </cell>
          <cell r="W209">
            <v>469071</v>
          </cell>
          <cell r="X209">
            <v>469071</v>
          </cell>
          <cell r="Y209">
            <v>15321</v>
          </cell>
          <cell r="Z209">
            <v>484392</v>
          </cell>
          <cell r="AA209">
            <v>442324</v>
          </cell>
          <cell r="AB209">
            <v>4841</v>
          </cell>
          <cell r="AC209">
            <v>447165</v>
          </cell>
          <cell r="AD209">
            <v>433</v>
          </cell>
          <cell r="AE209">
            <v>940</v>
          </cell>
          <cell r="AF209">
            <v>132140</v>
          </cell>
          <cell r="AG209">
            <v>520</v>
          </cell>
          <cell r="AH209">
            <v>11857.31</v>
          </cell>
          <cell r="AI209">
            <v>25</v>
          </cell>
          <cell r="AJ209">
            <v>10754.71</v>
          </cell>
          <cell r="AK209">
            <v>12</v>
          </cell>
          <cell r="AL209">
            <v>9374.1</v>
          </cell>
          <cell r="AM209">
            <v>9</v>
          </cell>
          <cell r="AN209">
            <v>97320.88</v>
          </cell>
          <cell r="AO209">
            <v>88</v>
          </cell>
          <cell r="AP209">
            <v>129307</v>
          </cell>
          <cell r="AQ209">
            <v>134</v>
          </cell>
          <cell r="AR209">
            <v>1024.97</v>
          </cell>
          <cell r="AS209">
            <v>3</v>
          </cell>
          <cell r="AT209">
            <v>929.97</v>
          </cell>
          <cell r="AU209">
            <v>0</v>
          </cell>
          <cell r="AV209">
            <v>896.98</v>
          </cell>
          <cell r="AW209">
            <v>1</v>
          </cell>
          <cell r="AX209">
            <v>8937.08</v>
          </cell>
          <cell r="AY209">
            <v>8</v>
          </cell>
          <cell r="AZ209">
            <v>11788.999999999998</v>
          </cell>
          <cell r="BA209">
            <v>12</v>
          </cell>
          <cell r="BB209">
            <v>29529.08</v>
          </cell>
          <cell r="BC209">
            <v>24</v>
          </cell>
          <cell r="BD209">
            <v>26934.94</v>
          </cell>
          <cell r="BE209">
            <v>29</v>
          </cell>
          <cell r="BF209">
            <v>23378.880000000001</v>
          </cell>
          <cell r="BG209">
            <v>38</v>
          </cell>
          <cell r="BH209">
            <v>113390.1</v>
          </cell>
          <cell r="BI209">
            <v>210</v>
          </cell>
          <cell r="BJ209">
            <v>193233</v>
          </cell>
          <cell r="BK209">
            <v>301</v>
          </cell>
          <cell r="BL209">
            <v>723.31000000000006</v>
          </cell>
          <cell r="BM209">
            <v>0</v>
          </cell>
          <cell r="BN209">
            <v>723.31000000000006</v>
          </cell>
          <cell r="BO209">
            <v>0</v>
          </cell>
          <cell r="BP209">
            <v>723.31000000000006</v>
          </cell>
          <cell r="BQ209">
            <v>0</v>
          </cell>
          <cell r="BR209">
            <v>89899.069999999992</v>
          </cell>
          <cell r="BS209">
            <v>7</v>
          </cell>
          <cell r="BT209">
            <v>92068.999999999985</v>
          </cell>
          <cell r="BU209">
            <v>7</v>
          </cell>
          <cell r="BV209">
            <v>206.66</v>
          </cell>
          <cell r="BW209">
            <v>0</v>
          </cell>
          <cell r="BX209">
            <v>206.66</v>
          </cell>
          <cell r="BY209">
            <v>0</v>
          </cell>
          <cell r="BZ209">
            <v>206.66</v>
          </cell>
          <cell r="CA209">
            <v>0</v>
          </cell>
          <cell r="CB209">
            <v>4351.0200000000004</v>
          </cell>
          <cell r="CC209">
            <v>2</v>
          </cell>
          <cell r="CD209">
            <v>4971</v>
          </cell>
          <cell r="CE209">
            <v>2</v>
          </cell>
          <cell r="CF209">
            <v>988.97</v>
          </cell>
          <cell r="CG209">
            <v>2</v>
          </cell>
          <cell r="CH209">
            <v>831.31</v>
          </cell>
          <cell r="CI209">
            <v>1</v>
          </cell>
          <cell r="CJ209">
            <v>723.65</v>
          </cell>
          <cell r="CK209">
            <v>1</v>
          </cell>
          <cell r="CL209">
            <v>4872.07</v>
          </cell>
          <cell r="CM209">
            <v>7</v>
          </cell>
          <cell r="CN209">
            <v>7416</v>
          </cell>
          <cell r="CO209">
            <v>11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103.33</v>
          </cell>
          <cell r="DA209">
            <v>0</v>
          </cell>
          <cell r="DB209">
            <v>103.33</v>
          </cell>
          <cell r="DC209">
            <v>0</v>
          </cell>
          <cell r="DD209">
            <v>103.33</v>
          </cell>
          <cell r="DE209">
            <v>0</v>
          </cell>
          <cell r="DF209">
            <v>1654.01</v>
          </cell>
          <cell r="DG209">
            <v>1</v>
          </cell>
          <cell r="DH209">
            <v>1963.9999999999998</v>
          </cell>
          <cell r="DI209">
            <v>1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103.33</v>
          </cell>
          <cell r="DU209">
            <v>0</v>
          </cell>
          <cell r="DV209">
            <v>103.33</v>
          </cell>
          <cell r="DW209">
            <v>0</v>
          </cell>
          <cell r="DX209">
            <v>103.33</v>
          </cell>
          <cell r="DY209">
            <v>0</v>
          </cell>
          <cell r="DZ209">
            <v>1265.01</v>
          </cell>
          <cell r="EA209">
            <v>1</v>
          </cell>
          <cell r="EB209">
            <v>1574.9999999999998</v>
          </cell>
          <cell r="EC209">
            <v>1</v>
          </cell>
          <cell r="ED209">
            <v>0</v>
          </cell>
          <cell r="EE209">
            <v>0</v>
          </cell>
          <cell r="EF209">
            <v>0</v>
          </cell>
          <cell r="EH209">
            <v>0</v>
          </cell>
          <cell r="EI209">
            <v>0</v>
          </cell>
        </row>
        <row r="210">
          <cell r="A210" t="str">
            <v>NovMaafushi</v>
          </cell>
          <cell r="B210" t="str">
            <v>Nov</v>
          </cell>
          <cell r="C210" t="str">
            <v>K.</v>
          </cell>
          <cell r="D210" t="str">
            <v>Maafushi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H210">
            <v>0</v>
          </cell>
          <cell r="EI210">
            <v>0</v>
          </cell>
        </row>
        <row r="211">
          <cell r="A211" t="str">
            <v>DecMaafushi</v>
          </cell>
          <cell r="B211" t="str">
            <v>Dec</v>
          </cell>
          <cell r="C211" t="str">
            <v>K.</v>
          </cell>
          <cell r="D211" t="str">
            <v>Maafushi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H211">
            <v>0</v>
          </cell>
          <cell r="EI211">
            <v>0</v>
          </cell>
        </row>
        <row r="212">
          <cell r="A212" t="str">
            <v>JanMaalhos</v>
          </cell>
          <cell r="B212" t="str">
            <v>Jan</v>
          </cell>
          <cell r="C212" t="str">
            <v>AA.</v>
          </cell>
          <cell r="D212" t="str">
            <v>Maalhos</v>
          </cell>
          <cell r="E212">
            <v>0</v>
          </cell>
          <cell r="F212">
            <v>34436</v>
          </cell>
          <cell r="G212">
            <v>146</v>
          </cell>
          <cell r="H212">
            <v>158</v>
          </cell>
          <cell r="I212">
            <v>0</v>
          </cell>
          <cell r="J212">
            <v>0</v>
          </cell>
          <cell r="K212">
            <v>158</v>
          </cell>
          <cell r="L212">
            <v>146</v>
          </cell>
          <cell r="M212">
            <v>12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158</v>
          </cell>
          <cell r="U212">
            <v>146</v>
          </cell>
          <cell r="V212">
            <v>12</v>
          </cell>
          <cell r="W212">
            <v>36797</v>
          </cell>
          <cell r="X212">
            <v>40203.1</v>
          </cell>
          <cell r="Y212">
            <v>0</v>
          </cell>
          <cell r="Z212">
            <v>40203.11</v>
          </cell>
          <cell r="AA212">
            <v>34436</v>
          </cell>
          <cell r="AB212">
            <v>3137</v>
          </cell>
          <cell r="AC212">
            <v>37573</v>
          </cell>
          <cell r="AD212">
            <v>30</v>
          </cell>
          <cell r="AE212">
            <v>78</v>
          </cell>
          <cell r="AF212">
            <v>11224</v>
          </cell>
          <cell r="AG212">
            <v>63</v>
          </cell>
          <cell r="AH212">
            <v>895.01</v>
          </cell>
          <cell r="AI212">
            <v>8</v>
          </cell>
          <cell r="AJ212">
            <v>773.67</v>
          </cell>
          <cell r="AK212">
            <v>1</v>
          </cell>
          <cell r="AL212">
            <v>643.32000000000005</v>
          </cell>
          <cell r="AM212">
            <v>2</v>
          </cell>
          <cell r="AN212">
            <v>4367</v>
          </cell>
          <cell r="AO212">
            <v>5</v>
          </cell>
          <cell r="AP212">
            <v>6679</v>
          </cell>
          <cell r="AQ212">
            <v>16</v>
          </cell>
          <cell r="AR212">
            <v>210</v>
          </cell>
          <cell r="AS212" t="str">
            <v xml:space="preserve"> -   </v>
          </cell>
          <cell r="AT212">
            <v>203.66</v>
          </cell>
          <cell r="AU212">
            <v>1</v>
          </cell>
          <cell r="AV212">
            <v>103.33</v>
          </cell>
          <cell r="AW212" t="str">
            <v xml:space="preserve"> -   </v>
          </cell>
          <cell r="AX212">
            <v>921.01</v>
          </cell>
          <cell r="AY212">
            <v>1</v>
          </cell>
          <cell r="AZ212">
            <v>1438</v>
          </cell>
          <cell r="BA212">
            <v>2</v>
          </cell>
          <cell r="BB212">
            <v>8931.7999999999993</v>
          </cell>
          <cell r="BC212">
            <v>37</v>
          </cell>
          <cell r="BD212">
            <v>6650.78</v>
          </cell>
          <cell r="BE212">
            <v>19</v>
          </cell>
          <cell r="BF212">
            <v>3626.6</v>
          </cell>
          <cell r="BG212">
            <v>35</v>
          </cell>
          <cell r="BH212">
            <v>1855.82</v>
          </cell>
          <cell r="BI212">
            <v>20</v>
          </cell>
          <cell r="BJ212">
            <v>21065</v>
          </cell>
          <cell r="BK212">
            <v>111</v>
          </cell>
          <cell r="BL212">
            <v>688.35</v>
          </cell>
          <cell r="BM212">
            <v>5</v>
          </cell>
          <cell r="BN212">
            <v>533.35</v>
          </cell>
          <cell r="BO212" t="str">
            <v xml:space="preserve"> -   </v>
          </cell>
          <cell r="BP212">
            <v>411.33</v>
          </cell>
          <cell r="BQ212">
            <v>2</v>
          </cell>
          <cell r="BR212">
            <v>1327.97</v>
          </cell>
          <cell r="BS212">
            <v>3</v>
          </cell>
          <cell r="BT212">
            <v>2961</v>
          </cell>
          <cell r="BU212">
            <v>10</v>
          </cell>
          <cell r="BV212">
            <v>227.67</v>
          </cell>
          <cell r="BW212">
            <v>2</v>
          </cell>
          <cell r="BX212">
            <v>106.67</v>
          </cell>
          <cell r="BY212" t="str">
            <v xml:space="preserve"> -   </v>
          </cell>
          <cell r="BZ212">
            <v>106.67</v>
          </cell>
          <cell r="CA212" t="str">
            <v xml:space="preserve"> -   </v>
          </cell>
          <cell r="CB212">
            <v>346.99</v>
          </cell>
          <cell r="CC212">
            <v>1</v>
          </cell>
          <cell r="CD212">
            <v>788</v>
          </cell>
          <cell r="CE212">
            <v>3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 t="str">
            <v xml:space="preserve"> -   </v>
          </cell>
          <cell r="CO212" t="str">
            <v xml:space="preserve"> -   </v>
          </cell>
          <cell r="CP212">
            <v>53</v>
          </cell>
          <cell r="CQ212">
            <v>1</v>
          </cell>
          <cell r="CR212" t="str">
            <v xml:space="preserve"> -   </v>
          </cell>
          <cell r="CS212" t="str">
            <v xml:space="preserve"> -   </v>
          </cell>
          <cell r="CT212" t="str">
            <v xml:space="preserve"> -   </v>
          </cell>
          <cell r="CU212" t="str">
            <v xml:space="preserve"> -   </v>
          </cell>
          <cell r="CV212" t="str">
            <v xml:space="preserve"> -   </v>
          </cell>
          <cell r="CW212" t="str">
            <v xml:space="preserve"> -   </v>
          </cell>
          <cell r="CX212">
            <v>53</v>
          </cell>
          <cell r="CY212">
            <v>1</v>
          </cell>
          <cell r="CZ212">
            <v>291.33999999999997</v>
          </cell>
          <cell r="DA212">
            <v>1</v>
          </cell>
          <cell r="DB212">
            <v>213.34</v>
          </cell>
          <cell r="DC212" t="str">
            <v xml:space="preserve"> -   </v>
          </cell>
          <cell r="DD212">
            <v>213.34</v>
          </cell>
          <cell r="DE212" t="str">
            <v xml:space="preserve"> -   </v>
          </cell>
          <cell r="DF212">
            <v>733.98</v>
          </cell>
          <cell r="DG212">
            <v>2</v>
          </cell>
          <cell r="DH212">
            <v>1452</v>
          </cell>
          <cell r="DI212">
            <v>3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 t="str">
            <v xml:space="preserve"> -   </v>
          </cell>
          <cell r="DS212" t="str">
            <v xml:space="preserve"> -   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 t="str">
            <v xml:space="preserve"> -   </v>
          </cell>
          <cell r="EC212" t="str">
            <v xml:space="preserve"> -   </v>
          </cell>
          <cell r="ED212">
            <v>0</v>
          </cell>
          <cell r="EE212">
            <v>0</v>
          </cell>
          <cell r="EF212">
            <v>0</v>
          </cell>
          <cell r="EH212">
            <v>0</v>
          </cell>
          <cell r="EI212">
            <v>0</v>
          </cell>
        </row>
        <row r="213">
          <cell r="A213" t="str">
            <v>FebMaalhos</v>
          </cell>
          <cell r="B213" t="str">
            <v>Feb</v>
          </cell>
          <cell r="C213" t="str">
            <v>AA.</v>
          </cell>
          <cell r="D213" t="str">
            <v>Maalhos</v>
          </cell>
          <cell r="E213">
            <v>0</v>
          </cell>
          <cell r="F213">
            <v>32209</v>
          </cell>
          <cell r="G213">
            <v>139</v>
          </cell>
          <cell r="H213">
            <v>158</v>
          </cell>
          <cell r="I213">
            <v>0</v>
          </cell>
          <cell r="J213">
            <v>3</v>
          </cell>
          <cell r="K213">
            <v>155</v>
          </cell>
          <cell r="L213">
            <v>139</v>
          </cell>
          <cell r="M213">
            <v>14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155</v>
          </cell>
          <cell r="U213">
            <v>139</v>
          </cell>
          <cell r="V213">
            <v>14</v>
          </cell>
          <cell r="W213">
            <v>33862</v>
          </cell>
          <cell r="X213">
            <v>37820.199999999997</v>
          </cell>
          <cell r="Y213">
            <v>0</v>
          </cell>
          <cell r="Z213">
            <v>37820.22</v>
          </cell>
          <cell r="AA213">
            <v>32209</v>
          </cell>
          <cell r="AB213">
            <v>3137</v>
          </cell>
          <cell r="AC213">
            <v>35346</v>
          </cell>
          <cell r="AD213">
            <v>30</v>
          </cell>
          <cell r="AE213">
            <v>78</v>
          </cell>
          <cell r="AF213">
            <v>10236</v>
          </cell>
          <cell r="AG213">
            <v>42</v>
          </cell>
          <cell r="AH213">
            <v>857.02</v>
          </cell>
          <cell r="AI213">
            <v>5</v>
          </cell>
          <cell r="AJ213">
            <v>778.68</v>
          </cell>
          <cell r="AK213">
            <v>1</v>
          </cell>
          <cell r="AL213">
            <v>622.33000000000004</v>
          </cell>
          <cell r="AM213">
            <v>2</v>
          </cell>
          <cell r="AN213">
            <v>2660.97</v>
          </cell>
          <cell r="AO213">
            <v>5</v>
          </cell>
          <cell r="AP213">
            <v>4919</v>
          </cell>
          <cell r="AQ213">
            <v>13</v>
          </cell>
          <cell r="AR213">
            <v>213.34</v>
          </cell>
          <cell r="AS213" t="str">
            <v xml:space="preserve"> -   </v>
          </cell>
          <cell r="AT213">
            <v>213.34</v>
          </cell>
          <cell r="AU213">
            <v>1</v>
          </cell>
          <cell r="AV213">
            <v>107.33</v>
          </cell>
          <cell r="AW213" t="str">
            <v xml:space="preserve"> -   </v>
          </cell>
          <cell r="AX213">
            <v>951.99</v>
          </cell>
          <cell r="AY213">
            <v>1</v>
          </cell>
          <cell r="AZ213">
            <v>1486</v>
          </cell>
          <cell r="BA213">
            <v>2</v>
          </cell>
          <cell r="BB213">
            <v>8293.9</v>
          </cell>
          <cell r="BC213">
            <v>33</v>
          </cell>
          <cell r="BD213">
            <v>6756.08</v>
          </cell>
          <cell r="BE213">
            <v>26</v>
          </cell>
          <cell r="BF213">
            <v>3292.21</v>
          </cell>
          <cell r="BG213">
            <v>29</v>
          </cell>
          <cell r="BH213">
            <v>2276.81</v>
          </cell>
          <cell r="BI213">
            <v>19</v>
          </cell>
          <cell r="BJ213">
            <v>20619</v>
          </cell>
          <cell r="BK213">
            <v>107</v>
          </cell>
          <cell r="BL213">
            <v>687.35</v>
          </cell>
          <cell r="BM213">
            <v>5</v>
          </cell>
          <cell r="BN213">
            <v>533.35</v>
          </cell>
          <cell r="BO213" t="str">
            <v xml:space="preserve"> -   </v>
          </cell>
          <cell r="BP213">
            <v>469.34</v>
          </cell>
          <cell r="BQ213">
            <v>1</v>
          </cell>
          <cell r="BR213">
            <v>1578.96</v>
          </cell>
          <cell r="BS213">
            <v>4</v>
          </cell>
          <cell r="BT213">
            <v>3269</v>
          </cell>
          <cell r="BU213">
            <v>10</v>
          </cell>
          <cell r="BV213">
            <v>304.33999999999997</v>
          </cell>
          <cell r="BW213">
            <v>1</v>
          </cell>
          <cell r="BX213">
            <v>151</v>
          </cell>
          <cell r="BY213">
            <v>1</v>
          </cell>
          <cell r="BZ213">
            <v>106.67</v>
          </cell>
          <cell r="CA213" t="str">
            <v xml:space="preserve"> -   </v>
          </cell>
          <cell r="CB213">
            <v>398.99</v>
          </cell>
          <cell r="CC213">
            <v>1</v>
          </cell>
          <cell r="CD213">
            <v>961</v>
          </cell>
          <cell r="CE213">
            <v>3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 t="str">
            <v xml:space="preserve"> -   </v>
          </cell>
          <cell r="CO213" t="str">
            <v xml:space="preserve"> -   </v>
          </cell>
          <cell r="CP213">
            <v>28</v>
          </cell>
          <cell r="CQ213">
            <v>1</v>
          </cell>
          <cell r="CR213" t="str">
            <v xml:space="preserve"> -   </v>
          </cell>
          <cell r="CS213" t="str">
            <v xml:space="preserve"> -   </v>
          </cell>
          <cell r="CT213" t="str">
            <v xml:space="preserve"> -   </v>
          </cell>
          <cell r="CU213" t="str">
            <v xml:space="preserve"> -   </v>
          </cell>
          <cell r="CV213" t="str">
            <v xml:space="preserve"> -   </v>
          </cell>
          <cell r="CW213" t="str">
            <v xml:space="preserve"> -   </v>
          </cell>
          <cell r="CX213">
            <v>28</v>
          </cell>
          <cell r="CY213">
            <v>1</v>
          </cell>
          <cell r="CZ213">
            <v>291.33999999999997</v>
          </cell>
          <cell r="DA213">
            <v>1</v>
          </cell>
          <cell r="DB213">
            <v>213.34</v>
          </cell>
          <cell r="DC213" t="str">
            <v xml:space="preserve"> -   </v>
          </cell>
          <cell r="DD213">
            <v>213.34</v>
          </cell>
          <cell r="DE213" t="str">
            <v xml:space="preserve"> -   </v>
          </cell>
          <cell r="DF213">
            <v>208.98</v>
          </cell>
          <cell r="DG213">
            <v>2</v>
          </cell>
          <cell r="DH213">
            <v>927</v>
          </cell>
          <cell r="DI213">
            <v>3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 t="str">
            <v xml:space="preserve"> -   </v>
          </cell>
          <cell r="DS213" t="str">
            <v xml:space="preserve"> -   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 t="str">
            <v xml:space="preserve"> -   </v>
          </cell>
          <cell r="EC213" t="str">
            <v xml:space="preserve"> -   </v>
          </cell>
          <cell r="ED213">
            <v>0</v>
          </cell>
          <cell r="EE213">
            <v>0</v>
          </cell>
          <cell r="EF213">
            <v>0</v>
          </cell>
          <cell r="EH213">
            <v>0</v>
          </cell>
          <cell r="EI213">
            <v>0</v>
          </cell>
        </row>
        <row r="214">
          <cell r="A214" t="str">
            <v>MarMaalhos</v>
          </cell>
          <cell r="B214" t="str">
            <v>Mar</v>
          </cell>
          <cell r="C214" t="str">
            <v>AA.</v>
          </cell>
          <cell r="D214" t="str">
            <v>Maalhos</v>
          </cell>
          <cell r="E214">
            <v>0</v>
          </cell>
          <cell r="F214">
            <v>33413</v>
          </cell>
          <cell r="G214">
            <v>139</v>
          </cell>
          <cell r="H214">
            <v>151</v>
          </cell>
          <cell r="I214">
            <v>0</v>
          </cell>
          <cell r="J214">
            <v>0</v>
          </cell>
          <cell r="K214">
            <v>151</v>
          </cell>
          <cell r="L214">
            <v>139</v>
          </cell>
          <cell r="M214">
            <v>12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151</v>
          </cell>
          <cell r="U214">
            <v>139</v>
          </cell>
          <cell r="V214">
            <v>12</v>
          </cell>
          <cell r="W214">
            <v>46915</v>
          </cell>
          <cell r="X214">
            <v>46915</v>
          </cell>
          <cell r="Y214">
            <v>0</v>
          </cell>
          <cell r="Z214">
            <v>46915</v>
          </cell>
          <cell r="AA214">
            <v>33413</v>
          </cell>
          <cell r="AB214">
            <v>2590</v>
          </cell>
          <cell r="AC214">
            <v>36003</v>
          </cell>
          <cell r="AD214">
            <v>20</v>
          </cell>
          <cell r="AE214">
            <v>100</v>
          </cell>
          <cell r="AF214">
            <v>13596</v>
          </cell>
          <cell r="AG214">
            <v>64</v>
          </cell>
          <cell r="AH214">
            <v>738.33</v>
          </cell>
          <cell r="AI214">
            <v>4</v>
          </cell>
          <cell r="AJ214">
            <v>670.99</v>
          </cell>
          <cell r="AK214">
            <v>1</v>
          </cell>
          <cell r="AL214">
            <v>585.66999999999996</v>
          </cell>
          <cell r="AM214">
            <v>1</v>
          </cell>
          <cell r="AN214">
            <v>6207.01</v>
          </cell>
          <cell r="AO214">
            <v>6</v>
          </cell>
          <cell r="AP214">
            <v>8202</v>
          </cell>
          <cell r="AQ214">
            <v>12</v>
          </cell>
          <cell r="AR214">
            <v>183.33</v>
          </cell>
          <cell r="AS214" t="str">
            <v xml:space="preserve"> -   </v>
          </cell>
          <cell r="AT214">
            <v>183.33</v>
          </cell>
          <cell r="AU214" t="str">
            <v xml:space="preserve"> -   </v>
          </cell>
          <cell r="AV214">
            <v>108.33</v>
          </cell>
          <cell r="AW214">
            <v>1</v>
          </cell>
          <cell r="AX214">
            <v>799.01</v>
          </cell>
          <cell r="AY214">
            <v>1</v>
          </cell>
          <cell r="AZ214">
            <v>1274</v>
          </cell>
          <cell r="BA214">
            <v>2</v>
          </cell>
          <cell r="BB214">
            <v>8029.33</v>
          </cell>
          <cell r="BC214">
            <v>36</v>
          </cell>
          <cell r="BD214">
            <v>5613.65</v>
          </cell>
          <cell r="BE214">
            <v>23</v>
          </cell>
          <cell r="BF214">
            <v>2923.01</v>
          </cell>
          <cell r="BG214">
            <v>27</v>
          </cell>
          <cell r="BH214">
            <v>2491.0100000000002</v>
          </cell>
          <cell r="BI214">
            <v>22</v>
          </cell>
          <cell r="BJ214">
            <v>19057</v>
          </cell>
          <cell r="BK214">
            <v>108</v>
          </cell>
          <cell r="BL214">
            <v>591.32000000000005</v>
          </cell>
          <cell r="BM214">
            <v>5</v>
          </cell>
          <cell r="BN214">
            <v>463.32</v>
          </cell>
          <cell r="BO214" t="str">
            <v xml:space="preserve"> -   </v>
          </cell>
          <cell r="BP214">
            <v>396.33</v>
          </cell>
          <cell r="BQ214">
            <v>1</v>
          </cell>
          <cell r="BR214">
            <v>1380.03</v>
          </cell>
          <cell r="BS214">
            <v>4</v>
          </cell>
          <cell r="BT214">
            <v>2831</v>
          </cell>
          <cell r="BU214">
            <v>10</v>
          </cell>
          <cell r="BV214">
            <v>277.66000000000003</v>
          </cell>
          <cell r="BW214">
            <v>1</v>
          </cell>
          <cell r="BX214">
            <v>110</v>
          </cell>
          <cell r="BY214">
            <v>1</v>
          </cell>
          <cell r="BZ214">
            <v>93.33</v>
          </cell>
          <cell r="CA214" t="str">
            <v xml:space="preserve"> -   </v>
          </cell>
          <cell r="CB214">
            <v>766.01</v>
          </cell>
          <cell r="CC214">
            <v>1</v>
          </cell>
          <cell r="CD214">
            <v>1247</v>
          </cell>
          <cell r="CE214">
            <v>3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 t="str">
            <v xml:space="preserve"> -   </v>
          </cell>
          <cell r="CO214" t="str">
            <v xml:space="preserve"> -   </v>
          </cell>
          <cell r="CP214">
            <v>6</v>
          </cell>
          <cell r="CQ214">
            <v>1</v>
          </cell>
          <cell r="CR214" t="str">
            <v xml:space="preserve"> -   </v>
          </cell>
          <cell r="CS214" t="str">
            <v xml:space="preserve"> -   </v>
          </cell>
          <cell r="CT214" t="str">
            <v xml:space="preserve"> -   </v>
          </cell>
          <cell r="CU214" t="str">
            <v xml:space="preserve"> -   </v>
          </cell>
          <cell r="CV214" t="str">
            <v xml:space="preserve"> -   </v>
          </cell>
          <cell r="CW214" t="str">
            <v xml:space="preserve"> -   </v>
          </cell>
          <cell r="CX214">
            <v>6</v>
          </cell>
          <cell r="CY214">
            <v>1</v>
          </cell>
          <cell r="CZ214">
            <v>203.34</v>
          </cell>
          <cell r="DA214">
            <v>1</v>
          </cell>
          <cell r="DB214">
            <v>173.34</v>
          </cell>
          <cell r="DC214" t="str">
            <v xml:space="preserve"> -   </v>
          </cell>
          <cell r="DD214">
            <v>173.34</v>
          </cell>
          <cell r="DE214" t="str">
            <v xml:space="preserve"> -   </v>
          </cell>
          <cell r="DF214">
            <v>245.98</v>
          </cell>
          <cell r="DG214">
            <v>2</v>
          </cell>
          <cell r="DH214">
            <v>796</v>
          </cell>
          <cell r="DI214">
            <v>3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 t="str">
            <v xml:space="preserve"> -   </v>
          </cell>
          <cell r="DS214" t="str">
            <v xml:space="preserve"> -   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 t="str">
            <v xml:space="preserve"> -   </v>
          </cell>
          <cell r="EC214" t="str">
            <v xml:space="preserve"> -   </v>
          </cell>
          <cell r="ED214">
            <v>0</v>
          </cell>
          <cell r="EE214">
            <v>0</v>
          </cell>
          <cell r="EF214">
            <v>0</v>
          </cell>
          <cell r="EH214">
            <v>0</v>
          </cell>
          <cell r="EI214">
            <v>0</v>
          </cell>
        </row>
        <row r="215">
          <cell r="A215" t="str">
            <v>AprMaalhos</v>
          </cell>
          <cell r="B215" t="str">
            <v>Apr</v>
          </cell>
          <cell r="C215" t="str">
            <v>AA.</v>
          </cell>
          <cell r="D215" t="str">
            <v>Maalhos</v>
          </cell>
          <cell r="E215">
            <v>0</v>
          </cell>
          <cell r="F215">
            <v>59182</v>
          </cell>
          <cell r="G215">
            <v>143</v>
          </cell>
          <cell r="H215">
            <v>151</v>
          </cell>
          <cell r="I215">
            <v>0</v>
          </cell>
          <cell r="J215">
            <v>0</v>
          </cell>
          <cell r="K215">
            <v>151</v>
          </cell>
          <cell r="L215">
            <v>143</v>
          </cell>
          <cell r="M215">
            <v>8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151</v>
          </cell>
          <cell r="U215">
            <v>143</v>
          </cell>
          <cell r="V215">
            <v>8</v>
          </cell>
          <cell r="W215">
            <v>38545</v>
          </cell>
          <cell r="X215">
            <v>65828.540000000008</v>
          </cell>
          <cell r="Y215">
            <v>0</v>
          </cell>
          <cell r="Z215">
            <v>65828.540000000008</v>
          </cell>
          <cell r="AA215">
            <v>59182</v>
          </cell>
          <cell r="AB215">
            <v>2340</v>
          </cell>
          <cell r="AC215">
            <v>61522</v>
          </cell>
          <cell r="AD215">
            <v>25</v>
          </cell>
          <cell r="AE215">
            <v>100</v>
          </cell>
          <cell r="AF215">
            <v>16049</v>
          </cell>
          <cell r="AG215">
            <v>108</v>
          </cell>
          <cell r="AH215">
            <v>790</v>
          </cell>
          <cell r="AI215">
            <v>4</v>
          </cell>
          <cell r="AJ215">
            <v>726.34</v>
          </cell>
          <cell r="AK215">
            <v>1</v>
          </cell>
          <cell r="AL215">
            <v>638.65</v>
          </cell>
          <cell r="AM215">
            <v>2</v>
          </cell>
          <cell r="AN215">
            <v>10599.01</v>
          </cell>
          <cell r="AO215">
            <v>5</v>
          </cell>
          <cell r="AP215">
            <v>12754</v>
          </cell>
          <cell r="AQ215">
            <v>12</v>
          </cell>
          <cell r="AR215">
            <v>200</v>
          </cell>
          <cell r="AS215">
            <v>0</v>
          </cell>
          <cell r="AT215">
            <v>200</v>
          </cell>
          <cell r="AU215">
            <v>0</v>
          </cell>
          <cell r="AV215">
            <v>114</v>
          </cell>
          <cell r="AW215">
            <v>1</v>
          </cell>
          <cell r="AX215">
            <v>945</v>
          </cell>
          <cell r="AY215">
            <v>1</v>
          </cell>
          <cell r="AZ215">
            <v>1459</v>
          </cell>
          <cell r="BA215">
            <v>2</v>
          </cell>
          <cell r="BB215">
            <v>8841.33</v>
          </cell>
          <cell r="BC215">
            <v>31</v>
          </cell>
          <cell r="BD215">
            <v>6793.01</v>
          </cell>
          <cell r="BE215">
            <v>27</v>
          </cell>
          <cell r="BF215">
            <v>3870.69</v>
          </cell>
          <cell r="BG215">
            <v>25</v>
          </cell>
          <cell r="BH215">
            <v>3960.97</v>
          </cell>
          <cell r="BI215">
            <v>28</v>
          </cell>
          <cell r="BJ215">
            <v>23465.999999999996</v>
          </cell>
          <cell r="BK215">
            <v>111</v>
          </cell>
          <cell r="BL215">
            <v>3021.68</v>
          </cell>
          <cell r="BM215">
            <v>4</v>
          </cell>
          <cell r="BN215">
            <v>2881.34</v>
          </cell>
          <cell r="BO215">
            <v>1</v>
          </cell>
          <cell r="BP215">
            <v>2823</v>
          </cell>
          <cell r="BQ215">
            <v>1</v>
          </cell>
          <cell r="BR215">
            <v>10568.98</v>
          </cell>
          <cell r="BS215">
            <v>5</v>
          </cell>
          <cell r="BT215">
            <v>19295</v>
          </cell>
          <cell r="BU215">
            <v>11</v>
          </cell>
          <cell r="BV215">
            <v>266.67</v>
          </cell>
          <cell r="BW215">
            <v>2</v>
          </cell>
          <cell r="BX215">
            <v>96.67</v>
          </cell>
          <cell r="BY215">
            <v>0</v>
          </cell>
          <cell r="BZ215">
            <v>96.67</v>
          </cell>
          <cell r="CA215">
            <v>0</v>
          </cell>
          <cell r="CB215">
            <v>903.99</v>
          </cell>
          <cell r="CC215">
            <v>1</v>
          </cell>
          <cell r="CD215">
            <v>1364.0000000000002</v>
          </cell>
          <cell r="CE215">
            <v>3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1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1</v>
          </cell>
          <cell r="CZ215">
            <v>255</v>
          </cell>
          <cell r="DA215">
            <v>1</v>
          </cell>
          <cell r="DB215">
            <v>220</v>
          </cell>
          <cell r="DC215">
            <v>0</v>
          </cell>
          <cell r="DD215">
            <v>213</v>
          </cell>
          <cell r="DE215">
            <v>1</v>
          </cell>
          <cell r="DF215">
            <v>156</v>
          </cell>
          <cell r="DG215">
            <v>1</v>
          </cell>
          <cell r="DH215">
            <v>844</v>
          </cell>
          <cell r="DI215">
            <v>3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H215">
            <v>0</v>
          </cell>
          <cell r="EI215">
            <v>0</v>
          </cell>
        </row>
        <row r="216">
          <cell r="A216" t="str">
            <v>MayMaalhos</v>
          </cell>
          <cell r="B216" t="str">
            <v>May</v>
          </cell>
          <cell r="C216" t="str">
            <v>AA.</v>
          </cell>
          <cell r="D216" t="str">
            <v>Maalhos</v>
          </cell>
          <cell r="E216" t="str">
            <v>usage units more than billed</v>
          </cell>
          <cell r="F216">
            <v>61182</v>
          </cell>
          <cell r="G216">
            <v>143</v>
          </cell>
          <cell r="H216">
            <v>151</v>
          </cell>
          <cell r="I216">
            <v>0</v>
          </cell>
          <cell r="J216">
            <v>0</v>
          </cell>
          <cell r="K216">
            <v>151</v>
          </cell>
          <cell r="L216">
            <v>143</v>
          </cell>
          <cell r="M216">
            <v>8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151</v>
          </cell>
          <cell r="U216">
            <v>143</v>
          </cell>
          <cell r="V216">
            <v>8</v>
          </cell>
          <cell r="W216">
            <v>35113</v>
          </cell>
          <cell r="X216">
            <v>35113</v>
          </cell>
          <cell r="Y216">
            <v>0</v>
          </cell>
          <cell r="Z216">
            <v>35113</v>
          </cell>
          <cell r="AA216">
            <v>39820</v>
          </cell>
          <cell r="AB216">
            <v>2674</v>
          </cell>
          <cell r="AC216">
            <v>42494</v>
          </cell>
          <cell r="AD216">
            <v>25</v>
          </cell>
          <cell r="AE216">
            <v>96</v>
          </cell>
          <cell r="AF216">
            <v>14918</v>
          </cell>
          <cell r="AG216">
            <v>87</v>
          </cell>
          <cell r="AH216">
            <v>790</v>
          </cell>
          <cell r="AI216">
            <v>4</v>
          </cell>
          <cell r="AJ216">
            <v>726.34</v>
          </cell>
          <cell r="AK216">
            <v>1</v>
          </cell>
          <cell r="AL216">
            <v>638.65</v>
          </cell>
          <cell r="AM216">
            <v>2</v>
          </cell>
          <cell r="AN216">
            <v>10599.01</v>
          </cell>
          <cell r="AO216">
            <v>5</v>
          </cell>
          <cell r="AP216">
            <v>12754</v>
          </cell>
          <cell r="AQ216">
            <v>12</v>
          </cell>
          <cell r="AR216">
            <v>200</v>
          </cell>
          <cell r="AS216">
            <v>0</v>
          </cell>
          <cell r="AT216">
            <v>200</v>
          </cell>
          <cell r="AU216">
            <v>0</v>
          </cell>
          <cell r="AV216">
            <v>114</v>
          </cell>
          <cell r="AW216">
            <v>1</v>
          </cell>
          <cell r="AX216">
            <v>945</v>
          </cell>
          <cell r="AY216">
            <v>1</v>
          </cell>
          <cell r="AZ216">
            <v>1459</v>
          </cell>
          <cell r="BA216">
            <v>2</v>
          </cell>
          <cell r="BB216">
            <v>8841.33</v>
          </cell>
          <cell r="BC216">
            <v>31</v>
          </cell>
          <cell r="BD216">
            <v>6793.01</v>
          </cell>
          <cell r="BE216">
            <v>27</v>
          </cell>
          <cell r="BF216">
            <v>3870.69</v>
          </cell>
          <cell r="BG216">
            <v>25</v>
          </cell>
          <cell r="BH216">
            <v>5960.97</v>
          </cell>
          <cell r="BI216">
            <v>28</v>
          </cell>
          <cell r="BJ216">
            <v>25465.999999999996</v>
          </cell>
          <cell r="BK216">
            <v>111</v>
          </cell>
          <cell r="BL216">
            <v>3021.68</v>
          </cell>
          <cell r="BM216">
            <v>4</v>
          </cell>
          <cell r="BN216">
            <v>2881.34</v>
          </cell>
          <cell r="BO216">
            <v>1</v>
          </cell>
          <cell r="BP216">
            <v>2823</v>
          </cell>
          <cell r="BQ216">
            <v>1</v>
          </cell>
          <cell r="BR216">
            <v>10568.98</v>
          </cell>
          <cell r="BS216">
            <v>5</v>
          </cell>
          <cell r="BT216">
            <v>19295</v>
          </cell>
          <cell r="BU216">
            <v>11</v>
          </cell>
          <cell r="BV216">
            <v>266.67</v>
          </cell>
          <cell r="BW216">
            <v>2</v>
          </cell>
          <cell r="BX216">
            <v>96.67</v>
          </cell>
          <cell r="BY216">
            <v>0</v>
          </cell>
          <cell r="BZ216">
            <v>96.67</v>
          </cell>
          <cell r="CA216">
            <v>0</v>
          </cell>
          <cell r="CB216">
            <v>903.99</v>
          </cell>
          <cell r="CC216">
            <v>1</v>
          </cell>
          <cell r="CD216">
            <v>1364.0000000000002</v>
          </cell>
          <cell r="CE216">
            <v>3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1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1</v>
          </cell>
          <cell r="CZ216">
            <v>255</v>
          </cell>
          <cell r="DA216">
            <v>1</v>
          </cell>
          <cell r="DB216">
            <v>220</v>
          </cell>
          <cell r="DC216">
            <v>0</v>
          </cell>
          <cell r="DD216">
            <v>213</v>
          </cell>
          <cell r="DE216">
            <v>1</v>
          </cell>
          <cell r="DF216">
            <v>156</v>
          </cell>
          <cell r="DG216">
            <v>1</v>
          </cell>
          <cell r="DH216">
            <v>844</v>
          </cell>
          <cell r="DI216">
            <v>3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H216">
            <v>0</v>
          </cell>
          <cell r="EI216">
            <v>0</v>
          </cell>
        </row>
        <row r="217">
          <cell r="A217" t="str">
            <v>JunMaalhos</v>
          </cell>
          <cell r="B217" t="str">
            <v>Jun</v>
          </cell>
          <cell r="C217" t="str">
            <v>AA.</v>
          </cell>
          <cell r="D217" t="str">
            <v>Maalhos</v>
          </cell>
          <cell r="E217" t="str">
            <v>usage units more than billed</v>
          </cell>
          <cell r="F217">
            <v>59182</v>
          </cell>
          <cell r="G217">
            <v>143</v>
          </cell>
          <cell r="H217">
            <v>151</v>
          </cell>
          <cell r="I217">
            <v>0</v>
          </cell>
          <cell r="J217">
            <v>0</v>
          </cell>
          <cell r="K217">
            <v>151</v>
          </cell>
          <cell r="L217">
            <v>137</v>
          </cell>
          <cell r="M217">
            <v>14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151</v>
          </cell>
          <cell r="U217">
            <v>137</v>
          </cell>
          <cell r="V217">
            <v>14</v>
          </cell>
          <cell r="W217">
            <v>40941</v>
          </cell>
          <cell r="X217">
            <v>40941</v>
          </cell>
          <cell r="Y217">
            <v>0</v>
          </cell>
          <cell r="Z217">
            <v>40941</v>
          </cell>
          <cell r="AA217">
            <v>40742</v>
          </cell>
          <cell r="AB217">
            <v>2750</v>
          </cell>
          <cell r="AC217">
            <v>43492</v>
          </cell>
          <cell r="AD217">
            <v>33</v>
          </cell>
          <cell r="AE217">
            <v>92</v>
          </cell>
          <cell r="AF217">
            <v>13963</v>
          </cell>
          <cell r="AG217">
            <v>63</v>
          </cell>
          <cell r="AH217">
            <v>790</v>
          </cell>
          <cell r="AI217">
            <v>4</v>
          </cell>
          <cell r="AJ217">
            <v>726.34</v>
          </cell>
          <cell r="AK217">
            <v>1</v>
          </cell>
          <cell r="AL217">
            <v>638.65</v>
          </cell>
          <cell r="AM217">
            <v>2</v>
          </cell>
          <cell r="AN217">
            <v>10599.01</v>
          </cell>
          <cell r="AO217">
            <v>5</v>
          </cell>
          <cell r="AP217">
            <v>12754</v>
          </cell>
          <cell r="AQ217">
            <v>12</v>
          </cell>
          <cell r="AR217">
            <v>200</v>
          </cell>
          <cell r="AS217">
            <v>0</v>
          </cell>
          <cell r="AT217">
            <v>200</v>
          </cell>
          <cell r="AU217">
            <v>0</v>
          </cell>
          <cell r="AV217">
            <v>114</v>
          </cell>
          <cell r="AW217">
            <v>1</v>
          </cell>
          <cell r="AX217">
            <v>945</v>
          </cell>
          <cell r="AY217">
            <v>1</v>
          </cell>
          <cell r="AZ217">
            <v>1459</v>
          </cell>
          <cell r="BA217">
            <v>2</v>
          </cell>
          <cell r="BB217">
            <v>8841.33</v>
          </cell>
          <cell r="BC217">
            <v>31</v>
          </cell>
          <cell r="BD217">
            <v>6793.01</v>
          </cell>
          <cell r="BE217">
            <v>27</v>
          </cell>
          <cell r="BF217">
            <v>3870.69</v>
          </cell>
          <cell r="BG217">
            <v>25</v>
          </cell>
          <cell r="BH217">
            <v>3960.97</v>
          </cell>
          <cell r="BI217">
            <v>28</v>
          </cell>
          <cell r="BJ217">
            <v>23465.999999999996</v>
          </cell>
          <cell r="BK217">
            <v>111</v>
          </cell>
          <cell r="BL217">
            <v>3021.68</v>
          </cell>
          <cell r="BM217">
            <v>4</v>
          </cell>
          <cell r="BN217">
            <v>2881.34</v>
          </cell>
          <cell r="BO217">
            <v>1</v>
          </cell>
          <cell r="BP217">
            <v>2823</v>
          </cell>
          <cell r="BQ217">
            <v>1</v>
          </cell>
          <cell r="BR217">
            <v>10568.98</v>
          </cell>
          <cell r="BS217">
            <v>5</v>
          </cell>
          <cell r="BT217">
            <v>19295</v>
          </cell>
          <cell r="BU217">
            <v>11</v>
          </cell>
          <cell r="BV217">
            <v>266.67</v>
          </cell>
          <cell r="BW217">
            <v>2</v>
          </cell>
          <cell r="BX217">
            <v>96.67</v>
          </cell>
          <cell r="BY217">
            <v>0</v>
          </cell>
          <cell r="BZ217">
            <v>96.67</v>
          </cell>
          <cell r="CA217">
            <v>0</v>
          </cell>
          <cell r="CB217">
            <v>903.99</v>
          </cell>
          <cell r="CC217">
            <v>1</v>
          </cell>
          <cell r="CD217">
            <v>1364.0000000000002</v>
          </cell>
          <cell r="CE217">
            <v>3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1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1</v>
          </cell>
          <cell r="CZ217">
            <v>255</v>
          </cell>
          <cell r="DA217">
            <v>1</v>
          </cell>
          <cell r="DB217">
            <v>220</v>
          </cell>
          <cell r="DC217">
            <v>0</v>
          </cell>
          <cell r="DD217">
            <v>213</v>
          </cell>
          <cell r="DE217">
            <v>1</v>
          </cell>
          <cell r="DF217">
            <v>156</v>
          </cell>
          <cell r="DG217">
            <v>1</v>
          </cell>
          <cell r="DH217">
            <v>844</v>
          </cell>
          <cell r="DI217">
            <v>3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H217">
            <v>0</v>
          </cell>
          <cell r="EI217">
            <v>0</v>
          </cell>
        </row>
        <row r="218">
          <cell r="A218" t="str">
            <v>JulMaalhos</v>
          </cell>
          <cell r="B218" t="str">
            <v>Jul</v>
          </cell>
          <cell r="C218" t="str">
            <v>AA.</v>
          </cell>
          <cell r="D218" t="str">
            <v>Maalhos</v>
          </cell>
          <cell r="E218" t="str">
            <v>usage units more than billed</v>
          </cell>
          <cell r="F218">
            <v>59182</v>
          </cell>
          <cell r="G218">
            <v>143</v>
          </cell>
          <cell r="H218">
            <v>152</v>
          </cell>
          <cell r="I218">
            <v>0</v>
          </cell>
          <cell r="J218">
            <v>0</v>
          </cell>
          <cell r="K218">
            <v>152</v>
          </cell>
          <cell r="L218">
            <v>140</v>
          </cell>
          <cell r="M218">
            <v>12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152</v>
          </cell>
          <cell r="U218">
            <v>140</v>
          </cell>
          <cell r="V218">
            <v>12</v>
          </cell>
          <cell r="W218">
            <v>38912</v>
          </cell>
          <cell r="X218">
            <v>38912</v>
          </cell>
          <cell r="Y218">
            <v>0</v>
          </cell>
          <cell r="Z218">
            <v>38912</v>
          </cell>
          <cell r="AA218">
            <v>41680</v>
          </cell>
          <cell r="AB218">
            <v>2617</v>
          </cell>
          <cell r="AC218">
            <v>44297</v>
          </cell>
          <cell r="AD218">
            <v>36</v>
          </cell>
          <cell r="AE218">
            <v>109</v>
          </cell>
          <cell r="AF218">
            <v>14674</v>
          </cell>
          <cell r="AG218">
            <v>98</v>
          </cell>
          <cell r="AH218">
            <v>790</v>
          </cell>
          <cell r="AI218">
            <v>4</v>
          </cell>
          <cell r="AJ218">
            <v>726.34</v>
          </cell>
          <cell r="AK218">
            <v>1</v>
          </cell>
          <cell r="AL218">
            <v>638.65</v>
          </cell>
          <cell r="AM218">
            <v>2</v>
          </cell>
          <cell r="AN218">
            <v>10599.01</v>
          </cell>
          <cell r="AO218">
            <v>5</v>
          </cell>
          <cell r="AP218">
            <v>12754</v>
          </cell>
          <cell r="AQ218">
            <v>12</v>
          </cell>
          <cell r="AR218">
            <v>200</v>
          </cell>
          <cell r="AS218">
            <v>0</v>
          </cell>
          <cell r="AT218">
            <v>200</v>
          </cell>
          <cell r="AU218">
            <v>0</v>
          </cell>
          <cell r="AV218">
            <v>114</v>
          </cell>
          <cell r="AW218">
            <v>1</v>
          </cell>
          <cell r="AX218">
            <v>945</v>
          </cell>
          <cell r="AY218">
            <v>1</v>
          </cell>
          <cell r="AZ218">
            <v>1459</v>
          </cell>
          <cell r="BA218">
            <v>2</v>
          </cell>
          <cell r="BB218">
            <v>8841.33</v>
          </cell>
          <cell r="BC218">
            <v>31</v>
          </cell>
          <cell r="BD218">
            <v>6793.01</v>
          </cell>
          <cell r="BE218">
            <v>27</v>
          </cell>
          <cell r="BF218">
            <v>3870.69</v>
          </cell>
          <cell r="BG218">
            <v>25</v>
          </cell>
          <cell r="BH218">
            <v>3960.97</v>
          </cell>
          <cell r="BI218">
            <v>28</v>
          </cell>
          <cell r="BJ218">
            <v>23465.999999999996</v>
          </cell>
          <cell r="BK218">
            <v>111</v>
          </cell>
          <cell r="BL218">
            <v>3021.68</v>
          </cell>
          <cell r="BM218">
            <v>4</v>
          </cell>
          <cell r="BN218">
            <v>2881.34</v>
          </cell>
          <cell r="BO218">
            <v>1</v>
          </cell>
          <cell r="BP218">
            <v>2823</v>
          </cell>
          <cell r="BQ218">
            <v>1</v>
          </cell>
          <cell r="BR218">
            <v>10568.98</v>
          </cell>
          <cell r="BS218">
            <v>5</v>
          </cell>
          <cell r="BT218">
            <v>19295</v>
          </cell>
          <cell r="BU218">
            <v>11</v>
          </cell>
          <cell r="BV218">
            <v>266.67</v>
          </cell>
          <cell r="BW218">
            <v>2</v>
          </cell>
          <cell r="BX218">
            <v>96.67</v>
          </cell>
          <cell r="BY218">
            <v>0</v>
          </cell>
          <cell r="BZ218">
            <v>96.67</v>
          </cell>
          <cell r="CA218">
            <v>0</v>
          </cell>
          <cell r="CB218">
            <v>903.99</v>
          </cell>
          <cell r="CC218">
            <v>1</v>
          </cell>
          <cell r="CD218">
            <v>1364.0000000000002</v>
          </cell>
          <cell r="CE218">
            <v>3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1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1</v>
          </cell>
          <cell r="CZ218">
            <v>255</v>
          </cell>
          <cell r="DA218">
            <v>1</v>
          </cell>
          <cell r="DB218">
            <v>220</v>
          </cell>
          <cell r="DC218">
            <v>0</v>
          </cell>
          <cell r="DD218">
            <v>213</v>
          </cell>
          <cell r="DE218">
            <v>1</v>
          </cell>
          <cell r="DF218">
            <v>156</v>
          </cell>
          <cell r="DG218">
            <v>1</v>
          </cell>
          <cell r="DH218">
            <v>844</v>
          </cell>
          <cell r="DI218">
            <v>3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H218">
            <v>0</v>
          </cell>
          <cell r="EI218">
            <v>0</v>
          </cell>
        </row>
        <row r="219">
          <cell r="A219" t="str">
            <v>AugMaalhos</v>
          </cell>
          <cell r="B219" t="str">
            <v>Aug</v>
          </cell>
          <cell r="C219" t="str">
            <v>AA.</v>
          </cell>
          <cell r="D219" t="str">
            <v>Maalhos</v>
          </cell>
          <cell r="E219" t="str">
            <v>usage units more than billed</v>
          </cell>
          <cell r="F219">
            <v>59182</v>
          </cell>
          <cell r="G219">
            <v>143</v>
          </cell>
          <cell r="H219">
            <v>153</v>
          </cell>
          <cell r="I219">
            <v>1</v>
          </cell>
          <cell r="J219">
            <v>0</v>
          </cell>
          <cell r="K219">
            <v>154</v>
          </cell>
          <cell r="L219">
            <v>140</v>
          </cell>
          <cell r="M219">
            <v>14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154</v>
          </cell>
          <cell r="U219">
            <v>140</v>
          </cell>
          <cell r="V219">
            <v>14</v>
          </cell>
          <cell r="W219">
            <v>38442</v>
          </cell>
          <cell r="X219">
            <v>38442</v>
          </cell>
          <cell r="Y219">
            <v>0</v>
          </cell>
          <cell r="Z219">
            <v>38442</v>
          </cell>
          <cell r="AA219">
            <v>38622</v>
          </cell>
          <cell r="AB219">
            <v>2608</v>
          </cell>
          <cell r="AC219">
            <v>41230</v>
          </cell>
          <cell r="AD219">
            <v>35</v>
          </cell>
          <cell r="AE219">
            <v>105</v>
          </cell>
          <cell r="AF219">
            <v>13929</v>
          </cell>
          <cell r="AG219">
            <v>58</v>
          </cell>
          <cell r="AH219">
            <v>790</v>
          </cell>
          <cell r="AI219">
            <v>4</v>
          </cell>
          <cell r="AJ219">
            <v>726.34</v>
          </cell>
          <cell r="AK219">
            <v>1</v>
          </cell>
          <cell r="AL219">
            <v>638.65</v>
          </cell>
          <cell r="AM219">
            <v>2</v>
          </cell>
          <cell r="AN219">
            <v>10599.01</v>
          </cell>
          <cell r="AO219">
            <v>5</v>
          </cell>
          <cell r="AP219">
            <v>12754</v>
          </cell>
          <cell r="AQ219">
            <v>12</v>
          </cell>
          <cell r="AR219">
            <v>200</v>
          </cell>
          <cell r="AS219">
            <v>0</v>
          </cell>
          <cell r="AT219">
            <v>200</v>
          </cell>
          <cell r="AU219">
            <v>0</v>
          </cell>
          <cell r="AV219">
            <v>114</v>
          </cell>
          <cell r="AW219">
            <v>1</v>
          </cell>
          <cell r="AX219">
            <v>945</v>
          </cell>
          <cell r="AY219">
            <v>1</v>
          </cell>
          <cell r="AZ219">
            <v>1459</v>
          </cell>
          <cell r="BA219">
            <v>2</v>
          </cell>
          <cell r="BB219">
            <v>8841.33</v>
          </cell>
          <cell r="BC219">
            <v>31</v>
          </cell>
          <cell r="BD219">
            <v>6793.01</v>
          </cell>
          <cell r="BE219">
            <v>27</v>
          </cell>
          <cell r="BF219">
            <v>3870.69</v>
          </cell>
          <cell r="BG219">
            <v>25</v>
          </cell>
          <cell r="BH219">
            <v>3960.97</v>
          </cell>
          <cell r="BI219">
            <v>28</v>
          </cell>
          <cell r="BJ219">
            <v>23465.999999999996</v>
          </cell>
          <cell r="BK219">
            <v>111</v>
          </cell>
          <cell r="BL219">
            <v>3021.68</v>
          </cell>
          <cell r="BM219">
            <v>4</v>
          </cell>
          <cell r="BN219">
            <v>2881.34</v>
          </cell>
          <cell r="BO219">
            <v>1</v>
          </cell>
          <cell r="BP219">
            <v>2823</v>
          </cell>
          <cell r="BQ219">
            <v>1</v>
          </cell>
          <cell r="BR219">
            <v>10568.98</v>
          </cell>
          <cell r="BS219">
            <v>5</v>
          </cell>
          <cell r="BT219">
            <v>19295</v>
          </cell>
          <cell r="BU219">
            <v>11</v>
          </cell>
          <cell r="BV219">
            <v>266.67</v>
          </cell>
          <cell r="BW219">
            <v>2</v>
          </cell>
          <cell r="BX219">
            <v>96.67</v>
          </cell>
          <cell r="BY219">
            <v>0</v>
          </cell>
          <cell r="BZ219">
            <v>96.67</v>
          </cell>
          <cell r="CA219">
            <v>0</v>
          </cell>
          <cell r="CB219">
            <v>903.99</v>
          </cell>
          <cell r="CC219">
            <v>1</v>
          </cell>
          <cell r="CD219">
            <v>1364.0000000000002</v>
          </cell>
          <cell r="CE219">
            <v>3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1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1</v>
          </cell>
          <cell r="CZ219">
            <v>255</v>
          </cell>
          <cell r="DA219">
            <v>1</v>
          </cell>
          <cell r="DB219">
            <v>220</v>
          </cell>
          <cell r="DC219">
            <v>0</v>
          </cell>
          <cell r="DD219">
            <v>213</v>
          </cell>
          <cell r="DE219">
            <v>1</v>
          </cell>
          <cell r="DF219">
            <v>156</v>
          </cell>
          <cell r="DG219">
            <v>1</v>
          </cell>
          <cell r="DH219">
            <v>844</v>
          </cell>
          <cell r="DI219">
            <v>3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H219">
            <v>0</v>
          </cell>
          <cell r="EI219">
            <v>0</v>
          </cell>
        </row>
        <row r="220">
          <cell r="A220" t="str">
            <v>SepMaalhos</v>
          </cell>
          <cell r="B220" t="str">
            <v>Sep</v>
          </cell>
          <cell r="C220" t="str">
            <v>AA.</v>
          </cell>
          <cell r="D220" t="str">
            <v>Maalhos</v>
          </cell>
          <cell r="E220">
            <v>0</v>
          </cell>
          <cell r="F220">
            <v>59182</v>
          </cell>
          <cell r="G220">
            <v>143</v>
          </cell>
          <cell r="H220">
            <v>153</v>
          </cell>
          <cell r="I220">
            <v>1</v>
          </cell>
          <cell r="J220">
            <v>0</v>
          </cell>
          <cell r="K220">
            <v>154</v>
          </cell>
          <cell r="L220">
            <v>140</v>
          </cell>
          <cell r="M220">
            <v>14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154</v>
          </cell>
          <cell r="U220">
            <v>140</v>
          </cell>
          <cell r="V220">
            <v>14</v>
          </cell>
          <cell r="W220">
            <v>40701</v>
          </cell>
          <cell r="X220">
            <v>40701</v>
          </cell>
          <cell r="Y220">
            <v>0</v>
          </cell>
          <cell r="Z220">
            <v>40701</v>
          </cell>
          <cell r="AA220">
            <v>38622</v>
          </cell>
          <cell r="AB220">
            <v>3282</v>
          </cell>
          <cell r="AC220">
            <v>41904</v>
          </cell>
          <cell r="AD220">
            <v>0</v>
          </cell>
          <cell r="AE220">
            <v>0</v>
          </cell>
          <cell r="AF220">
            <v>14079</v>
          </cell>
          <cell r="AG220">
            <v>102</v>
          </cell>
          <cell r="AH220">
            <v>790</v>
          </cell>
          <cell r="AI220">
            <v>4</v>
          </cell>
          <cell r="AJ220">
            <v>726.34</v>
          </cell>
          <cell r="AK220">
            <v>1</v>
          </cell>
          <cell r="AL220">
            <v>638.65</v>
          </cell>
          <cell r="AM220">
            <v>2</v>
          </cell>
          <cell r="AN220">
            <v>10599.01</v>
          </cell>
          <cell r="AO220">
            <v>5</v>
          </cell>
          <cell r="AP220">
            <v>12754</v>
          </cell>
          <cell r="AQ220">
            <v>12</v>
          </cell>
          <cell r="AR220">
            <v>200</v>
          </cell>
          <cell r="AS220">
            <v>0</v>
          </cell>
          <cell r="AT220">
            <v>200</v>
          </cell>
          <cell r="AU220">
            <v>0</v>
          </cell>
          <cell r="AV220">
            <v>114</v>
          </cell>
          <cell r="AW220">
            <v>1</v>
          </cell>
          <cell r="AX220">
            <v>945</v>
          </cell>
          <cell r="AY220">
            <v>1</v>
          </cell>
          <cell r="AZ220">
            <v>1459</v>
          </cell>
          <cell r="BA220">
            <v>2</v>
          </cell>
          <cell r="BB220">
            <v>8841.33</v>
          </cell>
          <cell r="BC220">
            <v>31</v>
          </cell>
          <cell r="BD220">
            <v>6793.01</v>
          </cell>
          <cell r="BE220">
            <v>27</v>
          </cell>
          <cell r="BF220">
            <v>3870.69</v>
          </cell>
          <cell r="BG220">
            <v>25</v>
          </cell>
          <cell r="BH220">
            <v>3960.97</v>
          </cell>
          <cell r="BI220">
            <v>28</v>
          </cell>
          <cell r="BJ220">
            <v>23465.999999999996</v>
          </cell>
          <cell r="BK220">
            <v>111</v>
          </cell>
          <cell r="BL220">
            <v>3021.68</v>
          </cell>
          <cell r="BM220">
            <v>4</v>
          </cell>
          <cell r="BN220">
            <v>2881.34</v>
          </cell>
          <cell r="BO220">
            <v>1</v>
          </cell>
          <cell r="BP220">
            <v>2823</v>
          </cell>
          <cell r="BQ220">
            <v>1</v>
          </cell>
          <cell r="BR220">
            <v>10568.98</v>
          </cell>
          <cell r="BS220">
            <v>5</v>
          </cell>
          <cell r="BT220">
            <v>19295</v>
          </cell>
          <cell r="BU220">
            <v>11</v>
          </cell>
          <cell r="BV220">
            <v>266.67</v>
          </cell>
          <cell r="BW220">
            <v>2</v>
          </cell>
          <cell r="BX220">
            <v>96.67</v>
          </cell>
          <cell r="BY220">
            <v>0</v>
          </cell>
          <cell r="BZ220">
            <v>96.67</v>
          </cell>
          <cell r="CA220">
            <v>0</v>
          </cell>
          <cell r="CB220">
            <v>903.99</v>
          </cell>
          <cell r="CC220">
            <v>1</v>
          </cell>
          <cell r="CD220">
            <v>1364.0000000000002</v>
          </cell>
          <cell r="CE220">
            <v>3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1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1</v>
          </cell>
          <cell r="CZ220">
            <v>255</v>
          </cell>
          <cell r="DA220">
            <v>1</v>
          </cell>
          <cell r="DB220">
            <v>220</v>
          </cell>
          <cell r="DC220">
            <v>0</v>
          </cell>
          <cell r="DD220">
            <v>213</v>
          </cell>
          <cell r="DE220">
            <v>1</v>
          </cell>
          <cell r="DF220">
            <v>156</v>
          </cell>
          <cell r="DG220">
            <v>1</v>
          </cell>
          <cell r="DH220">
            <v>844</v>
          </cell>
          <cell r="DI220">
            <v>3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H220">
            <v>0</v>
          </cell>
          <cell r="EI220">
            <v>0</v>
          </cell>
        </row>
        <row r="221">
          <cell r="A221" t="str">
            <v>OctMaalhos</v>
          </cell>
          <cell r="B221" t="str">
            <v>Oct</v>
          </cell>
          <cell r="C221" t="str">
            <v>AA.</v>
          </cell>
          <cell r="D221" t="str">
            <v>Maalhos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H221">
            <v>0</v>
          </cell>
          <cell r="EI221">
            <v>0</v>
          </cell>
        </row>
        <row r="222">
          <cell r="A222" t="str">
            <v>NovMaalhos</v>
          </cell>
          <cell r="B222" t="str">
            <v>Nov</v>
          </cell>
          <cell r="C222" t="str">
            <v>AA.</v>
          </cell>
          <cell r="D222" t="str">
            <v>Maalhos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H222">
            <v>0</v>
          </cell>
          <cell r="EI222">
            <v>0</v>
          </cell>
        </row>
        <row r="223">
          <cell r="A223" t="str">
            <v>DecMaalhos</v>
          </cell>
          <cell r="B223" t="str">
            <v>Dec</v>
          </cell>
          <cell r="C223" t="str">
            <v>AA.</v>
          </cell>
          <cell r="D223" t="str">
            <v>Maalhos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H223">
            <v>0</v>
          </cell>
          <cell r="EI223">
            <v>0</v>
          </cell>
        </row>
        <row r="224">
          <cell r="A224" t="str">
            <v>JanMathiveri</v>
          </cell>
          <cell r="B224" t="str">
            <v>Jan</v>
          </cell>
          <cell r="C224" t="str">
            <v>AA.</v>
          </cell>
          <cell r="D224" t="str">
            <v>Mathiveri</v>
          </cell>
          <cell r="E224">
            <v>0</v>
          </cell>
          <cell r="F224">
            <v>59828</v>
          </cell>
          <cell r="G224">
            <v>162</v>
          </cell>
          <cell r="H224">
            <v>184</v>
          </cell>
          <cell r="I224">
            <v>2</v>
          </cell>
          <cell r="J224">
            <v>0</v>
          </cell>
          <cell r="K224">
            <v>186</v>
          </cell>
          <cell r="L224">
            <v>162</v>
          </cell>
          <cell r="M224">
            <v>24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186</v>
          </cell>
          <cell r="U224">
            <v>162</v>
          </cell>
          <cell r="V224">
            <v>24</v>
          </cell>
          <cell r="W224">
            <v>69949</v>
          </cell>
          <cell r="X224">
            <v>69949</v>
          </cell>
          <cell r="Y224">
            <v>0</v>
          </cell>
          <cell r="Z224">
            <v>69949</v>
          </cell>
          <cell r="AA224">
            <v>59828</v>
          </cell>
          <cell r="AB224">
            <v>3138</v>
          </cell>
          <cell r="AC224">
            <v>62966</v>
          </cell>
          <cell r="AD224">
            <v>63</v>
          </cell>
          <cell r="AE224">
            <v>144</v>
          </cell>
          <cell r="AF224">
            <v>21623</v>
          </cell>
          <cell r="AG224">
            <v>60</v>
          </cell>
          <cell r="AH224">
            <v>1616</v>
          </cell>
          <cell r="AI224">
            <v>20</v>
          </cell>
          <cell r="AJ224">
            <v>1094</v>
          </cell>
          <cell r="AK224">
            <v>1</v>
          </cell>
          <cell r="AL224">
            <v>942</v>
          </cell>
          <cell r="AM224">
            <v>1</v>
          </cell>
          <cell r="AN224">
            <v>13031</v>
          </cell>
          <cell r="AO224">
            <v>9</v>
          </cell>
          <cell r="AP224">
            <v>16683</v>
          </cell>
          <cell r="AQ224">
            <v>31</v>
          </cell>
          <cell r="AR224">
            <v>190</v>
          </cell>
          <cell r="AS224" t="str">
            <v xml:space="preserve"> -   </v>
          </cell>
          <cell r="AT224">
            <v>190</v>
          </cell>
          <cell r="AU224" t="str">
            <v xml:space="preserve"> -   </v>
          </cell>
          <cell r="AV224">
            <v>190</v>
          </cell>
          <cell r="AW224" t="str">
            <v xml:space="preserve"> -   </v>
          </cell>
          <cell r="AX224">
            <v>1836</v>
          </cell>
          <cell r="AY224">
            <v>2</v>
          </cell>
          <cell r="AZ224">
            <v>2406</v>
          </cell>
          <cell r="BA224">
            <v>2</v>
          </cell>
          <cell r="BB224">
            <v>11123.97</v>
          </cell>
          <cell r="BC224">
            <v>23</v>
          </cell>
          <cell r="BD224">
            <v>9246.99</v>
          </cell>
          <cell r="BE224">
            <v>19</v>
          </cell>
          <cell r="BF224">
            <v>6289.04</v>
          </cell>
          <cell r="BG224">
            <v>27</v>
          </cell>
          <cell r="BH224">
            <v>6597</v>
          </cell>
          <cell r="BI224">
            <v>48</v>
          </cell>
          <cell r="BJ224">
            <v>33257</v>
          </cell>
          <cell r="BK224">
            <v>117</v>
          </cell>
          <cell r="BL224">
            <v>616</v>
          </cell>
          <cell r="BM224">
            <v>1</v>
          </cell>
          <cell r="BN224">
            <v>579</v>
          </cell>
          <cell r="BO224">
            <v>1</v>
          </cell>
          <cell r="BP224">
            <v>500</v>
          </cell>
          <cell r="BQ224" t="str">
            <v xml:space="preserve"> -   </v>
          </cell>
          <cell r="BR224">
            <v>2290</v>
          </cell>
          <cell r="BS224">
            <v>5</v>
          </cell>
          <cell r="BT224">
            <v>3985</v>
          </cell>
          <cell r="BU224">
            <v>7</v>
          </cell>
          <cell r="BV224">
            <v>100</v>
          </cell>
          <cell r="BW224" t="str">
            <v xml:space="preserve"> -   </v>
          </cell>
          <cell r="BX224">
            <v>100</v>
          </cell>
          <cell r="BY224" t="str">
            <v xml:space="preserve"> -   </v>
          </cell>
          <cell r="BZ224">
            <v>100</v>
          </cell>
          <cell r="CA224" t="str">
            <v xml:space="preserve"> -   </v>
          </cell>
          <cell r="CB224">
            <v>965</v>
          </cell>
          <cell r="CC224">
            <v>1</v>
          </cell>
          <cell r="CD224">
            <v>1265</v>
          </cell>
          <cell r="CE224">
            <v>1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 t="str">
            <v xml:space="preserve"> -   </v>
          </cell>
          <cell r="CO224" t="str">
            <v xml:space="preserve"> -   </v>
          </cell>
          <cell r="CP224">
            <v>100</v>
          </cell>
          <cell r="CQ224" t="str">
            <v xml:space="preserve"> -   </v>
          </cell>
          <cell r="CR224">
            <v>55</v>
          </cell>
          <cell r="CS224">
            <v>1</v>
          </cell>
          <cell r="CT224" t="str">
            <v xml:space="preserve"> -   </v>
          </cell>
          <cell r="CU224" t="str">
            <v xml:space="preserve"> -   </v>
          </cell>
          <cell r="CV224" t="str">
            <v xml:space="preserve"> -   </v>
          </cell>
          <cell r="CW224" t="str">
            <v xml:space="preserve"> -   </v>
          </cell>
          <cell r="CX224">
            <v>155</v>
          </cell>
          <cell r="CY224">
            <v>1</v>
          </cell>
          <cell r="CZ224">
            <v>134.33000000000001</v>
          </cell>
          <cell r="DA224">
            <v>2</v>
          </cell>
          <cell r="DB224">
            <v>103.33</v>
          </cell>
          <cell r="DC224" t="str">
            <v xml:space="preserve"> -   </v>
          </cell>
          <cell r="DD224">
            <v>103.33</v>
          </cell>
          <cell r="DE224" t="str">
            <v xml:space="preserve"> -   </v>
          </cell>
          <cell r="DF224">
            <v>1736.01</v>
          </cell>
          <cell r="DG224">
            <v>1</v>
          </cell>
          <cell r="DH224">
            <v>2077</v>
          </cell>
          <cell r="DI224">
            <v>3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 t="str">
            <v xml:space="preserve"> -   </v>
          </cell>
          <cell r="DS224" t="str">
            <v xml:space="preserve"> -   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 t="str">
            <v xml:space="preserve"> -   </v>
          </cell>
          <cell r="EC224" t="str">
            <v xml:space="preserve"> -   </v>
          </cell>
          <cell r="ED224">
            <v>0</v>
          </cell>
          <cell r="EE224">
            <v>0</v>
          </cell>
          <cell r="EF224">
            <v>0</v>
          </cell>
          <cell r="EH224">
            <v>0</v>
          </cell>
          <cell r="EI224">
            <v>0</v>
          </cell>
        </row>
        <row r="225">
          <cell r="A225" t="str">
            <v>FebMathiveri</v>
          </cell>
          <cell r="B225" t="str">
            <v>Feb</v>
          </cell>
          <cell r="C225" t="str">
            <v>AA.</v>
          </cell>
          <cell r="D225" t="str">
            <v>Mathiveri</v>
          </cell>
          <cell r="E225">
            <v>0</v>
          </cell>
          <cell r="F225">
            <v>64376</v>
          </cell>
          <cell r="G225">
            <v>170</v>
          </cell>
          <cell r="H225">
            <v>186</v>
          </cell>
          <cell r="I225">
            <v>0</v>
          </cell>
          <cell r="J225">
            <v>0</v>
          </cell>
          <cell r="K225">
            <v>186</v>
          </cell>
          <cell r="L225">
            <v>170</v>
          </cell>
          <cell r="M225">
            <v>16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186</v>
          </cell>
          <cell r="U225">
            <v>170</v>
          </cell>
          <cell r="V225">
            <v>16</v>
          </cell>
          <cell r="W225">
            <v>65533</v>
          </cell>
          <cell r="X225">
            <v>72240</v>
          </cell>
          <cell r="Y225">
            <v>0</v>
          </cell>
          <cell r="Z225">
            <v>72239.98</v>
          </cell>
          <cell r="AA225">
            <v>64376</v>
          </cell>
          <cell r="AB225">
            <v>3138</v>
          </cell>
          <cell r="AC225">
            <v>67514</v>
          </cell>
          <cell r="AD225">
            <v>64</v>
          </cell>
          <cell r="AE225">
            <v>153</v>
          </cell>
          <cell r="AF225">
            <v>20025</v>
          </cell>
          <cell r="AG225">
            <v>65</v>
          </cell>
          <cell r="AH225">
            <v>1909</v>
          </cell>
          <cell r="AI225">
            <v>21</v>
          </cell>
          <cell r="AJ225">
            <v>1243</v>
          </cell>
          <cell r="AK225">
            <v>2</v>
          </cell>
          <cell r="AL225">
            <v>963</v>
          </cell>
          <cell r="AM225">
            <v>2</v>
          </cell>
          <cell r="AN225">
            <v>11704</v>
          </cell>
          <cell r="AO225">
            <v>8</v>
          </cell>
          <cell r="AP225">
            <v>15819</v>
          </cell>
          <cell r="AQ225">
            <v>33</v>
          </cell>
          <cell r="AR225">
            <v>200</v>
          </cell>
          <cell r="AS225">
            <v>1</v>
          </cell>
          <cell r="AT225">
            <v>200</v>
          </cell>
          <cell r="AU225" t="str">
            <v xml:space="preserve"> -   </v>
          </cell>
          <cell r="AV225">
            <v>200</v>
          </cell>
          <cell r="AW225" t="str">
            <v xml:space="preserve"> -   </v>
          </cell>
          <cell r="AX225">
            <v>2083</v>
          </cell>
          <cell r="AY225">
            <v>2</v>
          </cell>
          <cell r="AZ225">
            <v>2683</v>
          </cell>
          <cell r="BA225">
            <v>3</v>
          </cell>
          <cell r="BB225">
            <v>10783</v>
          </cell>
          <cell r="BC225">
            <v>25</v>
          </cell>
          <cell r="BD225">
            <v>9035</v>
          </cell>
          <cell r="BE225">
            <v>16</v>
          </cell>
          <cell r="BF225">
            <v>6805</v>
          </cell>
          <cell r="BG225">
            <v>25</v>
          </cell>
          <cell r="BH225">
            <v>9535</v>
          </cell>
          <cell r="BI225">
            <v>55</v>
          </cell>
          <cell r="BJ225">
            <v>36158</v>
          </cell>
          <cell r="BK225">
            <v>121</v>
          </cell>
          <cell r="BL225">
            <v>693</v>
          </cell>
          <cell r="BM225">
            <v>1</v>
          </cell>
          <cell r="BN225">
            <v>600</v>
          </cell>
          <cell r="BO225" t="str">
            <v xml:space="preserve"> -   </v>
          </cell>
          <cell r="BP225">
            <v>518</v>
          </cell>
          <cell r="BQ225">
            <v>1</v>
          </cell>
          <cell r="BR225">
            <v>2815</v>
          </cell>
          <cell r="BS225">
            <v>5</v>
          </cell>
          <cell r="BT225">
            <v>4626</v>
          </cell>
          <cell r="BU225">
            <v>7</v>
          </cell>
          <cell r="BV225">
            <v>100</v>
          </cell>
          <cell r="BW225" t="str">
            <v xml:space="preserve"> -   </v>
          </cell>
          <cell r="BX225">
            <v>100</v>
          </cell>
          <cell r="BY225" t="str">
            <v xml:space="preserve"> -   </v>
          </cell>
          <cell r="BZ225">
            <v>100</v>
          </cell>
          <cell r="CA225" t="str">
            <v xml:space="preserve"> -   </v>
          </cell>
          <cell r="CB225">
            <v>2097</v>
          </cell>
          <cell r="CC225">
            <v>1</v>
          </cell>
          <cell r="CD225">
            <v>2397</v>
          </cell>
          <cell r="CE225">
            <v>1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 t="str">
            <v xml:space="preserve"> -   </v>
          </cell>
          <cell r="CO225" t="str">
            <v xml:space="preserve"> -   </v>
          </cell>
          <cell r="CP225">
            <v>113</v>
          </cell>
          <cell r="CQ225">
            <v>1</v>
          </cell>
          <cell r="CR225">
            <v>100</v>
          </cell>
          <cell r="CS225" t="str">
            <v xml:space="preserve"> -   </v>
          </cell>
          <cell r="CT225">
            <v>67</v>
          </cell>
          <cell r="CU225">
            <v>1</v>
          </cell>
          <cell r="CV225" t="str">
            <v xml:space="preserve"> -   </v>
          </cell>
          <cell r="CW225" t="str">
            <v xml:space="preserve"> -   </v>
          </cell>
          <cell r="CX225">
            <v>280</v>
          </cell>
          <cell r="CY225">
            <v>2</v>
          </cell>
          <cell r="CZ225">
            <v>230</v>
          </cell>
          <cell r="DA225">
            <v>1</v>
          </cell>
          <cell r="DB225">
            <v>200</v>
          </cell>
          <cell r="DC225" t="str">
            <v xml:space="preserve"> -   </v>
          </cell>
          <cell r="DD225">
            <v>200</v>
          </cell>
          <cell r="DE225" t="str">
            <v xml:space="preserve"> -   </v>
          </cell>
          <cell r="DF225">
            <v>1783</v>
          </cell>
          <cell r="DG225">
            <v>2</v>
          </cell>
          <cell r="DH225">
            <v>2413</v>
          </cell>
          <cell r="DI225">
            <v>3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 t="str">
            <v xml:space="preserve"> -   </v>
          </cell>
          <cell r="DS225" t="str">
            <v xml:space="preserve"> -   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 t="str">
            <v xml:space="preserve"> -   </v>
          </cell>
          <cell r="EC225" t="str">
            <v xml:space="preserve"> -   </v>
          </cell>
          <cell r="ED225">
            <v>0</v>
          </cell>
          <cell r="EE225">
            <v>0</v>
          </cell>
          <cell r="EF225">
            <v>0</v>
          </cell>
          <cell r="EH225">
            <v>0</v>
          </cell>
          <cell r="EI225">
            <v>0</v>
          </cell>
        </row>
        <row r="226">
          <cell r="A226" t="str">
            <v>MarMathiveri</v>
          </cell>
          <cell r="B226" t="str">
            <v>Mar</v>
          </cell>
          <cell r="C226" t="str">
            <v>AA.</v>
          </cell>
          <cell r="D226" t="str">
            <v>Mathiveri</v>
          </cell>
          <cell r="E226">
            <v>0</v>
          </cell>
          <cell r="F226">
            <v>62627</v>
          </cell>
          <cell r="G226">
            <v>166</v>
          </cell>
          <cell r="H226">
            <v>186</v>
          </cell>
          <cell r="I226">
            <v>1</v>
          </cell>
          <cell r="J226">
            <v>1</v>
          </cell>
          <cell r="K226">
            <v>186</v>
          </cell>
          <cell r="L226">
            <v>166</v>
          </cell>
          <cell r="M226">
            <v>20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186</v>
          </cell>
          <cell r="U226">
            <v>166</v>
          </cell>
          <cell r="V226">
            <v>20</v>
          </cell>
          <cell r="W226">
            <v>77049</v>
          </cell>
          <cell r="X226">
            <v>77049</v>
          </cell>
          <cell r="Y226">
            <v>0</v>
          </cell>
          <cell r="Z226">
            <v>77049</v>
          </cell>
          <cell r="AA226">
            <v>62627</v>
          </cell>
          <cell r="AB226">
            <v>3341</v>
          </cell>
          <cell r="AC226">
            <v>65968</v>
          </cell>
          <cell r="AD226">
            <v>61</v>
          </cell>
          <cell r="AE226">
            <v>188</v>
          </cell>
          <cell r="AF226">
            <v>24679</v>
          </cell>
          <cell r="AG226">
            <v>79</v>
          </cell>
          <cell r="AH226">
            <v>1602.29</v>
          </cell>
          <cell r="AI226">
            <v>19</v>
          </cell>
          <cell r="AJ226">
            <v>1163.31</v>
          </cell>
          <cell r="AK226">
            <v>3</v>
          </cell>
          <cell r="AL226">
            <v>854.31</v>
          </cell>
          <cell r="AM226">
            <v>1</v>
          </cell>
          <cell r="AN226">
            <v>11834.09</v>
          </cell>
          <cell r="AO226">
            <v>9</v>
          </cell>
          <cell r="AP226">
            <v>15454</v>
          </cell>
          <cell r="AQ226">
            <v>32</v>
          </cell>
          <cell r="AR226">
            <v>186.66</v>
          </cell>
          <cell r="AS226" t="str">
            <v xml:space="preserve"> -   </v>
          </cell>
          <cell r="AT226">
            <v>186.66</v>
          </cell>
          <cell r="AU226" t="str">
            <v xml:space="preserve"> -   </v>
          </cell>
          <cell r="AV226">
            <v>186.66</v>
          </cell>
          <cell r="AW226" t="str">
            <v xml:space="preserve"> -   </v>
          </cell>
          <cell r="AX226">
            <v>1946.02</v>
          </cell>
          <cell r="AY226">
            <v>2</v>
          </cell>
          <cell r="AZ226">
            <v>2506</v>
          </cell>
          <cell r="BA226">
            <v>2</v>
          </cell>
          <cell r="BB226">
            <v>10089.99</v>
          </cell>
          <cell r="BC226">
            <v>16</v>
          </cell>
          <cell r="BD226">
            <v>8793.4500000000007</v>
          </cell>
          <cell r="BE226">
            <v>19</v>
          </cell>
          <cell r="BF226">
            <v>6870.94</v>
          </cell>
          <cell r="BG226">
            <v>22</v>
          </cell>
          <cell r="BH226">
            <v>9785.6200000000008</v>
          </cell>
          <cell r="BI226">
            <v>62</v>
          </cell>
          <cell r="BJ226">
            <v>35540</v>
          </cell>
          <cell r="BK226">
            <v>119</v>
          </cell>
          <cell r="BL226">
            <v>653.30999999999995</v>
          </cell>
          <cell r="BM226" t="str">
            <v xml:space="preserve"> -   </v>
          </cell>
          <cell r="BN226">
            <v>633.65</v>
          </cell>
          <cell r="BO226">
            <v>1</v>
          </cell>
          <cell r="BP226">
            <v>490.99</v>
          </cell>
          <cell r="BQ226">
            <v>1</v>
          </cell>
          <cell r="BR226">
            <v>3193.05</v>
          </cell>
          <cell r="BS226">
            <v>5</v>
          </cell>
          <cell r="BT226">
            <v>4971</v>
          </cell>
          <cell r="BU226">
            <v>7</v>
          </cell>
          <cell r="BV226">
            <v>93.33</v>
          </cell>
          <cell r="BW226" t="str">
            <v xml:space="preserve"> -   </v>
          </cell>
          <cell r="BX226">
            <v>93.33</v>
          </cell>
          <cell r="BY226" t="str">
            <v xml:space="preserve"> -   </v>
          </cell>
          <cell r="BZ226">
            <v>93.33</v>
          </cell>
          <cell r="CA226" t="str">
            <v xml:space="preserve"> -   </v>
          </cell>
          <cell r="CB226">
            <v>1433.01</v>
          </cell>
          <cell r="CC226">
            <v>1</v>
          </cell>
          <cell r="CD226">
            <v>1713</v>
          </cell>
          <cell r="CE226">
            <v>1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 t="str">
            <v xml:space="preserve"> -   </v>
          </cell>
          <cell r="CO226" t="str">
            <v xml:space="preserve"> -   </v>
          </cell>
          <cell r="CP226">
            <v>93.33</v>
          </cell>
          <cell r="CQ226">
            <v>1</v>
          </cell>
          <cell r="CR226">
            <v>93.33</v>
          </cell>
          <cell r="CS226" t="str">
            <v xml:space="preserve"> -   </v>
          </cell>
          <cell r="CT226">
            <v>85.34</v>
          </cell>
          <cell r="CU226">
            <v>1</v>
          </cell>
          <cell r="CV226" t="str">
            <v xml:space="preserve"> -   </v>
          </cell>
          <cell r="CW226" t="str">
            <v xml:space="preserve"> -   </v>
          </cell>
          <cell r="CX226">
            <v>272</v>
          </cell>
          <cell r="CY226">
            <v>2</v>
          </cell>
          <cell r="CZ226">
            <v>207</v>
          </cell>
          <cell r="DA226">
            <v>1</v>
          </cell>
          <cell r="DB226">
            <v>180</v>
          </cell>
          <cell r="DC226" t="str">
            <v xml:space="preserve"> -   </v>
          </cell>
          <cell r="DD226">
            <v>180</v>
          </cell>
          <cell r="DE226" t="str">
            <v xml:space="preserve"> -   </v>
          </cell>
          <cell r="DF226">
            <v>1604</v>
          </cell>
          <cell r="DG226">
            <v>2</v>
          </cell>
          <cell r="DH226">
            <v>2171</v>
          </cell>
          <cell r="DI226">
            <v>3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 t="str">
            <v xml:space="preserve"> -   </v>
          </cell>
          <cell r="DS226" t="str">
            <v xml:space="preserve"> -   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 t="str">
            <v xml:space="preserve"> -   </v>
          </cell>
          <cell r="EC226" t="str">
            <v xml:space="preserve"> -   </v>
          </cell>
          <cell r="ED226">
            <v>0</v>
          </cell>
          <cell r="EE226">
            <v>0</v>
          </cell>
          <cell r="EF226">
            <v>0</v>
          </cell>
          <cell r="EH226">
            <v>0</v>
          </cell>
          <cell r="EI226">
            <v>0</v>
          </cell>
        </row>
        <row r="227">
          <cell r="A227" t="str">
            <v>AprMathiveri</v>
          </cell>
          <cell r="B227" t="str">
            <v>Apr</v>
          </cell>
          <cell r="C227" t="str">
            <v>AA.</v>
          </cell>
          <cell r="D227" t="str">
            <v>Mathiveri</v>
          </cell>
          <cell r="E227">
            <v>0</v>
          </cell>
          <cell r="F227">
            <v>80127</v>
          </cell>
          <cell r="G227">
            <v>172</v>
          </cell>
          <cell r="H227">
            <v>186</v>
          </cell>
          <cell r="I227">
            <v>5</v>
          </cell>
          <cell r="J227">
            <v>0</v>
          </cell>
          <cell r="K227">
            <v>191</v>
          </cell>
          <cell r="L227">
            <v>172</v>
          </cell>
          <cell r="M227">
            <v>19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191</v>
          </cell>
          <cell r="U227">
            <v>172</v>
          </cell>
          <cell r="V227">
            <v>19</v>
          </cell>
          <cell r="W227">
            <v>82546</v>
          </cell>
          <cell r="X227">
            <v>89345</v>
          </cell>
          <cell r="Y227">
            <v>0</v>
          </cell>
          <cell r="Z227">
            <v>89345</v>
          </cell>
          <cell r="AA227">
            <v>80127</v>
          </cell>
          <cell r="AB227">
            <v>3373</v>
          </cell>
          <cell r="AC227">
            <v>83500</v>
          </cell>
          <cell r="AD227">
            <v>72</v>
          </cell>
          <cell r="AE227">
            <v>216</v>
          </cell>
          <cell r="AF227">
            <v>26133</v>
          </cell>
          <cell r="AG227">
            <v>93.4</v>
          </cell>
          <cell r="AH227">
            <v>2215.38</v>
          </cell>
          <cell r="AI227">
            <v>21</v>
          </cell>
          <cell r="AJ227">
            <v>1693.38</v>
          </cell>
          <cell r="AK227">
            <v>0</v>
          </cell>
          <cell r="AL227">
            <v>1584.36</v>
          </cell>
          <cell r="AM227">
            <v>3</v>
          </cell>
          <cell r="AN227">
            <v>15832.88</v>
          </cell>
          <cell r="AO227">
            <v>12</v>
          </cell>
          <cell r="AP227">
            <v>21326</v>
          </cell>
          <cell r="AQ227">
            <v>36</v>
          </cell>
          <cell r="AR227">
            <v>213.34</v>
          </cell>
          <cell r="AS227">
            <v>0</v>
          </cell>
          <cell r="AT227">
            <v>213.34</v>
          </cell>
          <cell r="AU227">
            <v>0</v>
          </cell>
          <cell r="AV227">
            <v>213.34</v>
          </cell>
          <cell r="AW227">
            <v>0</v>
          </cell>
          <cell r="AX227">
            <v>2221.98</v>
          </cell>
          <cell r="AY227">
            <v>2</v>
          </cell>
          <cell r="AZ227">
            <v>2862.0000000000005</v>
          </cell>
          <cell r="BA227">
            <v>2</v>
          </cell>
          <cell r="BB227">
            <v>12247.01</v>
          </cell>
          <cell r="BC227">
            <v>17</v>
          </cell>
          <cell r="BD227">
            <v>10407.89</v>
          </cell>
          <cell r="BE227">
            <v>20</v>
          </cell>
          <cell r="BF227">
            <v>8032.74</v>
          </cell>
          <cell r="BG227">
            <v>21</v>
          </cell>
          <cell r="BH227">
            <v>14483.36</v>
          </cell>
          <cell r="BI227">
            <v>64</v>
          </cell>
          <cell r="BJ227">
            <v>45171</v>
          </cell>
          <cell r="BK227">
            <v>122</v>
          </cell>
          <cell r="BL227">
            <v>640.02</v>
          </cell>
          <cell r="BM227">
            <v>0</v>
          </cell>
          <cell r="BN227">
            <v>605.67999999999995</v>
          </cell>
          <cell r="BO227">
            <v>1</v>
          </cell>
          <cell r="BP227">
            <v>533.35</v>
          </cell>
          <cell r="BQ227">
            <v>0</v>
          </cell>
          <cell r="BR227">
            <v>3610.95</v>
          </cell>
          <cell r="BS227">
            <v>5</v>
          </cell>
          <cell r="BT227">
            <v>5390</v>
          </cell>
          <cell r="BU227">
            <v>6</v>
          </cell>
          <cell r="BV227">
            <v>106.67</v>
          </cell>
          <cell r="BW227">
            <v>0</v>
          </cell>
          <cell r="BX227">
            <v>106.67</v>
          </cell>
          <cell r="BY227">
            <v>0</v>
          </cell>
          <cell r="BZ227">
            <v>106.67</v>
          </cell>
          <cell r="CA227">
            <v>0</v>
          </cell>
          <cell r="CB227">
            <v>1952.99</v>
          </cell>
          <cell r="CC227">
            <v>1</v>
          </cell>
          <cell r="CD227">
            <v>2273</v>
          </cell>
          <cell r="CE227">
            <v>1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133.66999999999999</v>
          </cell>
          <cell r="CQ227">
            <v>1</v>
          </cell>
          <cell r="CR227">
            <v>106.67</v>
          </cell>
          <cell r="CS227">
            <v>0</v>
          </cell>
          <cell r="CT227">
            <v>106.67</v>
          </cell>
          <cell r="CU227">
            <v>0</v>
          </cell>
          <cell r="CV227">
            <v>183.99</v>
          </cell>
          <cell r="CW227">
            <v>1</v>
          </cell>
          <cell r="CX227">
            <v>531</v>
          </cell>
          <cell r="CY227">
            <v>2</v>
          </cell>
          <cell r="CZ227">
            <v>245.34</v>
          </cell>
          <cell r="DA227">
            <v>1</v>
          </cell>
          <cell r="DB227">
            <v>213.34</v>
          </cell>
          <cell r="DC227">
            <v>0</v>
          </cell>
          <cell r="DD227">
            <v>213.34</v>
          </cell>
          <cell r="DE227">
            <v>0</v>
          </cell>
          <cell r="DF227">
            <v>1901.98</v>
          </cell>
          <cell r="DG227">
            <v>2</v>
          </cell>
          <cell r="DH227">
            <v>2574.0000000000005</v>
          </cell>
          <cell r="DI227">
            <v>3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H227">
            <v>0</v>
          </cell>
          <cell r="EI227">
            <v>0</v>
          </cell>
        </row>
        <row r="228">
          <cell r="A228" t="str">
            <v>MayMathiveri</v>
          </cell>
          <cell r="B228" t="str">
            <v>May</v>
          </cell>
          <cell r="C228" t="str">
            <v>AA.</v>
          </cell>
          <cell r="D228" t="str">
            <v>Mathiveri</v>
          </cell>
          <cell r="E228">
            <v>0</v>
          </cell>
          <cell r="F228">
            <v>72164</v>
          </cell>
          <cell r="G228">
            <v>162</v>
          </cell>
          <cell r="H228">
            <v>191</v>
          </cell>
          <cell r="I228">
            <v>0</v>
          </cell>
          <cell r="J228">
            <v>1</v>
          </cell>
          <cell r="K228">
            <v>190</v>
          </cell>
          <cell r="L228">
            <v>162</v>
          </cell>
          <cell r="M228">
            <v>28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190</v>
          </cell>
          <cell r="U228">
            <v>162</v>
          </cell>
          <cell r="V228">
            <v>28</v>
          </cell>
          <cell r="W228">
            <v>77901</v>
          </cell>
          <cell r="X228">
            <v>77901</v>
          </cell>
          <cell r="Y228">
            <v>0</v>
          </cell>
          <cell r="Z228">
            <v>77901</v>
          </cell>
          <cell r="AA228">
            <v>72164</v>
          </cell>
          <cell r="AB228">
            <v>3138</v>
          </cell>
          <cell r="AC228">
            <v>75302</v>
          </cell>
          <cell r="AD228">
            <v>66</v>
          </cell>
          <cell r="AE228">
            <v>197</v>
          </cell>
          <cell r="AF228">
            <v>24489</v>
          </cell>
          <cell r="AG228">
            <v>93.3</v>
          </cell>
          <cell r="AH228">
            <v>2175</v>
          </cell>
          <cell r="AI228">
            <v>17</v>
          </cell>
          <cell r="AJ228">
            <v>1540</v>
          </cell>
          <cell r="AK228">
            <v>1</v>
          </cell>
          <cell r="AL228">
            <v>1392</v>
          </cell>
          <cell r="AM228">
            <v>3</v>
          </cell>
          <cell r="AN228">
            <v>12935</v>
          </cell>
          <cell r="AO228">
            <v>12</v>
          </cell>
          <cell r="AP228">
            <v>18042</v>
          </cell>
          <cell r="AQ228">
            <v>33</v>
          </cell>
          <cell r="AR228">
            <v>200</v>
          </cell>
          <cell r="AS228">
            <v>0</v>
          </cell>
          <cell r="AT228">
            <v>200</v>
          </cell>
          <cell r="AU228">
            <v>0</v>
          </cell>
          <cell r="AV228">
            <v>200</v>
          </cell>
          <cell r="AW228">
            <v>0</v>
          </cell>
          <cell r="AX228">
            <v>2084</v>
          </cell>
          <cell r="AY228">
            <v>2</v>
          </cell>
          <cell r="AZ228">
            <v>2684</v>
          </cell>
          <cell r="BA228">
            <v>2</v>
          </cell>
          <cell r="BB228">
            <v>10712</v>
          </cell>
          <cell r="BC228">
            <v>11</v>
          </cell>
          <cell r="BD228">
            <v>9299</v>
          </cell>
          <cell r="BE228">
            <v>22</v>
          </cell>
          <cell r="BF228">
            <v>7256</v>
          </cell>
          <cell r="BG228">
            <v>14</v>
          </cell>
          <cell r="BH228">
            <v>13754</v>
          </cell>
          <cell r="BI228">
            <v>67</v>
          </cell>
          <cell r="BJ228">
            <v>41021</v>
          </cell>
          <cell r="BK228">
            <v>114</v>
          </cell>
          <cell r="BL228">
            <v>806.67</v>
          </cell>
          <cell r="BM228">
            <v>0</v>
          </cell>
          <cell r="BN228">
            <v>738.67</v>
          </cell>
          <cell r="BO228">
            <v>1</v>
          </cell>
          <cell r="BP228">
            <v>537.66</v>
          </cell>
          <cell r="BQ228">
            <v>1</v>
          </cell>
          <cell r="BR228">
            <v>3411</v>
          </cell>
          <cell r="BS228">
            <v>5</v>
          </cell>
          <cell r="BT228">
            <v>5494</v>
          </cell>
          <cell r="BU228">
            <v>7</v>
          </cell>
          <cell r="BV228">
            <v>100</v>
          </cell>
          <cell r="BW228">
            <v>0</v>
          </cell>
          <cell r="BX228">
            <v>100</v>
          </cell>
          <cell r="BY228">
            <v>0</v>
          </cell>
          <cell r="BZ228">
            <v>100</v>
          </cell>
          <cell r="CA228">
            <v>0</v>
          </cell>
          <cell r="CB228">
            <v>2096</v>
          </cell>
          <cell r="CC228">
            <v>1</v>
          </cell>
          <cell r="CD228">
            <v>2396</v>
          </cell>
          <cell r="CE228">
            <v>1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114</v>
          </cell>
          <cell r="CQ228">
            <v>2</v>
          </cell>
          <cell r="CR228" t="str">
            <v xml:space="preserve"> 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114</v>
          </cell>
          <cell r="CY228">
            <v>2</v>
          </cell>
          <cell r="CZ228">
            <v>230</v>
          </cell>
          <cell r="DA228">
            <v>1</v>
          </cell>
          <cell r="DB228">
            <v>200</v>
          </cell>
          <cell r="DC228">
            <v>0</v>
          </cell>
          <cell r="DD228">
            <v>200</v>
          </cell>
          <cell r="DE228">
            <v>0</v>
          </cell>
          <cell r="DF228">
            <v>1783</v>
          </cell>
          <cell r="DG228">
            <v>2</v>
          </cell>
          <cell r="DH228">
            <v>2413</v>
          </cell>
          <cell r="DI228">
            <v>3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H228">
            <v>0</v>
          </cell>
          <cell r="EI228">
            <v>0</v>
          </cell>
        </row>
        <row r="229">
          <cell r="A229" t="str">
            <v>JunMathiveri</v>
          </cell>
          <cell r="B229" t="str">
            <v>Jun</v>
          </cell>
          <cell r="C229" t="str">
            <v>AA.</v>
          </cell>
          <cell r="D229" t="str">
            <v>Mathiveri</v>
          </cell>
          <cell r="E229">
            <v>0</v>
          </cell>
          <cell r="F229">
            <v>85511</v>
          </cell>
          <cell r="G229">
            <v>172</v>
          </cell>
          <cell r="H229">
            <v>190</v>
          </cell>
          <cell r="I229">
            <v>1</v>
          </cell>
          <cell r="J229">
            <v>0</v>
          </cell>
          <cell r="K229">
            <v>191</v>
          </cell>
          <cell r="L229">
            <v>172</v>
          </cell>
          <cell r="M229">
            <v>19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191</v>
          </cell>
          <cell r="U229">
            <v>172</v>
          </cell>
          <cell r="V229">
            <v>19</v>
          </cell>
          <cell r="W229">
            <v>68573</v>
          </cell>
          <cell r="X229">
            <v>95424.74</v>
          </cell>
          <cell r="Y229">
            <v>0</v>
          </cell>
          <cell r="Z229">
            <v>95424.74</v>
          </cell>
          <cell r="AA229">
            <v>85511</v>
          </cell>
          <cell r="AB229">
            <v>3671</v>
          </cell>
          <cell r="AC229">
            <v>89182</v>
          </cell>
          <cell r="AD229">
            <v>53</v>
          </cell>
          <cell r="AE229">
            <v>175</v>
          </cell>
          <cell r="AF229">
            <v>21858</v>
          </cell>
          <cell r="AG229">
            <v>67.8</v>
          </cell>
          <cell r="AH229">
            <v>2429.36</v>
          </cell>
          <cell r="AI229">
            <v>22</v>
          </cell>
          <cell r="AJ229">
            <v>1594.02</v>
          </cell>
          <cell r="AK229">
            <v>1</v>
          </cell>
          <cell r="AL229">
            <v>1370.69</v>
          </cell>
          <cell r="AM229">
            <v>4</v>
          </cell>
          <cell r="AN229">
            <v>8503.93</v>
          </cell>
          <cell r="AO229">
            <v>10</v>
          </cell>
          <cell r="AP229">
            <v>13898.000000000002</v>
          </cell>
          <cell r="AQ229">
            <v>37</v>
          </cell>
          <cell r="AR229">
            <v>226.66</v>
          </cell>
          <cell r="AS229">
            <v>0</v>
          </cell>
          <cell r="AT229">
            <v>226.66</v>
          </cell>
          <cell r="AU229">
            <v>0</v>
          </cell>
          <cell r="AV229">
            <v>226.66</v>
          </cell>
          <cell r="AW229">
            <v>0</v>
          </cell>
          <cell r="AX229">
            <v>2426.02</v>
          </cell>
          <cell r="AY229">
            <v>2</v>
          </cell>
          <cell r="AZ229">
            <v>3105.9999999999995</v>
          </cell>
          <cell r="BA229">
            <v>2</v>
          </cell>
          <cell r="BB229">
            <v>15890.23</v>
          </cell>
          <cell r="BC229">
            <v>17</v>
          </cell>
          <cell r="BD229">
            <v>14362.49</v>
          </cell>
          <cell r="BE229">
            <v>19</v>
          </cell>
          <cell r="BF229">
            <v>11710.7</v>
          </cell>
          <cell r="BG229">
            <v>24</v>
          </cell>
          <cell r="BH229">
            <v>16482.580000000002</v>
          </cell>
          <cell r="BI229">
            <v>60</v>
          </cell>
          <cell r="BJ229">
            <v>58446</v>
          </cell>
          <cell r="BK229">
            <v>120</v>
          </cell>
          <cell r="BL229">
            <v>753.35</v>
          </cell>
          <cell r="BM229">
            <v>0</v>
          </cell>
          <cell r="BN229">
            <v>742.01</v>
          </cell>
          <cell r="BO229">
            <v>1</v>
          </cell>
          <cell r="BP229">
            <v>627.69000000000005</v>
          </cell>
          <cell r="BQ229">
            <v>1</v>
          </cell>
          <cell r="BR229">
            <v>3527.95</v>
          </cell>
          <cell r="BS229">
            <v>5</v>
          </cell>
          <cell r="BT229">
            <v>5651</v>
          </cell>
          <cell r="BU229">
            <v>7</v>
          </cell>
          <cell r="BV229">
            <v>110</v>
          </cell>
          <cell r="BW229">
            <v>0</v>
          </cell>
          <cell r="BX229">
            <v>110</v>
          </cell>
          <cell r="BY229">
            <v>0</v>
          </cell>
          <cell r="BZ229">
            <v>110</v>
          </cell>
          <cell r="CA229">
            <v>0</v>
          </cell>
          <cell r="CB229">
            <v>1346</v>
          </cell>
          <cell r="CC229">
            <v>1</v>
          </cell>
          <cell r="CD229">
            <v>1676</v>
          </cell>
          <cell r="CE229">
            <v>1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94.67</v>
          </cell>
          <cell r="CQ229">
            <v>1</v>
          </cell>
          <cell r="CR229">
            <v>35.33</v>
          </cell>
          <cell r="CS229">
            <v>1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130</v>
          </cell>
          <cell r="CY229">
            <v>2</v>
          </cell>
          <cell r="CZ229">
            <v>245.34</v>
          </cell>
          <cell r="DA229">
            <v>1</v>
          </cell>
          <cell r="DB229">
            <v>213.34</v>
          </cell>
          <cell r="DC229">
            <v>0</v>
          </cell>
          <cell r="DD229">
            <v>213.34</v>
          </cell>
          <cell r="DE229">
            <v>0</v>
          </cell>
          <cell r="DF229">
            <v>1931.98</v>
          </cell>
          <cell r="DG229">
            <v>2</v>
          </cell>
          <cell r="DH229">
            <v>2604.0000000000005</v>
          </cell>
          <cell r="DI229">
            <v>3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H229">
            <v>0</v>
          </cell>
          <cell r="EI229">
            <v>0</v>
          </cell>
        </row>
        <row r="230">
          <cell r="A230" t="str">
            <v>JulMathiveri</v>
          </cell>
          <cell r="B230" t="str">
            <v>Jul</v>
          </cell>
          <cell r="C230" t="str">
            <v>AA.</v>
          </cell>
          <cell r="D230" t="str">
            <v>Mathiveri</v>
          </cell>
          <cell r="E230">
            <v>0</v>
          </cell>
          <cell r="F230">
            <v>64959</v>
          </cell>
          <cell r="G230">
            <v>175</v>
          </cell>
          <cell r="H230">
            <v>191</v>
          </cell>
          <cell r="I230">
            <v>2</v>
          </cell>
          <cell r="J230">
            <v>0</v>
          </cell>
          <cell r="K230">
            <v>193</v>
          </cell>
          <cell r="L230">
            <v>175</v>
          </cell>
          <cell r="M230">
            <v>18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193</v>
          </cell>
          <cell r="U230">
            <v>175</v>
          </cell>
          <cell r="V230">
            <v>18</v>
          </cell>
          <cell r="W230">
            <v>76188</v>
          </cell>
          <cell r="X230">
            <v>76188</v>
          </cell>
          <cell r="Y230">
            <v>0</v>
          </cell>
          <cell r="Z230">
            <v>76188</v>
          </cell>
          <cell r="AA230">
            <v>64959</v>
          </cell>
          <cell r="AB230">
            <v>3623</v>
          </cell>
          <cell r="AC230">
            <v>68582</v>
          </cell>
          <cell r="AD230">
            <v>60</v>
          </cell>
          <cell r="AE230">
            <v>194</v>
          </cell>
          <cell r="AF230">
            <v>26201</v>
          </cell>
          <cell r="AG230">
            <v>158.4</v>
          </cell>
          <cell r="AH230">
            <v>2389.02</v>
          </cell>
          <cell r="AI230">
            <v>19</v>
          </cell>
          <cell r="AJ230">
            <v>1730.36</v>
          </cell>
          <cell r="AK230">
            <v>1</v>
          </cell>
          <cell r="AL230">
            <v>1551.67</v>
          </cell>
          <cell r="AM230">
            <v>5</v>
          </cell>
          <cell r="AN230">
            <v>7352.95</v>
          </cell>
          <cell r="AO230">
            <v>13</v>
          </cell>
          <cell r="AP230">
            <v>13024</v>
          </cell>
          <cell r="AQ230">
            <v>38</v>
          </cell>
          <cell r="AR230">
            <v>180</v>
          </cell>
          <cell r="AS230">
            <v>0</v>
          </cell>
          <cell r="AT230">
            <v>180</v>
          </cell>
          <cell r="AU230">
            <v>0</v>
          </cell>
          <cell r="AV230">
            <v>180</v>
          </cell>
          <cell r="AW230">
            <v>0</v>
          </cell>
          <cell r="AX230">
            <v>1743</v>
          </cell>
          <cell r="AY230">
            <v>2</v>
          </cell>
          <cell r="AZ230">
            <v>2283</v>
          </cell>
          <cell r="BA230">
            <v>2</v>
          </cell>
          <cell r="BB230">
            <v>10683.16</v>
          </cell>
          <cell r="BC230">
            <v>16</v>
          </cell>
          <cell r="BD230">
            <v>9452.4599999999991</v>
          </cell>
          <cell r="BE230">
            <v>16</v>
          </cell>
          <cell r="BF230">
            <v>7485.73</v>
          </cell>
          <cell r="BG230">
            <v>20</v>
          </cell>
          <cell r="BH230">
            <v>14338.65</v>
          </cell>
          <cell r="BI230">
            <v>69</v>
          </cell>
          <cell r="BJ230">
            <v>41960</v>
          </cell>
          <cell r="BK230">
            <v>121</v>
          </cell>
          <cell r="BL230">
            <v>673.35</v>
          </cell>
          <cell r="BM230">
            <v>0</v>
          </cell>
          <cell r="BN230">
            <v>632.01</v>
          </cell>
          <cell r="BO230">
            <v>1</v>
          </cell>
          <cell r="BP230">
            <v>576.67999999999995</v>
          </cell>
          <cell r="BQ230">
            <v>0</v>
          </cell>
          <cell r="BR230">
            <v>3121.96</v>
          </cell>
          <cell r="BS230">
            <v>6</v>
          </cell>
          <cell r="BT230">
            <v>5004</v>
          </cell>
          <cell r="BU230">
            <v>7</v>
          </cell>
          <cell r="BV230">
            <v>96.67</v>
          </cell>
          <cell r="BW230">
            <v>0</v>
          </cell>
          <cell r="BX230">
            <v>96.67</v>
          </cell>
          <cell r="BY230">
            <v>0</v>
          </cell>
          <cell r="BZ230">
            <v>96.67</v>
          </cell>
          <cell r="CA230">
            <v>0</v>
          </cell>
          <cell r="CB230">
            <v>962.99</v>
          </cell>
          <cell r="CC230">
            <v>1</v>
          </cell>
          <cell r="CD230">
            <v>1253.0000000000002</v>
          </cell>
          <cell r="CE230">
            <v>1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138</v>
          </cell>
          <cell r="CQ230">
            <v>2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138</v>
          </cell>
          <cell r="CY230">
            <v>2</v>
          </cell>
          <cell r="CZ230">
            <v>330</v>
          </cell>
          <cell r="DA230">
            <v>1</v>
          </cell>
          <cell r="DB230">
            <v>300</v>
          </cell>
          <cell r="DC230">
            <v>0</v>
          </cell>
          <cell r="DD230">
            <v>300</v>
          </cell>
          <cell r="DE230">
            <v>0</v>
          </cell>
          <cell r="DF230">
            <v>367</v>
          </cell>
          <cell r="DG230">
            <v>3</v>
          </cell>
          <cell r="DH230">
            <v>1297</v>
          </cell>
          <cell r="DI230">
            <v>4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H230">
            <v>0</v>
          </cell>
          <cell r="EI230">
            <v>0</v>
          </cell>
        </row>
        <row r="231">
          <cell r="A231" t="str">
            <v>AugMathiveri</v>
          </cell>
          <cell r="B231" t="str">
            <v>Aug</v>
          </cell>
          <cell r="C231" t="str">
            <v>AA.</v>
          </cell>
          <cell r="D231" t="str">
            <v>Mathiveri</v>
          </cell>
          <cell r="E231" t="str">
            <v>usage units less than billed</v>
          </cell>
          <cell r="F231">
            <v>66425</v>
          </cell>
          <cell r="G231">
            <v>183</v>
          </cell>
          <cell r="H231">
            <v>193</v>
          </cell>
          <cell r="I231">
            <v>0</v>
          </cell>
          <cell r="J231">
            <v>0</v>
          </cell>
          <cell r="K231">
            <v>193</v>
          </cell>
          <cell r="L231">
            <v>182</v>
          </cell>
          <cell r="M231">
            <v>11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193</v>
          </cell>
          <cell r="U231">
            <v>182</v>
          </cell>
          <cell r="V231">
            <v>11</v>
          </cell>
          <cell r="W231">
            <v>70846</v>
          </cell>
          <cell r="X231">
            <v>70846</v>
          </cell>
          <cell r="Y231">
            <v>0</v>
          </cell>
          <cell r="Z231">
            <v>70846</v>
          </cell>
          <cell r="AA231">
            <v>66426</v>
          </cell>
          <cell r="AB231">
            <v>3688</v>
          </cell>
          <cell r="AC231">
            <v>70114</v>
          </cell>
          <cell r="AD231">
            <v>59</v>
          </cell>
          <cell r="AE231">
            <v>176</v>
          </cell>
          <cell r="AF231">
            <v>22433</v>
          </cell>
          <cell r="AG231">
            <v>59.7</v>
          </cell>
          <cell r="AH231">
            <v>2414.2800000000002</v>
          </cell>
          <cell r="AI231">
            <v>21</v>
          </cell>
          <cell r="AJ231">
            <v>1722.96</v>
          </cell>
          <cell r="AK231">
            <v>2</v>
          </cell>
          <cell r="AL231">
            <v>1453.65</v>
          </cell>
          <cell r="AM231">
            <v>5</v>
          </cell>
          <cell r="AN231">
            <v>9180.11</v>
          </cell>
          <cell r="AO231">
            <v>11</v>
          </cell>
          <cell r="AP231">
            <v>14771.000000000002</v>
          </cell>
          <cell r="AQ231">
            <v>39</v>
          </cell>
          <cell r="AR231">
            <v>206.66</v>
          </cell>
          <cell r="AS231">
            <v>0</v>
          </cell>
          <cell r="AT231">
            <v>206.66</v>
          </cell>
          <cell r="AU231">
            <v>0</v>
          </cell>
          <cell r="AV231">
            <v>206.66</v>
          </cell>
          <cell r="AW231">
            <v>0</v>
          </cell>
          <cell r="AX231">
            <v>1893.02</v>
          </cell>
          <cell r="AY231">
            <v>2</v>
          </cell>
          <cell r="AZ231">
            <v>2512.9999999999995</v>
          </cell>
          <cell r="BA231">
            <v>2</v>
          </cell>
          <cell r="BB231">
            <v>11778.11</v>
          </cell>
          <cell r="BC231">
            <v>22</v>
          </cell>
          <cell r="BD231">
            <v>9957.51</v>
          </cell>
          <cell r="BE231">
            <v>22</v>
          </cell>
          <cell r="BF231">
            <v>7768.96</v>
          </cell>
          <cell r="BG231">
            <v>21</v>
          </cell>
          <cell r="BH231">
            <v>10967.42</v>
          </cell>
          <cell r="BI231">
            <v>62</v>
          </cell>
          <cell r="BJ231">
            <v>40472</v>
          </cell>
          <cell r="BK231">
            <v>127</v>
          </cell>
          <cell r="BL231">
            <v>882.98</v>
          </cell>
          <cell r="BM231">
            <v>0</v>
          </cell>
          <cell r="BN231">
            <v>862.32</v>
          </cell>
          <cell r="BO231">
            <v>1</v>
          </cell>
          <cell r="BP231">
            <v>681.65</v>
          </cell>
          <cell r="BQ231">
            <v>1</v>
          </cell>
          <cell r="BR231">
            <v>2947.05</v>
          </cell>
          <cell r="BS231">
            <v>6</v>
          </cell>
          <cell r="BT231">
            <v>5374</v>
          </cell>
          <cell r="BU231">
            <v>8</v>
          </cell>
          <cell r="BV231">
            <v>100</v>
          </cell>
          <cell r="BW231">
            <v>0</v>
          </cell>
          <cell r="BX231">
            <v>100</v>
          </cell>
          <cell r="BY231">
            <v>0</v>
          </cell>
          <cell r="BZ231">
            <v>100</v>
          </cell>
          <cell r="CA231">
            <v>0</v>
          </cell>
          <cell r="CB231">
            <v>1499</v>
          </cell>
          <cell r="CC231">
            <v>1</v>
          </cell>
          <cell r="CD231">
            <v>1799</v>
          </cell>
          <cell r="CE231">
            <v>1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129</v>
          </cell>
          <cell r="CQ231">
            <v>1</v>
          </cell>
          <cell r="CR231">
            <v>70</v>
          </cell>
          <cell r="CS231">
            <v>1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199</v>
          </cell>
          <cell r="CY231">
            <v>2</v>
          </cell>
          <cell r="CZ231">
            <v>330</v>
          </cell>
          <cell r="DA231">
            <v>1</v>
          </cell>
          <cell r="DB231">
            <v>300</v>
          </cell>
          <cell r="DC231">
            <v>0</v>
          </cell>
          <cell r="DD231">
            <v>300</v>
          </cell>
          <cell r="DE231">
            <v>0</v>
          </cell>
          <cell r="DF231">
            <v>367</v>
          </cell>
          <cell r="DG231">
            <v>3</v>
          </cell>
          <cell r="DH231">
            <v>1297</v>
          </cell>
          <cell r="DI231">
            <v>4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H231">
            <v>0</v>
          </cell>
          <cell r="EI231">
            <v>0</v>
          </cell>
        </row>
        <row r="232">
          <cell r="A232" t="str">
            <v>SepMathiveri</v>
          </cell>
          <cell r="B232" t="str">
            <v>Sep</v>
          </cell>
          <cell r="C232" t="str">
            <v>AA.</v>
          </cell>
          <cell r="D232" t="str">
            <v>Mathiveri</v>
          </cell>
          <cell r="E232" t="str">
            <v>billed normal &amp; temp more than usage</v>
          </cell>
          <cell r="F232">
            <v>60811.999999999993</v>
          </cell>
          <cell r="G232">
            <v>165</v>
          </cell>
          <cell r="H232">
            <v>193</v>
          </cell>
          <cell r="I232">
            <v>0</v>
          </cell>
          <cell r="J232">
            <v>0</v>
          </cell>
          <cell r="K232">
            <v>193</v>
          </cell>
          <cell r="L232">
            <v>193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193</v>
          </cell>
          <cell r="U232">
            <v>193</v>
          </cell>
          <cell r="V232">
            <v>0</v>
          </cell>
          <cell r="W232">
            <v>70785</v>
          </cell>
          <cell r="X232">
            <v>70785</v>
          </cell>
          <cell r="Y232">
            <v>0</v>
          </cell>
          <cell r="Z232">
            <v>70785</v>
          </cell>
          <cell r="AA232">
            <v>60812</v>
          </cell>
          <cell r="AB232">
            <v>3138</v>
          </cell>
          <cell r="AC232">
            <v>63950</v>
          </cell>
          <cell r="AD232">
            <v>57</v>
          </cell>
          <cell r="AE232">
            <v>188</v>
          </cell>
          <cell r="AF232">
            <v>22155</v>
          </cell>
          <cell r="AG232">
            <v>97.9</v>
          </cell>
          <cell r="AH232">
            <v>2271.29</v>
          </cell>
          <cell r="AI232">
            <v>14</v>
          </cell>
          <cell r="AJ232">
            <v>1684.63</v>
          </cell>
          <cell r="AK232">
            <v>1</v>
          </cell>
          <cell r="AL232">
            <v>1280</v>
          </cell>
          <cell r="AM232">
            <v>8</v>
          </cell>
          <cell r="AN232">
            <v>8488.08</v>
          </cell>
          <cell r="AO232">
            <v>8</v>
          </cell>
          <cell r="AP232">
            <v>13724</v>
          </cell>
          <cell r="AQ232">
            <v>31</v>
          </cell>
          <cell r="AR232">
            <v>206.66</v>
          </cell>
          <cell r="AS232">
            <v>0</v>
          </cell>
          <cell r="AT232">
            <v>206.66</v>
          </cell>
          <cell r="AU232">
            <v>0</v>
          </cell>
          <cell r="AV232">
            <v>206.66</v>
          </cell>
          <cell r="AW232">
            <v>2</v>
          </cell>
          <cell r="AX232">
            <v>1801.02</v>
          </cell>
          <cell r="AY232">
            <v>0</v>
          </cell>
          <cell r="AZ232">
            <v>2421</v>
          </cell>
          <cell r="BA232">
            <v>2</v>
          </cell>
          <cell r="BB232">
            <v>11290.67</v>
          </cell>
          <cell r="BC232">
            <v>18</v>
          </cell>
          <cell r="BD232">
            <v>9598.81</v>
          </cell>
          <cell r="BE232">
            <v>22</v>
          </cell>
          <cell r="BF232">
            <v>7182.95</v>
          </cell>
          <cell r="BG232">
            <v>21</v>
          </cell>
          <cell r="BH232">
            <v>8653.57</v>
          </cell>
          <cell r="BI232">
            <v>59</v>
          </cell>
          <cell r="BJ232">
            <v>36725.999999999993</v>
          </cell>
          <cell r="BK232">
            <v>120</v>
          </cell>
          <cell r="BL232">
            <v>619.98</v>
          </cell>
          <cell r="BM232">
            <v>0</v>
          </cell>
          <cell r="BN232">
            <v>619.98</v>
          </cell>
          <cell r="BO232">
            <v>0</v>
          </cell>
          <cell r="BP232">
            <v>619.98</v>
          </cell>
          <cell r="BQ232">
            <v>0</v>
          </cell>
          <cell r="BR232">
            <v>2858.06</v>
          </cell>
          <cell r="BS232">
            <v>6</v>
          </cell>
          <cell r="BT232">
            <v>4718</v>
          </cell>
          <cell r="BU232">
            <v>6</v>
          </cell>
          <cell r="BV232">
            <v>103.33</v>
          </cell>
          <cell r="BW232">
            <v>0</v>
          </cell>
          <cell r="BX232">
            <v>103.33</v>
          </cell>
          <cell r="BY232">
            <v>0</v>
          </cell>
          <cell r="BZ232">
            <v>103.33</v>
          </cell>
          <cell r="CA232">
            <v>0</v>
          </cell>
          <cell r="CB232">
            <v>1548.01</v>
          </cell>
          <cell r="CC232">
            <v>1</v>
          </cell>
          <cell r="CD232">
            <v>1857.9999999999998</v>
          </cell>
          <cell r="CE232">
            <v>1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24</v>
          </cell>
          <cell r="CQ232">
            <v>1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24</v>
          </cell>
          <cell r="CY232">
            <v>1</v>
          </cell>
          <cell r="CZ232">
            <v>340.99</v>
          </cell>
          <cell r="DA232">
            <v>1</v>
          </cell>
          <cell r="DB232">
            <v>309.99</v>
          </cell>
          <cell r="DC232">
            <v>0</v>
          </cell>
          <cell r="DD232">
            <v>309.99</v>
          </cell>
          <cell r="DE232">
            <v>0</v>
          </cell>
          <cell r="DF232">
            <v>380.03</v>
          </cell>
          <cell r="DG232">
            <v>3</v>
          </cell>
          <cell r="DH232">
            <v>1341</v>
          </cell>
          <cell r="DI232">
            <v>4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H232">
            <v>0</v>
          </cell>
          <cell r="EI232">
            <v>0</v>
          </cell>
        </row>
        <row r="233">
          <cell r="A233" t="str">
            <v>OctMathiveri</v>
          </cell>
          <cell r="B233" t="str">
            <v>Oct</v>
          </cell>
          <cell r="C233" t="str">
            <v>AA.</v>
          </cell>
          <cell r="D233" t="str">
            <v>Mathiveri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H233">
            <v>0</v>
          </cell>
          <cell r="EI233">
            <v>0</v>
          </cell>
        </row>
        <row r="234">
          <cell r="A234" t="str">
            <v>NovMathiveri</v>
          </cell>
          <cell r="B234" t="str">
            <v>Nov</v>
          </cell>
          <cell r="C234" t="str">
            <v>AA.</v>
          </cell>
          <cell r="D234" t="str">
            <v>Mathiveri</v>
          </cell>
          <cell r="E234" t="str">
            <v>billed normal &amp; temp less than billed cons.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H234">
            <v>0</v>
          </cell>
          <cell r="EI234">
            <v>0</v>
          </cell>
        </row>
        <row r="235">
          <cell r="A235" t="str">
            <v>DecMathiveri</v>
          </cell>
          <cell r="B235" t="str">
            <v>Dec</v>
          </cell>
          <cell r="C235" t="str">
            <v>AA.</v>
          </cell>
          <cell r="D235" t="str">
            <v>Mathiveri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H235">
            <v>0</v>
          </cell>
          <cell r="EI235">
            <v>0</v>
          </cell>
        </row>
        <row r="236">
          <cell r="A236" t="str">
            <v>JanOmadhoo</v>
          </cell>
          <cell r="B236" t="str">
            <v>Jan</v>
          </cell>
          <cell r="C236" t="str">
            <v>ADh.</v>
          </cell>
          <cell r="D236" t="str">
            <v>Omadhoo</v>
          </cell>
          <cell r="E236">
            <v>0</v>
          </cell>
          <cell r="F236">
            <v>47411</v>
          </cell>
          <cell r="G236">
            <v>197</v>
          </cell>
          <cell r="H236">
            <v>201</v>
          </cell>
          <cell r="I236">
            <v>0</v>
          </cell>
          <cell r="J236">
            <v>0</v>
          </cell>
          <cell r="K236">
            <v>201</v>
          </cell>
          <cell r="L236">
            <v>197</v>
          </cell>
          <cell r="M236">
            <v>4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201</v>
          </cell>
          <cell r="U236">
            <v>197</v>
          </cell>
          <cell r="V236">
            <v>4</v>
          </cell>
          <cell r="W236">
            <v>53032</v>
          </cell>
          <cell r="X236">
            <v>53032</v>
          </cell>
          <cell r="Y236">
            <v>0</v>
          </cell>
          <cell r="Z236">
            <v>53032</v>
          </cell>
          <cell r="AA236">
            <v>47411</v>
          </cell>
          <cell r="AB236">
            <v>1186</v>
          </cell>
          <cell r="AC236">
            <v>48597</v>
          </cell>
          <cell r="AD236">
            <v>51</v>
          </cell>
          <cell r="AE236">
            <v>104</v>
          </cell>
          <cell r="AF236">
            <v>16975</v>
          </cell>
          <cell r="AG236">
            <v>80</v>
          </cell>
          <cell r="AH236">
            <v>2329.6</v>
          </cell>
          <cell r="AI236">
            <v>10</v>
          </cell>
          <cell r="AJ236">
            <v>1700.64</v>
          </cell>
          <cell r="AK236">
            <v>6</v>
          </cell>
          <cell r="AL236">
            <v>1135.67</v>
          </cell>
          <cell r="AM236">
            <v>5</v>
          </cell>
          <cell r="AN236">
            <v>2299.09</v>
          </cell>
          <cell r="AO236">
            <v>9</v>
          </cell>
          <cell r="AP236">
            <v>7465</v>
          </cell>
          <cell r="AQ236">
            <v>30</v>
          </cell>
          <cell r="AR236">
            <v>206.66</v>
          </cell>
          <cell r="AS236" t="str">
            <v xml:space="preserve"> -   </v>
          </cell>
          <cell r="AT236">
            <v>206.66</v>
          </cell>
          <cell r="AU236" t="str">
            <v xml:space="preserve"> -   </v>
          </cell>
          <cell r="AV236">
            <v>206.66</v>
          </cell>
          <cell r="AW236" t="str">
            <v xml:space="preserve"> -   </v>
          </cell>
          <cell r="AX236">
            <v>590.02</v>
          </cell>
          <cell r="AY236">
            <v>2</v>
          </cell>
          <cell r="AZ236">
            <v>1210</v>
          </cell>
          <cell r="BA236">
            <v>2</v>
          </cell>
          <cell r="BB236">
            <v>12290.62</v>
          </cell>
          <cell r="BC236">
            <v>39</v>
          </cell>
          <cell r="BD236">
            <v>10828.78</v>
          </cell>
          <cell r="BE236">
            <v>24</v>
          </cell>
          <cell r="BF236">
            <v>6286.18</v>
          </cell>
          <cell r="BG236">
            <v>48</v>
          </cell>
          <cell r="BH236">
            <v>4537.42</v>
          </cell>
          <cell r="BI236">
            <v>42</v>
          </cell>
          <cell r="BJ236">
            <v>33943</v>
          </cell>
          <cell r="BK236">
            <v>153</v>
          </cell>
          <cell r="BL236">
            <v>518.65</v>
          </cell>
          <cell r="BM236">
            <v>2</v>
          </cell>
          <cell r="BN236">
            <v>457.99</v>
          </cell>
          <cell r="BO236">
            <v>1</v>
          </cell>
          <cell r="BP236">
            <v>283.33999999999997</v>
          </cell>
          <cell r="BQ236">
            <v>2</v>
          </cell>
          <cell r="BR236">
            <v>324.02</v>
          </cell>
          <cell r="BS236">
            <v>2</v>
          </cell>
          <cell r="BT236">
            <v>1584</v>
          </cell>
          <cell r="BU236">
            <v>7</v>
          </cell>
          <cell r="BV236">
            <v>103.33</v>
          </cell>
          <cell r="BW236" t="str">
            <v xml:space="preserve"> -   </v>
          </cell>
          <cell r="BX236">
            <v>103.33</v>
          </cell>
          <cell r="BY236" t="str">
            <v xml:space="preserve"> -   </v>
          </cell>
          <cell r="BZ236">
            <v>103.33</v>
          </cell>
          <cell r="CA236" t="str">
            <v xml:space="preserve"> -   </v>
          </cell>
          <cell r="CB236">
            <v>1232.01</v>
          </cell>
          <cell r="CC236">
            <v>1</v>
          </cell>
          <cell r="CD236">
            <v>1542</v>
          </cell>
          <cell r="CE236">
            <v>1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 t="str">
            <v xml:space="preserve"> -   </v>
          </cell>
          <cell r="CO236" t="str">
            <v xml:space="preserve"> -   </v>
          </cell>
          <cell r="CP236">
            <v>103.33</v>
          </cell>
          <cell r="CQ236" t="str">
            <v xml:space="preserve"> -   </v>
          </cell>
          <cell r="CR236">
            <v>27.67</v>
          </cell>
          <cell r="CS236">
            <v>1</v>
          </cell>
          <cell r="CT236" t="str">
            <v xml:space="preserve"> -   </v>
          </cell>
          <cell r="CU236" t="str">
            <v xml:space="preserve"> -   </v>
          </cell>
          <cell r="CV236" t="str">
            <v xml:space="preserve"> -   </v>
          </cell>
          <cell r="CW236" t="str">
            <v xml:space="preserve"> -   </v>
          </cell>
          <cell r="CX236">
            <v>131</v>
          </cell>
          <cell r="CY236">
            <v>1</v>
          </cell>
          <cell r="CZ236">
            <v>309.99</v>
          </cell>
          <cell r="DA236" t="str">
            <v xml:space="preserve"> -   </v>
          </cell>
          <cell r="DB236">
            <v>223.67</v>
          </cell>
          <cell r="DC236">
            <v>2</v>
          </cell>
          <cell r="DD236">
            <v>103.33</v>
          </cell>
          <cell r="DE236" t="str">
            <v xml:space="preserve"> -   </v>
          </cell>
          <cell r="DF236">
            <v>899.01</v>
          </cell>
          <cell r="DG236">
            <v>1</v>
          </cell>
          <cell r="DH236">
            <v>1536</v>
          </cell>
          <cell r="DI236">
            <v>3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 t="str">
            <v xml:space="preserve"> -   </v>
          </cell>
          <cell r="DS236" t="str">
            <v xml:space="preserve"> -   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 t="str">
            <v xml:space="preserve"> -   </v>
          </cell>
          <cell r="EC236" t="str">
            <v xml:space="preserve"> -   </v>
          </cell>
          <cell r="ED236">
            <v>0</v>
          </cell>
          <cell r="EE236">
            <v>0</v>
          </cell>
          <cell r="EF236">
            <v>0</v>
          </cell>
          <cell r="EH236">
            <v>0</v>
          </cell>
          <cell r="EI236">
            <v>0</v>
          </cell>
        </row>
        <row r="237">
          <cell r="A237" t="str">
            <v>FebOmadhoo</v>
          </cell>
          <cell r="B237" t="str">
            <v>Feb</v>
          </cell>
          <cell r="C237" t="str">
            <v>ADh.</v>
          </cell>
          <cell r="D237" t="str">
            <v>Omadhoo</v>
          </cell>
          <cell r="E237">
            <v>0</v>
          </cell>
          <cell r="F237">
            <v>49890</v>
          </cell>
          <cell r="G237">
            <v>198</v>
          </cell>
          <cell r="H237">
            <v>201</v>
          </cell>
          <cell r="I237">
            <v>0</v>
          </cell>
          <cell r="J237">
            <v>0</v>
          </cell>
          <cell r="K237">
            <v>201</v>
          </cell>
          <cell r="L237">
            <v>198</v>
          </cell>
          <cell r="M237">
            <v>3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201</v>
          </cell>
          <cell r="U237">
            <v>198</v>
          </cell>
          <cell r="V237">
            <v>3</v>
          </cell>
          <cell r="W237">
            <v>47753</v>
          </cell>
          <cell r="X237">
            <v>54474.8</v>
          </cell>
          <cell r="Y237">
            <v>0</v>
          </cell>
          <cell r="Z237">
            <v>54474.77</v>
          </cell>
          <cell r="AA237">
            <v>49890</v>
          </cell>
          <cell r="AB237">
            <v>1021</v>
          </cell>
          <cell r="AC237">
            <v>50911</v>
          </cell>
          <cell r="AD237">
            <v>45</v>
          </cell>
          <cell r="AE237">
            <v>103</v>
          </cell>
          <cell r="AF237">
            <v>15281</v>
          </cell>
          <cell r="AG237">
            <v>80</v>
          </cell>
          <cell r="AH237">
            <v>2370.4</v>
          </cell>
          <cell r="AI237">
            <v>11</v>
          </cell>
          <cell r="AJ237">
            <v>1808.02</v>
          </cell>
          <cell r="AK237">
            <v>7</v>
          </cell>
          <cell r="AL237">
            <v>1132.6500000000001</v>
          </cell>
          <cell r="AM237">
            <v>6</v>
          </cell>
          <cell r="AN237">
            <v>2737.93</v>
          </cell>
          <cell r="AO237">
            <v>7</v>
          </cell>
          <cell r="AP237">
            <v>8049</v>
          </cell>
          <cell r="AQ237">
            <v>31</v>
          </cell>
          <cell r="AR237">
            <v>213.34</v>
          </cell>
          <cell r="AS237" t="str">
            <v xml:space="preserve"> -   </v>
          </cell>
          <cell r="AT237">
            <v>213.34</v>
          </cell>
          <cell r="AU237" t="str">
            <v xml:space="preserve"> -   </v>
          </cell>
          <cell r="AV237">
            <v>213.34</v>
          </cell>
          <cell r="AW237" t="str">
            <v xml:space="preserve"> -   </v>
          </cell>
          <cell r="AX237">
            <v>628.98</v>
          </cell>
          <cell r="AY237">
            <v>2</v>
          </cell>
          <cell r="AZ237">
            <v>1269</v>
          </cell>
          <cell r="BA237">
            <v>2</v>
          </cell>
          <cell r="BB237">
            <v>12678.37</v>
          </cell>
          <cell r="BC237">
            <v>42</v>
          </cell>
          <cell r="BD237">
            <v>10972.55</v>
          </cell>
          <cell r="BE237">
            <v>23</v>
          </cell>
          <cell r="BF237">
            <v>6922.53</v>
          </cell>
          <cell r="BG237">
            <v>43</v>
          </cell>
          <cell r="BH237">
            <v>4337.55</v>
          </cell>
          <cell r="BI237">
            <v>45</v>
          </cell>
          <cell r="BJ237">
            <v>34911</v>
          </cell>
          <cell r="BK237">
            <v>153</v>
          </cell>
          <cell r="BL237">
            <v>534.35</v>
          </cell>
          <cell r="BM237">
            <v>2</v>
          </cell>
          <cell r="BN237">
            <v>478.01</v>
          </cell>
          <cell r="BO237">
            <v>1</v>
          </cell>
          <cell r="BP237">
            <v>344.67</v>
          </cell>
          <cell r="BQ237">
            <v>1</v>
          </cell>
          <cell r="BR237">
            <v>232.97</v>
          </cell>
          <cell r="BS237">
            <v>3</v>
          </cell>
          <cell r="BT237">
            <v>1590</v>
          </cell>
          <cell r="BU237">
            <v>7</v>
          </cell>
          <cell r="BV237">
            <v>106.67</v>
          </cell>
          <cell r="BW237" t="str">
            <v xml:space="preserve"> -   </v>
          </cell>
          <cell r="BX237">
            <v>106.67</v>
          </cell>
          <cell r="BY237" t="str">
            <v xml:space="preserve"> -   </v>
          </cell>
          <cell r="BZ237">
            <v>106.67</v>
          </cell>
          <cell r="CA237" t="str">
            <v xml:space="preserve"> -   </v>
          </cell>
          <cell r="CB237">
            <v>1864.99</v>
          </cell>
          <cell r="CC237">
            <v>1</v>
          </cell>
          <cell r="CD237">
            <v>2185</v>
          </cell>
          <cell r="CE237">
            <v>1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 t="str">
            <v xml:space="preserve"> -   </v>
          </cell>
          <cell r="CO237" t="str">
            <v xml:space="preserve"> -   </v>
          </cell>
          <cell r="CP237">
            <v>106.67</v>
          </cell>
          <cell r="CQ237" t="str">
            <v xml:space="preserve"> -   </v>
          </cell>
          <cell r="CR237">
            <v>106.67</v>
          </cell>
          <cell r="CS237" t="str">
            <v xml:space="preserve"> -   </v>
          </cell>
          <cell r="CT237">
            <v>87.66</v>
          </cell>
          <cell r="CU237">
            <v>1</v>
          </cell>
          <cell r="CV237" t="str">
            <v xml:space="preserve"> -   </v>
          </cell>
          <cell r="CW237" t="str">
            <v xml:space="preserve"> -   </v>
          </cell>
          <cell r="CX237">
            <v>301</v>
          </cell>
          <cell r="CY237">
            <v>1</v>
          </cell>
          <cell r="CZ237">
            <v>320.01</v>
          </cell>
          <cell r="DA237" t="str">
            <v xml:space="preserve"> -   </v>
          </cell>
          <cell r="DB237">
            <v>230.33</v>
          </cell>
          <cell r="DC237">
            <v>2</v>
          </cell>
          <cell r="DD237">
            <v>106.67</v>
          </cell>
          <cell r="DE237" t="str">
            <v xml:space="preserve"> -   </v>
          </cell>
          <cell r="DF237">
            <v>927.99</v>
          </cell>
          <cell r="DG237">
            <v>1</v>
          </cell>
          <cell r="DH237">
            <v>1585</v>
          </cell>
          <cell r="DI237">
            <v>3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 t="str">
            <v xml:space="preserve"> -   </v>
          </cell>
          <cell r="DS237" t="str">
            <v xml:space="preserve"> -   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 t="str">
            <v xml:space="preserve"> -   </v>
          </cell>
          <cell r="EC237" t="str">
            <v xml:space="preserve"> -   </v>
          </cell>
          <cell r="ED237">
            <v>0</v>
          </cell>
          <cell r="EE237">
            <v>0</v>
          </cell>
          <cell r="EF237">
            <v>0</v>
          </cell>
          <cell r="EH237">
            <v>0</v>
          </cell>
          <cell r="EI237">
            <v>0</v>
          </cell>
        </row>
        <row r="238">
          <cell r="A238" t="str">
            <v>MarOmadhoo</v>
          </cell>
          <cell r="B238" t="str">
            <v>Mar</v>
          </cell>
          <cell r="C238" t="str">
            <v>ADh.</v>
          </cell>
          <cell r="D238" t="str">
            <v>Omadhoo</v>
          </cell>
          <cell r="E238">
            <v>0</v>
          </cell>
          <cell r="F238">
            <v>46794</v>
          </cell>
          <cell r="G238">
            <v>197</v>
          </cell>
          <cell r="H238">
            <v>201</v>
          </cell>
          <cell r="I238">
            <v>3</v>
          </cell>
          <cell r="J238">
            <v>0</v>
          </cell>
          <cell r="K238">
            <v>204</v>
          </cell>
          <cell r="L238">
            <v>197</v>
          </cell>
          <cell r="M238">
            <v>7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204</v>
          </cell>
          <cell r="U238">
            <v>197</v>
          </cell>
          <cell r="V238">
            <v>7</v>
          </cell>
          <cell r="W238">
            <v>56145</v>
          </cell>
          <cell r="X238">
            <v>56145</v>
          </cell>
          <cell r="Y238">
            <v>0</v>
          </cell>
          <cell r="Z238">
            <v>56145</v>
          </cell>
          <cell r="AA238">
            <v>46794</v>
          </cell>
          <cell r="AB238">
            <v>1201</v>
          </cell>
          <cell r="AC238">
            <v>47995</v>
          </cell>
          <cell r="AD238">
            <v>54</v>
          </cell>
          <cell r="AE238">
            <v>110</v>
          </cell>
          <cell r="AF238">
            <v>18479</v>
          </cell>
          <cell r="AG238">
            <v>50</v>
          </cell>
          <cell r="AH238">
            <v>2040.6</v>
          </cell>
          <cell r="AI238">
            <v>10</v>
          </cell>
          <cell r="AJ238">
            <v>1675.3</v>
          </cell>
          <cell r="AK238">
            <v>5</v>
          </cell>
          <cell r="AL238">
            <v>1101.02</v>
          </cell>
          <cell r="AM238">
            <v>7</v>
          </cell>
          <cell r="AN238">
            <v>3097.08</v>
          </cell>
          <cell r="AO238">
            <v>8</v>
          </cell>
          <cell r="AP238">
            <v>7914</v>
          </cell>
          <cell r="AQ238">
            <v>30</v>
          </cell>
          <cell r="AR238">
            <v>186.66</v>
          </cell>
          <cell r="AS238" t="str">
            <v xml:space="preserve"> -   </v>
          </cell>
          <cell r="AT238">
            <v>186.66</v>
          </cell>
          <cell r="AU238" t="str">
            <v xml:space="preserve"> -   </v>
          </cell>
          <cell r="AV238">
            <v>186.66</v>
          </cell>
          <cell r="AW238" t="str">
            <v xml:space="preserve"> -   </v>
          </cell>
          <cell r="AX238">
            <v>619.02</v>
          </cell>
          <cell r="AY238">
            <v>2</v>
          </cell>
          <cell r="AZ238">
            <v>1179</v>
          </cell>
          <cell r="BA238">
            <v>2</v>
          </cell>
          <cell r="BB238">
            <v>11370.62</v>
          </cell>
          <cell r="BC238">
            <v>39</v>
          </cell>
          <cell r="BD238">
            <v>9804.44</v>
          </cell>
          <cell r="BE238">
            <v>23</v>
          </cell>
          <cell r="BF238">
            <v>6511.47</v>
          </cell>
          <cell r="BG238">
            <v>44</v>
          </cell>
          <cell r="BH238">
            <v>4730.47</v>
          </cell>
          <cell r="BI238">
            <v>47</v>
          </cell>
          <cell r="BJ238">
            <v>32417</v>
          </cell>
          <cell r="BK238">
            <v>153</v>
          </cell>
          <cell r="BL238">
            <v>470.65</v>
          </cell>
          <cell r="BM238">
            <v>2</v>
          </cell>
          <cell r="BN238">
            <v>410.99</v>
          </cell>
          <cell r="BO238">
            <v>1</v>
          </cell>
          <cell r="BP238">
            <v>289.33</v>
          </cell>
          <cell r="BQ238">
            <v>1</v>
          </cell>
          <cell r="BR238">
            <v>292.02999999999997</v>
          </cell>
          <cell r="BS238">
            <v>3</v>
          </cell>
          <cell r="BT238">
            <v>1463</v>
          </cell>
          <cell r="BU238">
            <v>7</v>
          </cell>
          <cell r="BV238">
            <v>93.33</v>
          </cell>
          <cell r="BW238" t="str">
            <v xml:space="preserve"> -   </v>
          </cell>
          <cell r="BX238">
            <v>93.33</v>
          </cell>
          <cell r="BY238" t="str">
            <v xml:space="preserve"> -   </v>
          </cell>
          <cell r="BZ238">
            <v>93.33</v>
          </cell>
          <cell r="CA238" t="str">
            <v xml:space="preserve"> -   </v>
          </cell>
          <cell r="CB238">
            <v>1867.01</v>
          </cell>
          <cell r="CC238">
            <v>1</v>
          </cell>
          <cell r="CD238">
            <v>2147</v>
          </cell>
          <cell r="CE238">
            <v>1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 t="str">
            <v xml:space="preserve"> -   </v>
          </cell>
          <cell r="CO238" t="str">
            <v xml:space="preserve"> -   </v>
          </cell>
          <cell r="CP238">
            <v>93.33</v>
          </cell>
          <cell r="CQ238" t="str">
            <v xml:space="preserve"> -   </v>
          </cell>
          <cell r="CR238">
            <v>93.33</v>
          </cell>
          <cell r="CS238" t="str">
            <v xml:space="preserve"> -   </v>
          </cell>
          <cell r="CT238">
            <v>93.33</v>
          </cell>
          <cell r="CU238">
            <v>0</v>
          </cell>
          <cell r="CV238">
            <v>6.01</v>
          </cell>
          <cell r="CW238">
            <v>1</v>
          </cell>
          <cell r="CX238">
            <v>286</v>
          </cell>
          <cell r="CY238">
            <v>1</v>
          </cell>
          <cell r="CZ238">
            <v>279.99</v>
          </cell>
          <cell r="DA238" t="str">
            <v xml:space="preserve"> -   </v>
          </cell>
          <cell r="DB238">
            <v>202.67</v>
          </cell>
          <cell r="DC238">
            <v>2</v>
          </cell>
          <cell r="DD238">
            <v>93.33</v>
          </cell>
          <cell r="DE238" t="str">
            <v xml:space="preserve"> -   </v>
          </cell>
          <cell r="DF238">
            <v>812.01</v>
          </cell>
          <cell r="DG238">
            <v>1</v>
          </cell>
          <cell r="DH238">
            <v>1388</v>
          </cell>
          <cell r="DI238">
            <v>3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 t="str">
            <v xml:space="preserve"> -   </v>
          </cell>
          <cell r="DS238" t="str">
            <v xml:space="preserve"> -   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 t="str">
            <v xml:space="preserve"> -   </v>
          </cell>
          <cell r="EC238" t="str">
            <v xml:space="preserve"> -   </v>
          </cell>
          <cell r="ED238">
            <v>0</v>
          </cell>
          <cell r="EE238">
            <v>0</v>
          </cell>
          <cell r="EF238">
            <v>0</v>
          </cell>
          <cell r="EH238">
            <v>0</v>
          </cell>
          <cell r="EI238">
            <v>0</v>
          </cell>
        </row>
        <row r="239">
          <cell r="A239" t="str">
            <v>AprOmadhoo</v>
          </cell>
          <cell r="B239" t="str">
            <v>Apr</v>
          </cell>
          <cell r="C239" t="str">
            <v>ADh.</v>
          </cell>
          <cell r="D239" t="str">
            <v>Omadhoo</v>
          </cell>
          <cell r="E239">
            <v>0</v>
          </cell>
          <cell r="F239">
            <v>55751</v>
          </cell>
          <cell r="G239">
            <v>201</v>
          </cell>
          <cell r="H239">
            <v>204</v>
          </cell>
          <cell r="I239">
            <v>0</v>
          </cell>
          <cell r="J239">
            <v>1</v>
          </cell>
          <cell r="K239">
            <v>203</v>
          </cell>
          <cell r="L239">
            <v>201</v>
          </cell>
          <cell r="M239">
            <v>3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203</v>
          </cell>
          <cell r="U239">
            <v>201</v>
          </cell>
          <cell r="V239">
            <v>3</v>
          </cell>
          <cell r="W239">
            <v>56060</v>
          </cell>
          <cell r="X239">
            <v>60965.390000000007</v>
          </cell>
          <cell r="Y239">
            <v>0</v>
          </cell>
          <cell r="Z239">
            <v>60965.390000000007</v>
          </cell>
          <cell r="AA239">
            <v>55751</v>
          </cell>
          <cell r="AB239">
            <v>1226</v>
          </cell>
          <cell r="AC239">
            <v>56977</v>
          </cell>
          <cell r="AD239">
            <v>53</v>
          </cell>
          <cell r="AE239">
            <v>114</v>
          </cell>
          <cell r="AF239">
            <v>18139</v>
          </cell>
          <cell r="AG239">
            <v>90</v>
          </cell>
          <cell r="AH239">
            <v>2705.06</v>
          </cell>
          <cell r="AI239">
            <v>14</v>
          </cell>
          <cell r="AJ239">
            <v>2095.04</v>
          </cell>
          <cell r="AK239">
            <v>3</v>
          </cell>
          <cell r="AL239">
            <v>1373.97</v>
          </cell>
          <cell r="AM239">
            <v>8</v>
          </cell>
          <cell r="AN239">
            <v>3462.93</v>
          </cell>
          <cell r="AO239">
            <v>8</v>
          </cell>
          <cell r="AP239">
            <v>9636.9999999999982</v>
          </cell>
          <cell r="AQ239">
            <v>33</v>
          </cell>
          <cell r="AR239">
            <v>233.34</v>
          </cell>
          <cell r="AS239">
            <v>0</v>
          </cell>
          <cell r="AT239">
            <v>233.34</v>
          </cell>
          <cell r="AU239">
            <v>0</v>
          </cell>
          <cell r="AV239">
            <v>233.34</v>
          </cell>
          <cell r="AW239">
            <v>0</v>
          </cell>
          <cell r="AX239">
            <v>320.98</v>
          </cell>
          <cell r="AY239">
            <v>2</v>
          </cell>
          <cell r="AZ239">
            <v>1021.0000000000001</v>
          </cell>
          <cell r="BA239">
            <v>2</v>
          </cell>
          <cell r="BB239">
            <v>14184.38</v>
          </cell>
          <cell r="BC239">
            <v>40</v>
          </cell>
          <cell r="BD239">
            <v>12164.22</v>
          </cell>
          <cell r="BE239">
            <v>24</v>
          </cell>
          <cell r="BF239">
            <v>7256.81</v>
          </cell>
          <cell r="BG239">
            <v>49</v>
          </cell>
          <cell r="BH239">
            <v>5176.59</v>
          </cell>
          <cell r="BI239">
            <v>41</v>
          </cell>
          <cell r="BJ239">
            <v>38782</v>
          </cell>
          <cell r="BK239">
            <v>154</v>
          </cell>
          <cell r="BL239">
            <v>591.35</v>
          </cell>
          <cell r="BM239">
            <v>2</v>
          </cell>
          <cell r="BN239">
            <v>485.67</v>
          </cell>
          <cell r="BO239">
            <v>2</v>
          </cell>
          <cell r="BP239">
            <v>350.01</v>
          </cell>
          <cell r="BQ239">
            <v>0</v>
          </cell>
          <cell r="BR239">
            <v>777.97</v>
          </cell>
          <cell r="BS239">
            <v>3</v>
          </cell>
          <cell r="BT239">
            <v>2205</v>
          </cell>
          <cell r="BU239">
            <v>7</v>
          </cell>
          <cell r="BV239">
            <v>116.67</v>
          </cell>
          <cell r="BW239">
            <v>0</v>
          </cell>
          <cell r="BX239">
            <v>116.67</v>
          </cell>
          <cell r="BY239">
            <v>0</v>
          </cell>
          <cell r="BZ239">
            <v>116.67</v>
          </cell>
          <cell r="CA239">
            <v>0</v>
          </cell>
          <cell r="CB239">
            <v>1994.99</v>
          </cell>
          <cell r="CC239">
            <v>1</v>
          </cell>
          <cell r="CD239">
            <v>2345</v>
          </cell>
          <cell r="CE239">
            <v>1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116.67</v>
          </cell>
          <cell r="CQ239">
            <v>0</v>
          </cell>
          <cell r="CR239">
            <v>116.67</v>
          </cell>
          <cell r="CS239">
            <v>0</v>
          </cell>
          <cell r="CT239">
            <v>42.66</v>
          </cell>
          <cell r="CU239">
            <v>1</v>
          </cell>
          <cell r="CV239">
            <v>0</v>
          </cell>
          <cell r="CW239">
            <v>0</v>
          </cell>
          <cell r="CX239">
            <v>276</v>
          </cell>
          <cell r="CY239">
            <v>1</v>
          </cell>
          <cell r="CZ239">
            <v>300</v>
          </cell>
          <cell r="DA239">
            <v>0</v>
          </cell>
          <cell r="DB239">
            <v>215</v>
          </cell>
          <cell r="DC239">
            <v>2</v>
          </cell>
          <cell r="DD239">
            <v>100</v>
          </cell>
          <cell r="DE239">
            <v>0</v>
          </cell>
          <cell r="DF239">
            <v>870</v>
          </cell>
          <cell r="DG239">
            <v>1</v>
          </cell>
          <cell r="DH239">
            <v>1485</v>
          </cell>
          <cell r="DI239">
            <v>3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H239">
            <v>0</v>
          </cell>
          <cell r="EI239">
            <v>0</v>
          </cell>
        </row>
        <row r="240">
          <cell r="A240" t="str">
            <v>MayOmadhoo</v>
          </cell>
          <cell r="B240" t="str">
            <v>May</v>
          </cell>
          <cell r="C240" t="str">
            <v>ADh.</v>
          </cell>
          <cell r="D240" t="str">
            <v>Omadhoo</v>
          </cell>
          <cell r="E240" t="str">
            <v>usage units more than billed</v>
          </cell>
          <cell r="F240">
            <v>44852</v>
          </cell>
          <cell r="G240">
            <v>200</v>
          </cell>
          <cell r="H240">
            <v>204</v>
          </cell>
          <cell r="I240">
            <v>0</v>
          </cell>
          <cell r="J240">
            <v>0</v>
          </cell>
          <cell r="K240">
            <v>204</v>
          </cell>
          <cell r="L240">
            <v>200</v>
          </cell>
          <cell r="M240">
            <v>3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204</v>
          </cell>
          <cell r="U240">
            <v>200</v>
          </cell>
          <cell r="V240">
            <v>3</v>
          </cell>
          <cell r="W240">
            <v>54396</v>
          </cell>
          <cell r="X240">
            <v>54396</v>
          </cell>
          <cell r="Y240">
            <v>0</v>
          </cell>
          <cell r="Z240">
            <v>54396</v>
          </cell>
          <cell r="AA240">
            <v>0</v>
          </cell>
          <cell r="AB240">
            <v>1226</v>
          </cell>
          <cell r="AC240">
            <v>1226</v>
          </cell>
          <cell r="AD240">
            <v>50</v>
          </cell>
          <cell r="AE240">
            <v>126</v>
          </cell>
          <cell r="AF240">
            <v>18223</v>
          </cell>
          <cell r="AG240">
            <v>82</v>
          </cell>
          <cell r="AH240">
            <v>1762</v>
          </cell>
          <cell r="AI240">
            <v>15</v>
          </cell>
          <cell r="AJ240">
            <v>1408</v>
          </cell>
          <cell r="AK240">
            <v>3</v>
          </cell>
          <cell r="AL240">
            <v>1090</v>
          </cell>
          <cell r="AM240">
            <v>6</v>
          </cell>
          <cell r="AN240">
            <v>2679</v>
          </cell>
          <cell r="AO240">
            <v>10</v>
          </cell>
          <cell r="AP240">
            <v>6939</v>
          </cell>
          <cell r="AQ240">
            <v>34</v>
          </cell>
          <cell r="AR240">
            <v>160</v>
          </cell>
          <cell r="AS240">
            <v>0</v>
          </cell>
          <cell r="AT240">
            <v>160</v>
          </cell>
          <cell r="AU240">
            <v>0</v>
          </cell>
          <cell r="AV240">
            <v>160</v>
          </cell>
          <cell r="AW240">
            <v>0</v>
          </cell>
          <cell r="AX240">
            <v>434</v>
          </cell>
          <cell r="AY240">
            <v>2</v>
          </cell>
          <cell r="AZ240">
            <v>914</v>
          </cell>
          <cell r="BA240">
            <v>2</v>
          </cell>
          <cell r="BB240">
            <v>9657</v>
          </cell>
          <cell r="BC240">
            <v>35</v>
          </cell>
          <cell r="BD240">
            <v>8889</v>
          </cell>
          <cell r="BE240">
            <v>17</v>
          </cell>
          <cell r="BF240">
            <v>6481</v>
          </cell>
          <cell r="BG240">
            <v>40</v>
          </cell>
          <cell r="BH240">
            <v>7397</v>
          </cell>
          <cell r="BI240">
            <v>60</v>
          </cell>
          <cell r="BJ240">
            <v>32424</v>
          </cell>
          <cell r="BK240">
            <v>152</v>
          </cell>
          <cell r="BL240">
            <v>400</v>
          </cell>
          <cell r="BM240">
            <v>2</v>
          </cell>
          <cell r="BN240">
            <v>361</v>
          </cell>
          <cell r="BO240">
            <v>1</v>
          </cell>
          <cell r="BP240">
            <v>275</v>
          </cell>
          <cell r="BQ240">
            <v>1</v>
          </cell>
          <cell r="BR240">
            <v>533</v>
          </cell>
          <cell r="BS240">
            <v>3</v>
          </cell>
          <cell r="BT240">
            <v>1569</v>
          </cell>
          <cell r="BU240">
            <v>7</v>
          </cell>
          <cell r="BV240">
            <v>80</v>
          </cell>
          <cell r="BW240">
            <v>0</v>
          </cell>
          <cell r="BX240">
            <v>80</v>
          </cell>
          <cell r="BY240">
            <v>0</v>
          </cell>
          <cell r="BZ240">
            <v>80</v>
          </cell>
          <cell r="CA240">
            <v>0</v>
          </cell>
          <cell r="CB240">
            <v>1042</v>
          </cell>
          <cell r="CC240">
            <v>1</v>
          </cell>
          <cell r="CD240">
            <v>1282</v>
          </cell>
          <cell r="CE240">
            <v>1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80</v>
          </cell>
          <cell r="CQ240">
            <v>0</v>
          </cell>
          <cell r="CR240">
            <v>80</v>
          </cell>
          <cell r="CS240">
            <v>0</v>
          </cell>
          <cell r="CT240">
            <v>80</v>
          </cell>
          <cell r="CU240">
            <v>0</v>
          </cell>
          <cell r="CV240">
            <v>47</v>
          </cell>
          <cell r="CW240">
            <v>1</v>
          </cell>
          <cell r="CX240">
            <v>287</v>
          </cell>
          <cell r="CY240">
            <v>1</v>
          </cell>
          <cell r="CZ240">
            <v>290.01</v>
          </cell>
          <cell r="DA240">
            <v>0</v>
          </cell>
          <cell r="DB240">
            <v>209.33</v>
          </cell>
          <cell r="DC240">
            <v>2</v>
          </cell>
          <cell r="DD240">
            <v>96.67</v>
          </cell>
          <cell r="DE240">
            <v>0</v>
          </cell>
          <cell r="DF240">
            <v>840.99</v>
          </cell>
          <cell r="DG240">
            <v>1</v>
          </cell>
          <cell r="DH240">
            <v>1437</v>
          </cell>
          <cell r="DI240">
            <v>3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H240">
            <v>0</v>
          </cell>
          <cell r="EI240">
            <v>0</v>
          </cell>
        </row>
        <row r="241">
          <cell r="A241" t="str">
            <v>JunOmadhoo</v>
          </cell>
          <cell r="B241" t="str">
            <v>Jun</v>
          </cell>
          <cell r="C241" t="str">
            <v>ADh.</v>
          </cell>
          <cell r="D241" t="str">
            <v>Omadhoo</v>
          </cell>
          <cell r="E241" t="str">
            <v>usage units more than billed</v>
          </cell>
          <cell r="F241">
            <v>52562</v>
          </cell>
          <cell r="G241">
            <v>200</v>
          </cell>
          <cell r="H241">
            <v>204</v>
          </cell>
          <cell r="I241">
            <v>3</v>
          </cell>
          <cell r="J241">
            <v>1</v>
          </cell>
          <cell r="K241">
            <v>206</v>
          </cell>
          <cell r="L241">
            <v>200</v>
          </cell>
          <cell r="M241">
            <v>6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206</v>
          </cell>
          <cell r="U241">
            <v>200</v>
          </cell>
          <cell r="V241">
            <v>6</v>
          </cell>
          <cell r="W241">
            <v>54520</v>
          </cell>
          <cell r="X241">
            <v>54520</v>
          </cell>
          <cell r="Y241">
            <v>0</v>
          </cell>
          <cell r="Z241">
            <v>54520</v>
          </cell>
          <cell r="AA241">
            <v>0</v>
          </cell>
          <cell r="AB241">
            <v>1200</v>
          </cell>
          <cell r="AC241">
            <v>1200</v>
          </cell>
          <cell r="AD241">
            <v>50</v>
          </cell>
          <cell r="AE241">
            <v>124</v>
          </cell>
          <cell r="AF241">
            <v>18434</v>
          </cell>
          <cell r="AG241">
            <v>80</v>
          </cell>
          <cell r="AH241">
            <v>2533</v>
          </cell>
          <cell r="AI241">
            <v>14</v>
          </cell>
          <cell r="AJ241">
            <v>1972</v>
          </cell>
          <cell r="AK241">
            <v>4</v>
          </cell>
          <cell r="AL241">
            <v>1306</v>
          </cell>
          <cell r="AM241">
            <v>9</v>
          </cell>
          <cell r="AN241">
            <v>2568</v>
          </cell>
          <cell r="AO241">
            <v>7</v>
          </cell>
          <cell r="AP241">
            <v>8379</v>
          </cell>
          <cell r="AQ241">
            <v>34</v>
          </cell>
          <cell r="AR241">
            <v>220</v>
          </cell>
          <cell r="AS241">
            <v>0</v>
          </cell>
          <cell r="AT241">
            <v>220</v>
          </cell>
          <cell r="AU241">
            <v>0</v>
          </cell>
          <cell r="AV241">
            <v>220</v>
          </cell>
          <cell r="AW241">
            <v>0</v>
          </cell>
          <cell r="AX241">
            <v>213</v>
          </cell>
          <cell r="AY241">
            <v>2</v>
          </cell>
          <cell r="AZ241">
            <v>873</v>
          </cell>
          <cell r="BA241">
            <v>2</v>
          </cell>
          <cell r="BB241">
            <v>13218</v>
          </cell>
          <cell r="BC241">
            <v>37</v>
          </cell>
          <cell r="BD241">
            <v>11573</v>
          </cell>
          <cell r="BE241">
            <v>26</v>
          </cell>
          <cell r="BF241">
            <v>7433</v>
          </cell>
          <cell r="BG241">
            <v>43</v>
          </cell>
          <cell r="BH241">
            <v>6119</v>
          </cell>
          <cell r="BI241">
            <v>46</v>
          </cell>
          <cell r="BJ241">
            <v>38343</v>
          </cell>
          <cell r="BK241">
            <v>152</v>
          </cell>
          <cell r="BL241">
            <v>551</v>
          </cell>
          <cell r="BM241">
            <v>2</v>
          </cell>
          <cell r="BN241">
            <v>473</v>
          </cell>
          <cell r="BO241">
            <v>1</v>
          </cell>
          <cell r="BP241">
            <v>357</v>
          </cell>
          <cell r="BQ241">
            <v>2</v>
          </cell>
          <cell r="BR241">
            <v>771</v>
          </cell>
          <cell r="BS241">
            <v>2</v>
          </cell>
          <cell r="BT241">
            <v>2152</v>
          </cell>
          <cell r="BU241">
            <v>7</v>
          </cell>
          <cell r="BV241">
            <v>110</v>
          </cell>
          <cell r="BW241">
            <v>0</v>
          </cell>
          <cell r="BX241">
            <v>110</v>
          </cell>
          <cell r="BY241">
            <v>0</v>
          </cell>
          <cell r="BZ241">
            <v>110</v>
          </cell>
          <cell r="CA241">
            <v>0</v>
          </cell>
          <cell r="CB241">
            <v>658</v>
          </cell>
          <cell r="CC241">
            <v>1</v>
          </cell>
          <cell r="CD241">
            <v>988</v>
          </cell>
          <cell r="CE241">
            <v>1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110</v>
          </cell>
          <cell r="CQ241">
            <v>0</v>
          </cell>
          <cell r="CR241">
            <v>81</v>
          </cell>
          <cell r="CS241">
            <v>1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191</v>
          </cell>
          <cell r="CY241">
            <v>1</v>
          </cell>
          <cell r="CZ241">
            <v>330</v>
          </cell>
          <cell r="DA241">
            <v>0</v>
          </cell>
          <cell r="DB241">
            <v>239</v>
          </cell>
          <cell r="DC241">
            <v>2</v>
          </cell>
          <cell r="DD241">
            <v>110</v>
          </cell>
          <cell r="DE241">
            <v>0</v>
          </cell>
          <cell r="DF241">
            <v>957</v>
          </cell>
          <cell r="DG241">
            <v>1</v>
          </cell>
          <cell r="DH241">
            <v>1636</v>
          </cell>
          <cell r="DI241">
            <v>3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H241">
            <v>0</v>
          </cell>
          <cell r="EI241">
            <v>0</v>
          </cell>
        </row>
        <row r="242">
          <cell r="A242" t="str">
            <v>JulOmadhoo</v>
          </cell>
          <cell r="B242" t="str">
            <v>Jul</v>
          </cell>
          <cell r="C242" t="str">
            <v>ADh.</v>
          </cell>
          <cell r="D242" t="str">
            <v>Omadhoo</v>
          </cell>
          <cell r="E242" t="str">
            <v>usage units more than billed</v>
          </cell>
          <cell r="F242">
            <v>53305.004400000005</v>
          </cell>
          <cell r="G242">
            <v>200</v>
          </cell>
          <cell r="H242">
            <v>207</v>
          </cell>
          <cell r="I242">
            <v>0</v>
          </cell>
          <cell r="J242">
            <v>1</v>
          </cell>
          <cell r="K242">
            <v>206</v>
          </cell>
          <cell r="L242">
            <v>200</v>
          </cell>
          <cell r="M242">
            <v>6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206</v>
          </cell>
          <cell r="U242">
            <v>200</v>
          </cell>
          <cell r="V242">
            <v>6</v>
          </cell>
          <cell r="W242">
            <v>62013</v>
          </cell>
          <cell r="X242">
            <v>62013</v>
          </cell>
          <cell r="Y242">
            <v>0</v>
          </cell>
          <cell r="Z242">
            <v>62013</v>
          </cell>
          <cell r="AA242">
            <v>0</v>
          </cell>
          <cell r="AB242">
            <v>1226</v>
          </cell>
          <cell r="AC242">
            <v>1226</v>
          </cell>
          <cell r="AD242">
            <v>60</v>
          </cell>
          <cell r="AE242">
            <v>133</v>
          </cell>
          <cell r="AF242">
            <v>22155</v>
          </cell>
          <cell r="AG242">
            <v>109</v>
          </cell>
          <cell r="AH242">
            <v>2102.27</v>
          </cell>
          <cell r="AI242">
            <v>12</v>
          </cell>
          <cell r="AJ242">
            <v>1659.95</v>
          </cell>
          <cell r="AK242">
            <v>2</v>
          </cell>
          <cell r="AL242">
            <v>1424.68</v>
          </cell>
          <cell r="AM242">
            <v>7</v>
          </cell>
          <cell r="AN242">
            <v>2349.1</v>
          </cell>
          <cell r="AO242">
            <v>10</v>
          </cell>
          <cell r="AP242">
            <v>7536</v>
          </cell>
          <cell r="AQ242">
            <v>31</v>
          </cell>
          <cell r="AR242">
            <v>186.66</v>
          </cell>
          <cell r="AS242">
            <v>0</v>
          </cell>
          <cell r="AT242">
            <v>186.66</v>
          </cell>
          <cell r="AU242">
            <v>0</v>
          </cell>
          <cell r="AV242">
            <v>186.66</v>
          </cell>
          <cell r="AW242">
            <v>0</v>
          </cell>
          <cell r="AX242">
            <v>319.02</v>
          </cell>
          <cell r="AY242">
            <v>2</v>
          </cell>
          <cell r="AZ242">
            <v>878.99999999999989</v>
          </cell>
          <cell r="BA242">
            <v>2</v>
          </cell>
          <cell r="BB242">
            <v>11592.61</v>
          </cell>
          <cell r="BC242">
            <v>37</v>
          </cell>
          <cell r="BD242">
            <v>10466.374400000001</v>
          </cell>
          <cell r="BE242">
            <v>14</v>
          </cell>
          <cell r="BF242">
            <v>8201.32</v>
          </cell>
          <cell r="BG242">
            <v>33</v>
          </cell>
          <cell r="BH242">
            <v>10043.700000000001</v>
          </cell>
          <cell r="BI242">
            <v>71</v>
          </cell>
          <cell r="BJ242">
            <v>40304.004400000005</v>
          </cell>
          <cell r="BK242">
            <v>155</v>
          </cell>
          <cell r="BL242">
            <v>466.65</v>
          </cell>
          <cell r="BM242">
            <v>2</v>
          </cell>
          <cell r="BN242">
            <v>452.99</v>
          </cell>
          <cell r="BO242">
            <v>1</v>
          </cell>
          <cell r="BP242">
            <v>348.33</v>
          </cell>
          <cell r="BQ242">
            <v>1</v>
          </cell>
          <cell r="BR242">
            <v>757.03</v>
          </cell>
          <cell r="BS242">
            <v>3</v>
          </cell>
          <cell r="BT242">
            <v>2024.9999999999998</v>
          </cell>
          <cell r="BU242">
            <v>7</v>
          </cell>
          <cell r="BV242">
            <v>93.33</v>
          </cell>
          <cell r="BW242">
            <v>0</v>
          </cell>
          <cell r="BX242">
            <v>93.33</v>
          </cell>
          <cell r="BY242">
            <v>0</v>
          </cell>
          <cell r="BZ242">
            <v>93.33</v>
          </cell>
          <cell r="CA242">
            <v>0</v>
          </cell>
          <cell r="CB242">
            <v>780.01</v>
          </cell>
          <cell r="CC242">
            <v>1</v>
          </cell>
          <cell r="CD242">
            <v>1060</v>
          </cell>
          <cell r="CE242">
            <v>1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93.33</v>
          </cell>
          <cell r="CQ242">
            <v>0</v>
          </cell>
          <cell r="CR242">
            <v>19.670000000000002</v>
          </cell>
          <cell r="CS242">
            <v>1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113</v>
          </cell>
          <cell r="CY242">
            <v>1</v>
          </cell>
          <cell r="CZ242">
            <v>279.99</v>
          </cell>
          <cell r="DA242">
            <v>0</v>
          </cell>
          <cell r="DB242">
            <v>202.67</v>
          </cell>
          <cell r="DC242">
            <v>2</v>
          </cell>
          <cell r="DD242">
            <v>93.33</v>
          </cell>
          <cell r="DE242">
            <v>0</v>
          </cell>
          <cell r="DF242">
            <v>812.01</v>
          </cell>
          <cell r="DG242">
            <v>1</v>
          </cell>
          <cell r="DH242">
            <v>1388</v>
          </cell>
          <cell r="DI242">
            <v>3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H242">
            <v>0</v>
          </cell>
          <cell r="EI242">
            <v>0</v>
          </cell>
        </row>
        <row r="243">
          <cell r="A243" t="str">
            <v>AugOmadhoo</v>
          </cell>
          <cell r="B243" t="str">
            <v>Aug</v>
          </cell>
          <cell r="C243" t="str">
            <v>ADh.</v>
          </cell>
          <cell r="D243" t="str">
            <v>Omadhoo</v>
          </cell>
          <cell r="E243">
            <v>0</v>
          </cell>
          <cell r="F243">
            <v>51451</v>
          </cell>
          <cell r="G243">
            <v>203</v>
          </cell>
          <cell r="H243">
            <v>207</v>
          </cell>
          <cell r="I243">
            <v>0</v>
          </cell>
          <cell r="J243">
            <v>1</v>
          </cell>
          <cell r="K243">
            <v>206</v>
          </cell>
          <cell r="L243">
            <v>203</v>
          </cell>
          <cell r="M243">
            <v>3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206</v>
          </cell>
          <cell r="U243">
            <v>203</v>
          </cell>
          <cell r="V243">
            <v>3</v>
          </cell>
          <cell r="W243">
            <v>52112</v>
          </cell>
          <cell r="X243">
            <v>56364.390000000007</v>
          </cell>
          <cell r="Y243">
            <v>0</v>
          </cell>
          <cell r="Z243">
            <v>56364.390000000007</v>
          </cell>
          <cell r="AA243">
            <v>51451</v>
          </cell>
          <cell r="AB243">
            <v>1226</v>
          </cell>
          <cell r="AC243">
            <v>52677</v>
          </cell>
          <cell r="AD243">
            <v>42</v>
          </cell>
          <cell r="AE243">
            <v>114</v>
          </cell>
          <cell r="AF243">
            <v>16904</v>
          </cell>
          <cell r="AG243">
            <v>60</v>
          </cell>
          <cell r="AH243">
            <v>2301.27</v>
          </cell>
          <cell r="AI243">
            <v>15</v>
          </cell>
          <cell r="AJ243">
            <v>1719.63</v>
          </cell>
          <cell r="AK243">
            <v>4</v>
          </cell>
          <cell r="AL243">
            <v>1152.02</v>
          </cell>
          <cell r="AM243">
            <v>7</v>
          </cell>
          <cell r="AN243">
            <v>1832.08</v>
          </cell>
          <cell r="AO243">
            <v>8</v>
          </cell>
          <cell r="AP243">
            <v>7005</v>
          </cell>
          <cell r="AQ243">
            <v>34</v>
          </cell>
          <cell r="AR243">
            <v>206.66</v>
          </cell>
          <cell r="AS243">
            <v>0</v>
          </cell>
          <cell r="AT243">
            <v>206.66</v>
          </cell>
          <cell r="AU243">
            <v>0</v>
          </cell>
          <cell r="AV243">
            <v>206.66</v>
          </cell>
          <cell r="AW243">
            <v>0</v>
          </cell>
          <cell r="AX243">
            <v>254.02</v>
          </cell>
          <cell r="AY243">
            <v>2</v>
          </cell>
          <cell r="AZ243">
            <v>874</v>
          </cell>
          <cell r="BA243">
            <v>2</v>
          </cell>
          <cell r="BB243">
            <v>12541.61</v>
          </cell>
          <cell r="BC243">
            <v>39</v>
          </cell>
          <cell r="BD243">
            <v>11291.07</v>
          </cell>
          <cell r="BE243">
            <v>19</v>
          </cell>
          <cell r="BF243">
            <v>7622.82</v>
          </cell>
          <cell r="BG243">
            <v>48</v>
          </cell>
          <cell r="BH243">
            <v>6334.5</v>
          </cell>
          <cell r="BI243">
            <v>50</v>
          </cell>
          <cell r="BJ243">
            <v>37790</v>
          </cell>
          <cell r="BK243">
            <v>156</v>
          </cell>
          <cell r="BL243">
            <v>516.65</v>
          </cell>
          <cell r="BM243">
            <v>1</v>
          </cell>
          <cell r="BN243">
            <v>455.99</v>
          </cell>
          <cell r="BO243">
            <v>1</v>
          </cell>
          <cell r="BP243">
            <v>352.33</v>
          </cell>
          <cell r="BQ243">
            <v>1</v>
          </cell>
          <cell r="BR243">
            <v>731.03</v>
          </cell>
          <cell r="BS243">
            <v>3</v>
          </cell>
          <cell r="BT243">
            <v>2056</v>
          </cell>
          <cell r="BU243">
            <v>6</v>
          </cell>
          <cell r="BV243">
            <v>103.33</v>
          </cell>
          <cell r="BW243">
            <v>0</v>
          </cell>
          <cell r="BX243">
            <v>103.33</v>
          </cell>
          <cell r="BY243">
            <v>0</v>
          </cell>
          <cell r="BZ243">
            <v>103.33</v>
          </cell>
          <cell r="CA243">
            <v>0</v>
          </cell>
          <cell r="CB243">
            <v>1672.01</v>
          </cell>
          <cell r="CC243">
            <v>1</v>
          </cell>
          <cell r="CD243">
            <v>1981.9999999999998</v>
          </cell>
          <cell r="CE243">
            <v>1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103.33</v>
          </cell>
          <cell r="CQ243">
            <v>0</v>
          </cell>
          <cell r="CR243">
            <v>103.33</v>
          </cell>
          <cell r="CS243">
            <v>0</v>
          </cell>
          <cell r="CT243">
            <v>1.34</v>
          </cell>
          <cell r="CU243">
            <v>1</v>
          </cell>
          <cell r="CV243">
            <v>0</v>
          </cell>
          <cell r="CW243">
            <v>0</v>
          </cell>
          <cell r="CX243">
            <v>208</v>
          </cell>
          <cell r="CY243">
            <v>1</v>
          </cell>
          <cell r="CZ243">
            <v>309.99</v>
          </cell>
          <cell r="DA243">
            <v>0</v>
          </cell>
          <cell r="DB243">
            <v>223.67</v>
          </cell>
          <cell r="DC243">
            <v>2</v>
          </cell>
          <cell r="DD243">
            <v>103.33</v>
          </cell>
          <cell r="DE243">
            <v>0</v>
          </cell>
          <cell r="DF243">
            <v>899.01</v>
          </cell>
          <cell r="DG243">
            <v>1</v>
          </cell>
          <cell r="DH243">
            <v>1536</v>
          </cell>
          <cell r="DI243">
            <v>3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H243">
            <v>0</v>
          </cell>
          <cell r="EI243">
            <v>0</v>
          </cell>
        </row>
        <row r="244">
          <cell r="A244" t="str">
            <v>SepOmadhoo</v>
          </cell>
          <cell r="B244" t="str">
            <v>Sep</v>
          </cell>
          <cell r="C244" t="str">
            <v>ADh.</v>
          </cell>
          <cell r="D244" t="str">
            <v>Omadhoo</v>
          </cell>
          <cell r="E244">
            <v>0</v>
          </cell>
          <cell r="F244">
            <v>61477</v>
          </cell>
          <cell r="G244">
            <v>199</v>
          </cell>
          <cell r="H244">
            <v>207</v>
          </cell>
          <cell r="I244">
            <v>0</v>
          </cell>
          <cell r="J244">
            <v>1</v>
          </cell>
          <cell r="K244">
            <v>206</v>
          </cell>
          <cell r="L244">
            <v>199</v>
          </cell>
          <cell r="M244">
            <v>7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206</v>
          </cell>
          <cell r="U244">
            <v>199</v>
          </cell>
          <cell r="V244">
            <v>7</v>
          </cell>
          <cell r="W244">
            <v>48874</v>
          </cell>
          <cell r="X244">
            <v>66836.48000000001</v>
          </cell>
          <cell r="Y244">
            <v>0</v>
          </cell>
          <cell r="Z244">
            <v>66836.48000000001</v>
          </cell>
          <cell r="AA244">
            <v>61477</v>
          </cell>
          <cell r="AB244">
            <v>987</v>
          </cell>
          <cell r="AC244">
            <v>62464</v>
          </cell>
          <cell r="AD244">
            <v>42</v>
          </cell>
          <cell r="AE244">
            <v>100</v>
          </cell>
          <cell r="AF244">
            <v>15521</v>
          </cell>
          <cell r="AG244">
            <v>100</v>
          </cell>
          <cell r="AH244">
            <v>2757</v>
          </cell>
          <cell r="AI244">
            <v>13</v>
          </cell>
          <cell r="AJ244">
            <v>1968</v>
          </cell>
          <cell r="AK244">
            <v>5</v>
          </cell>
          <cell r="AL244">
            <v>1297</v>
          </cell>
          <cell r="AM244">
            <v>8</v>
          </cell>
          <cell r="AN244">
            <v>2603</v>
          </cell>
          <cell r="AO244">
            <v>6</v>
          </cell>
          <cell r="AP244">
            <v>8625</v>
          </cell>
          <cell r="AQ244">
            <v>32</v>
          </cell>
          <cell r="AR244">
            <v>260</v>
          </cell>
          <cell r="AS244">
            <v>0</v>
          </cell>
          <cell r="AT244">
            <v>260</v>
          </cell>
          <cell r="AU244">
            <v>0</v>
          </cell>
          <cell r="AV244">
            <v>260</v>
          </cell>
          <cell r="AW244">
            <v>0</v>
          </cell>
          <cell r="AX244">
            <v>347</v>
          </cell>
          <cell r="AY244">
            <v>2</v>
          </cell>
          <cell r="AZ244">
            <v>1127</v>
          </cell>
          <cell r="BA244">
            <v>2</v>
          </cell>
          <cell r="BB244">
            <v>16005</v>
          </cell>
          <cell r="BC244">
            <v>36</v>
          </cell>
          <cell r="BD244">
            <v>13875</v>
          </cell>
          <cell r="BE244">
            <v>24</v>
          </cell>
          <cell r="BF244">
            <v>8791</v>
          </cell>
          <cell r="BG244">
            <v>47</v>
          </cell>
          <cell r="BH244">
            <v>7068</v>
          </cell>
          <cell r="BI244">
            <v>46</v>
          </cell>
          <cell r="BJ244">
            <v>45739</v>
          </cell>
          <cell r="BK244">
            <v>153</v>
          </cell>
          <cell r="BL244">
            <v>650</v>
          </cell>
          <cell r="BM244">
            <v>2</v>
          </cell>
          <cell r="BN244">
            <v>575</v>
          </cell>
          <cell r="BO244">
            <v>2</v>
          </cell>
          <cell r="BP244">
            <v>355</v>
          </cell>
          <cell r="BQ244">
            <v>1</v>
          </cell>
          <cell r="BR244">
            <v>507</v>
          </cell>
          <cell r="BS244">
            <v>2</v>
          </cell>
          <cell r="BT244">
            <v>2087</v>
          </cell>
          <cell r="BU244">
            <v>7</v>
          </cell>
          <cell r="BV244">
            <v>130</v>
          </cell>
          <cell r="BW244">
            <v>0</v>
          </cell>
          <cell r="BX244">
            <v>130</v>
          </cell>
          <cell r="BY244">
            <v>0</v>
          </cell>
          <cell r="BZ244">
            <v>130</v>
          </cell>
          <cell r="CA244">
            <v>0</v>
          </cell>
          <cell r="CB244">
            <v>1371</v>
          </cell>
          <cell r="CC244">
            <v>1</v>
          </cell>
          <cell r="CD244">
            <v>1761</v>
          </cell>
          <cell r="CE244">
            <v>1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130</v>
          </cell>
          <cell r="CQ244">
            <v>0</v>
          </cell>
          <cell r="CR244">
            <v>75</v>
          </cell>
          <cell r="CS244">
            <v>1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205</v>
          </cell>
          <cell r="CY244">
            <v>1</v>
          </cell>
          <cell r="CZ244">
            <v>390</v>
          </cell>
          <cell r="DA244">
            <v>0</v>
          </cell>
          <cell r="DB244">
            <v>282</v>
          </cell>
          <cell r="DC244">
            <v>2</v>
          </cell>
          <cell r="DD244">
            <v>130</v>
          </cell>
          <cell r="DE244">
            <v>1</v>
          </cell>
          <cell r="DF244">
            <v>1131</v>
          </cell>
          <cell r="DG244">
            <v>0</v>
          </cell>
          <cell r="DH244">
            <v>1933</v>
          </cell>
          <cell r="DI244">
            <v>3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H244">
            <v>0</v>
          </cell>
          <cell r="EI244">
            <v>0</v>
          </cell>
        </row>
        <row r="245">
          <cell r="A245" t="str">
            <v>OctOmadhoo</v>
          </cell>
          <cell r="B245" t="str">
            <v>Oct</v>
          </cell>
          <cell r="C245" t="str">
            <v>ADh.</v>
          </cell>
          <cell r="D245" t="str">
            <v>Omadhoo</v>
          </cell>
          <cell r="E245" t="str">
            <v>usage units more than billed</v>
          </cell>
          <cell r="F245">
            <v>46948</v>
          </cell>
          <cell r="G245">
            <v>199</v>
          </cell>
          <cell r="H245">
            <v>207</v>
          </cell>
          <cell r="I245">
            <v>0</v>
          </cell>
          <cell r="J245">
            <v>1</v>
          </cell>
          <cell r="K245">
            <v>206</v>
          </cell>
          <cell r="L245">
            <v>199</v>
          </cell>
          <cell r="M245">
            <v>7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206</v>
          </cell>
          <cell r="U245">
            <v>199</v>
          </cell>
          <cell r="V245">
            <v>7</v>
          </cell>
          <cell r="W245">
            <v>49441</v>
          </cell>
          <cell r="X245">
            <v>49441</v>
          </cell>
          <cell r="Y245">
            <v>0</v>
          </cell>
          <cell r="Z245">
            <v>49441</v>
          </cell>
          <cell r="AA245">
            <v>0</v>
          </cell>
          <cell r="AB245">
            <v>987</v>
          </cell>
          <cell r="AC245">
            <v>987</v>
          </cell>
          <cell r="AD245">
            <v>46</v>
          </cell>
          <cell r="AE245">
            <v>100</v>
          </cell>
          <cell r="AF245">
            <v>15767</v>
          </cell>
          <cell r="AG245">
            <v>75</v>
          </cell>
          <cell r="AH245">
            <v>2078.61</v>
          </cell>
          <cell r="AI245">
            <v>13</v>
          </cell>
          <cell r="AJ245">
            <v>1472.97</v>
          </cell>
          <cell r="AK245">
            <v>4</v>
          </cell>
          <cell r="AL245">
            <v>997.33</v>
          </cell>
          <cell r="AM245">
            <v>4</v>
          </cell>
          <cell r="AN245">
            <v>1885.09</v>
          </cell>
          <cell r="AO245">
            <v>9</v>
          </cell>
          <cell r="AP245">
            <v>6434</v>
          </cell>
          <cell r="AQ245">
            <v>30</v>
          </cell>
          <cell r="AR245">
            <v>186.66</v>
          </cell>
          <cell r="AS245">
            <v>0</v>
          </cell>
          <cell r="AT245">
            <v>186.66</v>
          </cell>
          <cell r="AU245">
            <v>0</v>
          </cell>
          <cell r="AV245">
            <v>186.66</v>
          </cell>
          <cell r="AW245">
            <v>0</v>
          </cell>
          <cell r="AX245">
            <v>252.02</v>
          </cell>
          <cell r="AY245">
            <v>2</v>
          </cell>
          <cell r="AZ245">
            <v>812</v>
          </cell>
          <cell r="BA245">
            <v>2</v>
          </cell>
          <cell r="BB245">
            <v>11672.94</v>
          </cell>
          <cell r="BC245">
            <v>37</v>
          </cell>
          <cell r="BD245">
            <v>10155.459999999999</v>
          </cell>
          <cell r="BE245">
            <v>28</v>
          </cell>
          <cell r="BF245">
            <v>6698.07</v>
          </cell>
          <cell r="BG245">
            <v>37</v>
          </cell>
          <cell r="BH245">
            <v>6114.53</v>
          </cell>
          <cell r="BI245">
            <v>53</v>
          </cell>
          <cell r="BJ245">
            <v>34641</v>
          </cell>
          <cell r="BK245">
            <v>155</v>
          </cell>
          <cell r="BL245">
            <v>466.65</v>
          </cell>
          <cell r="BM245">
            <v>2</v>
          </cell>
          <cell r="BN245">
            <v>415.99</v>
          </cell>
          <cell r="BO245">
            <v>1</v>
          </cell>
          <cell r="BP245">
            <v>295.33</v>
          </cell>
          <cell r="BQ245">
            <v>1</v>
          </cell>
          <cell r="BR245">
            <v>542.03</v>
          </cell>
          <cell r="BS245">
            <v>3</v>
          </cell>
          <cell r="BT245">
            <v>1720</v>
          </cell>
          <cell r="BU245">
            <v>7</v>
          </cell>
          <cell r="BV245">
            <v>93.33</v>
          </cell>
          <cell r="BW245">
            <v>0</v>
          </cell>
          <cell r="BX245">
            <v>93.33</v>
          </cell>
          <cell r="BY245">
            <v>0</v>
          </cell>
          <cell r="BZ245">
            <v>93.33</v>
          </cell>
          <cell r="CA245">
            <v>0</v>
          </cell>
          <cell r="CB245">
            <v>1384.01</v>
          </cell>
          <cell r="CC245">
            <v>1</v>
          </cell>
          <cell r="CD245">
            <v>1663.9999999999998</v>
          </cell>
          <cell r="CE245">
            <v>1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93.33</v>
          </cell>
          <cell r="CQ245">
            <v>0</v>
          </cell>
          <cell r="CR245">
            <v>93.33</v>
          </cell>
          <cell r="CS245">
            <v>0</v>
          </cell>
          <cell r="CT245">
            <v>93.33</v>
          </cell>
          <cell r="CU245">
            <v>0</v>
          </cell>
          <cell r="CV245">
            <v>9.01</v>
          </cell>
          <cell r="CW245">
            <v>1</v>
          </cell>
          <cell r="CX245">
            <v>289</v>
          </cell>
          <cell r="CY245">
            <v>1</v>
          </cell>
          <cell r="CZ245">
            <v>279.99</v>
          </cell>
          <cell r="DA245">
            <v>0</v>
          </cell>
          <cell r="DB245">
            <v>202.67</v>
          </cell>
          <cell r="DC245">
            <v>2</v>
          </cell>
          <cell r="DD245">
            <v>93.33</v>
          </cell>
          <cell r="DE245">
            <v>0</v>
          </cell>
          <cell r="DF245">
            <v>812.01</v>
          </cell>
          <cell r="DG245">
            <v>1</v>
          </cell>
          <cell r="DH245">
            <v>1388</v>
          </cell>
          <cell r="DI245">
            <v>3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H245">
            <v>0</v>
          </cell>
          <cell r="EI245">
            <v>0</v>
          </cell>
        </row>
        <row r="246">
          <cell r="A246" t="str">
            <v>NovOmadhoo</v>
          </cell>
          <cell r="B246" t="str">
            <v>Nov</v>
          </cell>
          <cell r="C246" t="str">
            <v>ADh.</v>
          </cell>
          <cell r="D246" t="str">
            <v>Omadhoo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H246">
            <v>0</v>
          </cell>
          <cell r="EI246">
            <v>0</v>
          </cell>
        </row>
        <row r="247">
          <cell r="A247" t="str">
            <v>DecOmadhoo</v>
          </cell>
          <cell r="B247" t="str">
            <v>Dec</v>
          </cell>
          <cell r="C247" t="str">
            <v>ADh.</v>
          </cell>
          <cell r="D247" t="str">
            <v>Omadhoo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H247">
            <v>0</v>
          </cell>
          <cell r="EI247">
            <v>0</v>
          </cell>
        </row>
        <row r="248">
          <cell r="A248" t="str">
            <v>JanRakeedhoo</v>
          </cell>
          <cell r="B248" t="str">
            <v>Jan</v>
          </cell>
          <cell r="C248" t="str">
            <v>V.</v>
          </cell>
          <cell r="D248" t="str">
            <v>Rakeedhoo</v>
          </cell>
          <cell r="E248">
            <v>0</v>
          </cell>
          <cell r="F248">
            <v>8858</v>
          </cell>
          <cell r="G248">
            <v>57</v>
          </cell>
          <cell r="H248">
            <v>57</v>
          </cell>
          <cell r="I248">
            <v>0</v>
          </cell>
          <cell r="J248">
            <v>0</v>
          </cell>
          <cell r="K248">
            <v>57</v>
          </cell>
          <cell r="L248">
            <v>57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57</v>
          </cell>
          <cell r="U248">
            <v>57</v>
          </cell>
          <cell r="V248">
            <v>0</v>
          </cell>
          <cell r="W248">
            <v>13450</v>
          </cell>
          <cell r="X248">
            <v>13450</v>
          </cell>
          <cell r="Y248">
            <v>0</v>
          </cell>
          <cell r="Z248">
            <v>13450</v>
          </cell>
          <cell r="AA248">
            <v>8858</v>
          </cell>
          <cell r="AB248">
            <v>0</v>
          </cell>
          <cell r="AC248">
            <v>8858</v>
          </cell>
          <cell r="AD248">
            <v>14</v>
          </cell>
          <cell r="AE248">
            <v>22</v>
          </cell>
          <cell r="AF248">
            <v>4503</v>
          </cell>
          <cell r="AG248">
            <v>33</v>
          </cell>
          <cell r="AH248">
            <v>100</v>
          </cell>
          <cell r="AI248">
            <v>3</v>
          </cell>
          <cell r="AJ248">
            <v>100</v>
          </cell>
          <cell r="AK248" t="str">
            <v xml:space="preserve"> -   </v>
          </cell>
          <cell r="AL248">
            <v>77</v>
          </cell>
          <cell r="AM248">
            <v>1</v>
          </cell>
          <cell r="AN248" t="str">
            <v xml:space="preserve"> -   </v>
          </cell>
          <cell r="AO248" t="str">
            <v xml:space="preserve"> -   </v>
          </cell>
          <cell r="AP248">
            <v>277</v>
          </cell>
          <cell r="AQ248">
            <v>4</v>
          </cell>
          <cell r="AR248">
            <v>200</v>
          </cell>
          <cell r="AS248" t="str">
            <v xml:space="preserve"> -   </v>
          </cell>
          <cell r="AT248">
            <v>200</v>
          </cell>
          <cell r="AU248" t="str">
            <v xml:space="preserve"> -   </v>
          </cell>
          <cell r="AV248">
            <v>200</v>
          </cell>
          <cell r="AW248" t="str">
            <v xml:space="preserve"> -   </v>
          </cell>
          <cell r="AX248">
            <v>1096</v>
          </cell>
          <cell r="AY248">
            <v>2</v>
          </cell>
          <cell r="AZ248">
            <v>1696</v>
          </cell>
          <cell r="BA248">
            <v>2</v>
          </cell>
          <cell r="BB248">
            <v>3044</v>
          </cell>
          <cell r="BC248">
            <v>19</v>
          </cell>
          <cell r="BD248">
            <v>1840</v>
          </cell>
          <cell r="BE248">
            <v>14</v>
          </cell>
          <cell r="BF248">
            <v>557</v>
          </cell>
          <cell r="BG248">
            <v>6</v>
          </cell>
          <cell r="BH248">
            <v>232</v>
          </cell>
          <cell r="BI248">
            <v>4</v>
          </cell>
          <cell r="BJ248">
            <v>5673</v>
          </cell>
          <cell r="BK248">
            <v>43</v>
          </cell>
          <cell r="BL248">
            <v>401</v>
          </cell>
          <cell r="BM248">
            <v>2</v>
          </cell>
          <cell r="BN248">
            <v>346</v>
          </cell>
          <cell r="BO248">
            <v>2</v>
          </cell>
          <cell r="BP248">
            <v>138</v>
          </cell>
          <cell r="BQ248">
            <v>1</v>
          </cell>
          <cell r="BR248">
            <v>10</v>
          </cell>
          <cell r="BS248">
            <v>1</v>
          </cell>
          <cell r="BT248">
            <v>895</v>
          </cell>
          <cell r="BU248">
            <v>6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 t="str">
            <v xml:space="preserve"> -   </v>
          </cell>
          <cell r="CE248" t="str">
            <v xml:space="preserve"> -   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 t="str">
            <v xml:space="preserve"> -   </v>
          </cell>
          <cell r="CO248" t="str">
            <v xml:space="preserve"> -   </v>
          </cell>
          <cell r="CP248" t="str">
            <v xml:space="preserve"> -   </v>
          </cell>
          <cell r="CQ248">
            <v>1</v>
          </cell>
          <cell r="CR248" t="str">
            <v xml:space="preserve"> -   </v>
          </cell>
          <cell r="CS248" t="str">
            <v xml:space="preserve"> -   </v>
          </cell>
          <cell r="CT248" t="str">
            <v xml:space="preserve"> -   </v>
          </cell>
          <cell r="CU248" t="str">
            <v xml:space="preserve"> -   </v>
          </cell>
          <cell r="CV248" t="str">
            <v xml:space="preserve"> -   </v>
          </cell>
          <cell r="CW248" t="str">
            <v xml:space="preserve"> -   </v>
          </cell>
          <cell r="CX248" t="str">
            <v xml:space="preserve"> -   </v>
          </cell>
          <cell r="CY248">
            <v>1</v>
          </cell>
          <cell r="CZ248">
            <v>100</v>
          </cell>
          <cell r="DA248" t="str">
            <v xml:space="preserve"> -   </v>
          </cell>
          <cell r="DB248">
            <v>100</v>
          </cell>
          <cell r="DC248" t="str">
            <v xml:space="preserve"> -   </v>
          </cell>
          <cell r="DD248">
            <v>100</v>
          </cell>
          <cell r="DE248" t="str">
            <v xml:space="preserve"> -   </v>
          </cell>
          <cell r="DF248">
            <v>17</v>
          </cell>
          <cell r="DG248">
            <v>1</v>
          </cell>
          <cell r="DH248">
            <v>317</v>
          </cell>
          <cell r="DI248">
            <v>1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 t="str">
            <v xml:space="preserve"> -   </v>
          </cell>
          <cell r="DS248" t="str">
            <v xml:space="preserve"> -   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 t="str">
            <v xml:space="preserve"> -   </v>
          </cell>
          <cell r="EC248" t="str">
            <v xml:space="preserve"> -   </v>
          </cell>
          <cell r="ED248">
            <v>0</v>
          </cell>
          <cell r="EE248">
            <v>0</v>
          </cell>
          <cell r="EF248">
            <v>0</v>
          </cell>
          <cell r="EH248">
            <v>0</v>
          </cell>
          <cell r="EI248">
            <v>0</v>
          </cell>
        </row>
        <row r="249">
          <cell r="A249" t="str">
            <v>FebRakeedhoo</v>
          </cell>
          <cell r="B249" t="str">
            <v>Feb</v>
          </cell>
          <cell r="C249" t="str">
            <v>V.</v>
          </cell>
          <cell r="D249" t="str">
            <v>Rakeedhoo</v>
          </cell>
          <cell r="E249">
            <v>0</v>
          </cell>
          <cell r="F249">
            <v>8578</v>
          </cell>
          <cell r="G249">
            <v>58</v>
          </cell>
          <cell r="H249">
            <v>57</v>
          </cell>
          <cell r="I249">
            <v>0</v>
          </cell>
          <cell r="J249">
            <v>0</v>
          </cell>
          <cell r="K249">
            <v>57</v>
          </cell>
          <cell r="L249">
            <v>57</v>
          </cell>
          <cell r="M249">
            <v>0</v>
          </cell>
          <cell r="N249">
            <v>0</v>
          </cell>
          <cell r="O249">
            <v>1</v>
          </cell>
          <cell r="P249">
            <v>1</v>
          </cell>
          <cell r="Q249">
            <v>0</v>
          </cell>
          <cell r="R249">
            <v>1</v>
          </cell>
          <cell r="S249">
            <v>0</v>
          </cell>
          <cell r="T249">
            <v>57</v>
          </cell>
          <cell r="U249">
            <v>58</v>
          </cell>
          <cell r="V249">
            <v>0</v>
          </cell>
          <cell r="W249">
            <v>11290</v>
          </cell>
          <cell r="X249">
            <v>11290</v>
          </cell>
          <cell r="Y249">
            <v>0</v>
          </cell>
          <cell r="Z249">
            <v>11290</v>
          </cell>
          <cell r="AA249">
            <v>8578</v>
          </cell>
          <cell r="AB249">
            <v>0</v>
          </cell>
          <cell r="AC249">
            <v>8578</v>
          </cell>
          <cell r="AD249">
            <v>15</v>
          </cell>
          <cell r="AE249">
            <v>21</v>
          </cell>
          <cell r="AF249">
            <v>4102</v>
          </cell>
          <cell r="AG249">
            <v>48</v>
          </cell>
          <cell r="AH249">
            <v>143</v>
          </cell>
          <cell r="AI249">
            <v>4</v>
          </cell>
          <cell r="AJ249">
            <v>110</v>
          </cell>
          <cell r="AK249" t="str">
            <v xml:space="preserve"> -   </v>
          </cell>
          <cell r="AL249">
            <v>71</v>
          </cell>
          <cell r="AM249">
            <v>1</v>
          </cell>
          <cell r="AN249" t="str">
            <v xml:space="preserve"> -   </v>
          </cell>
          <cell r="AO249" t="str">
            <v xml:space="preserve"> -   </v>
          </cell>
          <cell r="AP249">
            <v>324</v>
          </cell>
          <cell r="AQ249">
            <v>5</v>
          </cell>
          <cell r="AR249">
            <v>220</v>
          </cell>
          <cell r="AS249" t="str">
            <v xml:space="preserve"> -   </v>
          </cell>
          <cell r="AT249">
            <v>220</v>
          </cell>
          <cell r="AU249" t="str">
            <v xml:space="preserve"> -   </v>
          </cell>
          <cell r="AV249">
            <v>220</v>
          </cell>
          <cell r="AW249" t="str">
            <v xml:space="preserve"> -   </v>
          </cell>
          <cell r="AX249">
            <v>1258</v>
          </cell>
          <cell r="AY249">
            <v>2</v>
          </cell>
          <cell r="AZ249">
            <v>1918</v>
          </cell>
          <cell r="BA249">
            <v>2</v>
          </cell>
          <cell r="BB249">
            <v>2894</v>
          </cell>
          <cell r="BC249">
            <v>22</v>
          </cell>
          <cell r="BD249">
            <v>1541</v>
          </cell>
          <cell r="BE249">
            <v>13</v>
          </cell>
          <cell r="BF249">
            <v>426</v>
          </cell>
          <cell r="BG249">
            <v>5</v>
          </cell>
          <cell r="BH249">
            <v>209</v>
          </cell>
          <cell r="BI249">
            <v>3</v>
          </cell>
          <cell r="BJ249">
            <v>5070</v>
          </cell>
          <cell r="BK249">
            <v>43</v>
          </cell>
          <cell r="BL249">
            <v>441</v>
          </cell>
          <cell r="BM249">
            <v>2</v>
          </cell>
          <cell r="BN249">
            <v>292</v>
          </cell>
          <cell r="BO249">
            <v>2</v>
          </cell>
          <cell r="BP249">
            <v>215</v>
          </cell>
          <cell r="BQ249">
            <v>1</v>
          </cell>
          <cell r="BR249">
            <v>1</v>
          </cell>
          <cell r="BS249">
            <v>1</v>
          </cell>
          <cell r="BT249">
            <v>949</v>
          </cell>
          <cell r="BU249">
            <v>6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 t="str">
            <v xml:space="preserve"> -   </v>
          </cell>
          <cell r="CE249" t="str">
            <v xml:space="preserve"> -   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 t="str">
            <v xml:space="preserve"> -   </v>
          </cell>
          <cell r="CO249" t="str">
            <v xml:space="preserve"> -   </v>
          </cell>
          <cell r="CP249" t="str">
            <v xml:space="preserve"> -   </v>
          </cell>
          <cell r="CQ249">
            <v>1</v>
          </cell>
          <cell r="CR249" t="str">
            <v xml:space="preserve"> -   </v>
          </cell>
          <cell r="CS249" t="str">
            <v xml:space="preserve"> -   </v>
          </cell>
          <cell r="CT249" t="str">
            <v xml:space="preserve"> -   </v>
          </cell>
          <cell r="CU249" t="str">
            <v xml:space="preserve"> -   </v>
          </cell>
          <cell r="CV249" t="str">
            <v xml:space="preserve"> -   </v>
          </cell>
          <cell r="CW249" t="str">
            <v xml:space="preserve"> -   </v>
          </cell>
          <cell r="CX249" t="str">
            <v xml:space="preserve"> -   </v>
          </cell>
          <cell r="CY249">
            <v>1</v>
          </cell>
          <cell r="CZ249">
            <v>110</v>
          </cell>
          <cell r="DA249" t="str">
            <v xml:space="preserve"> -   </v>
          </cell>
          <cell r="DB249">
            <v>110</v>
          </cell>
          <cell r="DC249" t="str">
            <v xml:space="preserve"> -   </v>
          </cell>
          <cell r="DD249">
            <v>97</v>
          </cell>
          <cell r="DE249">
            <v>1</v>
          </cell>
          <cell r="DF249" t="str">
            <v xml:space="preserve"> -   </v>
          </cell>
          <cell r="DG249" t="str">
            <v xml:space="preserve"> -   </v>
          </cell>
          <cell r="DH249">
            <v>317</v>
          </cell>
          <cell r="DI249">
            <v>1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 t="str">
            <v xml:space="preserve"> -   </v>
          </cell>
          <cell r="DS249" t="str">
            <v xml:space="preserve"> -   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 t="str">
            <v xml:space="preserve"> -   </v>
          </cell>
          <cell r="EC249" t="str">
            <v xml:space="preserve"> -   </v>
          </cell>
          <cell r="ED249">
            <v>0</v>
          </cell>
          <cell r="EE249">
            <v>0</v>
          </cell>
          <cell r="EF249">
            <v>0</v>
          </cell>
          <cell r="EH249">
            <v>0</v>
          </cell>
          <cell r="EI249">
            <v>0</v>
          </cell>
        </row>
        <row r="250">
          <cell r="A250" t="str">
            <v>MarRakeedhoo</v>
          </cell>
          <cell r="B250" t="str">
            <v>Mar</v>
          </cell>
          <cell r="C250" t="str">
            <v>V.</v>
          </cell>
          <cell r="D250" t="str">
            <v>Rakeedhoo</v>
          </cell>
          <cell r="E250">
            <v>0</v>
          </cell>
          <cell r="F250">
            <v>8018</v>
          </cell>
          <cell r="G250">
            <v>57</v>
          </cell>
          <cell r="H250">
            <v>57</v>
          </cell>
          <cell r="I250">
            <v>0</v>
          </cell>
          <cell r="J250">
            <v>0</v>
          </cell>
          <cell r="K250">
            <v>57</v>
          </cell>
          <cell r="L250">
            <v>57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57</v>
          </cell>
          <cell r="U250">
            <v>57</v>
          </cell>
          <cell r="V250">
            <v>0</v>
          </cell>
          <cell r="W250">
            <v>14500</v>
          </cell>
          <cell r="X250">
            <v>14500</v>
          </cell>
          <cell r="Y250">
            <v>0</v>
          </cell>
          <cell r="Z250">
            <v>14500</v>
          </cell>
          <cell r="AA250">
            <v>8018</v>
          </cell>
          <cell r="AB250">
            <v>0</v>
          </cell>
          <cell r="AC250">
            <v>8018</v>
          </cell>
          <cell r="AD250">
            <v>15</v>
          </cell>
          <cell r="AE250">
            <v>21</v>
          </cell>
          <cell r="AF250">
            <v>4727</v>
          </cell>
          <cell r="AG250">
            <v>34</v>
          </cell>
          <cell r="AH250">
            <v>96.33</v>
          </cell>
          <cell r="AI250">
            <v>3</v>
          </cell>
          <cell r="AJ250">
            <v>93.33</v>
          </cell>
          <cell r="AK250" t="str">
            <v xml:space="preserve"> -   </v>
          </cell>
          <cell r="AL250">
            <v>93.33</v>
          </cell>
          <cell r="AM250" t="str">
            <v xml:space="preserve"> -   </v>
          </cell>
          <cell r="AN250">
            <v>4.01</v>
          </cell>
          <cell r="AO250">
            <v>1</v>
          </cell>
          <cell r="AP250">
            <v>287</v>
          </cell>
          <cell r="AQ250">
            <v>4</v>
          </cell>
          <cell r="AR250">
            <v>186.66</v>
          </cell>
          <cell r="AS250" t="str">
            <v xml:space="preserve"> -   </v>
          </cell>
          <cell r="AT250">
            <v>186.66</v>
          </cell>
          <cell r="AU250" t="str">
            <v xml:space="preserve"> -   </v>
          </cell>
          <cell r="AV250">
            <v>186.66</v>
          </cell>
          <cell r="AW250" t="str">
            <v xml:space="preserve"> -   </v>
          </cell>
          <cell r="AX250">
            <v>1413.02</v>
          </cell>
          <cell r="AY250">
            <v>2</v>
          </cell>
          <cell r="AZ250">
            <v>1973</v>
          </cell>
          <cell r="BA250">
            <v>2</v>
          </cell>
          <cell r="BB250">
            <v>2484.6</v>
          </cell>
          <cell r="BC250">
            <v>23</v>
          </cell>
          <cell r="BD250">
            <v>1227.68</v>
          </cell>
          <cell r="BE250">
            <v>12</v>
          </cell>
          <cell r="BF250">
            <v>410.69</v>
          </cell>
          <cell r="BG250">
            <v>5</v>
          </cell>
          <cell r="BH250">
            <v>239.03</v>
          </cell>
          <cell r="BI250">
            <v>3</v>
          </cell>
          <cell r="BJ250">
            <v>4362</v>
          </cell>
          <cell r="BK250">
            <v>43</v>
          </cell>
          <cell r="BL250">
            <v>381.32</v>
          </cell>
          <cell r="BM250">
            <v>2</v>
          </cell>
          <cell r="BN250">
            <v>333.66</v>
          </cell>
          <cell r="BO250">
            <v>1</v>
          </cell>
          <cell r="BP250">
            <v>266.01</v>
          </cell>
          <cell r="BQ250">
            <v>2</v>
          </cell>
          <cell r="BR250">
            <v>95.01</v>
          </cell>
          <cell r="BS250">
            <v>1</v>
          </cell>
          <cell r="BT250">
            <v>1076</v>
          </cell>
          <cell r="BU250">
            <v>6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 t="str">
            <v xml:space="preserve"> -   </v>
          </cell>
          <cell r="CE250" t="str">
            <v xml:space="preserve"> -   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 t="str">
            <v xml:space="preserve"> -   </v>
          </cell>
          <cell r="CO250" t="str">
            <v xml:space="preserve"> -   </v>
          </cell>
          <cell r="CP250">
            <v>3</v>
          </cell>
          <cell r="CQ250">
            <v>1</v>
          </cell>
          <cell r="CR250" t="str">
            <v xml:space="preserve"> -   </v>
          </cell>
          <cell r="CS250" t="str">
            <v xml:space="preserve"> -   </v>
          </cell>
          <cell r="CT250" t="str">
            <v xml:space="preserve"> -   </v>
          </cell>
          <cell r="CU250" t="str">
            <v xml:space="preserve"> -   </v>
          </cell>
          <cell r="CV250" t="str">
            <v xml:space="preserve"> -   </v>
          </cell>
          <cell r="CW250" t="str">
            <v xml:space="preserve"> -   </v>
          </cell>
          <cell r="CX250">
            <v>3</v>
          </cell>
          <cell r="CY250">
            <v>1</v>
          </cell>
          <cell r="CZ250">
            <v>93.33</v>
          </cell>
          <cell r="DA250" t="str">
            <v xml:space="preserve"> -   </v>
          </cell>
          <cell r="DB250">
            <v>93.33</v>
          </cell>
          <cell r="DC250" t="str">
            <v xml:space="preserve"> -   </v>
          </cell>
          <cell r="DD250">
            <v>93.33</v>
          </cell>
          <cell r="DE250" t="str">
            <v xml:space="preserve"> -   </v>
          </cell>
          <cell r="DF250">
            <v>37.01</v>
          </cell>
          <cell r="DG250">
            <v>1</v>
          </cell>
          <cell r="DH250">
            <v>317</v>
          </cell>
          <cell r="DI250">
            <v>1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 t="str">
            <v xml:space="preserve"> -   </v>
          </cell>
          <cell r="DS250" t="str">
            <v xml:space="preserve"> -   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 t="str">
            <v xml:space="preserve"> -   </v>
          </cell>
          <cell r="EC250" t="str">
            <v xml:space="preserve"> -   </v>
          </cell>
          <cell r="ED250">
            <v>0</v>
          </cell>
          <cell r="EE250">
            <v>0</v>
          </cell>
          <cell r="EF250">
            <v>0</v>
          </cell>
          <cell r="EH250">
            <v>0</v>
          </cell>
          <cell r="EI250">
            <v>0</v>
          </cell>
        </row>
        <row r="251">
          <cell r="A251" t="str">
            <v>AprRakeedhoo</v>
          </cell>
          <cell r="B251" t="str">
            <v>Apr</v>
          </cell>
          <cell r="C251" t="str">
            <v>V.</v>
          </cell>
          <cell r="D251" t="str">
            <v>Rakeedhoo</v>
          </cell>
          <cell r="E251">
            <v>0</v>
          </cell>
          <cell r="F251">
            <v>8764</v>
          </cell>
          <cell r="G251">
            <v>57</v>
          </cell>
          <cell r="H251">
            <v>57</v>
          </cell>
          <cell r="I251">
            <v>0</v>
          </cell>
          <cell r="J251">
            <v>0</v>
          </cell>
          <cell r="K251">
            <v>57</v>
          </cell>
          <cell r="L251">
            <v>57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57</v>
          </cell>
          <cell r="U251">
            <v>57</v>
          </cell>
          <cell r="V251">
            <v>0</v>
          </cell>
          <cell r="W251">
            <v>13560</v>
          </cell>
          <cell r="X251">
            <v>13560</v>
          </cell>
          <cell r="Y251">
            <v>0</v>
          </cell>
          <cell r="Z251">
            <v>13560</v>
          </cell>
          <cell r="AA251">
            <v>8764</v>
          </cell>
          <cell r="AB251">
            <v>0</v>
          </cell>
          <cell r="AC251">
            <v>8764</v>
          </cell>
          <cell r="AD251">
            <v>15</v>
          </cell>
          <cell r="AE251">
            <v>21</v>
          </cell>
          <cell r="AF251">
            <v>4529</v>
          </cell>
          <cell r="AG251">
            <v>27</v>
          </cell>
          <cell r="AH251">
            <v>96.67</v>
          </cell>
          <cell r="AI251">
            <v>3</v>
          </cell>
          <cell r="AJ251">
            <v>96.67</v>
          </cell>
          <cell r="AK251">
            <v>0</v>
          </cell>
          <cell r="AL251">
            <v>96.67</v>
          </cell>
          <cell r="AM251">
            <v>0</v>
          </cell>
          <cell r="AN251">
            <v>6.99</v>
          </cell>
          <cell r="AO251">
            <v>1</v>
          </cell>
          <cell r="AP251">
            <v>297</v>
          </cell>
          <cell r="AQ251">
            <v>4</v>
          </cell>
          <cell r="AR251">
            <v>193.34</v>
          </cell>
          <cell r="AS251">
            <v>0</v>
          </cell>
          <cell r="AT251">
            <v>193.34</v>
          </cell>
          <cell r="AU251">
            <v>0</v>
          </cell>
          <cell r="AV251">
            <v>193.34</v>
          </cell>
          <cell r="AW251">
            <v>0</v>
          </cell>
          <cell r="AX251">
            <v>1451.98</v>
          </cell>
          <cell r="AY251">
            <v>2</v>
          </cell>
          <cell r="AZ251">
            <v>2031.9999999999998</v>
          </cell>
          <cell r="BA251">
            <v>2</v>
          </cell>
          <cell r="BB251">
            <v>2602.41</v>
          </cell>
          <cell r="BC251">
            <v>20</v>
          </cell>
          <cell r="BD251">
            <v>1693.65</v>
          </cell>
          <cell r="BE251">
            <v>14</v>
          </cell>
          <cell r="BF251">
            <v>484.96</v>
          </cell>
          <cell r="BG251">
            <v>7</v>
          </cell>
          <cell r="BH251">
            <v>262.98</v>
          </cell>
          <cell r="BI251">
            <v>2</v>
          </cell>
          <cell r="BJ251">
            <v>5044</v>
          </cell>
          <cell r="BK251">
            <v>43</v>
          </cell>
          <cell r="BL251">
            <v>386.68</v>
          </cell>
          <cell r="BM251">
            <v>2</v>
          </cell>
          <cell r="BN251">
            <v>353.34</v>
          </cell>
          <cell r="BO251">
            <v>1</v>
          </cell>
          <cell r="BP251">
            <v>235.99</v>
          </cell>
          <cell r="BQ251">
            <v>2</v>
          </cell>
          <cell r="BR251">
            <v>97.99</v>
          </cell>
          <cell r="BS251">
            <v>1</v>
          </cell>
          <cell r="BT251">
            <v>1074</v>
          </cell>
          <cell r="BU251">
            <v>6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1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1</v>
          </cell>
          <cell r="CZ251">
            <v>96.67</v>
          </cell>
          <cell r="DA251">
            <v>0</v>
          </cell>
          <cell r="DB251">
            <v>96.67</v>
          </cell>
          <cell r="DC251">
            <v>0</v>
          </cell>
          <cell r="DD251">
            <v>96.67</v>
          </cell>
          <cell r="DE251">
            <v>0</v>
          </cell>
          <cell r="DF251">
            <v>26.99</v>
          </cell>
          <cell r="DG251">
            <v>1</v>
          </cell>
          <cell r="DH251">
            <v>317</v>
          </cell>
          <cell r="DI251">
            <v>1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H251">
            <v>0</v>
          </cell>
          <cell r="EI251">
            <v>0</v>
          </cell>
        </row>
        <row r="252">
          <cell r="A252" t="str">
            <v>MayRakeedhoo</v>
          </cell>
          <cell r="B252" t="str">
            <v>May</v>
          </cell>
          <cell r="C252" t="str">
            <v>V.</v>
          </cell>
          <cell r="D252" t="str">
            <v>Rakeedhoo</v>
          </cell>
          <cell r="E252">
            <v>0</v>
          </cell>
          <cell r="F252">
            <v>9468</v>
          </cell>
          <cell r="G252">
            <v>56</v>
          </cell>
          <cell r="H252">
            <v>57</v>
          </cell>
          <cell r="I252">
            <v>0</v>
          </cell>
          <cell r="J252">
            <v>0</v>
          </cell>
          <cell r="K252">
            <v>57</v>
          </cell>
          <cell r="L252">
            <v>56</v>
          </cell>
          <cell r="M252">
            <v>1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57</v>
          </cell>
          <cell r="U252">
            <v>56</v>
          </cell>
          <cell r="V252">
            <v>1</v>
          </cell>
          <cell r="W252">
            <v>17470</v>
          </cell>
          <cell r="X252">
            <v>17470</v>
          </cell>
          <cell r="Y252">
            <v>0</v>
          </cell>
          <cell r="Z252">
            <v>17470</v>
          </cell>
          <cell r="AA252">
            <v>9468</v>
          </cell>
          <cell r="AB252">
            <v>0</v>
          </cell>
          <cell r="AC252">
            <v>9468</v>
          </cell>
          <cell r="AD252">
            <v>15</v>
          </cell>
          <cell r="AE252">
            <v>23</v>
          </cell>
          <cell r="AF252">
            <v>4868</v>
          </cell>
          <cell r="AG252">
            <v>23</v>
          </cell>
          <cell r="AH252">
            <v>100</v>
          </cell>
          <cell r="AI252">
            <v>3</v>
          </cell>
          <cell r="AJ252">
            <v>74</v>
          </cell>
          <cell r="AK252">
            <v>1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174</v>
          </cell>
          <cell r="AQ252">
            <v>4</v>
          </cell>
          <cell r="AR252">
            <v>200</v>
          </cell>
          <cell r="AS252">
            <v>2</v>
          </cell>
          <cell r="AT252">
            <v>200</v>
          </cell>
          <cell r="AU252">
            <v>0</v>
          </cell>
          <cell r="AV252">
            <v>200</v>
          </cell>
          <cell r="AW252">
            <v>0</v>
          </cell>
          <cell r="AX252">
            <v>1496</v>
          </cell>
          <cell r="AY252">
            <v>0</v>
          </cell>
          <cell r="AZ252">
            <v>2096</v>
          </cell>
          <cell r="BA252">
            <v>2</v>
          </cell>
          <cell r="BB252">
            <v>2839</v>
          </cell>
          <cell r="BC252">
            <v>18</v>
          </cell>
          <cell r="BD252">
            <v>1756</v>
          </cell>
          <cell r="BE252">
            <v>13</v>
          </cell>
          <cell r="BF252">
            <v>710</v>
          </cell>
          <cell r="BG252">
            <v>9</v>
          </cell>
          <cell r="BH252">
            <v>277</v>
          </cell>
          <cell r="BI252">
            <v>2</v>
          </cell>
          <cell r="BJ252">
            <v>5582</v>
          </cell>
          <cell r="BK252">
            <v>42</v>
          </cell>
          <cell r="BL252">
            <v>401</v>
          </cell>
          <cell r="BM252">
            <v>2</v>
          </cell>
          <cell r="BN252">
            <v>400</v>
          </cell>
          <cell r="BO252">
            <v>0</v>
          </cell>
          <cell r="BP252">
            <v>356</v>
          </cell>
          <cell r="BQ252">
            <v>2</v>
          </cell>
          <cell r="BR252">
            <v>142</v>
          </cell>
          <cell r="BS252">
            <v>2</v>
          </cell>
          <cell r="BT252">
            <v>1299</v>
          </cell>
          <cell r="BU252">
            <v>6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1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1</v>
          </cell>
          <cell r="CZ252">
            <v>100</v>
          </cell>
          <cell r="DA252">
            <v>0</v>
          </cell>
          <cell r="DB252">
            <v>100</v>
          </cell>
          <cell r="DC252">
            <v>0</v>
          </cell>
          <cell r="DD252">
            <v>100</v>
          </cell>
          <cell r="DE252">
            <v>0</v>
          </cell>
          <cell r="DF252">
            <v>17</v>
          </cell>
          <cell r="DG252">
            <v>1</v>
          </cell>
          <cell r="DH252">
            <v>317</v>
          </cell>
          <cell r="DI252">
            <v>1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H252">
            <v>0</v>
          </cell>
          <cell r="EI252">
            <v>0</v>
          </cell>
        </row>
        <row r="253">
          <cell r="A253" t="str">
            <v>JunRakeedhoo</v>
          </cell>
          <cell r="B253" t="str">
            <v>Jun</v>
          </cell>
          <cell r="C253" t="str">
            <v>V.</v>
          </cell>
          <cell r="D253" t="str">
            <v>Rakeedhoo</v>
          </cell>
          <cell r="E253">
            <v>0</v>
          </cell>
          <cell r="F253">
            <v>9588</v>
          </cell>
          <cell r="G253">
            <v>57</v>
          </cell>
          <cell r="H253">
            <v>57</v>
          </cell>
          <cell r="I253">
            <v>0</v>
          </cell>
          <cell r="J253">
            <v>0</v>
          </cell>
          <cell r="K253">
            <v>57</v>
          </cell>
          <cell r="L253">
            <v>57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57</v>
          </cell>
          <cell r="U253">
            <v>57</v>
          </cell>
          <cell r="V253">
            <v>0</v>
          </cell>
          <cell r="W253">
            <v>17470</v>
          </cell>
          <cell r="X253">
            <v>17470</v>
          </cell>
          <cell r="Y253">
            <v>0</v>
          </cell>
          <cell r="Z253">
            <v>17470</v>
          </cell>
          <cell r="AA253">
            <v>9588</v>
          </cell>
          <cell r="AB253">
            <v>0</v>
          </cell>
          <cell r="AC253">
            <v>9588</v>
          </cell>
          <cell r="AD253">
            <v>14</v>
          </cell>
          <cell r="AE253">
            <v>24</v>
          </cell>
          <cell r="AF253">
            <v>4631</v>
          </cell>
          <cell r="AG253">
            <v>37</v>
          </cell>
          <cell r="AH253">
            <v>103.33</v>
          </cell>
          <cell r="AI253">
            <v>3</v>
          </cell>
          <cell r="AJ253">
            <v>29.67</v>
          </cell>
          <cell r="AK253">
            <v>1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133</v>
          </cell>
          <cell r="AQ253">
            <v>4</v>
          </cell>
          <cell r="AR253">
            <v>206.66</v>
          </cell>
          <cell r="AS253">
            <v>2</v>
          </cell>
          <cell r="AT253">
            <v>206.66</v>
          </cell>
          <cell r="AU253">
            <v>0</v>
          </cell>
          <cell r="AV253">
            <v>206.66</v>
          </cell>
          <cell r="AW253">
            <v>0</v>
          </cell>
          <cell r="AX253">
            <v>1617.02</v>
          </cell>
          <cell r="AY253">
            <v>0</v>
          </cell>
          <cell r="AZ253">
            <v>2237</v>
          </cell>
          <cell r="BA253">
            <v>2</v>
          </cell>
          <cell r="BB253">
            <v>2900.25</v>
          </cell>
          <cell r="BC253">
            <v>18</v>
          </cell>
          <cell r="BD253">
            <v>1661.35</v>
          </cell>
          <cell r="BE253">
            <v>15</v>
          </cell>
          <cell r="BF253">
            <v>415.38</v>
          </cell>
          <cell r="BG253">
            <v>8</v>
          </cell>
          <cell r="BH253">
            <v>256.02</v>
          </cell>
          <cell r="BI253">
            <v>2</v>
          </cell>
          <cell r="BJ253">
            <v>5233</v>
          </cell>
          <cell r="BK253">
            <v>43</v>
          </cell>
          <cell r="BL253">
            <v>413.32</v>
          </cell>
          <cell r="BM253">
            <v>2</v>
          </cell>
          <cell r="BN253">
            <v>413.32</v>
          </cell>
          <cell r="BO253">
            <v>1</v>
          </cell>
          <cell r="BP253">
            <v>353.33</v>
          </cell>
          <cell r="BQ253">
            <v>3</v>
          </cell>
          <cell r="BR253">
            <v>482.03</v>
          </cell>
          <cell r="BS253">
            <v>0</v>
          </cell>
          <cell r="BT253">
            <v>1661.9999999999998</v>
          </cell>
          <cell r="BU253">
            <v>6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6</v>
          </cell>
          <cell r="CQ253">
            <v>1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6</v>
          </cell>
          <cell r="CY253">
            <v>1</v>
          </cell>
          <cell r="CZ253">
            <v>103.33</v>
          </cell>
          <cell r="DA253">
            <v>0</v>
          </cell>
          <cell r="DB253">
            <v>103.33</v>
          </cell>
          <cell r="DC253">
            <v>0</v>
          </cell>
          <cell r="DD253">
            <v>103.33</v>
          </cell>
          <cell r="DE253">
            <v>0</v>
          </cell>
          <cell r="DF253">
            <v>7.01</v>
          </cell>
          <cell r="DG253">
            <v>1</v>
          </cell>
          <cell r="DH253">
            <v>317</v>
          </cell>
          <cell r="DI253">
            <v>1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H253">
            <v>0</v>
          </cell>
          <cell r="EI253">
            <v>0</v>
          </cell>
        </row>
        <row r="254">
          <cell r="A254" t="str">
            <v>JulRakeedhoo</v>
          </cell>
          <cell r="B254" t="str">
            <v>Jul</v>
          </cell>
          <cell r="C254" t="str">
            <v>V.</v>
          </cell>
          <cell r="D254" t="str">
            <v>Rakeedhoo</v>
          </cell>
          <cell r="E254">
            <v>0</v>
          </cell>
          <cell r="F254">
            <v>9588</v>
          </cell>
          <cell r="G254">
            <v>57</v>
          </cell>
          <cell r="H254">
            <v>57</v>
          </cell>
          <cell r="I254">
            <v>0</v>
          </cell>
          <cell r="J254">
            <v>0</v>
          </cell>
          <cell r="K254">
            <v>57</v>
          </cell>
          <cell r="L254">
            <v>57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57</v>
          </cell>
          <cell r="U254">
            <v>57</v>
          </cell>
          <cell r="V254">
            <v>0</v>
          </cell>
          <cell r="W254">
            <v>17690</v>
          </cell>
          <cell r="X254">
            <v>17690</v>
          </cell>
          <cell r="Y254">
            <v>0</v>
          </cell>
          <cell r="Z254">
            <v>17690</v>
          </cell>
          <cell r="AA254">
            <v>9588</v>
          </cell>
          <cell r="AB254">
            <v>0</v>
          </cell>
          <cell r="AC254">
            <v>9588</v>
          </cell>
          <cell r="AD254">
            <v>16</v>
          </cell>
          <cell r="AE254">
            <v>32</v>
          </cell>
          <cell r="AF254">
            <v>5237</v>
          </cell>
          <cell r="AG254">
            <v>23</v>
          </cell>
          <cell r="AH254">
            <v>103.33</v>
          </cell>
          <cell r="AI254">
            <v>3</v>
          </cell>
          <cell r="AJ254">
            <v>29.67</v>
          </cell>
          <cell r="AK254">
            <v>1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133</v>
          </cell>
          <cell r="AQ254">
            <v>4</v>
          </cell>
          <cell r="AR254">
            <v>206.66</v>
          </cell>
          <cell r="AS254">
            <v>2</v>
          </cell>
          <cell r="AT254">
            <v>206.66</v>
          </cell>
          <cell r="AU254">
            <v>0</v>
          </cell>
          <cell r="AV254">
            <v>206.66</v>
          </cell>
          <cell r="AW254">
            <v>0</v>
          </cell>
          <cell r="AX254">
            <v>1617.02</v>
          </cell>
          <cell r="AY254">
            <v>0</v>
          </cell>
          <cell r="AZ254">
            <v>2237</v>
          </cell>
          <cell r="BA254">
            <v>2</v>
          </cell>
          <cell r="BB254">
            <v>2900.25</v>
          </cell>
          <cell r="BC254">
            <v>18</v>
          </cell>
          <cell r="BD254">
            <v>1661.35</v>
          </cell>
          <cell r="BE254">
            <v>15</v>
          </cell>
          <cell r="BF254">
            <v>415.38</v>
          </cell>
          <cell r="BG254">
            <v>8</v>
          </cell>
          <cell r="BH254">
            <v>256.02</v>
          </cell>
          <cell r="BI254">
            <v>2</v>
          </cell>
          <cell r="BJ254">
            <v>5233</v>
          </cell>
          <cell r="BK254">
            <v>43</v>
          </cell>
          <cell r="BL254">
            <v>413.32</v>
          </cell>
          <cell r="BM254">
            <v>2</v>
          </cell>
          <cell r="BN254">
            <v>413.32</v>
          </cell>
          <cell r="BO254">
            <v>0</v>
          </cell>
          <cell r="BP254">
            <v>353.33</v>
          </cell>
          <cell r="BQ254">
            <v>1</v>
          </cell>
          <cell r="BR254">
            <v>482.03</v>
          </cell>
          <cell r="BS254">
            <v>3</v>
          </cell>
          <cell r="BT254">
            <v>1661.9999999999998</v>
          </cell>
          <cell r="BU254">
            <v>6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6</v>
          </cell>
          <cell r="CQ254">
            <v>1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6</v>
          </cell>
          <cell r="CY254">
            <v>1</v>
          </cell>
          <cell r="CZ254">
            <v>103.33</v>
          </cell>
          <cell r="DA254">
            <v>0</v>
          </cell>
          <cell r="DB254">
            <v>103.33</v>
          </cell>
          <cell r="DC254">
            <v>0</v>
          </cell>
          <cell r="DD254">
            <v>103.33</v>
          </cell>
          <cell r="DE254">
            <v>0</v>
          </cell>
          <cell r="DF254">
            <v>7.01</v>
          </cell>
          <cell r="DG254">
            <v>1</v>
          </cell>
          <cell r="DH254">
            <v>317</v>
          </cell>
          <cell r="DI254">
            <v>1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H254">
            <v>0</v>
          </cell>
          <cell r="EI254">
            <v>0</v>
          </cell>
        </row>
        <row r="255">
          <cell r="A255" t="str">
            <v>AugRakeedhoo</v>
          </cell>
          <cell r="B255" t="str">
            <v>Aug</v>
          </cell>
          <cell r="C255" t="str">
            <v>V.</v>
          </cell>
          <cell r="D255" t="str">
            <v>Rakeedhoo</v>
          </cell>
          <cell r="E255">
            <v>0</v>
          </cell>
          <cell r="F255">
            <v>10852</v>
          </cell>
          <cell r="G255">
            <v>57</v>
          </cell>
          <cell r="H255">
            <v>57</v>
          </cell>
          <cell r="I255">
            <v>0</v>
          </cell>
          <cell r="J255">
            <v>0</v>
          </cell>
          <cell r="K255">
            <v>57</v>
          </cell>
          <cell r="L255">
            <v>57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57</v>
          </cell>
          <cell r="U255">
            <v>57</v>
          </cell>
          <cell r="V255">
            <v>0</v>
          </cell>
          <cell r="W255">
            <v>17690</v>
          </cell>
          <cell r="X255">
            <v>17690</v>
          </cell>
          <cell r="Y255">
            <v>0</v>
          </cell>
          <cell r="Z255">
            <v>17690</v>
          </cell>
          <cell r="AA255">
            <v>10852</v>
          </cell>
          <cell r="AB255">
            <v>0</v>
          </cell>
          <cell r="AC255">
            <v>10852</v>
          </cell>
          <cell r="AD255">
            <v>16</v>
          </cell>
          <cell r="AE255">
            <v>26</v>
          </cell>
          <cell r="AF255">
            <v>4446</v>
          </cell>
          <cell r="AG255">
            <v>37</v>
          </cell>
          <cell r="AH255">
            <v>169</v>
          </cell>
          <cell r="AI255">
            <v>3</v>
          </cell>
          <cell r="AJ255">
            <v>81</v>
          </cell>
          <cell r="AK255">
            <v>1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250</v>
          </cell>
          <cell r="AQ255">
            <v>4</v>
          </cell>
          <cell r="AR255">
            <v>200</v>
          </cell>
          <cell r="AS255">
            <v>0</v>
          </cell>
          <cell r="AT255">
            <v>200</v>
          </cell>
          <cell r="AU255">
            <v>2</v>
          </cell>
          <cell r="AV255">
            <v>200</v>
          </cell>
          <cell r="AW255">
            <v>0</v>
          </cell>
          <cell r="AX255">
            <v>1468</v>
          </cell>
          <cell r="AY255">
            <v>0</v>
          </cell>
          <cell r="AZ255">
            <v>2068</v>
          </cell>
          <cell r="BA255">
            <v>2</v>
          </cell>
          <cell r="BB255">
            <v>2880</v>
          </cell>
          <cell r="BC255">
            <v>18</v>
          </cell>
          <cell r="BD255">
            <v>2020</v>
          </cell>
          <cell r="BE255">
            <v>10</v>
          </cell>
          <cell r="BF255">
            <v>1135</v>
          </cell>
          <cell r="BG255">
            <v>8</v>
          </cell>
          <cell r="BH255">
            <v>464</v>
          </cell>
          <cell r="BI255">
            <v>7</v>
          </cell>
          <cell r="BJ255">
            <v>6499</v>
          </cell>
          <cell r="BK255">
            <v>43</v>
          </cell>
          <cell r="BL255">
            <v>401</v>
          </cell>
          <cell r="BM255">
            <v>2</v>
          </cell>
          <cell r="BN255">
            <v>400</v>
          </cell>
          <cell r="BO255">
            <v>2</v>
          </cell>
          <cell r="BP255">
            <v>246</v>
          </cell>
          <cell r="BQ255">
            <v>2</v>
          </cell>
          <cell r="BR255">
            <v>663</v>
          </cell>
          <cell r="BS255">
            <v>0</v>
          </cell>
          <cell r="BT255">
            <v>1710</v>
          </cell>
          <cell r="BU255">
            <v>6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8</v>
          </cell>
          <cell r="CQ255">
            <v>1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8</v>
          </cell>
          <cell r="CY255">
            <v>1</v>
          </cell>
          <cell r="CZ255">
            <v>100</v>
          </cell>
          <cell r="DA255">
            <v>1</v>
          </cell>
          <cell r="DB255">
            <v>100</v>
          </cell>
          <cell r="DC255">
            <v>0</v>
          </cell>
          <cell r="DD255">
            <v>100</v>
          </cell>
          <cell r="DE255">
            <v>0</v>
          </cell>
          <cell r="DF255">
            <v>17</v>
          </cell>
          <cell r="DG255">
            <v>0</v>
          </cell>
          <cell r="DH255">
            <v>317</v>
          </cell>
          <cell r="DI255">
            <v>1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H255">
            <v>0</v>
          </cell>
          <cell r="EI255">
            <v>0</v>
          </cell>
        </row>
        <row r="256">
          <cell r="A256" t="str">
            <v>SepRakeedhoo</v>
          </cell>
          <cell r="B256" t="str">
            <v>Sep</v>
          </cell>
          <cell r="C256" t="str">
            <v>V.</v>
          </cell>
          <cell r="D256" t="str">
            <v>Rakeedhoo</v>
          </cell>
          <cell r="E256">
            <v>0</v>
          </cell>
          <cell r="F256">
            <v>9280</v>
          </cell>
          <cell r="G256">
            <v>57</v>
          </cell>
          <cell r="H256">
            <v>57</v>
          </cell>
          <cell r="I256">
            <v>0</v>
          </cell>
          <cell r="J256">
            <v>0</v>
          </cell>
          <cell r="K256">
            <v>57</v>
          </cell>
          <cell r="L256">
            <v>57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57</v>
          </cell>
          <cell r="U256">
            <v>57</v>
          </cell>
          <cell r="V256">
            <v>0</v>
          </cell>
          <cell r="W256">
            <v>16450</v>
          </cell>
          <cell r="X256">
            <v>16450</v>
          </cell>
          <cell r="Y256">
            <v>0</v>
          </cell>
          <cell r="Z256">
            <v>16450</v>
          </cell>
          <cell r="AA256">
            <v>9280</v>
          </cell>
          <cell r="AB256">
            <v>0</v>
          </cell>
          <cell r="AC256">
            <v>9280</v>
          </cell>
          <cell r="AD256">
            <v>16</v>
          </cell>
          <cell r="AE256">
            <v>30</v>
          </cell>
          <cell r="AF256">
            <v>5561</v>
          </cell>
          <cell r="AG256">
            <v>34</v>
          </cell>
          <cell r="AH256">
            <v>280.33999999999997</v>
          </cell>
          <cell r="AI256">
            <v>3</v>
          </cell>
          <cell r="AJ256">
            <v>127</v>
          </cell>
          <cell r="AK256">
            <v>1</v>
          </cell>
          <cell r="AL256">
            <v>96.67</v>
          </cell>
          <cell r="AM256">
            <v>0</v>
          </cell>
          <cell r="AN256">
            <v>101.99</v>
          </cell>
          <cell r="AO256">
            <v>1</v>
          </cell>
          <cell r="AP256">
            <v>606</v>
          </cell>
          <cell r="AQ256">
            <v>5</v>
          </cell>
          <cell r="AR256">
            <v>193.34</v>
          </cell>
          <cell r="AS256">
            <v>0</v>
          </cell>
          <cell r="AT256">
            <v>193.34</v>
          </cell>
          <cell r="AU256">
            <v>0</v>
          </cell>
          <cell r="AV256">
            <v>193.34</v>
          </cell>
          <cell r="AW256">
            <v>0</v>
          </cell>
          <cell r="AX256">
            <v>1401.98</v>
          </cell>
          <cell r="AY256">
            <v>2</v>
          </cell>
          <cell r="AZ256">
            <v>1981.9999999999998</v>
          </cell>
          <cell r="BA256">
            <v>2</v>
          </cell>
          <cell r="BB256">
            <v>2515.0700000000002</v>
          </cell>
          <cell r="BC256">
            <v>21</v>
          </cell>
          <cell r="BD256">
            <v>1495.99</v>
          </cell>
          <cell r="BE256">
            <v>12</v>
          </cell>
          <cell r="BF256">
            <v>498.97</v>
          </cell>
          <cell r="BG256">
            <v>6</v>
          </cell>
          <cell r="BH256">
            <v>313.97000000000003</v>
          </cell>
          <cell r="BI256">
            <v>3</v>
          </cell>
          <cell r="BJ256">
            <v>4824</v>
          </cell>
          <cell r="BK256">
            <v>42</v>
          </cell>
          <cell r="BL256">
            <v>425.68</v>
          </cell>
          <cell r="BM256">
            <v>2</v>
          </cell>
          <cell r="BN256">
            <v>386.68</v>
          </cell>
          <cell r="BO256">
            <v>0</v>
          </cell>
          <cell r="BP256">
            <v>385.67</v>
          </cell>
          <cell r="BQ256">
            <v>1</v>
          </cell>
          <cell r="BR256">
            <v>352.97</v>
          </cell>
          <cell r="BS256">
            <v>3</v>
          </cell>
          <cell r="BT256">
            <v>1551.0000000000002</v>
          </cell>
          <cell r="BU256">
            <v>6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1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1</v>
          </cell>
          <cell r="CZ256">
            <v>96.67</v>
          </cell>
          <cell r="DA256">
            <v>0</v>
          </cell>
          <cell r="DB256">
            <v>96.67</v>
          </cell>
          <cell r="DC256">
            <v>0</v>
          </cell>
          <cell r="DD256">
            <v>96.67</v>
          </cell>
          <cell r="DE256">
            <v>0</v>
          </cell>
          <cell r="DF256">
            <v>26.99</v>
          </cell>
          <cell r="DG256">
            <v>1</v>
          </cell>
          <cell r="DH256">
            <v>317</v>
          </cell>
          <cell r="DI256">
            <v>1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H256">
            <v>0</v>
          </cell>
          <cell r="EI256">
            <v>0</v>
          </cell>
        </row>
        <row r="257">
          <cell r="A257" t="str">
            <v>OctRakeedhoo</v>
          </cell>
          <cell r="B257" t="str">
            <v>Oct</v>
          </cell>
          <cell r="C257" t="str">
            <v>V.</v>
          </cell>
          <cell r="D257" t="str">
            <v>Rakeedhoo</v>
          </cell>
          <cell r="E257">
            <v>0</v>
          </cell>
          <cell r="F257">
            <v>10533</v>
          </cell>
          <cell r="G257">
            <v>57</v>
          </cell>
          <cell r="H257">
            <v>57</v>
          </cell>
          <cell r="I257">
            <v>0</v>
          </cell>
          <cell r="J257">
            <v>0</v>
          </cell>
          <cell r="K257">
            <v>57</v>
          </cell>
          <cell r="L257">
            <v>57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57</v>
          </cell>
          <cell r="U257">
            <v>57</v>
          </cell>
          <cell r="V257">
            <v>0</v>
          </cell>
          <cell r="W257">
            <v>16039</v>
          </cell>
          <cell r="X257">
            <v>16039</v>
          </cell>
          <cell r="Y257">
            <v>0</v>
          </cell>
          <cell r="Z257">
            <v>16039</v>
          </cell>
          <cell r="AA257">
            <v>10533</v>
          </cell>
          <cell r="AB257">
            <v>0</v>
          </cell>
          <cell r="AC257">
            <v>10533</v>
          </cell>
          <cell r="AD257">
            <v>15</v>
          </cell>
          <cell r="AE257">
            <v>30</v>
          </cell>
          <cell r="AF257">
            <v>5561</v>
          </cell>
          <cell r="AG257">
            <v>34</v>
          </cell>
          <cell r="AH257">
            <v>213.66</v>
          </cell>
          <cell r="AI257">
            <v>3</v>
          </cell>
          <cell r="AJ257">
            <v>206.66</v>
          </cell>
          <cell r="AK257">
            <v>1</v>
          </cell>
          <cell r="AL257">
            <v>115.67</v>
          </cell>
          <cell r="AM257">
            <v>0</v>
          </cell>
          <cell r="AN257">
            <v>496.01</v>
          </cell>
          <cell r="AO257">
            <v>1</v>
          </cell>
          <cell r="AP257">
            <v>1032</v>
          </cell>
          <cell r="AQ257">
            <v>5</v>
          </cell>
          <cell r="AR257">
            <v>206.66</v>
          </cell>
          <cell r="AS257">
            <v>0</v>
          </cell>
          <cell r="AT257">
            <v>206.66</v>
          </cell>
          <cell r="AU257">
            <v>0</v>
          </cell>
          <cell r="AV257">
            <v>206.66</v>
          </cell>
          <cell r="AW257">
            <v>0</v>
          </cell>
          <cell r="AX257">
            <v>1468.02</v>
          </cell>
          <cell r="AY257">
            <v>2</v>
          </cell>
          <cell r="AZ257">
            <v>2088</v>
          </cell>
          <cell r="BA257">
            <v>2</v>
          </cell>
          <cell r="BB257">
            <v>2652.59</v>
          </cell>
          <cell r="BC257">
            <v>21</v>
          </cell>
          <cell r="BD257">
            <v>1673.69</v>
          </cell>
          <cell r="BE257">
            <v>12</v>
          </cell>
          <cell r="BF257">
            <v>571.67999999999995</v>
          </cell>
          <cell r="BG257">
            <v>6</v>
          </cell>
          <cell r="BH257">
            <v>427.04</v>
          </cell>
          <cell r="BI257">
            <v>3</v>
          </cell>
          <cell r="BJ257">
            <v>5325</v>
          </cell>
          <cell r="BK257">
            <v>42</v>
          </cell>
          <cell r="BL257">
            <v>456.32</v>
          </cell>
          <cell r="BM257">
            <v>2</v>
          </cell>
          <cell r="BN257">
            <v>413.32</v>
          </cell>
          <cell r="BO257">
            <v>0</v>
          </cell>
          <cell r="BP257">
            <v>375.33</v>
          </cell>
          <cell r="BQ257">
            <v>1</v>
          </cell>
          <cell r="BR257">
            <v>526.03</v>
          </cell>
          <cell r="BS257">
            <v>3</v>
          </cell>
          <cell r="BT257">
            <v>1770.9999999999998</v>
          </cell>
          <cell r="BU257">
            <v>6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1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1</v>
          </cell>
          <cell r="CZ257">
            <v>103.33</v>
          </cell>
          <cell r="DA257">
            <v>0</v>
          </cell>
          <cell r="DB257">
            <v>103.33</v>
          </cell>
          <cell r="DC257">
            <v>0</v>
          </cell>
          <cell r="DD257">
            <v>103.33</v>
          </cell>
          <cell r="DE257">
            <v>0</v>
          </cell>
          <cell r="DF257">
            <v>7.01</v>
          </cell>
          <cell r="DG257">
            <v>1</v>
          </cell>
          <cell r="DH257">
            <v>317</v>
          </cell>
          <cell r="DI257">
            <v>1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H257">
            <v>0</v>
          </cell>
          <cell r="EI257">
            <v>0</v>
          </cell>
        </row>
        <row r="258">
          <cell r="A258" t="str">
            <v>NovRakeedhoo</v>
          </cell>
          <cell r="B258" t="str">
            <v>Nov</v>
          </cell>
          <cell r="C258" t="str">
            <v>V.</v>
          </cell>
          <cell r="D258" t="str">
            <v>Rakeedhoo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H258">
            <v>0</v>
          </cell>
          <cell r="EI258">
            <v>0</v>
          </cell>
        </row>
        <row r="259">
          <cell r="A259" t="str">
            <v>DecRakeedhoo</v>
          </cell>
          <cell r="B259" t="str">
            <v>Dec</v>
          </cell>
          <cell r="C259" t="str">
            <v>V.</v>
          </cell>
          <cell r="D259" t="str">
            <v>Rakeedhoo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H259">
            <v>0</v>
          </cell>
          <cell r="EI259">
            <v>0</v>
          </cell>
        </row>
        <row r="260">
          <cell r="A260" t="str">
            <v>JanThinadhoo</v>
          </cell>
          <cell r="B260" t="str">
            <v>Jan</v>
          </cell>
          <cell r="C260" t="str">
            <v>V.</v>
          </cell>
          <cell r="D260" t="str">
            <v>Thinadhoo</v>
          </cell>
          <cell r="E260">
            <v>0</v>
          </cell>
          <cell r="F260">
            <v>22351</v>
          </cell>
          <cell r="G260">
            <v>63</v>
          </cell>
          <cell r="H260">
            <v>68</v>
          </cell>
          <cell r="I260">
            <v>0</v>
          </cell>
          <cell r="J260">
            <v>0</v>
          </cell>
          <cell r="K260">
            <v>68</v>
          </cell>
          <cell r="L260">
            <v>63</v>
          </cell>
          <cell r="M260">
            <v>5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68</v>
          </cell>
          <cell r="U260">
            <v>63</v>
          </cell>
          <cell r="V260">
            <v>5</v>
          </cell>
          <cell r="W260">
            <v>10862</v>
          </cell>
          <cell r="X260">
            <v>25486.33</v>
          </cell>
          <cell r="Y260">
            <v>0</v>
          </cell>
          <cell r="Z260">
            <v>25486.33</v>
          </cell>
          <cell r="AA260">
            <v>22351</v>
          </cell>
          <cell r="AB260">
            <v>1468</v>
          </cell>
          <cell r="AC260">
            <v>23819</v>
          </cell>
          <cell r="AD260">
            <v>16</v>
          </cell>
          <cell r="AE260">
            <v>57</v>
          </cell>
          <cell r="AF260">
            <v>9636</v>
          </cell>
          <cell r="AG260">
            <v>37</v>
          </cell>
          <cell r="AH260">
            <v>2376.67</v>
          </cell>
          <cell r="AI260">
            <v>5</v>
          </cell>
          <cell r="AJ260">
            <v>2069.67</v>
          </cell>
          <cell r="AK260">
            <v>4</v>
          </cell>
          <cell r="AL260">
            <v>1745.67</v>
          </cell>
          <cell r="AM260">
            <v>4</v>
          </cell>
          <cell r="AN260">
            <v>7874.99</v>
          </cell>
          <cell r="AO260">
            <v>15</v>
          </cell>
          <cell r="AP260">
            <v>14067</v>
          </cell>
          <cell r="AQ260">
            <v>28</v>
          </cell>
          <cell r="AR260">
            <v>100</v>
          </cell>
          <cell r="AS260" t="str">
            <v xml:space="preserve"> -   </v>
          </cell>
          <cell r="AT260">
            <v>75</v>
          </cell>
          <cell r="AU260">
            <v>1</v>
          </cell>
          <cell r="AV260" t="str">
            <v xml:space="preserve"> -   </v>
          </cell>
          <cell r="AW260" t="str">
            <v xml:space="preserve"> -   </v>
          </cell>
          <cell r="AX260" t="str">
            <v xml:space="preserve"> -   </v>
          </cell>
          <cell r="AY260" t="str">
            <v xml:space="preserve"> -   </v>
          </cell>
          <cell r="AZ260">
            <v>175</v>
          </cell>
          <cell r="BA260">
            <v>1</v>
          </cell>
          <cell r="BB260">
            <v>2323</v>
          </cell>
          <cell r="BC260">
            <v>7</v>
          </cell>
          <cell r="BD260">
            <v>1529</v>
          </cell>
          <cell r="BE260">
            <v>9</v>
          </cell>
          <cell r="BF260">
            <v>827</v>
          </cell>
          <cell r="BG260">
            <v>3</v>
          </cell>
          <cell r="BH260">
            <v>1403</v>
          </cell>
          <cell r="BI260">
            <v>7</v>
          </cell>
          <cell r="BJ260">
            <v>6082</v>
          </cell>
          <cell r="BK260">
            <v>26</v>
          </cell>
          <cell r="BL260">
            <v>303</v>
          </cell>
          <cell r="BM260">
            <v>1</v>
          </cell>
          <cell r="BN260">
            <v>228</v>
          </cell>
          <cell r="BO260">
            <v>1</v>
          </cell>
          <cell r="BP260">
            <v>121</v>
          </cell>
          <cell r="BQ260">
            <v>1</v>
          </cell>
          <cell r="BR260">
            <v>43</v>
          </cell>
          <cell r="BS260">
            <v>1</v>
          </cell>
          <cell r="BT260">
            <v>695</v>
          </cell>
          <cell r="BU260">
            <v>4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 t="str">
            <v xml:space="preserve"> -   </v>
          </cell>
          <cell r="CE260" t="str">
            <v xml:space="preserve"> -   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 t="str">
            <v xml:space="preserve"> -   </v>
          </cell>
          <cell r="CO260" t="str">
            <v xml:space="preserve"> -   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 t="str">
            <v xml:space="preserve"> -   </v>
          </cell>
          <cell r="CY260" t="str">
            <v xml:space="preserve"> -   </v>
          </cell>
          <cell r="CZ260">
            <v>223.66</v>
          </cell>
          <cell r="DA260">
            <v>1</v>
          </cell>
          <cell r="DB260">
            <v>206.66</v>
          </cell>
          <cell r="DC260" t="str">
            <v xml:space="preserve"> -   </v>
          </cell>
          <cell r="DD260">
            <v>206.66</v>
          </cell>
          <cell r="DE260" t="str">
            <v xml:space="preserve"> -   </v>
          </cell>
          <cell r="DF260">
            <v>513.02</v>
          </cell>
          <cell r="DG260">
            <v>2</v>
          </cell>
          <cell r="DH260">
            <v>1150</v>
          </cell>
          <cell r="DI260">
            <v>3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 t="str">
            <v xml:space="preserve"> -   </v>
          </cell>
          <cell r="DS260" t="str">
            <v xml:space="preserve"> -   </v>
          </cell>
          <cell r="DT260">
            <v>100</v>
          </cell>
          <cell r="DU260" t="str">
            <v xml:space="preserve"> -   </v>
          </cell>
          <cell r="DV260">
            <v>82</v>
          </cell>
          <cell r="DW260">
            <v>1</v>
          </cell>
          <cell r="DX260" t="str">
            <v xml:space="preserve"> -   </v>
          </cell>
          <cell r="DY260" t="str">
            <v xml:space="preserve"> -   </v>
          </cell>
          <cell r="DZ260" t="str">
            <v xml:space="preserve"> -   </v>
          </cell>
          <cell r="EA260" t="str">
            <v xml:space="preserve"> -   </v>
          </cell>
          <cell r="EB260">
            <v>182</v>
          </cell>
          <cell r="EC260">
            <v>1</v>
          </cell>
          <cell r="ED260">
            <v>0</v>
          </cell>
          <cell r="EE260">
            <v>0</v>
          </cell>
          <cell r="EF260">
            <v>0</v>
          </cell>
          <cell r="EH260">
            <v>0</v>
          </cell>
          <cell r="EI260">
            <v>0</v>
          </cell>
        </row>
        <row r="261">
          <cell r="A261" t="str">
            <v>FebThinadhoo</v>
          </cell>
          <cell r="B261" t="str">
            <v>Feb</v>
          </cell>
          <cell r="C261" t="str">
            <v>V.</v>
          </cell>
          <cell r="D261" t="str">
            <v>Thinadhoo</v>
          </cell>
          <cell r="E261">
            <v>0</v>
          </cell>
          <cell r="F261">
            <v>31179</v>
          </cell>
          <cell r="G261">
            <v>63</v>
          </cell>
          <cell r="H261">
            <v>68</v>
          </cell>
          <cell r="I261">
            <v>0</v>
          </cell>
          <cell r="J261">
            <v>1</v>
          </cell>
          <cell r="K261">
            <v>67</v>
          </cell>
          <cell r="L261">
            <v>63</v>
          </cell>
          <cell r="M261">
            <v>4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67</v>
          </cell>
          <cell r="U261">
            <v>63</v>
          </cell>
          <cell r="V261">
            <v>4</v>
          </cell>
          <cell r="W261">
            <v>9121</v>
          </cell>
          <cell r="X261">
            <v>34932.300000000003</v>
          </cell>
          <cell r="Y261">
            <v>0</v>
          </cell>
          <cell r="Z261">
            <v>34932.29</v>
          </cell>
          <cell r="AA261">
            <v>31179</v>
          </cell>
          <cell r="AB261">
            <v>1468</v>
          </cell>
          <cell r="AC261">
            <v>32647</v>
          </cell>
          <cell r="AD261">
            <v>11</v>
          </cell>
          <cell r="AE261">
            <v>63</v>
          </cell>
          <cell r="AF261">
            <v>10635</v>
          </cell>
          <cell r="AG261">
            <v>72</v>
          </cell>
          <cell r="AH261">
            <v>2727</v>
          </cell>
          <cell r="AI261">
            <v>5</v>
          </cell>
          <cell r="AJ261">
            <v>2346</v>
          </cell>
          <cell r="AK261">
            <v>2</v>
          </cell>
          <cell r="AL261">
            <v>2056</v>
          </cell>
          <cell r="AM261">
            <v>3</v>
          </cell>
          <cell r="AN261">
            <v>14754</v>
          </cell>
          <cell r="AO261">
            <v>17</v>
          </cell>
          <cell r="AP261">
            <v>21883</v>
          </cell>
          <cell r="AQ261">
            <v>27</v>
          </cell>
          <cell r="AR261">
            <v>110</v>
          </cell>
          <cell r="AS261" t="str">
            <v xml:space="preserve"> -   </v>
          </cell>
          <cell r="AT261">
            <v>110</v>
          </cell>
          <cell r="AU261" t="str">
            <v xml:space="preserve"> -   </v>
          </cell>
          <cell r="AV261">
            <v>110</v>
          </cell>
          <cell r="AW261" t="str">
            <v xml:space="preserve"> -   </v>
          </cell>
          <cell r="AX261">
            <v>27</v>
          </cell>
          <cell r="AY261">
            <v>1</v>
          </cell>
          <cell r="AZ261">
            <v>357</v>
          </cell>
          <cell r="BA261">
            <v>1</v>
          </cell>
          <cell r="BB261">
            <v>2636</v>
          </cell>
          <cell r="BC261">
            <v>8</v>
          </cell>
          <cell r="BD261">
            <v>1671</v>
          </cell>
          <cell r="BE261">
            <v>9</v>
          </cell>
          <cell r="BF261">
            <v>889</v>
          </cell>
          <cell r="BG261">
            <v>3</v>
          </cell>
          <cell r="BH261">
            <v>1512</v>
          </cell>
          <cell r="BI261">
            <v>7</v>
          </cell>
          <cell r="BJ261">
            <v>6708</v>
          </cell>
          <cell r="BK261">
            <v>27</v>
          </cell>
          <cell r="BL261">
            <v>335</v>
          </cell>
          <cell r="BM261">
            <v>1</v>
          </cell>
          <cell r="BN261">
            <v>260</v>
          </cell>
          <cell r="BO261">
            <v>1</v>
          </cell>
          <cell r="BP261">
            <v>136</v>
          </cell>
          <cell r="BQ261">
            <v>1</v>
          </cell>
          <cell r="BR261">
            <v>63</v>
          </cell>
          <cell r="BS261">
            <v>1</v>
          </cell>
          <cell r="BT261">
            <v>794</v>
          </cell>
          <cell r="BU261">
            <v>4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 t="str">
            <v xml:space="preserve"> -   </v>
          </cell>
          <cell r="CE261" t="str">
            <v xml:space="preserve"> -   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 t="str">
            <v xml:space="preserve"> -   </v>
          </cell>
          <cell r="CO261" t="str">
            <v xml:space="preserve"> -   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 t="str">
            <v xml:space="preserve"> -   </v>
          </cell>
          <cell r="CY261" t="str">
            <v xml:space="preserve"> -   </v>
          </cell>
          <cell r="CZ261">
            <v>238</v>
          </cell>
          <cell r="DA261">
            <v>1</v>
          </cell>
          <cell r="DB261">
            <v>220</v>
          </cell>
          <cell r="DC261" t="str">
            <v xml:space="preserve"> -   </v>
          </cell>
          <cell r="DD261">
            <v>220</v>
          </cell>
          <cell r="DE261" t="str">
            <v xml:space="preserve"> -   </v>
          </cell>
          <cell r="DF261">
            <v>546</v>
          </cell>
          <cell r="DG261">
            <v>2</v>
          </cell>
          <cell r="DH261">
            <v>1224</v>
          </cell>
          <cell r="DI261">
            <v>3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 t="str">
            <v xml:space="preserve"> -   </v>
          </cell>
          <cell r="DS261" t="str">
            <v xml:space="preserve"> -   </v>
          </cell>
          <cell r="DT261">
            <v>110</v>
          </cell>
          <cell r="DU261" t="str">
            <v xml:space="preserve"> -   </v>
          </cell>
          <cell r="DV261">
            <v>103</v>
          </cell>
          <cell r="DW261">
            <v>1</v>
          </cell>
          <cell r="DX261" t="str">
            <v xml:space="preserve"> -   </v>
          </cell>
          <cell r="DY261" t="str">
            <v xml:space="preserve"> -   </v>
          </cell>
          <cell r="DZ261" t="str">
            <v xml:space="preserve"> -   </v>
          </cell>
          <cell r="EA261" t="str">
            <v xml:space="preserve"> -   </v>
          </cell>
          <cell r="EB261">
            <v>213</v>
          </cell>
          <cell r="EC261">
            <v>1</v>
          </cell>
          <cell r="ED261">
            <v>0</v>
          </cell>
          <cell r="EE261">
            <v>0</v>
          </cell>
          <cell r="EF261">
            <v>0</v>
          </cell>
          <cell r="EH261">
            <v>0</v>
          </cell>
          <cell r="EI261">
            <v>0</v>
          </cell>
        </row>
        <row r="262">
          <cell r="A262" t="str">
            <v>MarThinadhoo</v>
          </cell>
          <cell r="B262" t="str">
            <v>Mar</v>
          </cell>
          <cell r="C262" t="str">
            <v>V.</v>
          </cell>
          <cell r="D262" t="str">
            <v>Thinadhoo</v>
          </cell>
          <cell r="E262">
            <v>0</v>
          </cell>
          <cell r="F262">
            <v>26505</v>
          </cell>
          <cell r="G262">
            <v>63</v>
          </cell>
          <cell r="H262">
            <v>67</v>
          </cell>
          <cell r="I262">
            <v>1</v>
          </cell>
          <cell r="J262">
            <v>0</v>
          </cell>
          <cell r="K262">
            <v>68</v>
          </cell>
          <cell r="L262">
            <v>63</v>
          </cell>
          <cell r="M262">
            <v>5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68</v>
          </cell>
          <cell r="U262">
            <v>63</v>
          </cell>
          <cell r="V262">
            <v>5</v>
          </cell>
          <cell r="W262">
            <v>11977</v>
          </cell>
          <cell r="X262">
            <v>40365.800000000003</v>
          </cell>
          <cell r="Y262">
            <v>0</v>
          </cell>
          <cell r="Z262">
            <v>40365.75</v>
          </cell>
          <cell r="AA262">
            <v>26505</v>
          </cell>
          <cell r="AB262">
            <v>11220</v>
          </cell>
          <cell r="AC262">
            <v>37725</v>
          </cell>
          <cell r="AD262">
            <v>16</v>
          </cell>
          <cell r="AE262">
            <v>58</v>
          </cell>
          <cell r="AF262">
            <v>12575</v>
          </cell>
          <cell r="AG262">
            <v>30</v>
          </cell>
          <cell r="AH262">
            <v>2292.59</v>
          </cell>
          <cell r="AI262">
            <v>4</v>
          </cell>
          <cell r="AJ262">
            <v>1945.95</v>
          </cell>
          <cell r="AK262">
            <v>4</v>
          </cell>
          <cell r="AL262">
            <v>1701.29</v>
          </cell>
          <cell r="AM262">
            <v>2</v>
          </cell>
          <cell r="AN262">
            <v>12559.17</v>
          </cell>
          <cell r="AO262">
            <v>17</v>
          </cell>
          <cell r="AP262">
            <v>18499</v>
          </cell>
          <cell r="AQ262">
            <v>27</v>
          </cell>
          <cell r="AR262">
            <v>93.33</v>
          </cell>
          <cell r="AS262" t="str">
            <v xml:space="preserve"> -   </v>
          </cell>
          <cell r="AT262">
            <v>93.33</v>
          </cell>
          <cell r="AU262" t="str">
            <v xml:space="preserve"> -   </v>
          </cell>
          <cell r="AV262">
            <v>93.33</v>
          </cell>
          <cell r="AW262" t="str">
            <v xml:space="preserve"> -   </v>
          </cell>
          <cell r="AX262">
            <v>17.010000000000002</v>
          </cell>
          <cell r="AY262">
            <v>1</v>
          </cell>
          <cell r="AZ262">
            <v>297</v>
          </cell>
          <cell r="BA262">
            <v>1</v>
          </cell>
          <cell r="BB262">
            <v>2211.27</v>
          </cell>
          <cell r="BC262">
            <v>8</v>
          </cell>
          <cell r="BD262">
            <v>1443.99</v>
          </cell>
          <cell r="BE262">
            <v>8</v>
          </cell>
          <cell r="BF262">
            <v>806.67</v>
          </cell>
          <cell r="BG262">
            <v>4</v>
          </cell>
          <cell r="BH262">
            <v>1404.07</v>
          </cell>
          <cell r="BI262">
            <v>7</v>
          </cell>
          <cell r="BJ262">
            <v>5866</v>
          </cell>
          <cell r="BK262">
            <v>27</v>
          </cell>
          <cell r="BL262">
            <v>283.99</v>
          </cell>
          <cell r="BM262">
            <v>1</v>
          </cell>
          <cell r="BN262">
            <v>205.67</v>
          </cell>
          <cell r="BO262">
            <v>2</v>
          </cell>
          <cell r="BP262">
            <v>93.33</v>
          </cell>
          <cell r="BQ262" t="str">
            <v xml:space="preserve"> -   </v>
          </cell>
          <cell r="BR262">
            <v>62.01</v>
          </cell>
          <cell r="BS262">
            <v>1</v>
          </cell>
          <cell r="BT262">
            <v>645</v>
          </cell>
          <cell r="BU262">
            <v>4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 t="str">
            <v xml:space="preserve"> -   </v>
          </cell>
          <cell r="CE262" t="str">
            <v xml:space="preserve"> -   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 t="str">
            <v xml:space="preserve"> -   </v>
          </cell>
          <cell r="CO262" t="str">
            <v xml:space="preserve"> -   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 t="str">
            <v xml:space="preserve"> -   </v>
          </cell>
          <cell r="CY262" t="str">
            <v xml:space="preserve"> -   </v>
          </cell>
          <cell r="CZ262">
            <v>194</v>
          </cell>
          <cell r="DA262">
            <v>1</v>
          </cell>
          <cell r="DB262">
            <v>180</v>
          </cell>
          <cell r="DC262" t="str">
            <v xml:space="preserve"> -   </v>
          </cell>
          <cell r="DD262">
            <v>180</v>
          </cell>
          <cell r="DE262" t="str">
            <v xml:space="preserve"> -   </v>
          </cell>
          <cell r="DF262">
            <v>446</v>
          </cell>
          <cell r="DG262">
            <v>2</v>
          </cell>
          <cell r="DH262">
            <v>1000</v>
          </cell>
          <cell r="DI262">
            <v>3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 t="str">
            <v xml:space="preserve"> -   </v>
          </cell>
          <cell r="DS262" t="str">
            <v xml:space="preserve"> -   </v>
          </cell>
          <cell r="DT262">
            <v>93.33</v>
          </cell>
          <cell r="DU262" t="str">
            <v xml:space="preserve"> -   </v>
          </cell>
          <cell r="DV262">
            <v>93.33</v>
          </cell>
          <cell r="DW262" t="str">
            <v xml:space="preserve"> -   </v>
          </cell>
          <cell r="DX262">
            <v>11.34</v>
          </cell>
          <cell r="DY262">
            <v>1</v>
          </cell>
          <cell r="DZ262" t="str">
            <v xml:space="preserve"> -   </v>
          </cell>
          <cell r="EA262" t="str">
            <v xml:space="preserve"> -   </v>
          </cell>
          <cell r="EB262">
            <v>198</v>
          </cell>
          <cell r="EC262">
            <v>1</v>
          </cell>
          <cell r="ED262">
            <v>0</v>
          </cell>
          <cell r="EE262">
            <v>0</v>
          </cell>
          <cell r="EF262">
            <v>0</v>
          </cell>
          <cell r="EH262">
            <v>0</v>
          </cell>
          <cell r="EI262">
            <v>0</v>
          </cell>
        </row>
        <row r="263">
          <cell r="A263" t="str">
            <v>AprThinadhoo</v>
          </cell>
          <cell r="B263" t="str">
            <v>Apr</v>
          </cell>
          <cell r="C263" t="str">
            <v>V.</v>
          </cell>
          <cell r="D263" t="str">
            <v>Thinadhoo</v>
          </cell>
          <cell r="E263">
            <v>0</v>
          </cell>
          <cell r="F263">
            <v>36122</v>
          </cell>
          <cell r="G263">
            <v>64</v>
          </cell>
          <cell r="H263">
            <v>68</v>
          </cell>
          <cell r="I263">
            <v>0</v>
          </cell>
          <cell r="J263">
            <v>0</v>
          </cell>
          <cell r="K263">
            <v>68</v>
          </cell>
          <cell r="L263">
            <v>64</v>
          </cell>
          <cell r="M263">
            <v>4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68</v>
          </cell>
          <cell r="U263">
            <v>64</v>
          </cell>
          <cell r="V263">
            <v>4</v>
          </cell>
          <cell r="W263">
            <v>10927</v>
          </cell>
          <cell r="X263">
            <v>40042.61</v>
          </cell>
          <cell r="Y263">
            <v>0</v>
          </cell>
          <cell r="Z263">
            <v>40042.61</v>
          </cell>
          <cell r="AA263">
            <v>36122</v>
          </cell>
          <cell r="AB263">
            <v>1301</v>
          </cell>
          <cell r="AC263">
            <v>37423</v>
          </cell>
          <cell r="AD263">
            <v>16</v>
          </cell>
          <cell r="AE263">
            <v>51</v>
          </cell>
          <cell r="AF263">
            <v>11364</v>
          </cell>
          <cell r="AG263">
            <v>48</v>
          </cell>
          <cell r="AH263">
            <v>2558.08</v>
          </cell>
          <cell r="AI263">
            <v>4</v>
          </cell>
          <cell r="AJ263">
            <v>2173.7199999999998</v>
          </cell>
          <cell r="AK263">
            <v>4</v>
          </cell>
          <cell r="AL263">
            <v>1869.39</v>
          </cell>
          <cell r="AM263">
            <v>1</v>
          </cell>
          <cell r="AN263">
            <v>19983.810000000001</v>
          </cell>
          <cell r="AO263">
            <v>19</v>
          </cell>
          <cell r="AP263">
            <v>26585</v>
          </cell>
          <cell r="AQ263">
            <v>28</v>
          </cell>
          <cell r="AR263">
            <v>96.67</v>
          </cell>
          <cell r="AS263">
            <v>0</v>
          </cell>
          <cell r="AT263">
            <v>96.67</v>
          </cell>
          <cell r="AU263">
            <v>0</v>
          </cell>
          <cell r="AV263">
            <v>96.67</v>
          </cell>
          <cell r="AW263">
            <v>0</v>
          </cell>
          <cell r="AX263">
            <v>5.99</v>
          </cell>
          <cell r="AY263">
            <v>1</v>
          </cell>
          <cell r="AZ263">
            <v>296</v>
          </cell>
          <cell r="BA263">
            <v>1</v>
          </cell>
          <cell r="BB263">
            <v>2317.4</v>
          </cell>
          <cell r="BC263">
            <v>7</v>
          </cell>
          <cell r="BD263">
            <v>1702.38</v>
          </cell>
          <cell r="BE263">
            <v>3</v>
          </cell>
          <cell r="BF263">
            <v>1156.3</v>
          </cell>
          <cell r="BG263">
            <v>9</v>
          </cell>
          <cell r="BH263">
            <v>1924.92</v>
          </cell>
          <cell r="BI263">
            <v>8</v>
          </cell>
          <cell r="BJ263">
            <v>7101</v>
          </cell>
          <cell r="BK263">
            <v>27</v>
          </cell>
          <cell r="BL263">
            <v>299.01</v>
          </cell>
          <cell r="BM263">
            <v>1</v>
          </cell>
          <cell r="BN263">
            <v>242.67</v>
          </cell>
          <cell r="BO263">
            <v>1</v>
          </cell>
          <cell r="BP263">
            <v>156.33000000000001</v>
          </cell>
          <cell r="BQ263">
            <v>1</v>
          </cell>
          <cell r="BR263">
            <v>155.99</v>
          </cell>
          <cell r="BS263">
            <v>1</v>
          </cell>
          <cell r="BT263">
            <v>854</v>
          </cell>
          <cell r="BU263">
            <v>4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209.34</v>
          </cell>
          <cell r="DA263">
            <v>1</v>
          </cell>
          <cell r="DB263">
            <v>193.34</v>
          </cell>
          <cell r="DC263">
            <v>0</v>
          </cell>
          <cell r="DD263">
            <v>193.34</v>
          </cell>
          <cell r="DE263">
            <v>0</v>
          </cell>
          <cell r="DF263">
            <v>479.98</v>
          </cell>
          <cell r="DG263">
            <v>2</v>
          </cell>
          <cell r="DH263">
            <v>1076</v>
          </cell>
          <cell r="DI263">
            <v>3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96.67</v>
          </cell>
          <cell r="DU263">
            <v>0</v>
          </cell>
          <cell r="DV263">
            <v>96.67</v>
          </cell>
          <cell r="DW263">
            <v>0</v>
          </cell>
          <cell r="DX263">
            <v>16.66</v>
          </cell>
          <cell r="DY263">
            <v>1</v>
          </cell>
          <cell r="DZ263">
            <v>0</v>
          </cell>
          <cell r="EA263">
            <v>0</v>
          </cell>
          <cell r="EB263">
            <v>210</v>
          </cell>
          <cell r="EC263">
            <v>1</v>
          </cell>
          <cell r="ED263">
            <v>0</v>
          </cell>
          <cell r="EE263">
            <v>0</v>
          </cell>
          <cell r="EF263">
            <v>0</v>
          </cell>
          <cell r="EH263">
            <v>0</v>
          </cell>
          <cell r="EI263">
            <v>0</v>
          </cell>
        </row>
        <row r="264">
          <cell r="A264" t="str">
            <v>MayThinadhoo</v>
          </cell>
          <cell r="B264" t="str">
            <v>May</v>
          </cell>
          <cell r="C264" t="str">
            <v>V.</v>
          </cell>
          <cell r="D264" t="str">
            <v>Thinadhoo</v>
          </cell>
          <cell r="E264">
            <v>0</v>
          </cell>
          <cell r="F264">
            <v>21839</v>
          </cell>
          <cell r="G264">
            <v>64</v>
          </cell>
          <cell r="H264">
            <v>68</v>
          </cell>
          <cell r="I264">
            <v>0</v>
          </cell>
          <cell r="J264">
            <v>0</v>
          </cell>
          <cell r="K264">
            <v>68</v>
          </cell>
          <cell r="L264">
            <v>64</v>
          </cell>
          <cell r="M264">
            <v>4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68</v>
          </cell>
          <cell r="U264">
            <v>64</v>
          </cell>
          <cell r="V264">
            <v>4</v>
          </cell>
          <cell r="W264">
            <v>6374</v>
          </cell>
          <cell r="X264">
            <v>24780.13</v>
          </cell>
          <cell r="Y264">
            <v>0</v>
          </cell>
          <cell r="Z264">
            <v>24780.13</v>
          </cell>
          <cell r="AA264">
            <v>21839</v>
          </cell>
          <cell r="AB264">
            <v>1320</v>
          </cell>
          <cell r="AC264">
            <v>23159</v>
          </cell>
          <cell r="AD264">
            <v>11</v>
          </cell>
          <cell r="AE264">
            <v>53</v>
          </cell>
          <cell r="AF264">
            <v>6746</v>
          </cell>
          <cell r="AG264">
            <v>18</v>
          </cell>
          <cell r="AH264">
            <v>2587.59</v>
          </cell>
          <cell r="AI264">
            <v>5</v>
          </cell>
          <cell r="AJ264">
            <v>2161.9499999999998</v>
          </cell>
          <cell r="AK264">
            <v>4</v>
          </cell>
          <cell r="AL264">
            <v>1605.34</v>
          </cell>
          <cell r="AM264">
            <v>7</v>
          </cell>
          <cell r="AN264">
            <v>7351.12</v>
          </cell>
          <cell r="AO264">
            <v>12</v>
          </cell>
          <cell r="AP264">
            <v>13706</v>
          </cell>
          <cell r="AQ264">
            <v>28</v>
          </cell>
          <cell r="AR264">
            <v>103.33</v>
          </cell>
          <cell r="AS264">
            <v>0</v>
          </cell>
          <cell r="AT264">
            <v>103.33</v>
          </cell>
          <cell r="AU264">
            <v>0</v>
          </cell>
          <cell r="AV264">
            <v>100.34</v>
          </cell>
          <cell r="AW264">
            <v>1</v>
          </cell>
          <cell r="AX264">
            <v>0</v>
          </cell>
          <cell r="AY264">
            <v>0</v>
          </cell>
          <cell r="AZ264">
            <v>307</v>
          </cell>
          <cell r="BA264">
            <v>1</v>
          </cell>
          <cell r="BB264">
            <v>2349.27</v>
          </cell>
          <cell r="BC264">
            <v>8</v>
          </cell>
          <cell r="BD264">
            <v>1570.33</v>
          </cell>
          <cell r="BE264">
            <v>9</v>
          </cell>
          <cell r="BF264">
            <v>889.34</v>
          </cell>
          <cell r="BG264">
            <v>4</v>
          </cell>
          <cell r="BH264">
            <v>784.06</v>
          </cell>
          <cell r="BI264">
            <v>6</v>
          </cell>
          <cell r="BJ264">
            <v>5593</v>
          </cell>
          <cell r="BK264">
            <v>27</v>
          </cell>
          <cell r="BL264">
            <v>329.99</v>
          </cell>
          <cell r="BM264">
            <v>1</v>
          </cell>
          <cell r="BN264">
            <v>240.33</v>
          </cell>
          <cell r="BO264">
            <v>1</v>
          </cell>
          <cell r="BP264">
            <v>142.66999999999999</v>
          </cell>
          <cell r="BQ264">
            <v>1</v>
          </cell>
          <cell r="BR264">
            <v>144.01</v>
          </cell>
          <cell r="BS264">
            <v>1</v>
          </cell>
          <cell r="BT264">
            <v>857</v>
          </cell>
          <cell r="BU264">
            <v>4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223.66</v>
          </cell>
          <cell r="DA264">
            <v>1</v>
          </cell>
          <cell r="DB264">
            <v>206.66</v>
          </cell>
          <cell r="DC264">
            <v>0</v>
          </cell>
          <cell r="DD264">
            <v>206.66</v>
          </cell>
          <cell r="DE264">
            <v>0</v>
          </cell>
          <cell r="DF264">
            <v>513.02</v>
          </cell>
          <cell r="DG264">
            <v>2</v>
          </cell>
          <cell r="DH264">
            <v>1150</v>
          </cell>
          <cell r="DI264">
            <v>3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103.33</v>
          </cell>
          <cell r="DU264">
            <v>0</v>
          </cell>
          <cell r="DV264">
            <v>103.33</v>
          </cell>
          <cell r="DW264">
            <v>0</v>
          </cell>
          <cell r="DX264">
            <v>19.34</v>
          </cell>
          <cell r="DY264">
            <v>1</v>
          </cell>
          <cell r="DZ264">
            <v>0</v>
          </cell>
          <cell r="EA264">
            <v>0</v>
          </cell>
          <cell r="EB264">
            <v>226</v>
          </cell>
          <cell r="EC264">
            <v>1</v>
          </cell>
          <cell r="ED264">
            <v>0</v>
          </cell>
          <cell r="EE264">
            <v>0</v>
          </cell>
          <cell r="EF264">
            <v>0</v>
          </cell>
          <cell r="EH264">
            <v>0</v>
          </cell>
          <cell r="EI264">
            <v>0</v>
          </cell>
        </row>
        <row r="265">
          <cell r="A265" t="str">
            <v>JunThinadhoo</v>
          </cell>
          <cell r="B265" t="str">
            <v>Jun</v>
          </cell>
          <cell r="C265" t="str">
            <v>V.</v>
          </cell>
          <cell r="D265" t="str">
            <v>Thinadhoo</v>
          </cell>
          <cell r="E265">
            <v>0</v>
          </cell>
          <cell r="F265">
            <v>21839</v>
          </cell>
          <cell r="G265">
            <v>64</v>
          </cell>
          <cell r="H265">
            <v>68</v>
          </cell>
          <cell r="I265">
            <v>0</v>
          </cell>
          <cell r="J265">
            <v>0</v>
          </cell>
          <cell r="K265">
            <v>68</v>
          </cell>
          <cell r="L265">
            <v>64</v>
          </cell>
          <cell r="M265">
            <v>4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68</v>
          </cell>
          <cell r="U265">
            <v>64</v>
          </cell>
          <cell r="V265">
            <v>4</v>
          </cell>
          <cell r="W265">
            <v>7172</v>
          </cell>
          <cell r="X265">
            <v>24780.13</v>
          </cell>
          <cell r="Y265">
            <v>0</v>
          </cell>
          <cell r="Z265">
            <v>24780.13</v>
          </cell>
          <cell r="AA265">
            <v>21839</v>
          </cell>
          <cell r="AB265">
            <v>1320</v>
          </cell>
          <cell r="AC265">
            <v>23159</v>
          </cell>
          <cell r="AD265">
            <v>8</v>
          </cell>
          <cell r="AE265">
            <v>46</v>
          </cell>
          <cell r="AF265">
            <v>6676</v>
          </cell>
          <cell r="AG265">
            <v>36</v>
          </cell>
          <cell r="AH265">
            <v>2587.59</v>
          </cell>
          <cell r="AI265">
            <v>5</v>
          </cell>
          <cell r="AJ265">
            <v>2161.9499999999998</v>
          </cell>
          <cell r="AK265">
            <v>4</v>
          </cell>
          <cell r="AL265">
            <v>1605.34</v>
          </cell>
          <cell r="AM265">
            <v>7</v>
          </cell>
          <cell r="AN265">
            <v>7351.12</v>
          </cell>
          <cell r="AO265">
            <v>12</v>
          </cell>
          <cell r="AP265">
            <v>13706</v>
          </cell>
          <cell r="AQ265">
            <v>28</v>
          </cell>
          <cell r="AR265">
            <v>103.33</v>
          </cell>
          <cell r="AS265">
            <v>0</v>
          </cell>
          <cell r="AT265">
            <v>103.33</v>
          </cell>
          <cell r="AU265">
            <v>0</v>
          </cell>
          <cell r="AV265">
            <v>100.34</v>
          </cell>
          <cell r="AW265">
            <v>1</v>
          </cell>
          <cell r="AX265">
            <v>0</v>
          </cell>
          <cell r="AY265">
            <v>0</v>
          </cell>
          <cell r="AZ265">
            <v>307</v>
          </cell>
          <cell r="BA265">
            <v>1</v>
          </cell>
          <cell r="BB265">
            <v>2349.27</v>
          </cell>
          <cell r="BC265">
            <v>8</v>
          </cell>
          <cell r="BD265">
            <v>1570.33</v>
          </cell>
          <cell r="BE265">
            <v>9</v>
          </cell>
          <cell r="BF265">
            <v>889.34</v>
          </cell>
          <cell r="BG265">
            <v>4</v>
          </cell>
          <cell r="BH265">
            <v>784.06</v>
          </cell>
          <cell r="BI265">
            <v>6</v>
          </cell>
          <cell r="BJ265">
            <v>5593</v>
          </cell>
          <cell r="BK265">
            <v>27</v>
          </cell>
          <cell r="BL265">
            <v>329.99</v>
          </cell>
          <cell r="BM265">
            <v>1</v>
          </cell>
          <cell r="BN265">
            <v>240.33</v>
          </cell>
          <cell r="BO265">
            <v>1</v>
          </cell>
          <cell r="BP265">
            <v>142.66999999999999</v>
          </cell>
          <cell r="BQ265">
            <v>1</v>
          </cell>
          <cell r="BR265">
            <v>144.01</v>
          </cell>
          <cell r="BS265">
            <v>1</v>
          </cell>
          <cell r="BT265">
            <v>857</v>
          </cell>
          <cell r="BU265">
            <v>4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223.66</v>
          </cell>
          <cell r="DA265">
            <v>1</v>
          </cell>
          <cell r="DB265">
            <v>206.66</v>
          </cell>
          <cell r="DC265">
            <v>0</v>
          </cell>
          <cell r="DD265">
            <v>206.66</v>
          </cell>
          <cell r="DE265">
            <v>0</v>
          </cell>
          <cell r="DF265">
            <v>513.02</v>
          </cell>
          <cell r="DG265">
            <v>2</v>
          </cell>
          <cell r="DH265">
            <v>1150</v>
          </cell>
          <cell r="DI265">
            <v>3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103.33</v>
          </cell>
          <cell r="DU265">
            <v>0</v>
          </cell>
          <cell r="DV265">
            <v>103.33</v>
          </cell>
          <cell r="DW265">
            <v>0</v>
          </cell>
          <cell r="DX265">
            <v>19.34</v>
          </cell>
          <cell r="DY265">
            <v>1</v>
          </cell>
          <cell r="DZ265">
            <v>0</v>
          </cell>
          <cell r="EA265">
            <v>0</v>
          </cell>
          <cell r="EB265">
            <v>226</v>
          </cell>
          <cell r="EC265">
            <v>1</v>
          </cell>
          <cell r="ED265">
            <v>0</v>
          </cell>
          <cell r="EE265">
            <v>0</v>
          </cell>
          <cell r="EF265">
            <v>0</v>
          </cell>
          <cell r="EH265">
            <v>0</v>
          </cell>
          <cell r="EI265">
            <v>0</v>
          </cell>
        </row>
        <row r="266">
          <cell r="A266" t="str">
            <v>JulThinadhoo</v>
          </cell>
          <cell r="B266" t="str">
            <v>Jul</v>
          </cell>
          <cell r="C266" t="str">
            <v>V.</v>
          </cell>
          <cell r="D266" t="str">
            <v>Thinadhoo</v>
          </cell>
          <cell r="E266">
            <v>0</v>
          </cell>
          <cell r="F266">
            <v>15256</v>
          </cell>
          <cell r="G266">
            <v>62</v>
          </cell>
          <cell r="H266">
            <v>68</v>
          </cell>
          <cell r="I266">
            <v>1</v>
          </cell>
          <cell r="J266">
            <v>0</v>
          </cell>
          <cell r="K266">
            <v>69</v>
          </cell>
          <cell r="L266">
            <v>62</v>
          </cell>
          <cell r="M266">
            <v>7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69</v>
          </cell>
          <cell r="U266">
            <v>62</v>
          </cell>
          <cell r="V266">
            <v>7</v>
          </cell>
          <cell r="W266">
            <v>8004</v>
          </cell>
          <cell r="X266">
            <v>17736.32</v>
          </cell>
          <cell r="Y266">
            <v>0</v>
          </cell>
          <cell r="Z266">
            <v>17736.32</v>
          </cell>
          <cell r="AA266">
            <v>15256</v>
          </cell>
          <cell r="AB266">
            <v>1320</v>
          </cell>
          <cell r="AC266">
            <v>16576</v>
          </cell>
          <cell r="AD266">
            <v>9</v>
          </cell>
          <cell r="AE266">
            <v>54</v>
          </cell>
          <cell r="AF266">
            <v>10232</v>
          </cell>
          <cell r="AG266">
            <v>61</v>
          </cell>
          <cell r="AH266">
            <v>2238.27</v>
          </cell>
          <cell r="AI266">
            <v>8</v>
          </cell>
          <cell r="AJ266">
            <v>1526.33</v>
          </cell>
          <cell r="AK266">
            <v>9</v>
          </cell>
          <cell r="AL266">
            <v>930.32</v>
          </cell>
          <cell r="AM266">
            <v>2</v>
          </cell>
          <cell r="AN266">
            <v>3189.08</v>
          </cell>
          <cell r="AO266">
            <v>8</v>
          </cell>
          <cell r="AP266">
            <v>7884</v>
          </cell>
          <cell r="AQ266">
            <v>27</v>
          </cell>
          <cell r="AR266">
            <v>103.33</v>
          </cell>
          <cell r="AS266">
            <v>0</v>
          </cell>
          <cell r="AT266">
            <v>103.33</v>
          </cell>
          <cell r="AU266">
            <v>0</v>
          </cell>
          <cell r="AV266">
            <v>101.34</v>
          </cell>
          <cell r="AW266">
            <v>1</v>
          </cell>
          <cell r="AX266">
            <v>0</v>
          </cell>
          <cell r="AY266">
            <v>0</v>
          </cell>
          <cell r="AZ266">
            <v>308</v>
          </cell>
          <cell r="BA266">
            <v>1</v>
          </cell>
          <cell r="BB266">
            <v>2359.9299999999998</v>
          </cell>
          <cell r="BC266">
            <v>6</v>
          </cell>
          <cell r="BD266">
            <v>1479.01</v>
          </cell>
          <cell r="BE266">
            <v>12</v>
          </cell>
          <cell r="BF266">
            <v>675.02</v>
          </cell>
          <cell r="BG266">
            <v>5</v>
          </cell>
          <cell r="BH266">
            <v>697.04</v>
          </cell>
          <cell r="BI266">
            <v>4</v>
          </cell>
          <cell r="BJ266">
            <v>5211</v>
          </cell>
          <cell r="BK266">
            <v>27</v>
          </cell>
          <cell r="BL266">
            <v>220.66</v>
          </cell>
          <cell r="BM266">
            <v>1</v>
          </cell>
          <cell r="BN266">
            <v>143</v>
          </cell>
          <cell r="BO266">
            <v>1</v>
          </cell>
          <cell r="BP266">
            <v>103.33</v>
          </cell>
          <cell r="BQ266">
            <v>0</v>
          </cell>
          <cell r="BR266">
            <v>89.01</v>
          </cell>
          <cell r="BS266">
            <v>1</v>
          </cell>
          <cell r="BT266">
            <v>556</v>
          </cell>
          <cell r="BU266">
            <v>3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223.66</v>
          </cell>
          <cell r="DA266">
            <v>1</v>
          </cell>
          <cell r="DB266">
            <v>206.66</v>
          </cell>
          <cell r="DC266">
            <v>0</v>
          </cell>
          <cell r="DD266">
            <v>206.66</v>
          </cell>
          <cell r="DE266">
            <v>0</v>
          </cell>
          <cell r="DF266">
            <v>513.02</v>
          </cell>
          <cell r="DG266">
            <v>2</v>
          </cell>
          <cell r="DH266">
            <v>1150</v>
          </cell>
          <cell r="DI266">
            <v>3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103.33</v>
          </cell>
          <cell r="DU266">
            <v>0</v>
          </cell>
          <cell r="DV266">
            <v>43.67</v>
          </cell>
          <cell r="DW266">
            <v>1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147</v>
          </cell>
          <cell r="EC266">
            <v>1</v>
          </cell>
          <cell r="ED266">
            <v>0</v>
          </cell>
          <cell r="EE266">
            <v>0</v>
          </cell>
          <cell r="EF266">
            <v>0</v>
          </cell>
          <cell r="EH266">
            <v>0</v>
          </cell>
          <cell r="EI266">
            <v>0</v>
          </cell>
        </row>
        <row r="267">
          <cell r="A267" t="str">
            <v>AugThinadhoo</v>
          </cell>
          <cell r="B267" t="str">
            <v>Aug</v>
          </cell>
          <cell r="C267" t="str">
            <v>V.</v>
          </cell>
          <cell r="D267" t="str">
            <v>Thinadhoo</v>
          </cell>
          <cell r="E267">
            <v>0</v>
          </cell>
          <cell r="F267">
            <v>22253</v>
          </cell>
          <cell r="G267">
            <v>65</v>
          </cell>
          <cell r="H267">
            <v>69</v>
          </cell>
          <cell r="I267">
            <v>1</v>
          </cell>
          <cell r="J267">
            <v>0</v>
          </cell>
          <cell r="K267">
            <v>70</v>
          </cell>
          <cell r="L267">
            <v>65</v>
          </cell>
          <cell r="M267">
            <v>5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70</v>
          </cell>
          <cell r="U267">
            <v>65</v>
          </cell>
          <cell r="V267">
            <v>5</v>
          </cell>
          <cell r="W267">
            <v>10017</v>
          </cell>
          <cell r="X267">
            <v>25536.620000000003</v>
          </cell>
          <cell r="Y267">
            <v>0</v>
          </cell>
          <cell r="Z267">
            <v>25536.620000000003</v>
          </cell>
          <cell r="AA267">
            <v>22253</v>
          </cell>
          <cell r="AB267">
            <v>1613</v>
          </cell>
          <cell r="AC267">
            <v>23866</v>
          </cell>
          <cell r="AD267">
            <v>19</v>
          </cell>
          <cell r="AE267">
            <v>58</v>
          </cell>
          <cell r="AF267">
            <v>12400</v>
          </cell>
          <cell r="AG267">
            <v>80</v>
          </cell>
          <cell r="AH267">
            <v>2374.6</v>
          </cell>
          <cell r="AI267">
            <v>9</v>
          </cell>
          <cell r="AJ267">
            <v>1912.62</v>
          </cell>
          <cell r="AK267">
            <v>3</v>
          </cell>
          <cell r="AL267">
            <v>1667.62</v>
          </cell>
          <cell r="AM267">
            <v>1</v>
          </cell>
          <cell r="AN267">
            <v>8829.16</v>
          </cell>
          <cell r="AO267">
            <v>16</v>
          </cell>
          <cell r="AP267">
            <v>14784</v>
          </cell>
          <cell r="AQ267">
            <v>29</v>
          </cell>
          <cell r="AR267">
            <v>103.33</v>
          </cell>
          <cell r="AS267">
            <v>0</v>
          </cell>
          <cell r="AT267">
            <v>91.67</v>
          </cell>
          <cell r="AU267">
            <v>1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195</v>
          </cell>
          <cell r="BA267">
            <v>1</v>
          </cell>
          <cell r="BB267">
            <v>2337.9299999999998</v>
          </cell>
          <cell r="BC267">
            <v>6</v>
          </cell>
          <cell r="BD267">
            <v>1426.35</v>
          </cell>
          <cell r="BE267">
            <v>13</v>
          </cell>
          <cell r="BF267">
            <v>585.69000000000005</v>
          </cell>
          <cell r="BG267">
            <v>5</v>
          </cell>
          <cell r="BH267">
            <v>885.03</v>
          </cell>
          <cell r="BI267">
            <v>3</v>
          </cell>
          <cell r="BJ267">
            <v>5235</v>
          </cell>
          <cell r="BK267">
            <v>27</v>
          </cell>
          <cell r="BL267">
            <v>327.99</v>
          </cell>
          <cell r="BM267">
            <v>1</v>
          </cell>
          <cell r="BN267">
            <v>251.67</v>
          </cell>
          <cell r="BO267">
            <v>2</v>
          </cell>
          <cell r="BP267">
            <v>103.33</v>
          </cell>
          <cell r="BQ267">
            <v>0</v>
          </cell>
          <cell r="BR267">
            <v>40.01</v>
          </cell>
          <cell r="BS267">
            <v>1</v>
          </cell>
          <cell r="BT267">
            <v>723</v>
          </cell>
          <cell r="BU267">
            <v>4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223.66</v>
          </cell>
          <cell r="DA267">
            <v>1</v>
          </cell>
          <cell r="DB267">
            <v>206.66</v>
          </cell>
          <cell r="DC267">
            <v>0</v>
          </cell>
          <cell r="DD267">
            <v>206.66</v>
          </cell>
          <cell r="DE267">
            <v>0</v>
          </cell>
          <cell r="DF267">
            <v>513.02</v>
          </cell>
          <cell r="DG267">
            <v>2</v>
          </cell>
          <cell r="DH267">
            <v>1150</v>
          </cell>
          <cell r="DI267">
            <v>3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103.33</v>
          </cell>
          <cell r="DU267">
            <v>0</v>
          </cell>
          <cell r="DV267">
            <v>62.67</v>
          </cell>
          <cell r="DW267">
            <v>1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166</v>
          </cell>
          <cell r="EC267">
            <v>1</v>
          </cell>
          <cell r="ED267">
            <v>0</v>
          </cell>
          <cell r="EE267">
            <v>0</v>
          </cell>
          <cell r="EF267">
            <v>0</v>
          </cell>
          <cell r="EH267">
            <v>0</v>
          </cell>
          <cell r="EI267">
            <v>0</v>
          </cell>
        </row>
        <row r="268">
          <cell r="A268" t="str">
            <v>SepThinadhoo</v>
          </cell>
          <cell r="B268" t="str">
            <v>Sep</v>
          </cell>
          <cell r="C268" t="str">
            <v>V.</v>
          </cell>
          <cell r="D268" t="str">
            <v>Thinadhoo</v>
          </cell>
          <cell r="E268">
            <v>0</v>
          </cell>
          <cell r="F268">
            <v>23417.999999999996</v>
          </cell>
          <cell r="G268">
            <v>66</v>
          </cell>
          <cell r="H268">
            <v>70</v>
          </cell>
          <cell r="I268">
            <v>0</v>
          </cell>
          <cell r="J268">
            <v>0</v>
          </cell>
          <cell r="K268">
            <v>70</v>
          </cell>
          <cell r="L268">
            <v>66</v>
          </cell>
          <cell r="M268">
            <v>4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70</v>
          </cell>
          <cell r="U268">
            <v>66</v>
          </cell>
          <cell r="V268">
            <v>4</v>
          </cell>
          <cell r="W268">
            <v>8615</v>
          </cell>
          <cell r="X268">
            <v>26668.68</v>
          </cell>
          <cell r="Y268">
            <v>0</v>
          </cell>
          <cell r="Z268">
            <v>26668.68</v>
          </cell>
          <cell r="AA268">
            <v>23418</v>
          </cell>
          <cell r="AB268">
            <v>1506</v>
          </cell>
          <cell r="AC268">
            <v>24924</v>
          </cell>
          <cell r="AD268">
            <v>20</v>
          </cell>
          <cell r="AE268">
            <v>25</v>
          </cell>
          <cell r="AF268">
            <v>12000</v>
          </cell>
          <cell r="AG268">
            <v>80</v>
          </cell>
          <cell r="AH268">
            <v>2651.59</v>
          </cell>
          <cell r="AI268">
            <v>7</v>
          </cell>
          <cell r="AJ268">
            <v>2056.9699999999998</v>
          </cell>
          <cell r="AK268">
            <v>7</v>
          </cell>
          <cell r="AL268">
            <v>1412.31</v>
          </cell>
          <cell r="AM268">
            <v>3</v>
          </cell>
          <cell r="AN268">
            <v>8784.1299999999992</v>
          </cell>
          <cell r="AO268">
            <v>13</v>
          </cell>
          <cell r="AP268">
            <v>14904.999999999998</v>
          </cell>
          <cell r="AQ268">
            <v>30</v>
          </cell>
          <cell r="AR268">
            <v>93.33</v>
          </cell>
          <cell r="AS268">
            <v>0</v>
          </cell>
          <cell r="AT268">
            <v>93.33</v>
          </cell>
          <cell r="AU268">
            <v>0</v>
          </cell>
          <cell r="AV268">
            <v>93.33</v>
          </cell>
          <cell r="AW268">
            <v>0</v>
          </cell>
          <cell r="AX268">
            <v>374.01</v>
          </cell>
          <cell r="AY268">
            <v>1</v>
          </cell>
          <cell r="AZ268">
            <v>654</v>
          </cell>
          <cell r="BA268">
            <v>1</v>
          </cell>
          <cell r="BB268">
            <v>2408.9299999999998</v>
          </cell>
          <cell r="BC268">
            <v>6</v>
          </cell>
          <cell r="BD268">
            <v>1571.67</v>
          </cell>
          <cell r="BE268">
            <v>11</v>
          </cell>
          <cell r="BF268">
            <v>769.36</v>
          </cell>
          <cell r="BG268">
            <v>6</v>
          </cell>
          <cell r="BH268">
            <v>971.04</v>
          </cell>
          <cell r="BI268">
            <v>4</v>
          </cell>
          <cell r="BJ268">
            <v>5720.9999999999991</v>
          </cell>
          <cell r="BK268">
            <v>27</v>
          </cell>
          <cell r="BL268">
            <v>306.99</v>
          </cell>
          <cell r="BM268">
            <v>1</v>
          </cell>
          <cell r="BN268">
            <v>240.33</v>
          </cell>
          <cell r="BO268">
            <v>1</v>
          </cell>
          <cell r="BP268">
            <v>132.66999999999999</v>
          </cell>
          <cell r="BQ268">
            <v>1</v>
          </cell>
          <cell r="BR268">
            <v>63.01</v>
          </cell>
          <cell r="BS268">
            <v>1</v>
          </cell>
          <cell r="BT268">
            <v>743</v>
          </cell>
          <cell r="BU268">
            <v>4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233.66</v>
          </cell>
          <cell r="DA268">
            <v>1</v>
          </cell>
          <cell r="DB268">
            <v>206.66</v>
          </cell>
          <cell r="DC268">
            <v>0</v>
          </cell>
          <cell r="DD268">
            <v>206.66</v>
          </cell>
          <cell r="DE268">
            <v>0</v>
          </cell>
          <cell r="DF268">
            <v>513.02</v>
          </cell>
          <cell r="DG268">
            <v>2</v>
          </cell>
          <cell r="DH268">
            <v>1160</v>
          </cell>
          <cell r="DI268">
            <v>3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103.33</v>
          </cell>
          <cell r="DU268">
            <v>0</v>
          </cell>
          <cell r="DV268">
            <v>103.33</v>
          </cell>
          <cell r="DW268">
            <v>0</v>
          </cell>
          <cell r="DX268">
            <v>28.34</v>
          </cell>
          <cell r="DY268">
            <v>1</v>
          </cell>
          <cell r="DZ268">
            <v>0</v>
          </cell>
          <cell r="EA268">
            <v>0</v>
          </cell>
          <cell r="EB268">
            <v>235</v>
          </cell>
          <cell r="EC268">
            <v>1</v>
          </cell>
          <cell r="ED268">
            <v>0</v>
          </cell>
          <cell r="EE268">
            <v>0</v>
          </cell>
          <cell r="EF268">
            <v>0</v>
          </cell>
          <cell r="EH268">
            <v>0</v>
          </cell>
          <cell r="EI268">
            <v>0</v>
          </cell>
        </row>
        <row r="269">
          <cell r="A269" t="str">
            <v>OctThinadhoo</v>
          </cell>
          <cell r="B269" t="str">
            <v>Oct</v>
          </cell>
          <cell r="C269" t="str">
            <v>V.</v>
          </cell>
          <cell r="D269" t="str">
            <v>Thinadhoo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H269">
            <v>0</v>
          </cell>
          <cell r="EI269">
            <v>0</v>
          </cell>
        </row>
        <row r="270">
          <cell r="A270" t="str">
            <v>NovThinadhoo</v>
          </cell>
          <cell r="B270" t="str">
            <v>Nov</v>
          </cell>
          <cell r="C270" t="str">
            <v>V.</v>
          </cell>
          <cell r="D270" t="str">
            <v>Thinadhoo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H270">
            <v>0</v>
          </cell>
          <cell r="EI270">
            <v>0</v>
          </cell>
        </row>
        <row r="271">
          <cell r="A271" t="str">
            <v>DecThinadhoo</v>
          </cell>
          <cell r="B271" t="str">
            <v>Dec</v>
          </cell>
          <cell r="C271" t="str">
            <v>V.</v>
          </cell>
          <cell r="D271" t="str">
            <v>Thinadhoo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H271">
            <v>0</v>
          </cell>
          <cell r="EI271">
            <v>0</v>
          </cell>
        </row>
        <row r="272">
          <cell r="A272" t="str">
            <v>JanThulusdhoo</v>
          </cell>
          <cell r="B272" t="str">
            <v>Jan</v>
          </cell>
          <cell r="C272" t="str">
            <v>K.</v>
          </cell>
          <cell r="D272" t="str">
            <v>Thulusdhoo</v>
          </cell>
          <cell r="E272">
            <v>0</v>
          </cell>
          <cell r="F272">
            <v>132484</v>
          </cell>
          <cell r="G272">
            <v>367</v>
          </cell>
          <cell r="H272">
            <v>363</v>
          </cell>
          <cell r="I272">
            <v>3</v>
          </cell>
          <cell r="J272">
            <v>1</v>
          </cell>
          <cell r="K272">
            <v>365</v>
          </cell>
          <cell r="L272">
            <v>366</v>
          </cell>
          <cell r="M272">
            <v>0</v>
          </cell>
          <cell r="N272">
            <v>1</v>
          </cell>
          <cell r="O272">
            <v>0</v>
          </cell>
          <cell r="P272">
            <v>0</v>
          </cell>
          <cell r="Q272">
            <v>1</v>
          </cell>
          <cell r="R272">
            <v>1</v>
          </cell>
          <cell r="S272">
            <v>0</v>
          </cell>
          <cell r="T272">
            <v>366</v>
          </cell>
          <cell r="U272">
            <v>367</v>
          </cell>
          <cell r="V272">
            <v>0</v>
          </cell>
          <cell r="W272">
            <v>141243</v>
          </cell>
          <cell r="X272">
            <v>141243</v>
          </cell>
          <cell r="Y272">
            <v>5599</v>
          </cell>
          <cell r="Z272">
            <v>146842</v>
          </cell>
          <cell r="AA272">
            <v>132484</v>
          </cell>
          <cell r="AB272">
            <v>3933</v>
          </cell>
          <cell r="AC272">
            <v>136417</v>
          </cell>
          <cell r="AD272">
            <v>173</v>
          </cell>
          <cell r="AE272">
            <v>294</v>
          </cell>
          <cell r="AF272">
            <v>42911</v>
          </cell>
          <cell r="AG272">
            <v>173</v>
          </cell>
          <cell r="AH272">
            <v>4022.55</v>
          </cell>
          <cell r="AI272">
            <v>24</v>
          </cell>
          <cell r="AJ272">
            <v>3182.93</v>
          </cell>
          <cell r="AK272">
            <v>7</v>
          </cell>
          <cell r="AL272">
            <v>2651.29</v>
          </cell>
          <cell r="AM272">
            <v>5</v>
          </cell>
          <cell r="AN272">
            <v>9072.23</v>
          </cell>
          <cell r="AO272">
            <v>23</v>
          </cell>
          <cell r="AP272">
            <v>18929</v>
          </cell>
          <cell r="AQ272">
            <v>59</v>
          </cell>
          <cell r="AR272">
            <v>985.64</v>
          </cell>
          <cell r="AS272">
            <v>13</v>
          </cell>
          <cell r="AT272">
            <v>755</v>
          </cell>
          <cell r="AU272">
            <v>4</v>
          </cell>
          <cell r="AV272">
            <v>388.33</v>
          </cell>
          <cell r="AW272">
            <v>1</v>
          </cell>
          <cell r="AX272">
            <v>8669.0300000000007</v>
          </cell>
          <cell r="AY272">
            <v>3</v>
          </cell>
          <cell r="AZ272">
            <v>10798</v>
          </cell>
          <cell r="BA272">
            <v>21</v>
          </cell>
          <cell r="BB272">
            <v>23200.97</v>
          </cell>
          <cell r="BC272">
            <v>50</v>
          </cell>
          <cell r="BD272">
            <v>19812.23</v>
          </cell>
          <cell r="BE272">
            <v>39</v>
          </cell>
          <cell r="BF272">
            <v>14490.77</v>
          </cell>
          <cell r="BG272">
            <v>67</v>
          </cell>
          <cell r="BH272">
            <v>27552.03</v>
          </cell>
          <cell r="BI272">
            <v>103</v>
          </cell>
          <cell r="BJ272">
            <v>85056</v>
          </cell>
          <cell r="BK272">
            <v>259</v>
          </cell>
          <cell r="BL272">
            <v>1379.96</v>
          </cell>
          <cell r="BM272">
            <v>8</v>
          </cell>
          <cell r="BN272">
            <v>1239.96</v>
          </cell>
          <cell r="BO272" t="str">
            <v xml:space="preserve"> -   </v>
          </cell>
          <cell r="BP272">
            <v>1168.97</v>
          </cell>
          <cell r="BQ272">
            <v>1</v>
          </cell>
          <cell r="BR272">
            <v>5330.11</v>
          </cell>
          <cell r="BS272">
            <v>11</v>
          </cell>
          <cell r="BT272">
            <v>9119</v>
          </cell>
          <cell r="BU272">
            <v>20</v>
          </cell>
          <cell r="BV272">
            <v>206.66</v>
          </cell>
          <cell r="BW272" t="str">
            <v xml:space="preserve"> -   </v>
          </cell>
          <cell r="BX272">
            <v>206.66</v>
          </cell>
          <cell r="BY272" t="str">
            <v xml:space="preserve"> -   </v>
          </cell>
          <cell r="BZ272">
            <v>206.66</v>
          </cell>
          <cell r="CA272" t="str">
            <v xml:space="preserve"> -   </v>
          </cell>
          <cell r="CB272">
            <v>2657.02</v>
          </cell>
          <cell r="CC272">
            <v>2</v>
          </cell>
          <cell r="CD272">
            <v>3277</v>
          </cell>
          <cell r="CE272">
            <v>2</v>
          </cell>
          <cell r="CF272">
            <v>206.66</v>
          </cell>
          <cell r="CG272" t="str">
            <v xml:space="preserve"> -   </v>
          </cell>
          <cell r="CH272">
            <v>206.66</v>
          </cell>
          <cell r="CI272" t="str">
            <v xml:space="preserve"> -   </v>
          </cell>
          <cell r="CJ272">
            <v>206.66</v>
          </cell>
          <cell r="CK272" t="str">
            <v xml:space="preserve"> -   </v>
          </cell>
          <cell r="CL272">
            <v>1330.02</v>
          </cell>
          <cell r="CM272">
            <v>2</v>
          </cell>
          <cell r="CN272">
            <v>1950</v>
          </cell>
          <cell r="CO272">
            <v>2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 t="str">
            <v xml:space="preserve"> -   </v>
          </cell>
          <cell r="CY272" t="str">
            <v xml:space="preserve"> -   </v>
          </cell>
          <cell r="CZ272">
            <v>230.66</v>
          </cell>
          <cell r="DA272">
            <v>1</v>
          </cell>
          <cell r="DB272">
            <v>206.66</v>
          </cell>
          <cell r="DC272" t="str">
            <v xml:space="preserve"> -   </v>
          </cell>
          <cell r="DD272">
            <v>206.66</v>
          </cell>
          <cell r="DE272" t="str">
            <v xml:space="preserve"> -   </v>
          </cell>
          <cell r="DF272">
            <v>1158.02</v>
          </cell>
          <cell r="DG272">
            <v>2</v>
          </cell>
          <cell r="DH272">
            <v>1802</v>
          </cell>
          <cell r="DI272">
            <v>3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 t="str">
            <v xml:space="preserve"> -   </v>
          </cell>
          <cell r="DS272" t="str">
            <v xml:space="preserve"> -   </v>
          </cell>
          <cell r="DT272">
            <v>103.33</v>
          </cell>
          <cell r="DU272" t="str">
            <v xml:space="preserve"> -   </v>
          </cell>
          <cell r="DV272">
            <v>103.33</v>
          </cell>
          <cell r="DW272" t="str">
            <v xml:space="preserve"> -   </v>
          </cell>
          <cell r="DX272">
            <v>103.33</v>
          </cell>
          <cell r="DY272" t="str">
            <v xml:space="preserve"> -   </v>
          </cell>
          <cell r="DZ272">
            <v>1243.01</v>
          </cell>
          <cell r="EA272">
            <v>1</v>
          </cell>
          <cell r="EB272">
            <v>1553</v>
          </cell>
          <cell r="EC272">
            <v>1</v>
          </cell>
          <cell r="ED272">
            <v>0</v>
          </cell>
          <cell r="EE272">
            <v>0</v>
          </cell>
          <cell r="EF272">
            <v>0</v>
          </cell>
          <cell r="EH272">
            <v>0</v>
          </cell>
          <cell r="EI272">
            <v>0</v>
          </cell>
        </row>
        <row r="273">
          <cell r="A273" t="str">
            <v>FebThulusdhoo</v>
          </cell>
          <cell r="B273" t="str">
            <v>Feb</v>
          </cell>
          <cell r="C273" t="str">
            <v>K.</v>
          </cell>
          <cell r="D273" t="str">
            <v>Thulusdhoo</v>
          </cell>
          <cell r="E273">
            <v>0</v>
          </cell>
          <cell r="F273">
            <v>123639</v>
          </cell>
          <cell r="G273">
            <v>368</v>
          </cell>
          <cell r="H273">
            <v>365</v>
          </cell>
          <cell r="I273">
            <v>2</v>
          </cell>
          <cell r="J273">
            <v>0</v>
          </cell>
          <cell r="K273">
            <v>367</v>
          </cell>
          <cell r="L273">
            <v>367</v>
          </cell>
          <cell r="M273">
            <v>0</v>
          </cell>
          <cell r="N273">
            <v>1</v>
          </cell>
          <cell r="O273">
            <v>0</v>
          </cell>
          <cell r="P273">
            <v>0</v>
          </cell>
          <cell r="Q273">
            <v>1</v>
          </cell>
          <cell r="R273">
            <v>1</v>
          </cell>
          <cell r="S273">
            <v>0</v>
          </cell>
          <cell r="T273">
            <v>368</v>
          </cell>
          <cell r="U273">
            <v>368</v>
          </cell>
          <cell r="V273">
            <v>0</v>
          </cell>
          <cell r="W273">
            <v>132323</v>
          </cell>
          <cell r="X273">
            <v>132323</v>
          </cell>
          <cell r="Y273">
            <v>6428</v>
          </cell>
          <cell r="Z273">
            <v>138751</v>
          </cell>
          <cell r="AA273">
            <v>123639</v>
          </cell>
          <cell r="AB273">
            <v>3987</v>
          </cell>
          <cell r="AC273">
            <v>127626</v>
          </cell>
          <cell r="AD273">
            <v>134</v>
          </cell>
          <cell r="AE273">
            <v>311</v>
          </cell>
          <cell r="AF273">
            <v>40043</v>
          </cell>
          <cell r="AG273">
            <v>156</v>
          </cell>
          <cell r="AH273">
            <v>3663.55</v>
          </cell>
          <cell r="AI273">
            <v>26</v>
          </cell>
          <cell r="AJ273">
            <v>2962.59</v>
          </cell>
          <cell r="AK273">
            <v>6</v>
          </cell>
          <cell r="AL273">
            <v>2475.62</v>
          </cell>
          <cell r="AM273">
            <v>5</v>
          </cell>
          <cell r="AN273">
            <v>9213.24</v>
          </cell>
          <cell r="AO273">
            <v>24</v>
          </cell>
          <cell r="AP273">
            <v>18315</v>
          </cell>
          <cell r="AQ273">
            <v>61</v>
          </cell>
          <cell r="AR273">
            <v>925.64</v>
          </cell>
          <cell r="AS273">
            <v>11</v>
          </cell>
          <cell r="AT273">
            <v>665.66</v>
          </cell>
          <cell r="AU273">
            <v>3</v>
          </cell>
          <cell r="AV273">
            <v>359.67</v>
          </cell>
          <cell r="AW273">
            <v>2</v>
          </cell>
          <cell r="AX273">
            <v>7827.03</v>
          </cell>
          <cell r="AY273">
            <v>3</v>
          </cell>
          <cell r="AZ273">
            <v>9778</v>
          </cell>
          <cell r="BA273">
            <v>19</v>
          </cell>
          <cell r="BB273">
            <v>20662.97</v>
          </cell>
          <cell r="BC273">
            <v>50</v>
          </cell>
          <cell r="BD273">
            <v>17814.91</v>
          </cell>
          <cell r="BE273">
            <v>41</v>
          </cell>
          <cell r="BF273">
            <v>12998.05</v>
          </cell>
          <cell r="BG273">
            <v>61</v>
          </cell>
          <cell r="BH273">
            <v>25578.07</v>
          </cell>
          <cell r="BI273">
            <v>107</v>
          </cell>
          <cell r="BJ273">
            <v>77054</v>
          </cell>
          <cell r="BK273">
            <v>259</v>
          </cell>
          <cell r="BL273">
            <v>1431.96</v>
          </cell>
          <cell r="BM273">
            <v>7</v>
          </cell>
          <cell r="BN273">
            <v>1262.3</v>
          </cell>
          <cell r="BO273">
            <v>1</v>
          </cell>
          <cell r="BP273">
            <v>1050.6600000000001</v>
          </cell>
          <cell r="BQ273">
            <v>3</v>
          </cell>
          <cell r="BR273">
            <v>5989.08</v>
          </cell>
          <cell r="BS273">
            <v>10</v>
          </cell>
          <cell r="BT273">
            <v>9734</v>
          </cell>
          <cell r="BU273">
            <v>21</v>
          </cell>
          <cell r="BV273">
            <v>186.66</v>
          </cell>
          <cell r="BW273" t="str">
            <v xml:space="preserve"> -   </v>
          </cell>
          <cell r="BX273">
            <v>186.66</v>
          </cell>
          <cell r="BY273" t="str">
            <v xml:space="preserve"> -   </v>
          </cell>
          <cell r="BZ273">
            <v>186.66</v>
          </cell>
          <cell r="CA273" t="str">
            <v xml:space="preserve"> -   </v>
          </cell>
          <cell r="CB273">
            <v>3108.02</v>
          </cell>
          <cell r="CC273">
            <v>2</v>
          </cell>
          <cell r="CD273">
            <v>3668</v>
          </cell>
          <cell r="CE273">
            <v>2</v>
          </cell>
          <cell r="CF273">
            <v>186.66</v>
          </cell>
          <cell r="CG273" t="str">
            <v xml:space="preserve"> -   </v>
          </cell>
          <cell r="CH273">
            <v>186.66</v>
          </cell>
          <cell r="CI273" t="str">
            <v xml:space="preserve"> -   </v>
          </cell>
          <cell r="CJ273">
            <v>186.66</v>
          </cell>
          <cell r="CK273" t="str">
            <v xml:space="preserve"> -   </v>
          </cell>
          <cell r="CL273">
            <v>1613.02</v>
          </cell>
          <cell r="CM273">
            <v>2</v>
          </cell>
          <cell r="CN273">
            <v>2173</v>
          </cell>
          <cell r="CO273">
            <v>2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 t="str">
            <v xml:space="preserve"> -   </v>
          </cell>
          <cell r="CY273" t="str">
            <v xml:space="preserve"> -   </v>
          </cell>
          <cell r="CZ273">
            <v>186.66</v>
          </cell>
          <cell r="DA273">
            <v>1</v>
          </cell>
          <cell r="DB273">
            <v>186.66</v>
          </cell>
          <cell r="DC273" t="str">
            <v xml:space="preserve"> -   </v>
          </cell>
          <cell r="DD273">
            <v>186.66</v>
          </cell>
          <cell r="DE273" t="str">
            <v xml:space="preserve"> -   </v>
          </cell>
          <cell r="DF273">
            <v>1045.02</v>
          </cell>
          <cell r="DG273">
            <v>2</v>
          </cell>
          <cell r="DH273">
            <v>1605</v>
          </cell>
          <cell r="DI273">
            <v>3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 t="str">
            <v xml:space="preserve"> -   </v>
          </cell>
          <cell r="DS273" t="str">
            <v xml:space="preserve"> -   </v>
          </cell>
          <cell r="DT273">
            <v>93.33</v>
          </cell>
          <cell r="DU273" t="str">
            <v xml:space="preserve"> -   </v>
          </cell>
          <cell r="DV273">
            <v>93.33</v>
          </cell>
          <cell r="DW273" t="str">
            <v xml:space="preserve"> -   </v>
          </cell>
          <cell r="DX273">
            <v>93.33</v>
          </cell>
          <cell r="DY273" t="str">
            <v xml:space="preserve"> -   </v>
          </cell>
          <cell r="DZ273">
            <v>1032.01</v>
          </cell>
          <cell r="EA273">
            <v>1</v>
          </cell>
          <cell r="EB273">
            <v>1312</v>
          </cell>
          <cell r="EC273">
            <v>1</v>
          </cell>
          <cell r="ED273">
            <v>0</v>
          </cell>
          <cell r="EE273">
            <v>0</v>
          </cell>
          <cell r="EF273">
            <v>0</v>
          </cell>
          <cell r="EH273">
            <v>0</v>
          </cell>
          <cell r="EI273">
            <v>0</v>
          </cell>
        </row>
        <row r="274">
          <cell r="A274" t="str">
            <v>MarThulusdhoo</v>
          </cell>
          <cell r="B274" t="str">
            <v>Mar</v>
          </cell>
          <cell r="C274" t="str">
            <v>K.</v>
          </cell>
          <cell r="D274" t="str">
            <v>Thulusdhoo</v>
          </cell>
          <cell r="E274">
            <v>0</v>
          </cell>
          <cell r="F274">
            <v>153293</v>
          </cell>
          <cell r="G274">
            <v>370</v>
          </cell>
          <cell r="H274">
            <v>367</v>
          </cell>
          <cell r="I274">
            <v>5</v>
          </cell>
          <cell r="J274">
            <v>0</v>
          </cell>
          <cell r="K274">
            <v>372</v>
          </cell>
          <cell r="L274">
            <v>369</v>
          </cell>
          <cell r="M274">
            <v>3</v>
          </cell>
          <cell r="N274">
            <v>1</v>
          </cell>
          <cell r="O274">
            <v>0</v>
          </cell>
          <cell r="P274">
            <v>0</v>
          </cell>
          <cell r="Q274">
            <v>1</v>
          </cell>
          <cell r="R274">
            <v>1</v>
          </cell>
          <cell r="S274">
            <v>0</v>
          </cell>
          <cell r="T274">
            <v>373</v>
          </cell>
          <cell r="U274">
            <v>370</v>
          </cell>
          <cell r="V274">
            <v>3</v>
          </cell>
          <cell r="W274">
            <v>163176</v>
          </cell>
          <cell r="X274">
            <v>163176</v>
          </cell>
          <cell r="Y274">
            <v>12028</v>
          </cell>
          <cell r="Z274">
            <v>175204</v>
          </cell>
          <cell r="AA274">
            <v>153293</v>
          </cell>
          <cell r="AB274">
            <v>4215</v>
          </cell>
          <cell r="AC274">
            <v>157508</v>
          </cell>
          <cell r="AD274">
            <v>140</v>
          </cell>
          <cell r="AE274">
            <v>374</v>
          </cell>
          <cell r="AF274">
            <v>48201</v>
          </cell>
          <cell r="AG274">
            <v>124</v>
          </cell>
          <cell r="AH274">
            <v>4458.54</v>
          </cell>
          <cell r="AI274">
            <v>19</v>
          </cell>
          <cell r="AJ274">
            <v>3718.58</v>
          </cell>
          <cell r="AK274">
            <v>6</v>
          </cell>
          <cell r="AL274">
            <v>3246.61</v>
          </cell>
          <cell r="AM274">
            <v>5</v>
          </cell>
          <cell r="AN274">
            <v>12368.27</v>
          </cell>
          <cell r="AO274">
            <v>29</v>
          </cell>
          <cell r="AP274">
            <v>23792</v>
          </cell>
          <cell r="AQ274">
            <v>59</v>
          </cell>
          <cell r="AR274">
            <v>1004.64</v>
          </cell>
          <cell r="AS274">
            <v>12</v>
          </cell>
          <cell r="AT274">
            <v>738.98</v>
          </cell>
          <cell r="AU274">
            <v>1</v>
          </cell>
          <cell r="AV274">
            <v>406.35</v>
          </cell>
          <cell r="AW274">
            <v>4</v>
          </cell>
          <cell r="AX274">
            <v>9291.0300000000007</v>
          </cell>
          <cell r="AY274">
            <v>3</v>
          </cell>
          <cell r="AZ274">
            <v>11441</v>
          </cell>
          <cell r="BA274">
            <v>20</v>
          </cell>
          <cell r="BB274">
            <v>23135.63</v>
          </cell>
          <cell r="BC274">
            <v>50</v>
          </cell>
          <cell r="BD274">
            <v>20416.169999999998</v>
          </cell>
          <cell r="BE274">
            <v>31</v>
          </cell>
          <cell r="BF274">
            <v>15637.95</v>
          </cell>
          <cell r="BG274">
            <v>55</v>
          </cell>
          <cell r="BH274">
            <v>37818.25</v>
          </cell>
          <cell r="BI274">
            <v>125</v>
          </cell>
          <cell r="BJ274">
            <v>97008</v>
          </cell>
          <cell r="BK274">
            <v>261</v>
          </cell>
          <cell r="BL274">
            <v>1484.29</v>
          </cell>
          <cell r="BM274">
            <v>8</v>
          </cell>
          <cell r="BN274">
            <v>1245.6300000000001</v>
          </cell>
          <cell r="BO274">
            <v>1</v>
          </cell>
          <cell r="BP274">
            <v>1131.98</v>
          </cell>
          <cell r="BQ274">
            <v>2</v>
          </cell>
          <cell r="BR274">
            <v>7352.1</v>
          </cell>
          <cell r="BS274">
            <v>10</v>
          </cell>
          <cell r="BT274">
            <v>11214</v>
          </cell>
          <cell r="BU274">
            <v>21</v>
          </cell>
          <cell r="BV274">
            <v>206.66</v>
          </cell>
          <cell r="BW274" t="str">
            <v xml:space="preserve"> -   </v>
          </cell>
          <cell r="BX274">
            <v>206.66</v>
          </cell>
          <cell r="BY274" t="str">
            <v xml:space="preserve"> -   </v>
          </cell>
          <cell r="BZ274">
            <v>206.66</v>
          </cell>
          <cell r="CA274" t="str">
            <v xml:space="preserve"> -   </v>
          </cell>
          <cell r="CB274">
            <v>3074.02</v>
          </cell>
          <cell r="CC274">
            <v>2</v>
          </cell>
          <cell r="CD274">
            <v>3694</v>
          </cell>
          <cell r="CE274">
            <v>2</v>
          </cell>
          <cell r="CF274">
            <v>206.66</v>
          </cell>
          <cell r="CG274" t="str">
            <v xml:space="preserve"> -   </v>
          </cell>
          <cell r="CH274">
            <v>206.66</v>
          </cell>
          <cell r="CI274" t="str">
            <v xml:space="preserve"> -   </v>
          </cell>
          <cell r="CJ274">
            <v>206.66</v>
          </cell>
          <cell r="CK274" t="str">
            <v xml:space="preserve"> -   </v>
          </cell>
          <cell r="CL274">
            <v>1841.02</v>
          </cell>
          <cell r="CM274">
            <v>2</v>
          </cell>
          <cell r="CN274">
            <v>2461</v>
          </cell>
          <cell r="CO274">
            <v>2</v>
          </cell>
          <cell r="CP274">
            <v>18</v>
          </cell>
          <cell r="CQ274">
            <v>1</v>
          </cell>
          <cell r="CR274" t="str">
            <v xml:space="preserve"> -   </v>
          </cell>
          <cell r="CS274" t="str">
            <v xml:space="preserve"> -   </v>
          </cell>
          <cell r="CT274" t="str">
            <v xml:space="preserve"> -   </v>
          </cell>
          <cell r="CU274" t="str">
            <v xml:space="preserve"> -   </v>
          </cell>
          <cell r="CV274" t="str">
            <v xml:space="preserve"> -   </v>
          </cell>
          <cell r="CW274" t="str">
            <v xml:space="preserve"> -   </v>
          </cell>
          <cell r="CX274">
            <v>18</v>
          </cell>
          <cell r="CY274">
            <v>1</v>
          </cell>
          <cell r="CZ274">
            <v>206.66</v>
          </cell>
          <cell r="DA274">
            <v>1</v>
          </cell>
          <cell r="DB274">
            <v>206.66</v>
          </cell>
          <cell r="DC274" t="str">
            <v xml:space="preserve"> -   </v>
          </cell>
          <cell r="DD274">
            <v>206.66</v>
          </cell>
          <cell r="DE274" t="str">
            <v xml:space="preserve"> -   </v>
          </cell>
          <cell r="DF274">
            <v>1503.02</v>
          </cell>
          <cell r="DG274">
            <v>2</v>
          </cell>
          <cell r="DH274">
            <v>2123</v>
          </cell>
          <cell r="DI274">
            <v>3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 t="str">
            <v xml:space="preserve"> -   </v>
          </cell>
          <cell r="DS274" t="str">
            <v xml:space="preserve"> -   </v>
          </cell>
          <cell r="DT274">
            <v>103.33</v>
          </cell>
          <cell r="DU274" t="str">
            <v xml:space="preserve"> -   </v>
          </cell>
          <cell r="DV274">
            <v>103.33</v>
          </cell>
          <cell r="DW274" t="str">
            <v xml:space="preserve"> -   </v>
          </cell>
          <cell r="DX274">
            <v>103.33</v>
          </cell>
          <cell r="DY274" t="str">
            <v xml:space="preserve"> -   </v>
          </cell>
          <cell r="DZ274">
            <v>1232.01</v>
          </cell>
          <cell r="EA274">
            <v>1</v>
          </cell>
          <cell r="EB274">
            <v>1542</v>
          </cell>
          <cell r="EC274">
            <v>1</v>
          </cell>
          <cell r="ED274">
            <v>0</v>
          </cell>
          <cell r="EE274">
            <v>0</v>
          </cell>
          <cell r="EF274">
            <v>0</v>
          </cell>
          <cell r="EH274">
            <v>0</v>
          </cell>
          <cell r="EI274">
            <v>0</v>
          </cell>
        </row>
        <row r="275">
          <cell r="A275" t="str">
            <v>AprThulusdhoo</v>
          </cell>
          <cell r="B275" t="str">
            <v>Apr</v>
          </cell>
          <cell r="C275" t="str">
            <v>K.</v>
          </cell>
          <cell r="D275" t="str">
            <v>Thulusdhoo</v>
          </cell>
          <cell r="E275">
            <v>0</v>
          </cell>
          <cell r="F275">
            <v>160368</v>
          </cell>
          <cell r="G275">
            <v>375</v>
          </cell>
          <cell r="H275">
            <v>372</v>
          </cell>
          <cell r="I275">
            <v>2</v>
          </cell>
          <cell r="J275">
            <v>0</v>
          </cell>
          <cell r="K275">
            <v>374</v>
          </cell>
          <cell r="L275">
            <v>374</v>
          </cell>
          <cell r="M275">
            <v>0</v>
          </cell>
          <cell r="N275">
            <v>1</v>
          </cell>
          <cell r="O275">
            <v>0</v>
          </cell>
          <cell r="P275">
            <v>0</v>
          </cell>
          <cell r="Q275">
            <v>1</v>
          </cell>
          <cell r="R275">
            <v>1</v>
          </cell>
          <cell r="S275">
            <v>0</v>
          </cell>
          <cell r="T275">
            <v>375</v>
          </cell>
          <cell r="U275">
            <v>375</v>
          </cell>
          <cell r="V275">
            <v>0</v>
          </cell>
          <cell r="W275">
            <v>169913</v>
          </cell>
          <cell r="X275">
            <v>169913</v>
          </cell>
          <cell r="Y275">
            <v>7617</v>
          </cell>
          <cell r="Z275">
            <v>177530</v>
          </cell>
          <cell r="AA275">
            <v>160368</v>
          </cell>
          <cell r="AB275">
            <v>4123</v>
          </cell>
          <cell r="AC275">
            <v>164491</v>
          </cell>
          <cell r="AD275">
            <v>153</v>
          </cell>
          <cell r="AE275">
            <v>386</v>
          </cell>
          <cell r="AF275">
            <v>48523</v>
          </cell>
          <cell r="AG275">
            <v>75</v>
          </cell>
          <cell r="AH275">
            <v>4402.67</v>
          </cell>
          <cell r="AI275">
            <v>23</v>
          </cell>
          <cell r="AJ275">
            <v>3750.67</v>
          </cell>
          <cell r="AK275">
            <v>5</v>
          </cell>
          <cell r="AL275">
            <v>3237.67</v>
          </cell>
          <cell r="AM275">
            <v>3</v>
          </cell>
          <cell r="AN275">
            <v>14834.99</v>
          </cell>
          <cell r="AO275">
            <v>32</v>
          </cell>
          <cell r="AP275">
            <v>26226</v>
          </cell>
          <cell r="AQ275">
            <v>63</v>
          </cell>
          <cell r="AR275">
            <v>972</v>
          </cell>
          <cell r="AS275">
            <v>12</v>
          </cell>
          <cell r="AT275">
            <v>789</v>
          </cell>
          <cell r="AU275">
            <v>1</v>
          </cell>
          <cell r="AV275">
            <v>569</v>
          </cell>
          <cell r="AW275">
            <v>2</v>
          </cell>
          <cell r="AX275">
            <v>9350</v>
          </cell>
          <cell r="AY275">
            <v>5</v>
          </cell>
          <cell r="AZ275">
            <v>11680</v>
          </cell>
          <cell r="BA275">
            <v>20</v>
          </cell>
          <cell r="BB275">
            <v>22390</v>
          </cell>
          <cell r="BC275">
            <v>46</v>
          </cell>
          <cell r="BD275">
            <v>19953</v>
          </cell>
          <cell r="BE275">
            <v>34</v>
          </cell>
          <cell r="BF275">
            <v>15625</v>
          </cell>
          <cell r="BG275">
            <v>53</v>
          </cell>
          <cell r="BH275">
            <v>41674</v>
          </cell>
          <cell r="BI275">
            <v>129</v>
          </cell>
          <cell r="BJ275">
            <v>99642</v>
          </cell>
          <cell r="BK275">
            <v>262</v>
          </cell>
          <cell r="BL275">
            <v>1443</v>
          </cell>
          <cell r="BM275">
            <v>8</v>
          </cell>
          <cell r="BN275">
            <v>1201</v>
          </cell>
          <cell r="BO275">
            <v>1</v>
          </cell>
          <cell r="BP275">
            <v>1091</v>
          </cell>
          <cell r="BQ275">
            <v>2</v>
          </cell>
          <cell r="BR275">
            <v>8007</v>
          </cell>
          <cell r="BS275">
            <v>10</v>
          </cell>
          <cell r="BT275">
            <v>11742</v>
          </cell>
          <cell r="BU275">
            <v>21</v>
          </cell>
          <cell r="BV275">
            <v>200</v>
          </cell>
          <cell r="BW275">
            <v>0</v>
          </cell>
          <cell r="BX275">
            <v>200</v>
          </cell>
          <cell r="BY275">
            <v>0</v>
          </cell>
          <cell r="BZ275">
            <v>200</v>
          </cell>
          <cell r="CA275">
            <v>0</v>
          </cell>
          <cell r="CB275">
            <v>3810</v>
          </cell>
          <cell r="CC275">
            <v>2</v>
          </cell>
          <cell r="CD275">
            <v>4410</v>
          </cell>
          <cell r="CE275">
            <v>2</v>
          </cell>
          <cell r="CF275">
            <v>200</v>
          </cell>
          <cell r="CG275">
            <v>0</v>
          </cell>
          <cell r="CH275">
            <v>200</v>
          </cell>
          <cell r="CI275">
            <v>0</v>
          </cell>
          <cell r="CJ275">
            <v>200</v>
          </cell>
          <cell r="CK275">
            <v>0</v>
          </cell>
          <cell r="CL275">
            <v>1995</v>
          </cell>
          <cell r="CM275">
            <v>2</v>
          </cell>
          <cell r="CN275">
            <v>2595</v>
          </cell>
          <cell r="CO275">
            <v>2</v>
          </cell>
          <cell r="CP275">
            <v>41</v>
          </cell>
          <cell r="CQ275">
            <v>1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41</v>
          </cell>
          <cell r="CY275">
            <v>1</v>
          </cell>
          <cell r="CZ275">
            <v>200</v>
          </cell>
          <cell r="DA275">
            <v>1</v>
          </cell>
          <cell r="DB275">
            <v>200</v>
          </cell>
          <cell r="DC275">
            <v>0</v>
          </cell>
          <cell r="DD275">
            <v>200</v>
          </cell>
          <cell r="DE275">
            <v>0</v>
          </cell>
          <cell r="DF275">
            <v>1610</v>
          </cell>
          <cell r="DG275">
            <v>2</v>
          </cell>
          <cell r="DH275">
            <v>2210</v>
          </cell>
          <cell r="DI275">
            <v>3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100</v>
          </cell>
          <cell r="DU275">
            <v>0</v>
          </cell>
          <cell r="DV275">
            <v>100</v>
          </cell>
          <cell r="DW275">
            <v>0</v>
          </cell>
          <cell r="DX275">
            <v>100</v>
          </cell>
          <cell r="DY275">
            <v>0</v>
          </cell>
          <cell r="DZ275">
            <v>1522</v>
          </cell>
          <cell r="EA275">
            <v>1</v>
          </cell>
          <cell r="EB275">
            <v>1822</v>
          </cell>
          <cell r="EC275">
            <v>1</v>
          </cell>
          <cell r="ED275">
            <v>0</v>
          </cell>
          <cell r="EE275">
            <v>0</v>
          </cell>
          <cell r="EF275">
            <v>0</v>
          </cell>
          <cell r="EH275">
            <v>0</v>
          </cell>
          <cell r="EI275">
            <v>0</v>
          </cell>
        </row>
        <row r="276">
          <cell r="A276" t="str">
            <v>MayThulusdhoo</v>
          </cell>
          <cell r="B276" t="str">
            <v>May</v>
          </cell>
          <cell r="C276" t="str">
            <v>K.</v>
          </cell>
          <cell r="D276" t="str">
            <v>Thulusdhoo</v>
          </cell>
          <cell r="E276">
            <v>0</v>
          </cell>
          <cell r="F276">
            <v>151301</v>
          </cell>
          <cell r="G276">
            <v>376</v>
          </cell>
          <cell r="H276">
            <v>374</v>
          </cell>
          <cell r="I276">
            <v>2</v>
          </cell>
          <cell r="J276">
            <v>1</v>
          </cell>
          <cell r="K276">
            <v>375</v>
          </cell>
          <cell r="L276">
            <v>375</v>
          </cell>
          <cell r="M276">
            <v>1</v>
          </cell>
          <cell r="N276">
            <v>1</v>
          </cell>
          <cell r="O276">
            <v>0</v>
          </cell>
          <cell r="P276">
            <v>0</v>
          </cell>
          <cell r="Q276">
            <v>1</v>
          </cell>
          <cell r="R276">
            <v>1</v>
          </cell>
          <cell r="S276">
            <v>0</v>
          </cell>
          <cell r="T276">
            <v>376</v>
          </cell>
          <cell r="U276">
            <v>376</v>
          </cell>
          <cell r="V276">
            <v>1</v>
          </cell>
          <cell r="W276">
            <v>163159</v>
          </cell>
          <cell r="X276">
            <v>163159</v>
          </cell>
          <cell r="Y276">
            <v>6623</v>
          </cell>
          <cell r="Z276">
            <v>163159</v>
          </cell>
          <cell r="AA276">
            <v>151301</v>
          </cell>
          <cell r="AB276">
            <v>3628</v>
          </cell>
          <cell r="AC276">
            <v>154929</v>
          </cell>
          <cell r="AD276">
            <v>141</v>
          </cell>
          <cell r="AE276">
            <v>354</v>
          </cell>
          <cell r="AF276">
            <v>46316.79</v>
          </cell>
          <cell r="AG276">
            <v>122</v>
          </cell>
          <cell r="AH276">
            <v>4439.21</v>
          </cell>
          <cell r="AI276">
            <v>24</v>
          </cell>
          <cell r="AJ276">
            <v>3688.57</v>
          </cell>
          <cell r="AK276">
            <v>4</v>
          </cell>
          <cell r="AL276">
            <v>3149.94</v>
          </cell>
          <cell r="AM276">
            <v>5</v>
          </cell>
          <cell r="AN276">
            <v>10626.28</v>
          </cell>
          <cell r="AO276">
            <v>28</v>
          </cell>
          <cell r="AP276">
            <v>21904</v>
          </cell>
          <cell r="AQ276">
            <v>61</v>
          </cell>
          <cell r="AR276">
            <v>1018.64</v>
          </cell>
          <cell r="AS276">
            <v>12</v>
          </cell>
          <cell r="AT276">
            <v>826.64</v>
          </cell>
          <cell r="AU276">
            <v>0</v>
          </cell>
          <cell r="AV276">
            <v>503.69</v>
          </cell>
          <cell r="AW276">
            <v>5</v>
          </cell>
          <cell r="AX276">
            <v>9330.0300000000007</v>
          </cell>
          <cell r="AY276">
            <v>3</v>
          </cell>
          <cell r="AZ276">
            <v>11679</v>
          </cell>
          <cell r="BA276">
            <v>20</v>
          </cell>
          <cell r="BB276">
            <v>23634.29</v>
          </cell>
          <cell r="BC276">
            <v>52</v>
          </cell>
          <cell r="BD276">
            <v>20256.55</v>
          </cell>
          <cell r="BE276">
            <v>39</v>
          </cell>
          <cell r="BF276">
            <v>15178.97</v>
          </cell>
          <cell r="BG276">
            <v>55</v>
          </cell>
          <cell r="BH276">
            <v>37958.19</v>
          </cell>
          <cell r="BI276">
            <v>119</v>
          </cell>
          <cell r="BJ276">
            <v>97028</v>
          </cell>
          <cell r="BK276">
            <v>265</v>
          </cell>
          <cell r="BL276">
            <v>1470.96</v>
          </cell>
          <cell r="BM276">
            <v>9</v>
          </cell>
          <cell r="BN276">
            <v>1239.96</v>
          </cell>
          <cell r="BO276">
            <v>0</v>
          </cell>
          <cell r="BP276">
            <v>1149.98</v>
          </cell>
          <cell r="BQ276">
            <v>2</v>
          </cell>
          <cell r="BR276">
            <v>7107.1</v>
          </cell>
          <cell r="BS276">
            <v>10</v>
          </cell>
          <cell r="BT276">
            <v>10968</v>
          </cell>
          <cell r="BU276">
            <v>21</v>
          </cell>
          <cell r="BV276">
            <v>206.66</v>
          </cell>
          <cell r="BW276">
            <v>0</v>
          </cell>
          <cell r="BX276">
            <v>206.66</v>
          </cell>
          <cell r="BY276">
            <v>0</v>
          </cell>
          <cell r="BZ276">
            <v>206.66</v>
          </cell>
          <cell r="CA276">
            <v>0</v>
          </cell>
          <cell r="CB276">
            <v>3036.02</v>
          </cell>
          <cell r="CC276">
            <v>2</v>
          </cell>
          <cell r="CD276">
            <v>3655.9999999999995</v>
          </cell>
          <cell r="CE276">
            <v>2</v>
          </cell>
          <cell r="CF276">
            <v>206.66</v>
          </cell>
          <cell r="CG276">
            <v>0</v>
          </cell>
          <cell r="CH276">
            <v>206.66</v>
          </cell>
          <cell r="CI276">
            <v>0</v>
          </cell>
          <cell r="CJ276">
            <v>152.66999999999999</v>
          </cell>
          <cell r="CK276">
            <v>0</v>
          </cell>
          <cell r="CL276">
            <v>1749.01</v>
          </cell>
          <cell r="CM276">
            <v>2</v>
          </cell>
          <cell r="CN276">
            <v>2315</v>
          </cell>
          <cell r="CO276">
            <v>2</v>
          </cell>
          <cell r="CP276">
            <v>8</v>
          </cell>
          <cell r="CQ276">
            <v>1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8</v>
          </cell>
          <cell r="CY276">
            <v>1</v>
          </cell>
          <cell r="CZ276">
            <v>206.66</v>
          </cell>
          <cell r="DA276">
            <v>1</v>
          </cell>
          <cell r="DB276">
            <v>206.66</v>
          </cell>
          <cell r="DC276">
            <v>0</v>
          </cell>
          <cell r="DD276">
            <v>206.66</v>
          </cell>
          <cell r="DE276">
            <v>0</v>
          </cell>
          <cell r="DF276">
            <v>1664.02</v>
          </cell>
          <cell r="DG276">
            <v>2</v>
          </cell>
          <cell r="DH276">
            <v>2284</v>
          </cell>
          <cell r="DI276">
            <v>3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103.33</v>
          </cell>
          <cell r="DU276">
            <v>0</v>
          </cell>
          <cell r="DV276">
            <v>103.33</v>
          </cell>
          <cell r="DW276">
            <v>0</v>
          </cell>
          <cell r="DX276">
            <v>103.33</v>
          </cell>
          <cell r="DY276">
            <v>0</v>
          </cell>
          <cell r="DZ276">
            <v>1149.01</v>
          </cell>
          <cell r="EA276">
            <v>1</v>
          </cell>
          <cell r="EB276">
            <v>1458.9999999999998</v>
          </cell>
          <cell r="EC276">
            <v>1</v>
          </cell>
          <cell r="ED276">
            <v>0</v>
          </cell>
          <cell r="EE276">
            <v>0</v>
          </cell>
          <cell r="EF276">
            <v>0</v>
          </cell>
          <cell r="EH276">
            <v>0</v>
          </cell>
          <cell r="EI276">
            <v>0</v>
          </cell>
        </row>
        <row r="277">
          <cell r="A277" t="str">
            <v>JunThulusdhoo</v>
          </cell>
          <cell r="B277" t="str">
            <v>Jun</v>
          </cell>
          <cell r="C277" t="str">
            <v>K.</v>
          </cell>
          <cell r="D277" t="str">
            <v>Thulusdhoo</v>
          </cell>
          <cell r="E277">
            <v>0</v>
          </cell>
          <cell r="F277">
            <v>152147</v>
          </cell>
          <cell r="G277">
            <v>376</v>
          </cell>
          <cell r="H277">
            <v>375</v>
          </cell>
          <cell r="I277">
            <v>2</v>
          </cell>
          <cell r="J277">
            <v>1</v>
          </cell>
          <cell r="K277">
            <v>376</v>
          </cell>
          <cell r="L277">
            <v>376</v>
          </cell>
          <cell r="M277">
            <v>1</v>
          </cell>
          <cell r="N277">
            <v>1</v>
          </cell>
          <cell r="O277">
            <v>0</v>
          </cell>
          <cell r="P277">
            <v>0</v>
          </cell>
          <cell r="Q277">
            <v>1</v>
          </cell>
          <cell r="R277">
            <v>0</v>
          </cell>
          <cell r="S277">
            <v>1</v>
          </cell>
          <cell r="T277">
            <v>377</v>
          </cell>
          <cell r="U277">
            <v>376</v>
          </cell>
          <cell r="V277">
            <v>2</v>
          </cell>
          <cell r="W277">
            <v>164307</v>
          </cell>
          <cell r="X277">
            <v>164307</v>
          </cell>
          <cell r="Y277">
            <v>6164</v>
          </cell>
          <cell r="Z277">
            <v>170471</v>
          </cell>
          <cell r="AA277">
            <v>152147</v>
          </cell>
          <cell r="AB277">
            <v>3626</v>
          </cell>
          <cell r="AC277">
            <v>155773</v>
          </cell>
          <cell r="AD277">
            <v>135</v>
          </cell>
          <cell r="AE277">
            <v>373</v>
          </cell>
          <cell r="AF277">
            <v>45778.86</v>
          </cell>
          <cell r="AG277">
            <v>81</v>
          </cell>
          <cell r="AH277">
            <v>4313.67</v>
          </cell>
          <cell r="AI277">
            <v>23</v>
          </cell>
          <cell r="AJ277">
            <v>3552.33</v>
          </cell>
          <cell r="AK277">
            <v>10</v>
          </cell>
          <cell r="AL277">
            <v>2788</v>
          </cell>
          <cell r="AM277">
            <v>2</v>
          </cell>
          <cell r="AN277">
            <v>12236</v>
          </cell>
          <cell r="AO277">
            <v>27</v>
          </cell>
          <cell r="AP277">
            <v>22890</v>
          </cell>
          <cell r="AQ277">
            <v>62</v>
          </cell>
          <cell r="AR277">
            <v>952</v>
          </cell>
          <cell r="AS277">
            <v>11</v>
          </cell>
          <cell r="AT277">
            <v>772</v>
          </cell>
          <cell r="AU277">
            <v>1</v>
          </cell>
          <cell r="AV277">
            <v>600</v>
          </cell>
          <cell r="AW277">
            <v>3</v>
          </cell>
          <cell r="AX277">
            <v>9130</v>
          </cell>
          <cell r="AY277">
            <v>4</v>
          </cell>
          <cell r="AZ277">
            <v>11454</v>
          </cell>
          <cell r="BA277">
            <v>19</v>
          </cell>
          <cell r="BB277">
            <v>22788</v>
          </cell>
          <cell r="BC277">
            <v>50</v>
          </cell>
          <cell r="BD277">
            <v>20272</v>
          </cell>
          <cell r="BE277">
            <v>33</v>
          </cell>
          <cell r="BF277">
            <v>15622</v>
          </cell>
          <cell r="BG277">
            <v>52</v>
          </cell>
          <cell r="BH277">
            <v>40524</v>
          </cell>
          <cell r="BI277">
            <v>130</v>
          </cell>
          <cell r="BJ277">
            <v>99206</v>
          </cell>
          <cell r="BK277">
            <v>265</v>
          </cell>
          <cell r="BL277">
            <v>1439</v>
          </cell>
          <cell r="BM277">
            <v>8</v>
          </cell>
          <cell r="BN277">
            <v>1277</v>
          </cell>
          <cell r="BO277">
            <v>1</v>
          </cell>
          <cell r="BP277">
            <v>1187</v>
          </cell>
          <cell r="BQ277">
            <v>2</v>
          </cell>
          <cell r="BR277">
            <v>6529</v>
          </cell>
          <cell r="BS277">
            <v>10</v>
          </cell>
          <cell r="BT277">
            <v>10432</v>
          </cell>
          <cell r="BU277">
            <v>21</v>
          </cell>
          <cell r="BV277">
            <v>200</v>
          </cell>
          <cell r="BW277">
            <v>0</v>
          </cell>
          <cell r="BX277">
            <v>200</v>
          </cell>
          <cell r="BY277">
            <v>0</v>
          </cell>
          <cell r="BZ277">
            <v>200</v>
          </cell>
          <cell r="CA277">
            <v>0</v>
          </cell>
          <cell r="CB277">
            <v>1626</v>
          </cell>
          <cell r="CC277">
            <v>2</v>
          </cell>
          <cell r="CD277">
            <v>2226</v>
          </cell>
          <cell r="CE277">
            <v>2</v>
          </cell>
          <cell r="CF277">
            <v>200</v>
          </cell>
          <cell r="CG277">
            <v>0</v>
          </cell>
          <cell r="CH277">
            <v>200</v>
          </cell>
          <cell r="CI277">
            <v>0</v>
          </cell>
          <cell r="CJ277">
            <v>182</v>
          </cell>
          <cell r="CK277">
            <v>0</v>
          </cell>
          <cell r="CL277">
            <v>1715</v>
          </cell>
          <cell r="CM277">
            <v>2</v>
          </cell>
          <cell r="CN277">
            <v>2297</v>
          </cell>
          <cell r="CO277">
            <v>2</v>
          </cell>
          <cell r="CP277">
            <v>12</v>
          </cell>
          <cell r="CQ277">
            <v>1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12</v>
          </cell>
          <cell r="CY277">
            <v>1</v>
          </cell>
          <cell r="CZ277">
            <v>200</v>
          </cell>
          <cell r="DA277">
            <v>1</v>
          </cell>
          <cell r="DB277">
            <v>200</v>
          </cell>
          <cell r="DC277">
            <v>0</v>
          </cell>
          <cell r="DD277">
            <v>200</v>
          </cell>
          <cell r="DE277">
            <v>0</v>
          </cell>
          <cell r="DF277">
            <v>1610</v>
          </cell>
          <cell r="DG277">
            <v>2</v>
          </cell>
          <cell r="DH277">
            <v>2210</v>
          </cell>
          <cell r="DI277">
            <v>3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100</v>
          </cell>
          <cell r="DU277">
            <v>0</v>
          </cell>
          <cell r="DV277">
            <v>100</v>
          </cell>
          <cell r="DW277">
            <v>0</v>
          </cell>
          <cell r="DX277">
            <v>100</v>
          </cell>
          <cell r="DY277">
            <v>0</v>
          </cell>
          <cell r="DZ277">
            <v>1120</v>
          </cell>
          <cell r="EA277">
            <v>1</v>
          </cell>
          <cell r="EB277">
            <v>1420</v>
          </cell>
          <cell r="EC277">
            <v>1</v>
          </cell>
          <cell r="ED277">
            <v>0</v>
          </cell>
          <cell r="EE277">
            <v>0</v>
          </cell>
          <cell r="EF277">
            <v>0</v>
          </cell>
          <cell r="EH277">
            <v>0</v>
          </cell>
          <cell r="EI277">
            <v>0</v>
          </cell>
        </row>
        <row r="278">
          <cell r="A278" t="str">
            <v>JulThulusdhoo</v>
          </cell>
          <cell r="B278" t="str">
            <v>Jul</v>
          </cell>
          <cell r="C278" t="str">
            <v>K.</v>
          </cell>
          <cell r="D278" t="str">
            <v>Thulusdhoo</v>
          </cell>
          <cell r="E278">
            <v>0</v>
          </cell>
          <cell r="F278">
            <v>155142</v>
          </cell>
          <cell r="G278">
            <v>377</v>
          </cell>
          <cell r="H278">
            <v>376</v>
          </cell>
          <cell r="I278">
            <v>1</v>
          </cell>
          <cell r="J278">
            <v>1</v>
          </cell>
          <cell r="K278">
            <v>376</v>
          </cell>
          <cell r="L278">
            <v>376</v>
          </cell>
          <cell r="M278">
            <v>1</v>
          </cell>
          <cell r="N278">
            <v>1</v>
          </cell>
          <cell r="O278">
            <v>0</v>
          </cell>
          <cell r="P278">
            <v>0</v>
          </cell>
          <cell r="Q278">
            <v>1</v>
          </cell>
          <cell r="R278">
            <v>1</v>
          </cell>
          <cell r="S278">
            <v>0</v>
          </cell>
          <cell r="T278">
            <v>377</v>
          </cell>
          <cell r="U278">
            <v>377</v>
          </cell>
          <cell r="V278">
            <v>1</v>
          </cell>
          <cell r="W278">
            <v>169667</v>
          </cell>
          <cell r="X278">
            <v>169667</v>
          </cell>
          <cell r="Y278">
            <v>6457</v>
          </cell>
          <cell r="Z278">
            <v>176124</v>
          </cell>
          <cell r="AA278">
            <v>155142</v>
          </cell>
          <cell r="AB278">
            <v>4471</v>
          </cell>
          <cell r="AC278">
            <v>159613</v>
          </cell>
          <cell r="AD278">
            <v>127</v>
          </cell>
          <cell r="AE278">
            <v>393</v>
          </cell>
          <cell r="AF278">
            <v>47349</v>
          </cell>
          <cell r="AG278">
            <v>123</v>
          </cell>
          <cell r="AH278">
            <v>4529.2</v>
          </cell>
          <cell r="AI278">
            <v>22</v>
          </cell>
          <cell r="AJ278">
            <v>3778.58</v>
          </cell>
          <cell r="AK278">
            <v>7</v>
          </cell>
          <cell r="AL278">
            <v>2975.96</v>
          </cell>
          <cell r="AM278">
            <v>7</v>
          </cell>
          <cell r="AN278">
            <v>11873.26</v>
          </cell>
          <cell r="AO278">
            <v>26</v>
          </cell>
          <cell r="AP278">
            <v>23157</v>
          </cell>
          <cell r="AQ278">
            <v>62</v>
          </cell>
          <cell r="AR278">
            <v>1088.6400000000001</v>
          </cell>
          <cell r="AS278">
            <v>12</v>
          </cell>
          <cell r="AT278">
            <v>786.32</v>
          </cell>
          <cell r="AU278">
            <v>2</v>
          </cell>
          <cell r="AV278">
            <v>493</v>
          </cell>
          <cell r="AW278">
            <v>2</v>
          </cell>
          <cell r="AX278">
            <v>9599.0400000000009</v>
          </cell>
          <cell r="AY278">
            <v>4</v>
          </cell>
          <cell r="AZ278">
            <v>11967</v>
          </cell>
          <cell r="BA278">
            <v>20</v>
          </cell>
          <cell r="BB278">
            <v>23547.29</v>
          </cell>
          <cell r="BC278">
            <v>51</v>
          </cell>
          <cell r="BD278">
            <v>20897.150000000001</v>
          </cell>
          <cell r="BE278">
            <v>29</v>
          </cell>
          <cell r="BF278">
            <v>16409.22</v>
          </cell>
          <cell r="BG278">
            <v>52</v>
          </cell>
          <cell r="BH278">
            <v>41234.339999999997</v>
          </cell>
          <cell r="BI278">
            <v>134</v>
          </cell>
          <cell r="BJ278">
            <v>102088</v>
          </cell>
          <cell r="BK278">
            <v>266</v>
          </cell>
          <cell r="BL278">
            <v>1471.96</v>
          </cell>
          <cell r="BM278">
            <v>8</v>
          </cell>
          <cell r="BN278">
            <v>1179.3</v>
          </cell>
          <cell r="BO278">
            <v>1</v>
          </cell>
          <cell r="BP278">
            <v>1113.6600000000001</v>
          </cell>
          <cell r="BQ278">
            <v>3</v>
          </cell>
          <cell r="BR278">
            <v>6419.08</v>
          </cell>
          <cell r="BS278">
            <v>8</v>
          </cell>
          <cell r="BT278">
            <v>10184</v>
          </cell>
          <cell r="BU278">
            <v>20</v>
          </cell>
          <cell r="BV278">
            <v>206.66</v>
          </cell>
          <cell r="BW278">
            <v>0</v>
          </cell>
          <cell r="BX278">
            <v>206.66</v>
          </cell>
          <cell r="BY278">
            <v>0</v>
          </cell>
          <cell r="BZ278">
            <v>182.67</v>
          </cell>
          <cell r="CA278">
            <v>1</v>
          </cell>
          <cell r="CB278">
            <v>1415.01</v>
          </cell>
          <cell r="CC278">
            <v>1</v>
          </cell>
          <cell r="CD278">
            <v>2011.0000000000002</v>
          </cell>
          <cell r="CE278">
            <v>2</v>
          </cell>
          <cell r="CF278">
            <v>206.66</v>
          </cell>
          <cell r="CG278">
            <v>0</v>
          </cell>
          <cell r="CH278">
            <v>206.66</v>
          </cell>
          <cell r="CI278">
            <v>0</v>
          </cell>
          <cell r="CJ278">
            <v>107.67</v>
          </cell>
          <cell r="CK278">
            <v>1</v>
          </cell>
          <cell r="CL278">
            <v>1666.01</v>
          </cell>
          <cell r="CM278">
            <v>1</v>
          </cell>
          <cell r="CN278">
            <v>2187</v>
          </cell>
          <cell r="CO278">
            <v>2</v>
          </cell>
          <cell r="CP278">
            <v>8</v>
          </cell>
          <cell r="CQ278">
            <v>1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8</v>
          </cell>
          <cell r="CY278">
            <v>1</v>
          </cell>
          <cell r="CZ278">
            <v>206.66</v>
          </cell>
          <cell r="DA278">
            <v>1</v>
          </cell>
          <cell r="DB278">
            <v>206.66</v>
          </cell>
          <cell r="DC278">
            <v>0</v>
          </cell>
          <cell r="DD278">
            <v>206.66</v>
          </cell>
          <cell r="DE278">
            <v>0</v>
          </cell>
          <cell r="DF278">
            <v>1664.02</v>
          </cell>
          <cell r="DG278">
            <v>2</v>
          </cell>
          <cell r="DH278">
            <v>2284</v>
          </cell>
          <cell r="DI278">
            <v>3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103.33</v>
          </cell>
          <cell r="DU278">
            <v>0</v>
          </cell>
          <cell r="DV278">
            <v>103.33</v>
          </cell>
          <cell r="DW278">
            <v>0</v>
          </cell>
          <cell r="DX278">
            <v>103.33</v>
          </cell>
          <cell r="DY278">
            <v>0</v>
          </cell>
          <cell r="DZ278">
            <v>946.01</v>
          </cell>
          <cell r="EA278">
            <v>1</v>
          </cell>
          <cell r="EB278">
            <v>1255.9999999999998</v>
          </cell>
          <cell r="EC278">
            <v>1</v>
          </cell>
          <cell r="ED278">
            <v>0</v>
          </cell>
          <cell r="EE278">
            <v>0</v>
          </cell>
          <cell r="EF278">
            <v>0</v>
          </cell>
          <cell r="EH278">
            <v>0</v>
          </cell>
          <cell r="EI278">
            <v>0</v>
          </cell>
        </row>
        <row r="279">
          <cell r="A279" t="str">
            <v>AugThulusdhoo</v>
          </cell>
          <cell r="B279" t="str">
            <v>Aug</v>
          </cell>
          <cell r="C279" t="str">
            <v>K.</v>
          </cell>
          <cell r="D279" t="str">
            <v>Thulusdhoo</v>
          </cell>
          <cell r="E279" t="str">
            <v>usage units less than billed</v>
          </cell>
          <cell r="F279">
            <v>154494.82</v>
          </cell>
          <cell r="G279">
            <v>377</v>
          </cell>
          <cell r="H279">
            <v>376</v>
          </cell>
          <cell r="I279">
            <v>0</v>
          </cell>
          <cell r="J279">
            <v>0</v>
          </cell>
          <cell r="K279">
            <v>376</v>
          </cell>
          <cell r="L279">
            <v>376</v>
          </cell>
          <cell r="M279">
            <v>0</v>
          </cell>
          <cell r="N279">
            <v>1</v>
          </cell>
          <cell r="O279">
            <v>0</v>
          </cell>
          <cell r="P279">
            <v>0</v>
          </cell>
          <cell r="Q279">
            <v>1</v>
          </cell>
          <cell r="R279">
            <v>1</v>
          </cell>
          <cell r="S279">
            <v>0</v>
          </cell>
          <cell r="T279">
            <v>377</v>
          </cell>
          <cell r="U279">
            <v>377</v>
          </cell>
          <cell r="V279">
            <v>0</v>
          </cell>
          <cell r="W279">
            <v>167613</v>
          </cell>
          <cell r="X279">
            <v>167613</v>
          </cell>
          <cell r="Y279">
            <v>6616</v>
          </cell>
          <cell r="Z279">
            <v>174229</v>
          </cell>
          <cell r="AA279">
            <v>154495</v>
          </cell>
          <cell r="AB279">
            <v>4383</v>
          </cell>
          <cell r="AC279">
            <v>158878</v>
          </cell>
          <cell r="AD279">
            <v>143</v>
          </cell>
          <cell r="AE279">
            <v>396</v>
          </cell>
          <cell r="AF279">
            <v>46828</v>
          </cell>
          <cell r="AG279">
            <v>93</v>
          </cell>
          <cell r="AH279">
            <v>4855.87</v>
          </cell>
          <cell r="AI279">
            <v>22</v>
          </cell>
          <cell r="AJ279">
            <v>4204.2299999999996</v>
          </cell>
          <cell r="AK279">
            <v>4</v>
          </cell>
          <cell r="AL279">
            <v>3443.63</v>
          </cell>
          <cell r="AM279">
            <v>8</v>
          </cell>
          <cell r="AN279">
            <v>16158.27</v>
          </cell>
          <cell r="AO279">
            <v>29</v>
          </cell>
          <cell r="AP279">
            <v>28662</v>
          </cell>
          <cell r="AQ279">
            <v>63</v>
          </cell>
          <cell r="AR279">
            <v>1056.6400000000001</v>
          </cell>
          <cell r="AS279">
            <v>12</v>
          </cell>
          <cell r="AT279">
            <v>788.32</v>
          </cell>
          <cell r="AU279">
            <v>2</v>
          </cell>
          <cell r="AV279">
            <v>469.01</v>
          </cell>
          <cell r="AW279">
            <v>3</v>
          </cell>
          <cell r="AX279">
            <v>9226.0300000000007</v>
          </cell>
          <cell r="AY279">
            <v>3</v>
          </cell>
          <cell r="AZ279">
            <v>11540</v>
          </cell>
          <cell r="BA279">
            <v>20</v>
          </cell>
          <cell r="BB279">
            <v>23506.27</v>
          </cell>
          <cell r="BC279">
            <v>46</v>
          </cell>
          <cell r="BD279">
            <v>20783.21</v>
          </cell>
          <cell r="BE279">
            <v>41</v>
          </cell>
          <cell r="BF279">
            <v>15467.32</v>
          </cell>
          <cell r="BG279">
            <v>58</v>
          </cell>
          <cell r="BH279">
            <v>34578.199999999997</v>
          </cell>
          <cell r="BI279">
            <v>120</v>
          </cell>
          <cell r="BJ279">
            <v>94335</v>
          </cell>
          <cell r="BK279">
            <v>265</v>
          </cell>
          <cell r="BL279">
            <v>1365.96</v>
          </cell>
          <cell r="BM279">
            <v>8</v>
          </cell>
          <cell r="BN279">
            <v>1127.46</v>
          </cell>
          <cell r="BO279">
            <v>2</v>
          </cell>
          <cell r="BP279">
            <v>957.32</v>
          </cell>
          <cell r="BQ279">
            <v>2</v>
          </cell>
          <cell r="BR279">
            <v>7124.08</v>
          </cell>
          <cell r="BS279">
            <v>8</v>
          </cell>
          <cell r="BT279">
            <v>10574.82</v>
          </cell>
          <cell r="BU279">
            <v>20</v>
          </cell>
          <cell r="BV279">
            <v>206.66</v>
          </cell>
          <cell r="BW279">
            <v>0</v>
          </cell>
          <cell r="BX279">
            <v>206.66</v>
          </cell>
          <cell r="BY279">
            <v>0</v>
          </cell>
          <cell r="BZ279">
            <v>206.66</v>
          </cell>
          <cell r="CA279">
            <v>0</v>
          </cell>
          <cell r="CB279">
            <v>2728.02</v>
          </cell>
          <cell r="CC279">
            <v>2</v>
          </cell>
          <cell r="CD279">
            <v>3347.9999999999995</v>
          </cell>
          <cell r="CE279">
            <v>2</v>
          </cell>
          <cell r="CF279">
            <v>206.66</v>
          </cell>
          <cell r="CG279">
            <v>0</v>
          </cell>
          <cell r="CH279">
            <v>206.66</v>
          </cell>
          <cell r="CI279">
            <v>0</v>
          </cell>
          <cell r="CJ279">
            <v>206.66</v>
          </cell>
          <cell r="CK279">
            <v>0</v>
          </cell>
          <cell r="CL279">
            <v>1812.02</v>
          </cell>
          <cell r="CM279">
            <v>2</v>
          </cell>
          <cell r="CN279">
            <v>2432</v>
          </cell>
          <cell r="CO279">
            <v>2</v>
          </cell>
          <cell r="CP279">
            <v>0</v>
          </cell>
          <cell r="CQ279">
            <v>1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1</v>
          </cell>
          <cell r="CZ279">
            <v>206.66</v>
          </cell>
          <cell r="DA279">
            <v>1</v>
          </cell>
          <cell r="DB279">
            <v>206.66</v>
          </cell>
          <cell r="DC279">
            <v>0</v>
          </cell>
          <cell r="DD279">
            <v>206.66</v>
          </cell>
          <cell r="DE279">
            <v>0</v>
          </cell>
          <cell r="DF279">
            <v>1664.02</v>
          </cell>
          <cell r="DG279">
            <v>2</v>
          </cell>
          <cell r="DH279">
            <v>2284</v>
          </cell>
          <cell r="DI279">
            <v>3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103.33</v>
          </cell>
          <cell r="DU279">
            <v>0</v>
          </cell>
          <cell r="DV279">
            <v>103.33</v>
          </cell>
          <cell r="DW279">
            <v>0</v>
          </cell>
          <cell r="DX279">
            <v>103.33</v>
          </cell>
          <cell r="DY279">
            <v>0</v>
          </cell>
          <cell r="DZ279">
            <v>1009.01</v>
          </cell>
          <cell r="EA279">
            <v>1</v>
          </cell>
          <cell r="EB279">
            <v>1318.9999999999998</v>
          </cell>
          <cell r="EC279">
            <v>1</v>
          </cell>
          <cell r="ED279">
            <v>0</v>
          </cell>
          <cell r="EE279">
            <v>0</v>
          </cell>
          <cell r="EF279">
            <v>0</v>
          </cell>
          <cell r="EH279">
            <v>0</v>
          </cell>
          <cell r="EI279">
            <v>0</v>
          </cell>
        </row>
        <row r="280">
          <cell r="A280" t="str">
            <v>SepThulusdhoo</v>
          </cell>
          <cell r="B280" t="str">
            <v>Sep</v>
          </cell>
          <cell r="C280" t="str">
            <v>K.</v>
          </cell>
          <cell r="D280" t="str">
            <v>Thulusdhoo</v>
          </cell>
          <cell r="E280">
            <v>0</v>
          </cell>
          <cell r="F280">
            <v>146098</v>
          </cell>
          <cell r="G280">
            <v>379</v>
          </cell>
          <cell r="H280">
            <v>377</v>
          </cell>
          <cell r="I280">
            <v>1</v>
          </cell>
          <cell r="J280">
            <v>0</v>
          </cell>
          <cell r="K280">
            <v>378</v>
          </cell>
          <cell r="L280">
            <v>378</v>
          </cell>
          <cell r="M280">
            <v>0</v>
          </cell>
          <cell r="N280">
            <v>1</v>
          </cell>
          <cell r="O280">
            <v>0</v>
          </cell>
          <cell r="P280">
            <v>0</v>
          </cell>
          <cell r="Q280">
            <v>1</v>
          </cell>
          <cell r="R280">
            <v>1</v>
          </cell>
          <cell r="S280">
            <v>0</v>
          </cell>
          <cell r="T280">
            <v>379</v>
          </cell>
          <cell r="U280">
            <v>379</v>
          </cell>
          <cell r="V280">
            <v>0</v>
          </cell>
          <cell r="W280">
            <v>158968</v>
          </cell>
          <cell r="X280">
            <v>158968</v>
          </cell>
          <cell r="Y280">
            <v>5847</v>
          </cell>
          <cell r="Z280">
            <v>164815</v>
          </cell>
          <cell r="AA280">
            <v>146098</v>
          </cell>
          <cell r="AB280">
            <v>3877</v>
          </cell>
          <cell r="AC280">
            <v>149975</v>
          </cell>
          <cell r="AD280">
            <v>145</v>
          </cell>
          <cell r="AE280">
            <v>345</v>
          </cell>
          <cell r="AF280">
            <v>44246</v>
          </cell>
          <cell r="AG280">
            <v>148</v>
          </cell>
          <cell r="AH280">
            <v>4481</v>
          </cell>
          <cell r="AI280">
            <v>22</v>
          </cell>
          <cell r="AJ280">
            <v>3709</v>
          </cell>
          <cell r="AK280">
            <v>7</v>
          </cell>
          <cell r="AL280">
            <v>3201</v>
          </cell>
          <cell r="AM280">
            <v>4</v>
          </cell>
          <cell r="AN280">
            <v>15719</v>
          </cell>
          <cell r="AO280">
            <v>30</v>
          </cell>
          <cell r="AP280">
            <v>27110</v>
          </cell>
          <cell r="AQ280">
            <v>63</v>
          </cell>
          <cell r="AR280">
            <v>995</v>
          </cell>
          <cell r="AS280">
            <v>12</v>
          </cell>
          <cell r="AT280">
            <v>710</v>
          </cell>
          <cell r="AU280">
            <v>2</v>
          </cell>
          <cell r="AV280">
            <v>432</v>
          </cell>
          <cell r="AW280">
            <v>3</v>
          </cell>
          <cell r="AX280">
            <v>9092</v>
          </cell>
          <cell r="AY280">
            <v>3</v>
          </cell>
          <cell r="AZ280">
            <v>11229</v>
          </cell>
          <cell r="BA280">
            <v>20</v>
          </cell>
          <cell r="BB280">
            <v>23034</v>
          </cell>
          <cell r="BC280">
            <v>48</v>
          </cell>
          <cell r="BD280">
            <v>20311</v>
          </cell>
          <cell r="BE280">
            <v>35</v>
          </cell>
          <cell r="BF280">
            <v>15075</v>
          </cell>
          <cell r="BG280">
            <v>65</v>
          </cell>
          <cell r="BH280">
            <v>31734</v>
          </cell>
          <cell r="BI280">
            <v>119</v>
          </cell>
          <cell r="BJ280">
            <v>90154</v>
          </cell>
          <cell r="BK280">
            <v>267</v>
          </cell>
          <cell r="BL280">
            <v>1319</v>
          </cell>
          <cell r="BM280">
            <v>9</v>
          </cell>
          <cell r="BN280">
            <v>1036</v>
          </cell>
          <cell r="BO280">
            <v>1</v>
          </cell>
          <cell r="BP280">
            <v>937</v>
          </cell>
          <cell r="BQ280">
            <v>2</v>
          </cell>
          <cell r="BR280">
            <v>5646</v>
          </cell>
          <cell r="BS280">
            <v>8</v>
          </cell>
          <cell r="BT280">
            <v>8938</v>
          </cell>
          <cell r="BU280">
            <v>20</v>
          </cell>
          <cell r="BV280">
            <v>200</v>
          </cell>
          <cell r="BW280">
            <v>0</v>
          </cell>
          <cell r="BX280">
            <v>200</v>
          </cell>
          <cell r="BY280">
            <v>0</v>
          </cell>
          <cell r="BZ280">
            <v>200</v>
          </cell>
          <cell r="CA280">
            <v>0</v>
          </cell>
          <cell r="CB280">
            <v>2304</v>
          </cell>
          <cell r="CC280">
            <v>2</v>
          </cell>
          <cell r="CD280">
            <v>2904</v>
          </cell>
          <cell r="CE280">
            <v>2</v>
          </cell>
          <cell r="CF280">
            <v>200</v>
          </cell>
          <cell r="CG280">
            <v>0</v>
          </cell>
          <cell r="CH280">
            <v>200</v>
          </cell>
          <cell r="CI280">
            <v>0</v>
          </cell>
          <cell r="CJ280">
            <v>200</v>
          </cell>
          <cell r="CK280">
            <v>0</v>
          </cell>
          <cell r="CL280">
            <v>1783</v>
          </cell>
          <cell r="CM280">
            <v>2</v>
          </cell>
          <cell r="CN280">
            <v>2383</v>
          </cell>
          <cell r="CO280">
            <v>2</v>
          </cell>
          <cell r="CP280">
            <v>13</v>
          </cell>
          <cell r="CQ280">
            <v>1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13</v>
          </cell>
          <cell r="CY280">
            <v>1</v>
          </cell>
          <cell r="CZ280">
            <v>200</v>
          </cell>
          <cell r="DA280">
            <v>1</v>
          </cell>
          <cell r="DB280">
            <v>200</v>
          </cell>
          <cell r="DC280">
            <v>0</v>
          </cell>
          <cell r="DD280">
            <v>200</v>
          </cell>
          <cell r="DE280">
            <v>0</v>
          </cell>
          <cell r="DF280">
            <v>1610</v>
          </cell>
          <cell r="DG280">
            <v>2</v>
          </cell>
          <cell r="DH280">
            <v>2210</v>
          </cell>
          <cell r="DI280">
            <v>3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Q280">
            <v>0</v>
          </cell>
          <cell r="DR280">
            <v>0</v>
          </cell>
          <cell r="DS280">
            <v>0</v>
          </cell>
          <cell r="DT280">
            <v>100</v>
          </cell>
          <cell r="DU280">
            <v>0</v>
          </cell>
          <cell r="DV280">
            <v>100</v>
          </cell>
          <cell r="DW280">
            <v>0</v>
          </cell>
          <cell r="DX280">
            <v>100</v>
          </cell>
          <cell r="DY280">
            <v>0</v>
          </cell>
          <cell r="DZ280">
            <v>857</v>
          </cell>
          <cell r="EA280">
            <v>1</v>
          </cell>
          <cell r="EB280">
            <v>1157</v>
          </cell>
          <cell r="EC280">
            <v>1</v>
          </cell>
          <cell r="ED280">
            <v>0</v>
          </cell>
          <cell r="EE280">
            <v>0</v>
          </cell>
          <cell r="EF280">
            <v>0</v>
          </cell>
          <cell r="EH280">
            <v>0</v>
          </cell>
          <cell r="EI280">
            <v>0</v>
          </cell>
        </row>
        <row r="281">
          <cell r="A281" t="str">
            <v>OctThulusdhoo</v>
          </cell>
          <cell r="B281" t="str">
            <v>Oct</v>
          </cell>
          <cell r="C281" t="str">
            <v>K.</v>
          </cell>
          <cell r="D281" t="str">
            <v>Thulusdhoo</v>
          </cell>
          <cell r="E281">
            <v>0</v>
          </cell>
          <cell r="F281">
            <v>159308</v>
          </cell>
          <cell r="G281">
            <v>380</v>
          </cell>
          <cell r="H281">
            <v>378</v>
          </cell>
          <cell r="I281">
            <v>1</v>
          </cell>
          <cell r="J281">
            <v>0</v>
          </cell>
          <cell r="K281">
            <v>379</v>
          </cell>
          <cell r="L281">
            <v>379</v>
          </cell>
          <cell r="M281">
            <v>0</v>
          </cell>
          <cell r="N281">
            <v>1</v>
          </cell>
          <cell r="O281">
            <v>0</v>
          </cell>
          <cell r="P281">
            <v>0</v>
          </cell>
          <cell r="Q281">
            <v>1</v>
          </cell>
          <cell r="R281">
            <v>1</v>
          </cell>
          <cell r="S281">
            <v>0</v>
          </cell>
          <cell r="T281">
            <v>380</v>
          </cell>
          <cell r="U281">
            <v>380</v>
          </cell>
          <cell r="V281">
            <v>0</v>
          </cell>
          <cell r="W281">
            <v>173313</v>
          </cell>
          <cell r="X281">
            <v>173313</v>
          </cell>
          <cell r="Y281">
            <v>6957</v>
          </cell>
          <cell r="Z281">
            <v>180270</v>
          </cell>
          <cell r="AA281">
            <v>159308</v>
          </cell>
          <cell r="AB281">
            <v>4084</v>
          </cell>
          <cell r="AC281">
            <v>163392</v>
          </cell>
          <cell r="AD281">
            <v>150</v>
          </cell>
          <cell r="AE281">
            <v>387</v>
          </cell>
          <cell r="AF281">
            <v>46857</v>
          </cell>
          <cell r="AG281">
            <v>100</v>
          </cell>
          <cell r="AH281">
            <v>4578.2</v>
          </cell>
          <cell r="AI281">
            <v>23</v>
          </cell>
          <cell r="AJ281">
            <v>3731.24</v>
          </cell>
          <cell r="AK281">
            <v>6</v>
          </cell>
          <cell r="AL281">
            <v>3269.27</v>
          </cell>
          <cell r="AM281">
            <v>5</v>
          </cell>
          <cell r="AN281">
            <v>14772.29</v>
          </cell>
          <cell r="AO281">
            <v>29</v>
          </cell>
          <cell r="AP281">
            <v>26351.000000000004</v>
          </cell>
          <cell r="AQ281">
            <v>63</v>
          </cell>
          <cell r="AR281">
            <v>1006.64</v>
          </cell>
          <cell r="AS281">
            <v>12</v>
          </cell>
          <cell r="AT281">
            <v>689</v>
          </cell>
          <cell r="AU281">
            <v>4</v>
          </cell>
          <cell r="AV281">
            <v>370.33</v>
          </cell>
          <cell r="AW281">
            <v>1</v>
          </cell>
          <cell r="AX281">
            <v>9488.0300000000007</v>
          </cell>
          <cell r="AY281">
            <v>3</v>
          </cell>
          <cell r="AZ281">
            <v>11554</v>
          </cell>
          <cell r="BA281">
            <v>20</v>
          </cell>
          <cell r="BB281">
            <v>24055.61</v>
          </cell>
          <cell r="BC281">
            <v>50</v>
          </cell>
          <cell r="BD281">
            <v>20982.85</v>
          </cell>
          <cell r="BE281">
            <v>36</v>
          </cell>
          <cell r="BF281">
            <v>16074.25</v>
          </cell>
          <cell r="BG281">
            <v>52</v>
          </cell>
          <cell r="BH281">
            <v>39464.29</v>
          </cell>
          <cell r="BI281">
            <v>129</v>
          </cell>
          <cell r="BJ281">
            <v>100577</v>
          </cell>
          <cell r="BK281">
            <v>267</v>
          </cell>
          <cell r="BL281">
            <v>1467.3</v>
          </cell>
          <cell r="BM281">
            <v>9</v>
          </cell>
          <cell r="BN281">
            <v>1127.6400000000001</v>
          </cell>
          <cell r="BO281">
            <v>1</v>
          </cell>
          <cell r="BP281">
            <v>1008.98</v>
          </cell>
          <cell r="BQ281">
            <v>1</v>
          </cell>
          <cell r="BR281">
            <v>7242.08</v>
          </cell>
          <cell r="BS281">
            <v>10</v>
          </cell>
          <cell r="BT281">
            <v>10845.999999999998</v>
          </cell>
          <cell r="BU281">
            <v>21</v>
          </cell>
          <cell r="BV281">
            <v>206.66</v>
          </cell>
          <cell r="BW281">
            <v>0</v>
          </cell>
          <cell r="BX281">
            <v>206.66</v>
          </cell>
          <cell r="BY281">
            <v>0</v>
          </cell>
          <cell r="BZ281">
            <v>206.66</v>
          </cell>
          <cell r="CA281">
            <v>0</v>
          </cell>
          <cell r="CB281">
            <v>3115.02</v>
          </cell>
          <cell r="CC281">
            <v>2</v>
          </cell>
          <cell r="CD281">
            <v>3734.9999999999995</v>
          </cell>
          <cell r="CE281">
            <v>2</v>
          </cell>
          <cell r="CF281">
            <v>206.66</v>
          </cell>
          <cell r="CG281">
            <v>0</v>
          </cell>
          <cell r="CH281">
            <v>206.66</v>
          </cell>
          <cell r="CI281">
            <v>0</v>
          </cell>
          <cell r="CJ281">
            <v>206.66</v>
          </cell>
          <cell r="CK281">
            <v>0</v>
          </cell>
          <cell r="CL281">
            <v>1901.02</v>
          </cell>
          <cell r="CM281">
            <v>2</v>
          </cell>
          <cell r="CN281">
            <v>2520.9999999999995</v>
          </cell>
          <cell r="CO281">
            <v>2</v>
          </cell>
          <cell r="CP281">
            <v>67</v>
          </cell>
          <cell r="CQ281">
            <v>1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67</v>
          </cell>
          <cell r="CY281">
            <v>1</v>
          </cell>
          <cell r="CZ281">
            <v>206.66</v>
          </cell>
          <cell r="DA281">
            <v>1</v>
          </cell>
          <cell r="DB281">
            <v>206.66</v>
          </cell>
          <cell r="DC281">
            <v>0</v>
          </cell>
          <cell r="DD281">
            <v>206.66</v>
          </cell>
          <cell r="DE281">
            <v>0</v>
          </cell>
          <cell r="DF281">
            <v>1664.02</v>
          </cell>
          <cell r="DG281">
            <v>2</v>
          </cell>
          <cell r="DH281">
            <v>2284</v>
          </cell>
          <cell r="DI281">
            <v>3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>
            <v>103.33</v>
          </cell>
          <cell r="DU281">
            <v>0</v>
          </cell>
          <cell r="DV281">
            <v>103.33</v>
          </cell>
          <cell r="DW281">
            <v>0</v>
          </cell>
          <cell r="DX281">
            <v>103.33</v>
          </cell>
          <cell r="DY281">
            <v>0</v>
          </cell>
          <cell r="DZ281">
            <v>1063.01</v>
          </cell>
          <cell r="EA281">
            <v>1</v>
          </cell>
          <cell r="EB281">
            <v>1372.9999999999998</v>
          </cell>
          <cell r="EC281">
            <v>1</v>
          </cell>
          <cell r="ED281">
            <v>0</v>
          </cell>
          <cell r="EE281">
            <v>0</v>
          </cell>
          <cell r="EF281">
            <v>0</v>
          </cell>
          <cell r="EH281">
            <v>0</v>
          </cell>
          <cell r="EI281">
            <v>0</v>
          </cell>
        </row>
        <row r="282">
          <cell r="A282" t="str">
            <v>NovThulusdhoo</v>
          </cell>
          <cell r="B282" t="str">
            <v>Nov</v>
          </cell>
          <cell r="C282" t="str">
            <v>K.</v>
          </cell>
          <cell r="D282" t="str">
            <v>Thulusdhoo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0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0</v>
          </cell>
          <cell r="EE282">
            <v>0</v>
          </cell>
          <cell r="EF282">
            <v>0</v>
          </cell>
          <cell r="EH282">
            <v>0</v>
          </cell>
          <cell r="EI282">
            <v>0</v>
          </cell>
        </row>
        <row r="283">
          <cell r="A283" t="str">
            <v>DecThulusdhoo</v>
          </cell>
          <cell r="B283" t="str">
            <v>Dec</v>
          </cell>
          <cell r="C283" t="str">
            <v>K.</v>
          </cell>
          <cell r="D283" t="str">
            <v>Thulusdhoo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  <cell r="EF283">
            <v>0</v>
          </cell>
          <cell r="EH283">
            <v>0</v>
          </cell>
          <cell r="EI283">
            <v>0</v>
          </cell>
        </row>
        <row r="284">
          <cell r="A284" t="str">
            <v>JanUkulhas</v>
          </cell>
          <cell r="B284" t="str">
            <v>Jan</v>
          </cell>
          <cell r="C284" t="str">
            <v>AA.</v>
          </cell>
          <cell r="D284" t="str">
            <v>Ukulhas</v>
          </cell>
          <cell r="E284">
            <v>0</v>
          </cell>
          <cell r="F284">
            <v>63807</v>
          </cell>
          <cell r="G284">
            <v>246</v>
          </cell>
          <cell r="H284">
            <v>247</v>
          </cell>
          <cell r="I284">
            <v>4</v>
          </cell>
          <cell r="J284">
            <v>0</v>
          </cell>
          <cell r="K284">
            <v>251</v>
          </cell>
          <cell r="L284">
            <v>246</v>
          </cell>
          <cell r="M284">
            <v>5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251</v>
          </cell>
          <cell r="U284">
            <v>246</v>
          </cell>
          <cell r="V284">
            <v>5</v>
          </cell>
          <cell r="W284">
            <v>66701</v>
          </cell>
          <cell r="X284">
            <v>66701</v>
          </cell>
          <cell r="Y284">
            <v>0</v>
          </cell>
          <cell r="Z284">
            <v>66701</v>
          </cell>
          <cell r="AA284">
            <v>63807</v>
          </cell>
          <cell r="AB284">
            <v>2464</v>
          </cell>
          <cell r="AC284">
            <v>66271</v>
          </cell>
          <cell r="AD284">
            <v>62</v>
          </cell>
          <cell r="AE284">
            <v>152</v>
          </cell>
          <cell r="AF284">
            <v>20829</v>
          </cell>
          <cell r="AG284">
            <v>127</v>
          </cell>
          <cell r="AH284">
            <v>2109.06</v>
          </cell>
          <cell r="AI284">
            <v>9</v>
          </cell>
          <cell r="AJ284">
            <v>1636.36</v>
          </cell>
          <cell r="AK284">
            <v>5</v>
          </cell>
          <cell r="AL284">
            <v>1282.69</v>
          </cell>
          <cell r="AM284">
            <v>2</v>
          </cell>
          <cell r="AN284">
            <v>5203.8900000000003</v>
          </cell>
          <cell r="AO284">
            <v>11</v>
          </cell>
          <cell r="AP284">
            <v>10232</v>
          </cell>
          <cell r="AQ284">
            <v>27</v>
          </cell>
          <cell r="AR284">
            <v>320.01</v>
          </cell>
          <cell r="AS284">
            <v>2</v>
          </cell>
          <cell r="AT284">
            <v>244.67</v>
          </cell>
          <cell r="AU284">
            <v>1</v>
          </cell>
          <cell r="AV284">
            <v>170.33</v>
          </cell>
          <cell r="AW284">
            <v>1</v>
          </cell>
          <cell r="AX284">
            <v>419.99</v>
          </cell>
          <cell r="AY284">
            <v>1</v>
          </cell>
          <cell r="AZ284">
            <v>1155</v>
          </cell>
          <cell r="BA284">
            <v>5</v>
          </cell>
          <cell r="BB284">
            <v>17156.45</v>
          </cell>
          <cell r="BC284">
            <v>50</v>
          </cell>
          <cell r="BD284">
            <v>12839.47</v>
          </cell>
          <cell r="BE284">
            <v>49</v>
          </cell>
          <cell r="BF284">
            <v>6710.47</v>
          </cell>
          <cell r="BG284">
            <v>51</v>
          </cell>
          <cell r="BH284">
            <v>4582.6099999999997</v>
          </cell>
          <cell r="BI284">
            <v>39</v>
          </cell>
          <cell r="BJ284">
            <v>41289</v>
          </cell>
          <cell r="BK284">
            <v>189</v>
          </cell>
          <cell r="BL284">
            <v>1077.3599999999999</v>
          </cell>
          <cell r="BM284">
            <v>8</v>
          </cell>
          <cell r="BN284">
            <v>853.36</v>
          </cell>
          <cell r="BO284">
            <v>1</v>
          </cell>
          <cell r="BP284">
            <v>760.35</v>
          </cell>
          <cell r="BQ284">
            <v>7</v>
          </cell>
          <cell r="BR284">
            <v>1840.93</v>
          </cell>
          <cell r="BS284" t="str">
            <v xml:space="preserve"> -   </v>
          </cell>
          <cell r="BT284">
            <v>4532</v>
          </cell>
          <cell r="BU284">
            <v>16</v>
          </cell>
          <cell r="BV284">
            <v>213.34</v>
          </cell>
          <cell r="BW284" t="str">
            <v xml:space="preserve"> -   </v>
          </cell>
          <cell r="BX284">
            <v>213.34</v>
          </cell>
          <cell r="BY284" t="str">
            <v xml:space="preserve"> -   </v>
          </cell>
          <cell r="BZ284">
            <v>213.34</v>
          </cell>
          <cell r="CA284" t="str">
            <v xml:space="preserve"> -   </v>
          </cell>
          <cell r="CB284">
            <v>1681.98</v>
          </cell>
          <cell r="CC284">
            <v>2</v>
          </cell>
          <cell r="CD284">
            <v>2322</v>
          </cell>
          <cell r="CE284">
            <v>2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 t="str">
            <v xml:space="preserve"> -   </v>
          </cell>
          <cell r="CO284" t="str">
            <v xml:space="preserve"> -   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 t="str">
            <v xml:space="preserve"> -   </v>
          </cell>
          <cell r="CY284" t="str">
            <v xml:space="preserve"> -   </v>
          </cell>
          <cell r="CZ284">
            <v>320.01</v>
          </cell>
          <cell r="DA284" t="str">
            <v xml:space="preserve"> -   </v>
          </cell>
          <cell r="DB284">
            <v>320.01</v>
          </cell>
          <cell r="DC284" t="str">
            <v xml:space="preserve"> -   </v>
          </cell>
          <cell r="DD284">
            <v>320.01</v>
          </cell>
          <cell r="DE284" t="str">
            <v xml:space="preserve"> -   </v>
          </cell>
          <cell r="DF284">
            <v>2463.9699999999998</v>
          </cell>
          <cell r="DG284">
            <v>3</v>
          </cell>
          <cell r="DH284">
            <v>3424</v>
          </cell>
          <cell r="DI284">
            <v>3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 t="str">
            <v xml:space="preserve"> -   </v>
          </cell>
          <cell r="DS284" t="str">
            <v xml:space="preserve"> -   </v>
          </cell>
          <cell r="DT284">
            <v>119.67</v>
          </cell>
          <cell r="DU284">
            <v>3</v>
          </cell>
          <cell r="DV284">
            <v>106.67</v>
          </cell>
          <cell r="DW284" t="str">
            <v xml:space="preserve"> -   </v>
          </cell>
          <cell r="DX284">
            <v>106.67</v>
          </cell>
          <cell r="DY284" t="str">
            <v xml:space="preserve"> -   </v>
          </cell>
          <cell r="DZ284">
            <v>519.99</v>
          </cell>
          <cell r="EA284">
            <v>1</v>
          </cell>
          <cell r="EB284">
            <v>853</v>
          </cell>
          <cell r="EC284">
            <v>4</v>
          </cell>
          <cell r="ED284">
            <v>0</v>
          </cell>
          <cell r="EE284">
            <v>0</v>
          </cell>
          <cell r="EF284">
            <v>0</v>
          </cell>
          <cell r="EH284">
            <v>0</v>
          </cell>
          <cell r="EI284">
            <v>0</v>
          </cell>
        </row>
        <row r="285">
          <cell r="A285" t="str">
            <v>FebUkulhas</v>
          </cell>
          <cell r="B285" t="str">
            <v>Feb</v>
          </cell>
          <cell r="C285" t="str">
            <v>AA.</v>
          </cell>
          <cell r="D285" t="str">
            <v>Ukulhas</v>
          </cell>
          <cell r="E285">
            <v>0</v>
          </cell>
          <cell r="F285">
            <v>66524</v>
          </cell>
          <cell r="G285">
            <v>242</v>
          </cell>
          <cell r="H285">
            <v>251</v>
          </cell>
          <cell r="I285">
            <v>3</v>
          </cell>
          <cell r="J285">
            <v>0</v>
          </cell>
          <cell r="K285">
            <v>254</v>
          </cell>
          <cell r="L285">
            <v>241</v>
          </cell>
          <cell r="M285">
            <v>13</v>
          </cell>
          <cell r="N285">
            <v>0</v>
          </cell>
          <cell r="O285">
            <v>1</v>
          </cell>
          <cell r="P285">
            <v>0</v>
          </cell>
          <cell r="Q285">
            <v>1</v>
          </cell>
          <cell r="R285">
            <v>1</v>
          </cell>
          <cell r="S285">
            <v>0</v>
          </cell>
          <cell r="T285">
            <v>255</v>
          </cell>
          <cell r="U285">
            <v>242</v>
          </cell>
          <cell r="V285">
            <v>13</v>
          </cell>
          <cell r="W285">
            <v>65929</v>
          </cell>
          <cell r="X285">
            <v>73379.53</v>
          </cell>
          <cell r="Y285">
            <v>0</v>
          </cell>
          <cell r="Z285">
            <v>73379.53</v>
          </cell>
          <cell r="AA285">
            <v>66524</v>
          </cell>
          <cell r="AB285">
            <v>2055</v>
          </cell>
          <cell r="AC285">
            <v>68579</v>
          </cell>
          <cell r="AD285">
            <v>68</v>
          </cell>
          <cell r="AE285">
            <v>172</v>
          </cell>
          <cell r="AF285">
            <v>19840.38</v>
          </cell>
          <cell r="AG285">
            <v>118.5</v>
          </cell>
          <cell r="AH285">
            <v>2035.61</v>
          </cell>
          <cell r="AI285">
            <v>9</v>
          </cell>
          <cell r="AJ285">
            <v>1762.63</v>
          </cell>
          <cell r="AK285">
            <v>3</v>
          </cell>
          <cell r="AL285">
            <v>1412.65</v>
          </cell>
          <cell r="AM285">
            <v>3</v>
          </cell>
          <cell r="AN285">
            <v>5680.11</v>
          </cell>
          <cell r="AO285">
            <v>13</v>
          </cell>
          <cell r="AP285">
            <v>10890.999999999998</v>
          </cell>
          <cell r="AQ285">
            <v>28</v>
          </cell>
          <cell r="AR285">
            <v>175.33</v>
          </cell>
          <cell r="AS285">
            <v>3</v>
          </cell>
          <cell r="AT285">
            <v>103.33</v>
          </cell>
          <cell r="AU285">
            <v>0</v>
          </cell>
          <cell r="AV285">
            <v>103.33</v>
          </cell>
          <cell r="AW285">
            <v>0</v>
          </cell>
          <cell r="AX285">
            <v>562.01</v>
          </cell>
          <cell r="AY285">
            <v>1</v>
          </cell>
          <cell r="AZ285">
            <v>944.00000000000011</v>
          </cell>
          <cell r="BA285">
            <v>4</v>
          </cell>
          <cell r="BB285">
            <v>16416.2</v>
          </cell>
          <cell r="BC285">
            <v>43</v>
          </cell>
          <cell r="BD285">
            <v>12820.16</v>
          </cell>
          <cell r="BE285">
            <v>44</v>
          </cell>
          <cell r="BF285">
            <v>6922.26</v>
          </cell>
          <cell r="BG285">
            <v>60</v>
          </cell>
          <cell r="BH285">
            <v>5956.38</v>
          </cell>
          <cell r="BI285">
            <v>38</v>
          </cell>
          <cell r="BJ285">
            <v>42115.000000000007</v>
          </cell>
          <cell r="BK285">
            <v>185</v>
          </cell>
          <cell r="BL285">
            <v>1100.97</v>
          </cell>
          <cell r="BM285">
            <v>6</v>
          </cell>
          <cell r="BN285">
            <v>848.31</v>
          </cell>
          <cell r="BO285">
            <v>1</v>
          </cell>
          <cell r="BP285">
            <v>821.65</v>
          </cell>
          <cell r="BQ285">
            <v>1</v>
          </cell>
          <cell r="BR285">
            <v>2496.0700000000002</v>
          </cell>
          <cell r="BS285">
            <v>7</v>
          </cell>
          <cell r="BT285">
            <v>5267</v>
          </cell>
          <cell r="BU285">
            <v>15</v>
          </cell>
          <cell r="BV285">
            <v>206.66</v>
          </cell>
          <cell r="BW285">
            <v>0</v>
          </cell>
          <cell r="BX285">
            <v>206.66</v>
          </cell>
          <cell r="BY285">
            <v>0</v>
          </cell>
          <cell r="BZ285">
            <v>205.67</v>
          </cell>
          <cell r="CA285">
            <v>1</v>
          </cell>
          <cell r="CB285">
            <v>3467.01</v>
          </cell>
          <cell r="CC285">
            <v>1</v>
          </cell>
          <cell r="CD285">
            <v>4086</v>
          </cell>
          <cell r="CE285">
            <v>2</v>
          </cell>
          <cell r="CF285">
            <v>0</v>
          </cell>
          <cell r="CG285">
            <v>1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1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309.99</v>
          </cell>
          <cell r="DA285">
            <v>0</v>
          </cell>
          <cell r="DB285">
            <v>309.99</v>
          </cell>
          <cell r="DC285">
            <v>0</v>
          </cell>
          <cell r="DD285">
            <v>309.99</v>
          </cell>
          <cell r="DE285">
            <v>0</v>
          </cell>
          <cell r="DF285">
            <v>1911.03</v>
          </cell>
          <cell r="DG285">
            <v>3</v>
          </cell>
          <cell r="DH285">
            <v>2841</v>
          </cell>
          <cell r="DI285">
            <v>3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103.33</v>
          </cell>
          <cell r="DU285">
            <v>3</v>
          </cell>
          <cell r="DV285">
            <v>103.33</v>
          </cell>
          <cell r="DW285">
            <v>0</v>
          </cell>
          <cell r="DX285">
            <v>103.33</v>
          </cell>
          <cell r="DY285">
            <v>0</v>
          </cell>
          <cell r="DZ285">
            <v>70.010000000000005</v>
          </cell>
          <cell r="EA285">
            <v>1</v>
          </cell>
          <cell r="EB285">
            <v>380</v>
          </cell>
          <cell r="EC285">
            <v>4</v>
          </cell>
          <cell r="ED285">
            <v>0</v>
          </cell>
          <cell r="EE285">
            <v>0</v>
          </cell>
          <cell r="EF285">
            <v>0</v>
          </cell>
          <cell r="EH285">
            <v>0</v>
          </cell>
          <cell r="EI285">
            <v>0</v>
          </cell>
        </row>
        <row r="286">
          <cell r="A286" t="str">
            <v>MarUkulhas</v>
          </cell>
          <cell r="B286" t="str">
            <v>Mar</v>
          </cell>
          <cell r="C286" t="str">
            <v>AA.</v>
          </cell>
          <cell r="D286" t="str">
            <v>Ukulhas</v>
          </cell>
          <cell r="E286">
            <v>0</v>
          </cell>
          <cell r="F286">
            <v>63003.67</v>
          </cell>
          <cell r="G286">
            <v>244</v>
          </cell>
          <cell r="H286">
            <v>254</v>
          </cell>
          <cell r="I286">
            <v>0</v>
          </cell>
          <cell r="J286">
            <v>0</v>
          </cell>
          <cell r="K286">
            <v>254</v>
          </cell>
          <cell r="L286">
            <v>243</v>
          </cell>
          <cell r="M286">
            <v>11</v>
          </cell>
          <cell r="N286">
            <v>1</v>
          </cell>
          <cell r="O286">
            <v>1</v>
          </cell>
          <cell r="P286">
            <v>1</v>
          </cell>
          <cell r="Q286">
            <v>1</v>
          </cell>
          <cell r="R286">
            <v>1</v>
          </cell>
          <cell r="S286">
            <v>1</v>
          </cell>
          <cell r="T286">
            <v>255</v>
          </cell>
          <cell r="U286">
            <v>244</v>
          </cell>
          <cell r="V286">
            <v>12</v>
          </cell>
          <cell r="W286">
            <v>82559</v>
          </cell>
          <cell r="X286">
            <v>82559</v>
          </cell>
          <cell r="Y286">
            <v>0</v>
          </cell>
          <cell r="Z286">
            <v>82559</v>
          </cell>
          <cell r="AA286">
            <v>63003.67</v>
          </cell>
          <cell r="AB286">
            <v>2196</v>
          </cell>
          <cell r="AC286">
            <v>65199.67</v>
          </cell>
          <cell r="AD286">
            <v>75</v>
          </cell>
          <cell r="AE286">
            <v>184</v>
          </cell>
          <cell r="AF286">
            <v>24475.26</v>
          </cell>
          <cell r="AG286">
            <v>91</v>
          </cell>
          <cell r="AH286">
            <v>1823</v>
          </cell>
          <cell r="AI286">
            <v>9</v>
          </cell>
          <cell r="AJ286">
            <v>1420.33</v>
          </cell>
          <cell r="AK286">
            <v>2</v>
          </cell>
          <cell r="AL286">
            <v>1178.3399999999999</v>
          </cell>
          <cell r="AM286">
            <v>5</v>
          </cell>
          <cell r="AN286">
            <v>5431</v>
          </cell>
          <cell r="AO286">
            <v>10</v>
          </cell>
          <cell r="AP286">
            <v>9852.67</v>
          </cell>
          <cell r="AQ286">
            <v>26</v>
          </cell>
          <cell r="AR286">
            <v>380</v>
          </cell>
          <cell r="AS286">
            <v>2</v>
          </cell>
          <cell r="AT286">
            <v>298</v>
          </cell>
          <cell r="AU286">
            <v>1</v>
          </cell>
          <cell r="AV286">
            <v>290</v>
          </cell>
          <cell r="AW286">
            <v>0</v>
          </cell>
          <cell r="AX286">
            <v>413</v>
          </cell>
          <cell r="AY286">
            <v>2</v>
          </cell>
          <cell r="AZ286">
            <v>1381</v>
          </cell>
          <cell r="BA286">
            <v>5</v>
          </cell>
          <cell r="BB286">
            <v>15119.3</v>
          </cell>
          <cell r="BC286">
            <v>39</v>
          </cell>
          <cell r="BD286">
            <v>12073.32</v>
          </cell>
          <cell r="BE286">
            <v>43</v>
          </cell>
          <cell r="BF286">
            <v>7461.32</v>
          </cell>
          <cell r="BG286">
            <v>58</v>
          </cell>
          <cell r="BH286">
            <v>6113.06</v>
          </cell>
          <cell r="BI286">
            <v>49</v>
          </cell>
          <cell r="BJ286">
            <v>40767</v>
          </cell>
          <cell r="BK286">
            <v>189</v>
          </cell>
          <cell r="BL286">
            <v>984.33</v>
          </cell>
          <cell r="BM286">
            <v>7</v>
          </cell>
          <cell r="BN286">
            <v>882.33</v>
          </cell>
          <cell r="BO286">
            <v>1</v>
          </cell>
          <cell r="BP286">
            <v>740.33</v>
          </cell>
          <cell r="BQ286">
            <v>1</v>
          </cell>
          <cell r="BR286">
            <v>2879.01</v>
          </cell>
          <cell r="BS286">
            <v>7</v>
          </cell>
          <cell r="BT286">
            <v>5486</v>
          </cell>
          <cell r="BU286">
            <v>16</v>
          </cell>
          <cell r="BV286">
            <v>180</v>
          </cell>
          <cell r="BW286">
            <v>0</v>
          </cell>
          <cell r="BX286">
            <v>180</v>
          </cell>
          <cell r="BY286">
            <v>0</v>
          </cell>
          <cell r="BZ286">
            <v>180</v>
          </cell>
          <cell r="CA286">
            <v>0</v>
          </cell>
          <cell r="CB286">
            <v>2501</v>
          </cell>
          <cell r="CC286">
            <v>2</v>
          </cell>
          <cell r="CD286">
            <v>3041</v>
          </cell>
          <cell r="CE286">
            <v>2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270</v>
          </cell>
          <cell r="DA286">
            <v>0</v>
          </cell>
          <cell r="DB286">
            <v>270</v>
          </cell>
          <cell r="DC286">
            <v>0</v>
          </cell>
          <cell r="DD286">
            <v>270</v>
          </cell>
          <cell r="DE286">
            <v>0</v>
          </cell>
          <cell r="DF286">
            <v>1666</v>
          </cell>
          <cell r="DG286">
            <v>3</v>
          </cell>
          <cell r="DH286">
            <v>2476</v>
          </cell>
          <cell r="DI286">
            <v>3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3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3</v>
          </cell>
          <cell r="ED286">
            <v>0</v>
          </cell>
          <cell r="EE286">
            <v>0</v>
          </cell>
          <cell r="EF286">
            <v>0</v>
          </cell>
          <cell r="EH286">
            <v>0</v>
          </cell>
          <cell r="EI286">
            <v>0</v>
          </cell>
        </row>
        <row r="287">
          <cell r="A287" t="str">
            <v>AprUkulhas</v>
          </cell>
          <cell r="B287" t="str">
            <v>Apr</v>
          </cell>
          <cell r="C287" t="str">
            <v>AA.</v>
          </cell>
          <cell r="D287" t="str">
            <v>Ukulhas</v>
          </cell>
          <cell r="E287" t="str">
            <v>billed normal &amp; temp less than billed cons.</v>
          </cell>
          <cell r="F287">
            <v>86550</v>
          </cell>
          <cell r="G287">
            <v>251</v>
          </cell>
          <cell r="H287">
            <v>254</v>
          </cell>
          <cell r="I287">
            <v>0</v>
          </cell>
          <cell r="J287">
            <v>0</v>
          </cell>
          <cell r="K287">
            <v>254</v>
          </cell>
          <cell r="L287">
            <v>249</v>
          </cell>
          <cell r="M287">
            <v>5</v>
          </cell>
          <cell r="N287">
            <v>1</v>
          </cell>
          <cell r="O287">
            <v>0</v>
          </cell>
          <cell r="P287">
            <v>1</v>
          </cell>
          <cell r="Q287">
            <v>0</v>
          </cell>
          <cell r="R287">
            <v>0</v>
          </cell>
          <cell r="S287">
            <v>1</v>
          </cell>
          <cell r="T287">
            <v>254</v>
          </cell>
          <cell r="U287">
            <v>249</v>
          </cell>
          <cell r="V287">
            <v>6</v>
          </cell>
          <cell r="W287">
            <v>97138</v>
          </cell>
          <cell r="X287">
            <v>97138</v>
          </cell>
          <cell r="Y287">
            <v>0</v>
          </cell>
          <cell r="Z287">
            <v>97138</v>
          </cell>
          <cell r="AA287">
            <v>86550</v>
          </cell>
          <cell r="AB287">
            <v>2201</v>
          </cell>
          <cell r="AC287">
            <v>88751</v>
          </cell>
          <cell r="AD287">
            <v>80</v>
          </cell>
          <cell r="AE287">
            <v>191</v>
          </cell>
          <cell r="AF287">
            <v>27551.88</v>
          </cell>
          <cell r="AG287">
            <v>116</v>
          </cell>
          <cell r="AH287">
            <v>2151</v>
          </cell>
          <cell r="AI287">
            <v>6</v>
          </cell>
          <cell r="AJ287">
            <v>1944.66</v>
          </cell>
          <cell r="AK287">
            <v>5</v>
          </cell>
          <cell r="AL287">
            <v>1586.34</v>
          </cell>
          <cell r="AM287">
            <v>4</v>
          </cell>
          <cell r="AN287">
            <v>5702</v>
          </cell>
          <cell r="AO287">
            <v>12</v>
          </cell>
          <cell r="AP287">
            <v>11384</v>
          </cell>
          <cell r="AQ287">
            <v>27</v>
          </cell>
          <cell r="AR287">
            <v>313.33999999999997</v>
          </cell>
          <cell r="AS287">
            <v>2</v>
          </cell>
          <cell r="AT287">
            <v>248.34</v>
          </cell>
          <cell r="AU287">
            <v>1</v>
          </cell>
          <cell r="AV287">
            <v>213.34</v>
          </cell>
          <cell r="AW287">
            <v>2</v>
          </cell>
          <cell r="AX287">
            <v>492.98</v>
          </cell>
          <cell r="AY287">
            <v>0</v>
          </cell>
          <cell r="AZ287">
            <v>1267.9999999999998</v>
          </cell>
          <cell r="BA287">
            <v>5</v>
          </cell>
          <cell r="BB287">
            <v>16249.01</v>
          </cell>
          <cell r="BC287">
            <v>43</v>
          </cell>
          <cell r="BD287">
            <v>13111.69</v>
          </cell>
          <cell r="BE287">
            <v>38</v>
          </cell>
          <cell r="BF287">
            <v>8648.33</v>
          </cell>
          <cell r="BG287">
            <v>47</v>
          </cell>
          <cell r="BH287">
            <v>9274.9699999999993</v>
          </cell>
          <cell r="BI287">
            <v>65</v>
          </cell>
          <cell r="BJ287">
            <v>47284</v>
          </cell>
          <cell r="BK287">
            <v>193</v>
          </cell>
          <cell r="BL287">
            <v>834.67</v>
          </cell>
          <cell r="BM287">
            <v>7</v>
          </cell>
          <cell r="BN287">
            <v>746.67</v>
          </cell>
          <cell r="BO287">
            <v>0</v>
          </cell>
          <cell r="BP287">
            <v>681.67</v>
          </cell>
          <cell r="BQ287">
            <v>1</v>
          </cell>
          <cell r="BR287">
            <v>2670.99</v>
          </cell>
          <cell r="BS287">
            <v>7</v>
          </cell>
          <cell r="BT287">
            <v>4934</v>
          </cell>
          <cell r="BU287">
            <v>15</v>
          </cell>
          <cell r="BV287">
            <v>200</v>
          </cell>
          <cell r="BW287">
            <v>0</v>
          </cell>
          <cell r="BX287">
            <v>200</v>
          </cell>
          <cell r="BY287">
            <v>0</v>
          </cell>
          <cell r="BZ287">
            <v>200</v>
          </cell>
          <cell r="CA287">
            <v>0</v>
          </cell>
          <cell r="CB287">
            <v>2930</v>
          </cell>
          <cell r="CC287">
            <v>2</v>
          </cell>
          <cell r="CD287">
            <v>3530</v>
          </cell>
          <cell r="CE287">
            <v>2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300</v>
          </cell>
          <cell r="DA287">
            <v>0</v>
          </cell>
          <cell r="DB287">
            <v>300</v>
          </cell>
          <cell r="DC287">
            <v>0</v>
          </cell>
          <cell r="DD287">
            <v>300</v>
          </cell>
          <cell r="DE287">
            <v>0</v>
          </cell>
          <cell r="DF287">
            <v>1850</v>
          </cell>
          <cell r="DG287">
            <v>3</v>
          </cell>
          <cell r="DH287">
            <v>2750</v>
          </cell>
          <cell r="DI287">
            <v>3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190</v>
          </cell>
          <cell r="DU287">
            <v>3</v>
          </cell>
          <cell r="DV287">
            <v>190</v>
          </cell>
          <cell r="DW287">
            <v>0</v>
          </cell>
          <cell r="DX287">
            <v>190</v>
          </cell>
          <cell r="DY287">
            <v>0</v>
          </cell>
          <cell r="DZ287">
            <v>14830</v>
          </cell>
          <cell r="EA287">
            <v>3</v>
          </cell>
          <cell r="EB287">
            <v>15400</v>
          </cell>
          <cell r="EC287">
            <v>6</v>
          </cell>
          <cell r="ED287">
            <v>0</v>
          </cell>
          <cell r="EE287">
            <v>0</v>
          </cell>
          <cell r="EF287">
            <v>0</v>
          </cell>
          <cell r="EH287">
            <v>0</v>
          </cell>
          <cell r="EI287">
            <v>0</v>
          </cell>
        </row>
        <row r="288">
          <cell r="A288" t="str">
            <v>MayUkulhas</v>
          </cell>
          <cell r="B288" t="str">
            <v>May</v>
          </cell>
          <cell r="C288" t="str">
            <v>AA.</v>
          </cell>
          <cell r="D288" t="str">
            <v>Ukulhas</v>
          </cell>
          <cell r="E288" t="str">
            <v>usage units more than billed</v>
          </cell>
          <cell r="F288">
            <v>82494.3</v>
          </cell>
          <cell r="G288">
            <v>273</v>
          </cell>
          <cell r="H288">
            <v>254</v>
          </cell>
          <cell r="I288">
            <v>34</v>
          </cell>
          <cell r="J288">
            <v>0</v>
          </cell>
          <cell r="K288">
            <v>288</v>
          </cell>
          <cell r="L288">
            <v>271</v>
          </cell>
          <cell r="M288">
            <v>17</v>
          </cell>
          <cell r="N288">
            <v>0</v>
          </cell>
          <cell r="O288">
            <v>2</v>
          </cell>
          <cell r="P288">
            <v>0</v>
          </cell>
          <cell r="Q288">
            <v>2</v>
          </cell>
          <cell r="R288">
            <v>2</v>
          </cell>
          <cell r="S288">
            <v>0</v>
          </cell>
          <cell r="T288">
            <v>290</v>
          </cell>
          <cell r="U288">
            <v>273</v>
          </cell>
          <cell r="V288">
            <v>17</v>
          </cell>
          <cell r="W288">
            <v>86615</v>
          </cell>
          <cell r="X288">
            <v>86615</v>
          </cell>
          <cell r="Y288">
            <v>0</v>
          </cell>
          <cell r="Z288">
            <v>86615</v>
          </cell>
          <cell r="AA288">
            <v>82494</v>
          </cell>
          <cell r="AB288">
            <v>1633</v>
          </cell>
          <cell r="AC288">
            <v>84127</v>
          </cell>
          <cell r="AD288">
            <v>76</v>
          </cell>
          <cell r="AE288">
            <v>182</v>
          </cell>
          <cell r="AF288">
            <v>25386.84</v>
          </cell>
          <cell r="AG288">
            <v>121.5</v>
          </cell>
          <cell r="AH288">
            <v>1969.33</v>
          </cell>
          <cell r="AI288">
            <v>10</v>
          </cell>
          <cell r="AJ288">
            <v>1597.33</v>
          </cell>
          <cell r="AK288">
            <v>3</v>
          </cell>
          <cell r="AL288">
            <v>1343.34</v>
          </cell>
          <cell r="AM288">
            <v>4</v>
          </cell>
          <cell r="AN288">
            <v>4479</v>
          </cell>
          <cell r="AO288">
            <v>11</v>
          </cell>
          <cell r="AP288">
            <v>9389</v>
          </cell>
          <cell r="AQ288">
            <v>28</v>
          </cell>
          <cell r="AR288">
            <v>294</v>
          </cell>
          <cell r="AS288">
            <v>2</v>
          </cell>
          <cell r="AT288">
            <v>217</v>
          </cell>
          <cell r="AU288">
            <v>1</v>
          </cell>
          <cell r="AV288">
            <v>170</v>
          </cell>
          <cell r="AW288">
            <v>1</v>
          </cell>
          <cell r="AX288">
            <v>584</v>
          </cell>
          <cell r="AY288">
            <v>1</v>
          </cell>
          <cell r="AZ288">
            <v>1265</v>
          </cell>
          <cell r="BA288">
            <v>5</v>
          </cell>
          <cell r="BB288">
            <v>16204.66</v>
          </cell>
          <cell r="BC288">
            <v>63</v>
          </cell>
          <cell r="BD288">
            <v>13836.66</v>
          </cell>
          <cell r="BE288">
            <v>33</v>
          </cell>
          <cell r="BF288">
            <v>9098.68</v>
          </cell>
          <cell r="BG288">
            <v>53</v>
          </cell>
          <cell r="BH288">
            <v>8853</v>
          </cell>
          <cell r="BI288">
            <v>64</v>
          </cell>
          <cell r="BJ288">
            <v>47993</v>
          </cell>
          <cell r="BK288">
            <v>213</v>
          </cell>
          <cell r="BL288">
            <v>934</v>
          </cell>
          <cell r="BM288">
            <v>9</v>
          </cell>
          <cell r="BN288">
            <v>780</v>
          </cell>
          <cell r="BO288">
            <v>0</v>
          </cell>
          <cell r="BP288">
            <v>780</v>
          </cell>
          <cell r="BQ288">
            <v>0</v>
          </cell>
          <cell r="BR288">
            <v>3424</v>
          </cell>
          <cell r="BS288">
            <v>8</v>
          </cell>
          <cell r="BT288">
            <v>5918</v>
          </cell>
          <cell r="BU288">
            <v>17</v>
          </cell>
          <cell r="BV288">
            <v>200</v>
          </cell>
          <cell r="BW288">
            <v>0</v>
          </cell>
          <cell r="BX288">
            <v>200</v>
          </cell>
          <cell r="BY288">
            <v>0</v>
          </cell>
          <cell r="BZ288">
            <v>200</v>
          </cell>
          <cell r="CA288">
            <v>0</v>
          </cell>
          <cell r="CB288">
            <v>4517</v>
          </cell>
          <cell r="CC288">
            <v>2</v>
          </cell>
          <cell r="CD288">
            <v>5117</v>
          </cell>
          <cell r="CE288">
            <v>2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300</v>
          </cell>
          <cell r="DA288">
            <v>0</v>
          </cell>
          <cell r="DB288">
            <v>300</v>
          </cell>
          <cell r="DC288">
            <v>0</v>
          </cell>
          <cell r="DD288">
            <v>300</v>
          </cell>
          <cell r="DE288">
            <v>0</v>
          </cell>
          <cell r="DF288">
            <v>1912.3</v>
          </cell>
          <cell r="DG288">
            <v>3</v>
          </cell>
          <cell r="DH288">
            <v>2812.3</v>
          </cell>
          <cell r="DI288">
            <v>3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100</v>
          </cell>
          <cell r="DU288">
            <v>4</v>
          </cell>
          <cell r="DV288">
            <v>100</v>
          </cell>
          <cell r="DW288">
            <v>0</v>
          </cell>
          <cell r="DX288">
            <v>100</v>
          </cell>
          <cell r="DY288">
            <v>0</v>
          </cell>
          <cell r="DZ288">
            <v>9700</v>
          </cell>
          <cell r="EA288">
            <v>1</v>
          </cell>
          <cell r="EB288">
            <v>10000</v>
          </cell>
          <cell r="EC288">
            <v>5</v>
          </cell>
          <cell r="ED288">
            <v>0</v>
          </cell>
          <cell r="EE288">
            <v>0</v>
          </cell>
          <cell r="EF288">
            <v>0</v>
          </cell>
          <cell r="EH288">
            <v>0</v>
          </cell>
          <cell r="EI288">
            <v>0</v>
          </cell>
        </row>
        <row r="289">
          <cell r="A289" t="str">
            <v>JunUkulhas</v>
          </cell>
          <cell r="B289" t="str">
            <v>Jun</v>
          </cell>
          <cell r="C289" t="str">
            <v>AA.</v>
          </cell>
          <cell r="D289" t="str">
            <v>Ukulhas</v>
          </cell>
          <cell r="E289">
            <v>0</v>
          </cell>
          <cell r="F289">
            <v>81188</v>
          </cell>
          <cell r="G289">
            <v>284</v>
          </cell>
          <cell r="H289">
            <v>288</v>
          </cell>
          <cell r="I289">
            <v>2</v>
          </cell>
          <cell r="J289">
            <v>0</v>
          </cell>
          <cell r="K289">
            <v>290</v>
          </cell>
          <cell r="L289">
            <v>284</v>
          </cell>
          <cell r="M289">
            <v>6</v>
          </cell>
          <cell r="N289">
            <v>2</v>
          </cell>
          <cell r="O289">
            <v>0</v>
          </cell>
          <cell r="P289">
            <v>2</v>
          </cell>
          <cell r="Q289">
            <v>0</v>
          </cell>
          <cell r="R289">
            <v>0</v>
          </cell>
          <cell r="S289">
            <v>2</v>
          </cell>
          <cell r="T289">
            <v>290</v>
          </cell>
          <cell r="U289">
            <v>284</v>
          </cell>
          <cell r="V289">
            <v>8</v>
          </cell>
          <cell r="W289">
            <v>84000</v>
          </cell>
          <cell r="X289">
            <v>84000</v>
          </cell>
          <cell r="Y289">
            <v>0</v>
          </cell>
          <cell r="Z289">
            <v>84000</v>
          </cell>
          <cell r="AA289">
            <v>81188</v>
          </cell>
          <cell r="AB289">
            <v>1430</v>
          </cell>
          <cell r="AC289">
            <v>82618</v>
          </cell>
          <cell r="AD289">
            <v>65</v>
          </cell>
          <cell r="AE289">
            <v>196</v>
          </cell>
          <cell r="AF289">
            <v>24793.200000000001</v>
          </cell>
          <cell r="AG289">
            <v>78</v>
          </cell>
          <cell r="AH289">
            <v>1920.39</v>
          </cell>
          <cell r="AI289">
            <v>11</v>
          </cell>
          <cell r="AJ289">
            <v>1603.71</v>
          </cell>
          <cell r="AK289">
            <v>2</v>
          </cell>
          <cell r="AL289">
            <v>1415.02</v>
          </cell>
          <cell r="AM289">
            <v>3</v>
          </cell>
          <cell r="AN289">
            <v>3974.88</v>
          </cell>
          <cell r="AO289">
            <v>12</v>
          </cell>
          <cell r="AP289">
            <v>8914</v>
          </cell>
          <cell r="AQ289">
            <v>28</v>
          </cell>
          <cell r="AR289">
            <v>388.01</v>
          </cell>
          <cell r="AS289">
            <v>2</v>
          </cell>
          <cell r="AT289">
            <v>215.67</v>
          </cell>
          <cell r="AU289">
            <v>1</v>
          </cell>
          <cell r="AV289">
            <v>198.33</v>
          </cell>
          <cell r="AW289">
            <v>1</v>
          </cell>
          <cell r="AX289">
            <v>386.99</v>
          </cell>
          <cell r="AY289">
            <v>1</v>
          </cell>
          <cell r="AZ289">
            <v>1189</v>
          </cell>
          <cell r="BA289">
            <v>5</v>
          </cell>
          <cell r="BB289">
            <v>18350.189999999999</v>
          </cell>
          <cell r="BC289">
            <v>65</v>
          </cell>
          <cell r="BD289">
            <v>15221.57</v>
          </cell>
          <cell r="BE289">
            <v>43</v>
          </cell>
          <cell r="BF289">
            <v>9442.82</v>
          </cell>
          <cell r="BG289">
            <v>57</v>
          </cell>
          <cell r="BH289">
            <v>8991.42</v>
          </cell>
          <cell r="BI289">
            <v>58</v>
          </cell>
          <cell r="BJ289">
            <v>52006</v>
          </cell>
          <cell r="BK289">
            <v>223</v>
          </cell>
          <cell r="BL289">
            <v>936.36</v>
          </cell>
          <cell r="BM289">
            <v>9</v>
          </cell>
          <cell r="BN289">
            <v>853.36</v>
          </cell>
          <cell r="BO289">
            <v>0</v>
          </cell>
          <cell r="BP289">
            <v>830.35</v>
          </cell>
          <cell r="BQ289">
            <v>1</v>
          </cell>
          <cell r="BR289">
            <v>3197.93</v>
          </cell>
          <cell r="BS289">
            <v>7</v>
          </cell>
          <cell r="BT289">
            <v>5818</v>
          </cell>
          <cell r="BU289">
            <v>17</v>
          </cell>
          <cell r="BV289">
            <v>213.34</v>
          </cell>
          <cell r="BW289">
            <v>0</v>
          </cell>
          <cell r="BX289">
            <v>213.34</v>
          </cell>
          <cell r="BY289">
            <v>0</v>
          </cell>
          <cell r="BZ289">
            <v>182.33</v>
          </cell>
          <cell r="CA289">
            <v>1</v>
          </cell>
          <cell r="CB289">
            <v>3279.99</v>
          </cell>
          <cell r="CC289">
            <v>1</v>
          </cell>
          <cell r="CD289">
            <v>3889</v>
          </cell>
          <cell r="CE289">
            <v>2</v>
          </cell>
          <cell r="CF289">
            <v>0</v>
          </cell>
          <cell r="CG289">
            <v>1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1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320.01</v>
          </cell>
          <cell r="DA289">
            <v>0</v>
          </cell>
          <cell r="DB289">
            <v>320.01</v>
          </cell>
          <cell r="DC289">
            <v>0</v>
          </cell>
          <cell r="DD289">
            <v>320.01</v>
          </cell>
          <cell r="DE289">
            <v>0</v>
          </cell>
          <cell r="DF289">
            <v>1971.97</v>
          </cell>
          <cell r="DG289">
            <v>3</v>
          </cell>
          <cell r="DH289">
            <v>2932</v>
          </cell>
          <cell r="DI289">
            <v>3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106.67</v>
          </cell>
          <cell r="DU289">
            <v>4</v>
          </cell>
          <cell r="DV289">
            <v>106.67</v>
          </cell>
          <cell r="DW289">
            <v>0</v>
          </cell>
          <cell r="DX289">
            <v>106.67</v>
          </cell>
          <cell r="DY289">
            <v>0</v>
          </cell>
          <cell r="DZ289">
            <v>6119.99</v>
          </cell>
          <cell r="EA289">
            <v>1</v>
          </cell>
          <cell r="EB289">
            <v>6440</v>
          </cell>
          <cell r="EC289">
            <v>5</v>
          </cell>
          <cell r="ED289">
            <v>0</v>
          </cell>
          <cell r="EE289">
            <v>0</v>
          </cell>
          <cell r="EF289">
            <v>0</v>
          </cell>
          <cell r="EH289">
            <v>0</v>
          </cell>
          <cell r="EI289">
            <v>0</v>
          </cell>
        </row>
        <row r="290">
          <cell r="A290" t="str">
            <v>JulUkulhas</v>
          </cell>
          <cell r="B290" t="str">
            <v>Jul</v>
          </cell>
          <cell r="C290" t="str">
            <v>AA.</v>
          </cell>
          <cell r="D290" t="str">
            <v>Ukulhas</v>
          </cell>
          <cell r="E290">
            <v>0</v>
          </cell>
          <cell r="F290">
            <v>88508</v>
          </cell>
          <cell r="G290">
            <v>286</v>
          </cell>
          <cell r="H290">
            <v>290</v>
          </cell>
          <cell r="I290">
            <v>3</v>
          </cell>
          <cell r="J290">
            <v>1</v>
          </cell>
          <cell r="K290">
            <v>292</v>
          </cell>
          <cell r="L290">
            <v>286</v>
          </cell>
          <cell r="M290">
            <v>6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292</v>
          </cell>
          <cell r="U290">
            <v>286</v>
          </cell>
          <cell r="V290">
            <v>6</v>
          </cell>
          <cell r="W290">
            <v>89842</v>
          </cell>
          <cell r="X290">
            <v>96902.41</v>
          </cell>
          <cell r="Y290">
            <v>0</v>
          </cell>
          <cell r="Z290">
            <v>96902.41</v>
          </cell>
          <cell r="AA290">
            <v>88508</v>
          </cell>
          <cell r="AB290">
            <v>2055</v>
          </cell>
          <cell r="AC290">
            <v>90563</v>
          </cell>
          <cell r="AD290">
            <v>80</v>
          </cell>
          <cell r="AE290">
            <v>198</v>
          </cell>
          <cell r="AF290">
            <v>26131.8</v>
          </cell>
          <cell r="AG290">
            <v>147</v>
          </cell>
          <cell r="AH290">
            <v>2705.97</v>
          </cell>
          <cell r="AI290">
            <v>12</v>
          </cell>
          <cell r="AJ290">
            <v>1891.29</v>
          </cell>
          <cell r="AK290">
            <v>3</v>
          </cell>
          <cell r="AL290">
            <v>1628.66</v>
          </cell>
          <cell r="AM290">
            <v>3</v>
          </cell>
          <cell r="AN290">
            <v>3918.08</v>
          </cell>
          <cell r="AO290">
            <v>13</v>
          </cell>
          <cell r="AP290">
            <v>10144</v>
          </cell>
          <cell r="AQ290">
            <v>31</v>
          </cell>
          <cell r="AR290">
            <v>326.99</v>
          </cell>
          <cell r="AS290">
            <v>2</v>
          </cell>
          <cell r="AT290">
            <v>255.33</v>
          </cell>
          <cell r="AU290">
            <v>1</v>
          </cell>
          <cell r="AV290">
            <v>206.66</v>
          </cell>
          <cell r="AW290">
            <v>0</v>
          </cell>
          <cell r="AX290">
            <v>523.02</v>
          </cell>
          <cell r="AY290">
            <v>2</v>
          </cell>
          <cell r="AZ290">
            <v>1312</v>
          </cell>
          <cell r="BA290">
            <v>5</v>
          </cell>
          <cell r="BB290">
            <v>17861.53</v>
          </cell>
          <cell r="BC290">
            <v>65</v>
          </cell>
          <cell r="BD290">
            <v>15219.69</v>
          </cell>
          <cell r="BE290">
            <v>30</v>
          </cell>
          <cell r="BF290">
            <v>10777.1</v>
          </cell>
          <cell r="BG290">
            <v>51</v>
          </cell>
          <cell r="BH290">
            <v>12735.68</v>
          </cell>
          <cell r="BI290">
            <v>77</v>
          </cell>
          <cell r="BJ290">
            <v>56594</v>
          </cell>
          <cell r="BK290">
            <v>223</v>
          </cell>
          <cell r="BL290">
            <v>910.64</v>
          </cell>
          <cell r="BM290">
            <v>9</v>
          </cell>
          <cell r="BN290">
            <v>826.64</v>
          </cell>
          <cell r="BO290">
            <v>0</v>
          </cell>
          <cell r="BP290">
            <v>826.64</v>
          </cell>
          <cell r="BQ290">
            <v>0</v>
          </cell>
          <cell r="BR290">
            <v>4448.08</v>
          </cell>
          <cell r="BS290">
            <v>8</v>
          </cell>
          <cell r="BT290">
            <v>7012.0000000000009</v>
          </cell>
          <cell r="BU290">
            <v>17</v>
          </cell>
          <cell r="BV290">
            <v>206.66</v>
          </cell>
          <cell r="BW290">
            <v>0</v>
          </cell>
          <cell r="BX290">
            <v>185</v>
          </cell>
          <cell r="BY290">
            <v>1</v>
          </cell>
          <cell r="BZ290">
            <v>103.33</v>
          </cell>
          <cell r="CA290">
            <v>0</v>
          </cell>
          <cell r="CB290">
            <v>3790.01</v>
          </cell>
          <cell r="CC290">
            <v>1</v>
          </cell>
          <cell r="CD290">
            <v>4285</v>
          </cell>
          <cell r="CE290">
            <v>2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309.99</v>
          </cell>
          <cell r="DA290">
            <v>0</v>
          </cell>
          <cell r="DB290">
            <v>309.99</v>
          </cell>
          <cell r="DC290">
            <v>0</v>
          </cell>
          <cell r="DD290">
            <v>309.99</v>
          </cell>
          <cell r="DE290">
            <v>0</v>
          </cell>
          <cell r="DF290">
            <v>1911.03</v>
          </cell>
          <cell r="DG290">
            <v>3</v>
          </cell>
          <cell r="DH290">
            <v>2841</v>
          </cell>
          <cell r="DI290">
            <v>3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126.67</v>
          </cell>
          <cell r="DU290">
            <v>4</v>
          </cell>
          <cell r="DV290">
            <v>126.67</v>
          </cell>
          <cell r="DW290">
            <v>0</v>
          </cell>
          <cell r="DX290">
            <v>126.67</v>
          </cell>
          <cell r="DY290">
            <v>0</v>
          </cell>
          <cell r="DZ290">
            <v>5939.99</v>
          </cell>
          <cell r="EA290">
            <v>1</v>
          </cell>
          <cell r="EB290">
            <v>6320</v>
          </cell>
          <cell r="EC290">
            <v>5</v>
          </cell>
          <cell r="ED290">
            <v>0</v>
          </cell>
          <cell r="EE290">
            <v>0</v>
          </cell>
          <cell r="EF290">
            <v>0</v>
          </cell>
          <cell r="EH290">
            <v>0</v>
          </cell>
          <cell r="EI290">
            <v>0</v>
          </cell>
        </row>
        <row r="291">
          <cell r="A291" t="str">
            <v>AugUkulhas</v>
          </cell>
          <cell r="B291" t="str">
            <v>Aug</v>
          </cell>
          <cell r="C291" t="str">
            <v>AA.</v>
          </cell>
          <cell r="D291" t="str">
            <v>Ukulhas</v>
          </cell>
          <cell r="E291">
            <v>0</v>
          </cell>
          <cell r="F291">
            <v>73146</v>
          </cell>
          <cell r="G291">
            <v>281</v>
          </cell>
          <cell r="H291">
            <v>292</v>
          </cell>
          <cell r="I291">
            <v>0</v>
          </cell>
          <cell r="J291">
            <v>0</v>
          </cell>
          <cell r="K291">
            <v>292</v>
          </cell>
          <cell r="L291">
            <v>281</v>
          </cell>
          <cell r="M291">
            <v>11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292</v>
          </cell>
          <cell r="U291">
            <v>281</v>
          </cell>
          <cell r="V291">
            <v>11</v>
          </cell>
          <cell r="W291">
            <v>82902</v>
          </cell>
          <cell r="X291">
            <v>82902</v>
          </cell>
          <cell r="Y291">
            <v>0</v>
          </cell>
          <cell r="Z291">
            <v>82902</v>
          </cell>
          <cell r="AA291">
            <v>73146</v>
          </cell>
          <cell r="AB291">
            <v>2110</v>
          </cell>
          <cell r="AC291">
            <v>75256</v>
          </cell>
          <cell r="AD291">
            <v>65</v>
          </cell>
          <cell r="AE291">
            <v>191</v>
          </cell>
          <cell r="AF291">
            <v>24281.040000000001</v>
          </cell>
          <cell r="AG291">
            <v>101</v>
          </cell>
          <cell r="AH291">
            <v>2137.38</v>
          </cell>
          <cell r="AI291">
            <v>10</v>
          </cell>
          <cell r="AJ291">
            <v>1564.02</v>
          </cell>
          <cell r="AK291">
            <v>7</v>
          </cell>
          <cell r="AL291">
            <v>1164.67</v>
          </cell>
          <cell r="AM291">
            <v>3</v>
          </cell>
          <cell r="AN291">
            <v>3034.93</v>
          </cell>
          <cell r="AO291">
            <v>11</v>
          </cell>
          <cell r="AP291">
            <v>7901</v>
          </cell>
          <cell r="AQ291">
            <v>31</v>
          </cell>
          <cell r="AR291">
            <v>592</v>
          </cell>
          <cell r="AS291">
            <v>2</v>
          </cell>
          <cell r="AT291">
            <v>416.66</v>
          </cell>
          <cell r="AU291">
            <v>1</v>
          </cell>
          <cell r="AV291">
            <v>403.33</v>
          </cell>
          <cell r="AW291">
            <v>3</v>
          </cell>
          <cell r="AX291">
            <v>1211.01</v>
          </cell>
          <cell r="AY291">
            <v>0</v>
          </cell>
          <cell r="AZ291">
            <v>2623</v>
          </cell>
          <cell r="BA291">
            <v>6</v>
          </cell>
          <cell r="BB291">
            <v>16275.46</v>
          </cell>
          <cell r="BC291">
            <v>61</v>
          </cell>
          <cell r="BD291">
            <v>13193.9</v>
          </cell>
          <cell r="BE291">
            <v>44</v>
          </cell>
          <cell r="BF291">
            <v>7921.13</v>
          </cell>
          <cell r="BG291">
            <v>58</v>
          </cell>
          <cell r="BH291">
            <v>7201.51</v>
          </cell>
          <cell r="BI291">
            <v>55</v>
          </cell>
          <cell r="BJ291">
            <v>44592</v>
          </cell>
          <cell r="BK291">
            <v>218</v>
          </cell>
          <cell r="BL291">
            <v>821.36</v>
          </cell>
          <cell r="BM291">
            <v>8</v>
          </cell>
          <cell r="BN291">
            <v>773.36</v>
          </cell>
          <cell r="BO291">
            <v>0</v>
          </cell>
          <cell r="BP291">
            <v>704.35</v>
          </cell>
          <cell r="BQ291">
            <v>1</v>
          </cell>
          <cell r="BR291">
            <v>2668.93</v>
          </cell>
          <cell r="BS291">
            <v>7</v>
          </cell>
          <cell r="BT291">
            <v>4968</v>
          </cell>
          <cell r="BU291">
            <v>16</v>
          </cell>
          <cell r="BV291">
            <v>193.34</v>
          </cell>
          <cell r="BW291">
            <v>0</v>
          </cell>
          <cell r="BX291">
            <v>193.34</v>
          </cell>
          <cell r="BY291">
            <v>0</v>
          </cell>
          <cell r="BZ291">
            <v>139.33000000000001</v>
          </cell>
          <cell r="CA291">
            <v>1</v>
          </cell>
          <cell r="CB291">
            <v>4097.99</v>
          </cell>
          <cell r="CC291">
            <v>1</v>
          </cell>
          <cell r="CD291">
            <v>4624</v>
          </cell>
          <cell r="CE291">
            <v>2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290.01</v>
          </cell>
          <cell r="DA291">
            <v>0</v>
          </cell>
          <cell r="DB291">
            <v>290.01</v>
          </cell>
          <cell r="DC291">
            <v>0</v>
          </cell>
          <cell r="DD291">
            <v>290.01</v>
          </cell>
          <cell r="DE291">
            <v>0</v>
          </cell>
          <cell r="DF291">
            <v>1787.97</v>
          </cell>
          <cell r="DG291">
            <v>3</v>
          </cell>
          <cell r="DH291">
            <v>2658</v>
          </cell>
          <cell r="DI291">
            <v>3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116.67</v>
          </cell>
          <cell r="DU291">
            <v>4</v>
          </cell>
          <cell r="DV291">
            <v>116.67</v>
          </cell>
          <cell r="DW291">
            <v>0</v>
          </cell>
          <cell r="DX291">
            <v>116.67</v>
          </cell>
          <cell r="DY291">
            <v>0</v>
          </cell>
          <cell r="DZ291">
            <v>5429.99</v>
          </cell>
          <cell r="EA291">
            <v>1</v>
          </cell>
          <cell r="EB291">
            <v>5780</v>
          </cell>
          <cell r="EC291">
            <v>5</v>
          </cell>
          <cell r="ED291">
            <v>0</v>
          </cell>
          <cell r="EE291">
            <v>0</v>
          </cell>
          <cell r="EF291">
            <v>0</v>
          </cell>
          <cell r="EH291">
            <v>0</v>
          </cell>
          <cell r="EI291">
            <v>0</v>
          </cell>
        </row>
        <row r="292">
          <cell r="A292" t="str">
            <v>SepUkulhas</v>
          </cell>
          <cell r="B292" t="str">
            <v>Sep</v>
          </cell>
          <cell r="C292" t="str">
            <v>AA.</v>
          </cell>
          <cell r="D292" t="str">
            <v>Ukulhas</v>
          </cell>
          <cell r="E292" t="str">
            <v>usage units more than billed</v>
          </cell>
          <cell r="F292">
            <v>78059.33</v>
          </cell>
          <cell r="G292">
            <v>290</v>
          </cell>
          <cell r="H292">
            <v>292</v>
          </cell>
          <cell r="I292">
            <v>0</v>
          </cell>
          <cell r="J292">
            <v>0</v>
          </cell>
          <cell r="K292">
            <v>292</v>
          </cell>
          <cell r="L292">
            <v>290</v>
          </cell>
          <cell r="M292">
            <v>2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292</v>
          </cell>
          <cell r="U292">
            <v>290</v>
          </cell>
          <cell r="V292">
            <v>2</v>
          </cell>
          <cell r="W292">
            <v>79820</v>
          </cell>
          <cell r="X292">
            <v>79820</v>
          </cell>
          <cell r="Y292">
            <v>0</v>
          </cell>
          <cell r="Z292">
            <v>79820</v>
          </cell>
          <cell r="AA292">
            <v>78059</v>
          </cell>
          <cell r="AB292">
            <v>3392</v>
          </cell>
          <cell r="AC292">
            <v>81451</v>
          </cell>
          <cell r="AD292">
            <v>70</v>
          </cell>
          <cell r="AE292">
            <v>182</v>
          </cell>
          <cell r="AF292">
            <v>23600.1</v>
          </cell>
          <cell r="AG292">
            <v>137</v>
          </cell>
          <cell r="AH292">
            <v>2422.73</v>
          </cell>
          <cell r="AI292">
            <v>13</v>
          </cell>
          <cell r="AJ292">
            <v>1827.03</v>
          </cell>
          <cell r="AK292">
            <v>5</v>
          </cell>
          <cell r="AL292">
            <v>1325.36</v>
          </cell>
          <cell r="AM292">
            <v>2</v>
          </cell>
          <cell r="AN292">
            <v>2664.88</v>
          </cell>
          <cell r="AO292">
            <v>12</v>
          </cell>
          <cell r="AP292">
            <v>8240</v>
          </cell>
          <cell r="AQ292">
            <v>32</v>
          </cell>
          <cell r="AR292">
            <v>341</v>
          </cell>
          <cell r="AS292">
            <v>2</v>
          </cell>
          <cell r="AT292">
            <v>237.66</v>
          </cell>
          <cell r="AU292">
            <v>1</v>
          </cell>
          <cell r="AV292">
            <v>233.66</v>
          </cell>
          <cell r="AW292">
            <v>0</v>
          </cell>
          <cell r="AX292">
            <v>1128.01</v>
          </cell>
          <cell r="AY292">
            <v>3</v>
          </cell>
          <cell r="AZ292">
            <v>1940.3300000000002</v>
          </cell>
          <cell r="BA292">
            <v>6</v>
          </cell>
          <cell r="BB292">
            <v>18736.810000000001</v>
          </cell>
          <cell r="BC292">
            <v>68</v>
          </cell>
          <cell r="BD292">
            <v>14017.17</v>
          </cell>
          <cell r="BE292">
            <v>56</v>
          </cell>
          <cell r="BF292">
            <v>8046.5</v>
          </cell>
          <cell r="BG292">
            <v>50</v>
          </cell>
          <cell r="BH292">
            <v>7209.52</v>
          </cell>
          <cell r="BI292">
            <v>51</v>
          </cell>
          <cell r="BJ292">
            <v>48010</v>
          </cell>
          <cell r="BK292">
            <v>225</v>
          </cell>
          <cell r="BL292">
            <v>902.36</v>
          </cell>
          <cell r="BM292">
            <v>9</v>
          </cell>
          <cell r="BN292">
            <v>853.36</v>
          </cell>
          <cell r="BO292">
            <v>0</v>
          </cell>
          <cell r="BP292">
            <v>833.35</v>
          </cell>
          <cell r="BQ292">
            <v>1</v>
          </cell>
          <cell r="BR292">
            <v>3257.93</v>
          </cell>
          <cell r="BS292">
            <v>7</v>
          </cell>
          <cell r="BT292">
            <v>5847</v>
          </cell>
          <cell r="BU292">
            <v>17</v>
          </cell>
          <cell r="BV292">
            <v>213.34</v>
          </cell>
          <cell r="BW292">
            <v>0</v>
          </cell>
          <cell r="BX292">
            <v>213.34</v>
          </cell>
          <cell r="BY292">
            <v>0</v>
          </cell>
          <cell r="BZ292">
            <v>205.33</v>
          </cell>
          <cell r="CA292">
            <v>1</v>
          </cell>
          <cell r="CB292">
            <v>5690.99</v>
          </cell>
          <cell r="CC292">
            <v>1</v>
          </cell>
          <cell r="CD292">
            <v>6323</v>
          </cell>
          <cell r="CE292">
            <v>2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416.67</v>
          </cell>
          <cell r="DA292">
            <v>0</v>
          </cell>
          <cell r="DB292">
            <v>416.67</v>
          </cell>
          <cell r="DC292">
            <v>0</v>
          </cell>
          <cell r="DD292">
            <v>416.67</v>
          </cell>
          <cell r="DE292">
            <v>0</v>
          </cell>
          <cell r="DF292">
            <v>2530.9899999999998</v>
          </cell>
          <cell r="DG292">
            <v>3</v>
          </cell>
          <cell r="DH292">
            <v>3781</v>
          </cell>
          <cell r="DI292">
            <v>3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148</v>
          </cell>
          <cell r="DU292">
            <v>4</v>
          </cell>
          <cell r="DV292">
            <v>90</v>
          </cell>
          <cell r="DW292">
            <v>0</v>
          </cell>
          <cell r="DX292">
            <v>90</v>
          </cell>
          <cell r="DY292">
            <v>0</v>
          </cell>
          <cell r="DZ292">
            <v>3590</v>
          </cell>
          <cell r="EA292">
            <v>1</v>
          </cell>
          <cell r="EB292">
            <v>3918</v>
          </cell>
          <cell r="EC292">
            <v>5</v>
          </cell>
          <cell r="ED292">
            <v>0</v>
          </cell>
          <cell r="EE292">
            <v>0</v>
          </cell>
          <cell r="EF292">
            <v>0</v>
          </cell>
          <cell r="EH292">
            <v>0</v>
          </cell>
          <cell r="EI292">
            <v>0</v>
          </cell>
        </row>
        <row r="293">
          <cell r="A293" t="str">
            <v>OctUkulhas</v>
          </cell>
          <cell r="B293" t="str">
            <v>Oct</v>
          </cell>
          <cell r="C293" t="str">
            <v>AA.</v>
          </cell>
          <cell r="D293" t="str">
            <v>Ukulhas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H293">
            <v>0</v>
          </cell>
          <cell r="EI293">
            <v>0</v>
          </cell>
        </row>
        <row r="294">
          <cell r="A294" t="str">
            <v>NovUkulhas</v>
          </cell>
          <cell r="B294" t="str">
            <v>Nov</v>
          </cell>
          <cell r="C294" t="str">
            <v>AA.</v>
          </cell>
          <cell r="D294" t="str">
            <v>Ukulhas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H294">
            <v>0</v>
          </cell>
          <cell r="EI294">
            <v>0</v>
          </cell>
        </row>
        <row r="295">
          <cell r="A295" t="str">
            <v>DecUkulhas</v>
          </cell>
          <cell r="B295" t="str">
            <v>Dec</v>
          </cell>
          <cell r="C295" t="str">
            <v>AA.</v>
          </cell>
          <cell r="D295" t="str">
            <v>Ukulhas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H295">
            <v>0</v>
          </cell>
          <cell r="EI295">
            <v>0</v>
          </cell>
        </row>
        <row r="296">
          <cell r="A296" t="str">
            <v>JanHangnameedhoo</v>
          </cell>
          <cell r="B296" t="str">
            <v>Jan</v>
          </cell>
          <cell r="C296" t="str">
            <v>ADh.</v>
          </cell>
          <cell r="D296" t="str">
            <v>Hangnameedhoo</v>
          </cell>
          <cell r="E296">
            <v>0</v>
          </cell>
          <cell r="F296">
            <v>36072</v>
          </cell>
          <cell r="G296">
            <v>157</v>
          </cell>
          <cell r="H296">
            <v>150</v>
          </cell>
          <cell r="I296">
            <v>0</v>
          </cell>
          <cell r="J296">
            <v>0</v>
          </cell>
          <cell r="K296">
            <v>150</v>
          </cell>
          <cell r="L296">
            <v>150</v>
          </cell>
          <cell r="M296">
            <v>0</v>
          </cell>
          <cell r="N296">
            <v>6</v>
          </cell>
          <cell r="O296">
            <v>7</v>
          </cell>
          <cell r="P296">
            <v>6</v>
          </cell>
          <cell r="Q296">
            <v>7</v>
          </cell>
          <cell r="R296">
            <v>7</v>
          </cell>
          <cell r="S296">
            <v>0</v>
          </cell>
          <cell r="T296">
            <v>157</v>
          </cell>
          <cell r="U296">
            <v>157</v>
          </cell>
          <cell r="V296">
            <v>0</v>
          </cell>
          <cell r="W296">
            <v>42451</v>
          </cell>
          <cell r="X296">
            <v>42451</v>
          </cell>
          <cell r="Y296">
            <v>0</v>
          </cell>
          <cell r="Z296">
            <v>42451</v>
          </cell>
          <cell r="AA296">
            <v>36072</v>
          </cell>
          <cell r="AB296">
            <v>3054</v>
          </cell>
          <cell r="AC296">
            <v>39126</v>
          </cell>
          <cell r="AD296">
            <v>40</v>
          </cell>
          <cell r="AE296">
            <v>85</v>
          </cell>
          <cell r="AF296">
            <v>12924</v>
          </cell>
          <cell r="AG296">
            <v>77</v>
          </cell>
          <cell r="AH296">
            <v>1409.3</v>
          </cell>
          <cell r="AI296">
            <v>13</v>
          </cell>
          <cell r="AJ296">
            <v>1202.32</v>
          </cell>
          <cell r="AK296">
            <v>5</v>
          </cell>
          <cell r="AL296">
            <v>734.32</v>
          </cell>
          <cell r="AM296">
            <v>1</v>
          </cell>
          <cell r="AN296">
            <v>1863.06</v>
          </cell>
          <cell r="AO296">
            <v>6</v>
          </cell>
          <cell r="AP296">
            <v>5209</v>
          </cell>
          <cell r="AQ296">
            <v>25</v>
          </cell>
          <cell r="AR296">
            <v>206.66</v>
          </cell>
          <cell r="AS296" t="str">
            <v xml:space="preserve"> -   </v>
          </cell>
          <cell r="AT296">
            <v>206.66</v>
          </cell>
          <cell r="AU296" t="str">
            <v xml:space="preserve"> -   </v>
          </cell>
          <cell r="AV296">
            <v>206.66</v>
          </cell>
          <cell r="AW296" t="str">
            <v xml:space="preserve"> -   </v>
          </cell>
          <cell r="AX296">
            <v>3253.02</v>
          </cell>
          <cell r="AY296">
            <v>2</v>
          </cell>
          <cell r="AZ296">
            <v>3873</v>
          </cell>
          <cell r="BA296">
            <v>2</v>
          </cell>
          <cell r="BB296">
            <v>9446.4</v>
          </cell>
          <cell r="BC296">
            <v>35</v>
          </cell>
          <cell r="BD296">
            <v>7130.56</v>
          </cell>
          <cell r="BE296">
            <v>24</v>
          </cell>
          <cell r="BF296">
            <v>3908.81</v>
          </cell>
          <cell r="BG296">
            <v>34</v>
          </cell>
          <cell r="BH296">
            <v>2093.23</v>
          </cell>
          <cell r="BI296">
            <v>23</v>
          </cell>
          <cell r="BJ296">
            <v>22579</v>
          </cell>
          <cell r="BK296">
            <v>116</v>
          </cell>
          <cell r="BL296">
            <v>511.32</v>
          </cell>
          <cell r="BM296">
            <v>2</v>
          </cell>
          <cell r="BN296">
            <v>413.32</v>
          </cell>
          <cell r="BO296" t="str">
            <v xml:space="preserve"> -   </v>
          </cell>
          <cell r="BP296">
            <v>413.32</v>
          </cell>
          <cell r="BQ296" t="str">
            <v xml:space="preserve"> -   </v>
          </cell>
          <cell r="BR296">
            <v>514.04</v>
          </cell>
          <cell r="BS296">
            <v>4</v>
          </cell>
          <cell r="BT296">
            <v>1852</v>
          </cell>
          <cell r="BU296">
            <v>6</v>
          </cell>
          <cell r="BV296">
            <v>195.33</v>
          </cell>
          <cell r="BW296">
            <v>1</v>
          </cell>
          <cell r="BX296">
            <v>103.33</v>
          </cell>
          <cell r="BY296" t="str">
            <v xml:space="preserve"> -   </v>
          </cell>
          <cell r="BZ296">
            <v>103.33</v>
          </cell>
          <cell r="CA296" t="str">
            <v xml:space="preserve"> -   </v>
          </cell>
          <cell r="CB296">
            <v>329.01</v>
          </cell>
          <cell r="CC296">
            <v>1</v>
          </cell>
          <cell r="CD296">
            <v>731</v>
          </cell>
          <cell r="CE296">
            <v>2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 t="str">
            <v xml:space="preserve"> -   </v>
          </cell>
          <cell r="CO296" t="str">
            <v xml:space="preserve"> -   </v>
          </cell>
          <cell r="CP296">
            <v>65</v>
          </cell>
          <cell r="CQ296">
            <v>1</v>
          </cell>
          <cell r="CR296" t="str">
            <v xml:space="preserve"> -   </v>
          </cell>
          <cell r="CS296" t="str">
            <v xml:space="preserve"> -   </v>
          </cell>
          <cell r="CT296" t="str">
            <v xml:space="preserve"> -   </v>
          </cell>
          <cell r="CU296" t="str">
            <v xml:space="preserve"> -   </v>
          </cell>
          <cell r="CV296" t="str">
            <v xml:space="preserve"> -   </v>
          </cell>
          <cell r="CW296" t="str">
            <v xml:space="preserve"> -   </v>
          </cell>
          <cell r="CX296">
            <v>65</v>
          </cell>
          <cell r="CY296">
            <v>1</v>
          </cell>
          <cell r="CZ296">
            <v>432.99</v>
          </cell>
          <cell r="DA296">
            <v>2</v>
          </cell>
          <cell r="DB296">
            <v>270.33</v>
          </cell>
          <cell r="DC296">
            <v>1</v>
          </cell>
          <cell r="DD296">
            <v>206.66</v>
          </cell>
          <cell r="DE296" t="str">
            <v xml:space="preserve"> -   </v>
          </cell>
          <cell r="DF296">
            <v>853.02</v>
          </cell>
          <cell r="DG296">
            <v>2</v>
          </cell>
          <cell r="DH296">
            <v>1763</v>
          </cell>
          <cell r="DI296">
            <v>5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 t="str">
            <v xml:space="preserve"> -   </v>
          </cell>
          <cell r="DS296" t="str">
            <v xml:space="preserve"> -   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 t="str">
            <v xml:space="preserve"> -   </v>
          </cell>
          <cell r="EC296" t="str">
            <v xml:space="preserve"> -   </v>
          </cell>
          <cell r="ED296">
            <v>0</v>
          </cell>
          <cell r="EE296">
            <v>0</v>
          </cell>
          <cell r="EF296">
            <v>0</v>
          </cell>
          <cell r="EH296">
            <v>0</v>
          </cell>
          <cell r="EI296">
            <v>0</v>
          </cell>
        </row>
        <row r="297">
          <cell r="A297" t="str">
            <v>FebHangnameedhoo</v>
          </cell>
          <cell r="B297" t="str">
            <v>Feb</v>
          </cell>
          <cell r="C297" t="str">
            <v>ADh.</v>
          </cell>
          <cell r="D297" t="str">
            <v>Hangnameedhoo</v>
          </cell>
          <cell r="E297">
            <v>0</v>
          </cell>
          <cell r="F297">
            <v>37244</v>
          </cell>
          <cell r="G297">
            <v>155</v>
          </cell>
          <cell r="H297">
            <v>150</v>
          </cell>
          <cell r="I297">
            <v>1</v>
          </cell>
          <cell r="J297">
            <v>0</v>
          </cell>
          <cell r="K297">
            <v>151</v>
          </cell>
          <cell r="L297">
            <v>151</v>
          </cell>
          <cell r="M297">
            <v>0</v>
          </cell>
          <cell r="N297">
            <v>7</v>
          </cell>
          <cell r="O297">
            <v>4</v>
          </cell>
          <cell r="P297">
            <v>7</v>
          </cell>
          <cell r="Q297">
            <v>4</v>
          </cell>
          <cell r="R297">
            <v>4</v>
          </cell>
          <cell r="S297">
            <v>0</v>
          </cell>
          <cell r="T297">
            <v>155</v>
          </cell>
          <cell r="U297">
            <v>155</v>
          </cell>
          <cell r="V297">
            <v>0</v>
          </cell>
          <cell r="W297">
            <v>38776</v>
          </cell>
          <cell r="X297">
            <v>42819.3</v>
          </cell>
          <cell r="Y297">
            <v>0</v>
          </cell>
          <cell r="Z297">
            <v>42819.26</v>
          </cell>
          <cell r="AA297">
            <v>37244</v>
          </cell>
          <cell r="AB297">
            <v>2774</v>
          </cell>
          <cell r="AC297">
            <v>40018</v>
          </cell>
          <cell r="AD297">
            <v>41</v>
          </cell>
          <cell r="AE297">
            <v>88</v>
          </cell>
          <cell r="AF297">
            <v>11761</v>
          </cell>
          <cell r="AG297">
            <v>55</v>
          </cell>
          <cell r="AH297">
            <v>1730.62</v>
          </cell>
          <cell r="AI297">
            <v>12</v>
          </cell>
          <cell r="AJ297">
            <v>1379.98</v>
          </cell>
          <cell r="AK297">
            <v>4</v>
          </cell>
          <cell r="AL297">
            <v>759.34</v>
          </cell>
          <cell r="AM297">
            <v>4</v>
          </cell>
          <cell r="AN297">
            <v>2226.06</v>
          </cell>
          <cell r="AO297">
            <v>8</v>
          </cell>
          <cell r="AP297">
            <v>6096</v>
          </cell>
          <cell r="AQ297">
            <v>28</v>
          </cell>
          <cell r="AR297">
            <v>206.66</v>
          </cell>
          <cell r="AS297" t="str">
            <v xml:space="preserve"> -   </v>
          </cell>
          <cell r="AT297">
            <v>206.66</v>
          </cell>
          <cell r="AU297" t="str">
            <v xml:space="preserve"> -   </v>
          </cell>
          <cell r="AV297">
            <v>206.66</v>
          </cell>
          <cell r="AW297" t="str">
            <v xml:space="preserve"> -   </v>
          </cell>
          <cell r="AX297">
            <v>3390.02</v>
          </cell>
          <cell r="AY297">
            <v>2</v>
          </cell>
          <cell r="AZ297">
            <v>4010</v>
          </cell>
          <cell r="BA297">
            <v>2</v>
          </cell>
          <cell r="BB297">
            <v>9145.4</v>
          </cell>
          <cell r="BC297">
            <v>31</v>
          </cell>
          <cell r="BD297">
            <v>7205.88</v>
          </cell>
          <cell r="BE297">
            <v>22</v>
          </cell>
          <cell r="BF297">
            <v>3839.51</v>
          </cell>
          <cell r="BG297">
            <v>37</v>
          </cell>
          <cell r="BH297">
            <v>1756.21</v>
          </cell>
          <cell r="BI297">
            <v>21</v>
          </cell>
          <cell r="BJ297">
            <v>21947</v>
          </cell>
          <cell r="BK297">
            <v>111</v>
          </cell>
          <cell r="BL297">
            <v>512.32000000000005</v>
          </cell>
          <cell r="BM297">
            <v>2</v>
          </cell>
          <cell r="BN297">
            <v>413.32</v>
          </cell>
          <cell r="BO297" t="str">
            <v xml:space="preserve"> -   </v>
          </cell>
          <cell r="BP297">
            <v>413.32</v>
          </cell>
          <cell r="BQ297" t="str">
            <v xml:space="preserve"> -   </v>
          </cell>
          <cell r="BR297">
            <v>790.04</v>
          </cell>
          <cell r="BS297">
            <v>4</v>
          </cell>
          <cell r="BT297">
            <v>2129</v>
          </cell>
          <cell r="BU297">
            <v>6</v>
          </cell>
          <cell r="BV297">
            <v>206.66</v>
          </cell>
          <cell r="BW297" t="str">
            <v xml:space="preserve"> -   </v>
          </cell>
          <cell r="BX297">
            <v>178</v>
          </cell>
          <cell r="BY297">
            <v>1</v>
          </cell>
          <cell r="BZ297">
            <v>103.33</v>
          </cell>
          <cell r="CA297" t="str">
            <v xml:space="preserve"> -   </v>
          </cell>
          <cell r="CB297">
            <v>728.01</v>
          </cell>
          <cell r="CC297">
            <v>1</v>
          </cell>
          <cell r="CD297">
            <v>1216</v>
          </cell>
          <cell r="CE297">
            <v>2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 t="str">
            <v xml:space="preserve"> -   </v>
          </cell>
          <cell r="CO297" t="str">
            <v xml:space="preserve"> -   </v>
          </cell>
          <cell r="CP297">
            <v>81</v>
          </cell>
          <cell r="CQ297">
            <v>1</v>
          </cell>
          <cell r="CR297" t="str">
            <v xml:space="preserve"> -   </v>
          </cell>
          <cell r="CS297" t="str">
            <v xml:space="preserve"> -   </v>
          </cell>
          <cell r="CT297" t="str">
            <v xml:space="preserve"> -   </v>
          </cell>
          <cell r="CU297" t="str">
            <v xml:space="preserve"> -   </v>
          </cell>
          <cell r="CV297" t="str">
            <v xml:space="preserve"> -   </v>
          </cell>
          <cell r="CW297" t="str">
            <v xml:space="preserve"> -   </v>
          </cell>
          <cell r="CX297">
            <v>81</v>
          </cell>
          <cell r="CY297">
            <v>1</v>
          </cell>
          <cell r="CZ297">
            <v>434.99</v>
          </cell>
          <cell r="DA297">
            <v>2</v>
          </cell>
          <cell r="DB297">
            <v>270.33</v>
          </cell>
          <cell r="DC297">
            <v>1</v>
          </cell>
          <cell r="DD297">
            <v>206.66</v>
          </cell>
          <cell r="DE297" t="str">
            <v xml:space="preserve"> -   </v>
          </cell>
          <cell r="DF297">
            <v>853.02</v>
          </cell>
          <cell r="DG297">
            <v>2</v>
          </cell>
          <cell r="DH297">
            <v>1765</v>
          </cell>
          <cell r="DI297">
            <v>5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 t="str">
            <v xml:space="preserve"> -   </v>
          </cell>
          <cell r="DS297" t="str">
            <v xml:space="preserve"> -   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 t="str">
            <v xml:space="preserve"> -   </v>
          </cell>
          <cell r="EC297" t="str">
            <v xml:space="preserve"> -   </v>
          </cell>
          <cell r="ED297">
            <v>0</v>
          </cell>
          <cell r="EE297">
            <v>0</v>
          </cell>
          <cell r="EF297">
            <v>0</v>
          </cell>
          <cell r="EH297">
            <v>0</v>
          </cell>
          <cell r="EI297">
            <v>0</v>
          </cell>
        </row>
        <row r="298">
          <cell r="A298" t="str">
            <v>MarHangnameedhoo</v>
          </cell>
          <cell r="B298" t="str">
            <v>Mar</v>
          </cell>
          <cell r="C298" t="str">
            <v>ADh.</v>
          </cell>
          <cell r="D298" t="str">
            <v>Hangnameedhoo</v>
          </cell>
          <cell r="E298">
            <v>0</v>
          </cell>
          <cell r="F298">
            <v>34621</v>
          </cell>
          <cell r="G298">
            <v>157</v>
          </cell>
          <cell r="H298">
            <v>151</v>
          </cell>
          <cell r="I298">
            <v>0</v>
          </cell>
          <cell r="J298">
            <v>0</v>
          </cell>
          <cell r="K298">
            <v>151</v>
          </cell>
          <cell r="L298">
            <v>151</v>
          </cell>
          <cell r="M298">
            <v>0</v>
          </cell>
          <cell r="N298">
            <v>4</v>
          </cell>
          <cell r="O298">
            <v>6</v>
          </cell>
          <cell r="P298">
            <v>4</v>
          </cell>
          <cell r="Q298">
            <v>6</v>
          </cell>
          <cell r="R298">
            <v>6</v>
          </cell>
          <cell r="S298">
            <v>0</v>
          </cell>
          <cell r="T298">
            <v>157</v>
          </cell>
          <cell r="U298">
            <v>157</v>
          </cell>
          <cell r="V298">
            <v>0</v>
          </cell>
          <cell r="W298">
            <v>40516</v>
          </cell>
          <cell r="X298">
            <v>40516</v>
          </cell>
          <cell r="Y298">
            <v>0</v>
          </cell>
          <cell r="Z298">
            <v>40516</v>
          </cell>
          <cell r="AA298">
            <v>34621</v>
          </cell>
          <cell r="AB298">
            <v>3289</v>
          </cell>
          <cell r="AC298">
            <v>37910</v>
          </cell>
          <cell r="AD298">
            <v>44</v>
          </cell>
          <cell r="AE298">
            <v>85</v>
          </cell>
          <cell r="AF298">
            <v>13247</v>
          </cell>
          <cell r="AG298">
            <v>105</v>
          </cell>
          <cell r="AH298">
            <v>1695.29</v>
          </cell>
          <cell r="AI298">
            <v>15</v>
          </cell>
          <cell r="AJ298">
            <v>1244.6500000000001</v>
          </cell>
          <cell r="AK298">
            <v>4</v>
          </cell>
          <cell r="AL298">
            <v>776.01</v>
          </cell>
          <cell r="AM298">
            <v>4</v>
          </cell>
          <cell r="AN298">
            <v>2292.0500000000002</v>
          </cell>
          <cell r="AO298">
            <v>7</v>
          </cell>
          <cell r="AP298">
            <v>6008</v>
          </cell>
          <cell r="AQ298">
            <v>30</v>
          </cell>
          <cell r="AR298">
            <v>186.66</v>
          </cell>
          <cell r="AS298">
            <v>0</v>
          </cell>
          <cell r="AT298">
            <v>186.66</v>
          </cell>
          <cell r="AU298">
            <v>0</v>
          </cell>
          <cell r="AV298">
            <v>186.66</v>
          </cell>
          <cell r="AW298">
            <v>0</v>
          </cell>
          <cell r="AX298">
            <v>2980.02</v>
          </cell>
          <cell r="AY298">
            <v>2</v>
          </cell>
          <cell r="AZ298">
            <v>3540</v>
          </cell>
          <cell r="BA298">
            <v>2</v>
          </cell>
          <cell r="BB298">
            <v>8373.4</v>
          </cell>
          <cell r="BC298">
            <v>30</v>
          </cell>
          <cell r="BD298">
            <v>6497.22</v>
          </cell>
          <cell r="BE298">
            <v>23</v>
          </cell>
          <cell r="BF298">
            <v>3573.15</v>
          </cell>
          <cell r="BG298">
            <v>35</v>
          </cell>
          <cell r="BH298">
            <v>1706.23</v>
          </cell>
          <cell r="BI298">
            <v>23</v>
          </cell>
          <cell r="BJ298">
            <v>20150</v>
          </cell>
          <cell r="BK298">
            <v>111</v>
          </cell>
          <cell r="BL298">
            <v>460.32</v>
          </cell>
          <cell r="BM298">
            <v>2</v>
          </cell>
          <cell r="BN298">
            <v>373.32</v>
          </cell>
          <cell r="BO298" t="str">
            <v xml:space="preserve"> -   </v>
          </cell>
          <cell r="BP298">
            <v>373.32</v>
          </cell>
          <cell r="BQ298" t="str">
            <v xml:space="preserve"> -   </v>
          </cell>
          <cell r="BR298">
            <v>699.04</v>
          </cell>
          <cell r="BS298">
            <v>4</v>
          </cell>
          <cell r="BT298">
            <v>1906</v>
          </cell>
          <cell r="BU298">
            <v>6</v>
          </cell>
          <cell r="BV298">
            <v>186.66</v>
          </cell>
          <cell r="BW298">
            <v>0</v>
          </cell>
          <cell r="BX298">
            <v>186.66</v>
          </cell>
          <cell r="BY298">
            <v>0</v>
          </cell>
          <cell r="BZ298">
            <v>186.66</v>
          </cell>
          <cell r="CA298">
            <v>0</v>
          </cell>
          <cell r="CB298">
            <v>683.02</v>
          </cell>
          <cell r="CC298">
            <v>2</v>
          </cell>
          <cell r="CD298">
            <v>1243</v>
          </cell>
          <cell r="CE298">
            <v>2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 t="str">
            <v xml:space="preserve"> -   </v>
          </cell>
          <cell r="CO298" t="str">
            <v xml:space="preserve"> -   </v>
          </cell>
          <cell r="CP298">
            <v>66</v>
          </cell>
          <cell r="CQ298">
            <v>1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66</v>
          </cell>
          <cell r="CY298">
            <v>1</v>
          </cell>
          <cell r="CZ298">
            <v>399.99</v>
          </cell>
          <cell r="DA298">
            <v>2</v>
          </cell>
          <cell r="DB298">
            <v>255.33</v>
          </cell>
          <cell r="DC298">
            <v>1</v>
          </cell>
          <cell r="DD298">
            <v>186.66</v>
          </cell>
          <cell r="DE298">
            <v>0</v>
          </cell>
          <cell r="DF298">
            <v>866.02</v>
          </cell>
          <cell r="DG298">
            <v>2</v>
          </cell>
          <cell r="DH298">
            <v>1708</v>
          </cell>
          <cell r="DI298">
            <v>5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 t="str">
            <v xml:space="preserve"> -   </v>
          </cell>
          <cell r="DS298" t="str">
            <v xml:space="preserve"> -   </v>
          </cell>
          <cell r="DT298">
            <v>0</v>
          </cell>
          <cell r="DU298">
            <v>0</v>
          </cell>
          <cell r="DV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 t="str">
            <v xml:space="preserve"> -   </v>
          </cell>
          <cell r="EC298" t="str">
            <v xml:space="preserve"> -   </v>
          </cell>
          <cell r="ED298">
            <v>0</v>
          </cell>
          <cell r="EE298">
            <v>0</v>
          </cell>
          <cell r="EF298">
            <v>0</v>
          </cell>
          <cell r="EH298">
            <v>0</v>
          </cell>
          <cell r="EI298">
            <v>0</v>
          </cell>
        </row>
        <row r="299">
          <cell r="A299" t="str">
            <v>AprHangnameedhoo</v>
          </cell>
          <cell r="B299" t="str">
            <v>Apr</v>
          </cell>
          <cell r="C299" t="str">
            <v>ADh.</v>
          </cell>
          <cell r="D299" t="str">
            <v>Hangnameedhoo</v>
          </cell>
          <cell r="E299">
            <v>0</v>
          </cell>
          <cell r="F299">
            <v>38974</v>
          </cell>
          <cell r="G299">
            <v>154</v>
          </cell>
          <cell r="H299">
            <v>151</v>
          </cell>
          <cell r="I299">
            <v>2</v>
          </cell>
          <cell r="J299">
            <v>0</v>
          </cell>
          <cell r="K299">
            <v>153</v>
          </cell>
          <cell r="L299">
            <v>150</v>
          </cell>
          <cell r="M299">
            <v>3</v>
          </cell>
          <cell r="N299">
            <v>6</v>
          </cell>
          <cell r="O299">
            <v>4</v>
          </cell>
          <cell r="P299">
            <v>6</v>
          </cell>
          <cell r="Q299">
            <v>4</v>
          </cell>
          <cell r="R299">
            <v>4</v>
          </cell>
          <cell r="S299">
            <v>0</v>
          </cell>
          <cell r="T299">
            <v>157</v>
          </cell>
          <cell r="U299">
            <v>154</v>
          </cell>
          <cell r="V299">
            <v>3</v>
          </cell>
          <cell r="W299">
            <v>44597</v>
          </cell>
          <cell r="X299">
            <v>44597</v>
          </cell>
          <cell r="Y299">
            <v>0</v>
          </cell>
          <cell r="Z299">
            <v>44597</v>
          </cell>
          <cell r="AA299">
            <v>38974</v>
          </cell>
          <cell r="AB299">
            <v>3489</v>
          </cell>
          <cell r="AC299">
            <v>42463</v>
          </cell>
          <cell r="AD299">
            <v>43</v>
          </cell>
          <cell r="AE299">
            <v>92</v>
          </cell>
          <cell r="AF299">
            <v>13244</v>
          </cell>
          <cell r="AG299">
            <v>49</v>
          </cell>
          <cell r="AH299">
            <v>1794.95</v>
          </cell>
          <cell r="AI299">
            <v>12</v>
          </cell>
          <cell r="AJ299">
            <v>1324.65</v>
          </cell>
          <cell r="AK299">
            <v>5</v>
          </cell>
          <cell r="AL299">
            <v>843.33</v>
          </cell>
          <cell r="AM299">
            <v>3</v>
          </cell>
          <cell r="AN299">
            <v>2037.07</v>
          </cell>
          <cell r="AO299">
            <v>7</v>
          </cell>
          <cell r="AP299">
            <v>6000</v>
          </cell>
          <cell r="AQ299">
            <v>27</v>
          </cell>
          <cell r="AR299">
            <v>206.66</v>
          </cell>
          <cell r="AS299">
            <v>0</v>
          </cell>
          <cell r="AT299">
            <v>206.66</v>
          </cell>
          <cell r="AU299">
            <v>0</v>
          </cell>
          <cell r="AV299">
            <v>206.66</v>
          </cell>
          <cell r="AW299">
            <v>0</v>
          </cell>
          <cell r="AX299">
            <v>3447.02</v>
          </cell>
          <cell r="AY299">
            <v>2</v>
          </cell>
          <cell r="AZ299">
            <v>4066.9999999999995</v>
          </cell>
          <cell r="BA299">
            <v>2</v>
          </cell>
          <cell r="BB299">
            <v>9197.41</v>
          </cell>
          <cell r="BC299">
            <v>32</v>
          </cell>
          <cell r="BD299">
            <v>7414.19</v>
          </cell>
          <cell r="BE299">
            <v>17</v>
          </cell>
          <cell r="BF299">
            <v>4269.12</v>
          </cell>
          <cell r="BG299">
            <v>34</v>
          </cell>
          <cell r="BH299">
            <v>2697.28</v>
          </cell>
          <cell r="BI299">
            <v>28</v>
          </cell>
          <cell r="BJ299">
            <v>23578</v>
          </cell>
          <cell r="BK299">
            <v>111</v>
          </cell>
          <cell r="BL299">
            <v>510.32</v>
          </cell>
          <cell r="BM299">
            <v>2</v>
          </cell>
          <cell r="BN299">
            <v>413.32</v>
          </cell>
          <cell r="BO299">
            <v>0</v>
          </cell>
          <cell r="BP299">
            <v>413.32</v>
          </cell>
          <cell r="BQ299">
            <v>0</v>
          </cell>
          <cell r="BR299">
            <v>913.04</v>
          </cell>
          <cell r="BS299">
            <v>4</v>
          </cell>
          <cell r="BT299">
            <v>2250</v>
          </cell>
          <cell r="BU299">
            <v>6</v>
          </cell>
          <cell r="BV299">
            <v>206.66</v>
          </cell>
          <cell r="BW299">
            <v>0</v>
          </cell>
          <cell r="BX299">
            <v>206.66</v>
          </cell>
          <cell r="BY299">
            <v>0</v>
          </cell>
          <cell r="BZ299">
            <v>164.67</v>
          </cell>
          <cell r="CA299">
            <v>1</v>
          </cell>
          <cell r="CB299">
            <v>659.01</v>
          </cell>
          <cell r="CC299">
            <v>1</v>
          </cell>
          <cell r="CD299">
            <v>1237</v>
          </cell>
          <cell r="CE299">
            <v>2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77</v>
          </cell>
          <cell r="CQ299">
            <v>1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77</v>
          </cell>
          <cell r="CY299">
            <v>1</v>
          </cell>
          <cell r="CZ299">
            <v>433.99</v>
          </cell>
          <cell r="DA299">
            <v>2</v>
          </cell>
          <cell r="DB299">
            <v>267.33</v>
          </cell>
          <cell r="DC299">
            <v>1</v>
          </cell>
          <cell r="DD299">
            <v>206.66</v>
          </cell>
          <cell r="DE299">
            <v>0</v>
          </cell>
          <cell r="DF299">
            <v>857.02</v>
          </cell>
          <cell r="DG299">
            <v>2</v>
          </cell>
          <cell r="DH299">
            <v>1765</v>
          </cell>
          <cell r="DI299">
            <v>5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H299">
            <v>0</v>
          </cell>
          <cell r="EI299">
            <v>0</v>
          </cell>
        </row>
        <row r="300">
          <cell r="A300" t="str">
            <v>MayHangnameedhoo</v>
          </cell>
          <cell r="B300" t="str">
            <v>May</v>
          </cell>
          <cell r="C300" t="str">
            <v>ADh.</v>
          </cell>
          <cell r="D300" t="str">
            <v>Hangnameedhoo</v>
          </cell>
          <cell r="E300" t="str">
            <v>usage units more than billed</v>
          </cell>
          <cell r="F300">
            <v>37903</v>
          </cell>
          <cell r="G300">
            <v>156</v>
          </cell>
          <cell r="H300">
            <v>153</v>
          </cell>
          <cell r="I300">
            <v>0</v>
          </cell>
          <cell r="J300">
            <v>0</v>
          </cell>
          <cell r="K300">
            <v>153</v>
          </cell>
          <cell r="L300">
            <v>153</v>
          </cell>
          <cell r="M300">
            <v>0</v>
          </cell>
          <cell r="N300">
            <v>4</v>
          </cell>
          <cell r="O300">
            <v>4</v>
          </cell>
          <cell r="P300">
            <v>4</v>
          </cell>
          <cell r="Q300">
            <v>4</v>
          </cell>
          <cell r="R300">
            <v>4</v>
          </cell>
          <cell r="S300">
            <v>0</v>
          </cell>
          <cell r="T300">
            <v>157</v>
          </cell>
          <cell r="U300">
            <v>157</v>
          </cell>
          <cell r="V300">
            <v>0</v>
          </cell>
          <cell r="W300">
            <v>44719</v>
          </cell>
          <cell r="X300">
            <v>44719</v>
          </cell>
          <cell r="Y300">
            <v>0</v>
          </cell>
          <cell r="Z300">
            <v>44719</v>
          </cell>
          <cell r="AA300">
            <v>37843</v>
          </cell>
          <cell r="AB300">
            <v>3069</v>
          </cell>
          <cell r="AC300">
            <v>40912</v>
          </cell>
          <cell r="AD300">
            <v>31</v>
          </cell>
          <cell r="AE300">
            <v>91</v>
          </cell>
          <cell r="AF300">
            <v>13247</v>
          </cell>
          <cell r="AG300">
            <v>82.5</v>
          </cell>
          <cell r="AH300">
            <v>1740.33</v>
          </cell>
          <cell r="AI300">
            <v>13</v>
          </cell>
          <cell r="AJ300">
            <v>1376.33</v>
          </cell>
          <cell r="AK300">
            <v>5</v>
          </cell>
          <cell r="AL300">
            <v>732.33</v>
          </cell>
          <cell r="AM300">
            <v>3</v>
          </cell>
          <cell r="AN300">
            <v>1335.01</v>
          </cell>
          <cell r="AO300">
            <v>7</v>
          </cell>
          <cell r="AP300">
            <v>5184</v>
          </cell>
          <cell r="AQ300">
            <v>28</v>
          </cell>
          <cell r="AR300">
            <v>203.33</v>
          </cell>
          <cell r="AS300">
            <v>0</v>
          </cell>
          <cell r="AT300">
            <v>203.33</v>
          </cell>
          <cell r="AU300">
            <v>0</v>
          </cell>
          <cell r="AV300">
            <v>203.33</v>
          </cell>
          <cell r="AW300">
            <v>0</v>
          </cell>
          <cell r="AX300">
            <v>3493.01</v>
          </cell>
          <cell r="AY300">
            <v>1</v>
          </cell>
          <cell r="AZ300">
            <v>4103</v>
          </cell>
          <cell r="BA300">
            <v>1</v>
          </cell>
          <cell r="BB300">
            <v>8993</v>
          </cell>
          <cell r="BC300">
            <v>33</v>
          </cell>
          <cell r="BD300">
            <v>7213</v>
          </cell>
          <cell r="BE300">
            <v>21</v>
          </cell>
          <cell r="BF300">
            <v>4332</v>
          </cell>
          <cell r="BG300">
            <v>27</v>
          </cell>
          <cell r="BH300">
            <v>2695</v>
          </cell>
          <cell r="BI300">
            <v>32</v>
          </cell>
          <cell r="BJ300">
            <v>23233</v>
          </cell>
          <cell r="BK300">
            <v>113</v>
          </cell>
          <cell r="BL300">
            <v>488</v>
          </cell>
          <cell r="BM300">
            <v>2</v>
          </cell>
          <cell r="BN300">
            <v>400</v>
          </cell>
          <cell r="BO300">
            <v>0</v>
          </cell>
          <cell r="BP300">
            <v>400</v>
          </cell>
          <cell r="BQ300">
            <v>0</v>
          </cell>
          <cell r="BR300">
            <v>950</v>
          </cell>
          <cell r="BS300">
            <v>4</v>
          </cell>
          <cell r="BT300">
            <v>2238</v>
          </cell>
          <cell r="BU300">
            <v>6</v>
          </cell>
          <cell r="BV300">
            <v>200</v>
          </cell>
          <cell r="BW300">
            <v>0</v>
          </cell>
          <cell r="BX300">
            <v>200</v>
          </cell>
          <cell r="BY300">
            <v>0</v>
          </cell>
          <cell r="BZ300">
            <v>191</v>
          </cell>
          <cell r="CA300">
            <v>1</v>
          </cell>
          <cell r="CB300">
            <v>749</v>
          </cell>
          <cell r="CC300">
            <v>1</v>
          </cell>
          <cell r="CD300">
            <v>1340</v>
          </cell>
          <cell r="CE300">
            <v>2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97</v>
          </cell>
          <cell r="CQ300">
            <v>1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97</v>
          </cell>
          <cell r="CY300">
            <v>1</v>
          </cell>
          <cell r="CZ300">
            <v>420</v>
          </cell>
          <cell r="DA300">
            <v>2</v>
          </cell>
          <cell r="DB300">
            <v>262</v>
          </cell>
          <cell r="DC300">
            <v>1</v>
          </cell>
          <cell r="DD300">
            <v>200</v>
          </cell>
          <cell r="DE300">
            <v>0</v>
          </cell>
          <cell r="DF300">
            <v>826</v>
          </cell>
          <cell r="DG300">
            <v>2</v>
          </cell>
          <cell r="DH300">
            <v>1708</v>
          </cell>
          <cell r="DI300">
            <v>5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H300">
            <v>0</v>
          </cell>
          <cell r="EI300">
            <v>0</v>
          </cell>
        </row>
        <row r="301">
          <cell r="A301" t="str">
            <v>JunHangnameedhoo</v>
          </cell>
          <cell r="B301" t="str">
            <v>Jun</v>
          </cell>
          <cell r="C301" t="str">
            <v>ADh.</v>
          </cell>
          <cell r="D301" t="str">
            <v>Hangnameedhoo</v>
          </cell>
          <cell r="E301" t="str">
            <v>billed normal &amp; temp more than usage</v>
          </cell>
          <cell r="F301">
            <v>40222</v>
          </cell>
          <cell r="G301">
            <v>158</v>
          </cell>
          <cell r="H301">
            <v>153</v>
          </cell>
          <cell r="I301">
            <v>0</v>
          </cell>
          <cell r="J301">
            <v>0</v>
          </cell>
          <cell r="K301">
            <v>153</v>
          </cell>
          <cell r="L301">
            <v>153</v>
          </cell>
          <cell r="M301">
            <v>0</v>
          </cell>
          <cell r="N301">
            <v>4</v>
          </cell>
          <cell r="O301">
            <v>6</v>
          </cell>
          <cell r="P301">
            <v>4</v>
          </cell>
          <cell r="Q301">
            <v>6</v>
          </cell>
          <cell r="R301">
            <v>6</v>
          </cell>
          <cell r="S301">
            <v>0</v>
          </cell>
          <cell r="T301">
            <v>159</v>
          </cell>
          <cell r="U301">
            <v>159</v>
          </cell>
          <cell r="V301">
            <v>0</v>
          </cell>
          <cell r="W301">
            <v>46512</v>
          </cell>
          <cell r="X301">
            <v>46512</v>
          </cell>
          <cell r="Y301">
            <v>0</v>
          </cell>
          <cell r="Z301">
            <v>46512</v>
          </cell>
          <cell r="AA301">
            <v>40222</v>
          </cell>
          <cell r="AB301">
            <v>3286</v>
          </cell>
          <cell r="AC301">
            <v>43508</v>
          </cell>
          <cell r="AD301">
            <v>31</v>
          </cell>
          <cell r="AE301">
            <v>91</v>
          </cell>
          <cell r="AF301">
            <v>13568</v>
          </cell>
          <cell r="AG301">
            <v>85.5</v>
          </cell>
          <cell r="AH301">
            <v>2169.0500000000002</v>
          </cell>
          <cell r="AI301">
            <v>10</v>
          </cell>
          <cell r="AJ301">
            <v>1704.01</v>
          </cell>
          <cell r="AK301">
            <v>7</v>
          </cell>
          <cell r="AL301">
            <v>925.99</v>
          </cell>
          <cell r="AM301">
            <v>4</v>
          </cell>
          <cell r="AN301">
            <v>1532.95</v>
          </cell>
          <cell r="AO301">
            <v>8</v>
          </cell>
          <cell r="AP301">
            <v>6332</v>
          </cell>
          <cell r="AQ301">
            <v>29</v>
          </cell>
          <cell r="AR301">
            <v>210</v>
          </cell>
          <cell r="AS301">
            <v>0</v>
          </cell>
          <cell r="AT301">
            <v>210</v>
          </cell>
          <cell r="AU301">
            <v>0</v>
          </cell>
          <cell r="AV301">
            <v>210</v>
          </cell>
          <cell r="AW301">
            <v>0</v>
          </cell>
          <cell r="AX301">
            <v>3664</v>
          </cell>
          <cell r="AY301">
            <v>2</v>
          </cell>
          <cell r="AZ301">
            <v>4294</v>
          </cell>
          <cell r="BA301">
            <v>2</v>
          </cell>
          <cell r="BB301">
            <v>9705.27</v>
          </cell>
          <cell r="BC301">
            <v>31</v>
          </cell>
          <cell r="BD301">
            <v>7834.79</v>
          </cell>
          <cell r="BE301">
            <v>23</v>
          </cell>
          <cell r="BF301">
            <v>4426.22</v>
          </cell>
          <cell r="BG301">
            <v>31</v>
          </cell>
          <cell r="BH301">
            <v>2566.7199999999998</v>
          </cell>
          <cell r="BI301">
            <v>28</v>
          </cell>
          <cell r="BJ301">
            <v>24533</v>
          </cell>
          <cell r="BK301">
            <v>113</v>
          </cell>
          <cell r="BL301">
            <v>534.67999999999995</v>
          </cell>
          <cell r="BM301">
            <v>2</v>
          </cell>
          <cell r="BN301">
            <v>426.68</v>
          </cell>
          <cell r="BO301">
            <v>0</v>
          </cell>
          <cell r="BP301">
            <v>426.68</v>
          </cell>
          <cell r="BQ301">
            <v>0</v>
          </cell>
          <cell r="BR301">
            <v>807.96</v>
          </cell>
          <cell r="BS301">
            <v>4</v>
          </cell>
          <cell r="BT301">
            <v>2196</v>
          </cell>
          <cell r="BU301">
            <v>6</v>
          </cell>
          <cell r="BV301">
            <v>213.34</v>
          </cell>
          <cell r="BW301">
            <v>1</v>
          </cell>
          <cell r="BX301">
            <v>117</v>
          </cell>
          <cell r="BY301">
            <v>0</v>
          </cell>
          <cell r="BZ301">
            <v>106.67</v>
          </cell>
          <cell r="CA301">
            <v>0</v>
          </cell>
          <cell r="CB301">
            <v>538.99</v>
          </cell>
          <cell r="CC301">
            <v>1</v>
          </cell>
          <cell r="CD301">
            <v>976</v>
          </cell>
          <cell r="CE301">
            <v>2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69</v>
          </cell>
          <cell r="CQ301">
            <v>1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69</v>
          </cell>
          <cell r="CY301">
            <v>1</v>
          </cell>
          <cell r="CZ301">
            <v>448.01</v>
          </cell>
          <cell r="DA301">
            <v>2</v>
          </cell>
          <cell r="DB301">
            <v>279.67</v>
          </cell>
          <cell r="DC301">
            <v>1</v>
          </cell>
          <cell r="DD301">
            <v>213.34</v>
          </cell>
          <cell r="DE301">
            <v>0</v>
          </cell>
          <cell r="DF301">
            <v>880.98</v>
          </cell>
          <cell r="DG301">
            <v>2</v>
          </cell>
          <cell r="DH301">
            <v>1822</v>
          </cell>
          <cell r="DI301">
            <v>5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  <cell r="ED301">
            <v>0</v>
          </cell>
          <cell r="EE301">
            <v>0</v>
          </cell>
          <cell r="EF301">
            <v>0</v>
          </cell>
          <cell r="EH301">
            <v>0</v>
          </cell>
          <cell r="EI301">
            <v>0</v>
          </cell>
        </row>
        <row r="302">
          <cell r="A302" t="str">
            <v>JulHangnameedhoo</v>
          </cell>
          <cell r="B302" t="str">
            <v>Jul</v>
          </cell>
          <cell r="C302" t="str">
            <v>ADh.</v>
          </cell>
          <cell r="D302" t="str">
            <v>Hangnameedhoo</v>
          </cell>
          <cell r="E302" t="str">
            <v>usage units less than billed</v>
          </cell>
          <cell r="F302">
            <v>39682</v>
          </cell>
          <cell r="G302">
            <v>154</v>
          </cell>
          <cell r="H302">
            <v>153</v>
          </cell>
          <cell r="I302">
            <v>2</v>
          </cell>
          <cell r="J302">
            <v>0</v>
          </cell>
          <cell r="K302">
            <v>155</v>
          </cell>
          <cell r="L302">
            <v>154</v>
          </cell>
          <cell r="M302">
            <v>1</v>
          </cell>
          <cell r="N302">
            <v>5</v>
          </cell>
          <cell r="O302">
            <v>3</v>
          </cell>
          <cell r="P302">
            <v>5</v>
          </cell>
          <cell r="Q302">
            <v>3</v>
          </cell>
          <cell r="R302">
            <v>3</v>
          </cell>
          <cell r="S302">
            <v>0</v>
          </cell>
          <cell r="T302">
            <v>158</v>
          </cell>
          <cell r="U302">
            <v>157</v>
          </cell>
          <cell r="V302">
            <v>1</v>
          </cell>
          <cell r="W302">
            <v>50786</v>
          </cell>
          <cell r="X302">
            <v>50786</v>
          </cell>
          <cell r="Y302">
            <v>0</v>
          </cell>
          <cell r="Z302">
            <v>50786</v>
          </cell>
          <cell r="AA302">
            <v>47518</v>
          </cell>
          <cell r="AB302">
            <v>3268</v>
          </cell>
          <cell r="AC302">
            <v>50786</v>
          </cell>
          <cell r="AD302">
            <v>47</v>
          </cell>
          <cell r="AE302">
            <v>97</v>
          </cell>
          <cell r="AF302">
            <v>15370</v>
          </cell>
          <cell r="AG302">
            <v>60</v>
          </cell>
          <cell r="AH302">
            <v>1640.05</v>
          </cell>
          <cell r="AI302">
            <v>9</v>
          </cell>
          <cell r="AJ302">
            <v>1204.3499999999999</v>
          </cell>
          <cell r="AK302">
            <v>5</v>
          </cell>
          <cell r="AL302">
            <v>697.66</v>
          </cell>
          <cell r="AM302">
            <v>4</v>
          </cell>
          <cell r="AN302">
            <v>1914.94</v>
          </cell>
          <cell r="AO302">
            <v>6</v>
          </cell>
          <cell r="AP302">
            <v>5457</v>
          </cell>
          <cell r="AQ302">
            <v>24</v>
          </cell>
          <cell r="AR302">
            <v>193.34</v>
          </cell>
          <cell r="AS302">
            <v>0</v>
          </cell>
          <cell r="AT302">
            <v>193.34</v>
          </cell>
          <cell r="AU302">
            <v>0</v>
          </cell>
          <cell r="AV302">
            <v>193.34</v>
          </cell>
          <cell r="AW302">
            <v>0</v>
          </cell>
          <cell r="AX302">
            <v>3269.98</v>
          </cell>
          <cell r="AY302">
            <v>2</v>
          </cell>
          <cell r="AZ302">
            <v>3850.0000000000005</v>
          </cell>
          <cell r="BA302">
            <v>2</v>
          </cell>
          <cell r="BB302">
            <v>9043.6200000000008</v>
          </cell>
          <cell r="BC302">
            <v>28</v>
          </cell>
          <cell r="BD302">
            <v>7504.16</v>
          </cell>
          <cell r="BE302">
            <v>19</v>
          </cell>
          <cell r="BF302">
            <v>5339.6</v>
          </cell>
          <cell r="BG302">
            <v>29</v>
          </cell>
          <cell r="BH302">
            <v>4140.62</v>
          </cell>
          <cell r="BI302">
            <v>38</v>
          </cell>
          <cell r="BJ302">
            <v>26028</v>
          </cell>
          <cell r="BK302">
            <v>114</v>
          </cell>
          <cell r="BL302">
            <v>446.68</v>
          </cell>
          <cell r="BM302">
            <v>2</v>
          </cell>
          <cell r="BN302">
            <v>386.68</v>
          </cell>
          <cell r="BO302">
            <v>0</v>
          </cell>
          <cell r="BP302">
            <v>354.67</v>
          </cell>
          <cell r="BQ302">
            <v>1</v>
          </cell>
          <cell r="BR302">
            <v>722.97</v>
          </cell>
          <cell r="BS302">
            <v>3</v>
          </cell>
          <cell r="BT302">
            <v>1911.0000000000002</v>
          </cell>
          <cell r="BU302">
            <v>6</v>
          </cell>
          <cell r="BV302">
            <v>193.34</v>
          </cell>
          <cell r="BW302">
            <v>0</v>
          </cell>
          <cell r="BX302">
            <v>133</v>
          </cell>
          <cell r="BY302">
            <v>1</v>
          </cell>
          <cell r="BZ302">
            <v>96.67</v>
          </cell>
          <cell r="CA302">
            <v>0</v>
          </cell>
          <cell r="CB302">
            <v>343.99</v>
          </cell>
          <cell r="CC302">
            <v>1</v>
          </cell>
          <cell r="CD302">
            <v>767</v>
          </cell>
          <cell r="CE302">
            <v>2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18</v>
          </cell>
          <cell r="CQ302">
            <v>1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18</v>
          </cell>
          <cell r="CY302">
            <v>1</v>
          </cell>
          <cell r="CZ302">
            <v>406.01</v>
          </cell>
          <cell r="DA302">
            <v>2</v>
          </cell>
          <cell r="DB302">
            <v>253.67</v>
          </cell>
          <cell r="DC302">
            <v>1</v>
          </cell>
          <cell r="DD302">
            <v>193.34</v>
          </cell>
          <cell r="DE302">
            <v>0</v>
          </cell>
          <cell r="DF302">
            <v>797.98</v>
          </cell>
          <cell r="DG302">
            <v>2</v>
          </cell>
          <cell r="DH302">
            <v>1651</v>
          </cell>
          <cell r="DI302">
            <v>5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  <cell r="ED302">
            <v>0</v>
          </cell>
          <cell r="EE302">
            <v>0</v>
          </cell>
          <cell r="EF302">
            <v>0</v>
          </cell>
          <cell r="EH302">
            <v>0</v>
          </cell>
          <cell r="EI302">
            <v>0</v>
          </cell>
        </row>
        <row r="303">
          <cell r="A303" t="str">
            <v>AugHangnameedhoo</v>
          </cell>
          <cell r="B303" t="str">
            <v>Aug</v>
          </cell>
          <cell r="C303" t="str">
            <v>ADh.</v>
          </cell>
          <cell r="D303" t="str">
            <v>Hangnameedhoo</v>
          </cell>
          <cell r="E303" t="str">
            <v>usage units less than billed</v>
          </cell>
          <cell r="F303">
            <v>37640</v>
          </cell>
          <cell r="G303">
            <v>153</v>
          </cell>
          <cell r="H303">
            <v>154</v>
          </cell>
          <cell r="I303">
            <v>3</v>
          </cell>
          <cell r="J303">
            <v>0</v>
          </cell>
          <cell r="K303">
            <v>157</v>
          </cell>
          <cell r="L303">
            <v>154</v>
          </cell>
          <cell r="M303">
            <v>3</v>
          </cell>
          <cell r="N303">
            <v>3</v>
          </cell>
          <cell r="O303">
            <v>5</v>
          </cell>
          <cell r="P303">
            <v>3</v>
          </cell>
          <cell r="Q303">
            <v>5</v>
          </cell>
          <cell r="R303">
            <v>5</v>
          </cell>
          <cell r="S303">
            <v>0</v>
          </cell>
          <cell r="T303">
            <v>162</v>
          </cell>
          <cell r="U303">
            <v>159</v>
          </cell>
          <cell r="V303">
            <v>3</v>
          </cell>
          <cell r="W303">
            <v>47064</v>
          </cell>
          <cell r="X303">
            <v>47064</v>
          </cell>
          <cell r="Y303">
            <v>0</v>
          </cell>
          <cell r="Z303">
            <v>47064</v>
          </cell>
          <cell r="AA303">
            <v>39470</v>
          </cell>
          <cell r="AB303">
            <v>3218</v>
          </cell>
          <cell r="AC303">
            <v>42688</v>
          </cell>
          <cell r="AD303">
            <v>43</v>
          </cell>
          <cell r="AE303">
            <v>98</v>
          </cell>
          <cell r="AF303">
            <v>13490</v>
          </cell>
          <cell r="AG303">
            <v>87.5</v>
          </cell>
          <cell r="AH303">
            <v>1948.94</v>
          </cell>
          <cell r="AI303">
            <v>10</v>
          </cell>
          <cell r="AJ303">
            <v>1453.66</v>
          </cell>
          <cell r="AK303">
            <v>8</v>
          </cell>
          <cell r="AL303">
            <v>779.32999999999993</v>
          </cell>
          <cell r="AM303">
            <v>4</v>
          </cell>
          <cell r="AN303">
            <v>2017.07</v>
          </cell>
          <cell r="AO303">
            <v>7</v>
          </cell>
          <cell r="AP303">
            <v>6199</v>
          </cell>
          <cell r="AQ303">
            <v>29</v>
          </cell>
          <cell r="AR303">
            <v>206.66</v>
          </cell>
          <cell r="AS303">
            <v>0</v>
          </cell>
          <cell r="AT303">
            <v>206.66</v>
          </cell>
          <cell r="AU303">
            <v>0</v>
          </cell>
          <cell r="AV303">
            <v>206.66</v>
          </cell>
          <cell r="AW303">
            <v>0</v>
          </cell>
          <cell r="AX303">
            <v>3745.02</v>
          </cell>
          <cell r="AY303">
            <v>2</v>
          </cell>
          <cell r="AZ303">
            <v>4365</v>
          </cell>
          <cell r="BA303">
            <v>2</v>
          </cell>
          <cell r="BB303">
            <v>9540.06</v>
          </cell>
          <cell r="BC303">
            <v>32</v>
          </cell>
          <cell r="BD303">
            <v>7370.54</v>
          </cell>
          <cell r="BE303">
            <v>22</v>
          </cell>
          <cell r="BF303">
            <v>4283.1499999999996</v>
          </cell>
          <cell r="BG303">
            <v>35</v>
          </cell>
          <cell r="BH303">
            <v>2731.25</v>
          </cell>
          <cell r="BI303">
            <v>25</v>
          </cell>
          <cell r="BJ303">
            <v>23925</v>
          </cell>
          <cell r="BK303">
            <v>114</v>
          </cell>
          <cell r="BL303">
            <v>509.32</v>
          </cell>
          <cell r="BM303">
            <v>2</v>
          </cell>
          <cell r="BN303">
            <v>413.32</v>
          </cell>
          <cell r="BO303">
            <v>0</v>
          </cell>
          <cell r="BP303">
            <v>381.33</v>
          </cell>
          <cell r="BQ303">
            <v>1</v>
          </cell>
          <cell r="BR303">
            <v>723.03</v>
          </cell>
          <cell r="BS303">
            <v>3</v>
          </cell>
          <cell r="BT303">
            <v>2026.9999999999998</v>
          </cell>
          <cell r="BU303">
            <v>6</v>
          </cell>
          <cell r="BV303">
            <v>206.66</v>
          </cell>
          <cell r="BW303">
            <v>0</v>
          </cell>
          <cell r="BX303">
            <v>206.66</v>
          </cell>
          <cell r="BY303">
            <v>0</v>
          </cell>
          <cell r="BZ303">
            <v>103.67</v>
          </cell>
          <cell r="CA303">
            <v>1</v>
          </cell>
          <cell r="CB303">
            <v>607.01</v>
          </cell>
          <cell r="CC303">
            <v>1</v>
          </cell>
          <cell r="CD303">
            <v>1124</v>
          </cell>
          <cell r="CE303">
            <v>2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H303">
            <v>0</v>
          </cell>
          <cell r="EI303">
            <v>0</v>
          </cell>
        </row>
        <row r="304">
          <cell r="A304" t="str">
            <v>SepHangnameedhoo</v>
          </cell>
          <cell r="B304" t="str">
            <v>Sep</v>
          </cell>
          <cell r="C304" t="str">
            <v>ADh.</v>
          </cell>
          <cell r="D304" t="str">
            <v>Hangnameedhoo</v>
          </cell>
          <cell r="E304" t="str">
            <v>billed normal &amp; temp more than usage</v>
          </cell>
          <cell r="F304">
            <v>39820</v>
          </cell>
          <cell r="G304">
            <v>160</v>
          </cell>
          <cell r="H304">
            <v>157</v>
          </cell>
          <cell r="I304">
            <v>2</v>
          </cell>
          <cell r="J304">
            <v>0</v>
          </cell>
          <cell r="K304">
            <v>159</v>
          </cell>
          <cell r="L304">
            <v>159</v>
          </cell>
          <cell r="M304">
            <v>0</v>
          </cell>
          <cell r="N304">
            <v>5</v>
          </cell>
          <cell r="O304">
            <v>3</v>
          </cell>
          <cell r="P304">
            <v>5</v>
          </cell>
          <cell r="Q304">
            <v>3</v>
          </cell>
          <cell r="R304">
            <v>2</v>
          </cell>
          <cell r="S304">
            <v>1</v>
          </cell>
          <cell r="T304">
            <v>162</v>
          </cell>
          <cell r="U304">
            <v>161</v>
          </cell>
          <cell r="V304">
            <v>1</v>
          </cell>
          <cell r="W304">
            <v>45526</v>
          </cell>
          <cell r="X304">
            <v>45526</v>
          </cell>
          <cell r="Y304">
            <v>0</v>
          </cell>
          <cell r="Z304">
            <v>45526</v>
          </cell>
          <cell r="AA304">
            <v>39820</v>
          </cell>
          <cell r="AB304">
            <v>2766</v>
          </cell>
          <cell r="AC304">
            <v>42586</v>
          </cell>
          <cell r="AD304">
            <v>42</v>
          </cell>
          <cell r="AE304">
            <v>100</v>
          </cell>
          <cell r="AF304">
            <v>13479</v>
          </cell>
          <cell r="AG304">
            <v>59.5</v>
          </cell>
          <cell r="AH304">
            <v>2031.28</v>
          </cell>
          <cell r="AI304">
            <v>10</v>
          </cell>
          <cell r="AJ304">
            <v>1650.66</v>
          </cell>
          <cell r="AK304">
            <v>7</v>
          </cell>
          <cell r="AL304">
            <v>895.99</v>
          </cell>
          <cell r="AM304">
            <v>4</v>
          </cell>
          <cell r="AN304">
            <v>1656.07</v>
          </cell>
          <cell r="AO304">
            <v>7</v>
          </cell>
          <cell r="AP304">
            <v>6234</v>
          </cell>
          <cell r="AQ304">
            <v>28</v>
          </cell>
          <cell r="AR304">
            <v>206.66</v>
          </cell>
          <cell r="AS304">
            <v>0</v>
          </cell>
          <cell r="AT304">
            <v>206.66</v>
          </cell>
          <cell r="AU304">
            <v>0</v>
          </cell>
          <cell r="AV304">
            <v>206.66</v>
          </cell>
          <cell r="AW304">
            <v>0</v>
          </cell>
          <cell r="AX304">
            <v>3453.02</v>
          </cell>
          <cell r="AY304">
            <v>2</v>
          </cell>
          <cell r="AZ304">
            <v>4072.9999999999995</v>
          </cell>
          <cell r="BA304">
            <v>2</v>
          </cell>
          <cell r="BB304">
            <v>9718.0499999999993</v>
          </cell>
          <cell r="BC304">
            <v>31</v>
          </cell>
          <cell r="BD304">
            <v>7691.23</v>
          </cell>
          <cell r="BE304">
            <v>28</v>
          </cell>
          <cell r="BF304">
            <v>4291.4399999999996</v>
          </cell>
          <cell r="BG304">
            <v>30</v>
          </cell>
          <cell r="BH304">
            <v>2840.28</v>
          </cell>
          <cell r="BI304">
            <v>28</v>
          </cell>
          <cell r="BJ304">
            <v>24540.999999999996</v>
          </cell>
          <cell r="BK304">
            <v>117</v>
          </cell>
          <cell r="BL304">
            <v>522.32000000000005</v>
          </cell>
          <cell r="BM304">
            <v>1</v>
          </cell>
          <cell r="BN304">
            <v>413.32</v>
          </cell>
          <cell r="BO304">
            <v>0</v>
          </cell>
          <cell r="BP304">
            <v>413.32</v>
          </cell>
          <cell r="BQ304">
            <v>0</v>
          </cell>
          <cell r="BR304">
            <v>709.04</v>
          </cell>
          <cell r="BS304">
            <v>4</v>
          </cell>
          <cell r="BT304">
            <v>2058</v>
          </cell>
          <cell r="BU304">
            <v>5</v>
          </cell>
          <cell r="BV304">
            <v>206.66</v>
          </cell>
          <cell r="BW304">
            <v>0</v>
          </cell>
          <cell r="BX304">
            <v>206.66</v>
          </cell>
          <cell r="BY304">
            <v>0</v>
          </cell>
          <cell r="BZ304">
            <v>120.67</v>
          </cell>
          <cell r="CA304">
            <v>1</v>
          </cell>
          <cell r="CB304">
            <v>561.01</v>
          </cell>
          <cell r="CC304">
            <v>1</v>
          </cell>
          <cell r="CD304">
            <v>1095</v>
          </cell>
          <cell r="CE304">
            <v>2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54</v>
          </cell>
          <cell r="CQ304">
            <v>1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54</v>
          </cell>
          <cell r="CY304">
            <v>1</v>
          </cell>
          <cell r="CZ304">
            <v>433.99</v>
          </cell>
          <cell r="DA304">
            <v>2</v>
          </cell>
          <cell r="DB304">
            <v>267.33</v>
          </cell>
          <cell r="DC304">
            <v>1</v>
          </cell>
          <cell r="DD304">
            <v>206.66</v>
          </cell>
          <cell r="DE304">
            <v>0</v>
          </cell>
          <cell r="DF304">
            <v>857.02</v>
          </cell>
          <cell r="DG304">
            <v>2</v>
          </cell>
          <cell r="DH304">
            <v>1765</v>
          </cell>
          <cell r="DI304">
            <v>5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H304">
            <v>0</v>
          </cell>
          <cell r="EI304">
            <v>0</v>
          </cell>
        </row>
        <row r="305">
          <cell r="A305" t="str">
            <v>OctHangnameedhoo</v>
          </cell>
          <cell r="B305" t="str">
            <v>Oct</v>
          </cell>
          <cell r="C305" t="str">
            <v>ADh.</v>
          </cell>
          <cell r="D305" t="str">
            <v>Hangnameedhoo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H305">
            <v>0</v>
          </cell>
          <cell r="EI305">
            <v>0</v>
          </cell>
        </row>
        <row r="306">
          <cell r="A306" t="str">
            <v>NovHangnameedhoo</v>
          </cell>
          <cell r="B306" t="str">
            <v>Nov</v>
          </cell>
          <cell r="C306" t="str">
            <v>ADh.</v>
          </cell>
          <cell r="D306" t="str">
            <v>Hangnameedhoo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H306">
            <v>0</v>
          </cell>
          <cell r="EI306">
            <v>0</v>
          </cell>
        </row>
        <row r="307">
          <cell r="A307" t="str">
            <v>DecHangnameedhoo</v>
          </cell>
          <cell r="B307" t="str">
            <v>Dec</v>
          </cell>
          <cell r="C307" t="str">
            <v>ADh.</v>
          </cell>
          <cell r="D307" t="str">
            <v>Hangnameedhoo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H307">
            <v>0</v>
          </cell>
          <cell r="EI307">
            <v>0</v>
          </cell>
        </row>
        <row r="308">
          <cell r="A308" t="str">
            <v>JanMahibadhoo</v>
          </cell>
          <cell r="B308" t="str">
            <v>Jan</v>
          </cell>
          <cell r="C308" t="str">
            <v>ADh.</v>
          </cell>
          <cell r="D308" t="str">
            <v>Mahibadhoo</v>
          </cell>
          <cell r="E308">
            <v>0</v>
          </cell>
          <cell r="F308">
            <v>180794</v>
          </cell>
          <cell r="G308">
            <v>419</v>
          </cell>
          <cell r="H308">
            <v>431</v>
          </cell>
          <cell r="I308">
            <v>4</v>
          </cell>
          <cell r="J308">
            <v>0</v>
          </cell>
          <cell r="K308">
            <v>435</v>
          </cell>
          <cell r="L308">
            <v>419</v>
          </cell>
          <cell r="M308">
            <v>16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435</v>
          </cell>
          <cell r="U308">
            <v>419</v>
          </cell>
          <cell r="V308">
            <v>16</v>
          </cell>
          <cell r="W308">
            <v>193312</v>
          </cell>
          <cell r="X308">
            <v>193312</v>
          </cell>
          <cell r="Y308">
            <v>0</v>
          </cell>
          <cell r="Z308">
            <v>193312</v>
          </cell>
          <cell r="AA308">
            <v>180794</v>
          </cell>
          <cell r="AB308">
            <v>0</v>
          </cell>
          <cell r="AC308">
            <v>180794</v>
          </cell>
          <cell r="AD308">
            <v>180</v>
          </cell>
          <cell r="AE308">
            <v>380</v>
          </cell>
          <cell r="AF308">
            <v>56897</v>
          </cell>
          <cell r="AG308">
            <v>182</v>
          </cell>
          <cell r="AH308">
            <v>7114.23</v>
          </cell>
          <cell r="AI308">
            <v>23</v>
          </cell>
          <cell r="AJ308">
            <v>6052.25</v>
          </cell>
          <cell r="AK308">
            <v>12</v>
          </cell>
          <cell r="AL308">
            <v>4063.37</v>
          </cell>
          <cell r="AM308">
            <v>20</v>
          </cell>
          <cell r="AN308">
            <v>6434.15</v>
          </cell>
          <cell r="AO308">
            <v>29</v>
          </cell>
          <cell r="AP308">
            <v>23664</v>
          </cell>
          <cell r="AQ308">
            <v>84</v>
          </cell>
          <cell r="AR308">
            <v>863.34</v>
          </cell>
          <cell r="AS308" t="str">
            <v xml:space="preserve"> -   </v>
          </cell>
          <cell r="AT308">
            <v>862.34</v>
          </cell>
          <cell r="AU308">
            <v>1</v>
          </cell>
          <cell r="AV308">
            <v>763.34</v>
          </cell>
          <cell r="AW308" t="str">
            <v xml:space="preserve"> -   </v>
          </cell>
          <cell r="AX308">
            <v>14286.98</v>
          </cell>
          <cell r="AY308">
            <v>7</v>
          </cell>
          <cell r="AZ308">
            <v>16776</v>
          </cell>
          <cell r="BA308">
            <v>8</v>
          </cell>
          <cell r="BB308">
            <v>27054.65</v>
          </cell>
          <cell r="BC308">
            <v>58</v>
          </cell>
          <cell r="BD308">
            <v>23137.43</v>
          </cell>
          <cell r="BE308">
            <v>45</v>
          </cell>
          <cell r="BF308">
            <v>18490.2</v>
          </cell>
          <cell r="BG308">
            <v>47</v>
          </cell>
          <cell r="BH308">
            <v>38920.720000000001</v>
          </cell>
          <cell r="BI308">
            <v>147</v>
          </cell>
          <cell r="BJ308">
            <v>107603</v>
          </cell>
          <cell r="BK308">
            <v>297</v>
          </cell>
          <cell r="BL308">
            <v>1704.31</v>
          </cell>
          <cell r="BM308">
            <v>7</v>
          </cell>
          <cell r="BN308">
            <v>1409.65</v>
          </cell>
          <cell r="BO308">
            <v>2</v>
          </cell>
          <cell r="BP308">
            <v>1207.98</v>
          </cell>
          <cell r="BQ308">
            <v>1</v>
          </cell>
          <cell r="BR308">
            <v>17008.060000000001</v>
          </cell>
          <cell r="BS308">
            <v>11</v>
          </cell>
          <cell r="BT308">
            <v>21330</v>
          </cell>
          <cell r="BU308">
            <v>21</v>
          </cell>
          <cell r="BV308">
            <v>309.99</v>
          </cell>
          <cell r="BW308" t="str">
            <v xml:space="preserve"> -   </v>
          </cell>
          <cell r="BX308">
            <v>274.33</v>
          </cell>
          <cell r="BY308">
            <v>1</v>
          </cell>
          <cell r="BZ308">
            <v>206.66</v>
          </cell>
          <cell r="CA308" t="str">
            <v xml:space="preserve"> -   </v>
          </cell>
          <cell r="CB308">
            <v>2439.02</v>
          </cell>
          <cell r="CC308">
            <v>2</v>
          </cell>
          <cell r="CD308">
            <v>3230</v>
          </cell>
          <cell r="CE308">
            <v>3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 t="str">
            <v xml:space="preserve"> -   </v>
          </cell>
          <cell r="CO308" t="str">
            <v xml:space="preserve"> -   </v>
          </cell>
          <cell r="CP308">
            <v>236.66</v>
          </cell>
          <cell r="CQ308">
            <v>1</v>
          </cell>
          <cell r="CR308">
            <v>177</v>
          </cell>
          <cell r="CS308">
            <v>1</v>
          </cell>
          <cell r="CT308">
            <v>103.33</v>
          </cell>
          <cell r="CU308" t="str">
            <v xml:space="preserve"> -   </v>
          </cell>
          <cell r="CV308">
            <v>69.010000000000005</v>
          </cell>
          <cell r="CW308">
            <v>1</v>
          </cell>
          <cell r="CX308">
            <v>586</v>
          </cell>
          <cell r="CY308">
            <v>3</v>
          </cell>
          <cell r="CZ308">
            <v>323.33</v>
          </cell>
          <cell r="DA308" t="str">
            <v xml:space="preserve"> -   </v>
          </cell>
          <cell r="DB308">
            <v>323.33</v>
          </cell>
          <cell r="DC308" t="str">
            <v xml:space="preserve"> -   </v>
          </cell>
          <cell r="DD308">
            <v>323.33</v>
          </cell>
          <cell r="DE308" t="str">
            <v xml:space="preserve"> -   </v>
          </cell>
          <cell r="DF308">
            <v>6635.01</v>
          </cell>
          <cell r="DG308">
            <v>3</v>
          </cell>
          <cell r="DH308">
            <v>7605</v>
          </cell>
          <cell r="DI308">
            <v>3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 t="str">
            <v xml:space="preserve"> -   </v>
          </cell>
          <cell r="DS308" t="str">
            <v xml:space="preserve"> -   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 t="str">
            <v xml:space="preserve"> -   </v>
          </cell>
          <cell r="EC308" t="str">
            <v xml:space="preserve"> -   </v>
          </cell>
          <cell r="ED308">
            <v>0</v>
          </cell>
          <cell r="EE308">
            <v>0</v>
          </cell>
          <cell r="EF308">
            <v>0</v>
          </cell>
          <cell r="EH308">
            <v>0</v>
          </cell>
          <cell r="EI308">
            <v>0</v>
          </cell>
        </row>
        <row r="309">
          <cell r="A309" t="str">
            <v>FebMahibadhoo</v>
          </cell>
          <cell r="B309" t="str">
            <v>Feb</v>
          </cell>
          <cell r="C309" t="str">
            <v>ADh.</v>
          </cell>
          <cell r="D309" t="str">
            <v>Mahibadhoo</v>
          </cell>
          <cell r="E309">
            <v>0</v>
          </cell>
          <cell r="F309">
            <v>187940</v>
          </cell>
          <cell r="G309">
            <v>422</v>
          </cell>
          <cell r="H309">
            <v>435</v>
          </cell>
          <cell r="I309">
            <v>2</v>
          </cell>
          <cell r="J309">
            <v>0</v>
          </cell>
          <cell r="K309">
            <v>437</v>
          </cell>
          <cell r="L309">
            <v>422</v>
          </cell>
          <cell r="M309">
            <v>15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437</v>
          </cell>
          <cell r="U309">
            <v>422</v>
          </cell>
          <cell r="V309">
            <v>15</v>
          </cell>
          <cell r="W309">
            <v>178808</v>
          </cell>
          <cell r="X309">
            <v>201095.8</v>
          </cell>
          <cell r="Y309">
            <v>0</v>
          </cell>
          <cell r="Z309">
            <v>201095.8</v>
          </cell>
          <cell r="AA309">
            <v>187940</v>
          </cell>
          <cell r="AB309">
            <v>0</v>
          </cell>
          <cell r="AC309">
            <v>187940</v>
          </cell>
          <cell r="AD309">
            <v>187</v>
          </cell>
          <cell r="AE309">
            <v>376</v>
          </cell>
          <cell r="AF309">
            <v>51417</v>
          </cell>
          <cell r="AG309">
            <v>199</v>
          </cell>
          <cell r="AH309">
            <v>7961.09</v>
          </cell>
          <cell r="AI309">
            <v>22</v>
          </cell>
          <cell r="AJ309">
            <v>6752.07</v>
          </cell>
          <cell r="AK309">
            <v>13</v>
          </cell>
          <cell r="AL309">
            <v>4947.9799999999996</v>
          </cell>
          <cell r="AM309">
            <v>18</v>
          </cell>
          <cell r="AN309">
            <v>7836.86</v>
          </cell>
          <cell r="AO309">
            <v>34</v>
          </cell>
          <cell r="AP309">
            <v>27498</v>
          </cell>
          <cell r="AQ309">
            <v>87</v>
          </cell>
          <cell r="AR309">
            <v>816.66</v>
          </cell>
          <cell r="AS309" t="str">
            <v xml:space="preserve"> -   </v>
          </cell>
          <cell r="AT309">
            <v>816.66</v>
          </cell>
          <cell r="AU309" t="str">
            <v xml:space="preserve"> -   </v>
          </cell>
          <cell r="AV309">
            <v>714.65</v>
          </cell>
          <cell r="AW309">
            <v>1</v>
          </cell>
          <cell r="AX309">
            <v>11602.03</v>
          </cell>
          <cell r="AY309">
            <v>7</v>
          </cell>
          <cell r="AZ309">
            <v>13950</v>
          </cell>
          <cell r="BA309">
            <v>8</v>
          </cell>
          <cell r="BB309">
            <v>27414.06</v>
          </cell>
          <cell r="BC309">
            <v>62</v>
          </cell>
          <cell r="BD309">
            <v>23510.04</v>
          </cell>
          <cell r="BE309">
            <v>40</v>
          </cell>
          <cell r="BF309">
            <v>18411.150000000001</v>
          </cell>
          <cell r="BG309">
            <v>42</v>
          </cell>
          <cell r="BH309">
            <v>38892.75</v>
          </cell>
          <cell r="BI309">
            <v>153</v>
          </cell>
          <cell r="BJ309">
            <v>108228</v>
          </cell>
          <cell r="BK309">
            <v>297</v>
          </cell>
          <cell r="BL309">
            <v>1822.69</v>
          </cell>
          <cell r="BM309">
            <v>6</v>
          </cell>
          <cell r="BN309">
            <v>1428.01</v>
          </cell>
          <cell r="BO309">
            <v>2</v>
          </cell>
          <cell r="BP309">
            <v>1357.34</v>
          </cell>
          <cell r="BQ309">
            <v>1</v>
          </cell>
          <cell r="BR309">
            <v>19188.96</v>
          </cell>
          <cell r="BS309">
            <v>12</v>
          </cell>
          <cell r="BT309">
            <v>23797</v>
          </cell>
          <cell r="BU309">
            <v>21</v>
          </cell>
          <cell r="BV309">
            <v>225.34</v>
          </cell>
          <cell r="BW309">
            <v>1</v>
          </cell>
          <cell r="BX309">
            <v>213.34</v>
          </cell>
          <cell r="BY309" t="str">
            <v xml:space="preserve"> -   </v>
          </cell>
          <cell r="BZ309">
            <v>213.34</v>
          </cell>
          <cell r="CA309" t="str">
            <v xml:space="preserve"> -   </v>
          </cell>
          <cell r="CB309">
            <v>4142.9799999999996</v>
          </cell>
          <cell r="CC309">
            <v>2</v>
          </cell>
          <cell r="CD309">
            <v>4795</v>
          </cell>
          <cell r="CE309">
            <v>3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 t="str">
            <v xml:space="preserve"> -   </v>
          </cell>
          <cell r="CO309" t="str">
            <v xml:space="preserve"> -   </v>
          </cell>
          <cell r="CP309">
            <v>308.33999999999997</v>
          </cell>
          <cell r="CQ309">
            <v>1</v>
          </cell>
          <cell r="CR309">
            <v>213.34</v>
          </cell>
          <cell r="CS309" t="str">
            <v xml:space="preserve"> -   </v>
          </cell>
          <cell r="CT309">
            <v>213.34</v>
          </cell>
          <cell r="CU309">
            <v>0</v>
          </cell>
          <cell r="CV309">
            <v>762.98</v>
          </cell>
          <cell r="CW309">
            <v>2</v>
          </cell>
          <cell r="CX309">
            <v>1498</v>
          </cell>
          <cell r="CY309">
            <v>3</v>
          </cell>
          <cell r="CZ309">
            <v>316.66000000000003</v>
          </cell>
          <cell r="DA309" t="str">
            <v xml:space="preserve"> -   </v>
          </cell>
          <cell r="DB309">
            <v>316.66000000000003</v>
          </cell>
          <cell r="DC309" t="str">
            <v xml:space="preserve"> -   </v>
          </cell>
          <cell r="DD309">
            <v>316.66000000000003</v>
          </cell>
          <cell r="DE309" t="str">
            <v xml:space="preserve"> -   </v>
          </cell>
          <cell r="DF309">
            <v>7224.02</v>
          </cell>
          <cell r="DG309">
            <v>3</v>
          </cell>
          <cell r="DH309">
            <v>8174</v>
          </cell>
          <cell r="DI309">
            <v>3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 t="str">
            <v xml:space="preserve"> -   </v>
          </cell>
          <cell r="DS309" t="str">
            <v xml:space="preserve"> -   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 t="str">
            <v xml:space="preserve"> -   </v>
          </cell>
          <cell r="EC309" t="str">
            <v xml:space="preserve"> -   </v>
          </cell>
          <cell r="ED309">
            <v>0</v>
          </cell>
          <cell r="EE309">
            <v>0</v>
          </cell>
          <cell r="EF309">
            <v>0</v>
          </cell>
          <cell r="EH309">
            <v>0</v>
          </cell>
          <cell r="EI309">
            <v>0</v>
          </cell>
        </row>
        <row r="310">
          <cell r="A310" t="str">
            <v>MarMahibadhoo</v>
          </cell>
          <cell r="B310" t="str">
            <v>Mar</v>
          </cell>
          <cell r="C310" t="str">
            <v>ADh.</v>
          </cell>
          <cell r="D310" t="str">
            <v>Mahibadhoo</v>
          </cell>
          <cell r="E310">
            <v>0</v>
          </cell>
          <cell r="F310">
            <v>183851</v>
          </cell>
          <cell r="G310">
            <v>415</v>
          </cell>
          <cell r="H310">
            <v>437</v>
          </cell>
          <cell r="I310">
            <v>2</v>
          </cell>
          <cell r="J310">
            <v>0</v>
          </cell>
          <cell r="K310">
            <v>439</v>
          </cell>
          <cell r="L310">
            <v>415</v>
          </cell>
          <cell r="M310">
            <v>24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439</v>
          </cell>
          <cell r="U310">
            <v>415</v>
          </cell>
          <cell r="V310">
            <v>24</v>
          </cell>
          <cell r="W310">
            <v>219241</v>
          </cell>
          <cell r="X310">
            <v>219241</v>
          </cell>
          <cell r="Y310">
            <v>0</v>
          </cell>
          <cell r="Z310">
            <v>219241</v>
          </cell>
          <cell r="AA310">
            <v>183851</v>
          </cell>
          <cell r="AB310">
            <v>0</v>
          </cell>
          <cell r="AC310">
            <v>183851</v>
          </cell>
          <cell r="AD310">
            <v>180</v>
          </cell>
          <cell r="AE310">
            <v>441</v>
          </cell>
          <cell r="AF310">
            <v>59940</v>
          </cell>
          <cell r="AG310">
            <v>165</v>
          </cell>
          <cell r="AH310">
            <v>6783.21</v>
          </cell>
          <cell r="AI310">
            <v>20</v>
          </cell>
          <cell r="AJ310">
            <v>5721.49</v>
          </cell>
          <cell r="AK310">
            <v>9</v>
          </cell>
          <cell r="AL310">
            <v>4486.6899999999996</v>
          </cell>
          <cell r="AM310">
            <v>16</v>
          </cell>
          <cell r="AN310">
            <v>9062.61</v>
          </cell>
          <cell r="AO310">
            <v>39</v>
          </cell>
          <cell r="AP310">
            <v>26054</v>
          </cell>
          <cell r="AQ310">
            <v>84</v>
          </cell>
          <cell r="AR310">
            <v>773.36</v>
          </cell>
          <cell r="AS310" t="str">
            <v xml:space="preserve"> -   </v>
          </cell>
          <cell r="AT310">
            <v>773.36</v>
          </cell>
          <cell r="AU310" t="str">
            <v xml:space="preserve"> -   </v>
          </cell>
          <cell r="AV310">
            <v>687.35</v>
          </cell>
          <cell r="AW310">
            <v>1</v>
          </cell>
          <cell r="AX310">
            <v>10094.93</v>
          </cell>
          <cell r="AY310">
            <v>7</v>
          </cell>
          <cell r="AZ310">
            <v>12329</v>
          </cell>
          <cell r="BA310">
            <v>8</v>
          </cell>
          <cell r="BB310">
            <v>25097.79</v>
          </cell>
          <cell r="BC310">
            <v>54</v>
          </cell>
          <cell r="BD310">
            <v>21715.55</v>
          </cell>
          <cell r="BE310">
            <v>38</v>
          </cell>
          <cell r="BF310">
            <v>17655.25</v>
          </cell>
          <cell r="BG310">
            <v>42</v>
          </cell>
          <cell r="BH310">
            <v>42257.41</v>
          </cell>
          <cell r="BI310">
            <v>161</v>
          </cell>
          <cell r="BJ310">
            <v>106726</v>
          </cell>
          <cell r="BK310">
            <v>295</v>
          </cell>
          <cell r="BL310">
            <v>1592.05</v>
          </cell>
          <cell r="BM310">
            <v>4</v>
          </cell>
          <cell r="BN310">
            <v>1303.3699999999999</v>
          </cell>
          <cell r="BO310">
            <v>2</v>
          </cell>
          <cell r="BP310">
            <v>1212.69</v>
          </cell>
          <cell r="BQ310">
            <v>2</v>
          </cell>
          <cell r="BR310">
            <v>21181.89</v>
          </cell>
          <cell r="BS310">
            <v>11</v>
          </cell>
          <cell r="BT310">
            <v>25290</v>
          </cell>
          <cell r="BU310">
            <v>19</v>
          </cell>
          <cell r="BV310">
            <v>245.34</v>
          </cell>
          <cell r="BW310">
            <v>1</v>
          </cell>
          <cell r="BX310">
            <v>193.34</v>
          </cell>
          <cell r="BY310" t="str">
            <v xml:space="preserve"> -   </v>
          </cell>
          <cell r="BZ310">
            <v>193.34</v>
          </cell>
          <cell r="CA310" t="str">
            <v xml:space="preserve"> -   </v>
          </cell>
          <cell r="CB310">
            <v>3573.98</v>
          </cell>
          <cell r="CC310">
            <v>2</v>
          </cell>
          <cell r="CD310">
            <v>4206</v>
          </cell>
          <cell r="CE310">
            <v>3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 t="str">
            <v xml:space="preserve"> -   </v>
          </cell>
          <cell r="CO310" t="str">
            <v xml:space="preserve"> -   </v>
          </cell>
          <cell r="CP310">
            <v>290.01</v>
          </cell>
          <cell r="CQ310" t="str">
            <v xml:space="preserve"> -   </v>
          </cell>
          <cell r="CR310">
            <v>260.67</v>
          </cell>
          <cell r="CS310">
            <v>1</v>
          </cell>
          <cell r="CT310">
            <v>193.34</v>
          </cell>
          <cell r="CU310" t="str">
            <v xml:space="preserve"> -   </v>
          </cell>
          <cell r="CV310">
            <v>885.98</v>
          </cell>
          <cell r="CW310">
            <v>2</v>
          </cell>
          <cell r="CX310">
            <v>1630</v>
          </cell>
          <cell r="CY310">
            <v>3</v>
          </cell>
          <cell r="CZ310">
            <v>290.01</v>
          </cell>
          <cell r="DA310" t="str">
            <v xml:space="preserve"> -   </v>
          </cell>
          <cell r="DB310">
            <v>290.01</v>
          </cell>
          <cell r="DC310" t="str">
            <v xml:space="preserve"> -   </v>
          </cell>
          <cell r="DD310">
            <v>290.01</v>
          </cell>
          <cell r="DE310" t="str">
            <v xml:space="preserve"> -   </v>
          </cell>
          <cell r="DF310">
            <v>6745.97</v>
          </cell>
          <cell r="DG310">
            <v>3</v>
          </cell>
          <cell r="DH310">
            <v>7616</v>
          </cell>
          <cell r="DI310">
            <v>3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 t="str">
            <v xml:space="preserve"> -   </v>
          </cell>
          <cell r="DS310" t="str">
            <v xml:space="preserve"> -   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 t="str">
            <v xml:space="preserve"> -   </v>
          </cell>
          <cell r="EC310" t="str">
            <v xml:space="preserve"> -   </v>
          </cell>
          <cell r="ED310">
            <v>0</v>
          </cell>
          <cell r="EE310">
            <v>0</v>
          </cell>
          <cell r="EF310">
            <v>0</v>
          </cell>
          <cell r="EH310">
            <v>0</v>
          </cell>
          <cell r="EI310">
            <v>0</v>
          </cell>
        </row>
        <row r="311">
          <cell r="A311" t="str">
            <v>AprMahibadhoo</v>
          </cell>
          <cell r="B311" t="str">
            <v>Apr</v>
          </cell>
          <cell r="C311" t="str">
            <v>ADh.</v>
          </cell>
          <cell r="D311" t="str">
            <v>Mahibadhoo</v>
          </cell>
          <cell r="E311">
            <v>0</v>
          </cell>
          <cell r="F311">
            <v>204034</v>
          </cell>
          <cell r="G311">
            <v>419</v>
          </cell>
          <cell r="H311">
            <v>439</v>
          </cell>
          <cell r="I311">
            <v>0</v>
          </cell>
          <cell r="J311">
            <v>0</v>
          </cell>
          <cell r="K311">
            <v>439</v>
          </cell>
          <cell r="L311">
            <v>419</v>
          </cell>
          <cell r="M311">
            <v>20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439</v>
          </cell>
          <cell r="U311">
            <v>419</v>
          </cell>
          <cell r="V311">
            <v>20</v>
          </cell>
          <cell r="W311">
            <v>219775</v>
          </cell>
          <cell r="X311">
            <v>219775</v>
          </cell>
          <cell r="Y311">
            <v>0</v>
          </cell>
          <cell r="Z311">
            <v>219775</v>
          </cell>
          <cell r="AA311">
            <v>204034</v>
          </cell>
          <cell r="AB311">
            <v>0</v>
          </cell>
          <cell r="AC311">
            <v>204034</v>
          </cell>
          <cell r="AD311">
            <v>190</v>
          </cell>
          <cell r="AE311">
            <v>440</v>
          </cell>
          <cell r="AF311">
            <v>62173</v>
          </cell>
          <cell r="AG311">
            <v>268</v>
          </cell>
          <cell r="AH311">
            <v>7180</v>
          </cell>
          <cell r="AI311">
            <v>23</v>
          </cell>
          <cell r="AJ311">
            <v>5870.66</v>
          </cell>
          <cell r="AK311">
            <v>11</v>
          </cell>
          <cell r="AL311">
            <v>4598.34</v>
          </cell>
          <cell r="AM311">
            <v>13</v>
          </cell>
          <cell r="AN311">
            <v>10479</v>
          </cell>
          <cell r="AO311">
            <v>39</v>
          </cell>
          <cell r="AP311">
            <v>28128</v>
          </cell>
          <cell r="AQ311">
            <v>86</v>
          </cell>
          <cell r="AR311">
            <v>813.33</v>
          </cell>
          <cell r="AS311">
            <v>0</v>
          </cell>
          <cell r="AT311">
            <v>813.33</v>
          </cell>
          <cell r="AU311">
            <v>0</v>
          </cell>
          <cell r="AV311">
            <v>727.33</v>
          </cell>
          <cell r="AW311">
            <v>1</v>
          </cell>
          <cell r="AX311">
            <v>11357.01</v>
          </cell>
          <cell r="AY311">
            <v>7</v>
          </cell>
          <cell r="AZ311">
            <v>13711</v>
          </cell>
          <cell r="BA311">
            <v>8</v>
          </cell>
          <cell r="BB311">
            <v>26092.639999999999</v>
          </cell>
          <cell r="BC311">
            <v>53</v>
          </cell>
          <cell r="BD311">
            <v>23078.66</v>
          </cell>
          <cell r="BE311">
            <v>33</v>
          </cell>
          <cell r="BF311">
            <v>18609.66</v>
          </cell>
          <cell r="BG311">
            <v>45</v>
          </cell>
          <cell r="BH311">
            <v>52718.04</v>
          </cell>
          <cell r="BI311">
            <v>165</v>
          </cell>
          <cell r="BJ311">
            <v>120499</v>
          </cell>
          <cell r="BK311">
            <v>296</v>
          </cell>
          <cell r="BL311">
            <v>1530.33</v>
          </cell>
          <cell r="BM311">
            <v>7</v>
          </cell>
          <cell r="BN311">
            <v>1232.33</v>
          </cell>
          <cell r="BO311">
            <v>1</v>
          </cell>
          <cell r="BP311">
            <v>1213.33</v>
          </cell>
          <cell r="BQ311">
            <v>0</v>
          </cell>
          <cell r="BR311">
            <v>23628.01</v>
          </cell>
          <cell r="BS311">
            <v>12</v>
          </cell>
          <cell r="BT311">
            <v>27604</v>
          </cell>
          <cell r="BU311">
            <v>20</v>
          </cell>
          <cell r="BV311">
            <v>326.66000000000003</v>
          </cell>
          <cell r="BW311">
            <v>0</v>
          </cell>
          <cell r="BX311">
            <v>326.66000000000003</v>
          </cell>
          <cell r="BY311">
            <v>0</v>
          </cell>
          <cell r="BZ311">
            <v>262.66000000000003</v>
          </cell>
          <cell r="CA311">
            <v>1</v>
          </cell>
          <cell r="CB311">
            <v>3565.02</v>
          </cell>
          <cell r="CC311">
            <v>2</v>
          </cell>
          <cell r="CD311">
            <v>4481</v>
          </cell>
          <cell r="CE311">
            <v>3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300</v>
          </cell>
          <cell r="CQ311">
            <v>0</v>
          </cell>
          <cell r="CR311">
            <v>277</v>
          </cell>
          <cell r="CS311">
            <v>1</v>
          </cell>
          <cell r="CT311">
            <v>200</v>
          </cell>
          <cell r="CU311">
            <v>0</v>
          </cell>
          <cell r="CV311">
            <v>956</v>
          </cell>
          <cell r="CW311">
            <v>2</v>
          </cell>
          <cell r="CX311">
            <v>1733</v>
          </cell>
          <cell r="CY311">
            <v>3</v>
          </cell>
          <cell r="CZ311">
            <v>300</v>
          </cell>
          <cell r="DA311">
            <v>0</v>
          </cell>
          <cell r="DB311">
            <v>300</v>
          </cell>
          <cell r="DC311">
            <v>0</v>
          </cell>
          <cell r="DD311">
            <v>300</v>
          </cell>
          <cell r="DE311">
            <v>0</v>
          </cell>
          <cell r="DF311">
            <v>6978</v>
          </cell>
          <cell r="DG311">
            <v>3</v>
          </cell>
          <cell r="DH311">
            <v>7878</v>
          </cell>
          <cell r="DI311">
            <v>3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H311">
            <v>0</v>
          </cell>
          <cell r="EI311">
            <v>0</v>
          </cell>
        </row>
        <row r="312">
          <cell r="A312" t="str">
            <v>MayMahibadhoo</v>
          </cell>
          <cell r="B312" t="str">
            <v>May</v>
          </cell>
          <cell r="C312" t="str">
            <v>ADh.</v>
          </cell>
          <cell r="D312" t="str">
            <v>Mahibadhoo</v>
          </cell>
          <cell r="E312">
            <v>0</v>
          </cell>
          <cell r="F312">
            <v>203387</v>
          </cell>
          <cell r="G312">
            <v>424</v>
          </cell>
          <cell r="H312">
            <v>439</v>
          </cell>
          <cell r="I312">
            <v>1</v>
          </cell>
          <cell r="J312">
            <v>0</v>
          </cell>
          <cell r="K312">
            <v>440</v>
          </cell>
          <cell r="L312">
            <v>424</v>
          </cell>
          <cell r="M312">
            <v>16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440</v>
          </cell>
          <cell r="U312">
            <v>424</v>
          </cell>
          <cell r="V312">
            <v>16</v>
          </cell>
          <cell r="W312">
            <v>214322</v>
          </cell>
          <cell r="X312">
            <v>214322</v>
          </cell>
          <cell r="Y312">
            <v>0</v>
          </cell>
          <cell r="Z312">
            <v>214322</v>
          </cell>
          <cell r="AA312">
            <v>203387</v>
          </cell>
          <cell r="AB312">
            <v>3924</v>
          </cell>
          <cell r="AC312">
            <v>207311</v>
          </cell>
          <cell r="AD312">
            <v>190</v>
          </cell>
          <cell r="AE312">
            <v>450</v>
          </cell>
          <cell r="AF312">
            <v>60450</v>
          </cell>
          <cell r="AG312">
            <v>160</v>
          </cell>
          <cell r="AH312">
            <v>7045.72</v>
          </cell>
          <cell r="AI312">
            <v>24</v>
          </cell>
          <cell r="AJ312">
            <v>5667.36</v>
          </cell>
          <cell r="AK312">
            <v>13</v>
          </cell>
          <cell r="AL312">
            <v>4395.03</v>
          </cell>
          <cell r="AM312">
            <v>12</v>
          </cell>
          <cell r="AN312">
            <v>9526.89</v>
          </cell>
          <cell r="AO312">
            <v>38</v>
          </cell>
          <cell r="AP312">
            <v>26635</v>
          </cell>
          <cell r="AQ312">
            <v>87</v>
          </cell>
          <cell r="AR312">
            <v>820.02</v>
          </cell>
          <cell r="AS312">
            <v>0</v>
          </cell>
          <cell r="AT312">
            <v>820.02</v>
          </cell>
          <cell r="AU312">
            <v>0</v>
          </cell>
          <cell r="AV312">
            <v>728.02</v>
          </cell>
          <cell r="AW312">
            <v>1</v>
          </cell>
          <cell r="AX312">
            <v>10696.94</v>
          </cell>
          <cell r="AY312">
            <v>7</v>
          </cell>
          <cell r="AZ312">
            <v>13065.000000000002</v>
          </cell>
          <cell r="BA312">
            <v>8</v>
          </cell>
          <cell r="BB312">
            <v>27049.68</v>
          </cell>
          <cell r="BC312">
            <v>59</v>
          </cell>
          <cell r="BD312">
            <v>23830.26</v>
          </cell>
          <cell r="BE312">
            <v>30</v>
          </cell>
          <cell r="BF312">
            <v>19679.78</v>
          </cell>
          <cell r="BG312">
            <v>43</v>
          </cell>
          <cell r="BH312">
            <v>54527.28</v>
          </cell>
          <cell r="BI312">
            <v>168</v>
          </cell>
          <cell r="BJ312">
            <v>125086.99999999999</v>
          </cell>
          <cell r="BK312">
            <v>300</v>
          </cell>
          <cell r="BL312">
            <v>1731.35</v>
          </cell>
          <cell r="BM312">
            <v>6</v>
          </cell>
          <cell r="BN312">
            <v>1367.35</v>
          </cell>
          <cell r="BO312">
            <v>2</v>
          </cell>
          <cell r="BP312">
            <v>1203.3499999999999</v>
          </cell>
          <cell r="BQ312">
            <v>1</v>
          </cell>
          <cell r="BR312">
            <v>20252.95</v>
          </cell>
          <cell r="BS312">
            <v>11</v>
          </cell>
          <cell r="BT312">
            <v>24554.999999999996</v>
          </cell>
          <cell r="BU312">
            <v>20</v>
          </cell>
          <cell r="BV312">
            <v>273.33999999999997</v>
          </cell>
          <cell r="BW312">
            <v>0</v>
          </cell>
          <cell r="BX312">
            <v>273.33999999999997</v>
          </cell>
          <cell r="BY312">
            <v>0</v>
          </cell>
          <cell r="BZ312">
            <v>273.33999999999997</v>
          </cell>
          <cell r="CA312">
            <v>0</v>
          </cell>
          <cell r="CB312">
            <v>3558.98</v>
          </cell>
          <cell r="CC312">
            <v>3</v>
          </cell>
          <cell r="CD312">
            <v>4379</v>
          </cell>
          <cell r="CE312">
            <v>3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310</v>
          </cell>
          <cell r="CQ312">
            <v>0</v>
          </cell>
          <cell r="CR312">
            <v>217</v>
          </cell>
          <cell r="CS312">
            <v>1</v>
          </cell>
          <cell r="CT312">
            <v>200</v>
          </cell>
          <cell r="CU312">
            <v>0</v>
          </cell>
          <cell r="CV312">
            <v>535</v>
          </cell>
          <cell r="CW312">
            <v>2</v>
          </cell>
          <cell r="CX312">
            <v>1262</v>
          </cell>
          <cell r="CY312">
            <v>3</v>
          </cell>
          <cell r="CZ312">
            <v>320.01</v>
          </cell>
          <cell r="DA312">
            <v>0</v>
          </cell>
          <cell r="DB312">
            <v>320.01</v>
          </cell>
          <cell r="DC312">
            <v>0</v>
          </cell>
          <cell r="DD312">
            <v>320.01</v>
          </cell>
          <cell r="DE312">
            <v>0</v>
          </cell>
          <cell r="DF312">
            <v>7443.97</v>
          </cell>
          <cell r="DG312">
            <v>3</v>
          </cell>
          <cell r="DH312">
            <v>8404</v>
          </cell>
          <cell r="DI312">
            <v>3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0</v>
          </cell>
          <cell r="EH312">
            <v>0</v>
          </cell>
          <cell r="EI312">
            <v>0</v>
          </cell>
        </row>
        <row r="313">
          <cell r="A313" t="str">
            <v>JunMahibadhoo</v>
          </cell>
          <cell r="B313" t="str">
            <v>Jun</v>
          </cell>
          <cell r="C313" t="str">
            <v>ADh.</v>
          </cell>
          <cell r="D313" t="str">
            <v>Mahibadhoo</v>
          </cell>
          <cell r="E313" t="str">
            <v>usage units less than billed</v>
          </cell>
          <cell r="F313">
            <v>203902</v>
          </cell>
          <cell r="G313">
            <v>423</v>
          </cell>
          <cell r="H313">
            <v>440</v>
          </cell>
          <cell r="I313">
            <v>2</v>
          </cell>
          <cell r="J313">
            <v>0</v>
          </cell>
          <cell r="K313">
            <v>442</v>
          </cell>
          <cell r="L313">
            <v>423</v>
          </cell>
          <cell r="M313">
            <v>19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442</v>
          </cell>
          <cell r="U313">
            <v>423</v>
          </cell>
          <cell r="V313">
            <v>19</v>
          </cell>
          <cell r="W313">
            <v>213010</v>
          </cell>
          <cell r="X313">
            <v>213010</v>
          </cell>
          <cell r="Y313">
            <v>0</v>
          </cell>
          <cell r="Z313">
            <v>213010</v>
          </cell>
          <cell r="AA313">
            <v>207830</v>
          </cell>
          <cell r="AB313">
            <v>4087</v>
          </cell>
          <cell r="AC313">
            <v>211917</v>
          </cell>
          <cell r="AD313">
            <v>180</v>
          </cell>
          <cell r="AE313">
            <v>460</v>
          </cell>
          <cell r="AF313">
            <v>60751</v>
          </cell>
          <cell r="AG313">
            <v>97</v>
          </cell>
          <cell r="AH313">
            <v>7152.81</v>
          </cell>
          <cell r="AI313">
            <v>26</v>
          </cell>
          <cell r="AJ313">
            <v>5585.75</v>
          </cell>
          <cell r="AK313">
            <v>11</v>
          </cell>
          <cell r="AL313">
            <v>436.67</v>
          </cell>
          <cell r="AM313">
            <v>13</v>
          </cell>
          <cell r="AN313">
            <v>7588.77</v>
          </cell>
          <cell r="AO313">
            <v>35</v>
          </cell>
          <cell r="AP313">
            <v>20764</v>
          </cell>
          <cell r="AQ313">
            <v>85</v>
          </cell>
          <cell r="AR313">
            <v>823.34</v>
          </cell>
          <cell r="AS313">
            <v>0</v>
          </cell>
          <cell r="AT313">
            <v>823.34</v>
          </cell>
          <cell r="AU313">
            <v>0</v>
          </cell>
          <cell r="AV313">
            <v>740.33</v>
          </cell>
          <cell r="AW313">
            <v>1</v>
          </cell>
          <cell r="AX313">
            <v>11473.99</v>
          </cell>
          <cell r="AY313">
            <v>7</v>
          </cell>
          <cell r="AZ313">
            <v>13861</v>
          </cell>
          <cell r="BA313">
            <v>8</v>
          </cell>
          <cell r="BB313">
            <v>27409.439999999999</v>
          </cell>
          <cell r="BC313">
            <v>54</v>
          </cell>
          <cell r="BD313">
            <v>24572.66</v>
          </cell>
          <cell r="BE313">
            <v>28</v>
          </cell>
          <cell r="BF313">
            <v>20493.86</v>
          </cell>
          <cell r="BG313">
            <v>42</v>
          </cell>
          <cell r="BH313">
            <v>57127.040000000001</v>
          </cell>
          <cell r="BI313">
            <v>177</v>
          </cell>
          <cell r="BJ313">
            <v>129603</v>
          </cell>
          <cell r="BK313">
            <v>301</v>
          </cell>
          <cell r="BL313">
            <v>1632.03</v>
          </cell>
          <cell r="BM313">
            <v>7</v>
          </cell>
          <cell r="BN313">
            <v>1270.69</v>
          </cell>
          <cell r="BO313">
            <v>1</v>
          </cell>
          <cell r="BP313">
            <v>1157.3499999999999</v>
          </cell>
          <cell r="BQ313">
            <v>1</v>
          </cell>
          <cell r="BR313">
            <v>22625.93</v>
          </cell>
          <cell r="BS313">
            <v>11</v>
          </cell>
          <cell r="BT313">
            <v>26685.999999999996</v>
          </cell>
          <cell r="BU313">
            <v>20</v>
          </cell>
          <cell r="BV313">
            <v>320.01</v>
          </cell>
          <cell r="BW313">
            <v>0</v>
          </cell>
          <cell r="BX313">
            <v>320.01</v>
          </cell>
          <cell r="BY313">
            <v>0</v>
          </cell>
          <cell r="BZ313">
            <v>299.99</v>
          </cell>
          <cell r="CA313">
            <v>2</v>
          </cell>
          <cell r="CB313">
            <v>3068.99</v>
          </cell>
          <cell r="CC313">
            <v>1</v>
          </cell>
          <cell r="CD313">
            <v>4009</v>
          </cell>
          <cell r="CE313">
            <v>3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299.33999999999997</v>
          </cell>
          <cell r="CQ313">
            <v>1</v>
          </cell>
          <cell r="CR313">
            <v>213.34</v>
          </cell>
          <cell r="CS313">
            <v>0</v>
          </cell>
          <cell r="CT313">
            <v>213.34</v>
          </cell>
          <cell r="CU313">
            <v>0</v>
          </cell>
          <cell r="CV313">
            <v>374.98</v>
          </cell>
          <cell r="CW313">
            <v>2</v>
          </cell>
          <cell r="CX313">
            <v>1101</v>
          </cell>
          <cell r="CY313">
            <v>3</v>
          </cell>
          <cell r="CZ313">
            <v>300</v>
          </cell>
          <cell r="DA313">
            <v>0</v>
          </cell>
          <cell r="DB313">
            <v>300</v>
          </cell>
          <cell r="DC313">
            <v>0</v>
          </cell>
          <cell r="DD313">
            <v>300</v>
          </cell>
          <cell r="DE313">
            <v>0</v>
          </cell>
          <cell r="DF313">
            <v>6978</v>
          </cell>
          <cell r="DG313">
            <v>3</v>
          </cell>
          <cell r="DH313">
            <v>7878</v>
          </cell>
          <cell r="DI313">
            <v>3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  <cell r="EF313">
            <v>0</v>
          </cell>
          <cell r="EH313">
            <v>0</v>
          </cell>
          <cell r="EI313">
            <v>0</v>
          </cell>
        </row>
        <row r="314">
          <cell r="A314" t="str">
            <v>JulMahibadhoo</v>
          </cell>
          <cell r="B314" t="str">
            <v>Jul</v>
          </cell>
          <cell r="C314" t="str">
            <v>ADh.</v>
          </cell>
          <cell r="D314" t="str">
            <v>Mahibadhoo</v>
          </cell>
          <cell r="E314" t="str">
            <v>usage units more than billed</v>
          </cell>
          <cell r="F314">
            <v>208094</v>
          </cell>
          <cell r="G314">
            <v>424</v>
          </cell>
          <cell r="H314">
            <v>442</v>
          </cell>
          <cell r="I314">
            <v>0</v>
          </cell>
          <cell r="J314">
            <v>0</v>
          </cell>
          <cell r="K314">
            <v>442</v>
          </cell>
          <cell r="L314">
            <v>424</v>
          </cell>
          <cell r="M314">
            <v>18</v>
          </cell>
          <cell r="N314">
            <v>0</v>
          </cell>
          <cell r="O314">
            <v>2</v>
          </cell>
          <cell r="P314">
            <v>0</v>
          </cell>
          <cell r="Q314">
            <v>2</v>
          </cell>
          <cell r="R314">
            <v>2</v>
          </cell>
          <cell r="S314">
            <v>0</v>
          </cell>
          <cell r="T314">
            <v>444</v>
          </cell>
          <cell r="U314">
            <v>426</v>
          </cell>
          <cell r="V314">
            <v>18</v>
          </cell>
          <cell r="W314">
            <v>223543</v>
          </cell>
          <cell r="X314">
            <v>223543</v>
          </cell>
          <cell r="Y314">
            <v>0</v>
          </cell>
          <cell r="Z314">
            <v>223543</v>
          </cell>
          <cell r="AA314">
            <v>200261</v>
          </cell>
          <cell r="AB314">
            <v>3720</v>
          </cell>
          <cell r="AC314">
            <v>203981</v>
          </cell>
          <cell r="AD314">
            <v>100</v>
          </cell>
          <cell r="AE314">
            <v>436</v>
          </cell>
          <cell r="AF314">
            <v>61799</v>
          </cell>
          <cell r="AG314">
            <v>221</v>
          </cell>
          <cell r="AH314">
            <v>6299.85</v>
          </cell>
          <cell r="AI314">
            <v>25</v>
          </cell>
          <cell r="AJ314">
            <v>4901.43</v>
          </cell>
          <cell r="AK314">
            <v>13</v>
          </cell>
          <cell r="AL314">
            <v>3612.01</v>
          </cell>
          <cell r="AM314">
            <v>13</v>
          </cell>
          <cell r="AN314">
            <v>5968.71</v>
          </cell>
          <cell r="AO314">
            <v>32</v>
          </cell>
          <cell r="AP314">
            <v>20782</v>
          </cell>
          <cell r="AQ314">
            <v>83</v>
          </cell>
          <cell r="AR314">
            <v>770.02</v>
          </cell>
          <cell r="AS314">
            <v>0</v>
          </cell>
          <cell r="AT314">
            <v>770.02</v>
          </cell>
          <cell r="AU314">
            <v>0</v>
          </cell>
          <cell r="AV314">
            <v>711.01</v>
          </cell>
          <cell r="AW314">
            <v>1</v>
          </cell>
          <cell r="AX314">
            <v>10410.950000000001</v>
          </cell>
          <cell r="AY314">
            <v>7</v>
          </cell>
          <cell r="AZ314">
            <v>12662.000000000002</v>
          </cell>
          <cell r="BA314">
            <v>8</v>
          </cell>
          <cell r="BB314">
            <v>25515.48</v>
          </cell>
          <cell r="BC314">
            <v>55</v>
          </cell>
          <cell r="BD314">
            <v>23240.68</v>
          </cell>
          <cell r="BE314">
            <v>23</v>
          </cell>
          <cell r="BF314">
            <v>19891.650000000001</v>
          </cell>
          <cell r="BG314">
            <v>43</v>
          </cell>
          <cell r="BH314">
            <v>63404.19</v>
          </cell>
          <cell r="BI314">
            <v>184</v>
          </cell>
          <cell r="BJ314">
            <v>132052</v>
          </cell>
          <cell r="BK314">
            <v>305</v>
          </cell>
          <cell r="BL314">
            <v>1391.71</v>
          </cell>
          <cell r="BM314">
            <v>6</v>
          </cell>
          <cell r="BN314">
            <v>1105.69</v>
          </cell>
          <cell r="BO314">
            <v>3</v>
          </cell>
          <cell r="BP314">
            <v>966.7</v>
          </cell>
          <cell r="BQ314">
            <v>0</v>
          </cell>
          <cell r="BR314">
            <v>19911.900000000001</v>
          </cell>
          <cell r="BS314">
            <v>10</v>
          </cell>
          <cell r="BT314">
            <v>23376</v>
          </cell>
          <cell r="BU314">
            <v>19</v>
          </cell>
          <cell r="BV314">
            <v>290.01</v>
          </cell>
          <cell r="BW314">
            <v>2</v>
          </cell>
          <cell r="BX314">
            <v>217.33</v>
          </cell>
          <cell r="BY314">
            <v>0</v>
          </cell>
          <cell r="BZ314">
            <v>96.67</v>
          </cell>
          <cell r="CA314">
            <v>0</v>
          </cell>
          <cell r="CB314">
            <v>2434.9899999999998</v>
          </cell>
          <cell r="CC314">
            <v>1</v>
          </cell>
          <cell r="CD314">
            <v>3039</v>
          </cell>
          <cell r="CE314">
            <v>3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241.34</v>
          </cell>
          <cell r="CQ314">
            <v>1</v>
          </cell>
          <cell r="CR314">
            <v>193.34</v>
          </cell>
          <cell r="CS314">
            <v>0</v>
          </cell>
          <cell r="CT314">
            <v>162.33000000000001</v>
          </cell>
          <cell r="CU314">
            <v>1</v>
          </cell>
          <cell r="CV314">
            <v>136.99</v>
          </cell>
          <cell r="CW314">
            <v>1</v>
          </cell>
          <cell r="CX314">
            <v>734.00000000000011</v>
          </cell>
          <cell r="CY314">
            <v>3</v>
          </cell>
          <cell r="CZ314">
            <v>2901.01</v>
          </cell>
          <cell r="DA314">
            <v>0</v>
          </cell>
          <cell r="DB314">
            <v>2901.01</v>
          </cell>
          <cell r="DC314">
            <v>0</v>
          </cell>
          <cell r="DD314">
            <v>2901.01</v>
          </cell>
          <cell r="DE314">
            <v>0</v>
          </cell>
          <cell r="DF314">
            <v>6745.97</v>
          </cell>
          <cell r="DG314">
            <v>3</v>
          </cell>
          <cell r="DH314">
            <v>15449</v>
          </cell>
          <cell r="DI314">
            <v>3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H314">
            <v>0</v>
          </cell>
          <cell r="EI314">
            <v>0</v>
          </cell>
        </row>
        <row r="315">
          <cell r="A315" t="str">
            <v>AugMahibadhoo</v>
          </cell>
          <cell r="B315" t="str">
            <v>Aug</v>
          </cell>
          <cell r="C315" t="str">
            <v>ADh.</v>
          </cell>
          <cell r="D315" t="str">
            <v>Mahibadhoo</v>
          </cell>
          <cell r="E315" t="str">
            <v>usage units more than billed</v>
          </cell>
          <cell r="F315">
            <v>206963.59999999998</v>
          </cell>
          <cell r="G315">
            <v>419</v>
          </cell>
          <cell r="H315">
            <v>442</v>
          </cell>
          <cell r="I315">
            <v>0</v>
          </cell>
          <cell r="J315">
            <v>0</v>
          </cell>
          <cell r="K315">
            <v>442</v>
          </cell>
          <cell r="L315">
            <v>419</v>
          </cell>
          <cell r="M315">
            <v>23</v>
          </cell>
          <cell r="N315">
            <v>2</v>
          </cell>
          <cell r="O315">
            <v>0</v>
          </cell>
          <cell r="P315">
            <v>0</v>
          </cell>
          <cell r="Q315">
            <v>2</v>
          </cell>
          <cell r="R315">
            <v>1</v>
          </cell>
          <cell r="S315">
            <v>1</v>
          </cell>
          <cell r="T315">
            <v>444</v>
          </cell>
          <cell r="U315">
            <v>420</v>
          </cell>
          <cell r="V315">
            <v>24</v>
          </cell>
          <cell r="W315">
            <v>201073</v>
          </cell>
          <cell r="X315">
            <v>201073</v>
          </cell>
          <cell r="Y315">
            <v>0</v>
          </cell>
          <cell r="Z315">
            <v>201073</v>
          </cell>
          <cell r="AA315">
            <v>206963</v>
          </cell>
          <cell r="AB315">
            <v>3876</v>
          </cell>
          <cell r="AC315">
            <v>210839</v>
          </cell>
          <cell r="AD315">
            <v>160</v>
          </cell>
          <cell r="AE315">
            <v>420</v>
          </cell>
          <cell r="AF315">
            <v>58710</v>
          </cell>
          <cell r="AG315">
            <v>84</v>
          </cell>
          <cell r="AH315">
            <v>7078.84</v>
          </cell>
          <cell r="AI315">
            <v>24</v>
          </cell>
          <cell r="AJ315">
            <v>5895.46</v>
          </cell>
          <cell r="AK315">
            <v>9</v>
          </cell>
          <cell r="AL315">
            <v>4094.97</v>
          </cell>
          <cell r="AM315">
            <v>20</v>
          </cell>
          <cell r="AN315">
            <v>6688.73</v>
          </cell>
          <cell r="AO315">
            <v>31</v>
          </cell>
          <cell r="AP315">
            <v>23758</v>
          </cell>
          <cell r="AQ315">
            <v>84</v>
          </cell>
          <cell r="AR315">
            <v>856.69</v>
          </cell>
          <cell r="AS315">
            <v>0</v>
          </cell>
          <cell r="AT315">
            <v>856.69</v>
          </cell>
          <cell r="AU315">
            <v>0</v>
          </cell>
          <cell r="AV315">
            <v>785.68</v>
          </cell>
          <cell r="AW315">
            <v>1</v>
          </cell>
          <cell r="AX315">
            <v>11259.94</v>
          </cell>
          <cell r="AY315">
            <v>7</v>
          </cell>
          <cell r="AZ315">
            <v>13759.000000000002</v>
          </cell>
          <cell r="BA315">
            <v>8</v>
          </cell>
          <cell r="BB315">
            <v>28205.11</v>
          </cell>
          <cell r="BC315">
            <v>52</v>
          </cell>
          <cell r="BD315">
            <v>25252.31</v>
          </cell>
          <cell r="BE315">
            <v>27</v>
          </cell>
          <cell r="BF315">
            <v>20913.23</v>
          </cell>
          <cell r="BG315">
            <v>48</v>
          </cell>
          <cell r="BH315">
            <v>55637.95</v>
          </cell>
          <cell r="BI315">
            <v>173</v>
          </cell>
          <cell r="BJ315">
            <v>130008.59999999999</v>
          </cell>
          <cell r="BK315">
            <v>300</v>
          </cell>
          <cell r="BL315">
            <v>1626.02</v>
          </cell>
          <cell r="BM315">
            <v>8</v>
          </cell>
          <cell r="BN315">
            <v>1390.02</v>
          </cell>
          <cell r="BO315">
            <v>0</v>
          </cell>
          <cell r="BP315">
            <v>1390.02</v>
          </cell>
          <cell r="BQ315">
            <v>0</v>
          </cell>
          <cell r="BR315">
            <v>22034.94</v>
          </cell>
          <cell r="BS315">
            <v>12</v>
          </cell>
          <cell r="BT315">
            <v>26441</v>
          </cell>
          <cell r="BU315">
            <v>20</v>
          </cell>
          <cell r="BV315">
            <v>320.01</v>
          </cell>
          <cell r="BW315">
            <v>0</v>
          </cell>
          <cell r="BX315">
            <v>320.01</v>
          </cell>
          <cell r="BY315">
            <v>0</v>
          </cell>
          <cell r="BZ315">
            <v>320.01</v>
          </cell>
          <cell r="CA315">
            <v>0</v>
          </cell>
          <cell r="CB315">
            <v>3603.97</v>
          </cell>
          <cell r="CC315">
            <v>3</v>
          </cell>
          <cell r="CD315">
            <v>4564</v>
          </cell>
          <cell r="CE315">
            <v>3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263.33999999999997</v>
          </cell>
          <cell r="CQ315">
            <v>1</v>
          </cell>
          <cell r="CR315">
            <v>213.34</v>
          </cell>
          <cell r="CS315">
            <v>0</v>
          </cell>
          <cell r="CT315">
            <v>213.34</v>
          </cell>
          <cell r="CU315">
            <v>0</v>
          </cell>
          <cell r="CV315">
            <v>369.98</v>
          </cell>
          <cell r="CW315">
            <v>2</v>
          </cell>
          <cell r="CX315">
            <v>1060</v>
          </cell>
          <cell r="CY315">
            <v>3</v>
          </cell>
          <cell r="CZ315">
            <v>106.67</v>
          </cell>
          <cell r="DA315">
            <v>0</v>
          </cell>
          <cell r="DB315">
            <v>106.67</v>
          </cell>
          <cell r="DC315">
            <v>0</v>
          </cell>
          <cell r="DD315">
            <v>106.67</v>
          </cell>
          <cell r="DE315">
            <v>0</v>
          </cell>
          <cell r="DF315">
            <v>7052.99</v>
          </cell>
          <cell r="DG315">
            <v>1</v>
          </cell>
          <cell r="DH315">
            <v>7373</v>
          </cell>
          <cell r="DI315">
            <v>1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H315">
            <v>0</v>
          </cell>
          <cell r="EI315">
            <v>0</v>
          </cell>
        </row>
        <row r="316">
          <cell r="A316" t="str">
            <v>SepMahibadhoo</v>
          </cell>
          <cell r="B316" t="str">
            <v>Sep</v>
          </cell>
          <cell r="C316" t="str">
            <v>ADh.</v>
          </cell>
          <cell r="D316" t="str">
            <v>Mahibadhoo</v>
          </cell>
          <cell r="E316" t="str">
            <v>billed normal &amp; temp more than usage</v>
          </cell>
          <cell r="F316">
            <v>173332</v>
          </cell>
          <cell r="G316">
            <v>419</v>
          </cell>
          <cell r="H316">
            <v>442</v>
          </cell>
          <cell r="I316">
            <v>0</v>
          </cell>
          <cell r="J316">
            <v>0</v>
          </cell>
          <cell r="K316">
            <v>442</v>
          </cell>
          <cell r="L316">
            <v>419</v>
          </cell>
          <cell r="M316">
            <v>23</v>
          </cell>
          <cell r="N316">
            <v>2</v>
          </cell>
          <cell r="O316">
            <v>0</v>
          </cell>
          <cell r="P316">
            <v>0</v>
          </cell>
          <cell r="Q316">
            <v>2</v>
          </cell>
          <cell r="R316">
            <v>1</v>
          </cell>
          <cell r="S316">
            <v>1</v>
          </cell>
          <cell r="T316">
            <v>444</v>
          </cell>
          <cell r="U316">
            <v>420</v>
          </cell>
          <cell r="V316">
            <v>24</v>
          </cell>
          <cell r="W316">
            <v>197539</v>
          </cell>
          <cell r="X316">
            <v>197539</v>
          </cell>
          <cell r="Y316">
            <v>0</v>
          </cell>
          <cell r="Z316">
            <v>197539</v>
          </cell>
          <cell r="AA316">
            <v>173332</v>
          </cell>
          <cell r="AB316">
            <v>5138</v>
          </cell>
          <cell r="AC316">
            <v>178470</v>
          </cell>
          <cell r="AD316">
            <v>160</v>
          </cell>
          <cell r="AE316">
            <v>450</v>
          </cell>
          <cell r="AF316">
            <v>56940</v>
          </cell>
          <cell r="AG316">
            <v>304</v>
          </cell>
          <cell r="AH316">
            <v>6529.85</v>
          </cell>
          <cell r="AI316">
            <v>23</v>
          </cell>
          <cell r="AJ316">
            <v>5276.45</v>
          </cell>
          <cell r="AK316">
            <v>14</v>
          </cell>
          <cell r="AL316">
            <v>3543.02</v>
          </cell>
          <cell r="AM316">
            <v>15</v>
          </cell>
          <cell r="AN316">
            <v>6173.68</v>
          </cell>
          <cell r="AO316">
            <v>32</v>
          </cell>
          <cell r="AP316">
            <v>21523</v>
          </cell>
          <cell r="AQ316">
            <v>84</v>
          </cell>
          <cell r="AR316">
            <v>770.02</v>
          </cell>
          <cell r="AS316">
            <v>0</v>
          </cell>
          <cell r="AT316">
            <v>770.02</v>
          </cell>
          <cell r="AU316">
            <v>0</v>
          </cell>
          <cell r="AV316">
            <v>691.01</v>
          </cell>
          <cell r="AW316">
            <v>1</v>
          </cell>
          <cell r="AX316">
            <v>9322.9500000000007</v>
          </cell>
          <cell r="AY316">
            <v>7</v>
          </cell>
          <cell r="AZ316">
            <v>11554.000000000002</v>
          </cell>
          <cell r="BA316">
            <v>8</v>
          </cell>
          <cell r="BB316">
            <v>25704.45</v>
          </cell>
          <cell r="BC316">
            <v>54</v>
          </cell>
          <cell r="BD316">
            <v>22705.33</v>
          </cell>
          <cell r="BE316">
            <v>26</v>
          </cell>
          <cell r="BF316">
            <v>18660.86</v>
          </cell>
          <cell r="BG316">
            <v>55</v>
          </cell>
          <cell r="BH316">
            <v>45005.36</v>
          </cell>
          <cell r="BI316">
            <v>166</v>
          </cell>
          <cell r="BJ316">
            <v>112076</v>
          </cell>
          <cell r="BK316">
            <v>301</v>
          </cell>
          <cell r="BL316">
            <v>1271.7</v>
          </cell>
          <cell r="BM316">
            <v>8</v>
          </cell>
          <cell r="BN316">
            <v>1146.7</v>
          </cell>
          <cell r="BO316">
            <v>0</v>
          </cell>
          <cell r="BP316">
            <v>1075.69</v>
          </cell>
          <cell r="BQ316">
            <v>1</v>
          </cell>
          <cell r="BR316">
            <v>19604.91</v>
          </cell>
          <cell r="BS316">
            <v>11</v>
          </cell>
          <cell r="BT316">
            <v>23099</v>
          </cell>
          <cell r="BU316">
            <v>20</v>
          </cell>
          <cell r="BV316">
            <v>290.01</v>
          </cell>
          <cell r="BW316">
            <v>0</v>
          </cell>
          <cell r="BX316">
            <v>290.01</v>
          </cell>
          <cell r="BY316">
            <v>0</v>
          </cell>
          <cell r="BZ316">
            <v>290.01</v>
          </cell>
          <cell r="CA316">
            <v>0</v>
          </cell>
          <cell r="CB316">
            <v>3183.97</v>
          </cell>
          <cell r="CC316">
            <v>3</v>
          </cell>
          <cell r="CD316">
            <v>4054</v>
          </cell>
          <cell r="CE316">
            <v>3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242.34</v>
          </cell>
          <cell r="CQ316">
            <v>1</v>
          </cell>
          <cell r="CR316">
            <v>193.34</v>
          </cell>
          <cell r="CS316">
            <v>0</v>
          </cell>
          <cell r="CT316">
            <v>193.34</v>
          </cell>
          <cell r="CU316">
            <v>0</v>
          </cell>
          <cell r="CV316">
            <v>396.98</v>
          </cell>
          <cell r="CW316">
            <v>2</v>
          </cell>
          <cell r="CX316">
            <v>1026</v>
          </cell>
          <cell r="CY316">
            <v>3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0</v>
          </cell>
          <cell r="EE316">
            <v>0</v>
          </cell>
          <cell r="EF316">
            <v>0</v>
          </cell>
          <cell r="EH316">
            <v>0</v>
          </cell>
          <cell r="EI316">
            <v>0</v>
          </cell>
        </row>
        <row r="317">
          <cell r="A317" t="str">
            <v>OctMahibadhoo</v>
          </cell>
          <cell r="B317" t="str">
            <v>Oct</v>
          </cell>
          <cell r="C317" t="str">
            <v>ADh.</v>
          </cell>
          <cell r="D317" t="str">
            <v>Mahibadhoo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H317">
            <v>0</v>
          </cell>
          <cell r="EI317">
            <v>0</v>
          </cell>
        </row>
        <row r="318">
          <cell r="A318" t="str">
            <v>NovMahibadhoo</v>
          </cell>
          <cell r="B318" t="str">
            <v>Nov</v>
          </cell>
          <cell r="C318" t="str">
            <v>ADh.</v>
          </cell>
          <cell r="D318" t="str">
            <v>Mahibadhoo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>
            <v>0</v>
          </cell>
          <cell r="EE318">
            <v>0</v>
          </cell>
          <cell r="EF318">
            <v>0</v>
          </cell>
          <cell r="EH318">
            <v>0</v>
          </cell>
          <cell r="EI318">
            <v>0</v>
          </cell>
        </row>
        <row r="319">
          <cell r="A319" t="str">
            <v>DecMahibadhoo</v>
          </cell>
          <cell r="B319" t="str">
            <v>Dec</v>
          </cell>
          <cell r="C319" t="str">
            <v>ADh.</v>
          </cell>
          <cell r="D319" t="str">
            <v>Mahibadhoo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H319">
            <v>0</v>
          </cell>
          <cell r="EI319">
            <v>0</v>
          </cell>
        </row>
        <row r="320">
          <cell r="A320" t="str">
            <v>JanRasdhoo</v>
          </cell>
          <cell r="B320" t="str">
            <v>Jan</v>
          </cell>
          <cell r="C320" t="str">
            <v>AA.</v>
          </cell>
          <cell r="D320" t="str">
            <v>Rasdhoo</v>
          </cell>
          <cell r="E320">
            <v>0</v>
          </cell>
          <cell r="F320">
            <v>71578</v>
          </cell>
          <cell r="G320">
            <v>328</v>
          </cell>
          <cell r="H320">
            <v>0</v>
          </cell>
          <cell r="I320">
            <v>332</v>
          </cell>
          <cell r="J320">
            <v>0</v>
          </cell>
          <cell r="K320">
            <v>332</v>
          </cell>
          <cell r="L320">
            <v>327</v>
          </cell>
          <cell r="M320">
            <v>5</v>
          </cell>
          <cell r="N320">
            <v>0</v>
          </cell>
          <cell r="O320">
            <v>2</v>
          </cell>
          <cell r="P320">
            <v>0</v>
          </cell>
          <cell r="Q320">
            <v>2</v>
          </cell>
          <cell r="R320">
            <v>1</v>
          </cell>
          <cell r="S320">
            <v>1</v>
          </cell>
          <cell r="T320">
            <v>334</v>
          </cell>
          <cell r="U320">
            <v>328</v>
          </cell>
          <cell r="V320">
            <v>6</v>
          </cell>
          <cell r="W320">
            <v>124947.5</v>
          </cell>
          <cell r="X320">
            <v>124947.5</v>
          </cell>
          <cell r="Y320">
            <v>0</v>
          </cell>
          <cell r="Z320">
            <v>124947.5</v>
          </cell>
          <cell r="AA320">
            <v>71578</v>
          </cell>
          <cell r="AB320">
            <v>7207</v>
          </cell>
          <cell r="AC320">
            <v>78785</v>
          </cell>
          <cell r="AD320">
            <v>106</v>
          </cell>
          <cell r="AE320">
            <v>306</v>
          </cell>
          <cell r="AF320">
            <v>40612</v>
          </cell>
          <cell r="AG320">
            <v>431</v>
          </cell>
          <cell r="AH320">
            <v>3454.96</v>
          </cell>
          <cell r="AI320">
            <v>34</v>
          </cell>
          <cell r="AJ320">
            <v>2581.98</v>
          </cell>
          <cell r="AK320">
            <v>9</v>
          </cell>
          <cell r="AL320">
            <v>2062</v>
          </cell>
          <cell r="AM320">
            <v>9</v>
          </cell>
          <cell r="AN320">
            <v>9451.06</v>
          </cell>
          <cell r="AO320">
            <v>34</v>
          </cell>
          <cell r="AP320">
            <v>17550</v>
          </cell>
          <cell r="AQ320">
            <v>86</v>
          </cell>
          <cell r="AR320">
            <v>284.01</v>
          </cell>
          <cell r="AS320">
            <v>1</v>
          </cell>
          <cell r="AT320">
            <v>260.01</v>
          </cell>
          <cell r="AU320">
            <v>5</v>
          </cell>
          <cell r="AV320">
            <v>260.01</v>
          </cell>
          <cell r="AW320" t="str">
            <v xml:space="preserve"> -   </v>
          </cell>
          <cell r="AX320">
            <v>7063.97</v>
          </cell>
          <cell r="AY320" t="str">
            <v xml:space="preserve"> -   </v>
          </cell>
          <cell r="AZ320">
            <v>7868</v>
          </cell>
          <cell r="BA320">
            <v>6</v>
          </cell>
          <cell r="BB320">
            <v>9439.5300000000007</v>
          </cell>
          <cell r="BC320">
            <v>51</v>
          </cell>
          <cell r="BD320">
            <v>7527.27</v>
          </cell>
          <cell r="BE320">
            <v>41</v>
          </cell>
          <cell r="BF320">
            <v>5491.97</v>
          </cell>
          <cell r="BG320">
            <v>36</v>
          </cell>
          <cell r="BH320">
            <v>12915.23</v>
          </cell>
          <cell r="BI320">
            <v>87</v>
          </cell>
          <cell r="BJ320">
            <v>35374</v>
          </cell>
          <cell r="BK320">
            <v>215</v>
          </cell>
          <cell r="BL320">
            <v>611.99</v>
          </cell>
          <cell r="BM320">
            <v>2</v>
          </cell>
          <cell r="BN320">
            <v>448.33</v>
          </cell>
          <cell r="BO320">
            <v>2</v>
          </cell>
          <cell r="BP320">
            <v>368.66</v>
          </cell>
          <cell r="BQ320">
            <v>1</v>
          </cell>
          <cell r="BR320">
            <v>6956.02</v>
          </cell>
          <cell r="BS320">
            <v>7</v>
          </cell>
          <cell r="BT320">
            <v>8385</v>
          </cell>
          <cell r="BU320">
            <v>12</v>
          </cell>
          <cell r="BV320">
            <v>85</v>
          </cell>
          <cell r="BW320">
            <v>1</v>
          </cell>
          <cell r="BX320">
            <v>50</v>
          </cell>
          <cell r="BY320">
            <v>1</v>
          </cell>
          <cell r="BZ320">
            <v>50</v>
          </cell>
          <cell r="CA320" t="str">
            <v xml:space="preserve"> -   </v>
          </cell>
          <cell r="CB320">
            <v>999</v>
          </cell>
          <cell r="CC320" t="str">
            <v xml:space="preserve"> -   </v>
          </cell>
          <cell r="CD320">
            <v>1184</v>
          </cell>
          <cell r="CE320">
            <v>2</v>
          </cell>
          <cell r="CF320" t="str">
            <v xml:space="preserve"> -   </v>
          </cell>
          <cell r="CG320">
            <v>1</v>
          </cell>
          <cell r="CH320" t="str">
            <v xml:space="preserve"> -   </v>
          </cell>
          <cell r="CI320" t="str">
            <v xml:space="preserve"> -   </v>
          </cell>
          <cell r="CJ320" t="str">
            <v xml:space="preserve"> -   </v>
          </cell>
          <cell r="CK320" t="str">
            <v xml:space="preserve"> -   </v>
          </cell>
          <cell r="CL320" t="str">
            <v xml:space="preserve"> -   </v>
          </cell>
          <cell r="CM320" t="str">
            <v xml:space="preserve"> -   </v>
          </cell>
          <cell r="CN320" t="str">
            <v xml:space="preserve"> -   </v>
          </cell>
          <cell r="CO320">
            <v>1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 t="str">
            <v xml:space="preserve"> -   </v>
          </cell>
          <cell r="CY320" t="str">
            <v xml:space="preserve"> -   </v>
          </cell>
          <cell r="CZ320">
            <v>295</v>
          </cell>
          <cell r="DA320">
            <v>1</v>
          </cell>
          <cell r="DB320">
            <v>184</v>
          </cell>
          <cell r="DC320">
            <v>2</v>
          </cell>
          <cell r="DD320">
            <v>150</v>
          </cell>
          <cell r="DE320">
            <v>3</v>
          </cell>
          <cell r="DF320">
            <v>588</v>
          </cell>
          <cell r="DG320" t="str">
            <v xml:space="preserve"> -   </v>
          </cell>
          <cell r="DH320">
            <v>1217</v>
          </cell>
          <cell r="DI320">
            <v>6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 t="str">
            <v xml:space="preserve"> -   </v>
          </cell>
          <cell r="DS320" t="str">
            <v xml:space="preserve"> -   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 t="str">
            <v xml:space="preserve"> -   </v>
          </cell>
          <cell r="EC320" t="str">
            <v xml:space="preserve"> -   </v>
          </cell>
          <cell r="ED320">
            <v>0</v>
          </cell>
          <cell r="EE320">
            <v>0</v>
          </cell>
          <cell r="EF320">
            <v>0</v>
          </cell>
          <cell r="EH320">
            <v>0</v>
          </cell>
          <cell r="EI320">
            <v>0</v>
          </cell>
        </row>
        <row r="321">
          <cell r="A321" t="str">
            <v>FebRasdhoo</v>
          </cell>
          <cell r="B321" t="str">
            <v>Feb</v>
          </cell>
          <cell r="C321" t="str">
            <v>AA.</v>
          </cell>
          <cell r="D321" t="str">
            <v>Rasdhoo</v>
          </cell>
          <cell r="E321">
            <v>0</v>
          </cell>
          <cell r="F321">
            <v>146792</v>
          </cell>
          <cell r="G321">
            <v>332</v>
          </cell>
          <cell r="H321">
            <v>332</v>
          </cell>
          <cell r="I321">
            <v>1</v>
          </cell>
          <cell r="J321">
            <v>0</v>
          </cell>
          <cell r="K321">
            <v>333</v>
          </cell>
          <cell r="L321">
            <v>331</v>
          </cell>
          <cell r="M321">
            <v>2</v>
          </cell>
          <cell r="N321">
            <v>2</v>
          </cell>
          <cell r="O321">
            <v>1</v>
          </cell>
          <cell r="P321">
            <v>1</v>
          </cell>
          <cell r="Q321">
            <v>2</v>
          </cell>
          <cell r="R321">
            <v>1</v>
          </cell>
          <cell r="S321">
            <v>1</v>
          </cell>
          <cell r="T321">
            <v>335</v>
          </cell>
          <cell r="U321">
            <v>332</v>
          </cell>
          <cell r="V321">
            <v>3</v>
          </cell>
          <cell r="W321">
            <v>146802</v>
          </cell>
          <cell r="X321">
            <v>159180.69</v>
          </cell>
          <cell r="Y321">
            <v>0</v>
          </cell>
          <cell r="Z321">
            <v>159180.69</v>
          </cell>
          <cell r="AA321">
            <v>146792</v>
          </cell>
          <cell r="AB321">
            <v>1975</v>
          </cell>
          <cell r="AC321">
            <v>148767</v>
          </cell>
          <cell r="AD321">
            <v>112</v>
          </cell>
          <cell r="AE321">
            <v>325</v>
          </cell>
          <cell r="AF321">
            <v>39201</v>
          </cell>
          <cell r="AG321">
            <v>144</v>
          </cell>
          <cell r="AH321">
            <v>6501.75</v>
          </cell>
          <cell r="AI321">
            <v>34</v>
          </cell>
          <cell r="AJ321">
            <v>4776.07</v>
          </cell>
          <cell r="AK321">
            <v>14</v>
          </cell>
          <cell r="AL321">
            <v>3756.4</v>
          </cell>
          <cell r="AM321">
            <v>6</v>
          </cell>
          <cell r="AN321">
            <v>15609.78</v>
          </cell>
          <cell r="AO321">
            <v>35</v>
          </cell>
          <cell r="AP321">
            <v>30644</v>
          </cell>
          <cell r="AQ321">
            <v>89</v>
          </cell>
          <cell r="AR321">
            <v>564.01</v>
          </cell>
          <cell r="AS321">
            <v>1</v>
          </cell>
          <cell r="AT321">
            <v>520.01</v>
          </cell>
          <cell r="AU321">
            <v>5</v>
          </cell>
          <cell r="AV321">
            <v>520.01</v>
          </cell>
          <cell r="AW321">
            <v>0</v>
          </cell>
          <cell r="AX321">
            <v>16098.97</v>
          </cell>
          <cell r="AY321">
            <v>0</v>
          </cell>
          <cell r="AZ321">
            <v>17702.999999999996</v>
          </cell>
          <cell r="BA321">
            <v>6</v>
          </cell>
          <cell r="BB321">
            <v>18866.84</v>
          </cell>
          <cell r="BC321">
            <v>49</v>
          </cell>
          <cell r="BD321">
            <v>15344.46</v>
          </cell>
          <cell r="BE321">
            <v>39</v>
          </cell>
          <cell r="BF321">
            <v>11883.06</v>
          </cell>
          <cell r="BG321">
            <v>30</v>
          </cell>
          <cell r="BH321">
            <v>27700.639999999999</v>
          </cell>
          <cell r="BI321">
            <v>98</v>
          </cell>
          <cell r="BJ321">
            <v>73795</v>
          </cell>
          <cell r="BK321">
            <v>216</v>
          </cell>
          <cell r="BL321">
            <v>1161.3399999999999</v>
          </cell>
          <cell r="BM321">
            <v>3</v>
          </cell>
          <cell r="BN321">
            <v>831.68</v>
          </cell>
          <cell r="BO321">
            <v>1</v>
          </cell>
          <cell r="BP321">
            <v>830.01</v>
          </cell>
          <cell r="BQ321">
            <v>0</v>
          </cell>
          <cell r="BR321">
            <v>15955.97</v>
          </cell>
          <cell r="BS321">
            <v>8</v>
          </cell>
          <cell r="BT321">
            <v>18778.999999999996</v>
          </cell>
          <cell r="BU321">
            <v>12</v>
          </cell>
          <cell r="BV321">
            <v>213.34</v>
          </cell>
          <cell r="BW321">
            <v>1</v>
          </cell>
          <cell r="BX321">
            <v>149</v>
          </cell>
          <cell r="BY321">
            <v>0</v>
          </cell>
          <cell r="BZ321">
            <v>106.67</v>
          </cell>
          <cell r="CA321">
            <v>0</v>
          </cell>
          <cell r="CB321">
            <v>2673.99</v>
          </cell>
          <cell r="CC321">
            <v>1</v>
          </cell>
          <cell r="CD321">
            <v>3143</v>
          </cell>
          <cell r="CE321">
            <v>2</v>
          </cell>
          <cell r="CF321">
            <v>0</v>
          </cell>
          <cell r="CG321">
            <v>1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1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633.67999999999995</v>
          </cell>
          <cell r="DA321">
            <v>1</v>
          </cell>
          <cell r="DB321">
            <v>499</v>
          </cell>
          <cell r="DC321">
            <v>2</v>
          </cell>
          <cell r="DD321">
            <v>323.33999999999997</v>
          </cell>
          <cell r="DE321">
            <v>0</v>
          </cell>
          <cell r="DF321">
            <v>1271.98</v>
          </cell>
          <cell r="DG321">
            <v>3</v>
          </cell>
          <cell r="DH321">
            <v>2728</v>
          </cell>
          <cell r="DI321">
            <v>6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  <cell r="ED321">
            <v>0</v>
          </cell>
          <cell r="EE321">
            <v>0</v>
          </cell>
          <cell r="EF321">
            <v>0</v>
          </cell>
          <cell r="EH321">
            <v>0</v>
          </cell>
          <cell r="EI321">
            <v>0</v>
          </cell>
        </row>
        <row r="322">
          <cell r="A322" t="str">
            <v>MarRasdhoo</v>
          </cell>
          <cell r="B322" t="str">
            <v>Mar</v>
          </cell>
          <cell r="C322" t="str">
            <v>AA.</v>
          </cell>
          <cell r="D322" t="str">
            <v>Rasdhoo</v>
          </cell>
          <cell r="E322">
            <v>0</v>
          </cell>
          <cell r="F322">
            <v>138421</v>
          </cell>
          <cell r="G322">
            <v>335</v>
          </cell>
          <cell r="H322">
            <v>333</v>
          </cell>
          <cell r="I322">
            <v>0</v>
          </cell>
          <cell r="J322">
            <v>0</v>
          </cell>
          <cell r="K322">
            <v>333</v>
          </cell>
          <cell r="L322">
            <v>332</v>
          </cell>
          <cell r="M322">
            <v>2</v>
          </cell>
          <cell r="N322">
            <v>2</v>
          </cell>
          <cell r="O322">
            <v>1</v>
          </cell>
          <cell r="P322">
            <v>1</v>
          </cell>
          <cell r="Q322">
            <v>2</v>
          </cell>
          <cell r="R322">
            <v>3</v>
          </cell>
          <cell r="S322">
            <v>0</v>
          </cell>
          <cell r="T322">
            <v>335</v>
          </cell>
          <cell r="U322">
            <v>335</v>
          </cell>
          <cell r="V322">
            <v>2</v>
          </cell>
          <cell r="W322">
            <v>179583</v>
          </cell>
          <cell r="X322">
            <v>179583</v>
          </cell>
          <cell r="Y322">
            <v>0</v>
          </cell>
          <cell r="Z322">
            <v>179583</v>
          </cell>
          <cell r="AA322">
            <v>138421</v>
          </cell>
          <cell r="AB322">
            <v>0</v>
          </cell>
          <cell r="AC322">
            <v>138421</v>
          </cell>
          <cell r="AD322">
            <v>134</v>
          </cell>
          <cell r="AE322">
            <v>368</v>
          </cell>
          <cell r="AF322">
            <v>47486</v>
          </cell>
          <cell r="AG322">
            <v>164</v>
          </cell>
          <cell r="AH322">
            <v>5464.68</v>
          </cell>
          <cell r="AI322">
            <v>35</v>
          </cell>
          <cell r="AJ322">
            <v>4209.32</v>
          </cell>
          <cell r="AK322">
            <v>11</v>
          </cell>
          <cell r="AL322">
            <v>3219.99</v>
          </cell>
          <cell r="AM322">
            <v>7</v>
          </cell>
          <cell r="AN322">
            <v>16929.009999999998</v>
          </cell>
          <cell r="AO322">
            <v>34</v>
          </cell>
          <cell r="AP322">
            <v>29823</v>
          </cell>
          <cell r="AQ322">
            <v>87</v>
          </cell>
          <cell r="AR322">
            <v>494.33</v>
          </cell>
          <cell r="AS322">
            <v>1</v>
          </cell>
          <cell r="AT322">
            <v>453.33</v>
          </cell>
          <cell r="AU322">
            <v>0</v>
          </cell>
          <cell r="AV322">
            <v>453.33</v>
          </cell>
          <cell r="AW322">
            <v>0</v>
          </cell>
          <cell r="AX322">
            <v>13415.01</v>
          </cell>
          <cell r="AY322">
            <v>5</v>
          </cell>
          <cell r="AZ322">
            <v>14816</v>
          </cell>
          <cell r="BA322">
            <v>6</v>
          </cell>
          <cell r="BB322">
            <v>16732.009999999998</v>
          </cell>
          <cell r="BC322">
            <v>47</v>
          </cell>
          <cell r="BD322">
            <v>13906.67</v>
          </cell>
          <cell r="BE322">
            <v>35</v>
          </cell>
          <cell r="BF322">
            <v>10959.33</v>
          </cell>
          <cell r="BG322">
            <v>29</v>
          </cell>
          <cell r="BH322">
            <v>29789.99</v>
          </cell>
          <cell r="BI322">
            <v>109</v>
          </cell>
          <cell r="BJ322">
            <v>71388</v>
          </cell>
          <cell r="BK322">
            <v>220</v>
          </cell>
          <cell r="BL322">
            <v>923.67</v>
          </cell>
          <cell r="BM322">
            <v>4</v>
          </cell>
          <cell r="BN322">
            <v>718.67</v>
          </cell>
          <cell r="BO322">
            <v>1</v>
          </cell>
          <cell r="BP322">
            <v>716.67</v>
          </cell>
          <cell r="BQ322">
            <v>0</v>
          </cell>
          <cell r="BR322">
            <v>14565.99</v>
          </cell>
          <cell r="BS322">
            <v>8</v>
          </cell>
          <cell r="BT322">
            <v>16925</v>
          </cell>
          <cell r="BU322">
            <v>13</v>
          </cell>
          <cell r="BV322">
            <v>183.33</v>
          </cell>
          <cell r="BW322">
            <v>0</v>
          </cell>
          <cell r="BX322">
            <v>135.66999999999999</v>
          </cell>
          <cell r="BY322">
            <v>1</v>
          </cell>
          <cell r="BZ322">
            <v>90</v>
          </cell>
          <cell r="CA322">
            <v>0</v>
          </cell>
          <cell r="CB322">
            <v>2552</v>
          </cell>
          <cell r="CC322">
            <v>1</v>
          </cell>
          <cell r="CD322">
            <v>2961</v>
          </cell>
          <cell r="CE322">
            <v>2</v>
          </cell>
          <cell r="CF322">
            <v>0</v>
          </cell>
          <cell r="CG322">
            <v>1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 t="str">
            <v xml:space="preserve"> -   </v>
          </cell>
          <cell r="CO322">
            <v>1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 t="str">
            <v xml:space="preserve"> -   </v>
          </cell>
          <cell r="CY322" t="str">
            <v xml:space="preserve"> -   </v>
          </cell>
          <cell r="CZ322">
            <v>607.32000000000005</v>
          </cell>
          <cell r="DA322">
            <v>1</v>
          </cell>
          <cell r="DB322">
            <v>396</v>
          </cell>
          <cell r="DC322">
            <v>2</v>
          </cell>
          <cell r="DD322">
            <v>306.66000000000003</v>
          </cell>
          <cell r="DE322">
            <v>0</v>
          </cell>
          <cell r="DF322">
            <v>1198.02</v>
          </cell>
          <cell r="DG322">
            <v>3</v>
          </cell>
          <cell r="DH322">
            <v>2508</v>
          </cell>
          <cell r="DI322">
            <v>6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 t="str">
            <v xml:space="preserve"> -   </v>
          </cell>
          <cell r="DS322" t="str">
            <v xml:space="preserve"> -   </v>
          </cell>
          <cell r="DT322">
            <v>0</v>
          </cell>
          <cell r="DU322" t="str">
            <v xml:space="preserve"> -   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 t="str">
            <v xml:space="preserve"> -   </v>
          </cell>
          <cell r="EC322" t="str">
            <v xml:space="preserve"> -   </v>
          </cell>
          <cell r="ED322">
            <v>0</v>
          </cell>
          <cell r="EE322">
            <v>0</v>
          </cell>
          <cell r="EF322">
            <v>0</v>
          </cell>
          <cell r="EH322">
            <v>0</v>
          </cell>
          <cell r="EI322">
            <v>0</v>
          </cell>
        </row>
        <row r="323">
          <cell r="A323" t="str">
            <v>AprRasdhoo</v>
          </cell>
          <cell r="B323" t="str">
            <v>Apr</v>
          </cell>
          <cell r="C323" t="str">
            <v>AA.</v>
          </cell>
          <cell r="D323" t="str">
            <v>Rasdhoo</v>
          </cell>
          <cell r="E323">
            <v>0</v>
          </cell>
          <cell r="F323">
            <v>155860</v>
          </cell>
          <cell r="G323">
            <v>329</v>
          </cell>
          <cell r="H323">
            <v>334</v>
          </cell>
          <cell r="I323">
            <v>0</v>
          </cell>
          <cell r="J323">
            <v>0</v>
          </cell>
          <cell r="K323">
            <v>334</v>
          </cell>
          <cell r="L323">
            <v>329</v>
          </cell>
          <cell r="M323">
            <v>5</v>
          </cell>
          <cell r="N323">
            <v>2</v>
          </cell>
          <cell r="O323">
            <v>0</v>
          </cell>
          <cell r="P323">
            <v>0</v>
          </cell>
          <cell r="Q323">
            <v>2</v>
          </cell>
          <cell r="R323">
            <v>0</v>
          </cell>
          <cell r="S323">
            <v>2</v>
          </cell>
          <cell r="T323">
            <v>336</v>
          </cell>
          <cell r="U323">
            <v>329</v>
          </cell>
          <cell r="V323">
            <v>7</v>
          </cell>
          <cell r="W323">
            <v>179853</v>
          </cell>
          <cell r="X323">
            <v>179853</v>
          </cell>
          <cell r="Y323">
            <v>0</v>
          </cell>
          <cell r="Z323">
            <v>179853</v>
          </cell>
          <cell r="AA323">
            <v>155860</v>
          </cell>
          <cell r="AB323">
            <v>0</v>
          </cell>
          <cell r="AC323">
            <v>155860</v>
          </cell>
          <cell r="AD323">
            <v>107</v>
          </cell>
          <cell r="AE323">
            <v>376</v>
          </cell>
          <cell r="AF323">
            <v>47108.18</v>
          </cell>
          <cell r="AG323">
            <v>102.25</v>
          </cell>
          <cell r="AH323">
            <v>5938.34</v>
          </cell>
          <cell r="AI323">
            <v>29</v>
          </cell>
          <cell r="AJ323">
            <v>4674.68</v>
          </cell>
          <cell r="AK323">
            <v>14</v>
          </cell>
          <cell r="AL323">
            <v>3600.01</v>
          </cell>
          <cell r="AM323">
            <v>6</v>
          </cell>
          <cell r="AN323">
            <v>21583.97</v>
          </cell>
          <cell r="AO323">
            <v>33</v>
          </cell>
          <cell r="AP323">
            <v>35797</v>
          </cell>
          <cell r="AQ323">
            <v>82</v>
          </cell>
          <cell r="AR323">
            <v>542.01</v>
          </cell>
          <cell r="AS323">
            <v>1</v>
          </cell>
          <cell r="AT323">
            <v>490.01</v>
          </cell>
          <cell r="AU323">
            <v>0</v>
          </cell>
          <cell r="AV323">
            <v>490.01</v>
          </cell>
          <cell r="AW323">
            <v>0</v>
          </cell>
          <cell r="AX323">
            <v>15566.97</v>
          </cell>
          <cell r="AY323">
            <v>5</v>
          </cell>
          <cell r="AZ323">
            <v>17088.999999999996</v>
          </cell>
          <cell r="BA323">
            <v>6</v>
          </cell>
          <cell r="BB323">
            <v>18873.36</v>
          </cell>
          <cell r="BC323">
            <v>44</v>
          </cell>
          <cell r="BD323">
            <v>15508.34</v>
          </cell>
          <cell r="BE323">
            <v>40</v>
          </cell>
          <cell r="BF323">
            <v>12282.33</v>
          </cell>
          <cell r="BG323">
            <v>25</v>
          </cell>
          <cell r="BH323">
            <v>38756.97</v>
          </cell>
          <cell r="BI323">
            <v>111</v>
          </cell>
          <cell r="BJ323">
            <v>85421</v>
          </cell>
          <cell r="BK323">
            <v>220</v>
          </cell>
          <cell r="BL323">
            <v>941</v>
          </cell>
          <cell r="BM323">
            <v>4</v>
          </cell>
          <cell r="BN323">
            <v>702</v>
          </cell>
          <cell r="BO323">
            <v>1</v>
          </cell>
          <cell r="BP323">
            <v>696</v>
          </cell>
          <cell r="BQ323">
            <v>1</v>
          </cell>
          <cell r="BR323">
            <v>10187</v>
          </cell>
          <cell r="BS323">
            <v>6</v>
          </cell>
          <cell r="BT323">
            <v>12526</v>
          </cell>
          <cell r="BU323">
            <v>12</v>
          </cell>
          <cell r="BV323">
            <v>196.67</v>
          </cell>
          <cell r="BW323">
            <v>1</v>
          </cell>
          <cell r="BX323">
            <v>173.33</v>
          </cell>
          <cell r="BY323">
            <v>0</v>
          </cell>
          <cell r="BZ323">
            <v>100</v>
          </cell>
          <cell r="CA323">
            <v>0</v>
          </cell>
          <cell r="CB323">
            <v>2431</v>
          </cell>
          <cell r="CC323">
            <v>1</v>
          </cell>
          <cell r="CD323">
            <v>2901</v>
          </cell>
          <cell r="CE323">
            <v>2</v>
          </cell>
          <cell r="CF323">
            <v>0</v>
          </cell>
          <cell r="CG323">
            <v>1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1</v>
          </cell>
          <cell r="CP323">
            <v>512.35</v>
          </cell>
          <cell r="CQ323">
            <v>1</v>
          </cell>
          <cell r="CR323">
            <v>334.67</v>
          </cell>
          <cell r="CS323">
            <v>2</v>
          </cell>
          <cell r="CT323">
            <v>260.01</v>
          </cell>
          <cell r="CU323">
            <v>0</v>
          </cell>
          <cell r="CV323">
            <v>1018.97</v>
          </cell>
          <cell r="CW323">
            <v>3</v>
          </cell>
          <cell r="CX323">
            <v>2126</v>
          </cell>
          <cell r="CY323">
            <v>6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H323">
            <v>0</v>
          </cell>
          <cell r="EI323">
            <v>0</v>
          </cell>
        </row>
        <row r="324">
          <cell r="A324" t="str">
            <v>MayRasdhoo</v>
          </cell>
          <cell r="B324" t="str">
            <v>May</v>
          </cell>
          <cell r="C324" t="str">
            <v>AA.</v>
          </cell>
          <cell r="D324" t="str">
            <v>Rasdhoo</v>
          </cell>
          <cell r="E324">
            <v>0</v>
          </cell>
          <cell r="F324">
            <v>161766</v>
          </cell>
          <cell r="G324">
            <v>331</v>
          </cell>
          <cell r="H324">
            <v>334</v>
          </cell>
          <cell r="I324">
            <v>3</v>
          </cell>
          <cell r="J324">
            <v>0</v>
          </cell>
          <cell r="K324">
            <v>337</v>
          </cell>
          <cell r="L324">
            <v>330</v>
          </cell>
          <cell r="M324">
            <v>7</v>
          </cell>
          <cell r="N324">
            <v>2</v>
          </cell>
          <cell r="O324">
            <v>1</v>
          </cell>
          <cell r="P324">
            <v>0</v>
          </cell>
          <cell r="Q324">
            <v>3</v>
          </cell>
          <cell r="R324">
            <v>1</v>
          </cell>
          <cell r="S324">
            <v>2</v>
          </cell>
          <cell r="T324">
            <v>340</v>
          </cell>
          <cell r="U324">
            <v>331</v>
          </cell>
          <cell r="V324">
            <v>9</v>
          </cell>
          <cell r="W324">
            <v>179853</v>
          </cell>
          <cell r="X324">
            <v>179853</v>
          </cell>
          <cell r="Y324">
            <v>0</v>
          </cell>
          <cell r="Z324">
            <v>179853</v>
          </cell>
          <cell r="AA324">
            <v>161766</v>
          </cell>
          <cell r="AB324">
            <v>0</v>
          </cell>
          <cell r="AC324">
            <v>161766</v>
          </cell>
          <cell r="AD324">
            <v>88</v>
          </cell>
          <cell r="AE324">
            <v>377</v>
          </cell>
          <cell r="AF324">
            <v>50592</v>
          </cell>
          <cell r="AG324">
            <v>151</v>
          </cell>
          <cell r="AH324">
            <v>5940.3</v>
          </cell>
          <cell r="AI324">
            <v>34</v>
          </cell>
          <cell r="AJ324">
            <v>4301.32</v>
          </cell>
          <cell r="AK324">
            <v>11</v>
          </cell>
          <cell r="AL324">
            <v>3565.32</v>
          </cell>
          <cell r="AM324">
            <v>6</v>
          </cell>
          <cell r="AN324">
            <v>17031.060000000001</v>
          </cell>
          <cell r="AO324">
            <v>32</v>
          </cell>
          <cell r="AP324">
            <v>30838</v>
          </cell>
          <cell r="AQ324">
            <v>83</v>
          </cell>
          <cell r="AR324">
            <v>549</v>
          </cell>
          <cell r="AS324">
            <v>1</v>
          </cell>
          <cell r="AT324">
            <v>500</v>
          </cell>
          <cell r="AU324">
            <v>0</v>
          </cell>
          <cell r="AV324">
            <v>500</v>
          </cell>
          <cell r="AW324">
            <v>0</v>
          </cell>
          <cell r="AX324">
            <v>16471</v>
          </cell>
          <cell r="AY324">
            <v>5</v>
          </cell>
          <cell r="AZ324">
            <v>18020</v>
          </cell>
          <cell r="BA324">
            <v>6</v>
          </cell>
          <cell r="BB324">
            <v>18999.89</v>
          </cell>
          <cell r="BC324">
            <v>43</v>
          </cell>
          <cell r="BD324">
            <v>16001.29</v>
          </cell>
          <cell r="BE324">
            <v>38</v>
          </cell>
          <cell r="BF324">
            <v>12667.65</v>
          </cell>
          <cell r="BG324">
            <v>25</v>
          </cell>
          <cell r="BH324">
            <v>38464.17</v>
          </cell>
          <cell r="BI324">
            <v>115</v>
          </cell>
          <cell r="BJ324">
            <v>86133</v>
          </cell>
          <cell r="BK324">
            <v>221</v>
          </cell>
          <cell r="BL324">
            <v>1050.33</v>
          </cell>
          <cell r="BM324">
            <v>3</v>
          </cell>
          <cell r="BN324">
            <v>903.33</v>
          </cell>
          <cell r="BO324">
            <v>0</v>
          </cell>
          <cell r="BP324">
            <v>841.33</v>
          </cell>
          <cell r="BQ324">
            <v>1</v>
          </cell>
          <cell r="BR324">
            <v>18350.009999999998</v>
          </cell>
          <cell r="BS324">
            <v>8</v>
          </cell>
          <cell r="BT324">
            <v>21145</v>
          </cell>
          <cell r="BU324">
            <v>12</v>
          </cell>
          <cell r="BV324">
            <v>200</v>
          </cell>
          <cell r="BW324">
            <v>0</v>
          </cell>
          <cell r="BX324">
            <v>200</v>
          </cell>
          <cell r="BY324">
            <v>0</v>
          </cell>
          <cell r="BZ324">
            <v>177</v>
          </cell>
          <cell r="CA324">
            <v>1</v>
          </cell>
          <cell r="CB324">
            <v>2736</v>
          </cell>
          <cell r="CC324">
            <v>1</v>
          </cell>
          <cell r="CD324">
            <v>3313</v>
          </cell>
          <cell r="CE324">
            <v>2</v>
          </cell>
          <cell r="CF324">
            <v>0</v>
          </cell>
          <cell r="CG324">
            <v>1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1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574.33000000000004</v>
          </cell>
          <cell r="DA324">
            <v>1</v>
          </cell>
          <cell r="DB324">
            <v>369.33</v>
          </cell>
          <cell r="DC324">
            <v>2</v>
          </cell>
          <cell r="DD324">
            <v>283.33</v>
          </cell>
          <cell r="DE324">
            <v>0</v>
          </cell>
          <cell r="DF324">
            <v>1090.01</v>
          </cell>
          <cell r="DG324">
            <v>3</v>
          </cell>
          <cell r="DH324">
            <v>2317</v>
          </cell>
          <cell r="DI324">
            <v>6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H324">
            <v>0</v>
          </cell>
          <cell r="EI324">
            <v>0</v>
          </cell>
        </row>
        <row r="325">
          <cell r="A325" t="str">
            <v>JunRasdhoo</v>
          </cell>
          <cell r="B325" t="str">
            <v>Jun</v>
          </cell>
          <cell r="C325" t="str">
            <v>AA.</v>
          </cell>
          <cell r="D325" t="str">
            <v>Rasdhoo</v>
          </cell>
          <cell r="E325" t="str">
            <v>usage units less than billed</v>
          </cell>
          <cell r="F325">
            <v>125777.10500000001</v>
          </cell>
          <cell r="G325">
            <v>189</v>
          </cell>
          <cell r="H325">
            <v>337</v>
          </cell>
          <cell r="I325">
            <v>1</v>
          </cell>
          <cell r="J325">
            <v>0</v>
          </cell>
          <cell r="K325">
            <v>338</v>
          </cell>
          <cell r="L325">
            <v>326</v>
          </cell>
          <cell r="M325">
            <v>12</v>
          </cell>
          <cell r="N325">
            <v>3</v>
          </cell>
          <cell r="O325">
            <v>1</v>
          </cell>
          <cell r="P325">
            <v>1</v>
          </cell>
          <cell r="Q325">
            <v>3</v>
          </cell>
          <cell r="R325">
            <v>1</v>
          </cell>
          <cell r="S325">
            <v>2</v>
          </cell>
          <cell r="T325">
            <v>341</v>
          </cell>
          <cell r="U325">
            <v>327</v>
          </cell>
          <cell r="V325">
            <v>14</v>
          </cell>
          <cell r="W325">
            <v>122332</v>
          </cell>
          <cell r="X325">
            <v>122332</v>
          </cell>
          <cell r="Y325">
            <v>0</v>
          </cell>
          <cell r="Z325">
            <v>122332</v>
          </cell>
          <cell r="AA325">
            <v>161398</v>
          </cell>
          <cell r="AB325">
            <v>0</v>
          </cell>
          <cell r="AC325">
            <v>161398</v>
          </cell>
          <cell r="AD325">
            <v>130</v>
          </cell>
          <cell r="AE325">
            <v>400</v>
          </cell>
          <cell r="AF325">
            <v>50592</v>
          </cell>
          <cell r="AG325">
            <v>151.5</v>
          </cell>
          <cell r="AH325">
            <v>6430.98</v>
          </cell>
          <cell r="AI325">
            <v>36</v>
          </cell>
          <cell r="AJ325">
            <v>4699.32</v>
          </cell>
          <cell r="AK325">
            <v>10</v>
          </cell>
          <cell r="AL325">
            <v>3768.64</v>
          </cell>
          <cell r="AM325">
            <v>7</v>
          </cell>
          <cell r="AN325">
            <v>14709.06</v>
          </cell>
          <cell r="AO325">
            <v>31</v>
          </cell>
          <cell r="AP325">
            <v>29608</v>
          </cell>
          <cell r="AQ325">
            <v>84</v>
          </cell>
          <cell r="AR325">
            <v>600.34</v>
          </cell>
          <cell r="AS325">
            <v>1</v>
          </cell>
          <cell r="AT325">
            <v>543.34</v>
          </cell>
          <cell r="AU325">
            <v>0</v>
          </cell>
          <cell r="AV325">
            <v>543.34</v>
          </cell>
          <cell r="AW325">
            <v>0</v>
          </cell>
          <cell r="AX325">
            <v>16488.98</v>
          </cell>
          <cell r="AY325">
            <v>5</v>
          </cell>
          <cell r="AZ325">
            <v>18176</v>
          </cell>
          <cell r="BA325">
            <v>6</v>
          </cell>
          <cell r="BB325">
            <v>20358.689999999999</v>
          </cell>
          <cell r="BC325">
            <v>44</v>
          </cell>
          <cell r="BD325">
            <v>16906.03</v>
          </cell>
          <cell r="BE325">
            <v>35</v>
          </cell>
          <cell r="BF325">
            <v>13429.385</v>
          </cell>
          <cell r="BG325">
            <v>0</v>
          </cell>
          <cell r="BH325">
            <v>0</v>
          </cell>
          <cell r="BI325">
            <v>0</v>
          </cell>
          <cell r="BJ325">
            <v>50694.105000000003</v>
          </cell>
          <cell r="BK325">
            <v>79</v>
          </cell>
          <cell r="BL325">
            <v>1252.98</v>
          </cell>
          <cell r="BM325">
            <v>1</v>
          </cell>
          <cell r="BN325">
            <v>1051.6400000000001</v>
          </cell>
          <cell r="BO325">
            <v>2</v>
          </cell>
          <cell r="BP325">
            <v>961.31</v>
          </cell>
          <cell r="BQ325">
            <v>1</v>
          </cell>
          <cell r="BR325">
            <v>19040.07</v>
          </cell>
          <cell r="BS325">
            <v>8</v>
          </cell>
          <cell r="BT325">
            <v>22306</v>
          </cell>
          <cell r="BU325">
            <v>12</v>
          </cell>
          <cell r="BV325">
            <v>226.66</v>
          </cell>
          <cell r="BW325">
            <v>0</v>
          </cell>
          <cell r="BX325">
            <v>223</v>
          </cell>
          <cell r="BY325">
            <v>1</v>
          </cell>
          <cell r="BZ325">
            <v>113.33</v>
          </cell>
          <cell r="CA325">
            <v>0</v>
          </cell>
          <cell r="CB325">
            <v>2684.01</v>
          </cell>
          <cell r="CC325">
            <v>1</v>
          </cell>
          <cell r="CD325">
            <v>3247</v>
          </cell>
          <cell r="CE325">
            <v>2</v>
          </cell>
          <cell r="CF325">
            <v>0</v>
          </cell>
          <cell r="CG325">
            <v>1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1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523.67999999999995</v>
          </cell>
          <cell r="DA325">
            <v>1</v>
          </cell>
          <cell r="DB325">
            <v>305</v>
          </cell>
          <cell r="DC325">
            <v>2</v>
          </cell>
          <cell r="DD325">
            <v>213.34</v>
          </cell>
          <cell r="DE325">
            <v>0</v>
          </cell>
          <cell r="DF325">
            <v>703.98</v>
          </cell>
          <cell r="DG325">
            <v>2</v>
          </cell>
          <cell r="DH325">
            <v>1745.9999999999998</v>
          </cell>
          <cell r="DI325">
            <v>5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0</v>
          </cell>
          <cell r="EH325">
            <v>0</v>
          </cell>
          <cell r="EI325">
            <v>0</v>
          </cell>
        </row>
        <row r="326">
          <cell r="A326" t="str">
            <v>JulRasdhoo</v>
          </cell>
          <cell r="B326" t="str">
            <v>Jul</v>
          </cell>
          <cell r="C326" t="str">
            <v>AA.</v>
          </cell>
          <cell r="D326" t="str">
            <v>Rasdhoo</v>
          </cell>
          <cell r="E326">
            <v>0</v>
          </cell>
          <cell r="F326">
            <v>153284</v>
          </cell>
          <cell r="G326">
            <v>330</v>
          </cell>
          <cell r="H326">
            <v>339</v>
          </cell>
          <cell r="I326">
            <v>0</v>
          </cell>
          <cell r="J326">
            <v>0</v>
          </cell>
          <cell r="K326">
            <v>339</v>
          </cell>
          <cell r="L326">
            <v>329</v>
          </cell>
          <cell r="M326">
            <v>10</v>
          </cell>
          <cell r="N326">
            <v>3</v>
          </cell>
          <cell r="O326">
            <v>0</v>
          </cell>
          <cell r="P326">
            <v>1</v>
          </cell>
          <cell r="Q326">
            <v>2</v>
          </cell>
          <cell r="R326">
            <v>1</v>
          </cell>
          <cell r="S326">
            <v>1</v>
          </cell>
          <cell r="T326">
            <v>341</v>
          </cell>
          <cell r="U326">
            <v>330</v>
          </cell>
          <cell r="V326">
            <v>11</v>
          </cell>
          <cell r="W326">
            <v>155238</v>
          </cell>
          <cell r="X326">
            <v>155238</v>
          </cell>
          <cell r="Y326">
            <v>0</v>
          </cell>
          <cell r="Z326">
            <v>155238</v>
          </cell>
          <cell r="AA326">
            <v>153284</v>
          </cell>
          <cell r="AB326">
            <v>0</v>
          </cell>
          <cell r="AC326">
            <v>153284</v>
          </cell>
          <cell r="AD326">
            <v>152</v>
          </cell>
          <cell r="AE326">
            <v>376</v>
          </cell>
          <cell r="AF326">
            <v>50592</v>
          </cell>
          <cell r="AG326">
            <v>151</v>
          </cell>
          <cell r="AH326">
            <v>5556.93</v>
          </cell>
          <cell r="AI326">
            <v>37</v>
          </cell>
          <cell r="AJ326">
            <v>4204.2700000000004</v>
          </cell>
          <cell r="AK326">
            <v>7</v>
          </cell>
          <cell r="AL326">
            <v>3085.69</v>
          </cell>
          <cell r="AM326">
            <v>16</v>
          </cell>
          <cell r="AN326">
            <v>13228.11</v>
          </cell>
          <cell r="AO326">
            <v>24</v>
          </cell>
          <cell r="AP326">
            <v>26075</v>
          </cell>
          <cell r="AQ326">
            <v>84</v>
          </cell>
          <cell r="AR326">
            <v>504.01</v>
          </cell>
          <cell r="AS326">
            <v>1</v>
          </cell>
          <cell r="AT326">
            <v>480.01</v>
          </cell>
          <cell r="AU326">
            <v>0</v>
          </cell>
          <cell r="AV326">
            <v>480.01</v>
          </cell>
          <cell r="AW326">
            <v>0</v>
          </cell>
          <cell r="AX326">
            <v>14490.97</v>
          </cell>
          <cell r="AY326">
            <v>5</v>
          </cell>
          <cell r="AZ326">
            <v>15955</v>
          </cell>
          <cell r="BA326">
            <v>6</v>
          </cell>
          <cell r="BB326">
            <v>17938.099999999999</v>
          </cell>
          <cell r="BC326">
            <v>41</v>
          </cell>
          <cell r="BD326">
            <v>15704.16</v>
          </cell>
          <cell r="BE326">
            <v>26</v>
          </cell>
          <cell r="BF326">
            <v>12730.25</v>
          </cell>
          <cell r="BG326">
            <v>28</v>
          </cell>
          <cell r="BH326">
            <v>43557.49</v>
          </cell>
          <cell r="BI326">
            <v>124</v>
          </cell>
          <cell r="BJ326">
            <v>89930</v>
          </cell>
          <cell r="BK326">
            <v>219</v>
          </cell>
          <cell r="BL326">
            <v>1107</v>
          </cell>
          <cell r="BM326">
            <v>2</v>
          </cell>
          <cell r="BN326">
            <v>1008</v>
          </cell>
          <cell r="BO326">
            <v>1</v>
          </cell>
          <cell r="BP326">
            <v>766</v>
          </cell>
          <cell r="BQ326">
            <v>2</v>
          </cell>
          <cell r="BR326">
            <v>14284</v>
          </cell>
          <cell r="BS326">
            <v>8</v>
          </cell>
          <cell r="BT326">
            <v>17165</v>
          </cell>
          <cell r="BU326">
            <v>13</v>
          </cell>
          <cell r="BV326">
            <v>131</v>
          </cell>
          <cell r="BW326">
            <v>1</v>
          </cell>
          <cell r="BX326">
            <v>90</v>
          </cell>
          <cell r="BY326">
            <v>0</v>
          </cell>
          <cell r="BZ326">
            <v>90</v>
          </cell>
          <cell r="CA326">
            <v>0</v>
          </cell>
          <cell r="CB326">
            <v>2211</v>
          </cell>
          <cell r="CC326">
            <v>1</v>
          </cell>
          <cell r="CD326">
            <v>2522</v>
          </cell>
          <cell r="CE326">
            <v>2</v>
          </cell>
          <cell r="CF326">
            <v>0</v>
          </cell>
          <cell r="CG326">
            <v>1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1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491</v>
          </cell>
          <cell r="DA326">
            <v>1</v>
          </cell>
          <cell r="DB326">
            <v>286</v>
          </cell>
          <cell r="DC326">
            <v>2</v>
          </cell>
          <cell r="DD326">
            <v>200</v>
          </cell>
          <cell r="DE326">
            <v>0</v>
          </cell>
          <cell r="DF326">
            <v>660</v>
          </cell>
          <cell r="DG326">
            <v>2</v>
          </cell>
          <cell r="DH326">
            <v>1637</v>
          </cell>
          <cell r="DI326">
            <v>5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>
            <v>0</v>
          </cell>
          <cell r="EE326">
            <v>0</v>
          </cell>
          <cell r="EF326">
            <v>0</v>
          </cell>
          <cell r="EH326">
            <v>0</v>
          </cell>
          <cell r="EI326">
            <v>0</v>
          </cell>
        </row>
        <row r="327">
          <cell r="A327" t="str">
            <v>AugRasdhoo</v>
          </cell>
          <cell r="B327" t="str">
            <v>Aug</v>
          </cell>
          <cell r="C327" t="str">
            <v>AA.</v>
          </cell>
          <cell r="D327" t="str">
            <v>Rasdhoo</v>
          </cell>
          <cell r="E327">
            <v>0</v>
          </cell>
          <cell r="F327">
            <v>150238</v>
          </cell>
          <cell r="G327">
            <v>331</v>
          </cell>
          <cell r="H327">
            <v>339</v>
          </cell>
          <cell r="I327">
            <v>0</v>
          </cell>
          <cell r="J327">
            <v>0</v>
          </cell>
          <cell r="K327">
            <v>339</v>
          </cell>
          <cell r="L327">
            <v>330</v>
          </cell>
          <cell r="M327">
            <v>9</v>
          </cell>
          <cell r="N327">
            <v>2</v>
          </cell>
          <cell r="O327">
            <v>0</v>
          </cell>
          <cell r="P327">
            <v>1</v>
          </cell>
          <cell r="Q327">
            <v>1</v>
          </cell>
          <cell r="R327">
            <v>1</v>
          </cell>
          <cell r="S327">
            <v>0</v>
          </cell>
          <cell r="T327">
            <v>340</v>
          </cell>
          <cell r="U327">
            <v>331</v>
          </cell>
          <cell r="V327">
            <v>9</v>
          </cell>
          <cell r="W327">
            <v>142163</v>
          </cell>
          <cell r="X327">
            <v>160754.66</v>
          </cell>
          <cell r="Y327">
            <v>0</v>
          </cell>
          <cell r="Z327">
            <v>160754.66</v>
          </cell>
          <cell r="AA327">
            <v>150238</v>
          </cell>
          <cell r="AB327">
            <v>0</v>
          </cell>
          <cell r="AC327">
            <v>150238</v>
          </cell>
          <cell r="AD327">
            <v>112</v>
          </cell>
          <cell r="AE327">
            <v>346</v>
          </cell>
          <cell r="AF327">
            <v>50592</v>
          </cell>
          <cell r="AG327">
            <v>151.5</v>
          </cell>
          <cell r="AH327">
            <v>6323.85</v>
          </cell>
          <cell r="AI327">
            <v>34</v>
          </cell>
          <cell r="AJ327">
            <v>4587.25</v>
          </cell>
          <cell r="AK327">
            <v>12</v>
          </cell>
          <cell r="AL327">
            <v>3366.63</v>
          </cell>
          <cell r="AM327">
            <v>9</v>
          </cell>
          <cell r="AN327">
            <v>14490.27</v>
          </cell>
          <cell r="AO327">
            <v>29</v>
          </cell>
          <cell r="AP327">
            <v>28768.000000000004</v>
          </cell>
          <cell r="AQ327">
            <v>84</v>
          </cell>
          <cell r="AR327">
            <v>547.99</v>
          </cell>
          <cell r="AS327">
            <v>1</v>
          </cell>
          <cell r="AT327">
            <v>509.99</v>
          </cell>
          <cell r="AU327">
            <v>0</v>
          </cell>
          <cell r="AV327">
            <v>509.99</v>
          </cell>
          <cell r="AW327">
            <v>0</v>
          </cell>
          <cell r="AX327">
            <v>15235.03</v>
          </cell>
          <cell r="AY327">
            <v>5</v>
          </cell>
          <cell r="AZ327">
            <v>16803</v>
          </cell>
          <cell r="BA327">
            <v>6</v>
          </cell>
          <cell r="BB327">
            <v>19309.78</v>
          </cell>
          <cell r="BC327">
            <v>42</v>
          </cell>
          <cell r="BD327">
            <v>16151.66</v>
          </cell>
          <cell r="BE327">
            <v>36</v>
          </cell>
          <cell r="BF327">
            <v>12385.57</v>
          </cell>
          <cell r="BG327">
            <v>38</v>
          </cell>
          <cell r="BH327">
            <v>30594.99</v>
          </cell>
          <cell r="BI327">
            <v>103</v>
          </cell>
          <cell r="BJ327">
            <v>78442</v>
          </cell>
          <cell r="BK327">
            <v>219</v>
          </cell>
          <cell r="BL327">
            <v>1424.29</v>
          </cell>
          <cell r="BM327">
            <v>2</v>
          </cell>
          <cell r="BN327">
            <v>1422.63</v>
          </cell>
          <cell r="BO327">
            <v>1</v>
          </cell>
          <cell r="BP327">
            <v>1132</v>
          </cell>
          <cell r="BQ327">
            <v>4</v>
          </cell>
          <cell r="BR327">
            <v>17470.080000000002</v>
          </cell>
          <cell r="BS327">
            <v>8</v>
          </cell>
          <cell r="BT327">
            <v>21449.000000000004</v>
          </cell>
          <cell r="BU327">
            <v>15</v>
          </cell>
          <cell r="BV327">
            <v>206.66</v>
          </cell>
          <cell r="BW327">
            <v>0</v>
          </cell>
          <cell r="BX327">
            <v>206.66</v>
          </cell>
          <cell r="BY327">
            <v>0</v>
          </cell>
          <cell r="BZ327">
            <v>151.66999999999999</v>
          </cell>
          <cell r="CA327">
            <v>1</v>
          </cell>
          <cell r="CB327">
            <v>2574.0100000000002</v>
          </cell>
          <cell r="CC327">
            <v>1</v>
          </cell>
          <cell r="CD327">
            <v>3139</v>
          </cell>
          <cell r="CE327">
            <v>2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491</v>
          </cell>
          <cell r="DA327">
            <v>1</v>
          </cell>
          <cell r="DB327">
            <v>286</v>
          </cell>
          <cell r="DC327">
            <v>2</v>
          </cell>
          <cell r="DD327">
            <v>200</v>
          </cell>
          <cell r="DE327">
            <v>0</v>
          </cell>
          <cell r="DF327">
            <v>660</v>
          </cell>
          <cell r="DG327">
            <v>2</v>
          </cell>
          <cell r="DH327">
            <v>1637</v>
          </cell>
          <cell r="DI327">
            <v>5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  <cell r="EC327">
            <v>0</v>
          </cell>
          <cell r="ED327">
            <v>0</v>
          </cell>
          <cell r="EE327">
            <v>0</v>
          </cell>
          <cell r="EF327">
            <v>0</v>
          </cell>
          <cell r="EH327">
            <v>0</v>
          </cell>
          <cell r="EI327">
            <v>0</v>
          </cell>
        </row>
        <row r="328">
          <cell r="A328" t="str">
            <v>SepRasdhoo</v>
          </cell>
          <cell r="B328" t="str">
            <v>Sep</v>
          </cell>
          <cell r="C328" t="str">
            <v>AA.</v>
          </cell>
          <cell r="D328" t="str">
            <v>Rasdhoo</v>
          </cell>
          <cell r="E328">
            <v>0</v>
          </cell>
          <cell r="F328">
            <v>142686</v>
          </cell>
          <cell r="G328">
            <v>332</v>
          </cell>
          <cell r="H328">
            <v>339</v>
          </cell>
          <cell r="I328">
            <v>0</v>
          </cell>
          <cell r="J328">
            <v>0</v>
          </cell>
          <cell r="K328">
            <v>339</v>
          </cell>
          <cell r="L328">
            <v>332</v>
          </cell>
          <cell r="M328">
            <v>7</v>
          </cell>
          <cell r="N328">
            <v>1</v>
          </cell>
          <cell r="O328">
            <v>0</v>
          </cell>
          <cell r="P328">
            <v>0</v>
          </cell>
          <cell r="Q328">
            <v>1</v>
          </cell>
          <cell r="R328">
            <v>0</v>
          </cell>
          <cell r="S328">
            <v>1</v>
          </cell>
          <cell r="T328">
            <v>340</v>
          </cell>
          <cell r="U328">
            <v>332</v>
          </cell>
          <cell r="V328">
            <v>8</v>
          </cell>
          <cell r="W328">
            <v>131008</v>
          </cell>
          <cell r="X328">
            <v>152674.02000000002</v>
          </cell>
          <cell r="Y328">
            <v>0</v>
          </cell>
          <cell r="Z328">
            <v>152674.02000000002</v>
          </cell>
          <cell r="AA328">
            <v>142686</v>
          </cell>
          <cell r="AB328">
            <v>0</v>
          </cell>
          <cell r="AC328">
            <v>142686</v>
          </cell>
          <cell r="AD328">
            <v>129</v>
          </cell>
          <cell r="AE328">
            <v>340</v>
          </cell>
          <cell r="AF328">
            <v>50592</v>
          </cell>
          <cell r="AG328">
            <v>151.5</v>
          </cell>
          <cell r="AH328">
            <v>6263.5</v>
          </cell>
          <cell r="AI328">
            <v>36</v>
          </cell>
          <cell r="AJ328">
            <v>4498.58</v>
          </cell>
          <cell r="AK328">
            <v>12</v>
          </cell>
          <cell r="AL328">
            <v>3339.66</v>
          </cell>
          <cell r="AM328">
            <v>12</v>
          </cell>
          <cell r="AN328">
            <v>13712.26</v>
          </cell>
          <cell r="AO328">
            <v>26</v>
          </cell>
          <cell r="AP328">
            <v>27814.000000000004</v>
          </cell>
          <cell r="AQ328">
            <v>86</v>
          </cell>
          <cell r="AR328">
            <v>565.65</v>
          </cell>
          <cell r="AS328">
            <v>0</v>
          </cell>
          <cell r="AT328">
            <v>452.99</v>
          </cell>
          <cell r="AU328">
            <v>1</v>
          </cell>
          <cell r="AV328">
            <v>413.32</v>
          </cell>
          <cell r="AW328">
            <v>1</v>
          </cell>
          <cell r="AX328">
            <v>13676.04</v>
          </cell>
          <cell r="AY328">
            <v>4</v>
          </cell>
          <cell r="AZ328">
            <v>15108</v>
          </cell>
          <cell r="BA328">
            <v>6</v>
          </cell>
          <cell r="BB328">
            <v>19246.45</v>
          </cell>
          <cell r="BC328">
            <v>45</v>
          </cell>
          <cell r="BD328">
            <v>16082.31</v>
          </cell>
          <cell r="BE328">
            <v>33</v>
          </cell>
          <cell r="BF328">
            <v>12338.24</v>
          </cell>
          <cell r="BG328">
            <v>38</v>
          </cell>
          <cell r="BH328">
            <v>28099</v>
          </cell>
          <cell r="BI328">
            <v>102</v>
          </cell>
          <cell r="BJ328">
            <v>75766</v>
          </cell>
          <cell r="BK328">
            <v>218</v>
          </cell>
          <cell r="BL328">
            <v>1344.29</v>
          </cell>
          <cell r="BM328">
            <v>1</v>
          </cell>
          <cell r="BN328">
            <v>1312.97</v>
          </cell>
          <cell r="BO328">
            <v>2</v>
          </cell>
          <cell r="BP328">
            <v>974.65</v>
          </cell>
          <cell r="BQ328">
            <v>2</v>
          </cell>
          <cell r="BR328">
            <v>15535.09</v>
          </cell>
          <cell r="BS328">
            <v>9</v>
          </cell>
          <cell r="BT328">
            <v>19167.000000000004</v>
          </cell>
          <cell r="BU328">
            <v>14</v>
          </cell>
          <cell r="BV328">
            <v>206.66</v>
          </cell>
          <cell r="BW328">
            <v>0</v>
          </cell>
          <cell r="BX328">
            <v>206.66</v>
          </cell>
          <cell r="BY328">
            <v>0</v>
          </cell>
          <cell r="BZ328">
            <v>206.66</v>
          </cell>
          <cell r="CA328">
            <v>2</v>
          </cell>
          <cell r="CB328">
            <v>2519.02</v>
          </cell>
          <cell r="CC328">
            <v>0</v>
          </cell>
          <cell r="CD328">
            <v>3138.9999999999995</v>
          </cell>
          <cell r="CE328">
            <v>2</v>
          </cell>
          <cell r="CF328">
            <v>0</v>
          </cell>
          <cell r="CG328">
            <v>1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1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507.32</v>
          </cell>
          <cell r="DA328">
            <v>0</v>
          </cell>
          <cell r="DB328">
            <v>296</v>
          </cell>
          <cell r="DC328">
            <v>1</v>
          </cell>
          <cell r="DD328">
            <v>206.66</v>
          </cell>
          <cell r="DE328">
            <v>2</v>
          </cell>
          <cell r="DF328">
            <v>682.02</v>
          </cell>
          <cell r="DG328">
            <v>2</v>
          </cell>
          <cell r="DH328">
            <v>1692</v>
          </cell>
          <cell r="DI328">
            <v>5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  <cell r="ED328">
            <v>0</v>
          </cell>
          <cell r="EE328">
            <v>0</v>
          </cell>
          <cell r="EF328">
            <v>0</v>
          </cell>
          <cell r="EH328">
            <v>0</v>
          </cell>
          <cell r="EI328">
            <v>0</v>
          </cell>
        </row>
        <row r="329">
          <cell r="A329" t="str">
            <v>OctRasdhoo</v>
          </cell>
          <cell r="B329" t="str">
            <v>Oct</v>
          </cell>
          <cell r="C329" t="str">
            <v>AA.</v>
          </cell>
          <cell r="D329" t="str">
            <v>Rasdhoo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  <cell r="EF329">
            <v>0</v>
          </cell>
          <cell r="EH329">
            <v>0</v>
          </cell>
          <cell r="EI329">
            <v>0</v>
          </cell>
        </row>
        <row r="330">
          <cell r="A330" t="str">
            <v>NovRasdhoo</v>
          </cell>
          <cell r="B330" t="str">
            <v>Nov</v>
          </cell>
          <cell r="C330" t="str">
            <v>AA.</v>
          </cell>
          <cell r="D330" t="str">
            <v>Rasdhoo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H330">
            <v>0</v>
          </cell>
          <cell r="EI330">
            <v>0</v>
          </cell>
        </row>
        <row r="331">
          <cell r="A331" t="str">
            <v>DecRasdhoo</v>
          </cell>
          <cell r="B331" t="str">
            <v>Dec</v>
          </cell>
          <cell r="C331" t="str">
            <v>AA.</v>
          </cell>
          <cell r="D331" t="str">
            <v>Rasdhoo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  <cell r="ED331">
            <v>0</v>
          </cell>
          <cell r="EE331">
            <v>0</v>
          </cell>
          <cell r="EF331">
            <v>0</v>
          </cell>
          <cell r="EH331">
            <v>0</v>
          </cell>
          <cell r="EI331">
            <v>0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Sheet1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  <sheetName val="12.17"/>
      <sheetName val="12.18"/>
      <sheetName val="12.19"/>
      <sheetName val="12.20"/>
      <sheetName val="12.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B35"/>
  <sheetViews>
    <sheetView tabSelected="1" topLeftCell="A10" zoomScaleNormal="100" workbookViewId="0">
      <selection activeCell="P14" sqref="P14"/>
    </sheetView>
  </sheetViews>
  <sheetFormatPr defaultColWidth="9.140625" defaultRowHeight="15" x14ac:dyDescent="0.25"/>
  <cols>
    <col min="1" max="1" width="23.140625" style="6" customWidth="1"/>
    <col min="2" max="3" width="8.28515625" style="6" hidden="1" customWidth="1"/>
    <col min="4" max="11" width="8.5703125" style="7" customWidth="1"/>
    <col min="12" max="12" width="27.5703125" style="6" customWidth="1"/>
    <col min="13" max="13" width="2.42578125" style="6" customWidth="1"/>
    <col min="14" max="16384" width="9.140625" style="6"/>
  </cols>
  <sheetData>
    <row r="2" spans="1:23" ht="19.5" x14ac:dyDescent="0.25">
      <c r="A2" s="8" t="s">
        <v>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23" ht="15.75" x14ac:dyDescent="0.25">
      <c r="A3" s="9" t="s">
        <v>20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O3" s="10"/>
      <c r="P3" s="10"/>
      <c r="Q3" s="10"/>
      <c r="R3" s="10"/>
      <c r="S3" s="10"/>
      <c r="T3" s="10"/>
      <c r="U3" s="10"/>
      <c r="V3" s="10"/>
      <c r="W3" s="10"/>
    </row>
    <row r="4" spans="1:23" s="2" customFormat="1" ht="20.25" customHeight="1" x14ac:dyDescent="0.2">
      <c r="A4" s="11" t="s">
        <v>4</v>
      </c>
      <c r="B4" s="11"/>
      <c r="C4" s="11"/>
      <c r="D4" s="11"/>
      <c r="E4" s="11"/>
      <c r="F4" s="11"/>
      <c r="G4" s="11"/>
      <c r="H4" s="12" t="s">
        <v>5</v>
      </c>
      <c r="I4" s="13"/>
      <c r="J4" s="14"/>
      <c r="K4" s="14"/>
      <c r="L4" s="14"/>
      <c r="M4" s="5"/>
      <c r="N4" s="5"/>
      <c r="O4" s="5"/>
      <c r="P4" s="5"/>
      <c r="Q4" s="1"/>
    </row>
    <row r="5" spans="1:23" s="18" customFormat="1" ht="24.75" customHeight="1" x14ac:dyDescent="0.25">
      <c r="A5" s="15" t="s">
        <v>6</v>
      </c>
      <c r="B5" s="16">
        <v>2008</v>
      </c>
      <c r="C5" s="16">
        <v>2009</v>
      </c>
      <c r="D5" s="16">
        <v>2010</v>
      </c>
      <c r="E5" s="16">
        <v>2011</v>
      </c>
      <c r="F5" s="16">
        <v>2012</v>
      </c>
      <c r="G5" s="16">
        <v>2013</v>
      </c>
      <c r="H5" s="16">
        <v>2014</v>
      </c>
      <c r="I5" s="16">
        <v>2015</v>
      </c>
      <c r="J5" s="16">
        <v>2016</v>
      </c>
      <c r="K5" s="16">
        <v>2017</v>
      </c>
      <c r="L5" s="17" t="s">
        <v>3</v>
      </c>
      <c r="O5" s="19"/>
      <c r="P5" s="19"/>
      <c r="Q5" s="19"/>
      <c r="R5" s="19"/>
      <c r="S5" s="19"/>
      <c r="T5" s="19"/>
      <c r="U5" s="19"/>
      <c r="V5" s="19"/>
      <c r="W5" s="20"/>
    </row>
    <row r="6" spans="1:23" s="18" customFormat="1" ht="22.5" customHeight="1" x14ac:dyDescent="0.2">
      <c r="A6" s="47" t="s">
        <v>7</v>
      </c>
      <c r="B6" s="21">
        <f t="shared" ref="B6:I6" si="0">SUM(B7:B10)</f>
        <v>2753.7502068822714</v>
      </c>
      <c r="C6" s="21">
        <f t="shared" si="0"/>
        <v>3122.326</v>
      </c>
      <c r="D6" s="21">
        <f t="shared" si="0"/>
        <v>3466.9183800000001</v>
      </c>
      <c r="E6" s="21">
        <f t="shared" si="0"/>
        <v>3852.5548200000003</v>
      </c>
      <c r="F6" s="21">
        <f t="shared" si="0"/>
        <v>4240.0155199999999</v>
      </c>
      <c r="G6" s="21">
        <f t="shared" si="0"/>
        <v>4509.2316299999993</v>
      </c>
      <c r="H6" s="21">
        <f t="shared" si="0"/>
        <v>4914.9541300000001</v>
      </c>
      <c r="I6" s="21">
        <f t="shared" si="0"/>
        <v>5700.0994599999995</v>
      </c>
      <c r="J6" s="21">
        <f>SUM(J7:J10)</f>
        <v>5805.4536200000002</v>
      </c>
      <c r="K6" s="21">
        <f>SUM(K7:K10)</f>
        <v>6298.49</v>
      </c>
      <c r="L6" s="30" t="s">
        <v>8</v>
      </c>
      <c r="O6" s="20"/>
      <c r="P6" s="20"/>
      <c r="Q6" s="20"/>
      <c r="R6" s="20"/>
      <c r="S6" s="20"/>
      <c r="T6" s="20"/>
      <c r="U6" s="20"/>
      <c r="V6" s="20"/>
      <c r="W6" s="20"/>
    </row>
    <row r="7" spans="1:23" s="24" customFormat="1" ht="22.5" customHeight="1" x14ac:dyDescent="0.2">
      <c r="A7" s="51" t="s">
        <v>9</v>
      </c>
      <c r="B7" s="23">
        <f>2149319.989999/1000</f>
        <v>2149.319989999</v>
      </c>
      <c r="C7" s="23">
        <v>2463.373</v>
      </c>
      <c r="D7" s="23">
        <v>2785.8859500000003</v>
      </c>
      <c r="E7" s="23">
        <v>3078.5709700000002</v>
      </c>
      <c r="F7" s="23">
        <v>3458.8018999999999</v>
      </c>
      <c r="G7" s="23">
        <f>3672075.98/1000</f>
        <v>3672.0759800000001</v>
      </c>
      <c r="H7" s="23">
        <v>4011.6961699999997</v>
      </c>
      <c r="I7" s="23">
        <v>4586.0499199999995</v>
      </c>
      <c r="J7" s="23">
        <v>4624.9812400000001</v>
      </c>
      <c r="K7" s="23">
        <v>4915.2939800000004</v>
      </c>
      <c r="L7" s="48" t="s">
        <v>10</v>
      </c>
      <c r="O7" s="25"/>
      <c r="P7" s="25"/>
      <c r="Q7" s="25"/>
      <c r="R7" s="25"/>
      <c r="S7" s="25"/>
      <c r="T7" s="25"/>
      <c r="U7" s="25"/>
      <c r="V7" s="25"/>
      <c r="W7" s="26"/>
    </row>
    <row r="8" spans="1:23" s="24" customFormat="1" ht="22.5" customHeight="1" x14ac:dyDescent="0.2">
      <c r="A8" s="51" t="s">
        <v>11</v>
      </c>
      <c r="B8" s="23">
        <f>311353.83/1000</f>
        <v>311.35383000000002</v>
      </c>
      <c r="C8" s="23">
        <v>325.00799999999998</v>
      </c>
      <c r="D8" s="23">
        <v>332.86784</v>
      </c>
      <c r="E8" s="23">
        <v>318.73822999999999</v>
      </c>
      <c r="F8" s="23">
        <v>367.12387999999999</v>
      </c>
      <c r="G8" s="23">
        <f>388293.65/1000</f>
        <v>388.29365000000001</v>
      </c>
      <c r="H8" s="23">
        <v>391.51188999999999</v>
      </c>
      <c r="I8" s="23">
        <v>511.57015999999999</v>
      </c>
      <c r="J8" s="23">
        <v>536.00156000000004</v>
      </c>
      <c r="K8" s="23">
        <v>616.09299999999996</v>
      </c>
      <c r="L8" s="48" t="s">
        <v>12</v>
      </c>
      <c r="O8" s="25"/>
      <c r="P8" s="26"/>
      <c r="Q8" s="26"/>
      <c r="R8" s="26"/>
      <c r="S8" s="26"/>
      <c r="T8" s="26"/>
      <c r="U8" s="26"/>
      <c r="V8" s="26"/>
      <c r="W8" s="26"/>
    </row>
    <row r="9" spans="1:23" s="24" customFormat="1" ht="22.5" customHeight="1" x14ac:dyDescent="0.2">
      <c r="A9" s="51" t="s">
        <v>13</v>
      </c>
      <c r="B9" s="23">
        <f>257761.626883271/1000</f>
        <v>257.76162688327099</v>
      </c>
      <c r="C9" s="23">
        <v>294.50900000000001</v>
      </c>
      <c r="D9" s="23">
        <v>332.63451000000003</v>
      </c>
      <c r="E9" s="23">
        <f>383.40205+67.17179</f>
        <v>450.57383999999996</v>
      </c>
      <c r="F9" s="23">
        <v>412.77303000000001</v>
      </c>
      <c r="G9" s="23">
        <f>446466.21/1000</f>
        <v>446.46621000000005</v>
      </c>
      <c r="H9" s="23">
        <v>508.53606999999994</v>
      </c>
      <c r="I9" s="23">
        <v>602.47937999999999</v>
      </c>
      <c r="J9" s="23">
        <v>644.47082</v>
      </c>
      <c r="K9" s="23">
        <v>767.10302000000001</v>
      </c>
      <c r="L9" s="48" t="s">
        <v>14</v>
      </c>
      <c r="O9" s="25"/>
      <c r="P9" s="26"/>
      <c r="Q9" s="26"/>
      <c r="R9" s="26"/>
      <c r="S9" s="26"/>
      <c r="T9" s="26"/>
      <c r="U9" s="26"/>
      <c r="V9" s="26"/>
      <c r="W9" s="26"/>
    </row>
    <row r="10" spans="1:23" s="24" customFormat="1" ht="22.5" customHeight="1" x14ac:dyDescent="0.2">
      <c r="A10" s="52" t="s">
        <v>15</v>
      </c>
      <c r="B10" s="27">
        <f>35314.76/1000</f>
        <v>35.31476</v>
      </c>
      <c r="C10" s="27">
        <v>39.436</v>
      </c>
      <c r="D10" s="27">
        <v>15.53008</v>
      </c>
      <c r="E10" s="27">
        <f>4.67178</f>
        <v>4.67178</v>
      </c>
      <c r="F10" s="27">
        <v>1.31671</v>
      </c>
      <c r="G10" s="27">
        <f>2395.79/1000</f>
        <v>2.3957899999999999</v>
      </c>
      <c r="H10" s="28">
        <v>3.21</v>
      </c>
      <c r="I10" s="28">
        <v>0</v>
      </c>
      <c r="J10" s="28">
        <v>0</v>
      </c>
      <c r="K10" s="28">
        <v>0</v>
      </c>
      <c r="L10" s="49" t="s">
        <v>16</v>
      </c>
      <c r="O10" s="25"/>
      <c r="P10" s="26"/>
      <c r="Q10" s="26"/>
      <c r="R10" s="26"/>
      <c r="S10" s="26"/>
      <c r="T10" s="26"/>
      <c r="U10" s="26"/>
      <c r="V10" s="26"/>
      <c r="W10" s="26"/>
    </row>
    <row r="11" spans="1:23" s="20" customFormat="1" ht="22.5" customHeight="1" x14ac:dyDescent="0.2">
      <c r="A11" s="4" t="s">
        <v>18</v>
      </c>
      <c r="B11" s="29">
        <f t="shared" ref="B11:C11" si="1">SUM(B12:B15)</f>
        <v>99.999999999999986</v>
      </c>
      <c r="C11" s="29">
        <f t="shared" si="1"/>
        <v>100</v>
      </c>
      <c r="D11" s="29">
        <f t="shared" ref="D11:I11" si="2">SUM(D12:D15)</f>
        <v>100</v>
      </c>
      <c r="E11" s="29">
        <f t="shared" si="2"/>
        <v>100</v>
      </c>
      <c r="F11" s="29">
        <f t="shared" si="2"/>
        <v>99.999999999999986</v>
      </c>
      <c r="G11" s="29">
        <f t="shared" si="2"/>
        <v>100</v>
      </c>
      <c r="H11" s="29">
        <f t="shared" si="2"/>
        <v>99.999999999999986</v>
      </c>
      <c r="I11" s="29">
        <f t="shared" si="2"/>
        <v>100</v>
      </c>
      <c r="J11" s="29">
        <f>SUM(J12:J15)</f>
        <v>100</v>
      </c>
      <c r="K11" s="29">
        <f>SUM(K12:K15)</f>
        <v>100.00000000000001</v>
      </c>
      <c r="L11" s="30" t="s">
        <v>0</v>
      </c>
      <c r="O11" s="25"/>
    </row>
    <row r="12" spans="1:23" s="24" customFormat="1" ht="22.5" customHeight="1" x14ac:dyDescent="0.2">
      <c r="A12" s="51" t="s">
        <v>9</v>
      </c>
      <c r="B12" s="31">
        <f t="shared" ref="B12:F12" si="3">B7/B6*100</f>
        <v>78.050651966447148</v>
      </c>
      <c r="C12" s="31">
        <f t="shared" si="3"/>
        <v>78.895445254595458</v>
      </c>
      <c r="D12" s="31">
        <f t="shared" si="3"/>
        <v>80.356260074400723</v>
      </c>
      <c r="E12" s="31">
        <f t="shared" si="3"/>
        <v>79.909854988124479</v>
      </c>
      <c r="F12" s="31">
        <f t="shared" si="3"/>
        <v>81.575217913353299</v>
      </c>
      <c r="G12" s="31">
        <f>G7/G6*100</f>
        <v>81.434627477763883</v>
      </c>
      <c r="H12" s="31">
        <f>H7/H6*100</f>
        <v>81.622250460351694</v>
      </c>
      <c r="I12" s="31">
        <f>I7/I6*100</f>
        <v>80.455612260492032</v>
      </c>
      <c r="J12" s="31">
        <f>J7/J6*100</f>
        <v>79.666147431903866</v>
      </c>
      <c r="K12" s="31">
        <f>K7/K6*100</f>
        <v>78.03924400927842</v>
      </c>
      <c r="L12" s="48" t="s">
        <v>10</v>
      </c>
      <c r="O12" s="32"/>
    </row>
    <row r="13" spans="1:23" s="24" customFormat="1" ht="22.5" customHeight="1" x14ac:dyDescent="0.2">
      <c r="A13" s="51" t="s">
        <v>11</v>
      </c>
      <c r="B13" s="31">
        <f t="shared" ref="B13:F13" si="4">B8/B6*100</f>
        <v>11.306538596778072</v>
      </c>
      <c r="C13" s="31">
        <f t="shared" si="4"/>
        <v>10.409162912520985</v>
      </c>
      <c r="D13" s="31">
        <f t="shared" si="4"/>
        <v>9.6012597792971395</v>
      </c>
      <c r="E13" s="31">
        <f t="shared" si="4"/>
        <v>8.2734249061250207</v>
      </c>
      <c r="F13" s="31">
        <f t="shared" si="4"/>
        <v>8.6585503819099223</v>
      </c>
      <c r="G13" s="31">
        <f>G8/G6*100</f>
        <v>8.6110823719206468</v>
      </c>
      <c r="H13" s="31">
        <f>H8/H6*100</f>
        <v>7.9657282579766413</v>
      </c>
      <c r="I13" s="31">
        <f>I8/I6*100</f>
        <v>8.974758486056313</v>
      </c>
      <c r="J13" s="31">
        <f>J8/J6*100</f>
        <v>9.2327248667262634</v>
      </c>
      <c r="K13" s="31">
        <f>K8/K6*100</f>
        <v>9.7815984466118078</v>
      </c>
      <c r="L13" s="48" t="s">
        <v>12</v>
      </c>
      <c r="O13" s="32"/>
    </row>
    <row r="14" spans="1:23" s="24" customFormat="1" ht="22.5" customHeight="1" x14ac:dyDescent="0.2">
      <c r="A14" s="51" t="s">
        <v>13</v>
      </c>
      <c r="B14" s="31">
        <f t="shared" ref="B14:H14" si="5">B9/B6*100</f>
        <v>9.3603852026615879</v>
      </c>
      <c r="C14" s="31">
        <f t="shared" si="5"/>
        <v>9.4323590810184452</v>
      </c>
      <c r="D14" s="31">
        <f t="shared" si="5"/>
        <v>9.5945295948963185</v>
      </c>
      <c r="E14" s="31">
        <f t="shared" si="5"/>
        <v>11.695455640524797</v>
      </c>
      <c r="F14" s="31">
        <f t="shared" si="5"/>
        <v>9.735177337275406</v>
      </c>
      <c r="G14" s="31">
        <f t="shared" si="5"/>
        <v>9.9011593689189166</v>
      </c>
      <c r="H14" s="31">
        <f t="shared" si="5"/>
        <v>10.346710397478317</v>
      </c>
      <c r="I14" s="31">
        <f>I9/I6*100</f>
        <v>10.569629253451659</v>
      </c>
      <c r="J14" s="31">
        <f>J9/J6*100</f>
        <v>11.101127701369871</v>
      </c>
      <c r="K14" s="31">
        <f>K9/K6*100</f>
        <v>12.179157544109779</v>
      </c>
      <c r="L14" s="48" t="s">
        <v>14</v>
      </c>
      <c r="O14" s="32"/>
    </row>
    <row r="15" spans="1:23" s="24" customFormat="1" ht="22.5" customHeight="1" x14ac:dyDescent="0.2">
      <c r="A15" s="52" t="s">
        <v>15</v>
      </c>
      <c r="B15" s="33">
        <f t="shared" ref="B15:K15" si="6">B10/B6*100</f>
        <v>1.2824242341131771</v>
      </c>
      <c r="C15" s="33">
        <f t="shared" si="6"/>
        <v>1.2630327518651159</v>
      </c>
      <c r="D15" s="33">
        <f t="shared" si="6"/>
        <v>0.44795055140582801</v>
      </c>
      <c r="E15" s="33">
        <f t="shared" si="6"/>
        <v>0.12126446522570183</v>
      </c>
      <c r="F15" s="33">
        <f t="shared" si="6"/>
        <v>3.1054367461371937E-2</v>
      </c>
      <c r="G15" s="33">
        <f t="shared" si="6"/>
        <v>5.3130781396563576E-2</v>
      </c>
      <c r="H15" s="33">
        <f t="shared" si="6"/>
        <v>6.5310884193338331E-2</v>
      </c>
      <c r="I15" s="34">
        <f t="shared" si="6"/>
        <v>0</v>
      </c>
      <c r="J15" s="34">
        <f t="shared" si="6"/>
        <v>0</v>
      </c>
      <c r="K15" s="34">
        <f t="shared" si="6"/>
        <v>0</v>
      </c>
      <c r="L15" s="49" t="s">
        <v>16</v>
      </c>
      <c r="O15" s="32"/>
    </row>
    <row r="16" spans="1:23" s="20" customFormat="1" ht="22.5" customHeight="1" x14ac:dyDescent="0.2">
      <c r="A16" s="35" t="s">
        <v>1</v>
      </c>
      <c r="B16" s="36" t="e">
        <f>(B6-#REF!)/#REF!*100</f>
        <v>#REF!</v>
      </c>
      <c r="C16" s="36">
        <f>(C6-B6)/B6*100</f>
        <v>13.384503510760371</v>
      </c>
      <c r="D16" s="36">
        <f t="shared" ref="D16:K20" si="7">(D6-C6)/C6*100</f>
        <v>11.036399786569373</v>
      </c>
      <c r="E16" s="36">
        <f t="shared" si="7"/>
        <v>11.123320416905811</v>
      </c>
      <c r="F16" s="36">
        <f t="shared" si="7"/>
        <v>10.057240405472013</v>
      </c>
      <c r="G16" s="36">
        <f t="shared" si="7"/>
        <v>6.3494133153550196</v>
      </c>
      <c r="H16" s="36">
        <f t="shared" si="7"/>
        <v>8.9975972247848528</v>
      </c>
      <c r="I16" s="36">
        <f t="shared" si="7"/>
        <v>15.974621720426907</v>
      </c>
      <c r="J16" s="36">
        <f>(J6-I6)/I6*100</f>
        <v>1.8482863455158163</v>
      </c>
      <c r="K16" s="36">
        <f>(K6-J6)/J6*100</f>
        <v>8.4926417860177406</v>
      </c>
      <c r="L16" s="30" t="s">
        <v>2</v>
      </c>
      <c r="O16" s="32"/>
    </row>
    <row r="17" spans="1:28" s="24" customFormat="1" ht="22.5" customHeight="1" x14ac:dyDescent="0.2">
      <c r="A17" s="51" t="s">
        <v>9</v>
      </c>
      <c r="B17" s="37" t="e">
        <f>(B7-#REF!)/#REF!*100</f>
        <v>#REF!</v>
      </c>
      <c r="C17" s="37">
        <f>(C7-B7)/B7*100</f>
        <v>14.611738199166249</v>
      </c>
      <c r="D17" s="37">
        <f t="shared" si="7"/>
        <v>13.092331124843874</v>
      </c>
      <c r="E17" s="37">
        <f>(E7-D7)/D7*100</f>
        <v>10.50599433189287</v>
      </c>
      <c r="F17" s="37">
        <f t="shared" si="7"/>
        <v>12.350890517232406</v>
      </c>
      <c r="G17" s="37">
        <f t="shared" si="7"/>
        <v>6.1661259061989115</v>
      </c>
      <c r="H17" s="37">
        <f t="shared" si="7"/>
        <v>9.2487244776454656</v>
      </c>
      <c r="I17" s="37">
        <f t="shared" si="7"/>
        <v>14.316980291156989</v>
      </c>
      <c r="J17" s="37">
        <f t="shared" si="7"/>
        <v>0.84890746239414261</v>
      </c>
      <c r="K17" s="37">
        <f t="shared" si="7"/>
        <v>6.2770576773193625</v>
      </c>
      <c r="L17" s="48" t="s">
        <v>10</v>
      </c>
      <c r="O17" s="32"/>
    </row>
    <row r="18" spans="1:28" s="24" customFormat="1" ht="22.5" customHeight="1" x14ac:dyDescent="0.2">
      <c r="A18" s="51" t="s">
        <v>11</v>
      </c>
      <c r="B18" s="37" t="e">
        <f>(B8-#REF!)/#REF!*100</f>
        <v>#REF!</v>
      </c>
      <c r="C18" s="37">
        <f>(C8-B8)/B8*100</f>
        <v>4.3854189942034649</v>
      </c>
      <c r="D18" s="37">
        <f t="shared" si="7"/>
        <v>2.4183527790085231</v>
      </c>
      <c r="E18" s="37">
        <f t="shared" si="7"/>
        <v>-4.2448107933767387</v>
      </c>
      <c r="F18" s="37">
        <f>(F8-E8)/E8*100</f>
        <v>15.180372307394691</v>
      </c>
      <c r="G18" s="37">
        <f t="shared" si="7"/>
        <v>5.7663832709547602</v>
      </c>
      <c r="H18" s="37">
        <f t="shared" si="7"/>
        <v>0.82881602622138684</v>
      </c>
      <c r="I18" s="37">
        <f t="shared" si="7"/>
        <v>30.665293460180738</v>
      </c>
      <c r="J18" s="37">
        <f t="shared" si="7"/>
        <v>4.7757672183225175</v>
      </c>
      <c r="K18" s="37">
        <f t="shared" si="7"/>
        <v>14.942389346777258</v>
      </c>
      <c r="L18" s="48" t="s">
        <v>12</v>
      </c>
    </row>
    <row r="19" spans="1:28" s="24" customFormat="1" ht="22.5" customHeight="1" x14ac:dyDescent="0.2">
      <c r="A19" s="51" t="s">
        <v>13</v>
      </c>
      <c r="B19" s="37" t="e">
        <f>(B9-#REF!)/#REF!*100</f>
        <v>#REF!</v>
      </c>
      <c r="C19" s="37">
        <f>(C9-B9)/B9*100</f>
        <v>14.256339689138564</v>
      </c>
      <c r="D19" s="37">
        <f t="shared" si="7"/>
        <v>12.945448186642858</v>
      </c>
      <c r="E19" s="37">
        <f t="shared" si="7"/>
        <v>35.456131716459581</v>
      </c>
      <c r="F19" s="37">
        <f t="shared" si="7"/>
        <v>-8.389481732894204</v>
      </c>
      <c r="G19" s="37">
        <f t="shared" si="7"/>
        <v>8.1626408585851742</v>
      </c>
      <c r="H19" s="37">
        <f t="shared" si="7"/>
        <v>13.902476516643866</v>
      </c>
      <c r="I19" s="37">
        <f t="shared" si="7"/>
        <v>18.473283517529065</v>
      </c>
      <c r="J19" s="37">
        <f t="shared" si="7"/>
        <v>6.969772143903084</v>
      </c>
      <c r="K19" s="37">
        <f t="shared" si="7"/>
        <v>19.028355698090412</v>
      </c>
      <c r="L19" s="48" t="s">
        <v>14</v>
      </c>
    </row>
    <row r="20" spans="1:28" s="24" customFormat="1" ht="22.5" customHeight="1" x14ac:dyDescent="0.2">
      <c r="A20" s="53" t="s">
        <v>15</v>
      </c>
      <c r="B20" s="38" t="e">
        <f>(B10-#REF!)/#REF!*100</f>
        <v>#REF!</v>
      </c>
      <c r="C20" s="38">
        <f>(C10-B10)/B10*100</f>
        <v>11.670021260232266</v>
      </c>
      <c r="D20" s="38">
        <f t="shared" si="7"/>
        <v>-60.619535449842786</v>
      </c>
      <c r="E20" s="38">
        <f t="shared" si="7"/>
        <v>-69.917862625305219</v>
      </c>
      <c r="F20" s="38">
        <f t="shared" si="7"/>
        <v>-71.815667689831287</v>
      </c>
      <c r="G20" s="38">
        <f t="shared" si="7"/>
        <v>81.952745858997034</v>
      </c>
      <c r="H20" s="38">
        <f t="shared" si="7"/>
        <v>33.98503207710192</v>
      </c>
      <c r="I20" s="38">
        <f t="shared" ref="I20:K20" si="8">I15/I11*100</f>
        <v>0</v>
      </c>
      <c r="J20" s="38">
        <f t="shared" si="8"/>
        <v>0</v>
      </c>
      <c r="K20" s="38">
        <f t="shared" si="8"/>
        <v>0</v>
      </c>
      <c r="L20" s="50" t="s">
        <v>16</v>
      </c>
    </row>
    <row r="21" spans="1:28" s="24" customFormat="1" ht="15.75" x14ac:dyDescent="0.4">
      <c r="A21" s="39" t="s">
        <v>21</v>
      </c>
      <c r="B21" s="22"/>
      <c r="C21" s="22"/>
      <c r="D21" s="40"/>
      <c r="E21" s="40"/>
      <c r="F21" s="40"/>
      <c r="G21" s="40"/>
      <c r="H21" s="40"/>
      <c r="I21" s="40"/>
      <c r="J21" s="40"/>
      <c r="K21" s="40"/>
      <c r="L21" s="3" t="s">
        <v>17</v>
      </c>
    </row>
    <row r="22" spans="1:28" s="41" customFormat="1" ht="12.75" x14ac:dyDescent="0.2">
      <c r="D22" s="42"/>
      <c r="E22" s="42"/>
      <c r="F22" s="42"/>
      <c r="G22" s="42"/>
      <c r="H22" s="42"/>
      <c r="I22" s="42"/>
      <c r="J22" s="42"/>
      <c r="K22" s="42"/>
      <c r="M22" s="43"/>
      <c r="N22" s="24"/>
      <c r="O22" s="24"/>
      <c r="P22" s="24"/>
      <c r="Q22" s="24"/>
      <c r="R22" s="24"/>
      <c r="S22" s="24"/>
      <c r="T22" s="24"/>
      <c r="W22" s="24"/>
      <c r="X22" s="24"/>
      <c r="Y22" s="24"/>
      <c r="Z22" s="24"/>
      <c r="AA22" s="24"/>
      <c r="AB22" s="24"/>
    </row>
    <row r="23" spans="1:28" s="41" customFormat="1" x14ac:dyDescent="0.25">
      <c r="D23" s="42"/>
      <c r="E23" s="42"/>
      <c r="F23" s="42"/>
      <c r="G23" s="42"/>
      <c r="H23" s="42"/>
      <c r="I23" s="42"/>
      <c r="J23" s="42"/>
      <c r="K23" s="42"/>
      <c r="M23" s="6"/>
      <c r="N23" s="24"/>
      <c r="O23" s="24"/>
      <c r="P23" s="24"/>
      <c r="Q23" s="24"/>
      <c r="R23" s="24"/>
      <c r="S23" s="24"/>
      <c r="T23" s="24"/>
      <c r="W23" s="24"/>
      <c r="X23" s="24"/>
      <c r="Y23" s="24"/>
      <c r="Z23" s="24"/>
      <c r="AA23" s="24"/>
      <c r="AB23" s="24"/>
    </row>
    <row r="24" spans="1:28" s="41" customFormat="1" x14ac:dyDescent="0.25">
      <c r="D24" s="42"/>
      <c r="E24" s="42"/>
      <c r="F24" s="42"/>
      <c r="G24" s="42"/>
      <c r="H24" s="42"/>
      <c r="I24" s="42"/>
      <c r="J24" s="42"/>
      <c r="K24" s="42"/>
      <c r="M24" s="6"/>
      <c r="N24" s="24"/>
      <c r="O24" s="24"/>
      <c r="P24" s="24"/>
      <c r="Q24" s="24"/>
      <c r="R24" s="24"/>
      <c r="S24" s="24"/>
      <c r="T24" s="24"/>
      <c r="W24" s="24"/>
      <c r="X24" s="24"/>
      <c r="Y24" s="24"/>
      <c r="Z24" s="24"/>
      <c r="AA24" s="24"/>
      <c r="AB24" s="24"/>
    </row>
    <row r="25" spans="1:28" x14ac:dyDescent="0.25">
      <c r="L25" s="41"/>
      <c r="N25" s="24"/>
      <c r="O25" s="24"/>
      <c r="P25" s="24"/>
      <c r="Q25" s="24"/>
      <c r="R25" s="24"/>
      <c r="S25" s="24"/>
      <c r="T25" s="24"/>
      <c r="W25" s="24"/>
      <c r="X25" s="24"/>
      <c r="Y25" s="24"/>
      <c r="Z25" s="24"/>
      <c r="AA25" s="24"/>
      <c r="AB25" s="24"/>
    </row>
    <row r="26" spans="1:28" x14ac:dyDescent="0.25">
      <c r="L26" s="41"/>
      <c r="N26" s="24"/>
      <c r="O26" s="24"/>
      <c r="P26" s="24"/>
      <c r="Q26" s="24"/>
      <c r="R26" s="24"/>
      <c r="S26" s="24"/>
      <c r="T26" s="24"/>
    </row>
    <row r="27" spans="1:28" x14ac:dyDescent="0.25">
      <c r="L27" s="41"/>
      <c r="N27" s="24"/>
      <c r="O27" s="24"/>
      <c r="P27" s="24"/>
      <c r="Q27" s="24"/>
      <c r="R27" s="24"/>
      <c r="S27" s="24"/>
      <c r="T27" s="24"/>
    </row>
    <row r="28" spans="1:28" x14ac:dyDescent="0.25">
      <c r="L28" s="41"/>
      <c r="N28" s="24"/>
      <c r="O28" s="24"/>
      <c r="P28" s="24"/>
      <c r="Q28" s="24"/>
      <c r="R28" s="24"/>
      <c r="S28" s="24"/>
      <c r="T28" s="24"/>
      <c r="X28" s="44"/>
    </row>
    <row r="29" spans="1:28" x14ac:dyDescent="0.25">
      <c r="L29" s="41"/>
      <c r="N29" s="24"/>
      <c r="O29" s="24"/>
      <c r="P29" s="24"/>
      <c r="Q29" s="24"/>
      <c r="R29" s="24"/>
      <c r="S29" s="24"/>
      <c r="T29" s="24"/>
      <c r="X29" s="44"/>
    </row>
    <row r="30" spans="1:28" x14ac:dyDescent="0.25">
      <c r="L30" s="41"/>
      <c r="N30" s="24"/>
      <c r="X30" s="44"/>
    </row>
    <row r="31" spans="1:28" x14ac:dyDescent="0.25">
      <c r="X31" s="44"/>
    </row>
    <row r="35" spans="2:11" x14ac:dyDescent="0.25">
      <c r="B35" s="45"/>
      <c r="C35" s="45"/>
      <c r="D35" s="46"/>
      <c r="E35" s="46"/>
      <c r="F35" s="46"/>
      <c r="G35" s="46"/>
      <c r="H35" s="46"/>
      <c r="I35" s="46"/>
      <c r="J35" s="46"/>
      <c r="K35" s="46"/>
    </row>
  </sheetData>
  <mergeCells count="3">
    <mergeCell ref="A4:G4"/>
    <mergeCell ref="A2:L2"/>
    <mergeCell ref="A3:L3"/>
  </mergeCells>
  <pageMargins left="0.7" right="0.35" top="0.75" bottom="0.75" header="0.3" footer="0.3"/>
  <pageSetup paperSize="9" scale="75" orientation="landscape" horizontalDpi="4294967295" verticalDpi="4294967295" r:id="rId1"/>
  <rowBreaks count="1" manualBreakCount="1">
    <brk id="39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12.8</vt:lpstr>
      <vt:lpstr>'12.8'!Print_Area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2018-03-20T05:53:22Z</cp:lastPrinted>
  <dcterms:created xsi:type="dcterms:W3CDTF">2015-01-12T08:51:45Z</dcterms:created>
  <dcterms:modified xsi:type="dcterms:W3CDTF">2018-03-20T05:54:17Z</dcterms:modified>
</cp:coreProperties>
</file>