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13" sheetId="12" r:id="rId1"/>
  </sheets>
  <externalReferences>
    <externalReference r:id="rId2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'12.13'!$A$1:$K$37</definedName>
  </definedNames>
  <calcPr calcId="162913"/>
</workbook>
</file>

<file path=xl/calcChain.xml><?xml version="1.0" encoding="utf-8"?>
<calcChain xmlns="http://schemas.openxmlformats.org/spreadsheetml/2006/main">
  <c r="J6" i="12" l="1"/>
  <c r="C18" i="12" l="1"/>
  <c r="C17" i="12"/>
  <c r="C16" i="12"/>
  <c r="C15" i="12"/>
  <c r="C14" i="12"/>
  <c r="C13" i="12"/>
  <c r="C12" i="12"/>
  <c r="C11" i="12"/>
  <c r="C10" i="12"/>
  <c r="C9" i="12"/>
  <c r="C6" i="12" s="1"/>
  <c r="C8" i="12"/>
  <c r="C7" i="12"/>
  <c r="I6" i="12"/>
  <c r="H6" i="12"/>
  <c r="G6" i="12"/>
  <c r="F6" i="12"/>
  <c r="E6" i="12"/>
  <c r="D6" i="12"/>
  <c r="B6" i="12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<sst xmlns="http://schemas.openxmlformats.org/spreadsheetml/2006/main" count="33" uniqueCount="33">
  <si>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</si>
  <si>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</si>
  <si>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</si>
  <si>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</si>
  <si>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</si>
  <si>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</si>
  <si>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</si>
  <si>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</si>
  <si>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</si>
  <si>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</si>
  <si>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</si>
  <si>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</si>
  <si>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</si>
  <si>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</si>
  <si>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</si>
  <si>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</si>
  <si>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</si>
  <si>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</si>
  <si>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</si>
  <si>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</si>
  <si>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</si>
  <si>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</si>
  <si>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</si>
  <si>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</si>
  <si>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</si>
  <si>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</si>
  <si>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</si>
  <si>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</si>
  <si>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</si>
  <si>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</si>
  <si>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</si>
  <si>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 xml:space="preserve">Table 12.13 : WATER DISTRIBUTION  IN HULHUMALE' BY MONTH, 2010 - 2017                                   </t>
  </si>
  <si>
    <r>
      <t xml:space="preserve">2017- 2010 ,urwvcnim unuverukcnunEb cnef </t>
    </r>
    <r>
      <rPr>
        <b/>
        <sz val="10"/>
        <rFont val="A_Reethi"/>
      </rPr>
      <t>ހުޅުމާލޭގައި</t>
    </r>
    <r>
      <rPr>
        <b/>
        <sz val="10"/>
        <rFont val="A_Randhoo"/>
      </rPr>
      <t xml:space="preserve"> cnutog eguhwmcswm  : 12.13  ulwvWt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</si>
</sst>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6" formatCode="#,##0.0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0"/>
      <name val="A_Funa"/>
    </font>
    <font>
      <sz val="10"/>
      <name val="Garamond"/>
      <family val="1"/>
    </font>
    <font>
      <b/>
      <sz val="10"/>
      <name val="A_Randhoo"/>
    </font>
    <font>
      <b/>
      <sz val="10"/>
      <name val="A_Randhoo Aa"/>
    </font>
    <font>
      <sz val="10"/>
      <name val="Arial"/>
      <family val="2"/>
      <charset val="1"/>
    </font>
    <font>
      <b/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5" fillId="0" borderId="0"/>
  </cellStyleXfs>
  <cellXfs count="32">
    <xf numFmtId="0" fontId="0" fillId="0" borderId="0" xfId="0"/>
    <xf numFmtId="0" fontId="8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4" fillId="2" borderId="0" xfId="2" applyFont="1" applyFill="1"/>
    <xf numFmtId="0" fontId="4" fillId="2" borderId="0" xfId="2" applyFont="1" applyFill="1" applyAlignment="1">
      <alignment vertical="center"/>
    </xf>
    <xf numFmtId="0" fontId="5" fillId="2" borderId="0" xfId="5" applyFont="1" applyFill="1"/>
    <xf numFmtId="0" fontId="13" fillId="2" borderId="2" xfId="5" applyFont="1" applyFill="1" applyBorder="1" applyAlignment="1">
      <alignment horizontal="right"/>
    </xf>
    <xf numFmtId="0" fontId="13" fillId="2" borderId="0" xfId="5" applyFont="1" applyFill="1" applyBorder="1" applyAlignment="1">
      <alignment horizontal="right"/>
    </xf>
    <xf numFmtId="0" fontId="10" fillId="2" borderId="0" xfId="5" applyFont="1" applyFill="1" applyBorder="1" applyAlignment="1">
      <alignment horizontal="right"/>
    </xf>
    <xf numFmtId="0" fontId="10" fillId="2" borderId="1" xfId="5" applyFont="1" applyFill="1" applyBorder="1" applyAlignment="1">
      <alignment horizontal="right"/>
    </xf>
    <xf numFmtId="0" fontId="13" fillId="2" borderId="0" xfId="2" applyFont="1" applyFill="1" applyAlignment="1">
      <alignment vertical="center"/>
    </xf>
    <xf numFmtId="0" fontId="4" fillId="2" borderId="0" xfId="2" applyFont="1" applyFill="1" applyAlignment="1">
      <alignment wrapText="1"/>
    </xf>
    <xf numFmtId="0" fontId="3" fillId="2" borderId="0" xfId="2" applyFont="1" applyFill="1" applyBorder="1" applyAlignment="1">
      <alignment vertical="center"/>
    </xf>
    <xf numFmtId="0" fontId="2" fillId="2" borderId="2" xfId="5" applyFont="1" applyFill="1" applyBorder="1" applyAlignment="1">
      <alignment vertical="center"/>
    </xf>
    <xf numFmtId="0" fontId="2" fillId="2" borderId="2" xfId="5" applyFont="1" applyFill="1" applyBorder="1" applyAlignment="1">
      <alignment horizontal="right" vertical="center"/>
    </xf>
    <xf numFmtId="0" fontId="2" fillId="2" borderId="0" xfId="5" applyFont="1" applyFill="1" applyBorder="1" applyAlignment="1">
      <alignment vertical="center"/>
    </xf>
    <xf numFmtId="167" fontId="2" fillId="2" borderId="0" xfId="2" applyNumberFormat="1" applyFont="1" applyFill="1" applyAlignment="1">
      <alignment horizontal="right" vertical="center"/>
    </xf>
    <xf numFmtId="167" fontId="2" fillId="2" borderId="0" xfId="3" applyNumberFormat="1" applyFont="1" applyFill="1" applyAlignment="1">
      <alignment horizontal="right" vertical="center"/>
    </xf>
    <xf numFmtId="0" fontId="4" fillId="2" borderId="0" xfId="5" applyFont="1" applyFill="1" applyBorder="1" applyAlignment="1">
      <alignment vertical="center"/>
    </xf>
    <xf numFmtId="167" fontId="4" fillId="2" borderId="0" xfId="2" applyNumberFormat="1" applyFont="1" applyFill="1" applyAlignment="1">
      <alignment horizontal="right" vertical="center"/>
    </xf>
    <xf numFmtId="167" fontId="4" fillId="2" borderId="0" xfId="3" applyNumberFormat="1" applyFont="1" applyFill="1" applyAlignment="1">
      <alignment horizontal="right" vertical="center"/>
    </xf>
    <xf numFmtId="0" fontId="4" fillId="2" borderId="1" xfId="5" applyFont="1" applyFill="1" applyBorder="1" applyAlignment="1">
      <alignment vertical="center"/>
    </xf>
    <xf numFmtId="167" fontId="4" fillId="2" borderId="1" xfId="2" applyNumberFormat="1" applyFont="1" applyFill="1" applyBorder="1" applyAlignment="1">
      <alignment horizontal="right" vertical="center"/>
    </xf>
    <xf numFmtId="167" fontId="4" fillId="2" borderId="1" xfId="3" applyNumberFormat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vertical="center" wrapText="1"/>
    </xf>
    <xf numFmtId="0" fontId="11" fillId="2" borderId="0" xfId="2" applyFont="1" applyFill="1" applyBorder="1" applyAlignment="1">
      <alignment vertical="center" wrapText="1"/>
    </xf>
    <xf numFmtId="0" fontId="3" fillId="2" borderId="0" xfId="2" applyFont="1" applyFill="1" applyBorder="1" applyAlignment="1">
      <alignment horizontal="center" vertical="center"/>
    </xf>
    <xf numFmtId="0" fontId="6" fillId="2" borderId="0" xfId="5" applyFont="1" applyFill="1" applyAlignment="1">
      <alignment horizontal="right"/>
    </xf>
    <xf numFmtId="166" fontId="9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5" applyFont="1" applyFill="1" applyBorder="1" applyAlignment="1">
      <alignment horizontal="center" wrapText="1"/>
    </xf>
  </cellXfs>
  <cellStyles count="10">
    <cellStyle name="Comma 2" xfId="1"/>
    <cellStyle name="Comma 2 2" xfId="8"/>
    <cellStyle name="Comma 4" xfId="3"/>
    <cellStyle name="Comma 4 2" xfId="4"/>
    <cellStyle name="Normal" xfId="0" builtinId="0"/>
    <cellStyle name="Normal 2" xfId="2"/>
    <cellStyle name="Normal 2 2" xfId="6"/>
    <cellStyle name="Normal 4" xfId="9"/>
    <cellStyle name="Normal 5" xfId="7"/>
    <cellStyle name="Normal_X-5 (Electricity)" xfId="5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12.5: Water Distribution in Hulhumale, 2010  - 2017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199175735532323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'12.13'!$C$5:$J$5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'12.13'!$C$6:$J$6</c:f>
              <c:numCache>
                <c:formatCode>0.0</c:formatCode>
                <c:ptCount val="8"/>
                <c:pt idx="0">
                  <c:v>195.63159999999999</c:v>
                </c:pt>
                <c:pt idx="1">
                  <c:v>260.71799999999996</c:v>
                </c:pt>
                <c:pt idx="2">
                  <c:v>398.70199999999994</c:v>
                </c:pt>
                <c:pt idx="3">
                  <c:v>422.67500000000001</c:v>
                </c:pt>
                <c:pt idx="4">
                  <c:v>622.2589999999999</c:v>
                </c:pt>
                <c:pt idx="5">
                  <c:v>771.779</c:v>
                </c:pt>
                <c:pt idx="6">
                  <c:v>968.56299999999999</c:v>
                </c:pt>
                <c:pt idx="7" formatCode="#,##0.0">
                  <c:v>1176.5320000000002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6B-45E7-B4EF-BF9A7919A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975775"/>
        <c:axId val="1262977023"/>
      </c:barChart>
      <c:catAx>
        <c:axId val="126297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77023"/>
        <c:crosses val="autoZero"/>
        <c:auto val="1"/>
        <c:lblAlgn val="ctr"/>
        <c:lblOffset val="100"/>
        <c:noMultiLvlLbl val="0"/>
      </c:catAx>
      <c:valAx>
        <c:axId val="12629770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75775"/>
        <c:crosses val="autoZero"/>
        <c:crossBetween val="between"/>
      </c:valAx>
      <c:spPr>
        <a:noFill/>
        <a:ln>
          <a:solidFill>
            <a:schemeClr val="accent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319087</xdr:colOff>
      <xdr:row>19</xdr:row>
      <xdr:rowOff>114300</xdr:rowOff>
    </xdr:from>
    <xdr:to>
      <xdr:col>9</xdr:col>
      <xdr:colOff>685800</xdr:colOff>
      <xdr:row>36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>
            <v>0</v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>
            <v>0</v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>
            <v>0</v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>
            <v>0</v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>
            <v>0</v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>
            <v>0</v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>
            <v>0</v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>
            <v>0</v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>
            <v>0</v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>
            <v>0</v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>
            <v>0</v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>
            <v>0</v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>
            <v>0</v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>
            <v>0</v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>
            <v>0</v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>
            <v>0</v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>
            <v>0</v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>
            <v>0</v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>
            <v>0</v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>
            <v>0</v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>
            <v>0</v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>
            <v>0</v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>
            <v>0</v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>
            <v>0</v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>
            <v>0</v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>
            <v>0</v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>
            <v>0</v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>
            <v>0</v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>
            <v>0</v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>
            <v>0</v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>
            <v>0</v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>
            <v>0</v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>
            <v>0</v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>
            <v>0</v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>
            <v>0</v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>
            <v>0</v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>
            <v>0</v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>
            <v>0</v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>
            <v>0</v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>
            <v>0</v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>
            <v>0</v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>
            <v>0</v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>
            <v>0</v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>
            <v>0</v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>
            <v>0</v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>
            <v>0</v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>
            <v>0</v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>
            <v>0</v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>
            <v>0</v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>
            <v>0</v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>
            <v>0</v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>
            <v>0</v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>
            <v>0</v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>
            <v>0</v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>
            <v>0</v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>
            <v>0</v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>
            <v>0</v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>
            <v>0</v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>
            <v>0</v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>
            <v>0</v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>
            <v>0</v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>
            <v>0</v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>
            <v>0</v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>
            <v>0</v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>
            <v>0</v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>
            <v>0</v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>
            <v>0</v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>
            <v>0</v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>
            <v>0</v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>
            <v>0</v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>
            <v>0</v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>
            <v>0</v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>
            <v>0</v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>
            <v>0</v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>
            <v>0</v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>
            <v>0</v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>
            <v>0</v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>
            <v>0</v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>
            <v>0</v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>
            <v>0</v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>
            <v>0</v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>
            <v>0</v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>
            <v>0</v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>
            <v>0</v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>
            <v>0</v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>
            <v>0</v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>
            <v>0</v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>
            <v>0</v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>
            <v>0</v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>
            <v>0</v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>
            <v>0</v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>
            <v>0</v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>
            <v>0</v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>
            <v>0</v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>
            <v>0</v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>
            <v>0</v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>
            <v>0</v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>
            <v>0</v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>
            <v>0</v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>
            <v>0</v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>
            <v>0</v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>
            <v>0</v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>
            <v>0</v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>
            <v>0</v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>
            <v>0</v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>
            <v>0</v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>
            <v>0</v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>
            <v>0</v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>
            <v>0</v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>
            <v>0</v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>
            <v>0</v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>
            <v>0</v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>
            <v>0</v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>
            <v>0</v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>
            <v>0</v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>
            <v>0</v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>
            <v>0</v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>
            <v>0</v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>
            <v>0</v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>
            <v>0</v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>
            <v>0</v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>
            <v>0</v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>
            <v>0</v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>
            <v>0</v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>
            <v>0</v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>
            <v>0</v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>
            <v>0</v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>
            <v>0</v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>
            <v>0</v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>
            <v>0</v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>
            <v>0</v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>
            <v>0</v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>
            <v>0</v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>
            <v>0</v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>
            <v>0</v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>
            <v>0</v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>
            <v>0</v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>
            <v>0</v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>
            <v>0</v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>
            <v>0</v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>
            <v>0</v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>
            <v>0</v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>
            <v>0</v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>
            <v>0</v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>
            <v>0</v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>
            <v>0</v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>
            <v>0</v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>
            <v>0</v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>
            <v>0</v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>
            <v>0</v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>
            <v>0</v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>
            <v>0</v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>
            <v>0</v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>
            <v>0</v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>
            <v>0</v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>
            <v>0</v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>
            <v>0</v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>
            <v>0</v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>
            <v>0</v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>
            <v>0</v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>
            <v>0</v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>
            <v>0</v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>
            <v>0</v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>
            <v>0</v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>
            <v>0</v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>
            <v>0</v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>
            <v>0</v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>
            <v>0</v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>
            <v>0</v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>
            <v>0</v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>
            <v>0</v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>
            <v>0</v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>
            <v>0</v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>
            <v>0</v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>
            <v>0</v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>
            <v>0</v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>
            <v>0</v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>
            <v>0</v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>
            <v>0</v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>
            <v>0</v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>
            <v>0</v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>
            <v>0</v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>
            <v>0</v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>
            <v>0</v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>
            <v>0</v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21"/>
  <sheetViews>
    <sheetView tabSelected="1" zoomScaleNormal="100" workbookViewId="0">
      <selection activeCell="O15" sqref="O15"/>
    </sheetView>
  </sheetViews>
  <sheetFormatPr defaultColWidth="9.140625" defaultRowHeight="12.75" x14ac:dyDescent="0.2"/>
  <cols>
    <col min="1" max="1" width="11.42578125" style="3" customWidth="1"/>
    <col min="2" max="2" width="12.42578125" style="3" hidden="1" customWidth="1"/>
    <col min="3" max="10" width="12.42578125" style="3" customWidth="1"/>
    <col min="11" max="11" width="15.28515625" style="3" customWidth="1"/>
    <col min="12" max="16384" width="9.140625" style="3"/>
  </cols>
  <sheetData>
    <row r="1" spans="1:23" ht="18.75" x14ac:dyDescent="0.2">
      <c r="A1" s="29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23" s="11" customFormat="1" ht="11.25" customHeight="1" x14ac:dyDescent="0.2">
      <c r="A2" s="31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3" s="2" customFormat="1" ht="15.75" customHeight="1" x14ac:dyDescent="0.2">
      <c r="A3" s="30" t="s">
        <v>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12"/>
      <c r="M3" s="12"/>
      <c r="N3" s="25"/>
      <c r="O3" s="25"/>
      <c r="P3" s="25"/>
      <c r="Q3" s="25"/>
      <c r="R3" s="25"/>
      <c r="S3" s="24"/>
      <c r="T3" s="24"/>
      <c r="U3" s="24"/>
      <c r="V3" s="24"/>
      <c r="W3" s="1"/>
    </row>
    <row r="4" spans="1:23" s="2" customFormat="1" ht="15.7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12"/>
      <c r="M4" s="12"/>
      <c r="N4" s="25"/>
      <c r="O4" s="25"/>
      <c r="P4" s="25"/>
      <c r="Q4" s="25"/>
      <c r="R4" s="25"/>
      <c r="S4" s="24"/>
      <c r="T4" s="24"/>
      <c r="U4" s="24"/>
      <c r="V4" s="24"/>
      <c r="W4" s="1"/>
    </row>
    <row r="5" spans="1:23" s="4" customFormat="1" ht="15.75" x14ac:dyDescent="0.4">
      <c r="A5" s="13" t="s">
        <v>5</v>
      </c>
      <c r="B5" s="14">
        <v>2009</v>
      </c>
      <c r="C5" s="14">
        <v>2010</v>
      </c>
      <c r="D5" s="14">
        <v>2011</v>
      </c>
      <c r="E5" s="14">
        <v>2012</v>
      </c>
      <c r="F5" s="14">
        <v>2013</v>
      </c>
      <c r="G5" s="14">
        <v>2014</v>
      </c>
      <c r="H5" s="14">
        <v>2015</v>
      </c>
      <c r="I5" s="14">
        <v>2016</v>
      </c>
      <c r="J5" s="14">
        <v>2017</v>
      </c>
      <c r="K5" s="6" t="s">
        <v>6</v>
      </c>
    </row>
    <row r="6" spans="1:23" ht="21.75" customHeight="1" x14ac:dyDescent="0.4">
      <c r="A6" s="15" t="s">
        <v>10</v>
      </c>
      <c r="B6" s="16">
        <f t="shared" ref="B6:I6" si="0">SUM(B7:B18)</f>
        <v>138.17469999999997</v>
      </c>
      <c r="C6" s="16">
        <f t="shared" si="0"/>
        <v>195.63159999999999</v>
      </c>
      <c r="D6" s="16">
        <f t="shared" si="0"/>
        <v>260.71799999999996</v>
      </c>
      <c r="E6" s="17">
        <f t="shared" si="0"/>
        <v>398.70199999999994</v>
      </c>
      <c r="F6" s="17">
        <f t="shared" si="0"/>
        <v>422.67500000000001</v>
      </c>
      <c r="G6" s="17">
        <f t="shared" si="0"/>
        <v>622.2589999999999</v>
      </c>
      <c r="H6" s="17">
        <f t="shared" si="0"/>
        <v>771.779</v>
      </c>
      <c r="I6" s="17">
        <f t="shared" si="0"/>
        <v>968.56299999999999</v>
      </c>
      <c r="J6" s="28">
        <f>SUM(J7:J18)</f>
        <v>1176.5320000000002</v>
      </c>
      <c r="K6" s="7" t="s">
        <v>0</v>
      </c>
    </row>
    <row r="7" spans="1:23" ht="21.75" customHeight="1" x14ac:dyDescent="0.4">
      <c r="A7" s="18" t="s">
        <v>11</v>
      </c>
      <c r="B7" s="19">
        <v>9.6440999999999999</v>
      </c>
      <c r="C7" s="19">
        <f>16473.3/1000</f>
        <v>16.473299999999998</v>
      </c>
      <c r="D7" s="19">
        <v>16.818999999999999</v>
      </c>
      <c r="E7" s="20">
        <v>28.876000000000001</v>
      </c>
      <c r="F7" s="20">
        <v>35.198999999999998</v>
      </c>
      <c r="G7" s="20">
        <v>49.603999999999999</v>
      </c>
      <c r="H7" s="20">
        <v>60.088000000000001</v>
      </c>
      <c r="I7" s="20">
        <v>73.575000000000003</v>
      </c>
      <c r="J7" s="20">
        <v>89.88</v>
      </c>
      <c r="K7" s="8" t="s">
        <v>12</v>
      </c>
    </row>
    <row r="8" spans="1:23" ht="21.75" customHeight="1" x14ac:dyDescent="0.4">
      <c r="A8" s="18" t="s">
        <v>13</v>
      </c>
      <c r="B8" s="19">
        <v>9.4510000000000005</v>
      </c>
      <c r="C8" s="19">
        <f>15613.3/1000</f>
        <v>15.613299999999999</v>
      </c>
      <c r="D8" s="19">
        <v>15.41</v>
      </c>
      <c r="E8" s="20">
        <v>27.745999999999999</v>
      </c>
      <c r="F8" s="20">
        <v>32.840000000000003</v>
      </c>
      <c r="G8" s="20">
        <v>45.359000000000002</v>
      </c>
      <c r="H8" s="20">
        <v>56.396000000000001</v>
      </c>
      <c r="I8" s="20">
        <v>75.344999999999999</v>
      </c>
      <c r="J8" s="20">
        <v>84.846999999999994</v>
      </c>
      <c r="K8" s="8" t="s">
        <v>14</v>
      </c>
    </row>
    <row r="9" spans="1:23" ht="21.75" customHeight="1" x14ac:dyDescent="0.4">
      <c r="A9" s="18" t="s">
        <v>15</v>
      </c>
      <c r="B9" s="19">
        <v>11.5985</v>
      </c>
      <c r="C9" s="19">
        <f>17038.5/1000</f>
        <v>17.038499999999999</v>
      </c>
      <c r="D9" s="19">
        <v>19.492999999999999</v>
      </c>
      <c r="E9" s="20">
        <v>30.925999999999998</v>
      </c>
      <c r="F9" s="20">
        <v>35.325000000000003</v>
      </c>
      <c r="G9" s="20">
        <v>49.375</v>
      </c>
      <c r="H9" s="20">
        <v>64.724999999999994</v>
      </c>
      <c r="I9" s="20">
        <v>87.936000000000007</v>
      </c>
      <c r="J9" s="20">
        <v>96.578999999999994</v>
      </c>
      <c r="K9" s="8" t="s">
        <v>1</v>
      </c>
    </row>
    <row r="10" spans="1:23" ht="21.75" customHeight="1" x14ac:dyDescent="0.4">
      <c r="A10" s="18" t="s">
        <v>16</v>
      </c>
      <c r="B10" s="19">
        <v>11.151399999999999</v>
      </c>
      <c r="C10" s="19">
        <f>16484.3/1000</f>
        <v>16.484299999999998</v>
      </c>
      <c r="D10" s="19">
        <v>19.390999999999998</v>
      </c>
      <c r="E10" s="20">
        <v>32.526000000000003</v>
      </c>
      <c r="F10" s="20">
        <v>32.479999999999997</v>
      </c>
      <c r="G10" s="20">
        <v>50.628999999999998</v>
      </c>
      <c r="H10" s="20">
        <v>64.364000000000004</v>
      </c>
      <c r="I10" s="20">
        <v>82.372</v>
      </c>
      <c r="J10" s="20">
        <v>97.728999999999999</v>
      </c>
      <c r="K10" s="8" t="s">
        <v>17</v>
      </c>
    </row>
    <row r="11" spans="1:23" ht="21.75" customHeight="1" x14ac:dyDescent="0.4">
      <c r="A11" s="18" t="s">
        <v>18</v>
      </c>
      <c r="B11" s="19">
        <v>10.584700000000002</v>
      </c>
      <c r="C11" s="19">
        <f>15456.1/1000</f>
        <v>15.456100000000001</v>
      </c>
      <c r="D11" s="19">
        <v>21.202000000000002</v>
      </c>
      <c r="E11" s="20">
        <v>35.826000000000001</v>
      </c>
      <c r="F11" s="20">
        <v>31.451000000000001</v>
      </c>
      <c r="G11" s="20">
        <v>51.429000000000002</v>
      </c>
      <c r="H11" s="20">
        <v>66.656999999999996</v>
      </c>
      <c r="I11" s="20">
        <v>80.177000000000007</v>
      </c>
      <c r="J11" s="20">
        <v>96.448999999999998</v>
      </c>
      <c r="K11" s="8" t="s">
        <v>2</v>
      </c>
    </row>
    <row r="12" spans="1:23" ht="21.75" customHeight="1" x14ac:dyDescent="0.4">
      <c r="A12" s="18" t="s">
        <v>19</v>
      </c>
      <c r="B12" s="19">
        <v>10.6518</v>
      </c>
      <c r="C12" s="19">
        <f>15278.5/1000</f>
        <v>15.278499999999999</v>
      </c>
      <c r="D12" s="19">
        <v>20.731999999999999</v>
      </c>
      <c r="E12" s="20">
        <v>36.28</v>
      </c>
      <c r="F12" s="20">
        <v>31.388999999999999</v>
      </c>
      <c r="G12" s="20">
        <v>52.448999999999998</v>
      </c>
      <c r="H12" s="20">
        <v>67.182000000000002</v>
      </c>
      <c r="I12" s="20">
        <v>76.599000000000004</v>
      </c>
      <c r="J12" s="20">
        <v>93.299000000000007</v>
      </c>
      <c r="K12" s="8" t="s">
        <v>3</v>
      </c>
    </row>
    <row r="13" spans="1:23" ht="21.75" customHeight="1" x14ac:dyDescent="0.4">
      <c r="A13" s="18" t="s">
        <v>20</v>
      </c>
      <c r="B13" s="19">
        <v>11.2951</v>
      </c>
      <c r="C13" s="19">
        <f>15662.1/1000</f>
        <v>15.662100000000001</v>
      </c>
      <c r="D13" s="19">
        <v>22.3</v>
      </c>
      <c r="E13" s="20">
        <v>39.279000000000003</v>
      </c>
      <c r="F13" s="20">
        <v>34.36</v>
      </c>
      <c r="G13" s="20">
        <v>52.813000000000002</v>
      </c>
      <c r="H13" s="20">
        <v>64.546000000000006</v>
      </c>
      <c r="I13" s="20">
        <v>77.701999999999998</v>
      </c>
      <c r="J13" s="20">
        <v>101.212</v>
      </c>
      <c r="K13" s="8" t="s">
        <v>4</v>
      </c>
    </row>
    <row r="14" spans="1:23" ht="21.75" customHeight="1" x14ac:dyDescent="0.4">
      <c r="A14" s="18" t="s">
        <v>21</v>
      </c>
      <c r="B14" s="19">
        <v>12.038500000000001</v>
      </c>
      <c r="C14" s="19">
        <f>16729/1000</f>
        <v>16.728999999999999</v>
      </c>
      <c r="D14" s="19">
        <v>24.875</v>
      </c>
      <c r="E14" s="20">
        <v>37.287999999999997</v>
      </c>
      <c r="F14" s="20">
        <v>33.33</v>
      </c>
      <c r="G14" s="20">
        <v>53.771999999999998</v>
      </c>
      <c r="H14" s="20">
        <v>67.123999999999995</v>
      </c>
      <c r="I14" s="20">
        <v>81.769000000000005</v>
      </c>
      <c r="J14" s="20">
        <v>104.381</v>
      </c>
      <c r="K14" s="8" t="s">
        <v>22</v>
      </c>
    </row>
    <row r="15" spans="1:23" ht="21.75" customHeight="1" x14ac:dyDescent="0.4">
      <c r="A15" s="18" t="s">
        <v>23</v>
      </c>
      <c r="B15" s="19">
        <v>12.564</v>
      </c>
      <c r="C15" s="19">
        <f>16091.8/1000</f>
        <v>16.091799999999999</v>
      </c>
      <c r="D15" s="19">
        <v>23.678000000000001</v>
      </c>
      <c r="E15" s="20">
        <v>34.450000000000003</v>
      </c>
      <c r="F15" s="20">
        <v>35.142000000000003</v>
      </c>
      <c r="G15" s="20">
        <v>51.92</v>
      </c>
      <c r="H15" s="20">
        <v>60.133000000000003</v>
      </c>
      <c r="I15" s="20">
        <v>79.206999999999994</v>
      </c>
      <c r="J15" s="20">
        <v>94.138000000000005</v>
      </c>
      <c r="K15" s="8" t="s">
        <v>24</v>
      </c>
    </row>
    <row r="16" spans="1:23" ht="21.75" customHeight="1" x14ac:dyDescent="0.4">
      <c r="A16" s="18" t="s">
        <v>25</v>
      </c>
      <c r="B16" s="19">
        <v>13.288799999999998</v>
      </c>
      <c r="C16" s="19">
        <f>18183/1000</f>
        <v>18.183</v>
      </c>
      <c r="D16" s="19">
        <v>26.515999999999998</v>
      </c>
      <c r="E16" s="20">
        <v>32.64</v>
      </c>
      <c r="F16" s="20">
        <v>38.256999999999998</v>
      </c>
      <c r="G16" s="20">
        <v>52.387</v>
      </c>
      <c r="H16" s="20">
        <v>66.266000000000005</v>
      </c>
      <c r="I16" s="20">
        <v>86.495000000000005</v>
      </c>
      <c r="J16" s="20">
        <v>105.005</v>
      </c>
      <c r="K16" s="8" t="s">
        <v>26</v>
      </c>
    </row>
    <row r="17" spans="1:14" ht="21.75" customHeight="1" x14ac:dyDescent="0.4">
      <c r="A17" s="18" t="s">
        <v>27</v>
      </c>
      <c r="B17" s="19">
        <v>12.004200000000001</v>
      </c>
      <c r="C17" s="19">
        <f>16258.8/1000</f>
        <v>16.258800000000001</v>
      </c>
      <c r="D17" s="19">
        <v>23.587</v>
      </c>
      <c r="E17" s="20">
        <v>31.102</v>
      </c>
      <c r="F17" s="20">
        <v>39.124000000000002</v>
      </c>
      <c r="G17" s="20">
        <v>52.207999999999998</v>
      </c>
      <c r="H17" s="20">
        <v>65.510000000000005</v>
      </c>
      <c r="I17" s="20">
        <v>82.668000000000006</v>
      </c>
      <c r="J17" s="20">
        <v>101.669</v>
      </c>
      <c r="K17" s="8" t="s">
        <v>28</v>
      </c>
    </row>
    <row r="18" spans="1:14" ht="21.75" customHeight="1" x14ac:dyDescent="0.4">
      <c r="A18" s="21" t="s">
        <v>29</v>
      </c>
      <c r="B18" s="22">
        <v>13.9026</v>
      </c>
      <c r="C18" s="22">
        <f>16362.9/1000</f>
        <v>16.3629</v>
      </c>
      <c r="D18" s="22">
        <v>26.715</v>
      </c>
      <c r="E18" s="23">
        <v>31.763000000000002</v>
      </c>
      <c r="F18" s="23">
        <v>43.777999999999999</v>
      </c>
      <c r="G18" s="23">
        <v>60.314</v>
      </c>
      <c r="H18" s="23">
        <v>68.787999999999997</v>
      </c>
      <c r="I18" s="23">
        <v>84.718000000000004</v>
      </c>
      <c r="J18" s="23">
        <v>111.34399999999999</v>
      </c>
      <c r="K18" s="9" t="s">
        <v>30</v>
      </c>
    </row>
    <row r="19" spans="1:14" ht="15.75" x14ac:dyDescent="0.4">
      <c r="A19" s="5" t="s">
        <v>8</v>
      </c>
      <c r="K19" s="27" t="s">
        <v>7</v>
      </c>
    </row>
    <row r="21" spans="1:14" ht="15.75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</sheetData>
  <mergeCells count="3">
    <mergeCell ref="A1:K1"/>
    <mergeCell ref="A2:K2"/>
    <mergeCell ref="A3:K3"/>
  </mergeCells>
  <pageMargins left="0.7" right="0.7" top="0.75" bottom="0.75" header="0.3" footer="0.3"/>
  <pageSetup paperSize="9" scale="8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2018-03-20T06:01:22Z</cp:lastPrinted>
  <dcterms:created xsi:type="dcterms:W3CDTF">2015-01-12T08:51:45Z</dcterms:created>
  <dcterms:modified xsi:type="dcterms:W3CDTF">2018-03-20T06:01:33Z</dcterms:modified>
</cp:coreProperties>
</file>