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3" sheetId="20" r:id="rId1"/>
  </sheets>
  <externalReferences>
    <externalReference r:id="rId2"/>
    <externalReference r:id="rId3"/>
    <externalReference r:id="rId4"/>
    <externalReference r:id="rId5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'12.3'!$A$1:$P$43</definedName>
  </definedNames>
  <calcPr calcId="162913"/>
</workbook>
</file>

<file path=xl/calcChain.xml><?xml version="1.0" encoding="utf-8"?>
<calcChain xmlns="http://schemas.openxmlformats.org/spreadsheetml/2006/main">
  <c r="C6" i="20" l="1"/>
  <c r="C10" i="20"/>
  <c r="B7" i="20"/>
  <c r="B40" i="20" l="1"/>
  <c r="B41" i="20"/>
  <c r="B42" i="20"/>
  <c r="B39" i="20" l="1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N10" i="20"/>
  <c r="N6" i="20" s="1"/>
  <c r="M10" i="20"/>
  <c r="M6" i="20" s="1"/>
  <c r="L10" i="20"/>
  <c r="L6" i="20" s="1"/>
  <c r="K10" i="20"/>
  <c r="K6" i="20" s="1"/>
  <c r="J10" i="20"/>
  <c r="J6" i="20" s="1"/>
  <c r="I10" i="20"/>
  <c r="I6" i="20" s="1"/>
  <c r="H10" i="20"/>
  <c r="H6" i="20" s="1"/>
  <c r="G10" i="20"/>
  <c r="G6" i="20" s="1"/>
  <c r="F10" i="20"/>
  <c r="F6" i="20" s="1"/>
  <c r="E10" i="20"/>
  <c r="E6" i="20" s="1"/>
  <c r="D10" i="20"/>
  <c r="D6" i="20" s="1"/>
  <c r="B9" i="20"/>
  <c r="B8" i="20"/>
  <c r="B10" i="20" l="1"/>
  <c r="B6" i="20"/>
</calcChain>
</file>

<file path=xl/sharedStrings.xml><?xml version="1.0" encoding="utf-8"?>
<sst xmlns="http://schemas.openxmlformats.org/spreadsheetml/2006/main" count="94" uniqueCount="93">
  <si>
    <t>wlcmuj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</si>
  <si>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</si>
  <si>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</si>
  <si>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</si>
  <si>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</si>
  <si>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</si>
  <si>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</si>
  <si>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</si>
  <si>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</si>
  <si>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</si>
  <si>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</si>
  <si>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</si>
  <si>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</si>
  <si>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</si>
  <si>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State Electric Company Limited</t>
  </si>
  <si>
    <t>cDeTimil Inepcmok ckircTckeliacTETcs :ctWrwf ivcaedutWmUluAwm</t>
  </si>
  <si>
    <t>Locality</t>
  </si>
  <si>
    <t>Total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</si>
  <si>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</si>
  <si>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</si>
  <si>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</si>
  <si>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</si>
  <si>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</si>
  <si>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</si>
  <si>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</si>
  <si>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</si>
  <si>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</si>
  <si>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</si>
  <si>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</si>
  <si>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</si>
  <si>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</si>
  <si>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</si>
  <si>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</si>
  <si>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</si>
  <si>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</si>
  <si>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</si>
  <si>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</si>
  <si>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</si>
  <si>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</si>
  <si>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</si>
  <si>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</si>
  <si>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</si>
  <si>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</si>
  <si>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</si>
  <si>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</si>
  <si>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</si>
  <si>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</si>
  <si>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</si>
  <si>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</si>
  <si>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</si>
  <si>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</si>
  <si>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</si>
  <si>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</si>
  <si>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</si>
  <si>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</si>
  <si>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</si>
  <si>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</si>
  <si>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</si>
  <si>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</si>
  <si>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</si>
  <si>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</si>
  <si>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</si>
  <si>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</si>
  <si>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</si>
  <si>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</si>
  <si>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</si>
  <si>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</si>
  <si>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</si>
  <si>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</si>
  <si>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</si>
  <si>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</si>
  <si>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</si>
  <si>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</si>
  <si>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</si>
  <si>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</si>
  <si>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</si>
  <si>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</si>
  <si>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</si>
  <si>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</si>
  <si>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</si>
  <si>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</si>
  <si>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</si>
  <si>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</si>
  <si>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</si>
  <si>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</si>
  <si>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</si>
  <si>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</si>
  <si>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</si>
  <si>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</si>
  <si>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</si>
  <si>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</si>
  <si>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2017</t>
  </si>
  <si>
    <t>Table  12.3 :   MONTHLY CONSUMPTION OF FUEL FOR ELECTRICITY GENERATION IN SELECTED LOCALITIES BY PUBLIC SECTOR,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</si>
</sst>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Garamond"/>
      <family val="1"/>
    </font>
    <font>
      <b/>
      <sz val="10"/>
      <name val="Faruma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9"/>
      <color theme="1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0"/>
      <color theme="1"/>
      <name val="Faruma"/>
    </font>
    <font>
      <sz val="12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3" fillId="0" borderId="0"/>
  </cellStyleXfs>
  <cellXfs count="52">
    <xf numFmtId="0" fontId="0" fillId="0" borderId="0" xfId="0"/>
    <xf numFmtId="0" fontId="3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18" fillId="2" borderId="6" xfId="2" applyFont="1" applyFill="1" applyBorder="1" applyAlignment="1">
      <alignment vertical="center"/>
    </xf>
    <xf numFmtId="0" fontId="19" fillId="2" borderId="6" xfId="2" applyFont="1" applyFill="1" applyBorder="1" applyAlignment="1">
      <alignment vertical="center"/>
    </xf>
    <xf numFmtId="0" fontId="20" fillId="2" borderId="6" xfId="2" applyFont="1" applyFill="1" applyBorder="1" applyAlignment="1">
      <alignment vertical="center"/>
    </xf>
    <xf numFmtId="0" fontId="7" fillId="2" borderId="5" xfId="2" applyFont="1" applyFill="1" applyBorder="1" applyAlignment="1" applyProtection="1">
      <alignment vertical="center"/>
    </xf>
    <xf numFmtId="164" fontId="7" fillId="2" borderId="5" xfId="1" applyNumberFormat="1" applyFont="1" applyFill="1" applyBorder="1" applyAlignment="1" applyProtection="1">
      <alignment horizontal="right" vertical="center"/>
    </xf>
    <xf numFmtId="0" fontId="21" fillId="2" borderId="11" xfId="0" applyFont="1" applyFill="1" applyBorder="1" applyAlignment="1">
      <alignment horizontal="right" vertical="center"/>
    </xf>
    <xf numFmtId="0" fontId="7" fillId="2" borderId="6" xfId="2" applyFont="1" applyFill="1" applyBorder="1" applyAlignment="1">
      <alignment vertical="center"/>
    </xf>
    <xf numFmtId="0" fontId="21" fillId="2" borderId="9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right" vertical="center"/>
    </xf>
    <xf numFmtId="43" fontId="18" fillId="2" borderId="6" xfId="2" applyNumberFormat="1" applyFont="1" applyFill="1" applyBorder="1" applyAlignment="1">
      <alignment vertical="center"/>
    </xf>
    <xf numFmtId="1" fontId="18" fillId="2" borderId="6" xfId="2" applyNumberFormat="1" applyFont="1" applyFill="1" applyBorder="1" applyAlignment="1">
      <alignment vertical="center"/>
    </xf>
    <xf numFmtId="0" fontId="23" fillId="2" borderId="6" xfId="2" applyFont="1" applyFill="1" applyBorder="1" applyAlignment="1">
      <alignment vertical="center"/>
    </xf>
    <xf numFmtId="164" fontId="23" fillId="2" borderId="6" xfId="3" applyNumberFormat="1" applyFont="1" applyFill="1" applyBorder="1" applyAlignment="1">
      <alignment vertical="center"/>
    </xf>
    <xf numFmtId="164" fontId="18" fillId="2" borderId="6" xfId="3" applyNumberFormat="1" applyFont="1" applyFill="1" applyBorder="1" applyAlignment="1">
      <alignment vertical="center"/>
    </xf>
    <xf numFmtId="0" fontId="6" fillId="2" borderId="8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/>
    <xf numFmtId="0" fontId="5" fillId="2" borderId="4" xfId="2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25" fillId="2" borderId="0" xfId="0" applyFont="1" applyFill="1"/>
    <xf numFmtId="3" fontId="9" fillId="2" borderId="0" xfId="0" applyNumberFormat="1" applyFont="1" applyFill="1" applyBorder="1"/>
    <xf numFmtId="0" fontId="8" fillId="2" borderId="0" xfId="0" applyFont="1" applyFill="1" applyBorder="1"/>
    <xf numFmtId="166" fontId="3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0" fontId="22" fillId="2" borderId="10" xfId="0" applyFont="1" applyFill="1" applyBorder="1" applyAlignment="1">
      <alignment horizontal="right" vertical="center"/>
    </xf>
    <xf numFmtId="166" fontId="3" fillId="2" borderId="9" xfId="0" applyNumberFormat="1" applyFont="1" applyFill="1" applyBorder="1" applyAlignment="1">
      <alignment horizontal="right" vertical="center"/>
    </xf>
    <xf numFmtId="166" fontId="3" fillId="2" borderId="12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166" fontId="3" fillId="2" borderId="10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center"/>
    </xf>
    <xf numFmtId="0" fontId="17" fillId="2" borderId="12" xfId="2" applyFont="1" applyFill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/>
    </xf>
    <xf numFmtId="0" fontId="17" fillId="2" borderId="7" xfId="2" applyFont="1" applyFill="1" applyBorder="1" applyAlignment="1">
      <alignment horizontal="center" vertical="center"/>
    </xf>
    <xf numFmtId="0" fontId="12" fillId="2" borderId="12" xfId="2" applyFont="1" applyFill="1" applyBorder="1" applyAlignment="1" applyProtection="1">
      <alignment horizontal="center" vertical="center"/>
    </xf>
    <xf numFmtId="0" fontId="12" fillId="2" borderId="13" xfId="2" applyFont="1" applyFill="1" applyBorder="1" applyAlignment="1" applyProtection="1">
      <alignment horizontal="center" vertical="center"/>
    </xf>
    <xf numFmtId="0" fontId="12" fillId="2" borderId="7" xfId="2" applyFont="1" applyFill="1" applyBorder="1" applyAlignment="1" applyProtection="1">
      <alignment horizontal="center" vertical="center"/>
    </xf>
    <xf numFmtId="0" fontId="12" fillId="2" borderId="10" xfId="2" applyFont="1" applyFill="1" applyBorder="1" applyAlignment="1" applyProtection="1">
      <alignment horizontal="center" vertical="top"/>
    </xf>
    <xf numFmtId="0" fontId="12" fillId="2" borderId="14" xfId="2" applyFont="1" applyFill="1" applyBorder="1" applyAlignment="1" applyProtection="1">
      <alignment horizontal="center" vertical="top"/>
    </xf>
    <xf numFmtId="0" fontId="12" fillId="2" borderId="8" xfId="2" applyFont="1" applyFill="1" applyBorder="1" applyAlignment="1" applyProtection="1">
      <alignment horizontal="center" vertical="top"/>
    </xf>
  </cellXfs>
  <cellStyles count="9">
    <cellStyle name="Comma 2" xfId="1"/>
    <cellStyle name="Comma 2 2" xfId="7"/>
    <cellStyle name="Comma 4" xfId="3"/>
    <cellStyle name="Comma 4 2" xfId="4"/>
    <cellStyle name="Normal" xfId="0" builtinId="0"/>
    <cellStyle name="Normal 2" xfId="2"/>
    <cellStyle name="Normal 2 2" xfId="5"/>
    <cellStyle name="Normal 4" xfId="8"/>
    <cellStyle name="Normal 5" xfId="6"/>
  </cellStyles>
  <dxfs count="1">
    <dxf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esktop\Copy%20of%2012%20%20ELECTRICITY%20%20WATER%20_%20STELCO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2%20%20ELECTRICITY%20%20WATER%20-%20NDM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 t="str">
            <v/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 t="str">
            <v/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 t="str">
            <v/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 t="str">
            <v/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 t="str">
            <v/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 t="str">
            <v/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 t="str">
            <v/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 t="str">
            <v/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 t="str">
            <v/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 t="str">
            <v/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 t="str">
            <v/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 t="str">
            <v/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 t="str">
            <v/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 t="str">
            <v/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 t="str">
            <v/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 t="str">
            <v/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 t="str">
            <v/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 t="str">
            <v/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 t="str">
            <v/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 t="str">
            <v/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 t="str">
            <v/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 t="str">
            <v/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 t="str">
            <v/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 t="str">
            <v/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 t="str">
            <v/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 t="str">
            <v/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 t="str">
            <v/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 t="str">
            <v/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 t="str">
            <v/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 t="str">
            <v/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 t="str">
            <v/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 t="str">
            <v/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 t="str">
            <v/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 t="str">
            <v/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 t="str">
            <v/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 t="str">
            <v/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 t="str">
            <v/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 t="str">
            <v/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 t="str">
            <v/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 t="str">
            <v/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 t="str">
            <v/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 t="str">
            <v/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 t="str">
            <v/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 t="str">
            <v/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 t="str">
            <v/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 t="str">
            <v/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 t="str">
            <v/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 t="str">
            <v/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 t="str">
            <v/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 t="str">
            <v/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 t="str">
            <v/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 t="str">
            <v/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 t="str">
            <v/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 t="str">
            <v/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 t="str">
            <v/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 t="str">
            <v/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 t="str">
            <v/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 t="str">
            <v/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 t="str">
            <v/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 t="str">
            <v/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 t="str">
            <v/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 t="str">
            <v/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 t="str">
            <v/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 t="str">
            <v/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 t="str">
            <v/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 t="str">
            <v/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 t="str">
            <v/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 t="str">
            <v/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 t="str">
            <v/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 t="str">
            <v/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 t="str">
            <v/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 t="str">
            <v/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 t="str">
            <v/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 t="str">
            <v/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 t="str">
            <v/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 t="str">
            <v/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 t="str">
            <v/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 t="str">
            <v/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 t="str">
            <v/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 t="str">
            <v/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 t="str">
            <v/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 t="str">
            <v/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 t="str">
            <v/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 t="str">
            <v/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 t="str">
            <v/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 t="str">
            <v/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 t="str">
            <v/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 t="str">
            <v/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 t="str">
            <v/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 t="str">
            <v/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 t="str">
            <v/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 t="str">
            <v/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 t="str">
            <v/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 t="str">
            <v/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 t="str">
            <v/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 t="str">
            <v/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 t="str">
            <v/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 t="str">
            <v/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 t="str">
            <v/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 t="str">
            <v/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 t="str">
            <v/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 t="str">
            <v/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 t="str">
            <v/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 t="str">
            <v/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 t="str">
            <v/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 t="str">
            <v/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 t="str">
            <v/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 t="str">
            <v/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 t="str">
            <v/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 t="str">
            <v/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 t="str">
            <v/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 t="str">
            <v/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 t="str">
            <v/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 t="str">
            <v/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 t="str">
            <v/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 t="str">
            <v/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 t="str">
            <v/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 t="str">
            <v/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 t="str">
            <v/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 t="str">
            <v/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 t="str">
            <v/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 t="str">
            <v/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 t="str">
            <v/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 t="str">
            <v/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 t="str">
            <v/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 t="str">
            <v/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 t="str">
            <v/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 t="str">
            <v/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 t="str">
            <v/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 t="str">
            <v/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 t="str">
            <v/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 t="str">
            <v/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 t="str">
            <v/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 t="str">
            <v/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 t="str">
            <v/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 t="str">
            <v/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 t="str">
            <v/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 t="str">
            <v/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 t="str">
            <v/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 t="str">
            <v/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 t="str">
            <v/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 t="str">
            <v/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 t="str">
            <v/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 t="str">
            <v/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 t="str">
            <v/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 t="str">
            <v/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 t="str">
            <v/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 t="str">
            <v/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 t="str">
            <v/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 t="str">
            <v/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 t="str">
            <v/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 t="str">
            <v/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 t="str">
            <v/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 t="str">
            <v/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 t="str">
            <v/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 t="str">
            <v/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 t="str">
            <v/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 t="str">
            <v/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 t="str">
            <v/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 t="str">
            <v/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 t="str">
            <v/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 t="str">
            <v/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 t="str">
            <v/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 t="str">
            <v/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 t="str">
            <v/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 t="str">
            <v/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 t="str">
            <v/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 t="str">
            <v/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 t="str">
            <v/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 t="str">
            <v/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 t="str">
            <v/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 t="str">
            <v/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 t="str">
            <v/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 t="str">
            <v/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 t="str">
            <v/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 t="str">
            <v/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 t="str">
            <v/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 t="str">
            <v/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 t="str">
            <v/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 t="str">
            <v/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 t="str">
            <v/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 t="str">
            <v/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 t="str">
            <v/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 t="str">
            <v/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 t="str">
            <v/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 t="str">
            <v/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 t="str">
            <v/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 t="str">
            <v/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 t="str">
            <v/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 t="str">
            <v/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 t="str">
            <v/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 t="str">
            <v/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 t="str">
            <v/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 t="str">
            <v/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 t="str">
            <v/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 t="str">
            <v/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 t="str">
            <v/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 t="str">
            <v/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 t="str">
            <v/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 t="str">
            <v/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 t="str">
            <v/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 t="str">
            <v/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 t="str">
            <v/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 t="str">
            <v/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 t="str">
            <v/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 t="str">
            <v/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 t="str">
            <v/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 t="str">
            <v/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 t="str">
            <v/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 t="str">
            <v/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 t="str">
            <v/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 t="str">
            <v/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 t="str">
            <v/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 t="str">
            <v/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 t="str">
            <v/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 t="str">
            <v/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 t="str">
            <v/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 t="str">
            <v/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 t="str">
            <v/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 t="str">
            <v/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 t="str">
            <v/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 t="str">
            <v/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 t="str">
            <v/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 t="str">
            <v/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 t="str">
            <v/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 t="str">
            <v/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 t="str">
            <v/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 t="str">
            <v/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 t="str">
            <v/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 t="str">
            <v/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 t="str">
            <v/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 t="str">
            <v/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 t="str">
            <v/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 t="str">
            <v/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 t="str">
            <v/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Sheet1"/>
      <sheetName val="Sheet2"/>
    </sheetNames>
    <sheetDataSet>
      <sheetData sheetId="0">
        <row r="29">
          <cell r="Y29">
            <v>2006</v>
          </cell>
          <cell r="Z29">
            <v>2007</v>
          </cell>
          <cell r="AA29">
            <v>2008</v>
          </cell>
          <cell r="AB29">
            <v>2009</v>
          </cell>
          <cell r="AC29">
            <v>2010</v>
          </cell>
          <cell r="AD29">
            <v>2011</v>
          </cell>
          <cell r="AE29">
            <v>2012</v>
          </cell>
          <cell r="AF29">
            <v>2013</v>
          </cell>
          <cell r="AG29">
            <v>2014</v>
          </cell>
          <cell r="AH29">
            <v>2015</v>
          </cell>
          <cell r="AI29">
            <v>2016</v>
          </cell>
        </row>
        <row r="30">
          <cell r="Y30">
            <v>156108</v>
          </cell>
          <cell r="Z30">
            <v>159642.78099999999</v>
          </cell>
          <cell r="AA30">
            <v>173370.872</v>
          </cell>
          <cell r="AB30">
            <v>187110.266</v>
          </cell>
          <cell r="AC30">
            <v>195722.55800000002</v>
          </cell>
          <cell r="AD30">
            <v>211889.32699999999</v>
          </cell>
          <cell r="AE30">
            <v>219663.37332000001</v>
          </cell>
          <cell r="AF30">
            <v>232023.39200000002</v>
          </cell>
          <cell r="AG30">
            <v>239067</v>
          </cell>
          <cell r="AH30">
            <v>260445.08562</v>
          </cell>
          <cell r="AI3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7"/>
      <sheetName val="12.18"/>
      <sheetName val="12.19"/>
    </sheetNames>
    <sheetDataSet>
      <sheetData sheetId="0">
        <row r="25">
          <cell r="O25" t="str">
            <v>Year</v>
          </cell>
          <cell r="P25" t="str">
            <v>Total cost</v>
          </cell>
        </row>
        <row r="26">
          <cell r="O26">
            <v>2005</v>
          </cell>
          <cell r="P26">
            <v>2455200</v>
          </cell>
        </row>
        <row r="27">
          <cell r="O27">
            <v>2006</v>
          </cell>
          <cell r="P27">
            <v>2244000</v>
          </cell>
        </row>
        <row r="28">
          <cell r="O28">
            <v>2007</v>
          </cell>
          <cell r="P28">
            <v>2020500</v>
          </cell>
        </row>
        <row r="29">
          <cell r="O29">
            <v>2008</v>
          </cell>
          <cell r="P29">
            <v>1566000</v>
          </cell>
        </row>
        <row r="30">
          <cell r="O30">
            <v>2009</v>
          </cell>
          <cell r="P30">
            <v>7310472.2999999998</v>
          </cell>
        </row>
        <row r="31">
          <cell r="O31">
            <v>2010</v>
          </cell>
          <cell r="P31" t="str">
            <v xml:space="preserve">water not supplied </v>
          </cell>
        </row>
        <row r="32">
          <cell r="O32">
            <v>2011</v>
          </cell>
          <cell r="P32">
            <v>2192390</v>
          </cell>
        </row>
        <row r="33">
          <cell r="O33">
            <v>2012</v>
          </cell>
          <cell r="P33">
            <v>4411289.87</v>
          </cell>
        </row>
        <row r="34">
          <cell r="O34">
            <v>2013</v>
          </cell>
          <cell r="P34">
            <v>1785398.5</v>
          </cell>
        </row>
        <row r="35">
          <cell r="O35">
            <v>2014</v>
          </cell>
          <cell r="P35">
            <v>3924657.9</v>
          </cell>
        </row>
      </sheetData>
      <sheetData sheetId="1"/>
      <sheetData sheetId="2">
        <row r="4">
          <cell r="F4" t="str">
            <v>Quantity (ton)</v>
          </cell>
          <cell r="G4">
            <v>0</v>
          </cell>
          <cell r="H4">
            <v>0</v>
          </cell>
        </row>
        <row r="33">
          <cell r="V33" t="str">
            <v>HA</v>
          </cell>
          <cell r="X33">
            <v>452.1</v>
          </cell>
        </row>
        <row r="34">
          <cell r="V34" t="str">
            <v>HDh</v>
          </cell>
          <cell r="X34">
            <v>416.5</v>
          </cell>
        </row>
        <row r="35">
          <cell r="V35" t="str">
            <v>Sh</v>
          </cell>
          <cell r="X35">
            <v>188</v>
          </cell>
        </row>
        <row r="36">
          <cell r="V36" t="str">
            <v>N</v>
          </cell>
          <cell r="X36">
            <v>399.34199999999998</v>
          </cell>
        </row>
        <row r="37">
          <cell r="V37" t="str">
            <v>R</v>
          </cell>
          <cell r="X37">
            <v>537</v>
          </cell>
        </row>
        <row r="38">
          <cell r="V38" t="str">
            <v>B</v>
          </cell>
          <cell r="X38">
            <v>417</v>
          </cell>
        </row>
        <row r="39">
          <cell r="V39" t="str">
            <v>Lh</v>
          </cell>
          <cell r="X39">
            <v>35</v>
          </cell>
        </row>
        <row r="40">
          <cell r="V40" t="str">
            <v>K</v>
          </cell>
          <cell r="X40">
            <v>190</v>
          </cell>
        </row>
        <row r="41">
          <cell r="V41" t="str">
            <v>AA</v>
          </cell>
          <cell r="X41">
            <v>80</v>
          </cell>
        </row>
        <row r="42">
          <cell r="V42" t="str">
            <v>ADh</v>
          </cell>
          <cell r="X42">
            <v>28</v>
          </cell>
        </row>
        <row r="43">
          <cell r="V43" t="str">
            <v>M</v>
          </cell>
          <cell r="X43">
            <v>45</v>
          </cell>
        </row>
        <row r="44">
          <cell r="V44" t="str">
            <v>Th</v>
          </cell>
          <cell r="X44">
            <v>30</v>
          </cell>
        </row>
        <row r="45">
          <cell r="V45" t="str">
            <v>L</v>
          </cell>
          <cell r="X45">
            <v>90</v>
          </cell>
        </row>
        <row r="49">
          <cell r="U49" t="str">
            <v>HA.Ihavandhoo</v>
          </cell>
          <cell r="V49">
            <v>3</v>
          </cell>
        </row>
        <row r="50">
          <cell r="U50" t="str">
            <v>HDH.Hirimaradhoo</v>
          </cell>
          <cell r="V50">
            <v>2</v>
          </cell>
        </row>
        <row r="51">
          <cell r="U51" t="str">
            <v>HDH.Nehllaidhoo</v>
          </cell>
          <cell r="V51">
            <v>2</v>
          </cell>
        </row>
        <row r="52">
          <cell r="U52" t="str">
            <v>N.Holhudhoo</v>
          </cell>
          <cell r="V52">
            <v>2</v>
          </cell>
        </row>
        <row r="53">
          <cell r="U53" t="str">
            <v>N.Lhohi</v>
          </cell>
          <cell r="V53">
            <v>2</v>
          </cell>
        </row>
        <row r="54">
          <cell r="U54" t="str">
            <v>R.Alifushi</v>
          </cell>
          <cell r="V54">
            <v>3</v>
          </cell>
        </row>
        <row r="55">
          <cell r="U55" t="str">
            <v>R.Ungoofaaru</v>
          </cell>
          <cell r="V55">
            <v>2</v>
          </cell>
        </row>
        <row r="56">
          <cell r="U56" t="str">
            <v>B.Kudarikilu</v>
          </cell>
          <cell r="V56">
            <v>2</v>
          </cell>
        </row>
        <row r="57">
          <cell r="U57" t="str">
            <v>B.Hithaadhoo</v>
          </cell>
          <cell r="V57">
            <v>2</v>
          </cell>
        </row>
        <row r="58">
          <cell r="U58" t="str">
            <v>B.Kendhoo</v>
          </cell>
          <cell r="V58">
            <v>2</v>
          </cell>
        </row>
        <row r="59">
          <cell r="U59" t="str">
            <v>B.Fulhadhoo</v>
          </cell>
          <cell r="V59">
            <v>2</v>
          </cell>
        </row>
        <row r="60">
          <cell r="U60" t="str">
            <v>B.Fehendhoo</v>
          </cell>
          <cell r="V60">
            <v>2</v>
          </cell>
        </row>
        <row r="61">
          <cell r="U61" t="str">
            <v>K.Dhihfushi</v>
          </cell>
          <cell r="V61">
            <v>2</v>
          </cell>
        </row>
        <row r="62">
          <cell r="U62" t="str">
            <v>K.Gaafaru</v>
          </cell>
          <cell r="V6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4"/>
  <sheetViews>
    <sheetView tabSelected="1" zoomScaleNormal="100" workbookViewId="0">
      <selection activeCell="O23" sqref="O23"/>
    </sheetView>
  </sheetViews>
  <sheetFormatPr defaultColWidth="11.140625" defaultRowHeight="15" x14ac:dyDescent="0.25"/>
  <cols>
    <col min="1" max="1" width="16.7109375" style="5" customWidth="1"/>
    <col min="2" max="2" width="11.140625" style="5" customWidth="1"/>
    <col min="3" max="14" width="11.28515625" style="5" customWidth="1"/>
    <col min="15" max="15" width="13.5703125" style="5" bestFit="1" customWidth="1"/>
    <col min="16" max="16" width="1.85546875" style="5" customWidth="1"/>
    <col min="17" max="16384" width="11.140625" style="5"/>
  </cols>
  <sheetData>
    <row r="1" spans="1:18" ht="21.75" x14ac:dyDescent="0.25">
      <c r="A1" s="43" t="s">
        <v>91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8" s="6" customFormat="1" x14ac:dyDescent="0.25">
      <c r="A2" s="46" t="s">
        <v>92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8" s="33" customFormat="1" ht="17.25" x14ac:dyDescent="0.4">
      <c r="A3" s="42" t="s">
        <v>89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8" s="7" customFormat="1" ht="6.75" customHeight="1" x14ac:dyDescent="0.2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</row>
    <row r="5" spans="1:18" s="11" customFormat="1" ht="15.75" x14ac:dyDescent="0.25">
      <c r="A5" s="8" t="s">
        <v>16</v>
      </c>
      <c r="B5" s="9" t="s">
        <v>17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10" t="s">
        <v>1</v>
      </c>
    </row>
    <row r="6" spans="1:18" ht="15.75" x14ac:dyDescent="0.25">
      <c r="A6" s="1" t="s">
        <v>17</v>
      </c>
      <c r="B6" s="35">
        <f>SUM(C6:N6)</f>
        <v>117271.29986999999</v>
      </c>
      <c r="C6" s="32">
        <f>SUM(C7:C10)</f>
        <v>8916.5289999999986</v>
      </c>
      <c r="D6" s="32">
        <f t="shared" ref="D6:N6" si="0">SUM(D7:D10)</f>
        <v>8432.0710799999997</v>
      </c>
      <c r="E6" s="32">
        <f t="shared" si="0"/>
        <v>9582.8533099999986</v>
      </c>
      <c r="F6" s="32">
        <f t="shared" si="0"/>
        <v>10113.943050000002</v>
      </c>
      <c r="G6" s="32">
        <f t="shared" si="0"/>
        <v>10045.58375</v>
      </c>
      <c r="H6" s="32">
        <f t="shared" si="0"/>
        <v>9680.222600000001</v>
      </c>
      <c r="I6" s="32">
        <f t="shared" si="0"/>
        <v>10544.904419999999</v>
      </c>
      <c r="J6" s="32">
        <f t="shared" si="0"/>
        <v>10390.129199999999</v>
      </c>
      <c r="K6" s="32">
        <f t="shared" si="0"/>
        <v>9672.0749599999999</v>
      </c>
      <c r="L6" s="32">
        <f t="shared" si="0"/>
        <v>11075.24397</v>
      </c>
      <c r="M6" s="32">
        <f t="shared" si="0"/>
        <v>9413.4961000000003</v>
      </c>
      <c r="N6" s="32">
        <f t="shared" si="0"/>
        <v>9404.2484299999996</v>
      </c>
      <c r="O6" s="12" t="s">
        <v>0</v>
      </c>
    </row>
    <row r="7" spans="1:18" ht="18.75" x14ac:dyDescent="0.25">
      <c r="A7" s="13" t="s">
        <v>18</v>
      </c>
      <c r="B7" s="36">
        <f>SUM(C7:N7)</f>
        <v>86055.128000000026</v>
      </c>
      <c r="C7" s="37">
        <v>6621.87</v>
      </c>
      <c r="D7" s="37">
        <v>6270.8239999999996</v>
      </c>
      <c r="E7" s="37">
        <v>7080.9219999999996</v>
      </c>
      <c r="F7" s="37">
        <v>7906.1059999999998</v>
      </c>
      <c r="G7" s="37">
        <v>7422.8370000000004</v>
      </c>
      <c r="H7" s="37">
        <v>7014.7749999999996</v>
      </c>
      <c r="I7" s="37">
        <v>7710.9440000000004</v>
      </c>
      <c r="J7" s="37">
        <v>7551.1930000000002</v>
      </c>
      <c r="K7" s="37">
        <v>6994.9549999999999</v>
      </c>
      <c r="L7" s="37">
        <v>8064.49</v>
      </c>
      <c r="M7" s="37">
        <v>6742.18</v>
      </c>
      <c r="N7" s="37">
        <v>6674.0320000000002</v>
      </c>
      <c r="O7" s="14" t="s">
        <v>19</v>
      </c>
      <c r="Q7" s="15"/>
    </row>
    <row r="8" spans="1:18" ht="18.75" x14ac:dyDescent="0.25">
      <c r="A8" s="13" t="s">
        <v>20</v>
      </c>
      <c r="B8" s="36">
        <f>SUM(C16:N16)</f>
        <v>1402.5239999999999</v>
      </c>
      <c r="C8" s="37">
        <v>253.25700000000001</v>
      </c>
      <c r="D8" s="37">
        <v>232.79998000000001</v>
      </c>
      <c r="E8" s="37">
        <v>281.73500000000001</v>
      </c>
      <c r="F8" s="37">
        <v>309.87</v>
      </c>
      <c r="G8" s="37">
        <v>310.02300000000002</v>
      </c>
      <c r="H8" s="37">
        <v>311.78100000000001</v>
      </c>
      <c r="I8" s="37">
        <v>323.07499999999999</v>
      </c>
      <c r="J8" s="37">
        <v>306.18099999999998</v>
      </c>
      <c r="K8" s="37">
        <v>271.22598999999997</v>
      </c>
      <c r="L8" s="37">
        <v>315.19299999999998</v>
      </c>
      <c r="M8" s="37">
        <v>274.60000000000002</v>
      </c>
      <c r="N8" s="37">
        <v>268.654</v>
      </c>
      <c r="O8" s="14" t="s">
        <v>21</v>
      </c>
    </row>
    <row r="9" spans="1:18" ht="18.75" x14ac:dyDescent="0.25">
      <c r="A9" s="13" t="s">
        <v>22</v>
      </c>
      <c r="B9" s="36">
        <f>SUM(C9:N9)</f>
        <v>13536.856</v>
      </c>
      <c r="C9" s="37">
        <v>945.26700000000005</v>
      </c>
      <c r="D9" s="37">
        <v>893.96500000000003</v>
      </c>
      <c r="E9" s="37">
        <v>1042.875</v>
      </c>
      <c r="F9" s="37">
        <v>639.673</v>
      </c>
      <c r="G9" s="37">
        <v>1155.0429999999999</v>
      </c>
      <c r="H9" s="37">
        <v>1155.0429999999999</v>
      </c>
      <c r="I9" s="37">
        <v>1250.569</v>
      </c>
      <c r="J9" s="37">
        <v>1267.6310000000001</v>
      </c>
      <c r="K9" s="37">
        <v>1231.982</v>
      </c>
      <c r="L9" s="37">
        <v>1412.0830000000001</v>
      </c>
      <c r="M9" s="37">
        <v>1267.931</v>
      </c>
      <c r="N9" s="37">
        <v>1274.7940000000001</v>
      </c>
      <c r="O9" s="14" t="s">
        <v>23</v>
      </c>
    </row>
    <row r="10" spans="1:18" s="3" customFormat="1" ht="18.75" x14ac:dyDescent="0.25">
      <c r="A10" s="1" t="s">
        <v>24</v>
      </c>
      <c r="B10" s="36">
        <f>SUM(B11:B42)</f>
        <v>14220.920900000001</v>
      </c>
      <c r="C10" s="32">
        <f>SUM(C11:C42)</f>
        <v>1096.135</v>
      </c>
      <c r="D10" s="32">
        <f t="shared" ref="D10:N10" si="1">SUM(D11:D42)</f>
        <v>1034.4820999999997</v>
      </c>
      <c r="E10" s="32">
        <f t="shared" si="1"/>
        <v>1177.3213100000003</v>
      </c>
      <c r="F10" s="32">
        <f t="shared" si="1"/>
        <v>1258.2940500000002</v>
      </c>
      <c r="G10" s="32">
        <f t="shared" si="1"/>
        <v>1157.6807500000002</v>
      </c>
      <c r="H10" s="32">
        <f t="shared" si="1"/>
        <v>1198.6236000000001</v>
      </c>
      <c r="I10" s="32">
        <f t="shared" si="1"/>
        <v>1260.3164200000001</v>
      </c>
      <c r="J10" s="32">
        <f t="shared" si="1"/>
        <v>1265.1242</v>
      </c>
      <c r="K10" s="32">
        <f t="shared" si="1"/>
        <v>1173.9119699999999</v>
      </c>
      <c r="L10" s="32">
        <f t="shared" si="1"/>
        <v>1283.4779699999997</v>
      </c>
      <c r="M10" s="32">
        <f t="shared" si="1"/>
        <v>1128.7850999999998</v>
      </c>
      <c r="N10" s="32">
        <f t="shared" si="1"/>
        <v>1186.7684299999999</v>
      </c>
      <c r="O10" s="4" t="s">
        <v>25</v>
      </c>
    </row>
    <row r="11" spans="1:18" ht="18.75" x14ac:dyDescent="0.25">
      <c r="A11" s="13" t="s">
        <v>26</v>
      </c>
      <c r="B11" s="36">
        <f t="shared" ref="B11:B42" si="2">SUM(C11:N11)</f>
        <v>616.96</v>
      </c>
      <c r="C11" s="37">
        <v>45.908999999999999</v>
      </c>
      <c r="D11" s="37">
        <v>41.302999999999997</v>
      </c>
      <c r="E11" s="37">
        <v>47.773000000000003</v>
      </c>
      <c r="F11" s="37">
        <v>53.823</v>
      </c>
      <c r="G11" s="37">
        <v>53.396000000000001</v>
      </c>
      <c r="H11" s="37">
        <v>54.905000000000001</v>
      </c>
      <c r="I11" s="37">
        <v>56.804000000000002</v>
      </c>
      <c r="J11" s="37">
        <v>56.524999999999999</v>
      </c>
      <c r="K11" s="37">
        <v>52.363999999999997</v>
      </c>
      <c r="L11" s="37">
        <v>55.043999999999997</v>
      </c>
      <c r="M11" s="37">
        <v>49.23</v>
      </c>
      <c r="N11" s="37">
        <v>49.884</v>
      </c>
      <c r="O11" s="14" t="s">
        <v>27</v>
      </c>
    </row>
    <row r="12" spans="1:18" ht="18.75" x14ac:dyDescent="0.25">
      <c r="A12" s="13" t="s">
        <v>28</v>
      </c>
      <c r="B12" s="36">
        <f t="shared" si="2"/>
        <v>393.887</v>
      </c>
      <c r="C12" s="37">
        <v>30.827999999999999</v>
      </c>
      <c r="D12" s="37">
        <v>28.792000000000002</v>
      </c>
      <c r="E12" s="37">
        <v>33.311</v>
      </c>
      <c r="F12" s="37">
        <v>34.755000000000003</v>
      </c>
      <c r="G12" s="37">
        <v>32.895000000000003</v>
      </c>
      <c r="H12" s="37">
        <v>35.426000000000002</v>
      </c>
      <c r="I12" s="37">
        <v>34.131</v>
      </c>
      <c r="J12" s="37">
        <v>34.389000000000003</v>
      </c>
      <c r="K12" s="37">
        <v>32.664000000000001</v>
      </c>
      <c r="L12" s="37">
        <v>34.396000000000001</v>
      </c>
      <c r="M12" s="37">
        <v>30.384</v>
      </c>
      <c r="N12" s="37">
        <v>31.916</v>
      </c>
      <c r="O12" s="14" t="s">
        <v>29</v>
      </c>
    </row>
    <row r="13" spans="1:18" ht="18.75" x14ac:dyDescent="0.25">
      <c r="A13" s="13" t="s">
        <v>30</v>
      </c>
      <c r="B13" s="36">
        <f t="shared" si="2"/>
        <v>428.27300000000008</v>
      </c>
      <c r="C13" s="37">
        <v>32.088999999999999</v>
      </c>
      <c r="D13" s="37">
        <v>30.984999999999999</v>
      </c>
      <c r="E13" s="37">
        <v>36.124000000000002</v>
      </c>
      <c r="F13" s="37">
        <v>38.441000000000003</v>
      </c>
      <c r="G13" s="37">
        <v>33.728000000000002</v>
      </c>
      <c r="H13" s="37">
        <v>36.421999999999997</v>
      </c>
      <c r="I13" s="37">
        <v>38.53</v>
      </c>
      <c r="J13" s="37">
        <v>37.902999999999999</v>
      </c>
      <c r="K13" s="37">
        <v>37.585999999999999</v>
      </c>
      <c r="L13" s="37">
        <v>40.139000000000003</v>
      </c>
      <c r="M13" s="37">
        <v>35.386000000000003</v>
      </c>
      <c r="N13" s="37">
        <v>30.94</v>
      </c>
      <c r="O13" s="14" t="s">
        <v>31</v>
      </c>
    </row>
    <row r="14" spans="1:18" ht="18.75" x14ac:dyDescent="0.25">
      <c r="A14" s="13" t="s">
        <v>32</v>
      </c>
      <c r="B14" s="36">
        <f t="shared" si="2"/>
        <v>807.48290999999995</v>
      </c>
      <c r="C14" s="37">
        <v>58.357999999999997</v>
      </c>
      <c r="D14" s="37">
        <v>54.475000000000001</v>
      </c>
      <c r="E14" s="37">
        <v>64.057000000000002</v>
      </c>
      <c r="F14" s="37">
        <v>71.623999999999995</v>
      </c>
      <c r="G14" s="37">
        <v>66.412999999999997</v>
      </c>
      <c r="H14" s="37">
        <v>68.495999999999995</v>
      </c>
      <c r="I14" s="37">
        <v>75.40397999999999</v>
      </c>
      <c r="J14" s="37">
        <v>76.058000000000007</v>
      </c>
      <c r="K14" s="37">
        <v>71.673000000000002</v>
      </c>
      <c r="L14" s="37">
        <v>74.117999999999995</v>
      </c>
      <c r="M14" s="37">
        <v>60.417000000000002</v>
      </c>
      <c r="N14" s="37">
        <v>66.389929999999993</v>
      </c>
      <c r="O14" s="14" t="s">
        <v>33</v>
      </c>
      <c r="Q14" s="16"/>
      <c r="R14" s="16"/>
    </row>
    <row r="15" spans="1:18" ht="18.75" x14ac:dyDescent="0.25">
      <c r="A15" s="13" t="s">
        <v>34</v>
      </c>
      <c r="B15" s="36">
        <f t="shared" si="2"/>
        <v>768.85899999999992</v>
      </c>
      <c r="C15" s="37">
        <v>54.597000000000001</v>
      </c>
      <c r="D15" s="37">
        <v>50.396999999999998</v>
      </c>
      <c r="E15" s="37">
        <v>60.07</v>
      </c>
      <c r="F15" s="37">
        <v>65.018000000000001</v>
      </c>
      <c r="G15" s="37">
        <v>59.226999999999997</v>
      </c>
      <c r="H15" s="37">
        <v>58.649000000000001</v>
      </c>
      <c r="I15" s="37">
        <v>67.438000000000002</v>
      </c>
      <c r="J15" s="37">
        <v>72.384</v>
      </c>
      <c r="K15" s="37">
        <v>73.024000000000001</v>
      </c>
      <c r="L15" s="37">
        <v>75.813999999999993</v>
      </c>
      <c r="M15" s="37">
        <v>63.942999999999998</v>
      </c>
      <c r="N15" s="37">
        <v>68.298000000000002</v>
      </c>
      <c r="O15" s="14" t="s">
        <v>35</v>
      </c>
    </row>
    <row r="16" spans="1:18" ht="18.75" x14ac:dyDescent="0.25">
      <c r="A16" s="13" t="s">
        <v>36</v>
      </c>
      <c r="B16" s="36">
        <f t="shared" si="2"/>
        <v>1402.5239999999999</v>
      </c>
      <c r="C16" s="37">
        <v>107.819</v>
      </c>
      <c r="D16" s="37">
        <v>105.28400000000001</v>
      </c>
      <c r="E16" s="37">
        <v>115.21299999999999</v>
      </c>
      <c r="F16" s="37">
        <v>128.511</v>
      </c>
      <c r="G16" s="37">
        <v>122.14</v>
      </c>
      <c r="H16" s="37">
        <v>116.399</v>
      </c>
      <c r="I16" s="37">
        <v>126.854</v>
      </c>
      <c r="J16" s="37">
        <v>131.64099999999999</v>
      </c>
      <c r="K16" s="37">
        <v>105.479</v>
      </c>
      <c r="L16" s="37">
        <v>118.27200000000001</v>
      </c>
      <c r="M16" s="37">
        <v>110.965</v>
      </c>
      <c r="N16" s="37">
        <v>113.947</v>
      </c>
      <c r="O16" s="14" t="s">
        <v>37</v>
      </c>
    </row>
    <row r="17" spans="1:16" ht="18.75" x14ac:dyDescent="0.25">
      <c r="A17" s="13" t="s">
        <v>38</v>
      </c>
      <c r="B17" s="36">
        <f t="shared" si="2"/>
        <v>75.736999999999995</v>
      </c>
      <c r="C17" s="37">
        <v>3.113</v>
      </c>
      <c r="D17" s="37">
        <v>3.3879999999999999</v>
      </c>
      <c r="E17" s="37">
        <v>4.8090000000000002</v>
      </c>
      <c r="F17" s="37">
        <v>4.6159999999999997</v>
      </c>
      <c r="G17" s="37">
        <v>5.3330000000000002</v>
      </c>
      <c r="H17" s="37">
        <v>6.2489999999999997</v>
      </c>
      <c r="I17" s="37">
        <v>6.5170000000000003</v>
      </c>
      <c r="J17" s="37">
        <v>6.9950000000000001</v>
      </c>
      <c r="K17" s="37">
        <v>6.875</v>
      </c>
      <c r="L17" s="37">
        <v>9.0449999999999999</v>
      </c>
      <c r="M17" s="37">
        <v>8.75</v>
      </c>
      <c r="N17" s="37">
        <v>10.047000000000001</v>
      </c>
      <c r="O17" s="14" t="s">
        <v>39</v>
      </c>
    </row>
    <row r="18" spans="1:16" ht="18.75" x14ac:dyDescent="0.25">
      <c r="A18" s="13" t="s">
        <v>40</v>
      </c>
      <c r="B18" s="36">
        <f t="shared" si="2"/>
        <v>325.87800000000004</v>
      </c>
      <c r="C18" s="37">
        <v>24.827000000000002</v>
      </c>
      <c r="D18" s="37">
        <v>23.356000000000002</v>
      </c>
      <c r="E18" s="37">
        <v>28.146000000000001</v>
      </c>
      <c r="F18" s="37">
        <v>29.895</v>
      </c>
      <c r="G18" s="37">
        <v>27.475999999999999</v>
      </c>
      <c r="H18" s="37">
        <v>29.382999999999999</v>
      </c>
      <c r="I18" s="37">
        <v>28.541</v>
      </c>
      <c r="J18" s="37">
        <v>28.085999999999999</v>
      </c>
      <c r="K18" s="37">
        <v>25.622</v>
      </c>
      <c r="L18" s="37">
        <v>28.658000000000001</v>
      </c>
      <c r="M18" s="37">
        <v>25.206</v>
      </c>
      <c r="N18" s="37">
        <v>26.681999999999999</v>
      </c>
      <c r="O18" s="14" t="s">
        <v>41</v>
      </c>
    </row>
    <row r="19" spans="1:16" ht="18.75" x14ac:dyDescent="0.25">
      <c r="A19" s="13" t="s">
        <v>42</v>
      </c>
      <c r="B19" s="36">
        <f t="shared" si="2"/>
        <v>2046.6230000000003</v>
      </c>
      <c r="C19" s="37">
        <v>164.20699999999999</v>
      </c>
      <c r="D19" s="37">
        <v>145.82400000000001</v>
      </c>
      <c r="E19" s="37">
        <v>166.36699999999999</v>
      </c>
      <c r="F19" s="37">
        <v>177.208</v>
      </c>
      <c r="G19" s="37">
        <v>161.029</v>
      </c>
      <c r="H19" s="37">
        <v>161.834</v>
      </c>
      <c r="I19" s="37">
        <v>177.78899999999999</v>
      </c>
      <c r="J19" s="37">
        <v>176.131</v>
      </c>
      <c r="K19" s="37">
        <v>166.09200000000001</v>
      </c>
      <c r="L19" s="37">
        <v>192.15</v>
      </c>
      <c r="M19" s="37">
        <v>171.67500000000001</v>
      </c>
      <c r="N19" s="37">
        <v>186.31700000000001</v>
      </c>
      <c r="O19" s="14" t="s">
        <v>43</v>
      </c>
    </row>
    <row r="20" spans="1:16" ht="18.75" x14ac:dyDescent="0.25">
      <c r="A20" s="13" t="s">
        <v>44</v>
      </c>
      <c r="B20" s="36">
        <f t="shared" si="2"/>
        <v>740.22799999999995</v>
      </c>
      <c r="C20" s="37">
        <v>58.796999999999997</v>
      </c>
      <c r="D20" s="37">
        <v>55.168999999999997</v>
      </c>
      <c r="E20" s="37">
        <v>60.018000000000001</v>
      </c>
      <c r="F20" s="37">
        <v>66.272000000000006</v>
      </c>
      <c r="G20" s="37">
        <v>60.152000000000001</v>
      </c>
      <c r="H20" s="37">
        <v>63.238</v>
      </c>
      <c r="I20" s="37">
        <v>65.513999999999996</v>
      </c>
      <c r="J20" s="37">
        <v>65.537000000000006</v>
      </c>
      <c r="K20" s="37">
        <v>60.691000000000003</v>
      </c>
      <c r="L20" s="37">
        <v>66.962999999999994</v>
      </c>
      <c r="M20" s="37">
        <v>58.482999999999997</v>
      </c>
      <c r="N20" s="37">
        <v>59.393999999999998</v>
      </c>
      <c r="O20" s="14" t="s">
        <v>45</v>
      </c>
    </row>
    <row r="21" spans="1:16" ht="18.75" x14ac:dyDescent="0.25">
      <c r="A21" s="13" t="s">
        <v>46</v>
      </c>
      <c r="B21" s="36">
        <f t="shared" si="2"/>
        <v>401.28500000000003</v>
      </c>
      <c r="C21" s="37">
        <v>26.466000000000001</v>
      </c>
      <c r="D21" s="37">
        <v>32.225999999999999</v>
      </c>
      <c r="E21" s="37">
        <v>31.446999999999999</v>
      </c>
      <c r="F21" s="37">
        <v>35.423000000000002</v>
      </c>
      <c r="G21" s="37">
        <v>32.225999999999999</v>
      </c>
      <c r="H21" s="37">
        <v>34.926000000000002</v>
      </c>
      <c r="I21" s="37">
        <v>34.676000000000002</v>
      </c>
      <c r="J21" s="37">
        <v>35.08</v>
      </c>
      <c r="K21" s="37">
        <v>33.384999999999998</v>
      </c>
      <c r="L21" s="37">
        <v>36.756</v>
      </c>
      <c r="M21" s="37">
        <v>32.927</v>
      </c>
      <c r="N21" s="37">
        <v>35.747</v>
      </c>
      <c r="O21" s="14" t="s">
        <v>47</v>
      </c>
    </row>
    <row r="22" spans="1:16" ht="18.75" x14ac:dyDescent="0.25">
      <c r="A22" s="13" t="s">
        <v>48</v>
      </c>
      <c r="B22" s="36">
        <f t="shared" si="2"/>
        <v>333.81900000000002</v>
      </c>
      <c r="C22" s="37">
        <v>25.66</v>
      </c>
      <c r="D22" s="37">
        <v>25.89</v>
      </c>
      <c r="E22" s="37">
        <v>29.186</v>
      </c>
      <c r="F22" s="37">
        <v>30.042000000000002</v>
      </c>
      <c r="G22" s="37">
        <v>27.620999999999999</v>
      </c>
      <c r="H22" s="37">
        <v>28.634</v>
      </c>
      <c r="I22" s="37">
        <v>29.042000000000002</v>
      </c>
      <c r="J22" s="37">
        <v>27.552</v>
      </c>
      <c r="K22" s="37">
        <v>33.692999999999998</v>
      </c>
      <c r="L22" s="37">
        <v>28.457000000000001</v>
      </c>
      <c r="M22" s="37">
        <v>23.164999999999999</v>
      </c>
      <c r="N22" s="37">
        <v>24.876999999999999</v>
      </c>
      <c r="O22" s="14" t="s">
        <v>49</v>
      </c>
    </row>
    <row r="23" spans="1:16" ht="18.75" x14ac:dyDescent="0.25">
      <c r="A23" s="13" t="s">
        <v>50</v>
      </c>
      <c r="B23" s="36">
        <f t="shared" si="2"/>
        <v>232.87198999999998</v>
      </c>
      <c r="C23" s="37">
        <v>17.347999999999999</v>
      </c>
      <c r="D23" s="37">
        <v>16.929099999999998</v>
      </c>
      <c r="E23" s="37">
        <v>19.176310000000001</v>
      </c>
      <c r="F23" s="37">
        <v>20.666049999999998</v>
      </c>
      <c r="G23" s="37">
        <v>18.502749999999999</v>
      </c>
      <c r="H23" s="37">
        <v>19.532599999999999</v>
      </c>
      <c r="I23" s="37">
        <v>21.111439999999998</v>
      </c>
      <c r="J23" s="37">
        <v>20.9222</v>
      </c>
      <c r="K23" s="37">
        <v>20.389970000000002</v>
      </c>
      <c r="L23" s="37">
        <v>22.66797</v>
      </c>
      <c r="M23" s="37">
        <v>15.553100000000001</v>
      </c>
      <c r="N23" s="37">
        <v>20.072500000000002</v>
      </c>
      <c r="O23" s="14" t="s">
        <v>51</v>
      </c>
    </row>
    <row r="24" spans="1:16" ht="18.75" x14ac:dyDescent="0.25">
      <c r="A24" s="13" t="s">
        <v>52</v>
      </c>
      <c r="B24" s="36">
        <f t="shared" si="2"/>
        <v>184.84299999999999</v>
      </c>
      <c r="C24" s="37">
        <v>14.568</v>
      </c>
      <c r="D24" s="37">
        <v>13.558</v>
      </c>
      <c r="E24" s="37">
        <v>15.064</v>
      </c>
      <c r="F24" s="37">
        <v>15.064</v>
      </c>
      <c r="G24" s="37">
        <v>15.064</v>
      </c>
      <c r="H24" s="37">
        <v>16.407</v>
      </c>
      <c r="I24" s="37">
        <v>16.059999999999999</v>
      </c>
      <c r="J24" s="37">
        <v>16.077999999999999</v>
      </c>
      <c r="K24" s="37">
        <v>15.185</v>
      </c>
      <c r="L24" s="37">
        <v>16.172000000000001</v>
      </c>
      <c r="M24" s="37">
        <v>14.47</v>
      </c>
      <c r="N24" s="38">
        <v>17.152999999999999</v>
      </c>
      <c r="O24" s="14" t="s">
        <v>53</v>
      </c>
    </row>
    <row r="25" spans="1:16" ht="18.75" x14ac:dyDescent="0.25">
      <c r="A25" s="13" t="s">
        <v>54</v>
      </c>
      <c r="B25" s="36">
        <f t="shared" si="2"/>
        <v>199.37800000000001</v>
      </c>
      <c r="C25" s="37">
        <v>15.369</v>
      </c>
      <c r="D25" s="37">
        <v>13.858000000000001</v>
      </c>
      <c r="E25" s="37">
        <v>16.594999999999999</v>
      </c>
      <c r="F25" s="37">
        <v>17.568000000000001</v>
      </c>
      <c r="G25" s="37">
        <v>15.202999999999999</v>
      </c>
      <c r="H25" s="37">
        <v>17.702000000000002</v>
      </c>
      <c r="I25" s="37">
        <v>17.481000000000002</v>
      </c>
      <c r="J25" s="37">
        <v>17.265999999999998</v>
      </c>
      <c r="K25" s="37">
        <v>16.068000000000001</v>
      </c>
      <c r="L25" s="37">
        <v>18.210999999999999</v>
      </c>
      <c r="M25" s="37">
        <v>16.475999999999999</v>
      </c>
      <c r="N25" s="38">
        <v>17.581</v>
      </c>
      <c r="O25" s="14" t="s">
        <v>55</v>
      </c>
    </row>
    <row r="26" spans="1:16" s="17" customFormat="1" ht="18.75" x14ac:dyDescent="0.25">
      <c r="A26" s="2" t="s">
        <v>56</v>
      </c>
      <c r="B26" s="36">
        <f t="shared" si="2"/>
        <v>273.94</v>
      </c>
      <c r="C26" s="37">
        <v>21.454000000000001</v>
      </c>
      <c r="D26" s="37">
        <v>20.853000000000002</v>
      </c>
      <c r="E26" s="37">
        <v>23.428000000000001</v>
      </c>
      <c r="F26" s="37">
        <v>24.992000000000001</v>
      </c>
      <c r="G26" s="37">
        <v>22.981999999999999</v>
      </c>
      <c r="H26" s="37">
        <v>23.939</v>
      </c>
      <c r="I26" s="37">
        <v>24.791</v>
      </c>
      <c r="J26" s="37">
        <v>25.5</v>
      </c>
      <c r="K26" s="37">
        <v>21.234999999999999</v>
      </c>
      <c r="L26" s="37">
        <v>24.597999999999999</v>
      </c>
      <c r="M26" s="37">
        <v>19.606000000000002</v>
      </c>
      <c r="N26" s="38">
        <v>20.562000000000001</v>
      </c>
      <c r="O26" s="14" t="s">
        <v>57</v>
      </c>
    </row>
    <row r="27" spans="1:16" s="17" customFormat="1" ht="18.75" x14ac:dyDescent="0.25">
      <c r="A27" s="2" t="s">
        <v>58</v>
      </c>
      <c r="B27" s="36">
        <f t="shared" si="2"/>
        <v>656.07700000000011</v>
      </c>
      <c r="C27" s="37">
        <v>51.625</v>
      </c>
      <c r="D27" s="37">
        <v>48.965000000000003</v>
      </c>
      <c r="E27" s="37">
        <v>55.728000000000002</v>
      </c>
      <c r="F27" s="37">
        <v>62.173999999999999</v>
      </c>
      <c r="G27" s="37">
        <v>55.801000000000002</v>
      </c>
      <c r="H27" s="37">
        <v>55.662999999999997</v>
      </c>
      <c r="I27" s="37">
        <v>60.186</v>
      </c>
      <c r="J27" s="37">
        <v>58.720999999999997</v>
      </c>
      <c r="K27" s="37">
        <v>51.927999999999997</v>
      </c>
      <c r="L27" s="37">
        <v>58.351999999999997</v>
      </c>
      <c r="M27" s="37">
        <v>47.215000000000003</v>
      </c>
      <c r="N27" s="38">
        <v>49.719000000000001</v>
      </c>
      <c r="O27" s="14" t="s">
        <v>59</v>
      </c>
    </row>
    <row r="28" spans="1:16" s="17" customFormat="1" ht="18.75" x14ac:dyDescent="0.25">
      <c r="A28" s="2" t="s">
        <v>60</v>
      </c>
      <c r="B28" s="36">
        <f t="shared" si="2"/>
        <v>611.904</v>
      </c>
      <c r="C28" s="37">
        <v>48.914000000000001</v>
      </c>
      <c r="D28" s="37">
        <v>46.593000000000004</v>
      </c>
      <c r="E28" s="37">
        <v>50.893000000000001</v>
      </c>
      <c r="F28" s="37">
        <v>54.966999999999999</v>
      </c>
      <c r="G28" s="37">
        <v>49.764000000000003</v>
      </c>
      <c r="H28" s="37">
        <v>52.045000000000002</v>
      </c>
      <c r="I28" s="37">
        <v>56.712000000000003</v>
      </c>
      <c r="J28" s="37">
        <v>53.715000000000003</v>
      </c>
      <c r="K28" s="37">
        <v>48.720999999999997</v>
      </c>
      <c r="L28" s="37">
        <v>52.78</v>
      </c>
      <c r="M28" s="37">
        <v>46.218000000000004</v>
      </c>
      <c r="N28" s="38">
        <v>50.582000000000001</v>
      </c>
      <c r="O28" s="14" t="s">
        <v>61</v>
      </c>
    </row>
    <row r="29" spans="1:16" s="17" customFormat="1" ht="18.75" x14ac:dyDescent="0.25">
      <c r="A29" s="2" t="s">
        <v>62</v>
      </c>
      <c r="B29" s="36">
        <f t="shared" si="2"/>
        <v>206.63399999999999</v>
      </c>
      <c r="C29" s="37">
        <v>18.045000000000002</v>
      </c>
      <c r="D29" s="37">
        <v>15.146000000000001</v>
      </c>
      <c r="E29" s="37">
        <v>17.184999999999999</v>
      </c>
      <c r="F29" s="37">
        <v>17.922999999999998</v>
      </c>
      <c r="G29" s="37">
        <v>17.518000000000001</v>
      </c>
      <c r="H29" s="37">
        <v>16.795999999999999</v>
      </c>
      <c r="I29" s="37">
        <v>21.096</v>
      </c>
      <c r="J29" s="37">
        <v>17.077999999999999</v>
      </c>
      <c r="K29" s="37">
        <v>16.541</v>
      </c>
      <c r="L29" s="37">
        <v>15.993</v>
      </c>
      <c r="M29" s="37">
        <v>16.131</v>
      </c>
      <c r="N29" s="38">
        <v>17.181999999999999</v>
      </c>
      <c r="O29" s="14" t="s">
        <v>63</v>
      </c>
    </row>
    <row r="30" spans="1:16" s="17" customFormat="1" ht="18.75" x14ac:dyDescent="0.25">
      <c r="A30" s="2" t="s">
        <v>64</v>
      </c>
      <c r="B30" s="36">
        <f t="shared" si="2"/>
        <v>163.40299999999999</v>
      </c>
      <c r="C30" s="37">
        <v>13.206</v>
      </c>
      <c r="D30" s="37">
        <v>12.188000000000001</v>
      </c>
      <c r="E30" s="37">
        <v>14.236000000000001</v>
      </c>
      <c r="F30" s="37">
        <v>14.750999999999999</v>
      </c>
      <c r="G30" s="37">
        <v>13.887</v>
      </c>
      <c r="H30" s="37">
        <v>14.423</v>
      </c>
      <c r="I30" s="37">
        <v>14.51</v>
      </c>
      <c r="J30" s="37">
        <v>14.095000000000001</v>
      </c>
      <c r="K30" s="37">
        <v>13.068</v>
      </c>
      <c r="L30" s="37">
        <v>14.583</v>
      </c>
      <c r="M30" s="37">
        <v>12.355</v>
      </c>
      <c r="N30" s="38">
        <v>12.101000000000001</v>
      </c>
      <c r="O30" s="14" t="s">
        <v>65</v>
      </c>
      <c r="P30" s="18"/>
    </row>
    <row r="31" spans="1:16" s="17" customFormat="1" ht="18.75" x14ac:dyDescent="0.25">
      <c r="A31" s="2" t="s">
        <v>66</v>
      </c>
      <c r="B31" s="36">
        <f t="shared" si="2"/>
        <v>365.90600000000006</v>
      </c>
      <c r="C31" s="37">
        <v>27.268000000000001</v>
      </c>
      <c r="D31" s="37">
        <v>26.344999999999999</v>
      </c>
      <c r="E31" s="37">
        <v>29.19</v>
      </c>
      <c r="F31" s="37">
        <v>32.613</v>
      </c>
      <c r="G31" s="37">
        <v>29.19</v>
      </c>
      <c r="H31" s="37">
        <v>31.1</v>
      </c>
      <c r="I31" s="37">
        <v>31.47</v>
      </c>
      <c r="J31" s="37">
        <v>30.026</v>
      </c>
      <c r="K31" s="37">
        <v>28.85</v>
      </c>
      <c r="L31" s="37">
        <v>33.74</v>
      </c>
      <c r="M31" s="37">
        <v>32.055</v>
      </c>
      <c r="N31" s="38">
        <v>34.058999999999997</v>
      </c>
      <c r="O31" s="14" t="s">
        <v>67</v>
      </c>
      <c r="P31" s="18"/>
    </row>
    <row r="32" spans="1:16" s="17" customFormat="1" ht="18.75" x14ac:dyDescent="0.25">
      <c r="A32" s="2" t="s">
        <v>68</v>
      </c>
      <c r="B32" s="36">
        <f t="shared" si="2"/>
        <v>310.24800000000005</v>
      </c>
      <c r="C32" s="37">
        <v>22.149000000000001</v>
      </c>
      <c r="D32" s="37">
        <v>22.149000000000001</v>
      </c>
      <c r="E32" s="37">
        <v>26.565999999999999</v>
      </c>
      <c r="F32" s="37">
        <v>28.631</v>
      </c>
      <c r="G32" s="37">
        <v>27.131</v>
      </c>
      <c r="H32" s="37">
        <v>27.463000000000001</v>
      </c>
      <c r="I32" s="37">
        <v>25.824000000000002</v>
      </c>
      <c r="J32" s="37">
        <v>27.838999999999999</v>
      </c>
      <c r="K32" s="37">
        <v>25.445</v>
      </c>
      <c r="L32" s="37">
        <v>28.672999999999998</v>
      </c>
      <c r="M32" s="37">
        <v>24.093</v>
      </c>
      <c r="N32" s="38">
        <v>24.285</v>
      </c>
      <c r="O32" s="14" t="s">
        <v>69</v>
      </c>
      <c r="P32" s="18"/>
    </row>
    <row r="33" spans="1:16" s="17" customFormat="1" ht="18.75" x14ac:dyDescent="0.25">
      <c r="A33" s="2" t="s">
        <v>90</v>
      </c>
      <c r="B33" s="36">
        <f t="shared" si="2"/>
        <v>939.3</v>
      </c>
      <c r="C33" s="37">
        <v>74.063999999999993</v>
      </c>
      <c r="D33" s="37">
        <v>69.218999999999994</v>
      </c>
      <c r="E33" s="37">
        <v>78.695999999999998</v>
      </c>
      <c r="F33" s="37">
        <v>80.143000000000001</v>
      </c>
      <c r="G33" s="37">
        <v>73.382000000000005</v>
      </c>
      <c r="H33" s="37">
        <v>85.007999999999996</v>
      </c>
      <c r="I33" s="37">
        <v>85.007999999999996</v>
      </c>
      <c r="J33" s="37">
        <v>85.007999999999996</v>
      </c>
      <c r="K33" s="37">
        <v>82.980999999999995</v>
      </c>
      <c r="L33" s="37">
        <v>83.701999999999998</v>
      </c>
      <c r="M33" s="37">
        <v>72.117999999999995</v>
      </c>
      <c r="N33" s="38">
        <v>69.971000000000004</v>
      </c>
      <c r="O33" s="14" t="s">
        <v>70</v>
      </c>
      <c r="P33" s="18"/>
    </row>
    <row r="34" spans="1:16" s="17" customFormat="1" ht="18.75" x14ac:dyDescent="0.25">
      <c r="A34" s="2" t="s">
        <v>71</v>
      </c>
      <c r="B34" s="36">
        <f t="shared" si="2"/>
        <v>176.012</v>
      </c>
      <c r="C34" s="37">
        <v>13.593999999999999</v>
      </c>
      <c r="D34" s="37">
        <v>13.173999999999999</v>
      </c>
      <c r="E34" s="37">
        <v>14.792999999999999</v>
      </c>
      <c r="F34" s="37">
        <v>14.792</v>
      </c>
      <c r="G34" s="37">
        <v>14.227</v>
      </c>
      <c r="H34" s="37">
        <v>14.728</v>
      </c>
      <c r="I34" s="37">
        <v>14.157</v>
      </c>
      <c r="J34" s="37">
        <v>13.814</v>
      </c>
      <c r="K34" s="37">
        <v>13.721</v>
      </c>
      <c r="L34" s="37">
        <v>16.850999999999999</v>
      </c>
      <c r="M34" s="37">
        <v>15.496</v>
      </c>
      <c r="N34" s="38">
        <v>16.664999999999999</v>
      </c>
      <c r="O34" s="14" t="s">
        <v>72</v>
      </c>
      <c r="P34" s="18"/>
    </row>
    <row r="35" spans="1:16" s="17" customFormat="1" ht="18.75" x14ac:dyDescent="0.25">
      <c r="A35" s="2" t="s">
        <v>73</v>
      </c>
      <c r="B35" s="36">
        <f t="shared" si="2"/>
        <v>72.424999999999997</v>
      </c>
      <c r="C35" s="37">
        <v>5.1719999999999997</v>
      </c>
      <c r="D35" s="37">
        <v>4.7489999999999997</v>
      </c>
      <c r="E35" s="37">
        <v>5.8959999999999999</v>
      </c>
      <c r="F35" s="37">
        <v>6.2949999999999999</v>
      </c>
      <c r="G35" s="37">
        <v>6.4269999999999996</v>
      </c>
      <c r="H35" s="37">
        <v>6.585</v>
      </c>
      <c r="I35" s="37">
        <v>6.4139999999999997</v>
      </c>
      <c r="J35" s="37">
        <v>6.7549999999999999</v>
      </c>
      <c r="K35" s="37">
        <v>5.9509999999999996</v>
      </c>
      <c r="L35" s="37">
        <v>6.0190000000000001</v>
      </c>
      <c r="M35" s="37">
        <v>6.056</v>
      </c>
      <c r="N35" s="38">
        <v>6.1059999999999999</v>
      </c>
      <c r="O35" s="14" t="s">
        <v>74</v>
      </c>
      <c r="P35" s="18"/>
    </row>
    <row r="36" spans="1:16" s="17" customFormat="1" ht="18.75" x14ac:dyDescent="0.25">
      <c r="A36" s="2" t="s">
        <v>75</v>
      </c>
      <c r="B36" s="36">
        <f t="shared" si="2"/>
        <v>125.985</v>
      </c>
      <c r="C36" s="37">
        <v>9.5670000000000002</v>
      </c>
      <c r="D36" s="37">
        <v>8.6869999999999994</v>
      </c>
      <c r="E36" s="37">
        <v>9.9420000000000002</v>
      </c>
      <c r="F36" s="37">
        <v>10.765000000000001</v>
      </c>
      <c r="G36" s="37">
        <v>11.375999999999999</v>
      </c>
      <c r="H36" s="37">
        <v>10.436999999999999</v>
      </c>
      <c r="I36" s="37">
        <v>10.217000000000001</v>
      </c>
      <c r="J36" s="37">
        <v>10.617000000000001</v>
      </c>
      <c r="K36" s="37">
        <v>9.577</v>
      </c>
      <c r="L36" s="37">
        <v>10.818</v>
      </c>
      <c r="M36" s="37">
        <v>10.964</v>
      </c>
      <c r="N36" s="38">
        <v>13.018000000000001</v>
      </c>
      <c r="O36" s="14" t="s">
        <v>76</v>
      </c>
      <c r="P36" s="18"/>
    </row>
    <row r="37" spans="1:16" s="17" customFormat="1" ht="18.75" x14ac:dyDescent="0.25">
      <c r="A37" s="2" t="s">
        <v>77</v>
      </c>
      <c r="B37" s="36">
        <f t="shared" si="2"/>
        <v>405.23300000000006</v>
      </c>
      <c r="C37" s="37">
        <v>32.264000000000003</v>
      </c>
      <c r="D37" s="37">
        <v>30.805</v>
      </c>
      <c r="E37" s="37">
        <v>35.625</v>
      </c>
      <c r="F37" s="37">
        <v>35.880000000000003</v>
      </c>
      <c r="G37" s="37">
        <v>33.387</v>
      </c>
      <c r="H37" s="37">
        <v>33.988999999999997</v>
      </c>
      <c r="I37" s="37">
        <v>34.636000000000003</v>
      </c>
      <c r="J37" s="37">
        <v>35.426000000000002</v>
      </c>
      <c r="K37" s="37">
        <v>32.174999999999997</v>
      </c>
      <c r="L37" s="37">
        <v>36.136000000000003</v>
      </c>
      <c r="M37" s="37">
        <v>32.034999999999997</v>
      </c>
      <c r="N37" s="38">
        <v>32.875</v>
      </c>
      <c r="O37" s="14" t="s">
        <v>78</v>
      </c>
      <c r="P37" s="18"/>
    </row>
    <row r="38" spans="1:16" s="17" customFormat="1" ht="18.75" x14ac:dyDescent="0.25">
      <c r="A38" s="2" t="s">
        <v>79</v>
      </c>
      <c r="B38" s="36">
        <f t="shared" si="2"/>
        <v>286.56300000000005</v>
      </c>
      <c r="C38" s="37">
        <v>22.363</v>
      </c>
      <c r="D38" s="37">
        <v>20.305</v>
      </c>
      <c r="E38" s="37">
        <v>24.221</v>
      </c>
      <c r="F38" s="37">
        <v>25.46</v>
      </c>
      <c r="G38" s="37">
        <v>23.669</v>
      </c>
      <c r="H38" s="37">
        <v>24.545000000000002</v>
      </c>
      <c r="I38" s="37">
        <v>25.338999999999999</v>
      </c>
      <c r="J38" s="37">
        <v>25.36</v>
      </c>
      <c r="K38" s="37">
        <v>23.335999999999999</v>
      </c>
      <c r="L38" s="37">
        <v>26.669</v>
      </c>
      <c r="M38" s="37">
        <v>22.646999999999998</v>
      </c>
      <c r="N38" s="38">
        <v>22.649000000000001</v>
      </c>
      <c r="O38" s="14" t="s">
        <v>80</v>
      </c>
      <c r="P38" s="18"/>
    </row>
    <row r="39" spans="1:16" ht="18.75" x14ac:dyDescent="0.25">
      <c r="A39" s="13" t="s">
        <v>81</v>
      </c>
      <c r="B39" s="36">
        <f t="shared" si="2"/>
        <v>194.93700000000001</v>
      </c>
      <c r="C39" s="37">
        <v>15.348000000000001</v>
      </c>
      <c r="D39" s="37">
        <v>14.673999999999999</v>
      </c>
      <c r="E39" s="37">
        <v>16.553999999999998</v>
      </c>
      <c r="F39" s="37">
        <v>16.582000000000001</v>
      </c>
      <c r="G39" s="37">
        <v>15.24</v>
      </c>
      <c r="H39" s="37">
        <v>16.605</v>
      </c>
      <c r="I39" s="37">
        <v>16.166</v>
      </c>
      <c r="J39" s="37">
        <v>17.233000000000001</v>
      </c>
      <c r="K39" s="37">
        <v>16.009</v>
      </c>
      <c r="L39" s="37">
        <v>17.978000000000002</v>
      </c>
      <c r="M39" s="37">
        <v>15.946999999999999</v>
      </c>
      <c r="N39" s="38">
        <v>16.600999999999999</v>
      </c>
      <c r="O39" s="14" t="s">
        <v>82</v>
      </c>
      <c r="P39" s="19"/>
    </row>
    <row r="40" spans="1:16" ht="18.75" x14ac:dyDescent="0.25">
      <c r="A40" s="13" t="s">
        <v>83</v>
      </c>
      <c r="B40" s="36">
        <f t="shared" si="2"/>
        <v>202.43699999999998</v>
      </c>
      <c r="C40" s="37">
        <v>18.260000000000002</v>
      </c>
      <c r="D40" s="37">
        <v>17.782</v>
      </c>
      <c r="E40" s="37">
        <v>23.044</v>
      </c>
      <c r="F40" s="37">
        <v>18.359000000000002</v>
      </c>
      <c r="G40" s="37">
        <v>12.343</v>
      </c>
      <c r="H40" s="37">
        <v>13.967000000000001</v>
      </c>
      <c r="I40" s="37">
        <v>15.19</v>
      </c>
      <c r="J40" s="37">
        <v>18.103999999999999</v>
      </c>
      <c r="K40" s="37">
        <v>13.817</v>
      </c>
      <c r="L40" s="37">
        <v>15.531000000000001</v>
      </c>
      <c r="M40" s="37">
        <v>17.329999999999998</v>
      </c>
      <c r="N40" s="38">
        <v>18.71</v>
      </c>
      <c r="O40" s="14" t="s">
        <v>84</v>
      </c>
      <c r="P40" s="19"/>
    </row>
    <row r="41" spans="1:16" ht="18.75" x14ac:dyDescent="0.25">
      <c r="A41" s="13" t="s">
        <v>85</v>
      </c>
      <c r="B41" s="36">
        <f t="shared" si="2"/>
        <v>218.66199999999998</v>
      </c>
      <c r="C41" s="37">
        <v>17.061</v>
      </c>
      <c r="D41" s="37">
        <v>16.382000000000001</v>
      </c>
      <c r="E41" s="37">
        <v>19.085000000000001</v>
      </c>
      <c r="F41" s="37">
        <v>20.818999999999999</v>
      </c>
      <c r="G41" s="37">
        <v>16.88</v>
      </c>
      <c r="H41" s="37">
        <v>19.212</v>
      </c>
      <c r="I41" s="37">
        <v>18.875</v>
      </c>
      <c r="J41" s="37">
        <v>19.28</v>
      </c>
      <c r="K41" s="37">
        <v>16.062000000000001</v>
      </c>
      <c r="L41" s="37">
        <v>20.010000000000002</v>
      </c>
      <c r="M41" s="37">
        <v>17.454999999999998</v>
      </c>
      <c r="N41" s="38">
        <v>17.541</v>
      </c>
      <c r="O41" s="14" t="s">
        <v>86</v>
      </c>
      <c r="P41" s="19"/>
    </row>
    <row r="42" spans="1:16" s="22" customFormat="1" ht="18.75" x14ac:dyDescent="0.25">
      <c r="A42" s="20" t="s">
        <v>87</v>
      </c>
      <c r="B42" s="39">
        <f t="shared" si="2"/>
        <v>52.606000000000002</v>
      </c>
      <c r="C42" s="40">
        <v>5.8259999999999996</v>
      </c>
      <c r="D42" s="40">
        <v>5.032</v>
      </c>
      <c r="E42" s="40">
        <v>4.883</v>
      </c>
      <c r="F42" s="40">
        <v>4.2220000000000004</v>
      </c>
      <c r="G42" s="40">
        <v>4.0709999999999997</v>
      </c>
      <c r="H42" s="40">
        <v>3.9159999999999999</v>
      </c>
      <c r="I42" s="40">
        <v>3.8330000000000002</v>
      </c>
      <c r="J42" s="40">
        <v>4.0060000000000002</v>
      </c>
      <c r="K42" s="40">
        <v>3.7040000000000002</v>
      </c>
      <c r="L42" s="40">
        <v>4.1820000000000004</v>
      </c>
      <c r="M42" s="40">
        <v>4.0339999999999998</v>
      </c>
      <c r="N42" s="41">
        <v>4.8970000000000002</v>
      </c>
      <c r="O42" s="34" t="s">
        <v>88</v>
      </c>
      <c r="P42" s="21"/>
    </row>
    <row r="43" spans="1:16" s="28" customFormat="1" ht="14.25" x14ac:dyDescent="0.25">
      <c r="A43" s="23" t="s">
        <v>14</v>
      </c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6"/>
      <c r="O43" s="27" t="s">
        <v>15</v>
      </c>
    </row>
    <row r="44" spans="1:16" s="22" customFormat="1" x14ac:dyDescent="0.25">
      <c r="A44" s="29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21"/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paperSize="9" scale="64" orientation="landscape" horizontalDpi="4294967295" verticalDpi="4294967295" r:id="rId1"/>
  <rowBreaks count="1" manualBreakCount="1">
    <brk id="43" max="15" man="1"/>
  </rowBreaks>
  <ignoredErrors>
    <ignoredError sqref="B8 B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B522194-D3AA-4866-9BFD-FD326D4F6DC0}">
            <xm:f>VLOOKUP(CONCATENATE($A9,$C9),Male,COLUMN('D:\#final\[All in one 2015(150094).xlsm]Entry2015 (for other Islands) '!#REF!),FALSE)&lt;3</xm:f>
            <x14:dxf>
              <fill>
                <patternFill>
                  <bgColor theme="5" tint="0.79998168889431442"/>
                </patternFill>
              </fill>
            </x14:dxf>
          </x14:cfRule>
          <xm:sqref>J8:K8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2018-09-03T05:44:51Z</cp:lastPrinted>
  <dcterms:created xsi:type="dcterms:W3CDTF">2015-01-12T08:51:45Z</dcterms:created>
  <dcterms:modified xsi:type="dcterms:W3CDTF">2018-09-03T05:44:55Z</dcterms:modified>
</cp:coreProperties>
</file>