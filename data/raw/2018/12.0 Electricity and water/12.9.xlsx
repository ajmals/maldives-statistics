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9" sheetId="9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'12.9'!$A$1:$M$18</definedName>
  </definedNames>
  <calcPr calcId="162913"/>
</workbook>
</file>

<file path=xl/calcChain.xml><?xml version="1.0" encoding="utf-8"?>
<calcChain xmlns="http://schemas.openxmlformats.org/spreadsheetml/2006/main">
  <c r="K16" i="9" l="1"/>
  <c r="J16" i="9"/>
  <c r="I16" i="9"/>
  <c r="H16" i="9"/>
  <c r="G16" i="9"/>
  <c r="F16" i="9"/>
  <c r="D16" i="9"/>
  <c r="C16" i="9"/>
  <c r="B16" i="9"/>
  <c r="K15" i="9"/>
  <c r="J15" i="9"/>
  <c r="I15" i="9"/>
  <c r="H15" i="9"/>
  <c r="G15" i="9"/>
  <c r="F15" i="9"/>
  <c r="C15" i="9"/>
  <c r="B15" i="9"/>
  <c r="K14" i="9"/>
  <c r="J14" i="9"/>
  <c r="I14" i="9"/>
  <c r="H14" i="9"/>
  <c r="G14" i="9"/>
  <c r="F14" i="9"/>
  <c r="C14" i="9"/>
  <c r="B14" i="9"/>
  <c r="J13" i="9"/>
  <c r="B13" i="9"/>
  <c r="F12" i="9"/>
  <c r="F11" i="9"/>
  <c r="K10" i="9"/>
  <c r="H10" i="9"/>
  <c r="F10" i="9"/>
  <c r="F9" i="9" s="1"/>
  <c r="C10" i="9"/>
  <c r="D8" i="9"/>
  <c r="E16" i="9" s="1"/>
  <c r="D7" i="9"/>
  <c r="E15" i="9" s="1"/>
  <c r="D6" i="9"/>
  <c r="E14" i="9" s="1"/>
  <c r="K5" i="9"/>
  <c r="K12" i="9" s="1"/>
  <c r="J5" i="9"/>
  <c r="J12" i="9" s="1"/>
  <c r="I5" i="9"/>
  <c r="I13" i="9" s="1"/>
  <c r="H5" i="9"/>
  <c r="H13" i="9" s="1"/>
  <c r="G5" i="9"/>
  <c r="G10" i="9" s="1"/>
  <c r="F5" i="9"/>
  <c r="F13" i="9" s="1"/>
  <c r="E5" i="9"/>
  <c r="E11" i="9" s="1"/>
  <c r="C5" i="9"/>
  <c r="C12" i="9" s="1"/>
  <c r="B5" i="9"/>
  <c r="B12" i="9" s="1"/>
  <c r="I10" i="9" l="1"/>
  <c r="G11" i="9"/>
  <c r="G9" i="9" s="1"/>
  <c r="E12" i="9"/>
  <c r="C13" i="9"/>
  <c r="K13" i="9"/>
  <c r="B10" i="9"/>
  <c r="B9" i="9" s="1"/>
  <c r="J10" i="9"/>
  <c r="H11" i="9"/>
  <c r="H9" i="9" s="1"/>
  <c r="G12" i="9"/>
  <c r="I11" i="9"/>
  <c r="E13" i="9"/>
  <c r="D10" i="9"/>
  <c r="B11" i="9"/>
  <c r="J11" i="9"/>
  <c r="H12" i="9"/>
  <c r="D14" i="9"/>
  <c r="D5" i="9"/>
  <c r="E10" i="9"/>
  <c r="E9" i="9" s="1"/>
  <c r="C11" i="9"/>
  <c r="C9" i="9" s="1"/>
  <c r="K11" i="9"/>
  <c r="K9" i="9" s="1"/>
  <c r="I12" i="9"/>
  <c r="G13" i="9"/>
  <c r="D15" i="9"/>
  <c r="D12" i="9" l="1"/>
  <c r="D13" i="9"/>
  <c r="I9" i="9"/>
  <c r="D11" i="9"/>
  <c r="D9" i="9" s="1"/>
  <c r="J9" i="9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<sst xmlns="http://schemas.openxmlformats.org/spreadsheetml/2006/main" count="32" uniqueCount="20">
  <si>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</si>
  <si>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</si>
  <si>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</si>
  <si>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</si>
  <si>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</si>
  <si>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</si>
  <si>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</si>
  <si>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</si>
  <si>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</si>
  <si>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</si>
  <si>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</si>
  <si>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</si>
  <si>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</si>
  <si>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</si>
  <si>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</si>
  <si>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</si>
  <si>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</si>
  <si>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>Percentage  share</t>
  </si>
  <si>
    <t>Table 12.9 : BILLED WATER CONSUMPTION IN VILIMALE', 2010 - 2017</t>
  </si>
  <si>
    <r>
      <t xml:space="preserve">2017 - 2010  ,urwvcnim unuverukcnunEb </t>
    </r>
    <r>
      <rPr>
        <b/>
        <sz val="11"/>
        <color theme="1"/>
        <rFont val="A_Reethi"/>
      </rPr>
      <t>ވިލިމާލޭގައި</t>
    </r>
    <r>
      <rPr>
        <b/>
        <sz val="11"/>
        <color theme="1"/>
        <rFont val="A_Randhoo"/>
      </rPr>
      <t xml:space="preserve"> cnef Everukclib   :12.9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</si>
</sst>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  <font>
      <sz val="10"/>
      <name val="Arial"/>
      <family val="2"/>
      <charset val="1"/>
    </font>
    <font>
      <b/>
      <sz val="11"/>
      <color theme="1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5" fillId="0" borderId="0"/>
  </cellStyleXfs>
  <cellXfs count="39">
    <xf numFmtId="0" fontId="0" fillId="0" borderId="0" xfId="0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2" fillId="2" borderId="0" xfId="5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4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2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 readingOrder="2"/>
    </xf>
    <xf numFmtId="0" fontId="4" fillId="2" borderId="0" xfId="2" applyFont="1" applyFill="1" applyAlignment="1">
      <alignment vertical="center"/>
    </xf>
    <xf numFmtId="3" fontId="4" fillId="2" borderId="0" xfId="2" applyNumberFormat="1" applyFont="1" applyFill="1" applyAlignment="1">
      <alignment horizontal="right" vertical="center" readingOrder="2"/>
    </xf>
    <xf numFmtId="0" fontId="4" fillId="2" borderId="3" xfId="2" applyFont="1" applyFill="1" applyBorder="1" applyAlignment="1">
      <alignment vertical="center"/>
    </xf>
    <xf numFmtId="3" fontId="4" fillId="2" borderId="3" xfId="2" applyNumberFormat="1" applyFont="1" applyFill="1" applyBorder="1" applyAlignment="1">
      <alignment horizontal="right" vertical="center" readingOrder="2"/>
    </xf>
    <xf numFmtId="3" fontId="2" fillId="2" borderId="0" xfId="2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3" fontId="4" fillId="2" borderId="0" xfId="2" applyNumberFormat="1" applyFont="1" applyFill="1"/>
    <xf numFmtId="3" fontId="2" fillId="2" borderId="0" xfId="2" applyNumberFormat="1" applyFont="1" applyFill="1" applyAlignment="1">
      <alignment horizontal="right" vertical="center" readingOrder="1"/>
    </xf>
    <xf numFmtId="3" fontId="4" fillId="2" borderId="0" xfId="2" applyNumberFormat="1" applyFont="1" applyFill="1" applyAlignment="1">
      <alignment horizontal="right" vertical="center" readingOrder="1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/>
    </xf>
    <xf numFmtId="3" fontId="4" fillId="2" borderId="1" xfId="2" applyNumberFormat="1" applyFont="1" applyFill="1" applyBorder="1" applyAlignment="1">
      <alignment horizontal="right" vertical="center" readingOrder="2"/>
    </xf>
    <xf numFmtId="3" fontId="4" fillId="2" borderId="1" xfId="0" applyNumberFormat="1" applyFont="1" applyFill="1" applyBorder="1" applyAlignment="1">
      <alignment horizontal="right" vertical="center"/>
    </xf>
    <xf numFmtId="0" fontId="5" fillId="2" borderId="0" xfId="5" applyFont="1" applyFill="1"/>
    <xf numFmtId="0" fontId="4" fillId="2" borderId="0" xfId="2" applyFont="1" applyFill="1" applyBorder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 wrapText="1"/>
    </xf>
    <xf numFmtId="0" fontId="11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right" vertical="center"/>
    </xf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  <xf numFmtId="0" fontId="11" fillId="2" borderId="1" xfId="2" applyFont="1" applyFill="1" applyBorder="1" applyAlignment="1">
      <alignment horizontal="left" vertical="center" wrapText="1"/>
    </xf>
  </cellXfs>
  <cellStyles count="10">
    <cellStyle name="Comma 2" xfId="1"/>
    <cellStyle name="Comma 2 2" xfId="8"/>
    <cellStyle name="Comma 4" xfId="3"/>
    <cellStyle name="Comma 4 2" xfId="4"/>
    <cellStyle name="Normal" xfId="0" builtinId="0"/>
    <cellStyle name="Normal 2" xfId="2"/>
    <cellStyle name="Normal 2 2" xfId="6"/>
    <cellStyle name="Normal 4" xfId="9"/>
    <cellStyle name="Normal 5" xfId="7"/>
    <cellStyle name="Normal_X-5 (Electricity)" xfId="5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8"/>
  <sheetViews>
    <sheetView tabSelected="1" zoomScaleNormal="100" workbookViewId="0">
      <selection activeCell="O12" sqref="O12"/>
    </sheetView>
  </sheetViews>
  <sheetFormatPr defaultColWidth="9.140625" defaultRowHeight="12.75" x14ac:dyDescent="0.2"/>
  <cols>
    <col min="1" max="1" width="24.5703125" style="5" customWidth="1"/>
    <col min="2" max="3" width="0" style="5" hidden="1" customWidth="1"/>
    <col min="4" max="11" width="9.140625" style="5"/>
    <col min="12" max="12" width="31.28515625" style="5" customWidth="1"/>
    <col min="13" max="13" width="2.28515625" style="5" customWidth="1"/>
    <col min="14" max="16384" width="9.140625" style="5"/>
  </cols>
  <sheetData>
    <row r="1" spans="1:22" ht="21" x14ac:dyDescent="0.2">
      <c r="A1" s="35" t="s">
        <v>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4"/>
      <c r="N1" s="4"/>
      <c r="O1" s="4"/>
      <c r="P1" s="4"/>
      <c r="Q1" s="4"/>
    </row>
    <row r="2" spans="1:22" ht="15" x14ac:dyDescent="0.2">
      <c r="A2" s="36" t="s">
        <v>18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2" s="2" customFormat="1" ht="15.75" customHeight="1" x14ac:dyDescent="0.25">
      <c r="B3" s="31"/>
      <c r="C3" s="31"/>
      <c r="D3" s="37" t="s">
        <v>4</v>
      </c>
      <c r="E3" s="37"/>
      <c r="F3" s="37"/>
      <c r="G3" s="37"/>
      <c r="H3" s="38" t="s">
        <v>5</v>
      </c>
      <c r="I3" s="38"/>
      <c r="J3" s="38"/>
      <c r="K3" s="38"/>
      <c r="L3" s="30"/>
      <c r="M3" s="34"/>
      <c r="N3" s="29"/>
      <c r="O3" s="29"/>
      <c r="P3" s="29"/>
      <c r="Q3" s="29"/>
      <c r="R3" s="29"/>
      <c r="S3" s="29"/>
      <c r="T3" s="29"/>
      <c r="U3" s="29"/>
      <c r="V3" s="1"/>
    </row>
    <row r="4" spans="1:22" ht="20.25" customHeight="1" x14ac:dyDescent="0.2">
      <c r="A4" s="32" t="s">
        <v>6</v>
      </c>
      <c r="B4" s="33">
        <v>2008</v>
      </c>
      <c r="C4" s="6">
        <v>2009</v>
      </c>
      <c r="D4" s="6">
        <v>2010</v>
      </c>
      <c r="E4" s="6">
        <v>2011</v>
      </c>
      <c r="F4" s="6">
        <v>2012</v>
      </c>
      <c r="G4" s="6">
        <v>2013</v>
      </c>
      <c r="H4" s="6">
        <v>2014</v>
      </c>
      <c r="I4" s="6">
        <v>2015</v>
      </c>
      <c r="J4" s="6">
        <v>2016</v>
      </c>
      <c r="K4" s="6">
        <v>2017</v>
      </c>
      <c r="L4" s="7" t="s">
        <v>3</v>
      </c>
    </row>
    <row r="5" spans="1:22" ht="24.75" customHeight="1" x14ac:dyDescent="0.2">
      <c r="A5" s="8" t="s">
        <v>7</v>
      </c>
      <c r="B5" s="9">
        <f t="shared" ref="B5:K5" si="0">SUM(B6:B8)</f>
        <v>106.88800000000001</v>
      </c>
      <c r="C5" s="9">
        <f t="shared" si="0"/>
        <v>124.364</v>
      </c>
      <c r="D5" s="9">
        <f t="shared" si="0"/>
        <v>128.46899999999999</v>
      </c>
      <c r="E5" s="9">
        <f t="shared" si="0"/>
        <v>141.505</v>
      </c>
      <c r="F5" s="9">
        <f t="shared" si="0"/>
        <v>172.8</v>
      </c>
      <c r="G5" s="14">
        <f t="shared" si="0"/>
        <v>191.95517000000004</v>
      </c>
      <c r="H5" s="14">
        <f t="shared" si="0"/>
        <v>191.79549</v>
      </c>
      <c r="I5" s="14">
        <f t="shared" si="0"/>
        <v>207.66131999999999</v>
      </c>
      <c r="J5" s="14">
        <f t="shared" si="0"/>
        <v>232.48755999999997</v>
      </c>
      <c r="K5" s="14">
        <f t="shared" si="0"/>
        <v>249.613</v>
      </c>
      <c r="L5" s="15" t="s">
        <v>8</v>
      </c>
    </row>
    <row r="6" spans="1:22" ht="24.75" customHeight="1" x14ac:dyDescent="0.2">
      <c r="A6" s="10" t="s">
        <v>9</v>
      </c>
      <c r="B6" s="11">
        <v>80.188000000000002</v>
      </c>
      <c r="C6" s="11">
        <v>96.51</v>
      </c>
      <c r="D6" s="11">
        <f>103588/1000</f>
        <v>103.58799999999999</v>
      </c>
      <c r="E6" s="11">
        <v>120.59399999999999</v>
      </c>
      <c r="F6" s="11">
        <v>147</v>
      </c>
      <c r="G6" s="11">
        <v>158.71820000000002</v>
      </c>
      <c r="H6" s="11">
        <v>162.911</v>
      </c>
      <c r="I6" s="11">
        <v>175.81640999999999</v>
      </c>
      <c r="J6" s="11">
        <v>191.31120999999999</v>
      </c>
      <c r="K6" s="11">
        <v>202.28</v>
      </c>
      <c r="L6" s="25" t="s">
        <v>10</v>
      </c>
    </row>
    <row r="7" spans="1:22" ht="24.75" customHeight="1" x14ac:dyDescent="0.2">
      <c r="A7" s="10" t="s">
        <v>11</v>
      </c>
      <c r="B7" s="11">
        <v>20.242000000000001</v>
      </c>
      <c r="C7" s="11">
        <v>20.561</v>
      </c>
      <c r="D7" s="11">
        <f>18390/1000</f>
        <v>18.39</v>
      </c>
      <c r="E7" s="11">
        <v>14.449</v>
      </c>
      <c r="F7" s="11">
        <v>19</v>
      </c>
      <c r="G7" s="11">
        <v>23.310820000000003</v>
      </c>
      <c r="H7" s="11">
        <v>16.90738</v>
      </c>
      <c r="I7" s="11">
        <v>18.244800000000001</v>
      </c>
      <c r="J7" s="11">
        <v>23.895499999999998</v>
      </c>
      <c r="K7" s="11">
        <v>27.135999999999999</v>
      </c>
      <c r="L7" s="25" t="s">
        <v>12</v>
      </c>
    </row>
    <row r="8" spans="1:22" ht="24.75" customHeight="1" x14ac:dyDescent="0.2">
      <c r="A8" s="12" t="s">
        <v>13</v>
      </c>
      <c r="B8" s="13">
        <v>6.4580000000000002</v>
      </c>
      <c r="C8" s="13">
        <v>7.2930000000000001</v>
      </c>
      <c r="D8" s="13">
        <f>6491/1000</f>
        <v>6.4909999999999997</v>
      </c>
      <c r="E8" s="13">
        <v>6.4619999999999997</v>
      </c>
      <c r="F8" s="13">
        <v>6.8</v>
      </c>
      <c r="G8" s="13">
        <v>9.9261499999999998</v>
      </c>
      <c r="H8" s="13">
        <v>11.97711</v>
      </c>
      <c r="I8" s="13">
        <v>13.600110000000003</v>
      </c>
      <c r="J8" s="13">
        <v>17.280850000000001</v>
      </c>
      <c r="K8" s="13">
        <v>20.196999999999999</v>
      </c>
      <c r="L8" s="26" t="s">
        <v>14</v>
      </c>
    </row>
    <row r="9" spans="1:22" ht="24.75" customHeight="1" x14ac:dyDescent="0.2">
      <c r="A9" s="27" t="s">
        <v>17</v>
      </c>
      <c r="B9" s="14">
        <f t="shared" ref="B9:I9" si="1">SUM(B10:B12)</f>
        <v>100</v>
      </c>
      <c r="C9" s="14">
        <f t="shared" si="1"/>
        <v>100</v>
      </c>
      <c r="D9" s="14">
        <f t="shared" si="1"/>
        <v>99.999999999999986</v>
      </c>
      <c r="E9" s="14">
        <f t="shared" si="1"/>
        <v>100</v>
      </c>
      <c r="F9" s="14">
        <f t="shared" si="1"/>
        <v>100</v>
      </c>
      <c r="G9" s="14">
        <f t="shared" si="1"/>
        <v>100</v>
      </c>
      <c r="H9" s="14">
        <f t="shared" si="1"/>
        <v>100</v>
      </c>
      <c r="I9" s="14">
        <f t="shared" si="1"/>
        <v>100</v>
      </c>
      <c r="J9" s="14">
        <f>SUM(J10:J12)</f>
        <v>100.00000000000001</v>
      </c>
      <c r="K9" s="14">
        <f>SUM(K10:K12)</f>
        <v>100</v>
      </c>
      <c r="L9" s="15" t="s">
        <v>0</v>
      </c>
    </row>
    <row r="10" spans="1:22" ht="24.75" customHeight="1" x14ac:dyDescent="0.2">
      <c r="A10" s="10" t="s">
        <v>9</v>
      </c>
      <c r="B10" s="11">
        <f t="shared" ref="B10:F10" si="2">B6/B5*100</f>
        <v>75.020582291744631</v>
      </c>
      <c r="C10" s="11">
        <f t="shared" si="2"/>
        <v>77.602843266540162</v>
      </c>
      <c r="D10" s="11">
        <f t="shared" si="2"/>
        <v>80.632681814289825</v>
      </c>
      <c r="E10" s="11">
        <f t="shared" si="2"/>
        <v>85.22243030281615</v>
      </c>
      <c r="F10" s="11">
        <f t="shared" si="2"/>
        <v>85.069444444444443</v>
      </c>
      <c r="G10" s="11">
        <f>G6/G5*100</f>
        <v>82.685035261097681</v>
      </c>
      <c r="H10" s="11">
        <f>H6/H5*100</f>
        <v>84.939953489000189</v>
      </c>
      <c r="I10" s="11">
        <f>I6/I5*100</f>
        <v>84.664977570209032</v>
      </c>
      <c r="J10" s="11">
        <f>J6/J5*100</f>
        <v>82.288794290756897</v>
      </c>
      <c r="K10" s="11">
        <f>K6/K5*100</f>
        <v>81.037445966355918</v>
      </c>
      <c r="L10" s="25" t="s">
        <v>10</v>
      </c>
      <c r="P10" s="16"/>
    </row>
    <row r="11" spans="1:22" ht="24.75" customHeight="1" x14ac:dyDescent="0.2">
      <c r="A11" s="10" t="s">
        <v>11</v>
      </c>
      <c r="B11" s="11">
        <f t="shared" ref="B11:F11" si="3">B7/B5*100</f>
        <v>18.937579522490832</v>
      </c>
      <c r="C11" s="11">
        <f t="shared" si="3"/>
        <v>16.532919494387443</v>
      </c>
      <c r="D11" s="11">
        <f t="shared" si="3"/>
        <v>14.31473740746795</v>
      </c>
      <c r="E11" s="11">
        <f t="shared" si="3"/>
        <v>10.210946609660436</v>
      </c>
      <c r="F11" s="11">
        <f t="shared" si="3"/>
        <v>10.995370370370368</v>
      </c>
      <c r="G11" s="11">
        <f>G7/G5*100</f>
        <v>12.143887554578498</v>
      </c>
      <c r="H11" s="11">
        <f>H7/H5*100</f>
        <v>8.8153167730899185</v>
      </c>
      <c r="I11" s="11">
        <f>I7/I5*100</f>
        <v>8.7858441812851815</v>
      </c>
      <c r="J11" s="11">
        <f>J7/J5*100</f>
        <v>10.278184346723757</v>
      </c>
      <c r="K11" s="11">
        <f>K7/K5*100</f>
        <v>10.871228661968727</v>
      </c>
      <c r="L11" s="25" t="s">
        <v>12</v>
      </c>
    </row>
    <row r="12" spans="1:22" ht="24.75" customHeight="1" x14ac:dyDescent="0.2">
      <c r="A12" s="12" t="s">
        <v>13</v>
      </c>
      <c r="B12" s="13">
        <f t="shared" ref="B12:F12" si="4">B8/B5*100</f>
        <v>6.0418381857645382</v>
      </c>
      <c r="C12" s="13">
        <f t="shared" si="4"/>
        <v>5.8642372390724002</v>
      </c>
      <c r="D12" s="13">
        <f t="shared" si="4"/>
        <v>5.0525807782422216</v>
      </c>
      <c r="E12" s="13">
        <f t="shared" si="4"/>
        <v>4.5666230875234088</v>
      </c>
      <c r="F12" s="13">
        <f t="shared" si="4"/>
        <v>3.9351851851851847</v>
      </c>
      <c r="G12" s="13">
        <f>G8/G5*100</f>
        <v>5.1710771843238179</v>
      </c>
      <c r="H12" s="13">
        <f>H8/H5*100</f>
        <v>6.2447297379098954</v>
      </c>
      <c r="I12" s="13">
        <f>I8/I5*100</f>
        <v>6.5491782485057897</v>
      </c>
      <c r="J12" s="13">
        <f>J8/J5*100</f>
        <v>7.433021362519356</v>
      </c>
      <c r="K12" s="13">
        <f>K8/K5*100</f>
        <v>8.091325371675353</v>
      </c>
      <c r="L12" s="26" t="s">
        <v>14</v>
      </c>
    </row>
    <row r="13" spans="1:22" ht="24.75" customHeight="1" x14ac:dyDescent="0.2">
      <c r="A13" s="8" t="s">
        <v>1</v>
      </c>
      <c r="B13" s="9" t="e">
        <f>(B5-#REF!)/#REF!*100</f>
        <v>#REF!</v>
      </c>
      <c r="C13" s="9">
        <f t="shared" ref="C13:K16" si="5">(C5-B5)/B5*100</f>
        <v>16.349824114961454</v>
      </c>
      <c r="D13" s="9">
        <f t="shared" si="5"/>
        <v>3.3007944421215059</v>
      </c>
      <c r="E13" s="9">
        <f t="shared" si="5"/>
        <v>10.147195043162165</v>
      </c>
      <c r="F13" s="17">
        <f t="shared" si="5"/>
        <v>22.115826295890617</v>
      </c>
      <c r="G13" s="17">
        <f t="shared" si="5"/>
        <v>11.085167824074089</v>
      </c>
      <c r="H13" s="17">
        <f t="shared" si="5"/>
        <v>-8.3186089752121342E-2</v>
      </c>
      <c r="I13" s="17">
        <f t="shared" si="5"/>
        <v>8.2722643791050494</v>
      </c>
      <c r="J13" s="17">
        <f>(J5-I5)/I5*100</f>
        <v>11.955158524466658</v>
      </c>
      <c r="K13" s="17">
        <f>(K5-J5)/J5*100</f>
        <v>7.3661747751148612</v>
      </c>
      <c r="L13" s="15" t="s">
        <v>2</v>
      </c>
    </row>
    <row r="14" spans="1:22" ht="24.75" customHeight="1" x14ac:dyDescent="0.2">
      <c r="A14" s="10" t="s">
        <v>9</v>
      </c>
      <c r="B14" s="11" t="e">
        <f>(B6-#REF!)/#REF!*100</f>
        <v>#REF!</v>
      </c>
      <c r="C14" s="11">
        <f>(C6-B6)/B6*100</f>
        <v>20.354666533645936</v>
      </c>
      <c r="D14" s="11">
        <f t="shared" si="5"/>
        <v>7.3339550305667691</v>
      </c>
      <c r="E14" s="11">
        <f t="shared" si="5"/>
        <v>16.416959493377611</v>
      </c>
      <c r="F14" s="18">
        <f t="shared" si="5"/>
        <v>21.896611771729944</v>
      </c>
      <c r="G14" s="18">
        <f t="shared" si="5"/>
        <v>7.9715646258503563</v>
      </c>
      <c r="H14" s="18">
        <f t="shared" si="5"/>
        <v>2.6416630228921298</v>
      </c>
      <c r="I14" s="18">
        <f t="shared" si="5"/>
        <v>7.9217548231856592</v>
      </c>
      <c r="J14" s="18">
        <f t="shared" si="5"/>
        <v>8.813056756192438</v>
      </c>
      <c r="K14" s="18">
        <f t="shared" si="5"/>
        <v>5.7334800192837694</v>
      </c>
      <c r="L14" s="25" t="s">
        <v>10</v>
      </c>
    </row>
    <row r="15" spans="1:22" ht="24.75" customHeight="1" x14ac:dyDescent="0.2">
      <c r="A15" s="10" t="s">
        <v>11</v>
      </c>
      <c r="B15" s="11" t="e">
        <f>(B7-#REF!)/#REF!*100</f>
        <v>#REF!</v>
      </c>
      <c r="C15" s="11">
        <f>(C7-B7)/B7*100</f>
        <v>1.5759312320916861</v>
      </c>
      <c r="D15" s="19">
        <f t="shared" si="5"/>
        <v>-10.558824959875489</v>
      </c>
      <c r="E15" s="19">
        <f t="shared" si="5"/>
        <v>-21.43012506797173</v>
      </c>
      <c r="F15" s="19">
        <f t="shared" si="5"/>
        <v>31.496989411031905</v>
      </c>
      <c r="G15" s="19">
        <f t="shared" si="5"/>
        <v>22.688526315789488</v>
      </c>
      <c r="H15" s="19">
        <f t="shared" si="5"/>
        <v>-27.469818736535235</v>
      </c>
      <c r="I15" s="19">
        <f t="shared" si="5"/>
        <v>7.9102735018672421</v>
      </c>
      <c r="J15" s="19">
        <f>(J7-I7)/I7*100</f>
        <v>30.971564500570004</v>
      </c>
      <c r="K15" s="19">
        <f>(K7-J7)/J7*100</f>
        <v>13.561130756837066</v>
      </c>
      <c r="L15" s="25" t="s">
        <v>12</v>
      </c>
    </row>
    <row r="16" spans="1:22" ht="24.75" customHeight="1" x14ac:dyDescent="0.2">
      <c r="A16" s="20" t="s">
        <v>13</v>
      </c>
      <c r="B16" s="21" t="e">
        <f>(B8-#REF!)/#REF!*100</f>
        <v>#REF!</v>
      </c>
      <c r="C16" s="22">
        <f>(C8-B8)/B8*100</f>
        <v>12.929699597398574</v>
      </c>
      <c r="D16" s="22">
        <f t="shared" si="5"/>
        <v>-10.996846290963944</v>
      </c>
      <c r="E16" s="22">
        <f t="shared" si="5"/>
        <v>-0.44677245416730726</v>
      </c>
      <c r="F16" s="22">
        <f t="shared" si="5"/>
        <v>5.2305787681832268</v>
      </c>
      <c r="G16" s="22">
        <f t="shared" si="5"/>
        <v>45.972794117647062</v>
      </c>
      <c r="H16" s="22">
        <f t="shared" si="5"/>
        <v>20.662190275182223</v>
      </c>
      <c r="I16" s="22">
        <f t="shared" si="5"/>
        <v>13.550848243023591</v>
      </c>
      <c r="J16" s="22">
        <f>(J8-I8)/I8*100</f>
        <v>27.064045805511849</v>
      </c>
      <c r="K16" s="22">
        <f>(K8-J8)/J8*100</f>
        <v>16.875037975562535</v>
      </c>
      <c r="L16" s="28" t="s">
        <v>14</v>
      </c>
    </row>
    <row r="17" spans="1:12" ht="15.75" x14ac:dyDescent="0.4">
      <c r="A17" s="23" t="s">
        <v>16</v>
      </c>
      <c r="D17" s="24"/>
      <c r="E17" s="24"/>
      <c r="F17" s="24"/>
      <c r="G17" s="24"/>
      <c r="H17" s="24"/>
      <c r="I17" s="24"/>
      <c r="J17" s="24"/>
      <c r="K17" s="24"/>
      <c r="L17" s="3" t="s">
        <v>15</v>
      </c>
    </row>
    <row r="18" spans="1:12" ht="15.75" x14ac:dyDescent="0.4">
      <c r="F18" s="3"/>
      <c r="G18" s="3"/>
      <c r="H18" s="3"/>
      <c r="I18" s="3"/>
      <c r="J18" s="3"/>
      <c r="K18" s="3"/>
    </row>
  </sheetData>
  <mergeCells count="4">
    <mergeCell ref="A1:L1"/>
    <mergeCell ref="A2:L2"/>
    <mergeCell ref="D3:G3"/>
    <mergeCell ref="H3:K3"/>
  </mergeCells>
  <pageMargins left="0.7" right="0.35" top="0.75" bottom="0.75" header="0.3" footer="0.3"/>
  <pageSetup paperSize="9" scale="10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2018-03-20T05:56:53Z</cp:lastPrinted>
  <dcterms:created xsi:type="dcterms:W3CDTF">2015-01-12T08:51:45Z</dcterms:created>
  <dcterms:modified xsi:type="dcterms:W3CDTF">2018-03-20T05:56:57Z</dcterms:modified>
</cp:coreProperties>
</file>