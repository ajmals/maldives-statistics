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4" sheetId="21" r:id="rId1"/>
  </sheets>
  <externalReferences>
    <externalReference r:id="rId2"/>
    <externalReference r:id="rId3"/>
    <externalReference r:id="rId4"/>
    <externalReference r:id="rId5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'12.4'!$A$1:$P$42</definedName>
  </definedNames>
  <calcPr calcId="162913"/>
</workbook>
</file>

<file path=xl/calcChain.xml><?xml version="1.0" encoding="utf-8"?>
<calcChain xmlns="http://schemas.openxmlformats.org/spreadsheetml/2006/main">
  <c r="B41" i="21" l="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N9" i="21"/>
  <c r="M9" i="21"/>
  <c r="M5" i="21" s="1"/>
  <c r="L9" i="21"/>
  <c r="L5" i="21" s="1"/>
  <c r="K9" i="21"/>
  <c r="K5" i="21" s="1"/>
  <c r="J9" i="21"/>
  <c r="J5" i="21" s="1"/>
  <c r="I9" i="21"/>
  <c r="I5" i="21" s="1"/>
  <c r="H9" i="21"/>
  <c r="H5" i="21" s="1"/>
  <c r="G9" i="21"/>
  <c r="G5" i="21" s="1"/>
  <c r="F9" i="21"/>
  <c r="F5" i="21" s="1"/>
  <c r="E9" i="21"/>
  <c r="E5" i="21" s="1"/>
  <c r="D9" i="21"/>
  <c r="D5" i="21" s="1"/>
  <c r="C9" i="21"/>
  <c r="C5" i="21" s="1"/>
  <c r="B8" i="21"/>
  <c r="B7" i="21"/>
  <c r="B6" i="21"/>
  <c r="N5" i="21"/>
  <c r="B9" i="21" l="1"/>
  <c r="B5" i="21"/>
</calcChain>
</file>

<file path=xl/sharedStrings.xml><?xml version="1.0" encoding="utf-8"?>
<sst xmlns="http://schemas.openxmlformats.org/spreadsheetml/2006/main" count="93" uniqueCount="92">
  <si>
    <t>wlcmuj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</si>
  <si>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</si>
  <si>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</si>
  <si>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</si>
  <si>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</si>
  <si>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</si>
  <si>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</si>
  <si>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</si>
  <si>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</si>
  <si>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</si>
  <si>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</si>
  <si>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</si>
  <si>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</si>
  <si>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State Electric Company Limited</t>
  </si>
  <si>
    <t>cDeTimil Inepcmok ckircTckeliacTETcs :ctWrwf ivcaedutWmUluAwm</t>
  </si>
  <si>
    <t>Locality</t>
  </si>
  <si>
    <t>Total</t>
  </si>
  <si>
    <t>K.Male'</t>
  </si>
  <si>
    <t>ކ. މާލެ</t>
  </si>
  <si>
    <t>K.Villingili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</si>
  <si>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</si>
  <si>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</si>
  <si>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</si>
  <si>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</si>
  <si>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</si>
  <si>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</si>
  <si>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</si>
  <si>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</si>
  <si>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</si>
  <si>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</si>
  <si>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</si>
  <si>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</si>
  <si>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</si>
  <si>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</si>
  <si>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</si>
  <si>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</si>
  <si>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</si>
  <si>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</si>
  <si>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</si>
  <si>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</si>
  <si>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</si>
  <si>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</si>
  <si>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</si>
  <si>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</si>
  <si>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</si>
  <si>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</si>
  <si>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</si>
  <si>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</si>
  <si>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</si>
  <si>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</si>
  <si>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</si>
  <si>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</si>
  <si>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</si>
  <si>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</si>
  <si>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</si>
  <si>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</si>
  <si>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</si>
  <si>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</si>
  <si>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</si>
  <si>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</si>
  <si>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</si>
  <si>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</si>
  <si>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</si>
  <si>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</si>
  <si>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</si>
  <si>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</si>
  <si>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</si>
  <si>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</si>
  <si>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</si>
  <si>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</si>
  <si>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</si>
  <si>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</si>
  <si>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</si>
  <si>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</si>
  <si>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</si>
  <si>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</si>
  <si>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</si>
  <si>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</si>
  <si>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</si>
  <si>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</si>
  <si>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</si>
  <si>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</si>
  <si>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</si>
  <si>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</si>
  <si>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</si>
  <si>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</si>
  <si>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</si>
  <si>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</si>
  <si>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</si>
  <si>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(In '000 litres)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</si>
  <si>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2017</t>
  </si>
  <si>
    <t>Table  12.4 :   MONTHLY CONSUMPTION OF LUBRICATION OIL FOR ELECTRICITY GENERATION IN SELECTED LOCALITIES BY PUBLIC SECTOR,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</si>
</sst>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6" formatCode="#,##0.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Garamond"/>
      <family val="1"/>
    </font>
    <font>
      <b/>
      <sz val="10"/>
      <name val="Faruma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9"/>
      <color theme="1"/>
      <name val="Calibri"/>
      <family val="2"/>
      <scheme val="minor"/>
    </font>
    <font>
      <sz val="10"/>
      <name val="Faruma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_Faseyha"/>
    </font>
    <font>
      <sz val="10"/>
      <color theme="1"/>
      <name val="Faruma"/>
    </font>
    <font>
      <sz val="9"/>
      <color theme="1"/>
      <name val="A_Faseyha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2" fillId="0" borderId="0"/>
  </cellStyleXfs>
  <cellXfs count="54">
    <xf numFmtId="0" fontId="0" fillId="0" borderId="0" xfId="0"/>
    <xf numFmtId="0" fontId="14" fillId="2" borderId="15" xfId="0" applyFont="1" applyFill="1" applyBorder="1" applyAlignment="1">
      <alignment horizontal="right" vertical="center"/>
    </xf>
    <xf numFmtId="0" fontId="10" fillId="2" borderId="15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4" fillId="2" borderId="10" xfId="0" applyFont="1" applyFill="1" applyBorder="1" applyAlignment="1">
      <alignment horizontal="right" vertical="center"/>
    </xf>
    <xf numFmtId="0" fontId="16" fillId="2" borderId="8" xfId="2" applyFont="1" applyFill="1" applyBorder="1" applyAlignment="1">
      <alignment vertical="center"/>
    </xf>
    <xf numFmtId="0" fontId="17" fillId="2" borderId="8" xfId="2" applyFont="1" applyFill="1" applyBorder="1" applyAlignment="1">
      <alignment vertical="center"/>
    </xf>
    <xf numFmtId="0" fontId="19" fillId="2" borderId="14" xfId="0" applyFont="1" applyFill="1" applyBorder="1" applyAlignment="1">
      <alignment horizontal="right" vertical="center"/>
    </xf>
    <xf numFmtId="0" fontId="6" fillId="2" borderId="7" xfId="2" applyFont="1" applyFill="1" applyBorder="1" applyAlignment="1">
      <alignment vertical="center"/>
    </xf>
    <xf numFmtId="0" fontId="6" fillId="2" borderId="13" xfId="2" applyFont="1" applyFill="1" applyBorder="1" applyAlignment="1">
      <alignment horizontal="right" vertical="center"/>
    </xf>
    <xf numFmtId="0" fontId="8" fillId="2" borderId="7" xfId="2" applyFont="1" applyFill="1" applyBorder="1" applyAlignment="1">
      <alignment vertical="center"/>
    </xf>
    <xf numFmtId="0" fontId="8" fillId="2" borderId="8" xfId="2" applyFont="1" applyFill="1" applyBorder="1" applyAlignment="1">
      <alignment vertical="center"/>
    </xf>
    <xf numFmtId="0" fontId="2" fillId="2" borderId="15" xfId="0" applyFont="1" applyFill="1" applyBorder="1" applyAlignment="1">
      <alignment horizontal="left" vertical="center"/>
    </xf>
    <xf numFmtId="0" fontId="18" fillId="2" borderId="17" xfId="0" applyFont="1" applyFill="1" applyBorder="1" applyAlignment="1">
      <alignment horizontal="right" vertical="center"/>
    </xf>
    <xf numFmtId="0" fontId="22" fillId="2" borderId="8" xfId="2" applyFont="1" applyFill="1" applyBorder="1" applyAlignment="1">
      <alignment vertical="center"/>
    </xf>
    <xf numFmtId="0" fontId="5" fillId="2" borderId="15" xfId="0" applyFont="1" applyFill="1" applyBorder="1" applyAlignment="1">
      <alignment horizontal="left" vertical="center"/>
    </xf>
    <xf numFmtId="166" fontId="2" fillId="2" borderId="0" xfId="0" applyNumberFormat="1" applyFont="1" applyFill="1" applyBorder="1" applyAlignment="1">
      <alignment horizontal="right" vertical="center"/>
    </xf>
    <xf numFmtId="0" fontId="19" fillId="2" borderId="15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left" vertical="center"/>
    </xf>
    <xf numFmtId="0" fontId="1" fillId="2" borderId="8" xfId="2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right" vertical="center"/>
    </xf>
    <xf numFmtId="0" fontId="1" fillId="2" borderId="3" xfId="2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right" vertical="center"/>
    </xf>
    <xf numFmtId="0" fontId="1" fillId="2" borderId="0" xfId="2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19" fillId="2" borderId="0" xfId="0" applyFont="1" applyFill="1" applyBorder="1" applyAlignment="1">
      <alignment horizontal="right" vertical="center"/>
    </xf>
    <xf numFmtId="0" fontId="22" fillId="2" borderId="0" xfId="2" applyFont="1" applyFill="1" applyBorder="1" applyAlignment="1">
      <alignment vertical="center"/>
    </xf>
    <xf numFmtId="0" fontId="21" fillId="2" borderId="0" xfId="2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7" fillId="2" borderId="0" xfId="2" applyFont="1" applyFill="1" applyBorder="1" applyAlignment="1">
      <alignment vertical="center"/>
    </xf>
    <xf numFmtId="0" fontId="4" fillId="2" borderId="6" xfId="2" applyFont="1" applyFill="1" applyBorder="1" applyAlignment="1" applyProtection="1">
      <alignment horizontal="left" vertical="top"/>
    </xf>
    <xf numFmtId="0" fontId="7" fillId="2" borderId="6" xfId="2" applyFont="1" applyFill="1" applyBorder="1" applyAlignment="1">
      <alignment vertical="center"/>
    </xf>
    <xf numFmtId="0" fontId="20" fillId="2" borderId="0" xfId="0" applyFont="1" applyFill="1" applyBorder="1" applyAlignment="1">
      <alignment horizontal="right" vertical="top"/>
    </xf>
    <xf numFmtId="0" fontId="16" fillId="2" borderId="0" xfId="2" applyFont="1" applyFill="1" applyBorder="1" applyAlignment="1">
      <alignment vertical="center"/>
    </xf>
    <xf numFmtId="43" fontId="16" fillId="2" borderId="0" xfId="2" applyNumberFormat="1" applyFont="1" applyFill="1" applyBorder="1" applyAlignment="1">
      <alignment vertical="center"/>
    </xf>
    <xf numFmtId="166" fontId="2" fillId="2" borderId="11" xfId="0" applyNumberFormat="1" applyFont="1" applyFill="1" applyBorder="1" applyAlignment="1">
      <alignment horizontal="right" vertical="center"/>
    </xf>
    <xf numFmtId="166" fontId="2" fillId="2" borderId="14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Border="1" applyAlignment="1">
      <alignment horizontal="right" vertical="center"/>
    </xf>
    <xf numFmtId="166" fontId="3" fillId="2" borderId="5" xfId="0" applyNumberFormat="1" applyFont="1" applyFill="1" applyBorder="1" applyAlignment="1">
      <alignment horizontal="right" vertical="center"/>
    </xf>
    <xf numFmtId="166" fontId="2" fillId="2" borderId="12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166" fontId="3" fillId="2" borderId="4" xfId="0" applyNumberFormat="1" applyFont="1" applyFill="1" applyBorder="1" applyAlignment="1">
      <alignment horizontal="right" vertical="center"/>
    </xf>
    <xf numFmtId="0" fontId="6" fillId="2" borderId="7" xfId="2" applyFont="1" applyFill="1" applyBorder="1" applyAlignment="1" applyProtection="1">
      <alignment horizontal="right" vertical="center"/>
    </xf>
    <xf numFmtId="0" fontId="15" fillId="2" borderId="14" xfId="2" applyFont="1" applyFill="1" applyBorder="1" applyAlignment="1">
      <alignment horizontal="center" vertical="center"/>
    </xf>
    <xf numFmtId="0" fontId="15" fillId="2" borderId="15" xfId="2" applyFont="1" applyFill="1" applyBorder="1" applyAlignment="1">
      <alignment horizontal="center" vertical="center"/>
    </xf>
    <xf numFmtId="0" fontId="15" fillId="2" borderId="9" xfId="2" applyFont="1" applyFill="1" applyBorder="1" applyAlignment="1">
      <alignment horizontal="center" vertical="center"/>
    </xf>
    <xf numFmtId="0" fontId="6" fillId="2" borderId="14" xfId="2" applyFont="1" applyFill="1" applyBorder="1" applyAlignment="1" applyProtection="1">
      <alignment horizontal="center" vertical="center"/>
    </xf>
    <xf numFmtId="0" fontId="6" fillId="2" borderId="15" xfId="2" applyFont="1" applyFill="1" applyBorder="1" applyAlignment="1" applyProtection="1">
      <alignment horizontal="center" vertical="center"/>
    </xf>
    <xf numFmtId="0" fontId="6" fillId="2" borderId="9" xfId="2" applyFont="1" applyFill="1" applyBorder="1" applyAlignment="1" applyProtection="1">
      <alignment horizontal="center" vertical="center"/>
    </xf>
    <xf numFmtId="0" fontId="13" fillId="2" borderId="12" xfId="2" applyFont="1" applyFill="1" applyBorder="1" applyAlignment="1" applyProtection="1">
      <alignment horizontal="center" vertical="center"/>
    </xf>
    <xf numFmtId="0" fontId="13" fillId="2" borderId="16" xfId="2" applyFont="1" applyFill="1" applyBorder="1" applyAlignment="1" applyProtection="1">
      <alignment horizontal="center" vertical="center"/>
    </xf>
    <xf numFmtId="0" fontId="13" fillId="2" borderId="10" xfId="2" applyFont="1" applyFill="1" applyBorder="1" applyAlignment="1" applyProtection="1">
      <alignment horizontal="center" vertical="center"/>
    </xf>
  </cellXfs>
  <cellStyles count="9">
    <cellStyle name="Comma 2" xfId="1"/>
    <cellStyle name="Comma 2 2" xfId="7"/>
    <cellStyle name="Comma 4" xfId="3"/>
    <cellStyle name="Comma 4 2" xfId="4"/>
    <cellStyle name="Normal" xfId="0" builtinId="0"/>
    <cellStyle name="Normal 2" xfId="2"/>
    <cellStyle name="Normal 2 2" xfId="5"/>
    <cellStyle name="Normal 4" xfId="8"/>
    <cellStyle name="Normal 5" xfId="6"/>
  </cellStyles>
  <dxfs count="1">
    <dxf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Desktop\Copy%20of%2012%20%20ELECTRICITY%20%20WATER%20_%20STELCO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%23final\All%20in%20one%202015(150094)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2%20%20ELECTRICITY%20%20WATER%20-%20NDM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 t="str">
            <v/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 t="str">
            <v/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 t="str">
            <v/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 t="str">
            <v/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 t="str">
            <v/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 t="str">
            <v/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 t="str">
            <v/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 t="str">
            <v/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 t="str">
            <v/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 t="str">
            <v/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 t="str">
            <v/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 t="str">
            <v/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 t="str">
            <v/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 t="str">
            <v/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 t="str">
            <v/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 t="str">
            <v/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 t="str">
            <v/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 t="str">
            <v/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 t="str">
            <v/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 t="str">
            <v/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 t="str">
            <v/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 t="str">
            <v/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 t="str">
            <v/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 t="str">
            <v/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 t="str">
            <v/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 t="str">
            <v/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 t="str">
            <v/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 t="str">
            <v/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 t="str">
            <v/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 t="str">
            <v/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 t="str">
            <v/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 t="str">
            <v/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 t="str">
            <v/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 t="str">
            <v/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 t="str">
            <v/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 t="str">
            <v/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 t="str">
            <v/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 t="str">
            <v/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 t="str">
            <v/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 t="str">
            <v/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 t="str">
            <v/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 t="str">
            <v/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 t="str">
            <v/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 t="str">
            <v/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 t="str">
            <v/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 t="str">
            <v/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 t="str">
            <v/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 t="str">
            <v/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 t="str">
            <v/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 t="str">
            <v/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 t="str">
            <v/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 t="str">
            <v/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 t="str">
            <v/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 t="str">
            <v/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 t="str">
            <v/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 t="str">
            <v/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 t="str">
            <v/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 t="str">
            <v/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 t="str">
            <v/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 t="str">
            <v/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 t="str">
            <v/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 t="str">
            <v/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 t="str">
            <v/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 t="str">
            <v/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 t="str">
            <v/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 t="str">
            <v/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 t="str">
            <v/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 t="str">
            <v/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 t="str">
            <v/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 t="str">
            <v/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 t="str">
            <v/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 t="str">
            <v/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 t="str">
            <v/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 t="str">
            <v/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 t="str">
            <v/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 t="str">
            <v/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 t="str">
            <v/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 t="str">
            <v/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 t="str">
            <v/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 t="str">
            <v/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 t="str">
            <v/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 t="str">
            <v/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 t="str">
            <v/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 t="str">
            <v/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 t="str">
            <v/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 t="str">
            <v/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 t="str">
            <v/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 t="str">
            <v/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 t="str">
            <v/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 t="str">
            <v/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 t="str">
            <v/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 t="str">
            <v/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 t="str">
            <v/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 t="str">
            <v/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 t="str">
            <v/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 t="str">
            <v/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 t="str">
            <v/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 t="str">
            <v/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 t="str">
            <v/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 t="str">
            <v/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 t="str">
            <v/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 t="str">
            <v/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 t="str">
            <v/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 t="str">
            <v/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 t="str">
            <v/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 t="str">
            <v/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 t="str">
            <v/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 t="str">
            <v/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 t="str">
            <v/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 t="str">
            <v/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 t="str">
            <v/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 t="str">
            <v/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 t="str">
            <v/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 t="str">
            <v/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 t="str">
            <v/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 t="str">
            <v/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 t="str">
            <v/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 t="str">
            <v/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 t="str">
            <v/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 t="str">
            <v/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 t="str">
            <v/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 t="str">
            <v/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 t="str">
            <v/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 t="str">
            <v/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 t="str">
            <v/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 t="str">
            <v/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 t="str">
            <v/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 t="str">
            <v/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 t="str">
            <v/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 t="str">
            <v/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 t="str">
            <v/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 t="str">
            <v/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 t="str">
            <v/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 t="str">
            <v/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 t="str">
            <v/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 t="str">
            <v/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 t="str">
            <v/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 t="str">
            <v/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 t="str">
            <v/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 t="str">
            <v/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 t="str">
            <v/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 t="str">
            <v/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 t="str">
            <v/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 t="str">
            <v/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 t="str">
            <v/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 t="str">
            <v/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 t="str">
            <v/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 t="str">
            <v/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 t="str">
            <v/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 t="str">
            <v/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 t="str">
            <v/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 t="str">
            <v/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 t="str">
            <v/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 t="str">
            <v/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 t="str">
            <v/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 t="str">
            <v/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 t="str">
            <v/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 t="str">
            <v/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 t="str">
            <v/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 t="str">
            <v/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 t="str">
            <v/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 t="str">
            <v/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 t="str">
            <v/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 t="str">
            <v/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 t="str">
            <v/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 t="str">
            <v/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 t="str">
            <v/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 t="str">
            <v/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 t="str">
            <v/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 t="str">
            <v/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 t="str">
            <v/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 t="str">
            <v/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 t="str">
            <v/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 t="str">
            <v/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 t="str">
            <v/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 t="str">
            <v/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 t="str">
            <v/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 t="str">
            <v/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 t="str">
            <v/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 t="str">
            <v/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 t="str">
            <v/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 t="str">
            <v/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 t="str">
            <v/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 t="str">
            <v/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 t="str">
            <v/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 t="str">
            <v/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 t="str">
            <v/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 t="str">
            <v/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 t="str">
            <v/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 t="str">
            <v/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 t="str">
            <v/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 t="str">
            <v/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 t="str">
            <v/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 t="str">
            <v/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 t="str">
            <v/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 t="str">
            <v/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 t="str">
            <v/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 t="str">
            <v/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 t="str">
            <v/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 t="str">
            <v/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 t="str">
            <v/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 t="str">
            <v/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 t="str">
            <v/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 t="str">
            <v/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 t="str">
            <v/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 t="str">
            <v/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 t="str">
            <v/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 t="str">
            <v/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 t="str">
            <v/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 t="str">
            <v/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 t="str">
            <v/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 t="str">
            <v/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 t="str">
            <v/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 t="str">
            <v/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 t="str">
            <v/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 t="str">
            <v/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 t="str">
            <v/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 t="str">
            <v/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 t="str">
            <v/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 t="str">
            <v/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 t="str">
            <v/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 t="str">
            <v/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 t="str">
            <v/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 t="str">
            <v/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 t="str">
            <v/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 t="str">
            <v/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 t="str">
            <v/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 t="str">
            <v/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 t="str">
            <v/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 t="str">
            <v/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 t="str">
            <v/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 t="str">
            <v/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 t="str">
            <v/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 t="str">
            <v/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 t="str">
            <v/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 t="str">
            <v/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 t="str">
            <v/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 t="str">
            <v/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 t="str">
            <v/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 t="str">
            <v/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 t="str">
            <v/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 t="str">
            <v/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 t="str">
            <v/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 t="str">
            <v/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 t="str">
            <v/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 t="str">
            <v/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 t="str">
            <v/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 t="str">
            <v/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 t="str">
            <v/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 t="str">
            <v/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 t="str">
            <v/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 t="str">
            <v/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 t="str">
            <v/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 t="str">
            <v/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 t="str">
            <v/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 t="str">
            <v/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 t="str">
            <v/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 t="str">
            <v/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Sheet1"/>
      <sheetName val="Sheet2"/>
    </sheetNames>
    <sheetDataSet>
      <sheetData sheetId="0">
        <row r="29">
          <cell r="Y29">
            <v>2006</v>
          </cell>
          <cell r="Z29">
            <v>2007</v>
          </cell>
          <cell r="AA29">
            <v>2008</v>
          </cell>
          <cell r="AB29">
            <v>2009</v>
          </cell>
          <cell r="AC29">
            <v>2010</v>
          </cell>
          <cell r="AD29">
            <v>2011</v>
          </cell>
          <cell r="AE29">
            <v>2012</v>
          </cell>
          <cell r="AF29">
            <v>2013</v>
          </cell>
          <cell r="AG29">
            <v>2014</v>
          </cell>
          <cell r="AH29">
            <v>2015</v>
          </cell>
          <cell r="AI29">
            <v>2016</v>
          </cell>
        </row>
        <row r="30">
          <cell r="Y30">
            <v>156108</v>
          </cell>
          <cell r="Z30">
            <v>159642.78099999999</v>
          </cell>
          <cell r="AA30">
            <v>173370.872</v>
          </cell>
          <cell r="AB30">
            <v>187110.266</v>
          </cell>
          <cell r="AC30">
            <v>195722.55800000002</v>
          </cell>
          <cell r="AD30">
            <v>211889.32699999999</v>
          </cell>
          <cell r="AE30">
            <v>219663.37332000001</v>
          </cell>
          <cell r="AF30">
            <v>232023.39200000002</v>
          </cell>
          <cell r="AG30">
            <v>239067</v>
          </cell>
          <cell r="AH30">
            <v>260445.08562</v>
          </cell>
          <cell r="AI3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7"/>
      <sheetName val="12.18"/>
      <sheetName val="12.19"/>
    </sheetNames>
    <sheetDataSet>
      <sheetData sheetId="0">
        <row r="25">
          <cell r="O25" t="str">
            <v>Year</v>
          </cell>
          <cell r="P25" t="str">
            <v>Total cost</v>
          </cell>
        </row>
        <row r="26">
          <cell r="O26">
            <v>2005</v>
          </cell>
          <cell r="P26">
            <v>2455200</v>
          </cell>
        </row>
        <row r="27">
          <cell r="O27">
            <v>2006</v>
          </cell>
          <cell r="P27">
            <v>2244000</v>
          </cell>
        </row>
        <row r="28">
          <cell r="O28">
            <v>2007</v>
          </cell>
          <cell r="P28">
            <v>2020500</v>
          </cell>
        </row>
        <row r="29">
          <cell r="O29">
            <v>2008</v>
          </cell>
          <cell r="P29">
            <v>1566000</v>
          </cell>
        </row>
        <row r="30">
          <cell r="O30">
            <v>2009</v>
          </cell>
          <cell r="P30">
            <v>7310472.2999999998</v>
          </cell>
        </row>
        <row r="31">
          <cell r="O31">
            <v>2010</v>
          </cell>
          <cell r="P31" t="str">
            <v xml:space="preserve">water not supplied </v>
          </cell>
        </row>
        <row r="32">
          <cell r="O32">
            <v>2011</v>
          </cell>
          <cell r="P32">
            <v>2192390</v>
          </cell>
        </row>
        <row r="33">
          <cell r="O33">
            <v>2012</v>
          </cell>
          <cell r="P33">
            <v>4411289.87</v>
          </cell>
        </row>
        <row r="34">
          <cell r="O34">
            <v>2013</v>
          </cell>
          <cell r="P34">
            <v>1785398.5</v>
          </cell>
        </row>
        <row r="35">
          <cell r="O35">
            <v>2014</v>
          </cell>
          <cell r="P35">
            <v>3924657.9</v>
          </cell>
        </row>
      </sheetData>
      <sheetData sheetId="1"/>
      <sheetData sheetId="2">
        <row r="4">
          <cell r="F4" t="str">
            <v>Quantity (ton)</v>
          </cell>
          <cell r="G4">
            <v>0</v>
          </cell>
          <cell r="H4">
            <v>0</v>
          </cell>
        </row>
        <row r="33">
          <cell r="V33" t="str">
            <v>HA</v>
          </cell>
          <cell r="X33">
            <v>452.1</v>
          </cell>
        </row>
        <row r="34">
          <cell r="V34" t="str">
            <v>HDh</v>
          </cell>
          <cell r="X34">
            <v>416.5</v>
          </cell>
        </row>
        <row r="35">
          <cell r="V35" t="str">
            <v>Sh</v>
          </cell>
          <cell r="X35">
            <v>188</v>
          </cell>
        </row>
        <row r="36">
          <cell r="V36" t="str">
            <v>N</v>
          </cell>
          <cell r="X36">
            <v>399.34199999999998</v>
          </cell>
        </row>
        <row r="37">
          <cell r="V37" t="str">
            <v>R</v>
          </cell>
          <cell r="X37">
            <v>537</v>
          </cell>
        </row>
        <row r="38">
          <cell r="V38" t="str">
            <v>B</v>
          </cell>
          <cell r="X38">
            <v>417</v>
          </cell>
        </row>
        <row r="39">
          <cell r="V39" t="str">
            <v>Lh</v>
          </cell>
          <cell r="X39">
            <v>35</v>
          </cell>
        </row>
        <row r="40">
          <cell r="V40" t="str">
            <v>K</v>
          </cell>
          <cell r="X40">
            <v>190</v>
          </cell>
        </row>
        <row r="41">
          <cell r="V41" t="str">
            <v>AA</v>
          </cell>
          <cell r="X41">
            <v>80</v>
          </cell>
        </row>
        <row r="42">
          <cell r="V42" t="str">
            <v>ADh</v>
          </cell>
          <cell r="X42">
            <v>28</v>
          </cell>
        </row>
        <row r="43">
          <cell r="V43" t="str">
            <v>M</v>
          </cell>
          <cell r="X43">
            <v>45</v>
          </cell>
        </row>
        <row r="44">
          <cell r="V44" t="str">
            <v>Th</v>
          </cell>
          <cell r="X44">
            <v>30</v>
          </cell>
        </row>
        <row r="45">
          <cell r="V45" t="str">
            <v>L</v>
          </cell>
          <cell r="X45">
            <v>90</v>
          </cell>
        </row>
        <row r="49">
          <cell r="U49" t="str">
            <v>HA.Ihavandhoo</v>
          </cell>
          <cell r="V49">
            <v>3</v>
          </cell>
        </row>
        <row r="50">
          <cell r="U50" t="str">
            <v>HDH.Hirimaradhoo</v>
          </cell>
          <cell r="V50">
            <v>2</v>
          </cell>
        </row>
        <row r="51">
          <cell r="U51" t="str">
            <v>HDH.Nehllaidhoo</v>
          </cell>
          <cell r="V51">
            <v>2</v>
          </cell>
        </row>
        <row r="52">
          <cell r="U52" t="str">
            <v>N.Holhudhoo</v>
          </cell>
          <cell r="V52">
            <v>2</v>
          </cell>
        </row>
        <row r="53">
          <cell r="U53" t="str">
            <v>N.Lhohi</v>
          </cell>
          <cell r="V53">
            <v>2</v>
          </cell>
        </row>
        <row r="54">
          <cell r="U54" t="str">
            <v>R.Alifushi</v>
          </cell>
          <cell r="V54">
            <v>3</v>
          </cell>
        </row>
        <row r="55">
          <cell r="U55" t="str">
            <v>R.Ungoofaaru</v>
          </cell>
          <cell r="V55">
            <v>2</v>
          </cell>
        </row>
        <row r="56">
          <cell r="U56" t="str">
            <v>B.Kudarikilu</v>
          </cell>
          <cell r="V56">
            <v>2</v>
          </cell>
        </row>
        <row r="57">
          <cell r="U57" t="str">
            <v>B.Hithaadhoo</v>
          </cell>
          <cell r="V57">
            <v>2</v>
          </cell>
        </row>
        <row r="58">
          <cell r="U58" t="str">
            <v>B.Kendhoo</v>
          </cell>
          <cell r="V58">
            <v>2</v>
          </cell>
        </row>
        <row r="59">
          <cell r="U59" t="str">
            <v>B.Fulhadhoo</v>
          </cell>
          <cell r="V59">
            <v>2</v>
          </cell>
        </row>
        <row r="60">
          <cell r="U60" t="str">
            <v>B.Fehendhoo</v>
          </cell>
          <cell r="V60">
            <v>2</v>
          </cell>
        </row>
        <row r="61">
          <cell r="U61" t="str">
            <v>K.Dhihfushi</v>
          </cell>
          <cell r="V61">
            <v>2</v>
          </cell>
        </row>
        <row r="62">
          <cell r="U62" t="str">
            <v>K.Gaafaru</v>
          </cell>
          <cell r="V62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45"/>
  <sheetViews>
    <sheetView tabSelected="1" zoomScaleNormal="100" workbookViewId="0">
      <selection activeCell="U17" sqref="U17"/>
    </sheetView>
  </sheetViews>
  <sheetFormatPr defaultColWidth="9.140625" defaultRowHeight="15" x14ac:dyDescent="0.25"/>
  <cols>
    <col min="1" max="1" width="17.42578125" style="5" customWidth="1"/>
    <col min="2" max="14" width="8.28515625" style="5" customWidth="1"/>
    <col min="15" max="15" width="13.7109375" style="5" customWidth="1"/>
    <col min="16" max="16" width="3.5703125" style="5" customWidth="1"/>
    <col min="17" max="16384" width="9.140625" style="5"/>
  </cols>
  <sheetData>
    <row r="1" spans="1:19" ht="21.75" x14ac:dyDescent="0.25">
      <c r="A1" s="45" t="s">
        <v>90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7"/>
    </row>
    <row r="2" spans="1:19" s="6" customFormat="1" ht="15.75" x14ac:dyDescent="0.25">
      <c r="A2" s="48" t="s">
        <v>91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  <c r="P2" s="5"/>
      <c r="Q2" s="5"/>
      <c r="R2" s="5"/>
      <c r="S2" s="5"/>
    </row>
    <row r="3" spans="1:19" s="6" customFormat="1" ht="15.75" x14ac:dyDescent="0.25">
      <c r="A3" s="51" t="s">
        <v>89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3"/>
      <c r="P3" s="5"/>
      <c r="Q3" s="5"/>
      <c r="R3" s="5"/>
      <c r="S3" s="5"/>
    </row>
    <row r="4" spans="1:19" s="11" customFormat="1" ht="12.75" x14ac:dyDescent="0.25">
      <c r="A4" s="8" t="s">
        <v>15</v>
      </c>
      <c r="B4" s="9" t="s">
        <v>16</v>
      </c>
      <c r="C4" s="44" t="s">
        <v>1</v>
      </c>
      <c r="D4" s="44" t="s">
        <v>2</v>
      </c>
      <c r="E4" s="44" t="s">
        <v>3</v>
      </c>
      <c r="F4" s="44" t="s">
        <v>4</v>
      </c>
      <c r="G4" s="44" t="s">
        <v>5</v>
      </c>
      <c r="H4" s="44" t="s">
        <v>6</v>
      </c>
      <c r="I4" s="44" t="s">
        <v>7</v>
      </c>
      <c r="J4" s="44" t="s">
        <v>8</v>
      </c>
      <c r="K4" s="44" t="s">
        <v>9</v>
      </c>
      <c r="L4" s="44" t="s">
        <v>10</v>
      </c>
      <c r="M4" s="44" t="s">
        <v>11</v>
      </c>
      <c r="N4" s="44" t="s">
        <v>12</v>
      </c>
      <c r="O4" s="10"/>
    </row>
    <row r="5" spans="1:19" s="11" customFormat="1" ht="15.75" x14ac:dyDescent="0.25">
      <c r="A5" s="12" t="s">
        <v>16</v>
      </c>
      <c r="B5" s="37">
        <f>SUM(C5:N5)</f>
        <v>405.76170000000002</v>
      </c>
      <c r="C5" s="16">
        <f t="shared" ref="C5:N5" si="0">C6+C7+C8+C9</f>
        <v>29.065300000000001</v>
      </c>
      <c r="D5" s="16">
        <f t="shared" si="0"/>
        <v>29.810500000000001</v>
      </c>
      <c r="E5" s="16">
        <f t="shared" si="0"/>
        <v>30.984999999999996</v>
      </c>
      <c r="F5" s="16">
        <f t="shared" si="0"/>
        <v>36.071350000000002</v>
      </c>
      <c r="G5" s="16">
        <f t="shared" si="0"/>
        <v>36.961149999999996</v>
      </c>
      <c r="H5" s="16">
        <f t="shared" si="0"/>
        <v>28.173299999999998</v>
      </c>
      <c r="I5" s="16">
        <f t="shared" si="0"/>
        <v>37.976700000000001</v>
      </c>
      <c r="J5" s="16">
        <f t="shared" si="0"/>
        <v>39.649749999999997</v>
      </c>
      <c r="K5" s="16">
        <f t="shared" si="0"/>
        <v>32.83175</v>
      </c>
      <c r="L5" s="16">
        <f t="shared" si="0"/>
        <v>37.230550000000001</v>
      </c>
      <c r="M5" s="16">
        <f t="shared" si="0"/>
        <v>33.80585</v>
      </c>
      <c r="N5" s="16">
        <f t="shared" si="0"/>
        <v>33.200500000000005</v>
      </c>
      <c r="O5" s="13" t="s">
        <v>0</v>
      </c>
    </row>
    <row r="6" spans="1:19" s="14" customFormat="1" ht="18.75" x14ac:dyDescent="0.25">
      <c r="A6" s="15" t="s">
        <v>17</v>
      </c>
      <c r="B6" s="38">
        <f>SUM(C6:N6)</f>
        <v>273.11400000000003</v>
      </c>
      <c r="C6" s="39">
        <v>20.67</v>
      </c>
      <c r="D6" s="39">
        <v>20.657</v>
      </c>
      <c r="E6" s="39">
        <v>18.806999999999999</v>
      </c>
      <c r="F6" s="39">
        <v>25.571999999999999</v>
      </c>
      <c r="G6" s="39">
        <v>25.939</v>
      </c>
      <c r="H6" s="39">
        <v>17.774999999999999</v>
      </c>
      <c r="I6" s="39">
        <v>25.898</v>
      </c>
      <c r="J6" s="39">
        <v>27.257000000000001</v>
      </c>
      <c r="K6" s="39">
        <v>21.613</v>
      </c>
      <c r="L6" s="39">
        <v>24.763999999999999</v>
      </c>
      <c r="M6" s="39">
        <v>22.422999999999998</v>
      </c>
      <c r="N6" s="39">
        <v>21.739000000000001</v>
      </c>
      <c r="O6" s="17" t="s">
        <v>18</v>
      </c>
    </row>
    <row r="7" spans="1:19" s="14" customFormat="1" ht="18.75" x14ac:dyDescent="0.25">
      <c r="A7" s="15" t="s">
        <v>19</v>
      </c>
      <c r="B7" s="38">
        <f>SUM(C7:N7)</f>
        <v>12.991999999999999</v>
      </c>
      <c r="C7" s="39">
        <v>0.60599999999999998</v>
      </c>
      <c r="D7" s="39">
        <v>1.0900000000000001</v>
      </c>
      <c r="E7" s="39">
        <v>0.54</v>
      </c>
      <c r="F7" s="39">
        <v>1.748</v>
      </c>
      <c r="G7" s="39">
        <v>1.5149999999999999</v>
      </c>
      <c r="H7" s="39">
        <v>0.88</v>
      </c>
      <c r="I7" s="39">
        <v>1.3380000000000001</v>
      </c>
      <c r="J7" s="39">
        <v>1.554</v>
      </c>
      <c r="K7" s="39">
        <v>0.873</v>
      </c>
      <c r="L7" s="39">
        <v>0.99199999999999999</v>
      </c>
      <c r="M7" s="39">
        <v>0.85599999999999998</v>
      </c>
      <c r="N7" s="39">
        <v>1</v>
      </c>
      <c r="O7" s="17" t="s">
        <v>20</v>
      </c>
    </row>
    <row r="8" spans="1:19" s="14" customFormat="1" ht="18.75" x14ac:dyDescent="0.25">
      <c r="A8" s="15" t="s">
        <v>21</v>
      </c>
      <c r="B8" s="38">
        <f>SUM(C8:N8)</f>
        <v>69.953000000000003</v>
      </c>
      <c r="C8" s="39">
        <v>4.266</v>
      </c>
      <c r="D8" s="39">
        <v>4.6150000000000002</v>
      </c>
      <c r="E8" s="39">
        <v>6.8979999999999997</v>
      </c>
      <c r="F8" s="39">
        <v>5.2069999999999999</v>
      </c>
      <c r="G8" s="39">
        <v>5.1070000000000002</v>
      </c>
      <c r="H8" s="39">
        <v>5.16</v>
      </c>
      <c r="I8" s="39">
        <v>6.3140000000000001</v>
      </c>
      <c r="J8" s="39">
        <v>6.6429999999999998</v>
      </c>
      <c r="K8" s="39">
        <v>6.3380000000000001</v>
      </c>
      <c r="L8" s="39">
        <v>6.9169999999999998</v>
      </c>
      <c r="M8" s="39">
        <v>6.3440000000000003</v>
      </c>
      <c r="N8" s="39">
        <v>6.1440000000000001</v>
      </c>
      <c r="O8" s="17" t="s">
        <v>22</v>
      </c>
    </row>
    <row r="9" spans="1:19" s="3" customFormat="1" ht="18.75" x14ac:dyDescent="0.25">
      <c r="A9" s="12" t="s">
        <v>23</v>
      </c>
      <c r="B9" s="38">
        <f>SUM(B10:B41)</f>
        <v>49.702700000000014</v>
      </c>
      <c r="C9" s="16">
        <f>SUM(C10:C41)</f>
        <v>3.5233000000000003</v>
      </c>
      <c r="D9" s="16">
        <f t="shared" ref="D9:N9" si="1">SUM(D10:D41)</f>
        <v>3.4484999999999997</v>
      </c>
      <c r="E9" s="16">
        <f t="shared" si="1"/>
        <v>4.7399999999999984</v>
      </c>
      <c r="F9" s="16">
        <f t="shared" si="1"/>
        <v>3.5443499999999997</v>
      </c>
      <c r="G9" s="16">
        <f t="shared" si="1"/>
        <v>4.4001499999999991</v>
      </c>
      <c r="H9" s="16">
        <f t="shared" si="1"/>
        <v>4.3583000000000007</v>
      </c>
      <c r="I9" s="16">
        <f t="shared" si="1"/>
        <v>4.4267000000000021</v>
      </c>
      <c r="J9" s="16">
        <f t="shared" si="1"/>
        <v>4.1957500000000003</v>
      </c>
      <c r="K9" s="16">
        <f t="shared" si="1"/>
        <v>4.0077500000000006</v>
      </c>
      <c r="L9" s="16">
        <f t="shared" si="1"/>
        <v>4.5575499999999991</v>
      </c>
      <c r="M9" s="16">
        <f t="shared" si="1"/>
        <v>4.1828499999999993</v>
      </c>
      <c r="N9" s="16">
        <f t="shared" si="1"/>
        <v>4.3175000000000008</v>
      </c>
      <c r="O9" s="2" t="s">
        <v>24</v>
      </c>
    </row>
    <row r="10" spans="1:19" s="14" customFormat="1" ht="18.75" x14ac:dyDescent="0.25">
      <c r="A10" s="15" t="s">
        <v>25</v>
      </c>
      <c r="B10" s="38">
        <f>SUM(C10:N10)</f>
        <v>2.6530000000000005</v>
      </c>
      <c r="C10" s="39">
        <v>0.23499999999999999</v>
      </c>
      <c r="D10" s="39">
        <v>0.27900000000000003</v>
      </c>
      <c r="E10" s="39">
        <v>0.24199999999999999</v>
      </c>
      <c r="F10" s="39">
        <v>0.156</v>
      </c>
      <c r="G10" s="39">
        <v>0.19500000000000001</v>
      </c>
      <c r="H10" s="39">
        <v>0.251</v>
      </c>
      <c r="I10" s="39">
        <v>0.22</v>
      </c>
      <c r="J10" s="39">
        <v>0.25</v>
      </c>
      <c r="K10" s="39">
        <v>0.20699999999999999</v>
      </c>
      <c r="L10" s="39">
        <v>0.21299999999999999</v>
      </c>
      <c r="M10" s="39">
        <v>0.217</v>
      </c>
      <c r="N10" s="39">
        <v>0.188</v>
      </c>
      <c r="O10" s="17" t="s">
        <v>26</v>
      </c>
    </row>
    <row r="11" spans="1:19" s="14" customFormat="1" ht="18.75" x14ac:dyDescent="0.25">
      <c r="A11" s="15" t="s">
        <v>27</v>
      </c>
      <c r="B11" s="38">
        <f t="shared" ref="B11:B40" si="2">SUM(C11:N11)</f>
        <v>1.2130000000000001</v>
      </c>
      <c r="C11" s="39">
        <v>7.8E-2</v>
      </c>
      <c r="D11" s="39">
        <v>0.11600000000000001</v>
      </c>
      <c r="E11" s="39">
        <v>0.14299999999999999</v>
      </c>
      <c r="F11" s="39">
        <v>8.3000000000000004E-2</v>
      </c>
      <c r="G11" s="39">
        <v>0.106</v>
      </c>
      <c r="H11" s="39">
        <v>0.08</v>
      </c>
      <c r="I11" s="39">
        <v>0.127</v>
      </c>
      <c r="J11" s="39">
        <v>0.11</v>
      </c>
      <c r="K11" s="39">
        <v>7.3999999999999996E-2</v>
      </c>
      <c r="L11" s="39">
        <v>0.109</v>
      </c>
      <c r="M11" s="39">
        <v>7.2999999999999995E-2</v>
      </c>
      <c r="N11" s="39">
        <v>0.114</v>
      </c>
      <c r="O11" s="17" t="s">
        <v>28</v>
      </c>
    </row>
    <row r="12" spans="1:19" s="14" customFormat="1" ht="18.75" x14ac:dyDescent="0.25">
      <c r="A12" s="15" t="s">
        <v>29</v>
      </c>
      <c r="B12" s="38">
        <f t="shared" si="2"/>
        <v>1.4455</v>
      </c>
      <c r="C12" s="39">
        <v>8.4000000000000005E-2</v>
      </c>
      <c r="D12" s="39">
        <v>0.1115</v>
      </c>
      <c r="E12" s="39">
        <v>8.4000000000000005E-2</v>
      </c>
      <c r="F12" s="39">
        <v>0.11799999999999999</v>
      </c>
      <c r="G12" s="39">
        <v>0.129</v>
      </c>
      <c r="H12" s="39">
        <v>0.121</v>
      </c>
      <c r="I12" s="39">
        <v>0.113</v>
      </c>
      <c r="J12" s="39">
        <v>0.151</v>
      </c>
      <c r="K12" s="39">
        <v>0.114</v>
      </c>
      <c r="L12" s="39">
        <v>0.115</v>
      </c>
      <c r="M12" s="39">
        <v>0.152</v>
      </c>
      <c r="N12" s="39">
        <v>0.153</v>
      </c>
      <c r="O12" s="17" t="s">
        <v>30</v>
      </c>
    </row>
    <row r="13" spans="1:19" s="14" customFormat="1" ht="18.75" x14ac:dyDescent="0.25">
      <c r="A13" s="15" t="s">
        <v>31</v>
      </c>
      <c r="B13" s="38">
        <f t="shared" si="2"/>
        <v>2.0410000000000004</v>
      </c>
      <c r="C13" s="39">
        <v>0.14099999999999999</v>
      </c>
      <c r="D13" s="39">
        <v>0.13600000000000001</v>
      </c>
      <c r="E13" s="39">
        <v>0.153</v>
      </c>
      <c r="F13" s="39">
        <v>0.17599999999999999</v>
      </c>
      <c r="G13" s="39">
        <v>0.19</v>
      </c>
      <c r="H13" s="39">
        <v>0.159</v>
      </c>
      <c r="I13" s="39">
        <v>0.193</v>
      </c>
      <c r="J13" s="39">
        <v>0.221</v>
      </c>
      <c r="K13" s="39">
        <v>0.2</v>
      </c>
      <c r="L13" s="39">
        <v>0.19900000000000001</v>
      </c>
      <c r="M13" s="39">
        <v>0.111</v>
      </c>
      <c r="N13" s="39">
        <v>0.16200000000000001</v>
      </c>
      <c r="O13" s="17" t="s">
        <v>32</v>
      </c>
    </row>
    <row r="14" spans="1:19" s="14" customFormat="1" ht="18.75" x14ac:dyDescent="0.25">
      <c r="A14" s="15" t="s">
        <v>33</v>
      </c>
      <c r="B14" s="38">
        <f t="shared" si="2"/>
        <v>3.4200000000000004</v>
      </c>
      <c r="C14" s="39">
        <v>0.187</v>
      </c>
      <c r="D14" s="39">
        <v>0.219</v>
      </c>
      <c r="E14" s="39">
        <v>0.314</v>
      </c>
      <c r="F14" s="39">
        <v>0.29699999999999999</v>
      </c>
      <c r="G14" s="39">
        <v>0.217</v>
      </c>
      <c r="H14" s="39">
        <v>0.246</v>
      </c>
      <c r="I14" s="39">
        <v>0.32600000000000001</v>
      </c>
      <c r="J14" s="39">
        <v>0.34100000000000003</v>
      </c>
      <c r="K14" s="39">
        <v>0.371</v>
      </c>
      <c r="L14" s="39">
        <v>0.33600000000000002</v>
      </c>
      <c r="M14" s="39">
        <v>0.27300000000000002</v>
      </c>
      <c r="N14" s="39">
        <v>0.29299999999999998</v>
      </c>
      <c r="O14" s="17" t="s">
        <v>34</v>
      </c>
    </row>
    <row r="15" spans="1:19" s="14" customFormat="1" ht="18.75" x14ac:dyDescent="0.25">
      <c r="A15" s="15" t="s">
        <v>35</v>
      </c>
      <c r="B15" s="38">
        <f t="shared" si="2"/>
        <v>3.1820000000000004</v>
      </c>
      <c r="C15" s="39">
        <v>0.22800000000000001</v>
      </c>
      <c r="D15" s="39">
        <v>0.158</v>
      </c>
      <c r="E15" s="39">
        <v>0.439</v>
      </c>
      <c r="F15" s="39">
        <v>0.23</v>
      </c>
      <c r="G15" s="39">
        <v>0.23400000000000001</v>
      </c>
      <c r="H15" s="39">
        <v>0.433</v>
      </c>
      <c r="I15" s="39">
        <v>0.23100000000000001</v>
      </c>
      <c r="J15" s="39">
        <v>0.22600000000000001</v>
      </c>
      <c r="K15" s="39">
        <v>0.22800000000000001</v>
      </c>
      <c r="L15" s="39">
        <v>0.36599999999999999</v>
      </c>
      <c r="M15" s="39">
        <v>0.20200000000000001</v>
      </c>
      <c r="N15" s="39">
        <v>0.20699999999999999</v>
      </c>
      <c r="O15" s="17" t="s">
        <v>36</v>
      </c>
    </row>
    <row r="16" spans="1:19" s="14" customFormat="1" ht="18.75" x14ac:dyDescent="0.25">
      <c r="A16" s="15" t="s">
        <v>37</v>
      </c>
      <c r="B16" s="38">
        <f t="shared" si="2"/>
        <v>0.26500000000000001</v>
      </c>
      <c r="C16" s="39">
        <v>3.0000000000000001E-3</v>
      </c>
      <c r="D16" s="39">
        <v>1.4E-2</v>
      </c>
      <c r="E16" s="39">
        <v>2.35E-2</v>
      </c>
      <c r="F16" s="39">
        <v>2E-3</v>
      </c>
      <c r="G16" s="39">
        <v>1.4500000000000001E-2</v>
      </c>
      <c r="H16" s="39">
        <v>2.35E-2</v>
      </c>
      <c r="I16" s="39">
        <v>3.1E-2</v>
      </c>
      <c r="J16" s="39">
        <v>2E-3</v>
      </c>
      <c r="K16" s="39">
        <v>3.6999999999999998E-2</v>
      </c>
      <c r="L16" s="39">
        <v>2.7E-2</v>
      </c>
      <c r="M16" s="39">
        <v>6.0499999999999998E-2</v>
      </c>
      <c r="N16" s="39">
        <v>2.7E-2</v>
      </c>
      <c r="O16" s="7" t="s">
        <v>38</v>
      </c>
    </row>
    <row r="17" spans="1:15" s="14" customFormat="1" ht="18.75" x14ac:dyDescent="0.25">
      <c r="A17" s="15" t="s">
        <v>39</v>
      </c>
      <c r="B17" s="38">
        <f t="shared" si="2"/>
        <v>1.1200000000000001</v>
      </c>
      <c r="C17" s="39">
        <v>0.126</v>
      </c>
      <c r="D17" s="39">
        <v>6.2E-2</v>
      </c>
      <c r="E17" s="39">
        <v>0.13600000000000001</v>
      </c>
      <c r="F17" s="39">
        <v>6.6000000000000003E-2</v>
      </c>
      <c r="G17" s="39">
        <v>0.11700000000000001</v>
      </c>
      <c r="H17" s="39">
        <v>9.5000000000000001E-2</v>
      </c>
      <c r="I17" s="39">
        <v>3.3000000000000002E-2</v>
      </c>
      <c r="J17" s="39">
        <v>0.114</v>
      </c>
      <c r="K17" s="39">
        <v>8.6999999999999994E-2</v>
      </c>
      <c r="L17" s="39">
        <v>0.10299999999999999</v>
      </c>
      <c r="M17" s="39">
        <v>0.11700000000000001</v>
      </c>
      <c r="N17" s="39">
        <v>6.4000000000000001E-2</v>
      </c>
      <c r="O17" s="17" t="s">
        <v>40</v>
      </c>
    </row>
    <row r="18" spans="1:15" s="14" customFormat="1" ht="18.75" x14ac:dyDescent="0.25">
      <c r="A18" s="15" t="s">
        <v>41</v>
      </c>
      <c r="B18" s="38">
        <f t="shared" si="2"/>
        <v>8.1890000000000001</v>
      </c>
      <c r="C18" s="39">
        <v>0.52300000000000002</v>
      </c>
      <c r="D18" s="39">
        <v>0.45900000000000002</v>
      </c>
      <c r="E18" s="39">
        <v>0.90500000000000003</v>
      </c>
      <c r="F18" s="39">
        <v>0.33900000000000002</v>
      </c>
      <c r="G18" s="39">
        <v>0.86699999999999999</v>
      </c>
      <c r="H18" s="39">
        <v>0.70799999999999996</v>
      </c>
      <c r="I18" s="39">
        <v>0.86399999999999999</v>
      </c>
      <c r="J18" s="39">
        <v>0.73399999999999999</v>
      </c>
      <c r="K18" s="39">
        <v>0.56999999999999995</v>
      </c>
      <c r="L18" s="39">
        <v>0.57399999999999995</v>
      </c>
      <c r="M18" s="39">
        <v>0.86499999999999999</v>
      </c>
      <c r="N18" s="39">
        <v>0.78100000000000003</v>
      </c>
      <c r="O18" s="17" t="s">
        <v>42</v>
      </c>
    </row>
    <row r="19" spans="1:15" s="14" customFormat="1" ht="18.75" x14ac:dyDescent="0.25">
      <c r="A19" s="15" t="s">
        <v>43</v>
      </c>
      <c r="B19" s="38">
        <f t="shared" si="2"/>
        <v>1.7570000000000001</v>
      </c>
      <c r="C19" s="39">
        <v>0.19800000000000001</v>
      </c>
      <c r="D19" s="39">
        <v>0.17499999999999999</v>
      </c>
      <c r="E19" s="39">
        <v>0.18</v>
      </c>
      <c r="F19" s="39">
        <v>0.153</v>
      </c>
      <c r="G19" s="39">
        <v>0.14599999999999999</v>
      </c>
      <c r="H19" s="39">
        <v>0.107</v>
      </c>
      <c r="I19" s="39">
        <v>0.113</v>
      </c>
      <c r="J19" s="39">
        <v>0.14199999999999999</v>
      </c>
      <c r="K19" s="39">
        <v>0.157</v>
      </c>
      <c r="L19" s="39">
        <v>0.104</v>
      </c>
      <c r="M19" s="39">
        <v>0.151</v>
      </c>
      <c r="N19" s="39">
        <v>0.13100000000000001</v>
      </c>
      <c r="O19" s="17" t="s">
        <v>44</v>
      </c>
    </row>
    <row r="20" spans="1:15" s="14" customFormat="1" ht="18.75" x14ac:dyDescent="0.25">
      <c r="A20" s="15" t="s">
        <v>45</v>
      </c>
      <c r="B20" s="38">
        <f t="shared" si="2"/>
        <v>1.6095000000000004</v>
      </c>
      <c r="C20" s="39">
        <v>0.11600000000000001</v>
      </c>
      <c r="D20" s="39">
        <v>0.126</v>
      </c>
      <c r="E20" s="39">
        <v>0.1215</v>
      </c>
      <c r="F20" s="39">
        <v>0.13500000000000001</v>
      </c>
      <c r="G20" s="39">
        <v>0.1265</v>
      </c>
      <c r="H20" s="39">
        <v>0.154</v>
      </c>
      <c r="I20" s="39">
        <v>0.21249999999999999</v>
      </c>
      <c r="J20" s="39">
        <v>9.6000000000000002E-2</v>
      </c>
      <c r="K20" s="39">
        <v>0.1305</v>
      </c>
      <c r="L20" s="39">
        <v>0.16900000000000001</v>
      </c>
      <c r="M20" s="39">
        <v>9.6000000000000002E-2</v>
      </c>
      <c r="N20" s="39">
        <v>0.1265</v>
      </c>
      <c r="O20" s="17" t="s">
        <v>46</v>
      </c>
    </row>
    <row r="21" spans="1:15" s="14" customFormat="1" ht="18.75" x14ac:dyDescent="0.25">
      <c r="A21" s="15" t="s">
        <v>47</v>
      </c>
      <c r="B21" s="38">
        <f t="shared" si="2"/>
        <v>1.4901999999999997</v>
      </c>
      <c r="C21" s="39">
        <v>0.1328</v>
      </c>
      <c r="D21" s="39">
        <v>7.9000000000000001E-2</v>
      </c>
      <c r="E21" s="39">
        <v>0.17</v>
      </c>
      <c r="F21" s="39">
        <v>0.15059999999999998</v>
      </c>
      <c r="G21" s="39">
        <v>9.240000000000001E-2</v>
      </c>
      <c r="H21" s="39">
        <v>0.15030000000000002</v>
      </c>
      <c r="I21" s="39">
        <v>6.0700000000000004E-2</v>
      </c>
      <c r="J21" s="39">
        <v>0.13650000000000001</v>
      </c>
      <c r="K21" s="39">
        <v>0.12</v>
      </c>
      <c r="L21" s="39">
        <v>0.18480000000000002</v>
      </c>
      <c r="M21" s="39">
        <v>8.5099999999999995E-2</v>
      </c>
      <c r="N21" s="39">
        <v>0.128</v>
      </c>
      <c r="O21" s="17" t="s">
        <v>48</v>
      </c>
    </row>
    <row r="22" spans="1:15" s="14" customFormat="1" ht="18.75" x14ac:dyDescent="0.25">
      <c r="A22" s="15" t="s">
        <v>49</v>
      </c>
      <c r="B22" s="38">
        <f t="shared" si="2"/>
        <v>0.86824999999999997</v>
      </c>
      <c r="C22" s="39">
        <v>7.1749999999999994E-2</v>
      </c>
      <c r="D22" s="39">
        <v>6.9250000000000006E-2</v>
      </c>
      <c r="E22" s="39">
        <v>0.1045</v>
      </c>
      <c r="F22" s="39">
        <v>6.4000000000000001E-2</v>
      </c>
      <c r="G22" s="39">
        <v>5.1249999999999997E-2</v>
      </c>
      <c r="H22" s="39">
        <v>7.4999999999999997E-2</v>
      </c>
      <c r="I22" s="39">
        <v>6.7500000000000004E-2</v>
      </c>
      <c r="J22" s="39">
        <v>7.1999999999999995E-2</v>
      </c>
      <c r="K22" s="39">
        <v>3.95E-2</v>
      </c>
      <c r="L22" s="39">
        <v>0.11600000000000001</v>
      </c>
      <c r="M22" s="39">
        <v>7.6499999999999999E-2</v>
      </c>
      <c r="N22" s="39">
        <v>6.0999999999999999E-2</v>
      </c>
      <c r="O22" s="17" t="s">
        <v>50</v>
      </c>
    </row>
    <row r="23" spans="1:15" s="14" customFormat="1" ht="18.75" x14ac:dyDescent="0.25">
      <c r="A23" s="15" t="s">
        <v>51</v>
      </c>
      <c r="B23" s="38">
        <f t="shared" si="2"/>
        <v>0.69600000000000006</v>
      </c>
      <c r="C23" s="39">
        <v>4.4999999999999998E-2</v>
      </c>
      <c r="D23" s="39">
        <v>4.9000000000000002E-2</v>
      </c>
      <c r="E23" s="39">
        <v>4.9000000000000002E-2</v>
      </c>
      <c r="F23" s="39">
        <v>4.9000000000000002E-2</v>
      </c>
      <c r="G23" s="39">
        <v>4.9000000000000002E-2</v>
      </c>
      <c r="H23" s="39">
        <v>2.5000000000000001E-2</v>
      </c>
      <c r="I23" s="39">
        <v>5.1999999999999998E-2</v>
      </c>
      <c r="J23" s="39">
        <v>0.106</v>
      </c>
      <c r="K23" s="39">
        <v>2.7E-2</v>
      </c>
      <c r="L23" s="39">
        <v>0.08</v>
      </c>
      <c r="M23" s="39">
        <v>0.115</v>
      </c>
      <c r="N23" s="40">
        <v>0.05</v>
      </c>
      <c r="O23" s="17" t="s">
        <v>52</v>
      </c>
    </row>
    <row r="24" spans="1:15" s="19" customFormat="1" ht="18.75" x14ac:dyDescent="0.25">
      <c r="A24" s="18" t="s">
        <v>53</v>
      </c>
      <c r="B24" s="38">
        <f t="shared" si="2"/>
        <v>0.82000000000000006</v>
      </c>
      <c r="C24" s="39">
        <v>5.5E-2</v>
      </c>
      <c r="D24" s="39">
        <v>4.9000000000000002E-2</v>
      </c>
      <c r="E24" s="39">
        <v>5.5E-2</v>
      </c>
      <c r="F24" s="39">
        <v>2.9000000000000001E-2</v>
      </c>
      <c r="G24" s="39">
        <v>5.8999999999999997E-2</v>
      </c>
      <c r="H24" s="39">
        <v>7.6999999999999999E-2</v>
      </c>
      <c r="I24" s="39">
        <v>0.108</v>
      </c>
      <c r="J24" s="39">
        <v>8.7999999999999995E-2</v>
      </c>
      <c r="K24" s="39">
        <v>0.105</v>
      </c>
      <c r="L24" s="39">
        <v>8.1000000000000003E-2</v>
      </c>
      <c r="M24" s="39">
        <v>5.8000000000000003E-2</v>
      </c>
      <c r="N24" s="40">
        <v>5.6000000000000001E-2</v>
      </c>
      <c r="O24" s="1" t="s">
        <v>54</v>
      </c>
    </row>
    <row r="25" spans="1:15" s="19" customFormat="1" ht="18.75" x14ac:dyDescent="0.25">
      <c r="A25" s="18" t="s">
        <v>55</v>
      </c>
      <c r="B25" s="38">
        <f t="shared" si="2"/>
        <v>0.85749999999999993</v>
      </c>
      <c r="C25" s="39">
        <v>7.2499999999999995E-2</v>
      </c>
      <c r="D25" s="39">
        <v>8.1000000000000003E-2</v>
      </c>
      <c r="E25" s="39">
        <v>6.0499999999999998E-2</v>
      </c>
      <c r="F25" s="39">
        <v>6.6000000000000003E-2</v>
      </c>
      <c r="G25" s="39">
        <v>0.05</v>
      </c>
      <c r="H25" s="39">
        <v>9.0999999999999998E-2</v>
      </c>
      <c r="I25" s="39">
        <v>6.8500000000000005E-2</v>
      </c>
      <c r="J25" s="39">
        <v>7.1999999999999995E-2</v>
      </c>
      <c r="K25" s="39">
        <v>7.9000000000000001E-2</v>
      </c>
      <c r="L25" s="39">
        <v>8.5999999999999993E-2</v>
      </c>
      <c r="M25" s="39">
        <v>4.1000000000000002E-2</v>
      </c>
      <c r="N25" s="40">
        <v>0.09</v>
      </c>
      <c r="O25" s="1" t="s">
        <v>56</v>
      </c>
    </row>
    <row r="26" spans="1:15" s="19" customFormat="1" ht="18.75" x14ac:dyDescent="0.25">
      <c r="A26" s="18" t="s">
        <v>57</v>
      </c>
      <c r="B26" s="38">
        <f t="shared" si="2"/>
        <v>1.6970000000000001</v>
      </c>
      <c r="C26" s="39">
        <v>0.10299999999999999</v>
      </c>
      <c r="D26" s="39">
        <v>5.7000000000000002E-2</v>
      </c>
      <c r="E26" s="39">
        <v>0.158</v>
      </c>
      <c r="F26" s="39">
        <v>0.109</v>
      </c>
      <c r="G26" s="39">
        <v>0.23699999999999999</v>
      </c>
      <c r="H26" s="39">
        <v>6.3E-2</v>
      </c>
      <c r="I26" s="39">
        <v>0.25700000000000001</v>
      </c>
      <c r="J26" s="39">
        <v>0.108</v>
      </c>
      <c r="K26" s="39">
        <v>0.14799999999999999</v>
      </c>
      <c r="L26" s="39">
        <v>0.14000000000000001</v>
      </c>
      <c r="M26" s="39">
        <v>0.185</v>
      </c>
      <c r="N26" s="40">
        <v>0.13200000000000001</v>
      </c>
      <c r="O26" s="1" t="s">
        <v>58</v>
      </c>
    </row>
    <row r="27" spans="1:15" s="19" customFormat="1" ht="18.75" x14ac:dyDescent="0.25">
      <c r="A27" s="18" t="s">
        <v>59</v>
      </c>
      <c r="B27" s="38">
        <f t="shared" si="2"/>
        <v>1.6164999999999998</v>
      </c>
      <c r="C27" s="39">
        <v>0.13</v>
      </c>
      <c r="D27" s="39">
        <v>7.2999999999999995E-2</v>
      </c>
      <c r="E27" s="39">
        <v>0.13300000000000001</v>
      </c>
      <c r="F27" s="39">
        <v>0.16500000000000001</v>
      </c>
      <c r="G27" s="39">
        <v>0.105</v>
      </c>
      <c r="H27" s="39">
        <v>0.18049999999999999</v>
      </c>
      <c r="I27" s="39">
        <v>7.4999999999999997E-2</v>
      </c>
      <c r="J27" s="39">
        <v>0.15</v>
      </c>
      <c r="K27" s="39">
        <v>0.18</v>
      </c>
      <c r="L27" s="39">
        <v>0.155</v>
      </c>
      <c r="M27" s="39">
        <v>0.155</v>
      </c>
      <c r="N27" s="40">
        <v>0.115</v>
      </c>
      <c r="O27" s="1" t="s">
        <v>60</v>
      </c>
    </row>
    <row r="28" spans="1:15" s="19" customFormat="1" ht="18.75" x14ac:dyDescent="0.25">
      <c r="A28" s="18" t="s">
        <v>61</v>
      </c>
      <c r="B28" s="38">
        <f t="shared" si="2"/>
        <v>1.0820000000000001</v>
      </c>
      <c r="C28" s="39">
        <v>6.5000000000000002E-2</v>
      </c>
      <c r="D28" s="39">
        <v>0.08</v>
      </c>
      <c r="E28" s="39">
        <v>0.06</v>
      </c>
      <c r="F28" s="39">
        <v>0.106</v>
      </c>
      <c r="G28" s="39">
        <v>0.105</v>
      </c>
      <c r="H28" s="39">
        <v>8.5000000000000006E-2</v>
      </c>
      <c r="I28" s="39">
        <v>0.26500000000000001</v>
      </c>
      <c r="J28" s="39">
        <v>5.2999999999999999E-2</v>
      </c>
      <c r="K28" s="39">
        <v>7.5999999999999998E-2</v>
      </c>
      <c r="L28" s="39">
        <v>7.0000000000000007E-2</v>
      </c>
      <c r="M28" s="39">
        <v>3.7999999999999999E-2</v>
      </c>
      <c r="N28" s="40">
        <v>7.9000000000000001E-2</v>
      </c>
      <c r="O28" s="1" t="s">
        <v>62</v>
      </c>
    </row>
    <row r="29" spans="1:15" s="19" customFormat="1" ht="18.75" x14ac:dyDescent="0.25">
      <c r="A29" s="18" t="s">
        <v>65</v>
      </c>
      <c r="B29" s="38">
        <f t="shared" si="2"/>
        <v>0.995</v>
      </c>
      <c r="C29" s="39">
        <v>3.3000000000000002E-2</v>
      </c>
      <c r="D29" s="39">
        <v>0.106</v>
      </c>
      <c r="E29" s="39">
        <v>0.126</v>
      </c>
      <c r="F29" s="39">
        <v>6.5000000000000002E-2</v>
      </c>
      <c r="G29" s="39">
        <v>7.0000000000000007E-2</v>
      </c>
      <c r="H29" s="39">
        <v>0.113</v>
      </c>
      <c r="I29" s="39">
        <v>0.1</v>
      </c>
      <c r="J29" s="39">
        <v>6.7000000000000004E-2</v>
      </c>
      <c r="K29" s="39">
        <v>0.03</v>
      </c>
      <c r="L29" s="39">
        <v>0.105</v>
      </c>
      <c r="M29" s="39">
        <v>7.0000000000000007E-2</v>
      </c>
      <c r="N29" s="40">
        <v>0.11</v>
      </c>
      <c r="O29" s="1" t="s">
        <v>66</v>
      </c>
    </row>
    <row r="30" spans="1:15" s="19" customFormat="1" ht="18.75" x14ac:dyDescent="0.25">
      <c r="A30" s="18" t="s">
        <v>63</v>
      </c>
      <c r="B30" s="38">
        <f t="shared" si="2"/>
        <v>0.69950000000000001</v>
      </c>
      <c r="C30" s="39">
        <v>2.5000000000000001E-2</v>
      </c>
      <c r="D30" s="39">
        <v>6.0499999999999998E-2</v>
      </c>
      <c r="E30" s="39">
        <v>5.5E-2</v>
      </c>
      <c r="F30" s="39">
        <v>7.6999999999999999E-2</v>
      </c>
      <c r="G30" s="39">
        <v>5.3999999999999999E-2</v>
      </c>
      <c r="H30" s="39">
        <v>5.6000000000000001E-2</v>
      </c>
      <c r="I30" s="39">
        <v>5.6000000000000001E-2</v>
      </c>
      <c r="J30" s="39">
        <v>8.5000000000000006E-2</v>
      </c>
      <c r="K30" s="39">
        <v>8.4000000000000005E-2</v>
      </c>
      <c r="L30" s="39">
        <v>5.6000000000000001E-2</v>
      </c>
      <c r="M30" s="39">
        <v>0.03</v>
      </c>
      <c r="N30" s="40">
        <v>6.0999999999999999E-2</v>
      </c>
      <c r="O30" s="1" t="s">
        <v>64</v>
      </c>
    </row>
    <row r="31" spans="1:15" s="19" customFormat="1" ht="18.75" x14ac:dyDescent="0.25">
      <c r="A31" s="18" t="s">
        <v>67</v>
      </c>
      <c r="B31" s="38">
        <f t="shared" si="2"/>
        <v>1.0302500000000001</v>
      </c>
      <c r="C31" s="39">
        <v>6.4250000000000002E-2</v>
      </c>
      <c r="D31" s="39">
        <v>6.4250000000000002E-2</v>
      </c>
      <c r="E31" s="39">
        <v>7.9500000000000001E-2</v>
      </c>
      <c r="F31" s="39">
        <v>0.13925000000000001</v>
      </c>
      <c r="G31" s="39">
        <v>7.8E-2</v>
      </c>
      <c r="H31" s="39">
        <v>0.1115</v>
      </c>
      <c r="I31" s="39">
        <v>7.1499999999999994E-2</v>
      </c>
      <c r="J31" s="39">
        <v>9.2249999999999999E-2</v>
      </c>
      <c r="K31" s="39">
        <v>7.6249999999999998E-2</v>
      </c>
      <c r="L31" s="39">
        <v>0.10625</v>
      </c>
      <c r="M31" s="39">
        <v>0.11025</v>
      </c>
      <c r="N31" s="40">
        <v>3.6999999999999998E-2</v>
      </c>
      <c r="O31" s="1" t="s">
        <v>68</v>
      </c>
    </row>
    <row r="32" spans="1:15" s="22" customFormat="1" ht="18.75" x14ac:dyDescent="0.25">
      <c r="A32" s="20" t="s">
        <v>69</v>
      </c>
      <c r="B32" s="38">
        <f t="shared" si="2"/>
        <v>3.052</v>
      </c>
      <c r="C32" s="39">
        <v>0.16200000000000001</v>
      </c>
      <c r="D32" s="39">
        <v>0.158</v>
      </c>
      <c r="E32" s="39">
        <v>0.25600000000000001</v>
      </c>
      <c r="F32" s="39">
        <v>0.159</v>
      </c>
      <c r="G32" s="39">
        <v>0.379</v>
      </c>
      <c r="H32" s="39">
        <v>0.22</v>
      </c>
      <c r="I32" s="39">
        <v>0.22</v>
      </c>
      <c r="J32" s="39">
        <v>0.22</v>
      </c>
      <c r="K32" s="39">
        <v>0.19</v>
      </c>
      <c r="L32" s="39">
        <v>0.39500000000000002</v>
      </c>
      <c r="M32" s="39">
        <v>0.28999999999999998</v>
      </c>
      <c r="N32" s="40">
        <v>0.40300000000000002</v>
      </c>
      <c r="O32" s="21" t="s">
        <v>70</v>
      </c>
    </row>
    <row r="33" spans="1:19" s="25" customFormat="1" ht="18.75" x14ac:dyDescent="0.25">
      <c r="A33" s="23" t="s">
        <v>71</v>
      </c>
      <c r="B33" s="38">
        <f t="shared" si="2"/>
        <v>0.8949999999999998</v>
      </c>
      <c r="C33" s="39">
        <v>9.2499999999999999E-2</v>
      </c>
      <c r="D33" s="39">
        <v>3.2000000000000001E-2</v>
      </c>
      <c r="E33" s="39">
        <v>8.2000000000000003E-2</v>
      </c>
      <c r="F33" s="39">
        <v>8.6999999999999994E-2</v>
      </c>
      <c r="G33" s="39">
        <v>8.6499999999999994E-2</v>
      </c>
      <c r="H33" s="39">
        <v>5.7000000000000002E-2</v>
      </c>
      <c r="I33" s="39">
        <v>5.6000000000000001E-2</v>
      </c>
      <c r="J33" s="39">
        <v>8.6999999999999994E-2</v>
      </c>
      <c r="K33" s="39">
        <v>7.6999999999999999E-2</v>
      </c>
      <c r="L33" s="39">
        <v>0.11600000000000001</v>
      </c>
      <c r="M33" s="39">
        <v>6.3E-2</v>
      </c>
      <c r="N33" s="40">
        <v>5.8999999999999997E-2</v>
      </c>
      <c r="O33" s="24" t="s">
        <v>72</v>
      </c>
    </row>
    <row r="34" spans="1:19" s="25" customFormat="1" ht="18.75" x14ac:dyDescent="0.25">
      <c r="A34" s="23" t="s">
        <v>73</v>
      </c>
      <c r="B34" s="38">
        <f t="shared" si="2"/>
        <v>0.49200000000000005</v>
      </c>
      <c r="C34" s="39">
        <v>5.7000000000000002E-2</v>
      </c>
      <c r="D34" s="39">
        <v>0.03</v>
      </c>
      <c r="E34" s="39">
        <v>2.8000000000000001E-2</v>
      </c>
      <c r="F34" s="39">
        <v>2.8000000000000001E-2</v>
      </c>
      <c r="G34" s="39">
        <v>5.5E-2</v>
      </c>
      <c r="H34" s="39">
        <v>2.7E-2</v>
      </c>
      <c r="I34" s="39">
        <v>5.5E-2</v>
      </c>
      <c r="J34" s="39">
        <v>2.7E-2</v>
      </c>
      <c r="K34" s="39">
        <v>5.1999999999999998E-2</v>
      </c>
      <c r="L34" s="39">
        <v>2.8000000000000001E-2</v>
      </c>
      <c r="M34" s="39">
        <v>3.1E-2</v>
      </c>
      <c r="N34" s="40">
        <v>7.3999999999999996E-2</v>
      </c>
      <c r="O34" s="24" t="s">
        <v>74</v>
      </c>
    </row>
    <row r="35" spans="1:19" s="25" customFormat="1" ht="18.75" x14ac:dyDescent="0.25">
      <c r="A35" s="23" t="s">
        <v>75</v>
      </c>
      <c r="B35" s="38">
        <f t="shared" si="2"/>
        <v>0.47199999999999992</v>
      </c>
      <c r="C35" s="39">
        <v>0.04</v>
      </c>
      <c r="D35" s="39">
        <v>0.03</v>
      </c>
      <c r="E35" s="39">
        <v>0.06</v>
      </c>
      <c r="F35" s="39">
        <v>0.03</v>
      </c>
      <c r="G35" s="39">
        <v>0.06</v>
      </c>
      <c r="H35" s="39">
        <v>4.1000000000000002E-2</v>
      </c>
      <c r="I35" s="39">
        <v>4.1000000000000002E-2</v>
      </c>
      <c r="J35" s="39">
        <v>0</v>
      </c>
      <c r="K35" s="39">
        <v>0.04</v>
      </c>
      <c r="L35" s="39">
        <v>0.04</v>
      </c>
      <c r="M35" s="39">
        <v>0.04</v>
      </c>
      <c r="N35" s="40">
        <v>0.05</v>
      </c>
      <c r="O35" s="1" t="s">
        <v>76</v>
      </c>
      <c r="P35" s="23"/>
      <c r="Q35" s="23"/>
      <c r="R35" s="23"/>
      <c r="S35" s="23"/>
    </row>
    <row r="36" spans="1:19" s="25" customFormat="1" ht="18.75" x14ac:dyDescent="0.25">
      <c r="A36" s="23" t="s">
        <v>77</v>
      </c>
      <c r="B36" s="38">
        <f t="shared" si="2"/>
        <v>1.7190000000000001</v>
      </c>
      <c r="C36" s="39">
        <v>0.12</v>
      </c>
      <c r="D36" s="39">
        <v>0.152</v>
      </c>
      <c r="E36" s="39">
        <v>0.14299999999999999</v>
      </c>
      <c r="F36" s="39">
        <v>0.13600000000000001</v>
      </c>
      <c r="G36" s="39">
        <v>0.12</v>
      </c>
      <c r="H36" s="39">
        <v>0.24</v>
      </c>
      <c r="I36" s="39">
        <v>0.13900000000000001</v>
      </c>
      <c r="J36" s="39">
        <v>0.14499999999999999</v>
      </c>
      <c r="K36" s="39">
        <v>0.13800000000000001</v>
      </c>
      <c r="L36" s="39">
        <v>0.14399999999999999</v>
      </c>
      <c r="M36" s="39">
        <v>9.8000000000000004E-2</v>
      </c>
      <c r="N36" s="40">
        <v>0.14399999999999999</v>
      </c>
      <c r="O36" s="1" t="s">
        <v>78</v>
      </c>
      <c r="P36" s="23"/>
      <c r="Q36" s="23"/>
      <c r="R36" s="23"/>
      <c r="S36" s="23"/>
    </row>
    <row r="37" spans="1:19" s="25" customFormat="1" ht="18.75" x14ac:dyDescent="0.25">
      <c r="A37" s="23" t="s">
        <v>79</v>
      </c>
      <c r="B37" s="38">
        <f t="shared" si="2"/>
        <v>1.0415000000000001</v>
      </c>
      <c r="C37" s="39">
        <v>9.9000000000000005E-2</v>
      </c>
      <c r="D37" s="39">
        <v>7.4999999999999997E-2</v>
      </c>
      <c r="E37" s="39">
        <v>0.1045</v>
      </c>
      <c r="F37" s="39">
        <v>8.2000000000000003E-2</v>
      </c>
      <c r="G37" s="39">
        <v>0.1</v>
      </c>
      <c r="H37" s="39">
        <v>0.10150000000000001</v>
      </c>
      <c r="I37" s="39">
        <v>8.1000000000000003E-2</v>
      </c>
      <c r="J37" s="39">
        <v>3.1E-2</v>
      </c>
      <c r="K37" s="39">
        <v>9.7500000000000003E-2</v>
      </c>
      <c r="L37" s="39">
        <v>8.0500000000000002E-2</v>
      </c>
      <c r="M37" s="39">
        <v>7.7499999999999999E-2</v>
      </c>
      <c r="N37" s="40">
        <v>0.112</v>
      </c>
      <c r="O37" s="24" t="s">
        <v>80</v>
      </c>
    </row>
    <row r="38" spans="1:19" s="25" customFormat="1" ht="18.75" x14ac:dyDescent="0.25">
      <c r="A38" s="23" t="s">
        <v>81</v>
      </c>
      <c r="B38" s="38">
        <f t="shared" si="2"/>
        <v>0.80799999999999983</v>
      </c>
      <c r="C38" s="39">
        <v>3.9E-2</v>
      </c>
      <c r="D38" s="39">
        <v>9.6000000000000002E-2</v>
      </c>
      <c r="E38" s="39">
        <v>0.05</v>
      </c>
      <c r="F38" s="39">
        <v>0.05</v>
      </c>
      <c r="G38" s="39">
        <v>6.6000000000000003E-2</v>
      </c>
      <c r="H38" s="39">
        <v>6.9000000000000006E-2</v>
      </c>
      <c r="I38" s="39">
        <v>6.5000000000000002E-2</v>
      </c>
      <c r="J38" s="39">
        <v>6.5000000000000002E-2</v>
      </c>
      <c r="K38" s="39">
        <v>9.6000000000000002E-2</v>
      </c>
      <c r="L38" s="39">
        <v>7.4999999999999997E-2</v>
      </c>
      <c r="M38" s="39">
        <v>7.1999999999999995E-2</v>
      </c>
      <c r="N38" s="40">
        <v>6.5000000000000002E-2</v>
      </c>
      <c r="O38" s="24" t="s">
        <v>82</v>
      </c>
    </row>
    <row r="39" spans="1:19" s="28" customFormat="1" ht="18.75" x14ac:dyDescent="0.25">
      <c r="A39" s="26" t="s">
        <v>83</v>
      </c>
      <c r="B39" s="38">
        <f t="shared" si="2"/>
        <v>1.1109999999999998</v>
      </c>
      <c r="C39" s="39">
        <v>0.113</v>
      </c>
      <c r="D39" s="39">
        <v>0.08</v>
      </c>
      <c r="E39" s="39">
        <v>0.11</v>
      </c>
      <c r="F39" s="39">
        <v>7.1999999999999995E-2</v>
      </c>
      <c r="G39" s="39">
        <v>0.14399999999999999</v>
      </c>
      <c r="H39" s="39">
        <v>7.1999999999999995E-2</v>
      </c>
      <c r="I39" s="39">
        <v>4.5999999999999999E-2</v>
      </c>
      <c r="J39" s="39">
        <v>7.5999999999999998E-2</v>
      </c>
      <c r="K39" s="39">
        <v>7.6999999999999999E-2</v>
      </c>
      <c r="L39" s="39">
        <v>8.4000000000000005E-2</v>
      </c>
      <c r="M39" s="39">
        <v>0.115</v>
      </c>
      <c r="N39" s="40">
        <v>0.122</v>
      </c>
      <c r="O39" s="27" t="s">
        <v>84</v>
      </c>
    </row>
    <row r="40" spans="1:19" s="29" customFormat="1" ht="18.75" x14ac:dyDescent="0.25">
      <c r="A40" s="26" t="s">
        <v>85</v>
      </c>
      <c r="B40" s="38">
        <f t="shared" si="2"/>
        <v>1.1099999999999999</v>
      </c>
      <c r="C40" s="39">
        <v>5.7500000000000002E-2</v>
      </c>
      <c r="D40" s="39">
        <v>0.13600000000000001</v>
      </c>
      <c r="E40" s="39">
        <v>9.0999999999999998E-2</v>
      </c>
      <c r="F40" s="39">
        <v>0.1255</v>
      </c>
      <c r="G40" s="39">
        <v>8.2000000000000003E-2</v>
      </c>
      <c r="H40" s="39">
        <v>9.4E-2</v>
      </c>
      <c r="I40" s="39">
        <v>6.4000000000000001E-2</v>
      </c>
      <c r="J40" s="39">
        <v>0.113</v>
      </c>
      <c r="K40" s="39">
        <v>8.3000000000000004E-2</v>
      </c>
      <c r="L40" s="39">
        <v>6.4000000000000001E-2</v>
      </c>
      <c r="M40" s="39">
        <v>9.5000000000000001E-2</v>
      </c>
      <c r="N40" s="40">
        <v>0.105</v>
      </c>
      <c r="O40" s="27" t="s">
        <v>86</v>
      </c>
      <c r="P40" s="28"/>
    </row>
    <row r="41" spans="1:19" s="31" customFormat="1" ht="18.75" x14ac:dyDescent="0.25">
      <c r="A41" s="30" t="s">
        <v>87</v>
      </c>
      <c r="B41" s="41">
        <f>SUM(C41:N41)</f>
        <v>0.25500000000000006</v>
      </c>
      <c r="C41" s="42">
        <v>2.7E-2</v>
      </c>
      <c r="D41" s="42">
        <v>3.5999999999999997E-2</v>
      </c>
      <c r="E41" s="42">
        <v>2.4E-2</v>
      </c>
      <c r="F41" s="42">
        <v>0</v>
      </c>
      <c r="G41" s="42">
        <v>1.4999999999999999E-2</v>
      </c>
      <c r="H41" s="42">
        <v>3.2000000000000001E-2</v>
      </c>
      <c r="I41" s="42">
        <v>1.4999999999999999E-2</v>
      </c>
      <c r="J41" s="42">
        <v>1.4999999999999999E-2</v>
      </c>
      <c r="K41" s="42">
        <v>1.7000000000000001E-2</v>
      </c>
      <c r="L41" s="42">
        <v>3.5999999999999997E-2</v>
      </c>
      <c r="M41" s="42">
        <v>0.02</v>
      </c>
      <c r="N41" s="43">
        <v>1.7999999999999999E-2</v>
      </c>
      <c r="O41" s="4" t="s">
        <v>88</v>
      </c>
    </row>
    <row r="42" spans="1:19" x14ac:dyDescent="0.25">
      <c r="A42" s="32" t="s">
        <v>13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 t="s">
        <v>14</v>
      </c>
    </row>
    <row r="43" spans="1:19" s="35" customFormat="1" x14ac:dyDescent="0.25"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</row>
    <row r="44" spans="1:19" s="35" customFormat="1" x14ac:dyDescent="0.25"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</row>
    <row r="45" spans="1:19" s="35" customFormat="1" x14ac:dyDescent="0.25"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</row>
  </sheetData>
  <mergeCells count="3">
    <mergeCell ref="A1:O1"/>
    <mergeCell ref="A2:O2"/>
    <mergeCell ref="A3:O3"/>
  </mergeCells>
  <pageMargins left="0.7" right="0.7" top="0.75" bottom="0.75" header="0.3" footer="0.3"/>
  <pageSetup paperSize="9" scale="65" orientation="landscape" horizontalDpi="4294967295" verticalDpi="4294967295" r:id="rId1"/>
  <ignoredErrors>
    <ignoredError sqref="B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E8CDF40-BC2C-49B7-B349-1CA3ABDE99F2}">
            <xm:f>VLOOKUP(CONCATENATE($A8,$C8),Male,COLUMN('D:\#final\[All in one 2015(150094).xlsm]Entry2015 (for other Islands) '!#REF!),FALSE)&lt;3</xm:f>
            <x14:dxf>
              <fill>
                <patternFill>
                  <bgColor theme="5" tint="0.79998168889431442"/>
                </patternFill>
              </fill>
            </x14:dxf>
          </x14:cfRule>
          <xm:sqref>J7:K7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12.4</vt:lpstr>
      <vt:lpstr>'12.4'!Print_Area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2018-09-03T05:47:33Z</cp:lastPrinted>
  <dcterms:created xsi:type="dcterms:W3CDTF">2015-01-12T08:51:45Z</dcterms:created>
  <dcterms:modified xsi:type="dcterms:W3CDTF">2018-09-03T05:47:39Z</dcterms:modified>
</cp:coreProperties>
</file>