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Fisheries\"/>
    </mc:Choice>
  </mc:AlternateContent>
  <xr:revisionPtr revIDLastSave="0" documentId="13_ncr:1_{9F46301F-4184-4D9E-9B7F-F10D48CFA717}" xr6:coauthVersionLast="47" xr6:coauthVersionMax="47" xr10:uidLastSave="{00000000-0000-0000-0000-000000000000}"/>
  <bookViews>
    <workbookView xWindow="-120" yWindow="-120" windowWidth="29040" windowHeight="15720" tabRatio="634" xr2:uid="{00000000-000D-0000-FFFF-FFFF00000000}"/>
  </bookViews>
  <sheets>
    <sheet name="9.11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1" l="1"/>
  <c r="B8" i="11"/>
  <c r="B9" i="11"/>
  <c r="B10" i="11"/>
  <c r="B11" i="11"/>
  <c r="B12" i="11"/>
  <c r="B13" i="11"/>
  <c r="B14" i="11"/>
  <c r="B15" i="11"/>
  <c r="B16" i="11"/>
  <c r="B17" i="11"/>
  <c r="B6" i="11"/>
  <c r="B5" i="11" l="1"/>
  <c r="D5" i="11"/>
  <c r="E5" i="11"/>
  <c r="F5" i="11"/>
  <c r="G5" i="11"/>
  <c r="H5" i="11"/>
  <c r="I5" i="11"/>
  <c r="J5" i="11"/>
  <c r="C5" i="11"/>
</calcChain>
</file>

<file path=xl/sharedStrings.xml><?xml version="1.0" encoding="utf-8"?>
<sst xmlns="http://schemas.openxmlformats.org/spreadsheetml/2006/main" count="28" uniqueCount="28">
  <si>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</si>
  <si>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</si>
  <si>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</si>
  <si>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</si>
  <si>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</si>
  <si>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</si>
  <si>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</si>
  <si>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</si>
  <si>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</si>
  <si>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</si>
  <si>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</si>
  <si>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</si>
  <si>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</si>
  <si>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Skipjack Tuna</t>
  </si>
  <si>
    <t>Source:  Ministry of Fisheries and Ocean Resources</t>
  </si>
  <si>
    <t>In metrictons (t)</t>
  </si>
  <si>
    <t>TOTAL</t>
  </si>
  <si>
    <t>Source: Purchasing companies</t>
  </si>
  <si>
    <t>Total tuna purchase</t>
  </si>
  <si>
    <t>Yellowfin Tuna</t>
  </si>
  <si>
    <t>Bigeye Tuna</t>
  </si>
  <si>
    <t>Frigated Tuna</t>
  </si>
  <si>
    <t>Reef Fishes</t>
  </si>
  <si>
    <t>Grouper</t>
  </si>
  <si>
    <t>Dolphin fish</t>
  </si>
  <si>
    <t>Wahoo</t>
  </si>
  <si>
    <t>މަޢުލޫމާތުދެއްވި ފަރާތް: މިނިސްޓްރީ އޮފް ފިޝަރީޒް، އެންޑް އޯޝަން ރިސޯސަސް</t>
  </si>
  <si>
    <t>Table 9.11: Monthly Fresh Tuna Purchased by Licensed Fish Processors,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</si>
</sst>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70" formatCode="[$-409]mmmm\ d\,\ yyyy;@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/>
    <xf numFmtId="40" fontId="9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3" fillId="0" borderId="0"/>
  </cellStyleXfs>
  <cellXfs count="27">
    <xf numFmtId="0" fontId="0" fillId="0" borderId="0" xfId="0"/>
    <xf numFmtId="164" fontId="5" fillId="2" borderId="0" xfId="1" applyFont="1" applyFill="1" applyAlignment="1">
      <alignment horizontal="right" vertical="center"/>
    </xf>
    <xf numFmtId="0" fontId="0" fillId="2" borderId="0" xfId="0" applyFill="1"/>
    <xf numFmtId="0" fontId="12" fillId="2" borderId="0" xfId="0" applyFont="1" applyFill="1"/>
    <xf numFmtId="0" fontId="7" fillId="2" borderId="2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15" fillId="2" borderId="2" xfId="0" applyFont="1" applyFill="1" applyBorder="1" applyAlignment="1">
      <alignment horizontal="right" vertical="center" wrapText="1"/>
    </xf>
    <xf numFmtId="0" fontId="16" fillId="2" borderId="2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 wrapText="1"/>
    </xf>
    <xf numFmtId="0" fontId="11" fillId="2" borderId="0" xfId="0" applyFont="1" applyFill="1"/>
    <xf numFmtId="43" fontId="8" fillId="2" borderId="0" xfId="0" applyNumberFormat="1" applyFont="1" applyFill="1" applyAlignment="1">
      <alignment horizontal="right" vertical="center" wrapText="1"/>
    </xf>
    <xf numFmtId="43" fontId="8" fillId="2" borderId="0" xfId="0" applyNumberFormat="1" applyFont="1" applyFill="1" applyAlignment="1">
      <alignment horizontal="right"/>
    </xf>
    <xf numFmtId="43" fontId="10" fillId="2" borderId="0" xfId="0" applyNumberFormat="1" applyFont="1" applyFill="1" applyAlignment="1">
      <alignment horizontal="right"/>
    </xf>
    <xf numFmtId="43" fontId="8" fillId="2" borderId="1" xfId="0" applyNumberFormat="1" applyFont="1" applyFill="1" applyBorder="1" applyAlignment="1">
      <alignment horizontal="right" vertical="center" wrapText="1"/>
    </xf>
    <xf numFmtId="43" fontId="10" fillId="2" borderId="1" xfId="0" applyNumberFormat="1" applyFont="1" applyFill="1" applyBorder="1" applyAlignment="1">
      <alignment horizontal="right"/>
    </xf>
    <xf numFmtId="0" fontId="7" fillId="2" borderId="0" xfId="0" applyFont="1" applyFill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  <xf numFmtId="0" fontId="12" fillId="2" borderId="1" xfId="0" applyFont="1" applyFill="1" applyBorder="1" applyAlignment="1">
      <alignment horizontal="left" vertical="center" indent="1"/>
    </xf>
    <xf numFmtId="4" fontId="1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7" fillId="2" borderId="0" xfId="0" applyFont="1" applyFill="1"/>
    <xf numFmtId="0" fontId="17" fillId="2" borderId="0" xfId="0" applyFont="1" applyFill="1" applyAlignment="1">
      <alignment vertical="center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11D1-F269-42A1-A8EB-EBAB4A986D99}">
  <dimension ref="A1:J19"/>
  <sheetViews>
    <sheetView tabSelected="1" zoomScaleNormal="100" workbookViewId="0">
      <selection activeCell="E10" sqref="E10"/>
    </sheetView>
  </sheetViews>
  <sheetFormatPr defaultColWidth="18.7109375" defaultRowHeight="15" x14ac:dyDescent="0.25"/>
  <cols>
    <col min="1" max="1" width="18.7109375" style="2"/>
    <col min="2" max="2" width="17" style="13" customWidth="1"/>
    <col min="3" max="10" width="17" style="8" customWidth="1"/>
    <col min="11" max="11" width="0.140625" style="2" customWidth="1"/>
    <col min="12" max="16384" width="18.7109375" style="2"/>
  </cols>
  <sheetData>
    <row r="1" spans="1:10" ht="21" x14ac:dyDescent="0.35">
      <c r="A1" s="23" t="s">
        <v>27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x14ac:dyDescent="0.25">
      <c r="A2" s="24" t="s">
        <v>15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x14ac:dyDescent="0.25">
      <c r="A3" s="3"/>
      <c r="B3" s="6"/>
      <c r="C3" s="7"/>
      <c r="D3" s="7"/>
      <c r="E3" s="7"/>
      <c r="F3" s="7"/>
      <c r="G3" s="7"/>
    </row>
    <row r="4" spans="1:10" ht="33" customHeight="1" x14ac:dyDescent="0.25">
      <c r="A4" s="4" t="s">
        <v>0</v>
      </c>
      <c r="B4" s="5" t="s">
        <v>18</v>
      </c>
      <c r="C4" s="9" t="s">
        <v>19</v>
      </c>
      <c r="D4" s="9" t="s">
        <v>13</v>
      </c>
      <c r="E4" s="9" t="s">
        <v>20</v>
      </c>
      <c r="F4" s="10" t="s">
        <v>21</v>
      </c>
      <c r="G4" s="9" t="s">
        <v>22</v>
      </c>
      <c r="H4" s="9" t="s">
        <v>23</v>
      </c>
      <c r="I4" s="9" t="s">
        <v>24</v>
      </c>
      <c r="J4" s="9" t="s">
        <v>25</v>
      </c>
    </row>
    <row r="5" spans="1:10" s="14" customFormat="1" x14ac:dyDescent="0.25">
      <c r="A5" s="20" t="s">
        <v>16</v>
      </c>
      <c r="B5" s="15">
        <f>SUM(B6:B17)</f>
        <v>56271.094909999985</v>
      </c>
      <c r="C5" s="16">
        <f>SUM(C6:C17)</f>
        <v>13151.496179999998</v>
      </c>
      <c r="D5" s="16">
        <f t="shared" ref="D5:J5" si="0">SUM(D6:D17)</f>
        <v>42747.495510000001</v>
      </c>
      <c r="E5" s="16">
        <f t="shared" si="0"/>
        <v>143.49401</v>
      </c>
      <c r="F5" s="16">
        <f t="shared" si="0"/>
        <v>27.907980000000002</v>
      </c>
      <c r="G5" s="16">
        <f t="shared" si="0"/>
        <v>4.7225400000000004</v>
      </c>
      <c r="H5" s="16">
        <f t="shared" si="0"/>
        <v>195.88842999999997</v>
      </c>
      <c r="I5" s="16">
        <f t="shared" si="0"/>
        <v>3.526E-2</v>
      </c>
      <c r="J5" s="16">
        <f t="shared" si="0"/>
        <v>5.5E-2</v>
      </c>
    </row>
    <row r="6" spans="1:10" x14ac:dyDescent="0.25">
      <c r="A6" s="21" t="s">
        <v>1</v>
      </c>
      <c r="B6" s="15">
        <f>SUM(C6:J6)</f>
        <v>8989.2426299999988</v>
      </c>
      <c r="C6" s="17">
        <v>1212.7322899999999</v>
      </c>
      <c r="D6" s="17">
        <v>7715.0855000000001</v>
      </c>
      <c r="E6" s="17">
        <v>32.81</v>
      </c>
      <c r="F6" s="17">
        <v>9.0240000000000001E-2</v>
      </c>
      <c r="G6" s="17">
        <v>0.1331</v>
      </c>
      <c r="H6" s="17">
        <v>28.391500000000001</v>
      </c>
      <c r="I6" s="17">
        <v>0</v>
      </c>
      <c r="J6" s="17">
        <v>0</v>
      </c>
    </row>
    <row r="7" spans="1:10" x14ac:dyDescent="0.25">
      <c r="A7" s="21" t="s">
        <v>2</v>
      </c>
      <c r="B7" s="15">
        <f t="shared" ref="B7:B17" si="1">SUM(C7:J7)</f>
        <v>8500.6053000000011</v>
      </c>
      <c r="C7" s="17">
        <v>1087.8660899999995</v>
      </c>
      <c r="D7" s="17">
        <v>7367.867290000002</v>
      </c>
      <c r="E7" s="17">
        <v>5.9130099999999999</v>
      </c>
      <c r="F7" s="17">
        <v>1.3120099999999999</v>
      </c>
      <c r="G7" s="17">
        <v>8.2640000000000005E-2</v>
      </c>
      <c r="H7" s="17">
        <v>37.558999999999997</v>
      </c>
      <c r="I7" s="17">
        <v>5.2599999999999999E-3</v>
      </c>
      <c r="J7" s="17">
        <v>0</v>
      </c>
    </row>
    <row r="8" spans="1:10" x14ac:dyDescent="0.25">
      <c r="A8" s="21" t="s">
        <v>3</v>
      </c>
      <c r="B8" s="15">
        <f t="shared" si="1"/>
        <v>6192.590259999999</v>
      </c>
      <c r="C8" s="17">
        <v>1323.1021599999999</v>
      </c>
      <c r="D8" s="17">
        <v>4831.4026600000007</v>
      </c>
      <c r="E8" s="17">
        <v>17.690000000000001</v>
      </c>
      <c r="F8" s="17">
        <v>2.9921099999999998</v>
      </c>
      <c r="G8" s="17">
        <v>5.7800000000000004E-2</v>
      </c>
      <c r="H8" s="17">
        <v>17.345529999999997</v>
      </c>
      <c r="I8" s="17">
        <v>0</v>
      </c>
      <c r="J8" s="17">
        <v>0</v>
      </c>
    </row>
    <row r="9" spans="1:10" x14ac:dyDescent="0.25">
      <c r="A9" s="21" t="s">
        <v>4</v>
      </c>
      <c r="B9" s="15">
        <f t="shared" si="1"/>
        <v>3280.7605699999995</v>
      </c>
      <c r="C9" s="17">
        <v>633.5984400000001</v>
      </c>
      <c r="D9" s="17">
        <v>2618.4548899999995</v>
      </c>
      <c r="E9" s="17">
        <v>5.7140000000000004</v>
      </c>
      <c r="F9" s="17">
        <v>0.4743</v>
      </c>
      <c r="G9" s="17">
        <v>0.16263</v>
      </c>
      <c r="H9" s="17">
        <v>22.356310000000001</v>
      </c>
      <c r="I9" s="17">
        <v>0</v>
      </c>
      <c r="J9" s="17">
        <v>0</v>
      </c>
    </row>
    <row r="10" spans="1:10" x14ac:dyDescent="0.25">
      <c r="A10" s="21" t="s">
        <v>5</v>
      </c>
      <c r="B10" s="15">
        <f t="shared" si="1"/>
        <v>4923.705460000001</v>
      </c>
      <c r="C10" s="17">
        <v>1165.4675500000003</v>
      </c>
      <c r="D10" s="17">
        <v>3729.9573800000003</v>
      </c>
      <c r="E10" s="17">
        <v>5.7789999999999999</v>
      </c>
      <c r="F10" s="17">
        <v>8.3250000000000005E-2</v>
      </c>
      <c r="G10" s="17">
        <v>0.67341999999999991</v>
      </c>
      <c r="H10" s="17">
        <v>21.744859999999996</v>
      </c>
      <c r="I10" s="17">
        <v>0</v>
      </c>
      <c r="J10" s="17">
        <v>0</v>
      </c>
    </row>
    <row r="11" spans="1:10" x14ac:dyDescent="0.25">
      <c r="A11" s="21" t="s">
        <v>6</v>
      </c>
      <c r="B11" s="15">
        <f t="shared" si="1"/>
        <v>2286.4490699999992</v>
      </c>
      <c r="C11" s="17">
        <v>614.11046999999985</v>
      </c>
      <c r="D11" s="17">
        <v>1652.4787299999998</v>
      </c>
      <c r="E11" s="17">
        <v>18.46</v>
      </c>
      <c r="F11" s="17">
        <v>0</v>
      </c>
      <c r="G11" s="17">
        <v>1.295E-2</v>
      </c>
      <c r="H11" s="17">
        <v>1.3869199999999999</v>
      </c>
      <c r="I11" s="17">
        <v>0</v>
      </c>
      <c r="J11" s="17">
        <v>0</v>
      </c>
    </row>
    <row r="12" spans="1:10" x14ac:dyDescent="0.25">
      <c r="A12" s="21" t="s">
        <v>7</v>
      </c>
      <c r="B12" s="15">
        <f t="shared" si="1"/>
        <v>643.84761000000003</v>
      </c>
      <c r="C12" s="17">
        <v>486.65722999999991</v>
      </c>
      <c r="D12" s="17">
        <v>149.41650000000001</v>
      </c>
      <c r="E12" s="17">
        <v>3.0219999999999998</v>
      </c>
      <c r="F12" s="17">
        <v>0</v>
      </c>
      <c r="G12" s="17">
        <v>0.22289999999999999</v>
      </c>
      <c r="H12" s="17">
        <v>4.5289800000000007</v>
      </c>
      <c r="I12" s="17">
        <v>0</v>
      </c>
      <c r="J12" s="17">
        <v>0</v>
      </c>
    </row>
    <row r="13" spans="1:10" x14ac:dyDescent="0.25">
      <c r="A13" s="21" t="s">
        <v>8</v>
      </c>
      <c r="B13" s="15">
        <f t="shared" si="1"/>
        <v>2625.5608599999991</v>
      </c>
      <c r="C13" s="17">
        <v>789.57420999999977</v>
      </c>
      <c r="D13" s="17">
        <v>1823.4497199999996</v>
      </c>
      <c r="E13" s="17">
        <v>0.54600000000000004</v>
      </c>
      <c r="F13" s="17">
        <v>0</v>
      </c>
      <c r="G13" s="17">
        <v>2.5890300000000002</v>
      </c>
      <c r="H13" s="17">
        <v>9.4019000000000013</v>
      </c>
      <c r="I13" s="17">
        <v>0</v>
      </c>
      <c r="J13" s="17">
        <v>0</v>
      </c>
    </row>
    <row r="14" spans="1:10" x14ac:dyDescent="0.25">
      <c r="A14" s="21" t="s">
        <v>9</v>
      </c>
      <c r="B14" s="15">
        <f t="shared" si="1"/>
        <v>3214.1080099999995</v>
      </c>
      <c r="C14" s="17">
        <v>1212.1208399999998</v>
      </c>
      <c r="D14" s="17">
        <v>1987.5139799999995</v>
      </c>
      <c r="E14" s="17">
        <v>8.7750000000000004</v>
      </c>
      <c r="F14" s="17">
        <v>5.3416999999999994</v>
      </c>
      <c r="G14" s="17">
        <v>0.31104000000000004</v>
      </c>
      <c r="H14" s="17">
        <v>4.5450000000000004E-2</v>
      </c>
      <c r="I14" s="17">
        <v>0</v>
      </c>
      <c r="J14" s="17">
        <v>0</v>
      </c>
    </row>
    <row r="15" spans="1:10" x14ac:dyDescent="0.25">
      <c r="A15" s="21" t="s">
        <v>10</v>
      </c>
      <c r="B15" s="15">
        <f t="shared" si="1"/>
        <v>3487.0693599999991</v>
      </c>
      <c r="C15" s="17">
        <v>1314.0045300000002</v>
      </c>
      <c r="D15" s="17">
        <v>2137.324259999999</v>
      </c>
      <c r="E15" s="17">
        <v>11.545</v>
      </c>
      <c r="F15" s="17">
        <v>2.6914700000000003</v>
      </c>
      <c r="G15" s="17">
        <v>5.6640000000000003E-2</v>
      </c>
      <c r="H15" s="17">
        <v>21.447460000000003</v>
      </c>
      <c r="I15" s="17">
        <v>0</v>
      </c>
      <c r="J15" s="17">
        <v>0</v>
      </c>
    </row>
    <row r="16" spans="1:10" x14ac:dyDescent="0.25">
      <c r="A16" s="21" t="s">
        <v>11</v>
      </c>
      <c r="B16" s="15">
        <f t="shared" si="1"/>
        <v>7079.5650899999991</v>
      </c>
      <c r="C16" s="17">
        <v>1452.8190099999997</v>
      </c>
      <c r="D16" s="17">
        <v>5568.3740599999992</v>
      </c>
      <c r="E16" s="17">
        <v>17.600999999999999</v>
      </c>
      <c r="F16" s="17">
        <v>9.4909500000000016</v>
      </c>
      <c r="G16" s="17">
        <v>0.11482000000000001</v>
      </c>
      <c r="H16" s="17">
        <v>31.16525</v>
      </c>
      <c r="I16" s="17">
        <v>0</v>
      </c>
      <c r="J16" s="17">
        <v>0</v>
      </c>
    </row>
    <row r="17" spans="1:10" x14ac:dyDescent="0.25">
      <c r="A17" s="22" t="s">
        <v>12</v>
      </c>
      <c r="B17" s="18">
        <f t="shared" si="1"/>
        <v>5047.5906900000009</v>
      </c>
      <c r="C17" s="19">
        <v>1859.4433599999995</v>
      </c>
      <c r="D17" s="19">
        <v>3166.170540000001</v>
      </c>
      <c r="E17" s="19">
        <v>15.638999999999999</v>
      </c>
      <c r="F17" s="19">
        <v>5.4319499999999996</v>
      </c>
      <c r="G17" s="19">
        <v>0.30557000000000001</v>
      </c>
      <c r="H17" s="19">
        <v>0.51527000000000001</v>
      </c>
      <c r="I17" s="19">
        <v>0.03</v>
      </c>
      <c r="J17" s="19">
        <v>5.5E-2</v>
      </c>
    </row>
    <row r="18" spans="1:10" ht="17.25" x14ac:dyDescent="0.25">
      <c r="A18" s="25" t="s">
        <v>17</v>
      </c>
      <c r="B18" s="11"/>
      <c r="C18" s="12"/>
      <c r="D18" s="7"/>
      <c r="E18" s="7"/>
      <c r="F18" s="7"/>
      <c r="G18" s="7"/>
      <c r="J18" s="1" t="s">
        <v>26</v>
      </c>
    </row>
    <row r="19" spans="1:10" x14ac:dyDescent="0.25">
      <c r="A19" s="26" t="s">
        <v>14</v>
      </c>
      <c r="B19" s="11"/>
      <c r="C19" s="12"/>
      <c r="D19" s="7"/>
      <c r="E19" s="7"/>
      <c r="F19" s="7"/>
      <c r="G19" s="7"/>
    </row>
  </sheetData>
  <mergeCells count="2">
    <mergeCell ref="A1:J1"/>
    <mergeCell ref="A2:J2"/>
  </mergeCells>
  <pageMargins left="0.7" right="0.7" top="0.75" bottom="0.75" header="0.3" footer="0.3"/>
  <pageSetup scale="52" orientation="portrait" r:id="rId1"/>
  <colBreaks count="1" manualBreakCount="1">
    <brk id="10" max="18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2025-07-08T05:47:31Z</cp:lastPrinted>
  <dcterms:created xsi:type="dcterms:W3CDTF">2019-09-09T05:11:24Z</dcterms:created>
  <dcterms:modified xsi:type="dcterms:W3CDTF">2025-07-08T05:47:38Z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