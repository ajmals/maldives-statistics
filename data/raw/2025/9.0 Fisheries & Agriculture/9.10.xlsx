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EDB02E75-904A-49BC-9C16-72E288D2F0D0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10" sheetId="10" r:id="rId1"/>
  </sheets>
  <definedNames>
    <definedName name="_xlnm.Print_Area" localSheetId="0">'9.10'!$A$1:$H$33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0" l="1"/>
  <c r="D8" i="10" l="1"/>
  <c r="E30" i="10"/>
  <c r="D3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11" i="10"/>
  <c r="G9" i="10" l="1"/>
  <c r="G7" i="10" s="1"/>
  <c r="F9" i="10"/>
  <c r="F7" i="10" s="1"/>
  <c r="C9" i="10"/>
  <c r="C7" i="10" s="1"/>
  <c r="B9" i="10"/>
  <c r="D9" i="10" l="1"/>
  <c r="D7" i="10" s="1"/>
  <c r="E9" i="10"/>
  <c r="E7" i="10" s="1"/>
</calcChain>
</file>

<file path=xl/sharedStrings.xml><?xml version="1.0" encoding="utf-8"?>
<sst xmlns="http://schemas.openxmlformats.org/spreadsheetml/2006/main" count="41" uniqueCount="35">
  <si>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</si>
  <si>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</si>
  <si>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</si>
  <si>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</si>
  <si>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</si>
  <si>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</si>
  <si>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</si>
  <si>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</si>
  <si>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</si>
  <si>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</si>
  <si>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</si>
  <si>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</si>
  <si>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</si>
  <si>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</si>
  <si>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</si>
  <si>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</si>
  <si>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</si>
  <si>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</si>
  <si>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</si>
  <si>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</si>
  <si>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</si>
  <si>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</si>
  <si>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</si>
  <si>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Locality</t>
  </si>
  <si>
    <t>Other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</si>
  <si>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</si>
  <si>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</si>
  <si>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</si>
  <si>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</si>
  <si>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</si>
  <si>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Masdhonis</t>
  </si>
  <si>
    <t>ތާވަލު 9.10: ބޭނުނު މަހުގެ އަދަދު، މަސްދަތުރުގެ އަދަދު އަދި ތަނުގެ ގޮތުން ބޭނިފައިވާ މަހުގެ ނިސްބަތް، 2024</t>
  </si>
  <si>
    <t>Table 9.10: FISH CATCH, FISHING TRIPS AND CATCH PER UNIT EFFORT BY LOCALITY, 2024</t>
  </si>
  <si>
    <t>Source: 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</si>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</sst>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2"/>
      <name val="Faruma"/>
      <family val="3"/>
    </font>
    <font>
      <b/>
      <sz val="11"/>
      <name val="Faruma"/>
      <family val="3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9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167" fontId="2" fillId="0" borderId="0"/>
    <xf numFmtId="167" fontId="2" fillId="0" borderId="0"/>
    <xf numFmtId="167" fontId="2" fillId="0" borderId="0"/>
    <xf numFmtId="0" fontId="6" fillId="0" borderId="0"/>
  </cellStyleXfs>
  <cellXfs count="52">
    <xf numFmtId="0" fontId="0" fillId="0" borderId="0" xfId="0"/>
    <xf numFmtId="164" fontId="6" fillId="2" borderId="0" xfId="2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 indent="1"/>
    </xf>
    <xf numFmtId="164" fontId="5" fillId="2" borderId="1" xfId="0" applyNumberFormat="1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left" vertical="center"/>
    </xf>
    <xf numFmtId="164" fontId="4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center" vertical="center"/>
    </xf>
    <xf numFmtId="3" fontId="7" fillId="2" borderId="2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Alignment="1">
      <alignment horizontal="right" vertical="center"/>
    </xf>
    <xf numFmtId="3" fontId="5" fillId="2" borderId="0" xfId="2" applyNumberFormat="1" applyFont="1" applyFill="1" applyAlignment="1">
      <alignment horizontal="right" vertical="center"/>
    </xf>
    <xf numFmtId="3" fontId="5" fillId="2" borderId="1" xfId="2" applyNumberFormat="1" applyFont="1" applyFill="1" applyBorder="1" applyAlignment="1">
      <alignment horizontal="right" vertical="center"/>
    </xf>
    <xf numFmtId="164" fontId="7" fillId="2" borderId="1" xfId="2" applyFont="1" applyFill="1" applyBorder="1" applyAlignment="1">
      <alignment horizontal="right" vertical="center"/>
    </xf>
    <xf numFmtId="164" fontId="10" fillId="2" borderId="0" xfId="2" applyFont="1" applyFill="1" applyAlignment="1">
      <alignment horizontal="right" vertical="center"/>
    </xf>
    <xf numFmtId="164" fontId="7" fillId="2" borderId="7" xfId="2" applyFont="1" applyFill="1" applyBorder="1" applyAlignment="1">
      <alignment horizontal="right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7" fillId="2" borderId="0" xfId="2" applyFont="1" applyFill="1" applyAlignment="1">
      <alignment horizontal="right" vertical="center"/>
    </xf>
    <xf numFmtId="164" fontId="7" fillId="2" borderId="9" xfId="2" applyFont="1" applyFill="1" applyBorder="1" applyAlignment="1">
      <alignment horizontal="right"/>
    </xf>
    <xf numFmtId="164" fontId="7" fillId="2" borderId="4" xfId="2" applyFont="1" applyFill="1" applyBorder="1" applyAlignment="1">
      <alignment horizontal="right" vertical="center"/>
    </xf>
    <xf numFmtId="165" fontId="7" fillId="2" borderId="3" xfId="2" applyNumberFormat="1" applyFont="1" applyFill="1" applyBorder="1" applyAlignment="1">
      <alignment horizontal="right" vertical="center" indent="3"/>
    </xf>
    <xf numFmtId="3" fontId="7" fillId="2" borderId="2" xfId="2" applyNumberFormat="1" applyFont="1" applyFill="1" applyBorder="1" applyAlignment="1">
      <alignment horizontal="right" vertical="center" indent="1"/>
    </xf>
    <xf numFmtId="3" fontId="4" fillId="2" borderId="0" xfId="2" applyNumberFormat="1" applyFont="1" applyFill="1" applyAlignment="1">
      <alignment horizontal="right" vertical="center"/>
    </xf>
    <xf numFmtId="3" fontId="7" fillId="2" borderId="0" xfId="2" applyNumberFormat="1" applyFont="1" applyFill="1" applyAlignment="1">
      <alignment horizontal="right" vertical="center" indent="1"/>
    </xf>
    <xf numFmtId="165" fontId="5" fillId="2" borderId="3" xfId="2" applyNumberFormat="1" applyFont="1" applyFill="1" applyBorder="1" applyAlignment="1">
      <alignment horizontal="right" vertical="center" indent="3"/>
    </xf>
    <xf numFmtId="3" fontId="5" fillId="2" borderId="0" xfId="2" applyNumberFormat="1" applyFont="1" applyFill="1" applyAlignment="1">
      <alignment horizontal="right" vertical="center" indent="1"/>
    </xf>
    <xf numFmtId="164" fontId="3" fillId="2" borderId="0" xfId="2" applyFont="1" applyFill="1" applyAlignment="1">
      <alignment horizontal="right" vertical="center"/>
    </xf>
    <xf numFmtId="165" fontId="5" fillId="2" borderId="4" xfId="2" applyNumberFormat="1" applyFont="1" applyFill="1" applyBorder="1" applyAlignment="1">
      <alignment horizontal="right" vertical="center" indent="3"/>
    </xf>
    <xf numFmtId="3" fontId="5" fillId="2" borderId="1" xfId="2" applyNumberFormat="1" applyFont="1" applyFill="1" applyBorder="1" applyAlignment="1">
      <alignment horizontal="right" vertical="center" indent="1"/>
    </xf>
    <xf numFmtId="164" fontId="10" fillId="2" borderId="0" xfId="2" applyFont="1" applyFill="1" applyAlignment="1">
      <alignment horizontal="right" vertical="center" indent="1"/>
    </xf>
    <xf numFmtId="164" fontId="7" fillId="2" borderId="1" xfId="2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right" vertical="center"/>
    </xf>
    <xf numFmtId="164" fontId="7" fillId="2" borderId="10" xfId="2" applyFont="1" applyFill="1" applyBorder="1" applyAlignment="1">
      <alignment horizontal="right" vertical="center"/>
    </xf>
    <xf numFmtId="164" fontId="7" fillId="2" borderId="11" xfId="2" applyFont="1" applyFill="1" applyBorder="1" applyAlignment="1">
      <alignment horizontal="right" vertical="center"/>
    </xf>
    <xf numFmtId="165" fontId="7" fillId="2" borderId="10" xfId="2" applyNumberFormat="1" applyFont="1" applyFill="1" applyBorder="1" applyAlignment="1">
      <alignment horizontal="right" vertical="center" indent="3"/>
    </xf>
    <xf numFmtId="165" fontId="7" fillId="2" borderId="12" xfId="2" applyNumberFormat="1" applyFont="1" applyFill="1" applyBorder="1" applyAlignment="1">
      <alignment horizontal="right" vertical="center" indent="3"/>
    </xf>
    <xf numFmtId="165" fontId="5" fillId="2" borderId="12" xfId="2" applyNumberFormat="1" applyFont="1" applyFill="1" applyBorder="1" applyAlignment="1">
      <alignment horizontal="right" vertical="center" indent="3"/>
    </xf>
    <xf numFmtId="165" fontId="5" fillId="2" borderId="11" xfId="2" applyNumberFormat="1" applyFont="1" applyFill="1" applyBorder="1" applyAlignment="1">
      <alignment horizontal="right" vertical="center" indent="3"/>
    </xf>
    <xf numFmtId="3" fontId="3" fillId="2" borderId="0" xfId="2" applyNumberFormat="1" applyFont="1" applyFill="1" applyAlignment="1">
      <alignment horizontal="left" vertical="center"/>
    </xf>
    <xf numFmtId="166" fontId="3" fillId="2" borderId="0" xfId="1" applyNumberFormat="1" applyFont="1" applyFill="1" applyAlignment="1">
      <alignment horizontal="left" vertical="center"/>
    </xf>
    <xf numFmtId="164" fontId="12" fillId="2" borderId="0" xfId="2" applyFont="1" applyFill="1" applyAlignment="1">
      <alignment horizontal="center" vertical="center"/>
    </xf>
    <xf numFmtId="164" fontId="15" fillId="2" borderId="0" xfId="2" applyFont="1" applyFill="1" applyAlignment="1">
      <alignment horizontal="center" vertical="center"/>
    </xf>
    <xf numFmtId="164" fontId="7" fillId="2" borderId="2" xfId="2" applyFont="1" applyFill="1" applyBorder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7" fillId="2" borderId="1" xfId="2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/>
    </xf>
    <xf numFmtId="164" fontId="7" fillId="2" borderId="6" xfId="2" applyFont="1" applyFill="1" applyBorder="1" applyAlignment="1">
      <alignment horizontal="center" vertical="center"/>
    </xf>
    <xf numFmtId="164" fontId="7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3"/>
  <sheetViews>
    <sheetView tabSelected="1" zoomScaleNormal="100" workbookViewId="0">
      <selection activeCell="G31" sqref="G31"/>
    </sheetView>
  </sheetViews>
  <sheetFormatPr defaultColWidth="10" defaultRowHeight="12.75" x14ac:dyDescent="0.25"/>
  <cols>
    <col min="1" max="1" width="10" style="1"/>
    <col min="2" max="2" width="13" style="1" customWidth="1"/>
    <col min="3" max="3" width="14.28515625" style="1" customWidth="1"/>
    <col min="4" max="4" width="15.5703125" style="1" customWidth="1"/>
    <col min="5" max="5" width="15.85546875" style="1" customWidth="1"/>
    <col min="6" max="7" width="13.140625" style="1" customWidth="1"/>
    <col min="8" max="8" width="3.85546875" style="1" customWidth="1"/>
    <col min="9" max="9" width="12.28515625" style="1" customWidth="1"/>
    <col min="10" max="10" width="24.5703125" style="1" bestFit="1" customWidth="1"/>
    <col min="11" max="11" width="6.42578125" style="1" bestFit="1" customWidth="1"/>
    <col min="12" max="16384" width="10" style="1"/>
  </cols>
  <sheetData>
    <row r="1" spans="1:11" ht="21.75" x14ac:dyDescent="0.25">
      <c r="A1" s="43" t="s">
        <v>31</v>
      </c>
      <c r="B1" s="43"/>
      <c r="C1" s="43"/>
      <c r="D1" s="43"/>
      <c r="E1" s="43"/>
      <c r="F1" s="43"/>
      <c r="G1" s="43"/>
      <c r="H1" s="18"/>
      <c r="I1" s="18"/>
      <c r="J1" s="18"/>
    </row>
    <row r="2" spans="1:11" s="4" customFormat="1" ht="15.75" x14ac:dyDescent="0.25">
      <c r="A2" s="44" t="s">
        <v>32</v>
      </c>
      <c r="B2" s="44"/>
      <c r="C2" s="44"/>
      <c r="D2" s="44"/>
      <c r="E2" s="44"/>
      <c r="F2" s="44"/>
      <c r="G2" s="44"/>
      <c r="H2" s="19"/>
      <c r="I2" s="19"/>
      <c r="J2" s="19"/>
    </row>
    <row r="3" spans="1:11" s="4" customFormat="1" x14ac:dyDescent="0.25">
      <c r="A3" s="10"/>
      <c r="B3" s="33"/>
      <c r="C3" s="33"/>
      <c r="D3" s="33"/>
      <c r="E3" s="33"/>
      <c r="F3" s="33"/>
      <c r="G3" s="33"/>
      <c r="H3" s="10"/>
      <c r="I3" s="10"/>
      <c r="J3" s="10"/>
    </row>
    <row r="4" spans="1:11" s="4" customFormat="1" x14ac:dyDescent="0.25">
      <c r="A4" s="45" t="s">
        <v>23</v>
      </c>
      <c r="B4" s="48" t="s">
        <v>27</v>
      </c>
      <c r="C4" s="48"/>
      <c r="D4" s="49" t="s">
        <v>28</v>
      </c>
      <c r="E4" s="50"/>
      <c r="F4" s="48" t="s">
        <v>29</v>
      </c>
      <c r="G4" s="48"/>
    </row>
    <row r="5" spans="1:11" s="4" customFormat="1" x14ac:dyDescent="0.2">
      <c r="A5" s="46"/>
      <c r="B5" s="20" t="s">
        <v>25</v>
      </c>
      <c r="C5" s="17" t="s">
        <v>24</v>
      </c>
      <c r="D5" s="35" t="s">
        <v>25</v>
      </c>
      <c r="E5" s="21" t="s">
        <v>24</v>
      </c>
      <c r="F5" s="20" t="s">
        <v>25</v>
      </c>
      <c r="G5" s="17" t="s">
        <v>24</v>
      </c>
      <c r="K5" s="5"/>
    </row>
    <row r="6" spans="1:11" s="4" customFormat="1" x14ac:dyDescent="0.25">
      <c r="A6" s="47"/>
      <c r="B6" s="15" t="s">
        <v>30</v>
      </c>
      <c r="C6" s="15"/>
      <c r="D6" s="36" t="s">
        <v>30</v>
      </c>
      <c r="E6" s="22"/>
      <c r="F6" s="20" t="s">
        <v>30</v>
      </c>
      <c r="G6" s="20"/>
    </row>
    <row r="7" spans="1:11" s="9" customFormat="1" x14ac:dyDescent="0.25">
      <c r="A7" s="2" t="s">
        <v>0</v>
      </c>
      <c r="B7" s="12">
        <f>B8+B9</f>
        <v>107651.21902303353</v>
      </c>
      <c r="C7" s="12">
        <f>C8+C9</f>
        <v>15.157125517593027</v>
      </c>
      <c r="D7" s="37">
        <f>D8+D9+D10</f>
        <v>8.2894787452522536</v>
      </c>
      <c r="E7" s="23">
        <f t="shared" ref="E7:G7" si="0">E8+E9+E10</f>
        <v>5.0523751725310087</v>
      </c>
      <c r="F7" s="11">
        <f t="shared" si="0"/>
        <v>28027</v>
      </c>
      <c r="G7" s="24">
        <f t="shared" si="0"/>
        <v>3</v>
      </c>
      <c r="I7" s="34"/>
      <c r="K7" s="25"/>
    </row>
    <row r="8" spans="1:11" s="9" customFormat="1" x14ac:dyDescent="0.25">
      <c r="A8" s="2" t="s">
        <v>1</v>
      </c>
      <c r="B8" s="12">
        <v>14648.55070707415</v>
      </c>
      <c r="C8" s="13">
        <v>0</v>
      </c>
      <c r="D8" s="39">
        <f>B8/F8</f>
        <v>4.5393711518667956</v>
      </c>
      <c r="E8" s="23">
        <v>0</v>
      </c>
      <c r="F8" s="12">
        <v>3227</v>
      </c>
      <c r="G8" s="26">
        <v>0</v>
      </c>
      <c r="I8" s="42"/>
      <c r="J8" s="8"/>
      <c r="K8" s="41"/>
    </row>
    <row r="9" spans="1:11" s="9" customFormat="1" x14ac:dyDescent="0.25">
      <c r="A9" s="2" t="s">
        <v>2</v>
      </c>
      <c r="B9" s="12">
        <f>SUM(B11:B30)</f>
        <v>93002.668315959381</v>
      </c>
      <c r="C9" s="12">
        <f>SUM(C11:C30)</f>
        <v>15.157125517593027</v>
      </c>
      <c r="D9" s="38">
        <f>B9/F9</f>
        <v>3.7501075933854588</v>
      </c>
      <c r="E9" s="23">
        <f>C9/G9</f>
        <v>5.0523751725310087</v>
      </c>
      <c r="F9" s="12">
        <f>SUM(F11:F30)</f>
        <v>24800</v>
      </c>
      <c r="G9" s="26">
        <f>SUM(G11:G30)</f>
        <v>3</v>
      </c>
      <c r="I9" s="42"/>
      <c r="J9" s="8"/>
      <c r="K9" s="8"/>
    </row>
    <row r="10" spans="1:11" s="9" customFormat="1" hidden="1" x14ac:dyDescent="0.25">
      <c r="A10" s="2" t="s">
        <v>3</v>
      </c>
      <c r="B10" s="12"/>
      <c r="C10" s="12"/>
      <c r="D10" s="38"/>
      <c r="E10" s="23"/>
      <c r="F10" s="12"/>
      <c r="G10" s="26"/>
      <c r="I10" s="42"/>
      <c r="J10" s="8"/>
      <c r="K10" s="8"/>
    </row>
    <row r="11" spans="1:11" s="9" customFormat="1" x14ac:dyDescent="0.25">
      <c r="A11" s="6" t="s">
        <v>4</v>
      </c>
      <c r="B11" s="13">
        <v>8153.5129675398375</v>
      </c>
      <c r="C11" s="13">
        <v>0</v>
      </c>
      <c r="D11" s="39">
        <f>B11/F11</f>
        <v>3.6595659638868212</v>
      </c>
      <c r="E11" s="27">
        <v>0</v>
      </c>
      <c r="F11" s="13">
        <v>2228</v>
      </c>
      <c r="G11" s="28">
        <v>0</v>
      </c>
      <c r="I11" s="42"/>
      <c r="J11" s="8"/>
      <c r="K11" s="41"/>
    </row>
    <row r="12" spans="1:11" s="9" customFormat="1" x14ac:dyDescent="0.25">
      <c r="A12" s="6" t="s">
        <v>5</v>
      </c>
      <c r="B12" s="13">
        <v>1781.2281085642651</v>
      </c>
      <c r="C12" s="13">
        <v>0</v>
      </c>
      <c r="D12" s="39">
        <f t="shared" ref="D12:D29" si="1">B12/F12</f>
        <v>3.6130387597652436</v>
      </c>
      <c r="E12" s="27">
        <v>0</v>
      </c>
      <c r="F12" s="13">
        <v>493</v>
      </c>
      <c r="G12" s="28">
        <v>0</v>
      </c>
      <c r="I12" s="42"/>
      <c r="J12" s="8"/>
      <c r="K12" s="41"/>
    </row>
    <row r="13" spans="1:11" s="9" customFormat="1" x14ac:dyDescent="0.25">
      <c r="A13" s="6" t="s">
        <v>6</v>
      </c>
      <c r="B13" s="13">
        <v>1992.0448290489007</v>
      </c>
      <c r="C13" s="13">
        <v>0</v>
      </c>
      <c r="D13" s="39">
        <f t="shared" si="1"/>
        <v>3.0459401055793589</v>
      </c>
      <c r="E13" s="27">
        <v>0</v>
      </c>
      <c r="F13" s="13">
        <v>654</v>
      </c>
      <c r="G13" s="28">
        <v>0</v>
      </c>
      <c r="I13" s="42"/>
      <c r="J13" s="8"/>
      <c r="K13" s="41"/>
    </row>
    <row r="14" spans="1:11" s="9" customFormat="1" x14ac:dyDescent="0.25">
      <c r="A14" s="6" t="s">
        <v>8</v>
      </c>
      <c r="B14" s="13">
        <v>1768.7248988449624</v>
      </c>
      <c r="C14" s="13">
        <v>0</v>
      </c>
      <c r="D14" s="39">
        <f t="shared" si="1"/>
        <v>2.6798862103711549</v>
      </c>
      <c r="E14" s="27">
        <v>0</v>
      </c>
      <c r="F14" s="13">
        <v>660</v>
      </c>
      <c r="G14" s="28">
        <v>0</v>
      </c>
      <c r="I14" s="42"/>
      <c r="J14" s="8"/>
      <c r="K14" s="41"/>
    </row>
    <row r="15" spans="1:11" s="9" customFormat="1" x14ac:dyDescent="0.25">
      <c r="A15" s="6" t="s">
        <v>9</v>
      </c>
      <c r="B15" s="13">
        <v>6210.877489504207</v>
      </c>
      <c r="C15" s="13">
        <v>0</v>
      </c>
      <c r="D15" s="39">
        <f t="shared" si="1"/>
        <v>3.0475355689422017</v>
      </c>
      <c r="E15" s="27">
        <v>0</v>
      </c>
      <c r="F15" s="13">
        <v>2038</v>
      </c>
      <c r="G15" s="28">
        <v>0</v>
      </c>
      <c r="I15" s="42"/>
      <c r="J15" s="8"/>
      <c r="K15" s="41"/>
    </row>
    <row r="16" spans="1:11" s="9" customFormat="1" x14ac:dyDescent="0.25">
      <c r="A16" s="6" t="s">
        <v>10</v>
      </c>
      <c r="B16" s="13">
        <v>1348.4255168135326</v>
      </c>
      <c r="C16" s="13">
        <v>0</v>
      </c>
      <c r="D16" s="39">
        <f t="shared" si="1"/>
        <v>2.2214588415379448</v>
      </c>
      <c r="E16" s="27">
        <v>0</v>
      </c>
      <c r="F16" s="13">
        <v>607</v>
      </c>
      <c r="G16" s="28">
        <v>0</v>
      </c>
      <c r="I16" s="42"/>
      <c r="J16" s="8"/>
      <c r="K16" s="41"/>
    </row>
    <row r="17" spans="1:12" s="9" customFormat="1" x14ac:dyDescent="0.25">
      <c r="A17" s="6" t="s">
        <v>11</v>
      </c>
      <c r="B17" s="13">
        <v>5057.4543803465485</v>
      </c>
      <c r="C17" s="13">
        <v>0</v>
      </c>
      <c r="D17" s="39">
        <f t="shared" si="1"/>
        <v>4.4559069430366067</v>
      </c>
      <c r="E17" s="27">
        <v>0</v>
      </c>
      <c r="F17" s="13">
        <v>1135</v>
      </c>
      <c r="G17" s="28">
        <v>0</v>
      </c>
      <c r="I17" s="42"/>
      <c r="J17" s="8"/>
      <c r="K17" s="41"/>
    </row>
    <row r="18" spans="1:12" s="9" customFormat="1" x14ac:dyDescent="0.25">
      <c r="A18" s="6" t="s">
        <v>12</v>
      </c>
      <c r="B18" s="13">
        <v>3904.6972138155811</v>
      </c>
      <c r="C18" s="13">
        <v>0</v>
      </c>
      <c r="D18" s="39">
        <f t="shared" si="1"/>
        <v>3.043411702116587</v>
      </c>
      <c r="E18" s="27">
        <v>0</v>
      </c>
      <c r="F18" s="13">
        <v>1283</v>
      </c>
      <c r="G18" s="28">
        <v>0</v>
      </c>
      <c r="I18" s="42"/>
      <c r="J18" s="8"/>
      <c r="K18" s="41"/>
    </row>
    <row r="19" spans="1:12" s="9" customFormat="1" x14ac:dyDescent="0.25">
      <c r="A19" s="6" t="s">
        <v>26</v>
      </c>
      <c r="B19" s="13">
        <v>1540.2401981522885</v>
      </c>
      <c r="C19" s="13">
        <v>0</v>
      </c>
      <c r="D19" s="39">
        <f t="shared" si="1"/>
        <v>2.0785967586400655</v>
      </c>
      <c r="E19" s="27">
        <v>0</v>
      </c>
      <c r="F19" s="13">
        <v>741</v>
      </c>
      <c r="G19" s="28">
        <v>0</v>
      </c>
      <c r="I19" s="42"/>
      <c r="J19" s="8"/>
      <c r="K19" s="41"/>
    </row>
    <row r="20" spans="1:12" s="9" customFormat="1" x14ac:dyDescent="0.25">
      <c r="A20" s="6" t="s">
        <v>13</v>
      </c>
      <c r="B20" s="13">
        <v>1700.5497817528749</v>
      </c>
      <c r="C20" s="13">
        <v>0</v>
      </c>
      <c r="D20" s="39">
        <f t="shared" si="1"/>
        <v>1.7677232658553792</v>
      </c>
      <c r="E20" s="27">
        <v>0</v>
      </c>
      <c r="F20" s="13">
        <v>962</v>
      </c>
      <c r="G20" s="28">
        <v>0</v>
      </c>
      <c r="I20" s="42"/>
      <c r="J20" s="8"/>
      <c r="K20" s="41"/>
    </row>
    <row r="21" spans="1:12" s="9" customFormat="1" x14ac:dyDescent="0.25">
      <c r="A21" s="6" t="s">
        <v>14</v>
      </c>
      <c r="B21" s="13">
        <v>166.17997110213878</v>
      </c>
      <c r="C21" s="13">
        <v>0</v>
      </c>
      <c r="D21" s="39">
        <f t="shared" si="1"/>
        <v>5.3606442291012506</v>
      </c>
      <c r="E21" s="27">
        <v>0</v>
      </c>
      <c r="F21" s="13">
        <v>31</v>
      </c>
      <c r="G21" s="28">
        <v>0</v>
      </c>
      <c r="I21" s="42"/>
      <c r="J21" s="8"/>
      <c r="K21" s="41"/>
    </row>
    <row r="22" spans="1:12" s="29" customFormat="1" x14ac:dyDescent="0.25">
      <c r="A22" s="6" t="s">
        <v>15</v>
      </c>
      <c r="B22" s="13">
        <v>1841.0062832936821</v>
      </c>
      <c r="C22" s="13">
        <v>0</v>
      </c>
      <c r="D22" s="39">
        <f t="shared" si="1"/>
        <v>2.3333412969501675</v>
      </c>
      <c r="E22" s="27">
        <v>0</v>
      </c>
      <c r="F22" s="13">
        <v>789</v>
      </c>
      <c r="G22" s="28">
        <v>0</v>
      </c>
      <c r="H22" s="9"/>
      <c r="I22" s="42"/>
      <c r="J22" s="8"/>
      <c r="K22" s="41"/>
      <c r="L22" s="9"/>
    </row>
    <row r="23" spans="1:12" s="29" customFormat="1" x14ac:dyDescent="0.25">
      <c r="A23" s="6" t="s">
        <v>16</v>
      </c>
      <c r="B23" s="13">
        <v>1898.32437729248</v>
      </c>
      <c r="C23" s="13">
        <v>0</v>
      </c>
      <c r="D23" s="39">
        <f t="shared" si="1"/>
        <v>2.1305548566694501</v>
      </c>
      <c r="E23" s="27">
        <v>0</v>
      </c>
      <c r="F23" s="13">
        <v>891</v>
      </c>
      <c r="G23" s="28">
        <v>0</v>
      </c>
      <c r="H23" s="9"/>
      <c r="I23" s="42"/>
      <c r="J23" s="8"/>
      <c r="K23" s="41"/>
      <c r="L23" s="9"/>
    </row>
    <row r="24" spans="1:12" s="29" customFormat="1" x14ac:dyDescent="0.25">
      <c r="A24" s="6" t="s">
        <v>17</v>
      </c>
      <c r="B24" s="13">
        <v>8698.4102208563254</v>
      </c>
      <c r="C24" s="13">
        <v>0</v>
      </c>
      <c r="D24" s="39">
        <f t="shared" si="1"/>
        <v>3.2336097475302323</v>
      </c>
      <c r="E24" s="27">
        <v>0</v>
      </c>
      <c r="F24" s="13">
        <v>2690</v>
      </c>
      <c r="G24" s="28">
        <v>0</v>
      </c>
      <c r="H24" s="9"/>
      <c r="I24" s="42"/>
      <c r="J24" s="8"/>
      <c r="K24" s="41"/>
      <c r="L24" s="9"/>
    </row>
    <row r="25" spans="1:12" s="29" customFormat="1" x14ac:dyDescent="0.25">
      <c r="A25" s="6" t="s">
        <v>18</v>
      </c>
      <c r="B25" s="13">
        <v>4745.6099819568135</v>
      </c>
      <c r="C25" s="13">
        <v>0</v>
      </c>
      <c r="D25" s="39">
        <f t="shared" si="1"/>
        <v>4.6525588058400134</v>
      </c>
      <c r="E25" s="27">
        <v>0</v>
      </c>
      <c r="F25" s="13">
        <v>1020</v>
      </c>
      <c r="G25" s="28">
        <v>0</v>
      </c>
      <c r="H25" s="9"/>
      <c r="I25" s="42"/>
      <c r="J25" s="8"/>
      <c r="K25" s="41"/>
      <c r="L25" s="9"/>
    </row>
    <row r="26" spans="1:12" s="29" customFormat="1" x14ac:dyDescent="0.25">
      <c r="A26" s="6" t="s">
        <v>19</v>
      </c>
      <c r="B26" s="13">
        <v>5438.8405685555854</v>
      </c>
      <c r="C26" s="13">
        <v>0</v>
      </c>
      <c r="D26" s="39">
        <f t="shared" si="1"/>
        <v>3.8328686177276854</v>
      </c>
      <c r="E26" s="27">
        <v>0</v>
      </c>
      <c r="F26" s="13">
        <v>1419</v>
      </c>
      <c r="G26" s="28">
        <v>0</v>
      </c>
      <c r="H26" s="9"/>
      <c r="I26" s="42"/>
      <c r="J26" s="8"/>
      <c r="K26" s="41"/>
      <c r="L26" s="9"/>
    </row>
    <row r="27" spans="1:12" s="29" customFormat="1" x14ac:dyDescent="0.25">
      <c r="A27" s="6" t="s">
        <v>20</v>
      </c>
      <c r="B27" s="13">
        <v>13762.26730333771</v>
      </c>
      <c r="C27" s="13">
        <v>0</v>
      </c>
      <c r="D27" s="39">
        <f t="shared" si="1"/>
        <v>5.0689750656860815</v>
      </c>
      <c r="E27" s="27">
        <v>0</v>
      </c>
      <c r="F27" s="13">
        <v>2715</v>
      </c>
      <c r="G27" s="28">
        <v>0</v>
      </c>
      <c r="H27" s="9"/>
      <c r="I27" s="42"/>
      <c r="J27" s="8"/>
      <c r="K27" s="41"/>
      <c r="L27" s="9"/>
    </row>
    <row r="28" spans="1:12" s="29" customFormat="1" x14ac:dyDescent="0.25">
      <c r="A28" s="6" t="s">
        <v>21</v>
      </c>
      <c r="B28" s="13">
        <v>10398.700167750907</v>
      </c>
      <c r="C28" s="13">
        <v>0</v>
      </c>
      <c r="D28" s="39">
        <f t="shared" si="1"/>
        <v>5.424465397887797</v>
      </c>
      <c r="E28" s="27">
        <v>0</v>
      </c>
      <c r="F28" s="13">
        <v>1917</v>
      </c>
      <c r="G28" s="28">
        <v>0</v>
      </c>
      <c r="H28" s="9"/>
      <c r="I28" s="42"/>
      <c r="J28" s="8"/>
      <c r="K28" s="41"/>
      <c r="L28" s="9"/>
    </row>
    <row r="29" spans="1:12" s="29" customFormat="1" x14ac:dyDescent="0.25">
      <c r="A29" s="6" t="s">
        <v>22</v>
      </c>
      <c r="B29" s="13">
        <v>2424.0518100662316</v>
      </c>
      <c r="C29" s="13">
        <v>0</v>
      </c>
      <c r="D29" s="39">
        <f t="shared" si="1"/>
        <v>3.0840353817636537</v>
      </c>
      <c r="E29" s="27">
        <v>0</v>
      </c>
      <c r="F29" s="13">
        <v>786</v>
      </c>
      <c r="G29" s="28">
        <v>0</v>
      </c>
      <c r="H29" s="9"/>
      <c r="I29" s="42"/>
      <c r="J29" s="8"/>
      <c r="K29" s="41"/>
      <c r="L29" s="9"/>
    </row>
    <row r="30" spans="1:12" s="29" customFormat="1" x14ac:dyDescent="0.25">
      <c r="A30" s="7" t="s">
        <v>7</v>
      </c>
      <c r="B30" s="14">
        <v>10171.522247364512</v>
      </c>
      <c r="C30" s="14">
        <v>15.157125517593027</v>
      </c>
      <c r="D30" s="40">
        <f>B30/F30</f>
        <v>5.8423447716051191</v>
      </c>
      <c r="E30" s="30">
        <f>C30/G30</f>
        <v>5.0523751725310087</v>
      </c>
      <c r="F30" s="14">
        <v>1741</v>
      </c>
      <c r="G30" s="31">
        <v>3</v>
      </c>
      <c r="H30" s="9"/>
      <c r="I30" s="42"/>
      <c r="J30" s="8"/>
      <c r="K30" s="41"/>
      <c r="L30" s="9"/>
    </row>
    <row r="31" spans="1:12" s="29" customFormat="1" ht="17.25" x14ac:dyDescent="0.25">
      <c r="A31" s="3" t="s">
        <v>33</v>
      </c>
      <c r="B31" s="16"/>
      <c r="C31" s="16"/>
      <c r="D31" s="16"/>
      <c r="E31" s="16"/>
      <c r="F31" s="16"/>
      <c r="G31" s="51" t="s">
        <v>34</v>
      </c>
    </row>
    <row r="32" spans="1:12" s="29" customFormat="1" ht="12" x14ac:dyDescent="0.25">
      <c r="A32" s="3"/>
      <c r="B32" s="16"/>
      <c r="C32" s="16"/>
      <c r="D32" s="16"/>
      <c r="E32" s="16"/>
      <c r="F32" s="16"/>
      <c r="G32" s="32"/>
    </row>
    <row r="33" spans="1:7" s="29" customFormat="1" ht="12" x14ac:dyDescent="0.25">
      <c r="A33" s="3"/>
      <c r="B33" s="16"/>
      <c r="C33" s="16"/>
      <c r="D33" s="16"/>
      <c r="E33" s="16"/>
      <c r="F33" s="16"/>
      <c r="G33" s="32"/>
    </row>
  </sheetData>
  <mergeCells count="6">
    <mergeCell ref="A1:G1"/>
    <mergeCell ref="A2:G2"/>
    <mergeCell ref="A4:A6"/>
    <mergeCell ref="B4:C4"/>
    <mergeCell ref="D4:E4"/>
    <mergeCell ref="F4:G4"/>
  </mergeCells>
  <pageMargins left="0.7" right="0.7" top="0.75" bottom="0.75" header="0.3" footer="0.3"/>
  <pageSetup paperSize="9" scale="80" orientation="portrait" horizontalDpi="4294967295" verticalDpi="4294967295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2025-07-08T05:45:53Z</cp:lastPrinted>
  <dcterms:created xsi:type="dcterms:W3CDTF">2019-09-09T05:11:24Z</dcterms:created>
  <dcterms:modified xsi:type="dcterms:W3CDTF">2025-07-08T05:45:56Z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