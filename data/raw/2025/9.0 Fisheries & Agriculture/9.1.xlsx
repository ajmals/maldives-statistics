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fileserver\ST4\Dissemination\Publications\Statistical Year Book\YEARBOOK 2025\Final\Fisheries\"/>
    </mc:Choice>
  </mc:AlternateContent>
  <xr:revisionPtr revIDLastSave="0" documentId="13_ncr:1_{F8E8FD4E-BC41-4B6F-87EA-07437706D4ED}" xr6:coauthVersionLast="47" xr6:coauthVersionMax="47" xr10:uidLastSave="{00000000-0000-0000-0000-000000000000}"/>
  <bookViews>
    <workbookView xWindow="-120" yWindow="-120" windowWidth="29040" windowHeight="15720" tabRatio="634" xr2:uid="{00000000-000D-0000-FFFF-FFFF00000000}"/>
  </bookViews>
  <sheets>
    <sheet name="9.1" sheetId="1" r:id="rId1"/>
  </sheets>
  <definedNames>
    <definedName name="_xlnm.Print_Area" localSheetId="0">'9.1'!$A$1:$Y$21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 i="1" l="1"/>
  <c r="L10" i="1"/>
  <c r="L9" i="1" s="1"/>
  <c r="W9" i="1" s="1"/>
  <c r="W10" i="1" l="1"/>
  <c r="W8" i="1"/>
  <c r="M9" i="1"/>
  <c r="X9" i="1" s="1"/>
  <c r="X10" i="1"/>
  <c r="X8" i="1"/>
  <c r="K10" i="1" l="1"/>
  <c r="K9" i="1" l="1"/>
  <c r="V9" i="1" s="1"/>
  <c r="V8" i="1"/>
  <c r="V10" i="1"/>
  <c r="J10" i="1" l="1"/>
  <c r="W14" i="1" l="1"/>
  <c r="X14" i="1"/>
  <c r="W15" i="1"/>
  <c r="X15" i="1"/>
  <c r="W11" i="1"/>
  <c r="X11" i="1"/>
  <c r="W12" i="1"/>
  <c r="X12" i="1"/>
  <c r="W13" i="1"/>
  <c r="X13" i="1"/>
  <c r="V12" i="1"/>
  <c r="V15" i="1"/>
  <c r="V11" i="1"/>
  <c r="V14" i="1"/>
  <c r="V13" i="1"/>
  <c r="U14" i="1"/>
  <c r="U13" i="1"/>
  <c r="J9" i="1"/>
  <c r="U9" i="1" s="1"/>
  <c r="U12" i="1"/>
  <c r="U15" i="1"/>
  <c r="U8" i="1"/>
  <c r="U11" i="1"/>
  <c r="U10" i="1"/>
  <c r="I10" i="1" l="1"/>
  <c r="T13" i="1" s="1"/>
  <c r="T12" i="1" l="1"/>
  <c r="T11" i="1"/>
  <c r="T8" i="1"/>
  <c r="I9" i="1"/>
  <c r="T9" i="1" s="1"/>
  <c r="T15" i="1"/>
  <c r="T14" i="1"/>
  <c r="T10" i="1"/>
  <c r="H10" i="1" l="1"/>
  <c r="S14" i="1" l="1"/>
  <c r="S15" i="1"/>
  <c r="S13" i="1"/>
  <c r="S11" i="1"/>
  <c r="S12" i="1"/>
  <c r="S8" i="1"/>
  <c r="H9" i="1"/>
  <c r="S9" i="1" s="1"/>
  <c r="S10" i="1"/>
  <c r="G10" i="1" l="1"/>
  <c r="R12" i="1" s="1"/>
  <c r="F10" i="1"/>
  <c r="Q12" i="1" s="1"/>
  <c r="E10" i="1"/>
  <c r="P15" i="1" s="1"/>
  <c r="D10" i="1"/>
  <c r="O12" i="1" s="1"/>
  <c r="C10" i="1"/>
  <c r="N10" i="1" s="1"/>
  <c r="B10" i="1"/>
  <c r="O8" i="1" l="1"/>
  <c r="P8" i="1"/>
  <c r="P9" i="1"/>
  <c r="Q8" i="1"/>
  <c r="Q13" i="1"/>
  <c r="Q9" i="1"/>
  <c r="R13" i="1"/>
  <c r="R9" i="1"/>
  <c r="Q14" i="1"/>
  <c r="R14" i="1"/>
  <c r="Q15" i="1"/>
  <c r="R8" i="1"/>
  <c r="R15" i="1"/>
  <c r="N12" i="1"/>
  <c r="P11" i="1"/>
  <c r="N9" i="1"/>
  <c r="Q10" i="1"/>
  <c r="Q11" i="1"/>
  <c r="N11" i="1"/>
  <c r="P10" i="1"/>
  <c r="P12" i="1"/>
  <c r="R10" i="1"/>
  <c r="R11" i="1"/>
  <c r="N13" i="1"/>
  <c r="N14" i="1"/>
  <c r="O13" i="1"/>
  <c r="O14" i="1"/>
  <c r="O15" i="1"/>
  <c r="N15" i="1"/>
  <c r="N8" i="1"/>
  <c r="D9" i="1"/>
  <c r="O9" i="1" s="1"/>
  <c r="P13" i="1"/>
  <c r="P14" i="1"/>
  <c r="O10" i="1"/>
  <c r="O11" i="1"/>
</calcChain>
</file>

<file path=xl/sharedStrings.xml><?xml version="1.0" encoding="utf-8"?>
<sst xmlns="http://schemas.openxmlformats.org/spreadsheetml/2006/main" count="31" uniqueCount="31">
  <si>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</si>
  <si>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</si>
  <si>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</si>
  <si>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</si>
  <si>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</si>
  <si>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</si>
  <si>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</si>
  <si>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</si>
  <si>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</si>
  <si>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</si>
  <si>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</si>
  <si>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</si>
  <si>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Total Catch       </t>
  </si>
  <si>
    <t>wlcmuj eguhwm inEb / Wfih</t>
  </si>
  <si>
    <t>(iawfWnwmih udcawHwrws IdWBitcqia)  cswmwlibuLwk</t>
  </si>
  <si>
    <t>(iawfWnwmih udcawHwrws IdWBitcqia) ilencnwk</t>
  </si>
  <si>
    <t>Bigeye tuna</t>
  </si>
  <si>
    <t>ilencnwk uDobOl</t>
  </si>
  <si>
    <t>Other Tuna Related Species</t>
  </si>
  <si>
    <t>cswmiSov idwa ,iDnogWr ,iTcawl</t>
  </si>
  <si>
    <t>(iawfWnwmih udcawHwrws IdWBitcqia)  cswmurwf cnehinehea</t>
  </si>
  <si>
    <r>
      <t xml:space="preserve">Note: </t>
    </r>
    <r>
      <rPr>
        <b/>
        <i/>
        <vertAlign val="superscript"/>
        <sz val="11"/>
        <rFont val="Arial"/>
        <family val="2"/>
      </rPr>
      <t/>
    </r>
  </si>
  <si>
    <t>މަޢުލޫމާތުދެއްވި ފަރާތް: ރަށު ކައުންސިލްތައް، މޯލްޑިވްސް ކަސްޓަމްސް ސަރވިސަސް</t>
  </si>
  <si>
    <t>The Export in metric tons does not include: Articles Made Of Shells, Dried Shark Fins, Fish Soup, Flours, Meals And Pellets Of Fish, Etc, Unfit For Human Consumption, Live Grouper, Live Ornamental Fish,  Other Hides And Skins, Fresh Or Preserved, Not Tanned, Nes, Salted Dried Shark Fins &amp; Shark-Liver Oil</t>
  </si>
  <si>
    <t>Skipjack Tuna</t>
  </si>
  <si>
    <t xml:space="preserve">Yellowfin Tuna </t>
  </si>
  <si>
    <t xml:space="preserve">Other Marine Fishes </t>
  </si>
  <si>
    <t xml:space="preserve">Table 9.1 :FISH PRODUCTION BY TYPE AND UTILIZATION, 2014 - 2024              </t>
  </si>
  <si>
    <t>2024 - 2014 ,urwvcnim eguhwminEb wtwvun Wfih ecnutog egumunEbunuveruk iaWncnutwvWb eguhwm : 9.1 ulwvWt</t>
  </si>
  <si>
    <t>Source: Island Councils, Maldives Customs Services and Ministry of Fisheries and Ocean Resources</t>
  </si>
  <si>
    <t>މަޢުލޫމާތުދެއްވި ފަރާތް: މިނިސްޓްރީ އޮފް ފިޝަރީޒް، އެންޑް އޯޝަން ރިސޯސަސް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</si>
</sst>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_)"/>
    <numFmt numFmtId="165" formatCode="#,##0.0"/>
    <numFmt numFmtId="166" formatCode="[$-409]mmmm\ d\,\ yyyy;@"/>
  </numFmts>
  <fonts count="24" x14ac:knownFonts="1">
    <font>
      <sz val="11"/>
      <color theme="1"/>
      <name val="Calibri"/>
      <family val="2"/>
      <scheme val="minor"/>
    </font>
    <font>
      <sz val="10"/>
      <name val="Courier"/>
      <family val="3"/>
    </font>
    <font>
      <b/>
      <sz val="12"/>
      <name val="Calibri"/>
      <family val="2"/>
    </font>
    <font>
      <sz val="9"/>
      <name val="Arial"/>
      <family val="2"/>
    </font>
    <font>
      <b/>
      <sz val="11"/>
      <name val="Calibri"/>
      <family val="2"/>
    </font>
    <font>
      <b/>
      <sz val="9"/>
      <name val="Arial"/>
      <family val="2"/>
    </font>
    <font>
      <b/>
      <sz val="9"/>
      <name val="Calibri"/>
      <family val="2"/>
    </font>
    <font>
      <sz val="9.5"/>
      <name val="Courier"/>
      <family val="3"/>
    </font>
    <font>
      <b/>
      <sz val="9.5"/>
      <name val="Calibri"/>
      <family val="2"/>
    </font>
    <font>
      <sz val="9.5"/>
      <name val="A_Waheed"/>
      <family val="3"/>
    </font>
    <font>
      <sz val="9.5"/>
      <name val="Arial"/>
      <family val="2"/>
    </font>
    <font>
      <sz val="10"/>
      <name val="Calibri"/>
      <family val="2"/>
    </font>
    <font>
      <sz val="10"/>
      <name val="AKKO"/>
      <family val="2"/>
    </font>
    <font>
      <sz val="10"/>
      <name val="Arial"/>
      <family val="2"/>
    </font>
    <font>
      <b/>
      <sz val="10"/>
      <name val="Calibri"/>
      <family val="2"/>
    </font>
    <font>
      <i/>
      <sz val="9"/>
      <name val="Calibri"/>
      <family val="2"/>
      <scheme val="minor"/>
    </font>
    <font>
      <b/>
      <i/>
      <vertAlign val="superscript"/>
      <sz val="11"/>
      <name val="Arial"/>
      <family val="2"/>
    </font>
    <font>
      <sz val="9"/>
      <name val="Faruma"/>
      <family val="3"/>
    </font>
    <font>
      <i/>
      <sz val="9"/>
      <name val="Calibri"/>
      <family val="2"/>
    </font>
    <font>
      <i/>
      <sz val="9"/>
      <name val="Arial"/>
      <family val="2"/>
    </font>
    <font>
      <sz val="9"/>
      <name val="Courier"/>
      <family val="3"/>
    </font>
    <font>
      <sz val="10"/>
      <name val="MS Sans Serif"/>
      <family val="2"/>
    </font>
    <font>
      <b/>
      <sz val="10"/>
      <name val="A_Faseyha"/>
    </font>
    <font>
      <sz val="10"/>
      <name val="A_Faseyha"/>
    </font>
  </fonts>
  <fills count="3">
    <fill>
      <patternFill patternType="none"/>
    </fill>
    <fill>
      <patternFill patternType="gray125"/>
    </fill>
    <fill>
      <patternFill patternType="solid">
        <fgColor theme="0"/>
        <bgColor indexed="64"/>
      </patternFill>
    </fill>
  </fills>
  <borders count="10">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theme="1"/>
      </left>
      <right/>
      <top/>
      <bottom style="hair">
        <color theme="1"/>
      </bottom>
      <diagonal/>
    </border>
    <border>
      <left/>
      <right/>
      <top/>
      <bottom style="hair">
        <color theme="1"/>
      </bottom>
      <diagonal/>
    </border>
    <border>
      <left/>
      <right style="thin">
        <color theme="1"/>
      </right>
      <top/>
      <bottom style="hair">
        <color theme="1"/>
      </bottom>
      <diagonal/>
    </border>
  </borders>
  <cellStyleXfs count="7">
    <xf numFmtId="0" fontId="0" fillId="0" borderId="0"/>
    <xf numFmtId="164" fontId="1" fillId="0" borderId="0"/>
    <xf numFmtId="40" fontId="21" fillId="0" borderId="0" applyFont="0" applyFill="0" applyBorder="0" applyAlignment="0" applyProtection="0"/>
    <xf numFmtId="166" fontId="1" fillId="0" borderId="0"/>
    <xf numFmtId="166" fontId="1" fillId="0" borderId="0"/>
    <xf numFmtId="166" fontId="1" fillId="0" borderId="0"/>
    <xf numFmtId="0" fontId="13" fillId="0" borderId="0"/>
  </cellStyleXfs>
  <cellXfs count="49">
    <xf numFmtId="0" fontId="0" fillId="0" borderId="0" xfId="0"/>
    <xf numFmtId="164" fontId="1" fillId="2" borderId="0" xfId="1" applyFill="1" applyAlignment="1">
      <alignment vertical="center"/>
    </xf>
    <xf numFmtId="164" fontId="3" fillId="2" borderId="0" xfId="1" applyFont="1" applyFill="1" applyAlignment="1">
      <alignment vertical="center"/>
    </xf>
    <xf numFmtId="164" fontId="5" fillId="2" borderId="0" xfId="1" applyFont="1" applyFill="1" applyAlignment="1">
      <alignment horizontal="center" vertical="center"/>
    </xf>
    <xf numFmtId="164" fontId="0" fillId="2" borderId="2" xfId="0" applyNumberFormat="1" applyFill="1" applyBorder="1" applyAlignment="1">
      <alignment vertical="center"/>
    </xf>
    <xf numFmtId="164" fontId="7" fillId="2" borderId="1" xfId="1" applyFont="1" applyFill="1" applyBorder="1" applyAlignment="1">
      <alignment vertical="center"/>
    </xf>
    <xf numFmtId="1" fontId="8" fillId="2" borderId="1" xfId="1" applyNumberFormat="1" applyFont="1" applyFill="1" applyBorder="1" applyAlignment="1">
      <alignment horizontal="right" vertical="center"/>
    </xf>
    <xf numFmtId="164" fontId="9" fillId="2" borderId="1" xfId="1" applyFont="1" applyFill="1" applyBorder="1" applyAlignment="1">
      <alignment vertical="center"/>
    </xf>
    <xf numFmtId="164" fontId="10" fillId="2" borderId="0" xfId="1" applyFont="1" applyFill="1" applyAlignment="1">
      <alignment vertical="center"/>
    </xf>
    <xf numFmtId="164" fontId="7" fillId="2" borderId="0" xfId="1" applyFont="1" applyFill="1" applyAlignment="1">
      <alignment vertical="center"/>
    </xf>
    <xf numFmtId="164" fontId="11" fillId="2" borderId="0" xfId="1" applyFont="1" applyFill="1" applyAlignment="1">
      <alignment horizontal="left" vertical="center"/>
    </xf>
    <xf numFmtId="165" fontId="11" fillId="2" borderId="2" xfId="1" applyNumberFormat="1" applyFont="1" applyFill="1" applyBorder="1" applyAlignment="1" applyProtection="1">
      <alignment horizontal="right" vertical="center"/>
      <protection locked="0"/>
    </xf>
    <xf numFmtId="165" fontId="11" fillId="2" borderId="0" xfId="1" applyNumberFormat="1" applyFont="1" applyFill="1" applyAlignment="1" applyProtection="1">
      <alignment horizontal="right" vertical="center"/>
      <protection locked="0"/>
    </xf>
    <xf numFmtId="164" fontId="12" fillId="2" borderId="0" xfId="1" applyFont="1" applyFill="1" applyAlignment="1">
      <alignment horizontal="right" vertical="center"/>
    </xf>
    <xf numFmtId="164" fontId="13" fillId="2" borderId="0" xfId="1" applyFont="1" applyFill="1" applyAlignment="1">
      <alignment vertical="center"/>
    </xf>
    <xf numFmtId="164" fontId="14" fillId="2" borderId="0" xfId="1" applyFont="1" applyFill="1" applyAlignment="1">
      <alignment horizontal="left" vertical="center"/>
    </xf>
    <xf numFmtId="165" fontId="14" fillId="2" borderId="0" xfId="1" applyNumberFormat="1" applyFont="1" applyFill="1" applyAlignment="1" applyProtection="1">
      <alignment horizontal="right" vertical="center"/>
      <protection locked="0"/>
    </xf>
    <xf numFmtId="164" fontId="11" fillId="2" borderId="1" xfId="1" applyFont="1" applyFill="1" applyBorder="1" applyAlignment="1">
      <alignment horizontal="left" vertical="center"/>
    </xf>
    <xf numFmtId="165" fontId="11" fillId="2" borderId="1" xfId="1" applyNumberFormat="1" applyFont="1" applyFill="1" applyBorder="1" applyAlignment="1" applyProtection="1">
      <alignment horizontal="right" vertical="center"/>
      <protection locked="0"/>
    </xf>
    <xf numFmtId="164" fontId="15" fillId="2" borderId="0" xfId="1" applyFont="1" applyFill="1" applyAlignment="1">
      <alignment horizontal="left" vertical="center"/>
    </xf>
    <xf numFmtId="164" fontId="17" fillId="2" borderId="0" xfId="1" applyFont="1" applyFill="1" applyAlignment="1">
      <alignment horizontal="right" vertical="center"/>
    </xf>
    <xf numFmtId="164" fontId="18" fillId="2" borderId="0" xfId="1" applyFont="1" applyFill="1" applyAlignment="1">
      <alignment vertical="center" wrapText="1"/>
    </xf>
    <xf numFmtId="164" fontId="19" fillId="2" borderId="0" xfId="1" applyFont="1" applyFill="1" applyAlignment="1">
      <alignment horizontal="left" vertical="center"/>
    </xf>
    <xf numFmtId="164" fontId="20" fillId="2" borderId="0" xfId="1" applyFont="1" applyFill="1" applyAlignment="1">
      <alignment vertical="center"/>
    </xf>
    <xf numFmtId="164" fontId="18" fillId="2" borderId="0" xfId="1" applyFont="1" applyFill="1" applyAlignment="1">
      <alignment horizontal="left" vertical="center"/>
    </xf>
    <xf numFmtId="164" fontId="15" fillId="2" borderId="0" xfId="1" applyFont="1" applyFill="1" applyAlignment="1">
      <alignment horizontal="left" vertical="top"/>
    </xf>
    <xf numFmtId="164" fontId="6" fillId="2" borderId="0" xfId="1" applyFont="1" applyFill="1" applyAlignment="1">
      <alignment horizontal="left" vertical="center"/>
    </xf>
    <xf numFmtId="164" fontId="23" fillId="2" borderId="0" xfId="1" applyFont="1" applyFill="1" applyAlignment="1">
      <alignment horizontal="right" vertical="center"/>
    </xf>
    <xf numFmtId="164" fontId="22" fillId="2" borderId="0" xfId="1" applyFont="1" applyFill="1" applyAlignment="1">
      <alignment horizontal="right" vertical="center"/>
    </xf>
    <xf numFmtId="164" fontId="22" fillId="2" borderId="0" xfId="0" applyNumberFormat="1" applyFont="1" applyFill="1" applyAlignment="1">
      <alignment horizontal="right" vertical="center"/>
    </xf>
    <xf numFmtId="164" fontId="23" fillId="2" borderId="1" xfId="1" applyFont="1" applyFill="1" applyBorder="1" applyAlignment="1">
      <alignment horizontal="right" vertical="center"/>
    </xf>
    <xf numFmtId="0" fontId="13" fillId="2" borderId="0" xfId="0" applyFont="1" applyFill="1" applyAlignment="1" applyProtection="1">
      <alignment vertical="center"/>
      <protection hidden="1"/>
    </xf>
    <xf numFmtId="4" fontId="14" fillId="2" borderId="0" xfId="1" applyNumberFormat="1" applyFont="1" applyFill="1" applyAlignment="1" applyProtection="1">
      <alignment horizontal="right" vertical="center"/>
      <protection locked="0"/>
    </xf>
    <xf numFmtId="165" fontId="11" fillId="2" borderId="3" xfId="1" applyNumberFormat="1" applyFont="1" applyFill="1" applyBorder="1" applyAlignment="1" applyProtection="1">
      <alignment horizontal="right" vertical="center"/>
      <protection locked="0"/>
    </xf>
    <xf numFmtId="165" fontId="11" fillId="2" borderId="4" xfId="1" applyNumberFormat="1" applyFont="1" applyFill="1" applyBorder="1" applyAlignment="1" applyProtection="1">
      <alignment horizontal="right" vertical="center"/>
      <protection locked="0"/>
    </xf>
    <xf numFmtId="4" fontId="14" fillId="2" borderId="4" xfId="1" applyNumberFormat="1" applyFont="1" applyFill="1" applyBorder="1" applyAlignment="1" applyProtection="1">
      <alignment horizontal="right" vertical="center"/>
      <protection locked="0"/>
    </xf>
    <xf numFmtId="165" fontId="11" fillId="2" borderId="5" xfId="1" applyNumberFormat="1" applyFont="1" applyFill="1" applyBorder="1" applyAlignment="1" applyProtection="1">
      <alignment horizontal="right" vertical="center"/>
      <protection locked="0"/>
    </xf>
    <xf numFmtId="1" fontId="8" fillId="2" borderId="5" xfId="1" applyNumberFormat="1" applyFont="1" applyFill="1" applyBorder="1" applyAlignment="1">
      <alignment horizontal="right" vertical="center"/>
    </xf>
    <xf numFmtId="164" fontId="15" fillId="2" borderId="0" xfId="1" applyFont="1" applyFill="1" applyAlignment="1">
      <alignment horizontal="left" vertical="center" wrapText="1"/>
    </xf>
    <xf numFmtId="164" fontId="22" fillId="2" borderId="0" xfId="1" applyFont="1" applyFill="1" applyAlignment="1">
      <alignment horizontal="center" vertical="center"/>
    </xf>
    <xf numFmtId="164" fontId="2" fillId="2" borderId="0" xfId="1" applyFont="1" applyFill="1" applyAlignment="1">
      <alignment horizontal="center" vertical="center" wrapText="1"/>
    </xf>
    <xf numFmtId="164" fontId="23" fillId="2" borderId="0" xfId="1" applyFont="1" applyFill="1" applyAlignment="1">
      <alignment horizontal="center" vertical="center"/>
    </xf>
    <xf numFmtId="164" fontId="4" fillId="2" borderId="1" xfId="1" applyFont="1" applyFill="1" applyBorder="1" applyAlignment="1">
      <alignment horizontal="center" vertical="center"/>
    </xf>
    <xf numFmtId="164" fontId="22" fillId="2" borderId="2" xfId="1" applyFont="1" applyFill="1" applyBorder="1" applyAlignment="1">
      <alignment horizontal="center" vertical="center"/>
    </xf>
    <xf numFmtId="164" fontId="22" fillId="2" borderId="3" xfId="1" applyFont="1" applyFill="1" applyBorder="1" applyAlignment="1">
      <alignment horizontal="center" vertical="center"/>
    </xf>
    <xf numFmtId="164" fontId="4" fillId="2" borderId="8" xfId="1" applyFont="1" applyFill="1" applyBorder="1" applyAlignment="1">
      <alignment horizontal="center" vertical="center"/>
    </xf>
    <xf numFmtId="164" fontId="4" fillId="2" borderId="9" xfId="1" applyFont="1" applyFill="1" applyBorder="1" applyAlignment="1">
      <alignment horizontal="center" vertical="center"/>
    </xf>
    <xf numFmtId="164" fontId="22" fillId="2" borderId="6" xfId="1" applyFont="1" applyFill="1" applyBorder="1" applyAlignment="1">
      <alignment horizontal="center" vertical="center"/>
    </xf>
    <xf numFmtId="164" fontId="4" fillId="2" borderId="7" xfId="1" applyFont="1" applyFill="1" applyBorder="1" applyAlignment="1">
      <alignment horizontal="center" vertical="center"/>
    </xf>
  </cellXfs>
  <cellStyles count="7">
    <cellStyle name="1" xfId="6" xr:uid="{00000000-0005-0000-0000-000000000000}"/>
    <cellStyle name="Comma 2" xfId="2" xr:uid="{00000000-0005-0000-0000-000002000000}"/>
    <cellStyle name="Normal" xfId="0" builtinId="0"/>
    <cellStyle name="Normal 2_agri planning 2009 year book(final)" xfId="3" xr:uid="{00000000-0005-0000-0000-000005000000}"/>
    <cellStyle name="Normal 3_agri planning 2009 year book(final)" xfId="5" xr:uid="{00000000-0005-0000-0000-000006000000}"/>
    <cellStyle name="Normal 4_agri planning 2009 year book(final)" xfId="4" xr:uid="{00000000-0005-0000-0000-000007000000}"/>
    <cellStyle name="Normal_Fish &amp;  Agri - 8" xfId="1" xr:uid="{00000000-0005-0000-0000-00000A000000}"/>
  </cellStyles>
  <dxfs count="0"/>
  <tableStyles count="0" defaultTableStyle="TableStyleMedium2" defaultPivotStyle="PivotStyleLight16"/>
  <colors>
    <mruColors>
      <color rgb="FF9BC2E6"/>
      <color rgb="FF003399"/>
      <color rgb="FFEEEEEE"/>
      <color rgb="FFAEAAAA"/>
      <color rgb="FF7E5400"/>
      <color rgb="FF33CCCC"/>
      <color rgb="FF249390"/>
      <color rgb="FF00FFCC"/>
      <color rgb="FFEAFAFA"/>
      <color rgb="FFFF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A12-4300-84F4-DEF518FD09D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A12-4300-84F4-DEF518FD09D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A12-4300-84F4-DEF518FD09D4}"/>
            </c:ext>
          </c:extLst>
        </c:ser>
        <c:dLbls>
          <c:showLegendKey val="0"/>
          <c:showVal val="0"/>
          <c:showCatName val="0"/>
          <c:showSerName val="0"/>
          <c:showPercent val="0"/>
          <c:showBubbleSize val="0"/>
        </c:dLbls>
        <c:gapWidth val="150"/>
        <c:axId val="333964248"/>
        <c:axId val="333965032"/>
      </c:barChart>
      <c:catAx>
        <c:axId val="333964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032"/>
        <c:crosses val="autoZero"/>
        <c:auto val="1"/>
        <c:lblAlgn val="ctr"/>
        <c:lblOffset val="100"/>
        <c:tickLblSkip val="1"/>
        <c:tickMarkSkip val="1"/>
        <c:noMultiLvlLbl val="0"/>
      </c:catAx>
      <c:valAx>
        <c:axId val="3339650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42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DE9A-4180-89C3-49FCB272BA6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DE9A-4180-89C3-49FCB272BA6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DE9A-4180-89C3-49FCB272BA63}"/>
            </c:ext>
          </c:extLst>
        </c:ser>
        <c:dLbls>
          <c:showLegendKey val="0"/>
          <c:showVal val="0"/>
          <c:showCatName val="0"/>
          <c:showSerName val="0"/>
          <c:showPercent val="0"/>
          <c:showBubbleSize val="0"/>
        </c:dLbls>
        <c:gapWidth val="150"/>
        <c:axId val="333960720"/>
        <c:axId val="333961504"/>
      </c:barChart>
      <c:catAx>
        <c:axId val="333960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1504"/>
        <c:crosses val="autoZero"/>
        <c:auto val="1"/>
        <c:lblAlgn val="ctr"/>
        <c:lblOffset val="100"/>
        <c:tickLblSkip val="1"/>
        <c:tickMarkSkip val="1"/>
        <c:noMultiLvlLbl val="0"/>
      </c:catAx>
      <c:valAx>
        <c:axId val="33396150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072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9B79-4CF9-AB09-589292F857A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9B79-4CF9-AB09-589292F857A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9B79-4CF9-AB09-589292F857A3}"/>
            </c:ext>
          </c:extLst>
        </c:ser>
        <c:dLbls>
          <c:showLegendKey val="0"/>
          <c:showVal val="0"/>
          <c:showCatName val="0"/>
          <c:showSerName val="0"/>
          <c:showPercent val="0"/>
          <c:showBubbleSize val="0"/>
        </c:dLbls>
        <c:gapWidth val="150"/>
        <c:axId val="333963464"/>
        <c:axId val="333963072"/>
      </c:barChart>
      <c:catAx>
        <c:axId val="333963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072"/>
        <c:crosses val="autoZero"/>
        <c:auto val="1"/>
        <c:lblAlgn val="ctr"/>
        <c:lblOffset val="100"/>
        <c:tickLblSkip val="1"/>
        <c:tickMarkSkip val="1"/>
        <c:noMultiLvlLbl val="0"/>
      </c:catAx>
      <c:valAx>
        <c:axId val="33396307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46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515-4F7E-B46E-139E2A588918}"/>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515-4F7E-B46E-139E2A588918}"/>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515-4F7E-B46E-139E2A588918}"/>
            </c:ext>
          </c:extLst>
        </c:ser>
        <c:dLbls>
          <c:showLegendKey val="0"/>
          <c:showVal val="0"/>
          <c:showCatName val="0"/>
          <c:showSerName val="0"/>
          <c:showPercent val="0"/>
          <c:showBubbleSize val="0"/>
        </c:dLbls>
        <c:gapWidth val="150"/>
        <c:axId val="333962288"/>
        <c:axId val="333962680"/>
      </c:barChart>
      <c:catAx>
        <c:axId val="333962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680"/>
        <c:crosses val="autoZero"/>
        <c:auto val="1"/>
        <c:lblAlgn val="ctr"/>
        <c:lblOffset val="100"/>
        <c:tickLblSkip val="1"/>
        <c:tickMarkSkip val="1"/>
        <c:noMultiLvlLbl val="0"/>
      </c:catAx>
      <c:valAx>
        <c:axId val="3339626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28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2F4E-46FE-854F-AF2714417B2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2F4E-46FE-854F-AF2714417B2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2F4E-46FE-854F-AF2714417B24}"/>
            </c:ext>
          </c:extLst>
        </c:ser>
        <c:dLbls>
          <c:showLegendKey val="0"/>
          <c:showVal val="0"/>
          <c:showCatName val="0"/>
          <c:showSerName val="0"/>
          <c:showPercent val="0"/>
          <c:showBubbleSize val="0"/>
        </c:dLbls>
        <c:gapWidth val="150"/>
        <c:axId val="333965816"/>
        <c:axId val="333959544"/>
      </c:barChart>
      <c:catAx>
        <c:axId val="3339658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59544"/>
        <c:crosses val="autoZero"/>
        <c:auto val="1"/>
        <c:lblAlgn val="ctr"/>
        <c:lblOffset val="100"/>
        <c:tickLblSkip val="1"/>
        <c:tickMarkSkip val="1"/>
        <c:noMultiLvlLbl val="0"/>
      </c:catAx>
      <c:valAx>
        <c:axId val="3339595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81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B02-45C9-A7F1-AE4C72140150}"/>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B02-45C9-A7F1-AE4C72140150}"/>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B02-45C9-A7F1-AE4C72140150}"/>
            </c:ext>
          </c:extLst>
        </c:ser>
        <c:dLbls>
          <c:showLegendKey val="0"/>
          <c:showVal val="0"/>
          <c:showCatName val="0"/>
          <c:showSerName val="0"/>
          <c:showPercent val="0"/>
          <c:showBubbleSize val="0"/>
        </c:dLbls>
        <c:gapWidth val="150"/>
        <c:axId val="138720128"/>
        <c:axId val="138721696"/>
      </c:barChart>
      <c:catAx>
        <c:axId val="1387201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696"/>
        <c:crosses val="autoZero"/>
        <c:auto val="1"/>
        <c:lblAlgn val="ctr"/>
        <c:lblOffset val="100"/>
        <c:tickLblSkip val="1"/>
        <c:tickMarkSkip val="1"/>
        <c:noMultiLvlLbl val="0"/>
      </c:catAx>
      <c:valAx>
        <c:axId val="13872169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012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015-46F8-93C7-68F24A55919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015-46F8-93C7-68F24A55919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015-46F8-93C7-68F24A559195}"/>
            </c:ext>
          </c:extLst>
        </c:ser>
        <c:dLbls>
          <c:showLegendKey val="0"/>
          <c:showVal val="0"/>
          <c:showCatName val="0"/>
          <c:showSerName val="0"/>
          <c:showPercent val="0"/>
          <c:showBubbleSize val="0"/>
        </c:dLbls>
        <c:gapWidth val="150"/>
        <c:axId val="138721304"/>
        <c:axId val="138718560"/>
      </c:barChart>
      <c:catAx>
        <c:axId val="1387213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18560"/>
        <c:crosses val="autoZero"/>
        <c:auto val="1"/>
        <c:lblAlgn val="ctr"/>
        <c:lblOffset val="100"/>
        <c:tickLblSkip val="1"/>
        <c:tickMarkSkip val="1"/>
        <c:noMultiLvlLbl val="0"/>
      </c:catAx>
      <c:valAx>
        <c:axId val="13871856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071F-42FB-8B8F-723BFAA0900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071F-42FB-8B8F-723BFAA0900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071F-42FB-8B8F-723BFAA09005}"/>
            </c:ext>
          </c:extLst>
        </c:ser>
        <c:dLbls>
          <c:showLegendKey val="0"/>
          <c:showVal val="0"/>
          <c:showCatName val="0"/>
          <c:showSerName val="0"/>
          <c:showPercent val="0"/>
          <c:showBubbleSize val="0"/>
        </c:dLbls>
        <c:gapWidth val="150"/>
        <c:axId val="421363136"/>
        <c:axId val="421365880"/>
      </c:barChart>
      <c:catAx>
        <c:axId val="4213631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5880"/>
        <c:crosses val="autoZero"/>
        <c:auto val="1"/>
        <c:lblAlgn val="ctr"/>
        <c:lblOffset val="100"/>
        <c:tickLblSkip val="1"/>
        <c:tickMarkSkip val="1"/>
        <c:noMultiLvlLbl val="0"/>
      </c:catAx>
      <c:valAx>
        <c:axId val="4213658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313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22</xdr:row>
      <xdr:rowOff>0</xdr:rowOff>
    </xdr:from>
    <xdr:to>
      <xdr:col>1</xdr:col>
      <xdr:colOff>0</xdr:colOff>
      <xdr:row>22</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5" name="Chart 1">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7" name="Chart 1">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9" name="Chart 1">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6"/>
  <sheetViews>
    <sheetView tabSelected="1" zoomScale="89" zoomScaleNormal="89" zoomScaleSheetLayoutView="89" workbookViewId="0">
      <selection activeCell="Y17" sqref="Y17"/>
    </sheetView>
  </sheetViews>
  <sheetFormatPr defaultColWidth="8.85546875" defaultRowHeight="12" x14ac:dyDescent="0.25"/>
  <cols>
    <col min="1" max="1" width="37.140625" style="1" customWidth="1"/>
    <col min="2" max="2" width="7" style="1" hidden="1" customWidth="1"/>
    <col min="3" max="13" width="7" style="1" customWidth="1"/>
    <col min="14" max="17" width="7.28515625" style="1" customWidth="1"/>
    <col min="18" max="24" width="7.42578125" style="1" customWidth="1"/>
    <col min="25" max="25" width="41.7109375" style="1" customWidth="1"/>
    <col min="26" max="16384" width="8.85546875" style="1"/>
  </cols>
  <sheetData>
    <row r="1" spans="1:37" ht="15.75" x14ac:dyDescent="0.25">
      <c r="A1" s="39" t="s">
        <v>28</v>
      </c>
      <c r="B1" s="39"/>
      <c r="C1" s="39"/>
      <c r="D1" s="39"/>
      <c r="E1" s="39"/>
      <c r="F1" s="39"/>
      <c r="G1" s="39"/>
      <c r="H1" s="39"/>
      <c r="I1" s="39"/>
      <c r="J1" s="39"/>
      <c r="K1" s="39"/>
      <c r="L1" s="39"/>
      <c r="M1" s="39"/>
      <c r="N1" s="39"/>
      <c r="O1" s="39"/>
      <c r="P1" s="39"/>
      <c r="Q1" s="39"/>
      <c r="R1" s="39"/>
      <c r="S1" s="39"/>
      <c r="T1" s="39"/>
      <c r="U1" s="39"/>
      <c r="V1" s="39"/>
      <c r="W1" s="39"/>
      <c r="X1" s="39"/>
      <c r="Y1" s="39"/>
      <c r="Z1" s="39"/>
    </row>
    <row r="2" spans="1:37" ht="15.75" x14ac:dyDescent="0.25">
      <c r="A2" s="40" t="s">
        <v>27</v>
      </c>
      <c r="B2" s="40"/>
      <c r="C2" s="40"/>
      <c r="D2" s="40"/>
      <c r="E2" s="40"/>
      <c r="F2" s="40"/>
      <c r="G2" s="40"/>
      <c r="H2" s="40"/>
      <c r="I2" s="40"/>
      <c r="J2" s="40"/>
      <c r="K2" s="40"/>
      <c r="L2" s="40"/>
      <c r="M2" s="40"/>
      <c r="N2" s="40"/>
      <c r="O2" s="40"/>
      <c r="P2" s="40"/>
      <c r="Q2" s="40"/>
      <c r="R2" s="40"/>
      <c r="S2" s="40"/>
      <c r="T2" s="40"/>
      <c r="U2" s="40"/>
      <c r="V2" s="40"/>
      <c r="W2" s="40"/>
      <c r="X2" s="40"/>
      <c r="Y2" s="40"/>
      <c r="Z2" s="2"/>
      <c r="AA2" s="2"/>
      <c r="AB2" s="2"/>
      <c r="AC2" s="2"/>
      <c r="AD2" s="2"/>
      <c r="AE2" s="2"/>
      <c r="AF2" s="2"/>
      <c r="AG2" s="2"/>
      <c r="AH2" s="2"/>
      <c r="AI2" s="2"/>
    </row>
    <row r="3" spans="1:37" ht="15.75" x14ac:dyDescent="0.25">
      <c r="A3" s="41" t="s">
        <v>0</v>
      </c>
      <c r="B3" s="41"/>
      <c r="C3" s="41"/>
      <c r="D3" s="41"/>
      <c r="E3" s="41"/>
      <c r="F3" s="41"/>
      <c r="G3" s="41"/>
      <c r="H3" s="41"/>
      <c r="I3" s="41"/>
      <c r="J3" s="41"/>
      <c r="K3" s="41"/>
      <c r="L3" s="41"/>
      <c r="M3" s="41"/>
      <c r="N3" s="41"/>
      <c r="O3" s="41"/>
      <c r="P3" s="41"/>
      <c r="Q3" s="41"/>
      <c r="R3" s="41"/>
      <c r="S3" s="41"/>
      <c r="T3" s="41"/>
      <c r="U3" s="41"/>
      <c r="V3" s="41"/>
      <c r="W3" s="41"/>
      <c r="X3" s="41"/>
      <c r="Y3" s="41"/>
      <c r="Z3" s="2"/>
      <c r="AA3" s="2"/>
      <c r="AB3" s="2"/>
      <c r="AC3" s="2"/>
      <c r="AD3" s="2"/>
      <c r="AE3" s="2"/>
      <c r="AF3" s="2"/>
      <c r="AG3" s="2"/>
      <c r="AH3" s="2"/>
      <c r="AI3" s="2"/>
    </row>
    <row r="4" spans="1:37" ht="15" x14ac:dyDescent="0.25">
      <c r="A4" s="42" t="s">
        <v>1</v>
      </c>
      <c r="B4" s="42"/>
      <c r="C4" s="42"/>
      <c r="D4" s="42"/>
      <c r="E4" s="42"/>
      <c r="F4" s="42"/>
      <c r="G4" s="42"/>
      <c r="H4" s="42"/>
      <c r="I4" s="42"/>
      <c r="J4" s="42"/>
      <c r="K4" s="42"/>
      <c r="L4" s="42"/>
      <c r="M4" s="42"/>
      <c r="N4" s="42"/>
      <c r="O4" s="42"/>
      <c r="P4" s="42"/>
      <c r="Q4" s="42"/>
      <c r="R4" s="42"/>
      <c r="S4" s="42"/>
      <c r="T4" s="42"/>
      <c r="U4" s="42"/>
      <c r="V4" s="42"/>
      <c r="W4" s="42"/>
      <c r="X4" s="42"/>
      <c r="Y4" s="42"/>
      <c r="Z4" s="2"/>
      <c r="AA4" s="2"/>
      <c r="AB4" s="2"/>
      <c r="AC4" s="2"/>
      <c r="AD4" s="2"/>
      <c r="AE4" s="2"/>
      <c r="AF4" s="2"/>
      <c r="AG4" s="2"/>
      <c r="AH4" s="2"/>
      <c r="AI4" s="2"/>
    </row>
    <row r="5" spans="1:37" ht="15.75" x14ac:dyDescent="0.25">
      <c r="A5" s="3"/>
      <c r="B5" s="43" t="s">
        <v>2</v>
      </c>
      <c r="C5" s="43"/>
      <c r="D5" s="43"/>
      <c r="E5" s="43"/>
      <c r="F5" s="43"/>
      <c r="G5" s="43"/>
      <c r="H5" s="43"/>
      <c r="I5" s="43"/>
      <c r="J5" s="43"/>
      <c r="K5" s="43"/>
      <c r="L5" s="43"/>
      <c r="M5" s="44"/>
      <c r="N5" s="47" t="s">
        <v>3</v>
      </c>
      <c r="O5" s="43"/>
      <c r="P5" s="43"/>
      <c r="Q5" s="43"/>
      <c r="R5" s="43"/>
      <c r="S5" s="43"/>
      <c r="T5" s="43"/>
      <c r="U5" s="43"/>
      <c r="V5" s="43"/>
      <c r="W5" s="43"/>
      <c r="X5" s="43"/>
      <c r="Y5" s="4"/>
      <c r="Z5" s="2"/>
      <c r="AA5" s="2"/>
      <c r="AB5" s="2"/>
      <c r="AC5" s="2"/>
      <c r="AD5" s="2"/>
      <c r="AE5" s="2"/>
      <c r="AF5" s="2"/>
      <c r="AG5" s="2"/>
      <c r="AH5" s="2"/>
      <c r="AI5" s="2"/>
    </row>
    <row r="6" spans="1:37" ht="15.75" x14ac:dyDescent="0.25">
      <c r="A6" s="26" t="s">
        <v>4</v>
      </c>
      <c r="B6" s="45" t="s">
        <v>5</v>
      </c>
      <c r="C6" s="45"/>
      <c r="D6" s="45"/>
      <c r="E6" s="45"/>
      <c r="F6" s="45"/>
      <c r="G6" s="45"/>
      <c r="H6" s="45"/>
      <c r="I6" s="45"/>
      <c r="J6" s="45"/>
      <c r="K6" s="45"/>
      <c r="L6" s="45"/>
      <c r="M6" s="46"/>
      <c r="N6" s="48" t="s">
        <v>6</v>
      </c>
      <c r="O6" s="45"/>
      <c r="P6" s="45"/>
      <c r="Q6" s="45"/>
      <c r="R6" s="45"/>
      <c r="S6" s="45"/>
      <c r="T6" s="45"/>
      <c r="U6" s="45"/>
      <c r="V6" s="45"/>
      <c r="W6" s="45"/>
      <c r="X6" s="45"/>
      <c r="Y6" s="28" t="s">
        <v>7</v>
      </c>
      <c r="Z6" s="2"/>
      <c r="AA6" s="2"/>
      <c r="AB6" s="2"/>
      <c r="AC6" s="2"/>
      <c r="AD6" s="2"/>
      <c r="AE6" s="2"/>
      <c r="AF6" s="2"/>
      <c r="AG6" s="2"/>
      <c r="AH6" s="2"/>
      <c r="AI6" s="2"/>
    </row>
    <row r="7" spans="1:37" s="9" customFormat="1" ht="19.5" customHeight="1" x14ac:dyDescent="0.25">
      <c r="A7" s="5"/>
      <c r="B7" s="6">
        <v>2013</v>
      </c>
      <c r="C7" s="6">
        <v>2014</v>
      </c>
      <c r="D7" s="6">
        <v>2015</v>
      </c>
      <c r="E7" s="6">
        <v>2016</v>
      </c>
      <c r="F7" s="6">
        <v>2017</v>
      </c>
      <c r="G7" s="6">
        <v>2018</v>
      </c>
      <c r="H7" s="6">
        <v>2019</v>
      </c>
      <c r="I7" s="6">
        <v>2020</v>
      </c>
      <c r="J7" s="6">
        <v>2021</v>
      </c>
      <c r="K7" s="6">
        <v>2022</v>
      </c>
      <c r="L7" s="6">
        <v>2023</v>
      </c>
      <c r="M7" s="37">
        <v>2024</v>
      </c>
      <c r="N7" s="6">
        <v>2014</v>
      </c>
      <c r="O7" s="6">
        <v>2015</v>
      </c>
      <c r="P7" s="6">
        <v>2016</v>
      </c>
      <c r="Q7" s="6">
        <v>2017</v>
      </c>
      <c r="R7" s="6">
        <v>2018</v>
      </c>
      <c r="S7" s="6">
        <v>2019</v>
      </c>
      <c r="T7" s="6">
        <v>2020</v>
      </c>
      <c r="U7" s="6">
        <v>2021</v>
      </c>
      <c r="V7" s="6">
        <v>2022</v>
      </c>
      <c r="W7" s="6">
        <v>2023</v>
      </c>
      <c r="X7" s="6">
        <v>2024</v>
      </c>
      <c r="Y7" s="7"/>
      <c r="Z7" s="8"/>
      <c r="AA7" s="8"/>
      <c r="AB7" s="8"/>
      <c r="AC7" s="8"/>
      <c r="AD7" s="8"/>
      <c r="AE7" s="8"/>
      <c r="AF7" s="8"/>
      <c r="AG7" s="8"/>
      <c r="AH7" s="8"/>
      <c r="AI7" s="8"/>
    </row>
    <row r="8" spans="1:37" ht="22.5" customHeight="1" x14ac:dyDescent="0.25">
      <c r="A8" s="10" t="s">
        <v>8</v>
      </c>
      <c r="B8" s="11">
        <v>65.590923509000007</v>
      </c>
      <c r="C8" s="11">
        <v>64.930000000000007</v>
      </c>
      <c r="D8" s="11">
        <v>65.035457479999991</v>
      </c>
      <c r="E8" s="11">
        <v>68.271629390000015</v>
      </c>
      <c r="F8" s="11">
        <v>98.261768672168017</v>
      </c>
      <c r="G8" s="11">
        <v>105.33438042317202</v>
      </c>
      <c r="H8" s="11">
        <v>93.122168246499996</v>
      </c>
      <c r="I8" s="11">
        <v>105.193641117808</v>
      </c>
      <c r="J8" s="11">
        <v>115.040464457</v>
      </c>
      <c r="K8" s="11">
        <v>113.89143736110002</v>
      </c>
      <c r="L8" s="11">
        <v>133.7401507655</v>
      </c>
      <c r="M8" s="33">
        <v>68.913413315599954</v>
      </c>
      <c r="N8" s="12">
        <f>C8/C10*100</f>
        <v>50.457236357617887</v>
      </c>
      <c r="O8" s="12">
        <f>D8/D$10*100</f>
        <v>51.068053109979104</v>
      </c>
      <c r="P8" s="12">
        <f t="shared" ref="P8:V8" si="0">E8/E10*100</f>
        <v>52.851756708961119</v>
      </c>
      <c r="Q8" s="12">
        <f t="shared" si="0"/>
        <v>68.637743192327306</v>
      </c>
      <c r="R8" s="12">
        <f t="shared" si="0"/>
        <v>69.746632731811147</v>
      </c>
      <c r="S8" s="12">
        <f t="shared" si="0"/>
        <v>68.944183759061346</v>
      </c>
      <c r="T8" s="12">
        <f t="shared" si="0"/>
        <v>70.797912907851696</v>
      </c>
      <c r="U8" s="12">
        <f t="shared" si="0"/>
        <v>79.342270231095029</v>
      </c>
      <c r="V8" s="12">
        <f t="shared" si="0"/>
        <v>73.381084416249749</v>
      </c>
      <c r="W8" s="12">
        <f t="shared" ref="W8:X8" si="1">L8/L10*100</f>
        <v>83.232195897287298</v>
      </c>
      <c r="X8" s="12">
        <f t="shared" si="1"/>
        <v>64.006438946656544</v>
      </c>
      <c r="Y8" s="27" t="s">
        <v>9</v>
      </c>
      <c r="AB8" s="13"/>
      <c r="AC8" s="14"/>
      <c r="AD8" s="14"/>
      <c r="AE8" s="14"/>
      <c r="AF8" s="14"/>
      <c r="AG8" s="14"/>
      <c r="AH8" s="14"/>
      <c r="AI8" s="14"/>
      <c r="AJ8" s="14"/>
      <c r="AK8" s="14"/>
    </row>
    <row r="9" spans="1:37" ht="22.5" customHeight="1" x14ac:dyDescent="0.25">
      <c r="A9" s="10" t="s">
        <v>10</v>
      </c>
      <c r="B9" s="12">
        <v>64.252223463572804</v>
      </c>
      <c r="C9" s="12">
        <v>63.753227000000351</v>
      </c>
      <c r="D9" s="12">
        <f>D10-D8</f>
        <v>62.315114001432789</v>
      </c>
      <c r="E9" s="12">
        <v>60.919365716552136</v>
      </c>
      <c r="F9" s="12">
        <v>44.89819565945669</v>
      </c>
      <c r="G9" s="12">
        <v>45.689943329061933</v>
      </c>
      <c r="H9" s="12">
        <f t="shared" ref="H9:L9" si="2">H10-H8</f>
        <v>41.946757323687706</v>
      </c>
      <c r="I9" s="12">
        <f t="shared" si="2"/>
        <v>43.389328064807131</v>
      </c>
      <c r="J9" s="12">
        <f t="shared" si="2"/>
        <v>29.952190935805348</v>
      </c>
      <c r="K9" s="12">
        <f t="shared" si="2"/>
        <v>41.314005931421732</v>
      </c>
      <c r="L9" s="12">
        <f t="shared" si="2"/>
        <v>26.943043188125898</v>
      </c>
      <c r="M9" s="34">
        <f>M10-M8</f>
        <v>38.75296283295117</v>
      </c>
      <c r="N9" s="12">
        <f>C9/C10*100</f>
        <v>49.542763642382312</v>
      </c>
      <c r="O9" s="12">
        <f>D9/D$10*100</f>
        <v>48.931946890020903</v>
      </c>
      <c r="P9" s="12">
        <f t="shared" ref="P9:V9" si="3">E9/E10*100</f>
        <v>47.160079882128031</v>
      </c>
      <c r="Q9" s="12">
        <f t="shared" si="3"/>
        <v>31.362256807672612</v>
      </c>
      <c r="R9" s="12">
        <f t="shared" si="3"/>
        <v>30.253367268188882</v>
      </c>
      <c r="S9" s="12">
        <f t="shared" si="3"/>
        <v>31.055816240938661</v>
      </c>
      <c r="T9" s="12">
        <f t="shared" si="3"/>
        <v>29.202087092148293</v>
      </c>
      <c r="U9" s="12">
        <f t="shared" si="3"/>
        <v>20.657729768904971</v>
      </c>
      <c r="V9" s="12">
        <f t="shared" si="3"/>
        <v>26.618915583750251</v>
      </c>
      <c r="W9" s="12">
        <f t="shared" ref="W9:X9" si="4">L9/L10*100</f>
        <v>16.767804102712706</v>
      </c>
      <c r="X9" s="12">
        <f t="shared" si="4"/>
        <v>35.993561053343456</v>
      </c>
      <c r="Y9" s="27" t="s">
        <v>11</v>
      </c>
      <c r="AA9" s="14"/>
      <c r="AB9" s="14"/>
      <c r="AC9" s="14"/>
      <c r="AD9" s="14"/>
      <c r="AE9" s="14"/>
      <c r="AF9" s="14"/>
      <c r="AG9" s="14"/>
      <c r="AH9" s="14"/>
      <c r="AI9" s="14"/>
      <c r="AJ9" s="14"/>
      <c r="AK9" s="14"/>
    </row>
    <row r="10" spans="1:37" ht="22.5" customHeight="1" x14ac:dyDescent="0.25">
      <c r="A10" s="15" t="s">
        <v>12</v>
      </c>
      <c r="B10" s="16">
        <f t="shared" ref="B10:C10" si="5">SUM(B11:B15)</f>
        <v>129.84314697257275</v>
      </c>
      <c r="C10" s="16">
        <f t="shared" si="5"/>
        <v>128.6832270000001</v>
      </c>
      <c r="D10" s="16">
        <f t="shared" ref="D10:I10" si="6">SUM(D11:D15)</f>
        <v>127.35057148143278</v>
      </c>
      <c r="E10" s="16">
        <f t="shared" si="6"/>
        <v>129.17570510655216</v>
      </c>
      <c r="F10" s="16">
        <f t="shared" si="6"/>
        <v>143.15996433162482</v>
      </c>
      <c r="G10" s="16">
        <f t="shared" si="6"/>
        <v>151.0243237522339</v>
      </c>
      <c r="H10" s="16">
        <f t="shared" si="6"/>
        <v>135.0689255701877</v>
      </c>
      <c r="I10" s="16">
        <f t="shared" si="6"/>
        <v>148.58296918261513</v>
      </c>
      <c r="J10" s="16">
        <f>SUM(J11:J15)</f>
        <v>144.99265539280535</v>
      </c>
      <c r="K10" s="32">
        <f>SUM(K11:K15)</f>
        <v>155.20544329252175</v>
      </c>
      <c r="L10" s="32">
        <f>SUM(L11:L15)</f>
        <v>160.6831939536259</v>
      </c>
      <c r="M10" s="35">
        <f>SUM(M11:M15)</f>
        <v>107.66637614855112</v>
      </c>
      <c r="N10" s="16">
        <f t="shared" ref="N10:V10" si="7">C10/C10*100</f>
        <v>100</v>
      </c>
      <c r="O10" s="16">
        <f t="shared" si="7"/>
        <v>100</v>
      </c>
      <c r="P10" s="16">
        <f t="shared" si="7"/>
        <v>100</v>
      </c>
      <c r="Q10" s="16">
        <f t="shared" si="7"/>
        <v>100</v>
      </c>
      <c r="R10" s="16">
        <f t="shared" si="7"/>
        <v>100</v>
      </c>
      <c r="S10" s="16">
        <f t="shared" si="7"/>
        <v>100</v>
      </c>
      <c r="T10" s="16">
        <f t="shared" si="7"/>
        <v>100</v>
      </c>
      <c r="U10" s="16">
        <f t="shared" si="7"/>
        <v>100</v>
      </c>
      <c r="V10" s="16">
        <f t="shared" si="7"/>
        <v>100</v>
      </c>
      <c r="W10" s="16">
        <f t="shared" ref="W10:X10" si="8">L10/L10*100</f>
        <v>100</v>
      </c>
      <c r="X10" s="16">
        <f t="shared" si="8"/>
        <v>100</v>
      </c>
      <c r="Y10" s="28" t="s">
        <v>13</v>
      </c>
      <c r="AA10" s="14"/>
      <c r="AB10" s="14"/>
      <c r="AC10" s="14"/>
      <c r="AD10" s="14"/>
      <c r="AE10" s="14"/>
      <c r="AF10" s="14"/>
      <c r="AG10" s="14"/>
      <c r="AH10" s="14"/>
      <c r="AI10" s="14"/>
      <c r="AJ10" s="14"/>
      <c r="AK10" s="14"/>
    </row>
    <row r="11" spans="1:37" ht="22.5" customHeight="1" x14ac:dyDescent="0.25">
      <c r="A11" s="10" t="s">
        <v>24</v>
      </c>
      <c r="B11" s="12">
        <v>74.421630037020805</v>
      </c>
      <c r="C11" s="12">
        <v>68.521958485088447</v>
      </c>
      <c r="D11" s="12">
        <v>69.244324399131258</v>
      </c>
      <c r="E11" s="12">
        <v>69.589480938961444</v>
      </c>
      <c r="F11" s="12">
        <v>89.683148024090812</v>
      </c>
      <c r="G11" s="12">
        <v>100.0994869059859</v>
      </c>
      <c r="H11" s="12">
        <v>88.019666239199282</v>
      </c>
      <c r="I11" s="12">
        <v>103.87066972179367</v>
      </c>
      <c r="J11" s="12">
        <v>118.68330116795289</v>
      </c>
      <c r="K11" s="12">
        <v>126.38579982430196</v>
      </c>
      <c r="L11" s="12">
        <v>129.20073426197746</v>
      </c>
      <c r="M11" s="34">
        <v>80.29256161421192</v>
      </c>
      <c r="N11" s="12">
        <f>(C11/$C$10)*100</f>
        <v>53.248554673786963</v>
      </c>
      <c r="O11" s="12">
        <f>(D11/$D$10)*100</f>
        <v>54.372998561083655</v>
      </c>
      <c r="P11" s="12">
        <f>(E11/$E$10)*100</f>
        <v>53.87195748733069</v>
      </c>
      <c r="Q11" s="12">
        <f>(F11/$F$10)*100</f>
        <v>62.645410986791731</v>
      </c>
      <c r="R11" s="12">
        <f>(G11/$G$10)*100</f>
        <v>66.280374193369141</v>
      </c>
      <c r="S11" s="12">
        <f>(H11/$H$10)*100</f>
        <v>65.166481385431922</v>
      </c>
      <c r="T11" s="12">
        <f>(I11/$I$10)*100</f>
        <v>69.907520554480215</v>
      </c>
      <c r="U11" s="12">
        <f t="shared" ref="U11:V15" si="9">(J11/$J$10)*100</f>
        <v>81.854698671752203</v>
      </c>
      <c r="V11" s="12">
        <f t="shared" si="9"/>
        <v>87.167035793575323</v>
      </c>
      <c r="W11" s="12">
        <f t="shared" ref="W11:X15" si="10">(L11/$J$10)*100</f>
        <v>89.108468226859245</v>
      </c>
      <c r="X11" s="12">
        <f t="shared" si="10"/>
        <v>55.376985404321452</v>
      </c>
      <c r="Y11" s="27" t="s">
        <v>14</v>
      </c>
      <c r="AA11" s="14"/>
      <c r="AB11" s="14"/>
      <c r="AC11" s="14"/>
      <c r="AD11" s="14"/>
      <c r="AE11" s="14"/>
      <c r="AF11" s="14"/>
      <c r="AG11" s="14"/>
      <c r="AH11" s="14"/>
      <c r="AI11" s="14"/>
      <c r="AJ11" s="14"/>
      <c r="AK11" s="14"/>
    </row>
    <row r="12" spans="1:37" ht="22.5" customHeight="1" x14ac:dyDescent="0.25">
      <c r="A12" s="10" t="s">
        <v>25</v>
      </c>
      <c r="B12" s="12">
        <v>47.146416175683598</v>
      </c>
      <c r="C12" s="12">
        <v>49.100552219018809</v>
      </c>
      <c r="D12" s="12">
        <v>51.472456475638047</v>
      </c>
      <c r="E12" s="12">
        <v>53.705451966178899</v>
      </c>
      <c r="F12" s="12">
        <v>49.376811349197936</v>
      </c>
      <c r="G12" s="12">
        <v>47.21669550699999</v>
      </c>
      <c r="H12" s="12">
        <v>44.423897166028532</v>
      </c>
      <c r="I12" s="12">
        <v>42.704576500856788</v>
      </c>
      <c r="J12" s="12">
        <v>24.547862347577325</v>
      </c>
      <c r="K12" s="12">
        <v>28.082962978200005</v>
      </c>
      <c r="L12" s="12">
        <v>30.775665743639898</v>
      </c>
      <c r="M12" s="34">
        <v>26.47730894263173</v>
      </c>
      <c r="N12" s="12">
        <f>(C12/$C$10)*100</f>
        <v>38.156139975428786</v>
      </c>
      <c r="O12" s="12">
        <f>(D12/$D$10)*100</f>
        <v>40.417923435186573</v>
      </c>
      <c r="P12" s="12">
        <f>(E12/$E$10)*100</f>
        <v>41.575505178686115</v>
      </c>
      <c r="Q12" s="12">
        <f>(F12/$F$10)*100</f>
        <v>34.490656364525464</v>
      </c>
      <c r="R12" s="12">
        <f>(G12/$G$10)*100</f>
        <v>31.264298580447431</v>
      </c>
      <c r="S12" s="12">
        <f>(H12/$H$10)*100</f>
        <v>32.889798285205089</v>
      </c>
      <c r="T12" s="12">
        <f>(I12/$I$10)*100</f>
        <v>28.74123241430917</v>
      </c>
      <c r="U12" s="12">
        <f t="shared" si="9"/>
        <v>16.930417807077013</v>
      </c>
      <c r="V12" s="12">
        <f t="shared" si="9"/>
        <v>19.368541738972457</v>
      </c>
      <c r="W12" s="12">
        <f t="shared" si="10"/>
        <v>21.22567219716359</v>
      </c>
      <c r="X12" s="12">
        <f t="shared" si="10"/>
        <v>18.261138035510147</v>
      </c>
      <c r="Y12" s="27" t="s">
        <v>15</v>
      </c>
      <c r="AA12" s="14"/>
      <c r="AB12" s="14"/>
      <c r="AC12" s="14"/>
      <c r="AD12" s="13"/>
      <c r="AE12" s="14"/>
      <c r="AF12" s="14"/>
      <c r="AG12" s="14"/>
      <c r="AH12" s="14"/>
      <c r="AI12" s="14"/>
      <c r="AJ12" s="14"/>
      <c r="AK12" s="14"/>
    </row>
    <row r="13" spans="1:37" ht="22.5" customHeight="1" x14ac:dyDescent="0.25">
      <c r="A13" s="10" t="s">
        <v>16</v>
      </c>
      <c r="B13" s="12">
        <v>0</v>
      </c>
      <c r="C13" s="12">
        <v>2.3340795325544512</v>
      </c>
      <c r="D13" s="12">
        <v>1.8282678227461437</v>
      </c>
      <c r="E13" s="12">
        <v>2.4800423404201255</v>
      </c>
      <c r="F13" s="12">
        <v>1.0741737564163372</v>
      </c>
      <c r="G13" s="12">
        <v>0.43230529269740253</v>
      </c>
      <c r="H13" s="12">
        <v>0.3959811523285271</v>
      </c>
      <c r="I13" s="12">
        <v>0.21268961995324842</v>
      </c>
      <c r="J13" s="12">
        <v>0.22422526847471425</v>
      </c>
      <c r="K13" s="12">
        <v>0.22389013175083414</v>
      </c>
      <c r="L13" s="12">
        <v>0.39566546875728553</v>
      </c>
      <c r="M13" s="34">
        <v>0.27119266748034443</v>
      </c>
      <c r="N13" s="12">
        <f>(C13/$C$10)*100</f>
        <v>1.8138179986381981</v>
      </c>
      <c r="O13" s="12">
        <f>(D13/$D$10)*100</f>
        <v>1.4356180749551628</v>
      </c>
      <c r="P13" s="12">
        <f>(E13/$E$10)*100</f>
        <v>1.9198984347516681</v>
      </c>
      <c r="Q13" s="12">
        <f>(F13/$F$10)*100</f>
        <v>0.75033111486955462</v>
      </c>
      <c r="R13" s="12">
        <f>(G13/$G$10)*100</f>
        <v>0.28624878559736511</v>
      </c>
      <c r="S13" s="12">
        <f>(H13/$H$10)*100</f>
        <v>0.29316969144228372</v>
      </c>
      <c r="T13" s="12">
        <f t="shared" ref="T13:T15" si="11">(I13/$I$10)*100</f>
        <v>0.14314535583943228</v>
      </c>
      <c r="U13" s="12">
        <f t="shared" si="9"/>
        <v>0.15464594938775117</v>
      </c>
      <c r="V13" s="12">
        <f t="shared" si="9"/>
        <v>0.15441480890482659</v>
      </c>
      <c r="W13" s="12">
        <f t="shared" si="10"/>
        <v>0.27288655945045803</v>
      </c>
      <c r="X13" s="12">
        <f t="shared" si="10"/>
        <v>0.18703889982954353</v>
      </c>
      <c r="Y13" s="29" t="s">
        <v>17</v>
      </c>
      <c r="AA13" s="14"/>
      <c r="AB13" s="14"/>
      <c r="AC13" s="14"/>
      <c r="AD13" s="13"/>
      <c r="AE13" s="14"/>
      <c r="AF13" s="14"/>
      <c r="AG13" s="14"/>
      <c r="AH13" s="14"/>
      <c r="AI13" s="14"/>
      <c r="AJ13" s="14"/>
      <c r="AK13" s="14"/>
    </row>
    <row r="14" spans="1:37" ht="22.5" customHeight="1" x14ac:dyDescent="0.25">
      <c r="A14" s="10" t="s">
        <v>18</v>
      </c>
      <c r="B14" s="12">
        <v>1.6640466762930248</v>
      </c>
      <c r="C14" s="12">
        <v>1.5901763812155898</v>
      </c>
      <c r="D14" s="12">
        <v>0.38814185000950413</v>
      </c>
      <c r="E14" s="12">
        <v>0.18462584430785087</v>
      </c>
      <c r="F14" s="12">
        <v>0.5319048992427694</v>
      </c>
      <c r="G14" s="12">
        <v>0.45038129963149232</v>
      </c>
      <c r="H14" s="12">
        <v>0.18614795910647888</v>
      </c>
      <c r="I14" s="12">
        <v>9.8424318844106906E-2</v>
      </c>
      <c r="J14" s="12">
        <v>8.5292200269940666E-2</v>
      </c>
      <c r="K14" s="12">
        <v>5.8484137407457989E-2</v>
      </c>
      <c r="L14" s="12">
        <v>0.11731568347240567</v>
      </c>
      <c r="M14" s="34">
        <v>0.10998581078538797</v>
      </c>
      <c r="N14" s="12">
        <f>(C14/$C$10)*100</f>
        <v>1.2357293318542506</v>
      </c>
      <c r="O14" s="12">
        <f>(D14/$D$10)*100</f>
        <v>0.30478218157512837</v>
      </c>
      <c r="P14" s="12">
        <f>(E14/$E$10)*100</f>
        <v>0.14292613626963366</v>
      </c>
      <c r="Q14" s="12">
        <f>(F14/$F$10)*100</f>
        <v>0.37154584504549831</v>
      </c>
      <c r="R14" s="12">
        <f>(G14/$G$10)*100</f>
        <v>0.29821772310689154</v>
      </c>
      <c r="S14" s="12">
        <f>(H14/$H$10)*100</f>
        <v>0.13781701329203827</v>
      </c>
      <c r="T14" s="12">
        <f t="shared" si="11"/>
        <v>6.6241992191675078E-2</v>
      </c>
      <c r="U14" s="12">
        <f t="shared" si="9"/>
        <v>5.8825186723335872E-2</v>
      </c>
      <c r="V14" s="12">
        <f t="shared" si="9"/>
        <v>4.0335930981480611E-2</v>
      </c>
      <c r="W14" s="12">
        <f t="shared" si="10"/>
        <v>8.0911466277089075E-2</v>
      </c>
      <c r="X14" s="12">
        <f t="shared" si="10"/>
        <v>7.5856125599894048E-2</v>
      </c>
      <c r="Y14" s="27" t="s">
        <v>19</v>
      </c>
      <c r="AA14" s="14"/>
      <c r="AB14" s="14"/>
      <c r="AC14" s="14"/>
      <c r="AD14" s="14"/>
      <c r="AE14" s="14"/>
      <c r="AF14" s="14"/>
      <c r="AG14" s="14"/>
      <c r="AH14" s="14"/>
      <c r="AI14" s="14"/>
      <c r="AJ14" s="14"/>
      <c r="AK14" s="14"/>
    </row>
    <row r="15" spans="1:37" ht="22.5" customHeight="1" x14ac:dyDescent="0.25">
      <c r="A15" s="17" t="s">
        <v>26</v>
      </c>
      <c r="B15" s="18">
        <v>6.6110540835753202</v>
      </c>
      <c r="C15" s="18">
        <v>7.1364603821227925</v>
      </c>
      <c r="D15" s="18">
        <v>4.4173809339078227</v>
      </c>
      <c r="E15" s="18">
        <v>3.2161040166838455</v>
      </c>
      <c r="F15" s="18">
        <v>2.4939263026769765</v>
      </c>
      <c r="G15" s="18">
        <v>2.8254547469191089</v>
      </c>
      <c r="H15" s="18">
        <v>2.0432330535248928</v>
      </c>
      <c r="I15" s="18">
        <v>1.6966090211673268</v>
      </c>
      <c r="J15" s="18">
        <v>1.4519744085304567</v>
      </c>
      <c r="K15" s="18">
        <v>0.45430622086149031</v>
      </c>
      <c r="L15" s="18">
        <v>0.19381279577885158</v>
      </c>
      <c r="M15" s="36">
        <v>0.51532711344174897</v>
      </c>
      <c r="N15" s="18">
        <f>(C15/$C$10)*100</f>
        <v>5.545758020291788</v>
      </c>
      <c r="O15" s="18">
        <f>(D15/$D$10)*100</f>
        <v>3.468677747199477</v>
      </c>
      <c r="P15" s="18">
        <f>(E15/$E$10)*100</f>
        <v>2.4897127629618923</v>
      </c>
      <c r="Q15" s="18">
        <f>(F15/$F$10)*100</f>
        <v>1.7420556887677672</v>
      </c>
      <c r="R15" s="18">
        <f>(G15/$G$10)*100</f>
        <v>1.8708607174791707</v>
      </c>
      <c r="S15" s="18">
        <f>(H15/$H$10)*100</f>
        <v>1.512733624628664</v>
      </c>
      <c r="T15" s="18">
        <f t="shared" si="11"/>
        <v>1.1418596831795158</v>
      </c>
      <c r="U15" s="18">
        <f t="shared" si="9"/>
        <v>1.0014123850596812</v>
      </c>
      <c r="V15" s="18">
        <f t="shared" si="9"/>
        <v>0.31333050603888268</v>
      </c>
      <c r="W15" s="18">
        <f t="shared" si="10"/>
        <v>0.13367076784254048</v>
      </c>
      <c r="X15" s="18">
        <f t="shared" si="10"/>
        <v>0.35541601196671369</v>
      </c>
      <c r="Y15" s="30" t="s">
        <v>20</v>
      </c>
      <c r="AA15" s="14"/>
      <c r="AB15" s="14"/>
      <c r="AC15" s="14"/>
      <c r="AD15" s="14"/>
      <c r="AE15" s="14"/>
      <c r="AF15" s="14"/>
      <c r="AG15" s="14"/>
      <c r="AH15" s="14"/>
      <c r="AI15" s="14"/>
      <c r="AJ15" s="14"/>
      <c r="AK15" s="14"/>
    </row>
    <row r="16" spans="1:37" ht="22.5" customHeight="1" x14ac:dyDescent="0.25">
      <c r="A16" s="19" t="s">
        <v>21</v>
      </c>
      <c r="B16" s="19"/>
      <c r="C16" s="19"/>
      <c r="D16" s="19"/>
      <c r="Y16" s="20" t="s">
        <v>22</v>
      </c>
    </row>
    <row r="17" spans="1:35" ht="25.5" customHeight="1" x14ac:dyDescent="0.25">
      <c r="A17" s="38" t="s">
        <v>23</v>
      </c>
      <c r="B17" s="38"/>
      <c r="C17" s="38"/>
      <c r="D17" s="38"/>
      <c r="E17" s="38"/>
      <c r="F17" s="38"/>
      <c r="G17" s="38"/>
      <c r="H17" s="38"/>
      <c r="I17" s="38"/>
      <c r="J17" s="38"/>
      <c r="K17" s="38"/>
      <c r="L17" s="38"/>
      <c r="M17" s="38"/>
      <c r="N17" s="38"/>
      <c r="O17" s="38"/>
      <c r="P17" s="21"/>
      <c r="Q17" s="21"/>
      <c r="R17" s="21"/>
      <c r="S17" s="21"/>
      <c r="T17" s="21"/>
      <c r="U17" s="21"/>
      <c r="V17" s="21"/>
      <c r="W17" s="21"/>
      <c r="X17" s="21"/>
      <c r="Y17" s="20" t="s">
        <v>30</v>
      </c>
    </row>
    <row r="18" spans="1:35" s="23" customFormat="1" ht="14.25" customHeight="1" x14ac:dyDescent="0.25">
      <c r="A18" s="24" t="s">
        <v>29</v>
      </c>
      <c r="P18" s="22"/>
      <c r="Q18" s="22"/>
      <c r="R18" s="22"/>
      <c r="S18" s="22"/>
      <c r="T18" s="22"/>
      <c r="U18" s="22"/>
      <c r="V18" s="22"/>
      <c r="W18" s="22"/>
      <c r="X18" s="22"/>
      <c r="Y18" s="20"/>
      <c r="AB18" s="22"/>
      <c r="AC18" s="22"/>
      <c r="AE18" s="2"/>
      <c r="AF18" s="2"/>
      <c r="AG18" s="2"/>
      <c r="AH18" s="2"/>
      <c r="AI18" s="2"/>
    </row>
    <row r="19" spans="1:35" s="23" customFormat="1" x14ac:dyDescent="0.25">
      <c r="B19" s="22"/>
      <c r="C19" s="22"/>
      <c r="D19" s="22"/>
      <c r="E19" s="22"/>
      <c r="F19" s="22"/>
      <c r="G19" s="22"/>
      <c r="H19" s="22"/>
      <c r="I19" s="22"/>
      <c r="J19" s="22"/>
      <c r="K19" s="22"/>
      <c r="L19" s="22"/>
      <c r="M19" s="22"/>
      <c r="N19" s="22"/>
      <c r="O19" s="22"/>
      <c r="P19" s="22"/>
      <c r="Q19" s="22"/>
      <c r="R19" s="22"/>
      <c r="S19" s="22"/>
      <c r="T19" s="22"/>
      <c r="U19" s="22"/>
      <c r="V19" s="22"/>
      <c r="W19" s="22"/>
      <c r="X19" s="22"/>
      <c r="AB19" s="22"/>
      <c r="AC19" s="22"/>
      <c r="AE19" s="2"/>
      <c r="AF19" s="2"/>
      <c r="AG19" s="2"/>
      <c r="AH19" s="2"/>
      <c r="AI19" s="2"/>
    </row>
    <row r="20" spans="1:35" s="23" customFormat="1" x14ac:dyDescent="0.25">
      <c r="A20" s="24"/>
      <c r="B20" s="22"/>
      <c r="C20" s="22"/>
      <c r="D20" s="22"/>
      <c r="E20" s="22"/>
      <c r="F20" s="22"/>
      <c r="G20" s="22"/>
      <c r="H20" s="22"/>
      <c r="I20" s="22"/>
      <c r="J20" s="22"/>
      <c r="K20" s="22"/>
      <c r="L20" s="22"/>
      <c r="M20" s="22"/>
      <c r="N20" s="22"/>
      <c r="O20" s="22"/>
      <c r="P20" s="22"/>
      <c r="Q20" s="22"/>
      <c r="R20" s="22"/>
      <c r="S20" s="22"/>
      <c r="T20" s="22"/>
      <c r="U20" s="22"/>
      <c r="V20" s="22"/>
      <c r="W20" s="22"/>
      <c r="X20" s="22"/>
      <c r="AB20" s="22"/>
      <c r="AC20" s="22"/>
      <c r="AE20" s="2"/>
      <c r="AF20" s="2"/>
      <c r="AG20" s="2"/>
      <c r="AH20" s="2"/>
      <c r="AI20" s="2"/>
    </row>
    <row r="21" spans="1:35" s="23" customFormat="1" ht="12.75" x14ac:dyDescent="0.25">
      <c r="B21" s="12"/>
      <c r="C21" s="12"/>
      <c r="D21" s="12"/>
      <c r="N21" s="12"/>
      <c r="O21" s="12"/>
      <c r="P21" s="12"/>
      <c r="Q21" s="12"/>
      <c r="R21" s="12"/>
      <c r="S21" s="12"/>
      <c r="T21" s="12"/>
      <c r="U21" s="12"/>
      <c r="V21" s="12"/>
      <c r="W21" s="12"/>
      <c r="X21" s="12"/>
      <c r="Y21" s="2"/>
      <c r="Z21" s="2"/>
      <c r="AA21" s="2"/>
      <c r="AB21" s="2"/>
      <c r="AC21" s="2"/>
      <c r="AD21" s="2"/>
      <c r="AE21" s="2"/>
      <c r="AF21" s="2"/>
      <c r="AG21" s="2"/>
      <c r="AH21" s="2"/>
      <c r="AI21" s="2"/>
    </row>
    <row r="22" spans="1:35" ht="12.75" x14ac:dyDescent="0.25">
      <c r="A22" s="25"/>
      <c r="B22" s="12"/>
      <c r="C22" s="12"/>
      <c r="D22" s="12"/>
      <c r="E22" s="23"/>
      <c r="F22" s="23"/>
      <c r="G22" s="23"/>
      <c r="H22" s="23"/>
      <c r="I22" s="23"/>
      <c r="J22" s="23"/>
      <c r="K22" s="23"/>
      <c r="L22" s="23"/>
      <c r="M22" s="23"/>
      <c r="N22" s="12"/>
      <c r="O22" s="31"/>
      <c r="P22" s="12"/>
      <c r="Q22" s="12"/>
      <c r="R22" s="12"/>
      <c r="S22" s="12"/>
      <c r="T22" s="12"/>
      <c r="U22" s="12"/>
      <c r="V22" s="12"/>
      <c r="W22" s="12"/>
      <c r="X22" s="12"/>
      <c r="Y22" s="2"/>
      <c r="Z22" s="2"/>
      <c r="AA22" s="2"/>
      <c r="AB22" s="2"/>
      <c r="AC22" s="2"/>
      <c r="AD22" s="2"/>
      <c r="AE22" s="2"/>
      <c r="AF22" s="2"/>
      <c r="AG22" s="2"/>
      <c r="AH22" s="2"/>
      <c r="AI22" s="2"/>
    </row>
    <row r="23" spans="1:35" ht="12.75" x14ac:dyDescent="0.25">
      <c r="A23" s="2"/>
      <c r="B23" s="12"/>
      <c r="C23" s="12"/>
      <c r="D23" s="12"/>
      <c r="E23" s="23"/>
      <c r="F23" s="23"/>
      <c r="G23" s="23"/>
      <c r="H23" s="23"/>
      <c r="I23" s="23"/>
      <c r="J23" s="23"/>
      <c r="K23" s="23"/>
      <c r="L23" s="23"/>
      <c r="M23" s="23"/>
      <c r="N23" s="12"/>
      <c r="O23" s="31"/>
      <c r="P23" s="12"/>
      <c r="Q23" s="12"/>
      <c r="R23" s="12"/>
      <c r="S23" s="12"/>
      <c r="T23" s="12"/>
      <c r="U23" s="12"/>
      <c r="V23" s="12"/>
      <c r="W23" s="12"/>
      <c r="X23" s="12"/>
      <c r="Y23" s="2"/>
      <c r="Z23" s="2"/>
      <c r="AA23" s="2"/>
      <c r="AB23" s="2"/>
      <c r="AC23" s="2"/>
      <c r="AD23" s="2"/>
      <c r="AE23" s="2"/>
      <c r="AF23" s="2"/>
      <c r="AG23" s="2"/>
      <c r="AH23" s="2"/>
      <c r="AI23" s="2"/>
    </row>
    <row r="24" spans="1:35" ht="12.75" x14ac:dyDescent="0.25">
      <c r="A24" s="2"/>
      <c r="B24" s="16"/>
      <c r="C24" s="16"/>
      <c r="D24" s="16"/>
      <c r="E24" s="23"/>
      <c r="F24" s="23"/>
      <c r="G24" s="23"/>
      <c r="H24" s="23"/>
      <c r="N24" s="16"/>
      <c r="O24" s="31"/>
      <c r="P24" s="16"/>
      <c r="Q24" s="16"/>
      <c r="R24" s="16"/>
      <c r="S24" s="16"/>
      <c r="T24" s="16"/>
      <c r="U24" s="16"/>
      <c r="V24" s="16"/>
      <c r="W24" s="16"/>
      <c r="X24" s="16"/>
      <c r="Y24" s="2"/>
      <c r="Z24" s="2"/>
      <c r="AA24" s="2"/>
      <c r="AB24" s="2"/>
      <c r="AC24" s="2"/>
      <c r="AD24" s="2"/>
      <c r="AE24" s="2"/>
      <c r="AF24" s="2"/>
      <c r="AG24" s="2"/>
      <c r="AH24" s="2"/>
      <c r="AI24" s="2"/>
    </row>
    <row r="25" spans="1:35" ht="12.75" x14ac:dyDescent="0.25">
      <c r="A25" s="2"/>
      <c r="B25" s="12"/>
      <c r="C25" s="12"/>
      <c r="D25" s="12"/>
      <c r="E25" s="23"/>
      <c r="F25" s="23"/>
      <c r="G25" s="23"/>
      <c r="H25" s="23"/>
      <c r="I25" s="23"/>
      <c r="J25" s="23"/>
      <c r="K25" s="23"/>
      <c r="L25" s="23"/>
      <c r="M25" s="23"/>
      <c r="N25" s="12"/>
      <c r="O25" s="31"/>
      <c r="P25" s="12"/>
      <c r="Q25" s="12"/>
      <c r="R25" s="12"/>
      <c r="S25" s="12"/>
      <c r="T25" s="12"/>
      <c r="U25" s="12"/>
      <c r="V25" s="12"/>
      <c r="W25" s="12"/>
      <c r="X25" s="12"/>
      <c r="Y25" s="2"/>
      <c r="Z25" s="2"/>
      <c r="AA25" s="2"/>
      <c r="AB25" s="2"/>
      <c r="AC25" s="2"/>
      <c r="AD25" s="2"/>
      <c r="AE25" s="2"/>
      <c r="AF25" s="2"/>
      <c r="AG25" s="2"/>
      <c r="AH25" s="2"/>
      <c r="AI25" s="2"/>
    </row>
    <row r="26" spans="1:35" ht="12.75" x14ac:dyDescent="0.25">
      <c r="A26" s="2"/>
      <c r="B26" s="12"/>
      <c r="C26" s="12"/>
      <c r="D26" s="12"/>
      <c r="E26" s="23"/>
      <c r="F26" s="23"/>
      <c r="G26" s="23"/>
      <c r="H26" s="23"/>
      <c r="I26" s="23"/>
      <c r="J26" s="23"/>
      <c r="K26" s="23"/>
      <c r="L26" s="23"/>
      <c r="M26" s="23"/>
      <c r="N26" s="12"/>
      <c r="O26" s="31"/>
      <c r="P26" s="12"/>
      <c r="Q26" s="12"/>
      <c r="R26" s="12"/>
      <c r="S26" s="12"/>
      <c r="T26" s="12"/>
      <c r="U26" s="12"/>
      <c r="V26" s="12"/>
      <c r="W26" s="12"/>
      <c r="X26" s="12"/>
      <c r="Y26" s="2"/>
      <c r="Z26" s="2"/>
      <c r="AA26" s="2"/>
      <c r="AB26" s="2"/>
      <c r="AC26" s="2"/>
      <c r="AD26" s="2"/>
      <c r="AE26" s="2"/>
      <c r="AF26" s="2"/>
      <c r="AG26" s="2"/>
      <c r="AH26" s="2"/>
      <c r="AI26" s="2"/>
    </row>
    <row r="27" spans="1:35" ht="12.75" x14ac:dyDescent="0.25">
      <c r="A27" s="2"/>
      <c r="B27" s="12"/>
      <c r="C27" s="12"/>
      <c r="D27" s="12"/>
      <c r="E27" s="23"/>
      <c r="F27" s="23"/>
      <c r="G27" s="23"/>
      <c r="H27" s="23"/>
      <c r="I27" s="23"/>
      <c r="J27" s="23"/>
      <c r="K27" s="23"/>
      <c r="L27" s="23"/>
      <c r="M27" s="23"/>
      <c r="N27" s="12"/>
      <c r="O27" s="31"/>
      <c r="P27" s="12"/>
      <c r="Q27" s="12"/>
      <c r="R27" s="12"/>
      <c r="S27" s="12"/>
      <c r="T27" s="12"/>
      <c r="U27" s="12"/>
      <c r="V27" s="12"/>
      <c r="W27" s="12"/>
      <c r="X27" s="12"/>
      <c r="Y27" s="2"/>
      <c r="Z27" s="2"/>
      <c r="AA27" s="2"/>
      <c r="AB27" s="2"/>
      <c r="AC27" s="2"/>
      <c r="AD27" s="2"/>
      <c r="AE27" s="2"/>
      <c r="AF27" s="2"/>
      <c r="AG27" s="2"/>
      <c r="AH27" s="2"/>
      <c r="AI27" s="2"/>
    </row>
    <row r="28" spans="1:35" ht="12.75" x14ac:dyDescent="0.25">
      <c r="A28" s="2"/>
      <c r="B28" s="12"/>
      <c r="C28" s="12"/>
      <c r="D28" s="12"/>
      <c r="E28" s="23"/>
      <c r="F28" s="23"/>
      <c r="G28" s="23"/>
      <c r="H28" s="23"/>
      <c r="I28" s="23"/>
      <c r="J28" s="23"/>
      <c r="K28" s="23"/>
      <c r="L28" s="23"/>
      <c r="M28" s="23"/>
      <c r="N28" s="12"/>
      <c r="O28" s="31"/>
      <c r="P28" s="12"/>
      <c r="Q28" s="12"/>
      <c r="R28" s="12"/>
      <c r="S28" s="12"/>
      <c r="T28" s="12"/>
      <c r="U28" s="12"/>
      <c r="V28" s="12"/>
      <c r="W28" s="12"/>
      <c r="X28" s="12"/>
      <c r="Y28" s="2"/>
      <c r="Z28" s="2"/>
      <c r="AA28" s="2"/>
      <c r="AB28" s="2"/>
      <c r="AC28" s="2"/>
      <c r="AD28" s="2"/>
      <c r="AE28" s="2"/>
      <c r="AF28" s="2"/>
      <c r="AG28" s="2"/>
      <c r="AH28" s="2"/>
      <c r="AI28" s="2"/>
    </row>
    <row r="29" spans="1:35" ht="12.75" x14ac:dyDescent="0.25">
      <c r="A29" s="2"/>
      <c r="B29" s="12"/>
      <c r="C29" s="12"/>
      <c r="D29" s="12"/>
      <c r="E29" s="23"/>
      <c r="F29" s="23"/>
      <c r="G29" s="23"/>
      <c r="H29" s="23"/>
      <c r="I29" s="23"/>
      <c r="J29" s="23"/>
      <c r="K29" s="23"/>
      <c r="L29" s="23"/>
      <c r="M29" s="23"/>
      <c r="N29" s="12"/>
      <c r="O29" s="31"/>
      <c r="P29" s="12"/>
      <c r="Q29" s="12"/>
      <c r="R29" s="12"/>
      <c r="S29" s="12"/>
      <c r="T29" s="12"/>
      <c r="U29" s="12"/>
      <c r="V29" s="12"/>
      <c r="W29" s="12"/>
      <c r="X29" s="12"/>
      <c r="Y29" s="2"/>
      <c r="Z29" s="2"/>
      <c r="AA29" s="2"/>
      <c r="AB29" s="2"/>
      <c r="AC29" s="2"/>
      <c r="AD29" s="2"/>
      <c r="AE29" s="2"/>
      <c r="AF29" s="2"/>
      <c r="AG29" s="2"/>
      <c r="AH29" s="2"/>
      <c r="AI29" s="2"/>
    </row>
    <row r="30" spans="1:35" ht="12.75" x14ac:dyDescent="0.25">
      <c r="A30" s="2"/>
      <c r="B30" s="12"/>
      <c r="C30" s="12"/>
      <c r="D30" s="12"/>
      <c r="E30" s="23"/>
      <c r="F30" s="23"/>
      <c r="G30" s="23"/>
      <c r="H30" s="23"/>
      <c r="I30" s="23"/>
      <c r="J30" s="23"/>
      <c r="K30" s="23"/>
      <c r="L30" s="23"/>
      <c r="M30" s="23"/>
      <c r="N30" s="12"/>
      <c r="O30" s="31"/>
      <c r="P30" s="12"/>
      <c r="Q30" s="12"/>
      <c r="R30" s="12"/>
      <c r="S30" s="12"/>
      <c r="T30" s="12"/>
      <c r="U30" s="12"/>
      <c r="V30" s="12"/>
      <c r="W30" s="12"/>
      <c r="X30" s="12"/>
      <c r="Y30" s="2"/>
      <c r="Z30" s="2"/>
      <c r="AA30" s="2"/>
      <c r="AB30" s="2"/>
      <c r="AC30" s="2"/>
      <c r="AD30" s="2"/>
      <c r="AE30" s="2"/>
      <c r="AF30" s="2"/>
      <c r="AG30" s="2"/>
      <c r="AH30" s="2"/>
      <c r="AI30" s="2"/>
    </row>
    <row r="31" spans="1:35" ht="12.75" x14ac:dyDescent="0.25">
      <c r="A31" s="2"/>
      <c r="B31" s="2"/>
      <c r="C31" s="2"/>
      <c r="D31" s="2"/>
      <c r="E31" s="23"/>
      <c r="F31" s="23"/>
      <c r="G31" s="23"/>
      <c r="H31" s="23"/>
      <c r="I31" s="23"/>
      <c r="J31" s="23"/>
      <c r="K31" s="23"/>
      <c r="L31" s="23"/>
      <c r="M31" s="23"/>
      <c r="N31" s="2"/>
      <c r="O31" s="31"/>
      <c r="P31" s="2"/>
      <c r="Q31" s="2"/>
      <c r="R31" s="2"/>
      <c r="S31" s="2"/>
      <c r="T31" s="2"/>
      <c r="U31" s="2"/>
      <c r="V31" s="2"/>
      <c r="W31" s="2"/>
      <c r="X31" s="2"/>
      <c r="Y31" s="2"/>
      <c r="Z31" s="2"/>
      <c r="AA31" s="2"/>
      <c r="AB31" s="2"/>
      <c r="AC31" s="2"/>
      <c r="AD31" s="2"/>
      <c r="AE31" s="2"/>
      <c r="AF31" s="2"/>
      <c r="AG31" s="2"/>
      <c r="AH31" s="2"/>
      <c r="AI31" s="2"/>
    </row>
    <row r="32" spans="1:35" ht="12.75" x14ac:dyDescent="0.25">
      <c r="A32" s="2"/>
      <c r="B32" s="2"/>
      <c r="C32" s="2"/>
      <c r="D32" s="2"/>
      <c r="E32" s="2"/>
      <c r="F32" s="2"/>
      <c r="G32" s="2"/>
      <c r="H32" s="2"/>
      <c r="I32" s="2"/>
      <c r="J32" s="2"/>
      <c r="K32" s="2"/>
      <c r="L32" s="2"/>
      <c r="M32" s="2"/>
      <c r="N32" s="2"/>
      <c r="O32" s="31"/>
      <c r="P32" s="2"/>
      <c r="Q32" s="2"/>
      <c r="R32" s="2"/>
      <c r="S32" s="2"/>
      <c r="T32" s="2"/>
      <c r="U32" s="2"/>
      <c r="V32" s="2"/>
      <c r="W32" s="2"/>
      <c r="X32" s="2"/>
      <c r="Y32" s="2"/>
      <c r="Z32" s="2"/>
      <c r="AA32" s="2"/>
      <c r="AB32" s="2"/>
      <c r="AC32" s="2"/>
      <c r="AD32" s="2"/>
      <c r="AE32" s="2"/>
      <c r="AF32" s="2"/>
      <c r="AG32" s="2"/>
      <c r="AH32" s="2"/>
      <c r="AI32" s="2"/>
    </row>
    <row r="33" spans="1:35" ht="12.75" x14ac:dyDescent="0.25">
      <c r="A33" s="2"/>
      <c r="B33" s="2"/>
      <c r="C33" s="2"/>
      <c r="D33" s="2"/>
      <c r="E33" s="2"/>
      <c r="F33" s="2"/>
      <c r="G33" s="2"/>
      <c r="H33" s="2"/>
      <c r="I33" s="2"/>
      <c r="J33" s="2"/>
      <c r="K33" s="2"/>
      <c r="L33" s="2"/>
      <c r="M33" s="2"/>
      <c r="N33" s="2"/>
      <c r="O33" s="31"/>
      <c r="P33" s="2"/>
      <c r="Q33" s="2"/>
      <c r="R33" s="2"/>
      <c r="S33" s="2"/>
      <c r="T33" s="2"/>
      <c r="U33" s="2"/>
      <c r="V33" s="2"/>
      <c r="W33" s="2"/>
      <c r="X33" s="2"/>
      <c r="Y33" s="2"/>
      <c r="Z33" s="2"/>
      <c r="AA33" s="2"/>
      <c r="AB33" s="2"/>
      <c r="AC33" s="2"/>
      <c r="AD33" s="2"/>
      <c r="AE33" s="2"/>
      <c r="AF33" s="2"/>
      <c r="AG33" s="2"/>
      <c r="AH33" s="2"/>
      <c r="AI33" s="2"/>
    </row>
    <row r="34" spans="1:35" ht="12.75" x14ac:dyDescent="0.25">
      <c r="A34" s="2"/>
      <c r="B34" s="2"/>
      <c r="C34" s="2"/>
      <c r="D34" s="2"/>
      <c r="E34" s="2"/>
      <c r="F34" s="2"/>
      <c r="G34" s="2"/>
      <c r="H34" s="2"/>
      <c r="I34" s="2"/>
      <c r="J34" s="2"/>
      <c r="K34" s="2"/>
      <c r="L34" s="2"/>
      <c r="M34" s="2"/>
      <c r="N34" s="2"/>
      <c r="O34" s="31"/>
      <c r="P34" s="2"/>
      <c r="Q34" s="2"/>
      <c r="R34" s="2"/>
      <c r="S34" s="2"/>
      <c r="T34" s="2"/>
      <c r="U34" s="2"/>
      <c r="V34" s="2"/>
      <c r="W34" s="2"/>
      <c r="X34" s="2"/>
      <c r="Y34" s="2"/>
      <c r="Z34" s="2"/>
      <c r="AA34" s="2"/>
      <c r="AB34" s="2"/>
      <c r="AC34" s="2"/>
      <c r="AD34" s="2"/>
      <c r="AE34" s="2"/>
      <c r="AF34" s="2"/>
      <c r="AG34" s="2"/>
      <c r="AH34" s="2"/>
      <c r="AI34" s="2"/>
    </row>
    <row r="35" spans="1:35" ht="12.75" x14ac:dyDescent="0.25">
      <c r="A35" s="2"/>
      <c r="B35" s="2"/>
      <c r="C35" s="2"/>
      <c r="D35" s="2"/>
      <c r="E35" s="2"/>
      <c r="F35" s="2"/>
      <c r="G35" s="2"/>
      <c r="H35" s="2"/>
      <c r="I35" s="2"/>
      <c r="J35" s="2"/>
      <c r="K35" s="2"/>
      <c r="L35" s="2"/>
      <c r="M35" s="2"/>
      <c r="O35" s="31"/>
      <c r="Y35" s="2"/>
      <c r="Z35" s="2"/>
      <c r="AA35" s="2"/>
      <c r="AB35" s="2"/>
      <c r="AC35" s="2"/>
      <c r="AD35" s="2"/>
      <c r="AE35" s="2"/>
      <c r="AF35" s="2"/>
      <c r="AG35" s="2"/>
      <c r="AH35" s="2"/>
      <c r="AI35" s="2"/>
    </row>
    <row r="36" spans="1:35" ht="12.75" x14ac:dyDescent="0.25">
      <c r="B36" s="2"/>
      <c r="C36" s="2"/>
      <c r="D36" s="2"/>
      <c r="E36" s="2"/>
      <c r="F36" s="2"/>
      <c r="G36" s="2"/>
      <c r="H36" s="2"/>
      <c r="I36" s="2"/>
      <c r="J36" s="2"/>
      <c r="K36" s="2"/>
      <c r="L36" s="2"/>
      <c r="M36" s="2"/>
      <c r="O36" s="31"/>
      <c r="Z36" s="2"/>
      <c r="AA36" s="2"/>
      <c r="AB36" s="2"/>
      <c r="AC36" s="2"/>
      <c r="AD36" s="2"/>
      <c r="AE36" s="2"/>
      <c r="AF36" s="2"/>
      <c r="AG36" s="2"/>
      <c r="AH36" s="2"/>
      <c r="AI36" s="2"/>
    </row>
  </sheetData>
  <mergeCells count="9">
    <mergeCell ref="A17:O17"/>
    <mergeCell ref="A1:Z1"/>
    <mergeCell ref="A2:Y2"/>
    <mergeCell ref="A3:Y3"/>
    <mergeCell ref="A4:Y4"/>
    <mergeCell ref="B5:M5"/>
    <mergeCell ref="B6:M6"/>
    <mergeCell ref="N5:X5"/>
    <mergeCell ref="N6:X6"/>
  </mergeCells>
  <pageMargins left="0.7" right="0.7" top="0.75" bottom="0.75" header="0.3" footer="0.3"/>
  <pageSetup scale="38" orientation="portrait" horizontalDpi="4294967295" verticalDpi="4294967295" r:id="rId1"/>
  <ignoredErrors>
    <ignoredError sqref="B9:G15 N13:P15 N8:N12 P9:P12 P8 H9:J10 K9:K10 Q9:R12 Q13:R15 Q8:V8 S13:V15 S9:V12 W8:X15 L9:M13" unlockedFormula="1"/>
    <ignoredError sqref="O8:O12" formula="1"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0AD8A8E47B644AAB31F301E797EF9" ma:contentTypeVersion="2" ma:contentTypeDescription="Create a new document." ma:contentTypeScope="" ma:versionID="d3b0d3e69866578351583115802bfbce">
  <xsd:schema xmlns:xsd="http://www.w3.org/2001/XMLSchema" xmlns:xs="http://www.w3.org/2001/XMLSchema" xmlns:p="http://schemas.microsoft.com/office/2006/metadata/properties" xmlns:ns3="f2b882a0-f331-411c-a07d-1bff8ca734a3" targetNamespace="http://schemas.microsoft.com/office/2006/metadata/properties" ma:root="true" ma:fieldsID="5f6f84ab63878d05f8f0f9ebe8b3a832" ns3:_="">
    <xsd:import namespace="f2b882a0-f331-411c-a07d-1bff8ca734a3"/>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b882a0-f331-411c-a07d-1bff8ca734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04CED7-A64A-48EC-A52E-55CE3F3D94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b882a0-f331-411c-a07d-1bff8ca73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2D9133-5BCE-4B33-B58F-C3F18E466E6C}">
  <ds:schemaRefs>
    <ds:schemaRef ds:uri="http://purl.org/dc/terms/"/>
    <ds:schemaRef ds:uri="http://www.w3.org/XML/1998/namespace"/>
    <ds:schemaRef ds:uri="http://schemas.openxmlformats.org/package/2006/metadata/core-properties"/>
    <ds:schemaRef ds:uri="http://purl.org/dc/elements/1.1/"/>
    <ds:schemaRef ds:uri="http://schemas.microsoft.com/office/2006/documentManagement/types"/>
    <ds:schemaRef ds:uri="http://purl.org/dc/dcmitype/"/>
    <ds:schemaRef ds:uri="http://schemas.microsoft.com/office/infopath/2007/PartnerControls"/>
    <ds:schemaRef ds:uri="f2b882a0-f331-411c-a07d-1bff8ca734a3"/>
    <ds:schemaRef ds:uri="http://schemas.microsoft.com/office/2006/metadata/properties"/>
  </ds:schemaRefs>
</ds:datastoreItem>
</file>

<file path=customXml/itemProps3.xml><?xml version="1.0" encoding="utf-8"?>
<ds:datastoreItem xmlns:ds="http://schemas.openxmlformats.org/officeDocument/2006/customXml" ds:itemID="{0743D734-6A26-4730-90D5-23CBDAFB43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9.1</vt:lpstr>
      <vt:lpstr>'9.1'!Print_Area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2025-07-08T03:59:06Z</cp:lastPrinted>
  <dcterms:created xsi:type="dcterms:W3CDTF">2019-09-09T05:11:24Z</dcterms:created>
  <dcterms:modified xsi:type="dcterms:W3CDTF">2025-07-08T05:35:16Z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0x01010006F0AD8A8E47B644AAB31F301E797EF9</vt:lpwstr>
  </property>
</Properties>
</file>