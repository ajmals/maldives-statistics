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Fisheries\"/>
    </mc:Choice>
  </mc:AlternateContent>
  <xr:revisionPtr revIDLastSave="0" documentId="13_ncr:1_{CB58F6E0-8C03-43F6-9377-D94828A445B3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9.5" sheetId="5" r:id="rId1"/>
  </sheets>
  <definedNames>
    <definedName name="_xlnm.Print_Area" localSheetId="0">'9.5'!$A$1:$K$25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5" l="1"/>
  <c r="B20" i="5"/>
  <c r="B19" i="5"/>
  <c r="B18" i="5"/>
  <c r="B17" i="5"/>
  <c r="B16" i="5"/>
  <c r="B15" i="5"/>
  <c r="B14" i="5"/>
  <c r="B13" i="5"/>
  <c r="B12" i="5"/>
  <c r="B11" i="5"/>
  <c r="B10" i="5"/>
  <c r="B9" i="5"/>
  <c r="I8" i="5"/>
  <c r="H8" i="5"/>
  <c r="G8" i="5"/>
  <c r="F8" i="5"/>
  <c r="E8" i="5"/>
  <c r="D8" i="5"/>
  <c r="C8" i="5"/>
  <c r="B8" i="5" l="1"/>
</calcChain>
</file>

<file path=xl/sharedStrings.xml><?xml version="1.0" encoding="utf-8"?>
<sst xmlns="http://schemas.openxmlformats.org/spreadsheetml/2006/main" count="54" uniqueCount="53">
  <si>
    <t>Bigeye tuna</t>
  </si>
  <si>
    <t>ilencnwk uDobOl</t>
  </si>
  <si>
    <t>Longline</t>
  </si>
  <si>
    <t>(cnunwT ckircTem)</t>
  </si>
  <si>
    <t>wlcmuj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</si>
  <si>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</si>
  <si>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</si>
  <si>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</si>
  <si>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</si>
  <si>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</si>
  <si>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</si>
  <si>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</si>
  <si>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</si>
  <si>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</si>
  <si>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</si>
  <si>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(In metric tons)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</si>
  <si>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</si>
  <si>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</si>
  <si>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</si>
  <si>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</si>
  <si>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</si>
  <si>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</si>
  <si>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</si>
  <si>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</si>
  <si>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</si>
  <si>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</si>
  <si>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</si>
  <si>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</si>
  <si>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</si>
  <si>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Type of fish</t>
  </si>
  <si>
    <t>ctwvWbeguhwm</t>
  </si>
  <si>
    <t xml:space="preserve">        wlcmuj</t>
  </si>
  <si>
    <t xml:space="preserve">       cswmwlibuLwk</t>
  </si>
  <si>
    <t>cswm</t>
  </si>
  <si>
    <t>Skipjack</t>
  </si>
  <si>
    <t>Little tuna</t>
  </si>
  <si>
    <t>Irwaunej</t>
  </si>
  <si>
    <t>Irwaurcbef</t>
  </si>
  <si>
    <t>cCrWm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</si>
  <si>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</si>
  <si>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</si>
  <si>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</si>
  <si>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</si>
  <si>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</si>
  <si>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</si>
  <si>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</si>
  <si>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</si>
  <si>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</si>
  <si>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cnwkirevcswmunEl</t>
  </si>
  <si>
    <t>Table 9.5 :  MONTHLY FISH CATCH BY TYPE ,  2024</t>
  </si>
  <si>
    <t>2024 ,urwvcnim iaWtwvcaWb eguhwminEb wtwvun ifih iawguhwmcswmikea :9.5 ulwvWt</t>
  </si>
  <si>
    <t>Source: Ministry of Fisheries and Ocean Resources</t>
  </si>
  <si>
    <t>މަޢުލޫމާތުދެއްވި ފަރާތް: މިނިސްޓްރީ އޮފް ފިޝަރީޒް، އެންޑް އޯޝަން ރިސޯސަސް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</si>
</sst>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[$-409]mmmm\ d\,\ yyyy;@"/>
  </numFmts>
  <fonts count="29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9"/>
      <name val="Calibri"/>
      <family val="2"/>
    </font>
    <font>
      <sz val="9"/>
      <name val="Win Ahamedey PRB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9"/>
      <name val="A_Randhoo"/>
    </font>
    <font>
      <b/>
      <sz val="12"/>
      <name val="A_Randhoo"/>
    </font>
    <font>
      <b/>
      <sz val="10"/>
      <name val="A_Faseyha"/>
    </font>
    <font>
      <sz val="10"/>
      <name val="Win Ahamedey PRB"/>
      <family val="2"/>
    </font>
    <font>
      <sz val="10"/>
      <name val="A_Randhoo"/>
    </font>
    <font>
      <i/>
      <sz val="10"/>
      <name val="Arial"/>
      <family val="2"/>
    </font>
    <font>
      <sz val="11"/>
      <color theme="1"/>
      <name val="Calibri"/>
      <family val="2"/>
    </font>
    <font>
      <b/>
      <sz val="9"/>
      <name val="A_Faseyha"/>
    </font>
    <font>
      <sz val="10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164" fontId="1" fillId="0" borderId="0"/>
    <xf numFmtId="40" fontId="17" fillId="0" borderId="0" applyFont="0" applyFill="0" applyBorder="0" applyAlignment="0" applyProtection="0"/>
    <xf numFmtId="165" fontId="1" fillId="0" borderId="0"/>
    <xf numFmtId="165" fontId="1" fillId="0" borderId="0"/>
    <xf numFmtId="165" fontId="1" fillId="0" borderId="0"/>
    <xf numFmtId="0" fontId="7" fillId="0" borderId="0"/>
  </cellStyleXfs>
  <cellXfs count="56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7" fillId="2" borderId="0" xfId="1" applyFont="1" applyFill="1" applyAlignment="1">
      <alignment vertical="center"/>
    </xf>
    <xf numFmtId="164" fontId="9" fillId="2" borderId="0" xfId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centerContinuous" vertical="center"/>
    </xf>
    <xf numFmtId="164" fontId="14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11" fillId="2" borderId="0" xfId="1" applyFont="1" applyFill="1" applyAlignment="1">
      <alignment horizontal="right" vertical="center"/>
    </xf>
    <xf numFmtId="164" fontId="4" fillId="2" borderId="0" xfId="1" applyFont="1" applyFill="1" applyAlignment="1">
      <alignment horizontal="right" vertical="center"/>
    </xf>
    <xf numFmtId="164" fontId="7" fillId="2" borderId="0" xfId="1" applyFont="1" applyFill="1" applyAlignment="1">
      <alignment horizontal="right" vertical="center"/>
    </xf>
    <xf numFmtId="164" fontId="20" fillId="2" borderId="0" xfId="1" applyFont="1" applyFill="1" applyAlignment="1">
      <alignment horizontal="center" vertical="center"/>
    </xf>
    <xf numFmtId="164" fontId="8" fillId="2" borderId="0" xfId="1" applyFont="1" applyFill="1" applyAlignment="1">
      <alignment vertical="center"/>
    </xf>
    <xf numFmtId="164" fontId="4" fillId="2" borderId="0" xfId="1" applyFont="1" applyFill="1" applyAlignment="1">
      <alignment horizontal="centerContinuous" vertical="center"/>
    </xf>
    <xf numFmtId="164" fontId="12" fillId="2" borderId="0" xfId="1" applyFont="1" applyFill="1" applyAlignment="1">
      <alignment horizontal="center" vertical="center"/>
    </xf>
    <xf numFmtId="164" fontId="22" fillId="2" borderId="2" xfId="1" applyFont="1" applyFill="1" applyBorder="1"/>
    <xf numFmtId="164" fontId="22" fillId="2" borderId="0" xfId="1" applyFont="1" applyFill="1"/>
    <xf numFmtId="164" fontId="15" fillId="2" borderId="0" xfId="1" applyFont="1" applyFill="1"/>
    <xf numFmtId="164" fontId="18" fillId="2" borderId="0" xfId="0" applyNumberFormat="1" applyFont="1" applyFill="1" applyAlignment="1">
      <alignment horizontal="right"/>
    </xf>
    <xf numFmtId="164" fontId="8" fillId="2" borderId="1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 wrapText="1"/>
    </xf>
    <xf numFmtId="164" fontId="14" fillId="2" borderId="0" xfId="1" applyFont="1" applyFill="1" applyAlignment="1">
      <alignment horizontal="right" vertical="center"/>
    </xf>
    <xf numFmtId="38" fontId="3" fillId="2" borderId="0" xfId="2" applyNumberFormat="1" applyFont="1" applyFill="1" applyBorder="1" applyAlignment="1" applyProtection="1">
      <alignment horizontal="right" vertical="center"/>
      <protection hidden="1"/>
    </xf>
    <xf numFmtId="38" fontId="3" fillId="2" borderId="0" xfId="2" applyNumberFormat="1" applyFont="1" applyFill="1" applyBorder="1" applyAlignment="1">
      <alignment horizontal="right" vertical="center"/>
    </xf>
    <xf numFmtId="164" fontId="6" fillId="2" borderId="0" xfId="1" applyFont="1" applyFill="1" applyAlignment="1">
      <alignment horizontal="left" vertical="center" indent="2"/>
    </xf>
    <xf numFmtId="38" fontId="13" fillId="2" borderId="0" xfId="2" applyNumberFormat="1" applyFont="1" applyFill="1" applyBorder="1" applyAlignment="1">
      <alignment horizontal="right"/>
    </xf>
    <xf numFmtId="164" fontId="23" fillId="2" borderId="0" xfId="0" applyNumberFormat="1" applyFont="1" applyFill="1" applyAlignment="1">
      <alignment horizontal="right"/>
    </xf>
    <xf numFmtId="164" fontId="6" fillId="2" borderId="1" xfId="1" applyFont="1" applyFill="1" applyBorder="1" applyAlignment="1">
      <alignment horizontal="left" vertical="center" indent="2"/>
    </xf>
    <xf numFmtId="38" fontId="3" fillId="2" borderId="1" xfId="2" applyNumberFormat="1" applyFont="1" applyFill="1" applyBorder="1" applyAlignment="1" applyProtection="1">
      <alignment horizontal="right" vertical="center"/>
      <protection hidden="1"/>
    </xf>
    <xf numFmtId="38" fontId="13" fillId="2" borderId="1" xfId="2" applyNumberFormat="1" applyFont="1" applyFill="1" applyBorder="1" applyAlignment="1">
      <alignment horizontal="right"/>
    </xf>
    <xf numFmtId="164" fontId="24" fillId="2" borderId="0" xfId="1" applyFont="1" applyFill="1" applyAlignment="1">
      <alignment horizontal="left" vertical="center"/>
    </xf>
    <xf numFmtId="164" fontId="19" fillId="2" borderId="0" xfId="0" applyNumberFormat="1" applyFont="1" applyFill="1" applyAlignment="1">
      <alignment horizontal="right"/>
    </xf>
    <xf numFmtId="3" fontId="25" fillId="2" borderId="0" xfId="3" applyNumberFormat="1" applyFont="1" applyFill="1" applyAlignment="1">
      <alignment horizontal="right" vertical="center" indent="1"/>
    </xf>
    <xf numFmtId="164" fontId="18" fillId="2" borderId="0" xfId="0" applyNumberFormat="1" applyFont="1" applyFill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164" fontId="27" fillId="2" borderId="1" xfId="1" applyFont="1" applyFill="1" applyBorder="1" applyAlignment="1">
      <alignment horizontal="right" vertical="center"/>
    </xf>
    <xf numFmtId="164" fontId="21" fillId="2" borderId="0" xfId="0" applyNumberFormat="1" applyFont="1" applyFill="1" applyAlignment="1">
      <alignment horizontal="right"/>
    </xf>
    <xf numFmtId="164" fontId="27" fillId="2" borderId="0" xfId="0" applyNumberFormat="1" applyFont="1" applyFill="1" applyAlignment="1">
      <alignment horizontal="right" indent="2"/>
    </xf>
    <xf numFmtId="164" fontId="27" fillId="2" borderId="1" xfId="0" applyNumberFormat="1" applyFont="1" applyFill="1" applyBorder="1" applyAlignment="1">
      <alignment horizontal="right" indent="2"/>
    </xf>
    <xf numFmtId="164" fontId="26" fillId="2" borderId="0" xfId="1" applyFont="1" applyFill="1" applyAlignment="1">
      <alignment vertical="center"/>
    </xf>
    <xf numFmtId="164" fontId="26" fillId="2" borderId="0" xfId="0" applyNumberFormat="1" applyFont="1" applyFill="1" applyAlignment="1">
      <alignment horizontal="right" vertical="center"/>
    </xf>
    <xf numFmtId="164" fontId="26" fillId="2" borderId="0" xfId="0" applyNumberFormat="1" applyFont="1" applyFill="1" applyAlignment="1">
      <alignment horizontal="right" wrapText="1"/>
    </xf>
    <xf numFmtId="164" fontId="26" fillId="2" borderId="0" xfId="0" applyNumberFormat="1" applyFont="1" applyFill="1" applyAlignment="1">
      <alignment horizontal="right" vertical="center" wrapText="1"/>
    </xf>
    <xf numFmtId="164" fontId="28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 wrapText="1"/>
    </xf>
    <xf numFmtId="164" fontId="5" fillId="2" borderId="1" xfId="1" applyFont="1" applyFill="1" applyBorder="1" applyAlignment="1">
      <alignment horizontal="center" vertical="center"/>
    </xf>
    <xf numFmtId="164" fontId="16" fillId="2" borderId="3" xfId="1" applyFont="1" applyFill="1" applyBorder="1" applyAlignment="1">
      <alignment horizontal="right" vertical="center" indent="2"/>
    </xf>
    <xf numFmtId="164" fontId="21" fillId="2" borderId="3" xfId="0" applyNumberFormat="1" applyFont="1" applyFill="1" applyBorder="1" applyAlignment="1">
      <alignment horizontal="left" vertical="center"/>
    </xf>
    <xf numFmtId="164" fontId="8" fillId="2" borderId="2" xfId="1" applyFont="1" applyFill="1" applyBorder="1" applyAlignment="1">
      <alignment horizontal="left" vertical="center" wrapText="1"/>
    </xf>
    <xf numFmtId="164" fontId="8" fillId="2" borderId="0" xfId="1" applyFont="1" applyFill="1" applyAlignment="1">
      <alignment horizontal="left" vertical="center" wrapText="1"/>
    </xf>
    <xf numFmtId="164" fontId="8" fillId="2" borderId="1" xfId="1" applyFont="1" applyFill="1" applyBorder="1" applyAlignment="1">
      <alignment horizontal="left" vertical="center" wrapText="1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5"/>
  <sheetViews>
    <sheetView tabSelected="1" zoomScaleNormal="100" workbookViewId="0">
      <selection activeCell="J22" sqref="J22"/>
    </sheetView>
  </sheetViews>
  <sheetFormatPr defaultColWidth="9.140625" defaultRowHeight="12.75"/>
  <cols>
    <col min="1" max="1" width="15.5703125" style="3" customWidth="1"/>
    <col min="2" max="2" width="10.85546875" style="3" bestFit="1" customWidth="1"/>
    <col min="3" max="4" width="15.7109375" style="3" customWidth="1"/>
    <col min="5" max="5" width="15.7109375" style="14" customWidth="1"/>
    <col min="6" max="6" width="15.7109375" style="3" customWidth="1"/>
    <col min="7" max="8" width="15.7109375" style="14" customWidth="1"/>
    <col min="9" max="9" width="23.140625" style="3" bestFit="1" customWidth="1"/>
    <col min="10" max="10" width="19.85546875" style="3" customWidth="1"/>
    <col min="11" max="16384" width="9.140625" style="3"/>
  </cols>
  <sheetData>
    <row r="1" spans="1:23" s="7" customFormat="1" ht="19.5">
      <c r="A1" s="47" t="s">
        <v>50</v>
      </c>
      <c r="B1" s="47"/>
      <c r="C1" s="47"/>
      <c r="D1" s="47"/>
      <c r="E1" s="47"/>
      <c r="F1" s="47"/>
      <c r="G1" s="47"/>
      <c r="H1" s="47"/>
      <c r="I1" s="47"/>
      <c r="J1" s="47"/>
      <c r="K1" s="15"/>
      <c r="L1" s="15"/>
      <c r="M1" s="15"/>
      <c r="N1" s="15"/>
      <c r="O1" s="15"/>
      <c r="P1" s="15"/>
      <c r="Q1" s="15"/>
      <c r="R1" s="15"/>
      <c r="S1" s="1"/>
      <c r="T1" s="1"/>
      <c r="U1" s="1"/>
    </row>
    <row r="2" spans="1:23" s="8" customFormat="1" ht="15">
      <c r="A2" s="48" t="s">
        <v>49</v>
      </c>
      <c r="B2" s="48"/>
      <c r="C2" s="48"/>
      <c r="D2" s="48"/>
      <c r="E2" s="48"/>
      <c r="F2" s="48"/>
      <c r="G2" s="48"/>
      <c r="H2" s="48"/>
      <c r="I2" s="48"/>
      <c r="J2" s="48"/>
      <c r="K2" s="18"/>
      <c r="L2" s="18"/>
      <c r="M2" s="18"/>
      <c r="N2" s="18"/>
      <c r="O2" s="18"/>
      <c r="P2" s="18"/>
      <c r="Q2" s="18"/>
      <c r="R2" s="18"/>
      <c r="S2" s="5"/>
      <c r="T2" s="5"/>
      <c r="U2" s="5"/>
    </row>
    <row r="3" spans="1:23" s="13" customFormat="1" ht="15.75" customHeight="1">
      <c r="A3" s="49" t="s">
        <v>3</v>
      </c>
      <c r="B3" s="49"/>
      <c r="C3" s="49"/>
      <c r="D3" s="49"/>
      <c r="E3" s="49"/>
      <c r="F3" s="49"/>
      <c r="G3" s="49"/>
      <c r="H3" s="49"/>
      <c r="I3" s="49"/>
      <c r="J3" s="49"/>
      <c r="L3" s="9"/>
      <c r="M3" s="9"/>
      <c r="N3" s="9"/>
      <c r="O3" s="9"/>
      <c r="P3" s="9"/>
      <c r="Q3" s="9"/>
      <c r="R3" s="9"/>
      <c r="S3" s="12"/>
      <c r="T3" s="12"/>
      <c r="U3" s="12"/>
    </row>
    <row r="4" spans="1:23" s="8" customFormat="1" ht="12">
      <c r="A4" s="50" t="s">
        <v>15</v>
      </c>
      <c r="B4" s="50"/>
      <c r="C4" s="50"/>
      <c r="D4" s="50"/>
      <c r="E4" s="50"/>
      <c r="F4" s="50"/>
      <c r="G4" s="50"/>
      <c r="H4" s="50"/>
      <c r="I4" s="50"/>
      <c r="J4" s="50"/>
      <c r="L4" s="17"/>
      <c r="M4" s="17"/>
      <c r="N4" s="17"/>
      <c r="O4" s="17"/>
      <c r="P4" s="17"/>
      <c r="Q4" s="17"/>
      <c r="R4" s="17"/>
      <c r="S4" s="5"/>
      <c r="T4" s="5"/>
      <c r="U4" s="5"/>
    </row>
    <row r="5" spans="1:23" s="8" customFormat="1" ht="17.25" customHeight="1">
      <c r="A5" s="53" t="s">
        <v>16</v>
      </c>
      <c r="B5" s="43"/>
      <c r="C5" s="51" t="s">
        <v>29</v>
      </c>
      <c r="D5" s="51"/>
      <c r="E5" s="51"/>
      <c r="F5" s="51"/>
      <c r="G5" s="52" t="s">
        <v>30</v>
      </c>
      <c r="H5" s="52"/>
      <c r="I5" s="52"/>
      <c r="J5" s="19"/>
      <c r="K5" s="20"/>
      <c r="L5" s="21"/>
      <c r="M5" s="21"/>
      <c r="N5" s="21"/>
      <c r="O5" s="21"/>
      <c r="P5" s="21"/>
      <c r="Q5" s="21"/>
      <c r="R5" s="21"/>
      <c r="S5" s="5"/>
      <c r="T5" s="5"/>
      <c r="U5" s="5"/>
      <c r="V5" s="5"/>
      <c r="W5" s="5"/>
    </row>
    <row r="6" spans="1:23" s="2" customFormat="1" ht="24" customHeight="1">
      <c r="A6" s="54"/>
      <c r="B6" s="44" t="s">
        <v>31</v>
      </c>
      <c r="C6" s="45" t="s">
        <v>32</v>
      </c>
      <c r="D6" s="46" t="s">
        <v>5</v>
      </c>
      <c r="E6" s="46" t="s">
        <v>1</v>
      </c>
      <c r="F6" s="46" t="s">
        <v>6</v>
      </c>
      <c r="G6" s="46" t="s">
        <v>7</v>
      </c>
      <c r="H6" s="46" t="s">
        <v>8</v>
      </c>
      <c r="I6" s="46" t="s">
        <v>9</v>
      </c>
      <c r="J6" s="44" t="s">
        <v>33</v>
      </c>
      <c r="K6" s="37"/>
      <c r="L6" s="37"/>
      <c r="M6" s="37"/>
      <c r="N6" s="37"/>
      <c r="O6" s="37"/>
      <c r="P6" s="37"/>
      <c r="Q6" s="37"/>
      <c r="R6" s="37"/>
      <c r="S6" s="5"/>
      <c r="T6" s="5"/>
      <c r="U6" s="5"/>
      <c r="V6" s="5"/>
      <c r="W6" s="5"/>
    </row>
    <row r="7" spans="1:23" s="11" customFormat="1" ht="15.75">
      <c r="A7" s="55"/>
      <c r="B7" s="23" t="s">
        <v>10</v>
      </c>
      <c r="C7" s="24" t="s">
        <v>34</v>
      </c>
      <c r="D7" s="23" t="s">
        <v>11</v>
      </c>
      <c r="E7" s="23" t="s">
        <v>0</v>
      </c>
      <c r="F7" s="23" t="s">
        <v>12</v>
      </c>
      <c r="G7" s="23" t="s">
        <v>35</v>
      </c>
      <c r="H7" s="24" t="s">
        <v>13</v>
      </c>
      <c r="I7" s="24" t="s">
        <v>14</v>
      </c>
      <c r="J7" s="39"/>
      <c r="K7" s="22"/>
      <c r="L7" s="25"/>
      <c r="M7" s="25"/>
      <c r="N7" s="25"/>
      <c r="O7" s="25"/>
      <c r="P7" s="25"/>
      <c r="Q7" s="25"/>
      <c r="R7" s="25"/>
      <c r="S7" s="10"/>
      <c r="T7" s="10"/>
      <c r="U7" s="10"/>
      <c r="V7" s="10"/>
      <c r="W7" s="10"/>
    </row>
    <row r="8" spans="1:23" s="8" customFormat="1" ht="15.75">
      <c r="A8" s="16" t="s">
        <v>10</v>
      </c>
      <c r="B8" s="26">
        <f t="shared" ref="B8:B21" si="0">SUM(C8:I8)</f>
        <v>107666.37614855113</v>
      </c>
      <c r="C8" s="26">
        <f t="shared" ref="C8:I8" si="1">SUM(C9:C21)</f>
        <v>80292.561614211925</v>
      </c>
      <c r="D8" s="26">
        <f t="shared" si="1"/>
        <v>26477.308942631731</v>
      </c>
      <c r="E8" s="26">
        <f t="shared" si="1"/>
        <v>271.19266748034443</v>
      </c>
      <c r="F8" s="26">
        <f t="shared" si="1"/>
        <v>1.0668139718028742</v>
      </c>
      <c r="G8" s="26">
        <f t="shared" si="1"/>
        <v>14.297867575690843</v>
      </c>
      <c r="H8" s="26">
        <f t="shared" si="1"/>
        <v>94.621129237894237</v>
      </c>
      <c r="I8" s="26">
        <f t="shared" si="1"/>
        <v>515.32711344174902</v>
      </c>
      <c r="J8" s="40" t="s">
        <v>4</v>
      </c>
      <c r="K8" s="22"/>
      <c r="L8" s="22"/>
      <c r="M8" s="22"/>
      <c r="N8" s="22"/>
      <c r="O8" s="22"/>
      <c r="P8" s="22"/>
      <c r="Q8" s="22"/>
      <c r="R8" s="22"/>
      <c r="S8" s="5"/>
      <c r="T8" s="5"/>
      <c r="U8" s="5"/>
      <c r="V8" s="5"/>
      <c r="W8" s="5"/>
    </row>
    <row r="9" spans="1:23" s="8" customFormat="1" ht="15.75" hidden="1">
      <c r="A9" s="16" t="s">
        <v>2</v>
      </c>
      <c r="B9" s="26">
        <f t="shared" si="0"/>
        <v>0</v>
      </c>
      <c r="C9" s="27"/>
      <c r="D9" s="27"/>
      <c r="E9" s="27"/>
      <c r="F9" s="36"/>
      <c r="G9" s="36"/>
      <c r="H9" s="36"/>
      <c r="I9" s="27"/>
      <c r="J9" s="38" t="s">
        <v>48</v>
      </c>
      <c r="K9" s="22"/>
      <c r="L9" s="22"/>
      <c r="M9" s="22"/>
      <c r="N9" s="22"/>
      <c r="O9" s="22"/>
      <c r="P9" s="22"/>
      <c r="Q9" s="22"/>
      <c r="R9" s="22"/>
      <c r="S9" s="5"/>
      <c r="T9" s="5"/>
      <c r="U9" s="5"/>
      <c r="V9" s="5"/>
      <c r="W9" s="5"/>
    </row>
    <row r="10" spans="1:23" s="8" customFormat="1" ht="17.25">
      <c r="A10" s="28" t="s">
        <v>17</v>
      </c>
      <c r="B10" s="26">
        <f t="shared" si="0"/>
        <v>16830.90663316095</v>
      </c>
      <c r="C10" s="29">
        <v>14000.233365997325</v>
      </c>
      <c r="D10" s="29">
        <v>2700.3738034792723</v>
      </c>
      <c r="E10" s="29">
        <v>55.860513191542097</v>
      </c>
      <c r="F10" s="29">
        <v>2.5603535323268981E-2</v>
      </c>
      <c r="G10" s="29">
        <v>1.1734953689831615E-2</v>
      </c>
      <c r="H10" s="29">
        <v>0.61072966257770944</v>
      </c>
      <c r="I10" s="29">
        <v>73.790882341221717</v>
      </c>
      <c r="J10" s="41" t="s">
        <v>36</v>
      </c>
      <c r="K10" s="22"/>
      <c r="L10" s="22"/>
      <c r="M10" s="30"/>
      <c r="N10" s="30"/>
      <c r="O10" s="30"/>
      <c r="P10" s="30"/>
      <c r="Q10" s="30"/>
      <c r="R10" s="30"/>
      <c r="S10" s="5"/>
      <c r="T10" s="5"/>
      <c r="U10" s="5"/>
      <c r="V10" s="5"/>
      <c r="W10" s="5"/>
    </row>
    <row r="11" spans="1:23" s="8" customFormat="1" ht="17.25">
      <c r="A11" s="28" t="s">
        <v>18</v>
      </c>
      <c r="B11" s="26">
        <f t="shared" si="0"/>
        <v>15468.865512603214</v>
      </c>
      <c r="C11" s="29">
        <v>13214.817856621134</v>
      </c>
      <c r="D11" s="29">
        <v>2146.5836013995199</v>
      </c>
      <c r="E11" s="29">
        <v>10.794045102980917</v>
      </c>
      <c r="F11" s="29">
        <v>0.12801767661634489</v>
      </c>
      <c r="G11" s="29">
        <v>0.91319275986326043</v>
      </c>
      <c r="H11" s="29">
        <v>12.788987230252294</v>
      </c>
      <c r="I11" s="29">
        <v>82.839811812848069</v>
      </c>
      <c r="J11" s="41" t="s">
        <v>37</v>
      </c>
      <c r="K11" s="22"/>
      <c r="L11" s="22"/>
      <c r="M11" s="30"/>
      <c r="N11" s="30"/>
      <c r="O11" s="30"/>
      <c r="P11" s="30"/>
      <c r="Q11" s="30"/>
      <c r="R11" s="30"/>
      <c r="S11" s="5"/>
      <c r="T11" s="5"/>
      <c r="U11" s="5"/>
      <c r="V11" s="5"/>
      <c r="W11" s="5"/>
    </row>
    <row r="12" spans="1:23" s="8" customFormat="1" ht="17.25">
      <c r="A12" s="28" t="s">
        <v>19</v>
      </c>
      <c r="B12" s="26">
        <f t="shared" si="0"/>
        <v>11454.782452432395</v>
      </c>
      <c r="C12" s="29">
        <v>8641.8075001382931</v>
      </c>
      <c r="D12" s="29">
        <v>2715.5619495557185</v>
      </c>
      <c r="E12" s="29">
        <v>35.889755639392291</v>
      </c>
      <c r="F12" s="29">
        <v>0.37551851807461173</v>
      </c>
      <c r="G12" s="29">
        <v>2.1581646649572144</v>
      </c>
      <c r="H12" s="29">
        <v>8.602169116514732</v>
      </c>
      <c r="I12" s="29">
        <v>50.387394799442944</v>
      </c>
      <c r="J12" s="41" t="s">
        <v>38</v>
      </c>
      <c r="K12" s="22"/>
      <c r="L12" s="22"/>
      <c r="M12" s="30"/>
      <c r="N12" s="30"/>
      <c r="O12" s="30"/>
      <c r="P12" s="30"/>
      <c r="Q12" s="30"/>
      <c r="R12" s="30"/>
      <c r="S12" s="5"/>
      <c r="T12" s="5"/>
      <c r="U12" s="5"/>
      <c r="V12" s="5"/>
      <c r="W12" s="5"/>
    </row>
    <row r="13" spans="1:23" s="8" customFormat="1" ht="17.25">
      <c r="A13" s="28" t="s">
        <v>20</v>
      </c>
      <c r="B13" s="26">
        <f t="shared" si="0"/>
        <v>6415.5927879025621</v>
      </c>
      <c r="C13" s="29">
        <v>4890.3876198349735</v>
      </c>
      <c r="D13" s="29">
        <v>1457.3723564137681</v>
      </c>
      <c r="E13" s="29">
        <v>10.171004407168605</v>
      </c>
      <c r="F13" s="29">
        <v>0.12801767661634489</v>
      </c>
      <c r="G13" s="29">
        <v>0</v>
      </c>
      <c r="H13" s="29">
        <v>3.1989483758480985</v>
      </c>
      <c r="I13" s="29">
        <v>54.334841194187391</v>
      </c>
      <c r="J13" s="41" t="s">
        <v>39</v>
      </c>
      <c r="K13" s="30"/>
      <c r="L13" s="22"/>
      <c r="M13" s="30"/>
      <c r="N13" s="30"/>
      <c r="O13" s="30"/>
      <c r="P13" s="30"/>
      <c r="Q13" s="30"/>
      <c r="R13" s="30"/>
      <c r="S13" s="5"/>
      <c r="T13" s="5"/>
      <c r="U13" s="5"/>
      <c r="V13" s="5"/>
      <c r="W13" s="5"/>
    </row>
    <row r="14" spans="1:23" s="8" customFormat="1" ht="17.25">
      <c r="A14" s="28" t="s">
        <v>21</v>
      </c>
      <c r="B14" s="26">
        <f t="shared" si="0"/>
        <v>9181.4963833499096</v>
      </c>
      <c r="C14" s="29">
        <v>6614.7628718990854</v>
      </c>
      <c r="D14" s="29">
        <v>2488.3608124546672</v>
      </c>
      <c r="E14" s="29">
        <v>11.199413075986572</v>
      </c>
      <c r="F14" s="29">
        <v>0.15362121193961387</v>
      </c>
      <c r="G14" s="29">
        <v>5.355832864039149</v>
      </c>
      <c r="H14" s="29">
        <v>7.7712063775980349</v>
      </c>
      <c r="I14" s="29">
        <v>53.892625466595646</v>
      </c>
      <c r="J14" s="41" t="s">
        <v>40</v>
      </c>
      <c r="K14" s="30"/>
      <c r="L14" s="22"/>
      <c r="M14" s="30"/>
      <c r="N14" s="30"/>
      <c r="O14" s="30"/>
      <c r="P14" s="30"/>
      <c r="Q14" s="30"/>
      <c r="R14" s="30"/>
      <c r="S14" s="5"/>
      <c r="T14" s="5"/>
      <c r="U14" s="5"/>
      <c r="V14" s="5"/>
      <c r="W14" s="5"/>
    </row>
    <row r="15" spans="1:23" s="8" customFormat="1" ht="17.25">
      <c r="A15" s="28" t="s">
        <v>22</v>
      </c>
      <c r="B15" s="26">
        <f t="shared" si="0"/>
        <v>4428.487806472036</v>
      </c>
      <c r="C15" s="29">
        <v>2957.8178670005423</v>
      </c>
      <c r="D15" s="29">
        <v>1423.2695384479814</v>
      </c>
      <c r="E15" s="29">
        <v>39.429444397834231</v>
      </c>
      <c r="F15" s="29">
        <v>5.1207070646537962E-2</v>
      </c>
      <c r="G15" s="29">
        <v>0</v>
      </c>
      <c r="H15" s="29">
        <v>0.92812815546850058</v>
      </c>
      <c r="I15" s="29">
        <v>6.9916213995633685</v>
      </c>
      <c r="J15" s="41" t="s">
        <v>41</v>
      </c>
      <c r="K15" s="30"/>
      <c r="L15" s="22"/>
      <c r="M15" s="30"/>
      <c r="N15" s="30"/>
      <c r="O15" s="30"/>
      <c r="P15" s="30"/>
      <c r="Q15" s="30"/>
      <c r="R15" s="30"/>
      <c r="S15" s="5"/>
      <c r="T15" s="5"/>
      <c r="U15" s="5"/>
      <c r="V15" s="5"/>
      <c r="W15" s="5"/>
    </row>
    <row r="16" spans="1:23" s="2" customFormat="1" ht="17.25">
      <c r="A16" s="28" t="s">
        <v>23</v>
      </c>
      <c r="B16" s="26">
        <f t="shared" si="0"/>
        <v>1699.218157241731</v>
      </c>
      <c r="C16" s="29">
        <v>619.25873601184503</v>
      </c>
      <c r="D16" s="29">
        <v>1050.4601373169462</v>
      </c>
      <c r="E16" s="29">
        <v>6.4478236455765714</v>
      </c>
      <c r="F16" s="29">
        <v>0</v>
      </c>
      <c r="G16" s="29">
        <v>2.7737163266874729</v>
      </c>
      <c r="H16" s="29">
        <v>4.4806186815720714</v>
      </c>
      <c r="I16" s="29">
        <v>15.797125259103728</v>
      </c>
      <c r="J16" s="41" t="s">
        <v>42</v>
      </c>
      <c r="K16" s="30"/>
      <c r="L16" s="22"/>
      <c r="M16" s="30"/>
      <c r="N16" s="30"/>
      <c r="O16" s="30"/>
      <c r="P16" s="30"/>
      <c r="Q16" s="30"/>
      <c r="R16" s="30"/>
      <c r="S16" s="5"/>
      <c r="T16" s="5"/>
      <c r="U16" s="5"/>
      <c r="V16" s="5"/>
      <c r="W16" s="5"/>
    </row>
    <row r="17" spans="1:18" s="2" customFormat="1" ht="17.25">
      <c r="A17" s="28" t="s">
        <v>24</v>
      </c>
      <c r="B17" s="26">
        <f t="shared" si="0"/>
        <v>5306.500358575513</v>
      </c>
      <c r="C17" s="29">
        <v>3792.4071541859803</v>
      </c>
      <c r="D17" s="29">
        <v>1479.7504783632107</v>
      </c>
      <c r="E17" s="29">
        <v>6.4008838308172458E-2</v>
      </c>
      <c r="F17" s="29">
        <v>5.1207070646537962E-2</v>
      </c>
      <c r="G17" s="29">
        <v>0</v>
      </c>
      <c r="H17" s="29">
        <v>1.3015130455995063</v>
      </c>
      <c r="I17" s="29">
        <v>32.925997071767853</v>
      </c>
      <c r="J17" s="41" t="s">
        <v>43</v>
      </c>
      <c r="K17" s="30"/>
      <c r="L17" s="22"/>
      <c r="M17" s="30"/>
      <c r="N17" s="30"/>
      <c r="O17" s="30"/>
      <c r="P17" s="30"/>
      <c r="Q17" s="30"/>
      <c r="R17" s="30"/>
    </row>
    <row r="18" spans="1:18" s="2" customFormat="1" ht="17.25">
      <c r="A18" s="28" t="s">
        <v>25</v>
      </c>
      <c r="B18" s="26">
        <f t="shared" si="0"/>
        <v>6494.3259496789342</v>
      </c>
      <c r="C18" s="29">
        <v>4321.9257026534478</v>
      </c>
      <c r="D18" s="29">
        <v>2135.634338407333</v>
      </c>
      <c r="E18" s="29">
        <v>15.703501664938308</v>
      </c>
      <c r="F18" s="29">
        <v>0</v>
      </c>
      <c r="G18" s="29">
        <v>2.1336279436057485E-2</v>
      </c>
      <c r="H18" s="29">
        <v>14.666878528537456</v>
      </c>
      <c r="I18" s="29">
        <v>6.3741921452427368</v>
      </c>
      <c r="J18" s="41" t="s">
        <v>44</v>
      </c>
      <c r="K18" s="30"/>
      <c r="L18" s="22"/>
      <c r="M18" s="30"/>
      <c r="N18" s="30"/>
      <c r="O18" s="30"/>
      <c r="P18" s="30"/>
      <c r="Q18" s="30"/>
      <c r="R18" s="30"/>
    </row>
    <row r="19" spans="1:18" s="2" customFormat="1" ht="17.25">
      <c r="A19" s="28" t="s">
        <v>26</v>
      </c>
      <c r="B19" s="26">
        <f t="shared" si="0"/>
        <v>7002.975211187505</v>
      </c>
      <c r="C19" s="29">
        <v>4487.245226079699</v>
      </c>
      <c r="D19" s="29">
        <v>2431.6467589382619</v>
      </c>
      <c r="E19" s="29">
        <v>24.632734608928363</v>
      </c>
      <c r="F19" s="29">
        <v>0.12801767661634489</v>
      </c>
      <c r="G19" s="29">
        <v>0</v>
      </c>
      <c r="H19" s="29">
        <v>5.7425956013765642</v>
      </c>
      <c r="I19" s="29">
        <v>53.579878282621912</v>
      </c>
      <c r="J19" s="41" t="s">
        <v>45</v>
      </c>
      <c r="K19" s="30"/>
      <c r="L19" s="22"/>
      <c r="M19" s="30"/>
      <c r="N19" s="30"/>
      <c r="O19" s="30"/>
      <c r="P19" s="30"/>
      <c r="Q19" s="30"/>
      <c r="R19" s="30"/>
    </row>
    <row r="20" spans="1:18" s="2" customFormat="1" ht="17.25">
      <c r="A20" s="28" t="s">
        <v>27</v>
      </c>
      <c r="B20" s="26">
        <f t="shared" si="0"/>
        <v>13099.318141623524</v>
      </c>
      <c r="C20" s="29">
        <v>10266.531876443294</v>
      </c>
      <c r="D20" s="29">
        <v>2706.9469800217462</v>
      </c>
      <c r="E20" s="29">
        <v>36.869090865507332</v>
      </c>
      <c r="F20" s="29">
        <v>0</v>
      </c>
      <c r="G20" s="29">
        <v>0</v>
      </c>
      <c r="H20" s="29">
        <v>18.544320590452184</v>
      </c>
      <c r="I20" s="29">
        <v>70.425873702522793</v>
      </c>
      <c r="J20" s="41" t="s">
        <v>46</v>
      </c>
      <c r="K20" s="30"/>
      <c r="L20" s="22"/>
      <c r="M20" s="30"/>
      <c r="N20" s="30"/>
      <c r="O20" s="30"/>
      <c r="P20" s="30"/>
      <c r="Q20" s="30"/>
      <c r="R20" s="30"/>
    </row>
    <row r="21" spans="1:18" s="2" customFormat="1" ht="17.25">
      <c r="A21" s="31" t="s">
        <v>28</v>
      </c>
      <c r="B21" s="32">
        <f t="shared" si="0"/>
        <v>10283.906754322856</v>
      </c>
      <c r="C21" s="33">
        <v>6485.3658373462949</v>
      </c>
      <c r="D21" s="33">
        <v>3741.3481878333087</v>
      </c>
      <c r="E21" s="33">
        <v>24.131332042181015</v>
      </c>
      <c r="F21" s="33">
        <v>2.5603535323268981E-2</v>
      </c>
      <c r="G21" s="33">
        <v>3.0638897270178549</v>
      </c>
      <c r="H21" s="33">
        <v>15.985033872097087</v>
      </c>
      <c r="I21" s="33">
        <v>13.986869966630866</v>
      </c>
      <c r="J21" s="42" t="s">
        <v>47</v>
      </c>
      <c r="K21" s="30"/>
      <c r="L21" s="22"/>
      <c r="M21" s="30"/>
      <c r="N21" s="30"/>
      <c r="O21" s="30"/>
      <c r="P21" s="30"/>
      <c r="Q21" s="30"/>
      <c r="R21" s="30"/>
    </row>
    <row r="22" spans="1:18" s="2" customFormat="1" ht="17.25">
      <c r="A22" s="6" t="s">
        <v>51</v>
      </c>
      <c r="B22" s="34"/>
      <c r="C22" s="34"/>
      <c r="D22" s="34"/>
      <c r="E22" s="34"/>
      <c r="F22" s="34"/>
      <c r="G22" s="34"/>
      <c r="H22" s="34"/>
      <c r="J22" s="4" t="s">
        <v>52</v>
      </c>
      <c r="K22" s="30"/>
      <c r="L22" s="30"/>
      <c r="M22" s="30"/>
      <c r="N22" s="30"/>
      <c r="O22" s="30"/>
      <c r="P22" s="30"/>
      <c r="Q22" s="30"/>
      <c r="R22" s="30"/>
    </row>
    <row r="23" spans="1:18" s="2" customFormat="1" ht="15.75">
      <c r="A23" s="6"/>
      <c r="B23" s="34"/>
      <c r="C23" s="34"/>
      <c r="D23" s="34"/>
      <c r="E23" s="34"/>
      <c r="F23" s="34"/>
      <c r="G23" s="34"/>
      <c r="H23" s="34"/>
      <c r="J23" s="35"/>
      <c r="K23" s="30"/>
      <c r="L23" s="30"/>
      <c r="M23" s="30"/>
      <c r="N23" s="30"/>
      <c r="O23" s="30"/>
      <c r="P23" s="30"/>
      <c r="Q23" s="30"/>
      <c r="R23" s="30"/>
    </row>
    <row r="24" spans="1:18" s="2" customFormat="1" ht="15.75">
      <c r="A24" s="6"/>
      <c r="B24" s="34"/>
      <c r="C24" s="34"/>
      <c r="D24" s="34"/>
      <c r="E24" s="34"/>
      <c r="F24" s="34"/>
      <c r="G24" s="34"/>
      <c r="H24" s="34"/>
      <c r="I24" s="34"/>
      <c r="J24" s="35"/>
      <c r="K24" s="30"/>
      <c r="L24" s="30"/>
      <c r="M24" s="30"/>
      <c r="N24" s="30"/>
      <c r="O24" s="30"/>
      <c r="P24" s="30"/>
      <c r="Q24" s="30"/>
      <c r="R24" s="30"/>
    </row>
    <row r="25" spans="1:18" s="2" customFormat="1" ht="15.75">
      <c r="A25" s="6"/>
      <c r="B25" s="34"/>
      <c r="C25" s="34"/>
      <c r="D25" s="34"/>
      <c r="E25" s="34"/>
      <c r="F25" s="34"/>
      <c r="G25" s="34"/>
      <c r="H25" s="34"/>
      <c r="I25" s="34"/>
      <c r="J25" s="35"/>
      <c r="K25" s="30"/>
      <c r="L25" s="30"/>
      <c r="M25" s="30"/>
      <c r="N25" s="30"/>
      <c r="O25" s="30"/>
      <c r="P25" s="30"/>
      <c r="Q25" s="30"/>
      <c r="R25" s="30"/>
    </row>
  </sheetData>
  <mergeCells count="7">
    <mergeCell ref="A1:J1"/>
    <mergeCell ref="A2:J2"/>
    <mergeCell ref="A3:J3"/>
    <mergeCell ref="A4:J4"/>
    <mergeCell ref="C5:F5"/>
    <mergeCell ref="G5:I5"/>
    <mergeCell ref="A5:A7"/>
  </mergeCells>
  <pageMargins left="0.7" right="0.7" top="0.75" bottom="0.75" header="0.3" footer="0.3"/>
  <pageSetup scale="52" orientation="portrait" r:id="rId1"/>
  <colBreaks count="1" manualBreakCount="1">
    <brk id="11" max="4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2025-07-08T05:43:07Z</cp:lastPrinted>
  <dcterms:created xsi:type="dcterms:W3CDTF">2019-09-09T05:11:24Z</dcterms:created>
  <dcterms:modified xsi:type="dcterms:W3CDTF">2025-07-08T05:43:11Z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