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25\Final\Fisheries\"/>
    </mc:Choice>
  </mc:AlternateContent>
  <xr:revisionPtr revIDLastSave="0" documentId="13_ncr:1_{8347B809-8C93-45DC-BFE1-A4BA81FC6E35}" xr6:coauthVersionLast="47" xr6:coauthVersionMax="47" xr10:uidLastSave="{00000000-0000-0000-0000-000000000000}"/>
  <bookViews>
    <workbookView xWindow="-120" yWindow="-120" windowWidth="29040" windowHeight="15720" tabRatio="743" xr2:uid="{00000000-000D-0000-FFFF-FFFF00000000}"/>
  </bookViews>
  <sheets>
    <sheet name="9.3" sheetId="3" r:id="rId1"/>
  </sheets>
  <definedNames>
    <definedName name="_xlnm.Print_Area" localSheetId="0">'9.3'!$A$1:$L$70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3" i="3" l="1"/>
  <c r="B32" i="3" l="1"/>
  <c r="B31" i="3"/>
  <c r="B30" i="3"/>
  <c r="B29" i="3"/>
  <c r="B28" i="3"/>
  <c r="B27" i="3"/>
  <c r="B26" i="3"/>
  <c r="B25" i="3"/>
  <c r="B24" i="3"/>
  <c r="B23" i="3"/>
  <c r="B22" i="3"/>
  <c r="B21" i="3"/>
  <c r="B20" i="3"/>
  <c r="B19" i="3"/>
  <c r="B18" i="3"/>
  <c r="B17" i="3"/>
  <c r="B16" i="3"/>
  <c r="B15" i="3"/>
  <c r="B14" i="3"/>
  <c r="B12" i="3"/>
  <c r="J11" i="3"/>
  <c r="J9" i="3" s="1"/>
  <c r="I11" i="3"/>
  <c r="I9" i="3" s="1"/>
  <c r="H11" i="3"/>
  <c r="H9" i="3" s="1"/>
  <c r="G11" i="3"/>
  <c r="G9" i="3" s="1"/>
  <c r="F11" i="3"/>
  <c r="F9" i="3" s="1"/>
  <c r="E11" i="3"/>
  <c r="E9" i="3" s="1"/>
  <c r="D11" i="3"/>
  <c r="D9" i="3" s="1"/>
  <c r="B10" i="3"/>
  <c r="B9" i="3" l="1"/>
  <c r="B11" i="3"/>
</calcChain>
</file>

<file path=xl/sharedStrings.xml><?xml version="1.0" encoding="utf-8"?>
<sst xmlns="http://schemas.openxmlformats.org/spreadsheetml/2006/main" count="74" uniqueCount="73">
  <si>
    <t>ilencnwk uDobOl</t>
  </si>
  <si>
    <t>cnwt</t>
  </si>
  <si>
    <t>Republic</t>
  </si>
  <si>
    <t>ejcaWriLum</t>
  </si>
  <si>
    <t>Male'</t>
  </si>
  <si>
    <t>elWm</t>
  </si>
  <si>
    <t>Atolls</t>
  </si>
  <si>
    <t>cawtuLotwa</t>
  </si>
  <si>
    <t>Longline</t>
  </si>
  <si>
    <t xml:space="preserve"> HA</t>
  </si>
  <si>
    <t>ah</t>
  </si>
  <si>
    <t xml:space="preserve"> HDh</t>
  </si>
  <si>
    <t>dh</t>
  </si>
  <si>
    <t xml:space="preserve"> Sh</t>
  </si>
  <si>
    <t>S</t>
  </si>
  <si>
    <t xml:space="preserve"> N</t>
  </si>
  <si>
    <t>n</t>
  </si>
  <si>
    <t xml:space="preserve"> R</t>
  </si>
  <si>
    <t>r</t>
  </si>
  <si>
    <t>B</t>
  </si>
  <si>
    <t>b</t>
  </si>
  <si>
    <t>Lh</t>
  </si>
  <si>
    <t>L</t>
  </si>
  <si>
    <t>K</t>
  </si>
  <si>
    <t>k</t>
  </si>
  <si>
    <t>AA</t>
  </si>
  <si>
    <t xml:space="preserve"> aa</t>
  </si>
  <si>
    <t>ADh</t>
  </si>
  <si>
    <t>da</t>
  </si>
  <si>
    <t>V</t>
  </si>
  <si>
    <t>v</t>
  </si>
  <si>
    <t>M</t>
  </si>
  <si>
    <t>m</t>
  </si>
  <si>
    <t>F</t>
  </si>
  <si>
    <t>f</t>
  </si>
  <si>
    <t>Dh</t>
  </si>
  <si>
    <t>d</t>
  </si>
  <si>
    <t>Th</t>
  </si>
  <si>
    <t>t</t>
  </si>
  <si>
    <t xml:space="preserve"> L</t>
  </si>
  <si>
    <t>l</t>
  </si>
  <si>
    <t>GA</t>
  </si>
  <si>
    <t>ag</t>
  </si>
  <si>
    <t>GDh</t>
  </si>
  <si>
    <t>dg</t>
  </si>
  <si>
    <t>Gn</t>
  </si>
  <si>
    <t>N</t>
  </si>
  <si>
    <t>s</t>
  </si>
  <si>
    <t>(cnunwT ckircTem)</t>
  </si>
  <si>
    <t>(In  metric tons)</t>
  </si>
  <si>
    <t>Type of fish</t>
  </si>
  <si>
    <t>މަހުގެ ބާވަތް</t>
  </si>
  <si>
    <t>Locality</t>
  </si>
  <si>
    <t>wlcmuj</t>
  </si>
  <si>
    <t>cswmwlibuLwk</t>
  </si>
  <si>
    <t>ilencnwk</t>
  </si>
  <si>
    <t>cswm iSov</t>
  </si>
  <si>
    <t>iTcawl</t>
  </si>
  <si>
    <t>iDnogWr</t>
  </si>
  <si>
    <t>cswmurwf cnehinehea</t>
  </si>
  <si>
    <t>Total</t>
  </si>
  <si>
    <t>Skipjack tuna</t>
  </si>
  <si>
    <t>Yellowfin tuna</t>
  </si>
  <si>
    <t>Big eye tuna</t>
  </si>
  <si>
    <t>Dogtooth tuna</t>
  </si>
  <si>
    <t xml:space="preserve">   Little tuna</t>
  </si>
  <si>
    <t>Frigate tuna</t>
  </si>
  <si>
    <t>Other marine fish</t>
  </si>
  <si>
    <t>cnwkirevcswmunEl</t>
  </si>
  <si>
    <t>Table 9.3 :  FISH LANDING BY TYPE AND VESSEL LOCALITY, 2024</t>
  </si>
  <si>
    <t>2024 ,ctwvWb egEa iaWhwm inEb wtwvun ifih cnutog eguLotwa WviawfcSokIrcTcsijwr udnwLua : 9.3 ulwvWt</t>
  </si>
  <si>
    <t>Source: Ministry of Fisheries and Ocean Resources</t>
  </si>
  <si>
    <t>މަޢުލޫމާތުދެއްވި ފަރާތް: މިނިސްޓްރީ އޮފް ފިޝަރީޒް، އެންޑް އޯޝަން ރިސޯސަސް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</si>
</sst>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General_)"/>
    <numFmt numFmtId="165" formatCode="#,##0.0"/>
    <numFmt numFmtId="166" formatCode="_(* #,##0_);_(* \(#,##0\);_(* &quot;-&quot;??_);_(@_)"/>
    <numFmt numFmtId="167" formatCode="[$-409]mmmm\ d\,\ yyyy;@"/>
  </numFmts>
  <fonts count="3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ourier"/>
      <family val="3"/>
    </font>
    <font>
      <b/>
      <sz val="12"/>
      <name val="Calibri"/>
      <family val="2"/>
    </font>
    <font>
      <sz val="9"/>
      <name val="Arial"/>
      <family val="2"/>
    </font>
    <font>
      <b/>
      <sz val="9"/>
      <name val="Arial"/>
      <family val="2"/>
    </font>
    <font>
      <b/>
      <sz val="9"/>
      <name val="Calibri"/>
      <family val="2"/>
    </font>
    <font>
      <b/>
      <sz val="9"/>
      <name val="A_Waheed"/>
      <family val="3"/>
    </font>
    <font>
      <sz val="10"/>
      <name val="Arial"/>
      <family val="2"/>
    </font>
    <font>
      <b/>
      <sz val="10"/>
      <name val="A_Waheed"/>
      <family val="3"/>
    </font>
    <font>
      <sz val="9"/>
      <name val="Faruma"/>
      <family val="3"/>
    </font>
    <font>
      <i/>
      <sz val="9"/>
      <name val="Calibri"/>
      <family val="2"/>
    </font>
    <font>
      <sz val="9"/>
      <name val="A_Waheed"/>
      <family val="3"/>
    </font>
    <font>
      <i/>
      <sz val="9"/>
      <name val="Arial"/>
      <family val="2"/>
    </font>
    <font>
      <sz val="9"/>
      <name val="Courier"/>
      <family val="3"/>
    </font>
    <font>
      <b/>
      <sz val="10"/>
      <name val="Arial"/>
      <family val="2"/>
    </font>
    <font>
      <b/>
      <sz val="9"/>
      <name val="A_Randhoo"/>
    </font>
    <font>
      <sz val="9"/>
      <name val="Calibri"/>
      <family val="2"/>
    </font>
    <font>
      <b/>
      <sz val="9"/>
      <name val="Faruma"/>
      <family val="3"/>
    </font>
    <font>
      <sz val="9"/>
      <name val="Win Ahamedey PRB"/>
      <family val="2"/>
    </font>
    <font>
      <b/>
      <sz val="9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MS Sans Serif"/>
      <family val="2"/>
    </font>
    <font>
      <b/>
      <sz val="10"/>
      <name val="A_Randhoo"/>
    </font>
    <font>
      <sz val="10"/>
      <name val="Calibri"/>
      <family val="2"/>
      <scheme val="minor"/>
    </font>
    <font>
      <sz val="9"/>
      <name val="A_Randhoo"/>
    </font>
    <font>
      <b/>
      <sz val="8"/>
      <name val="A_Randhoo"/>
    </font>
    <font>
      <b/>
      <sz val="10"/>
      <name val="A_Faseyha"/>
    </font>
    <font>
      <sz val="9"/>
      <name val="Calibri Light"/>
      <family val="1"/>
      <scheme val="major"/>
    </font>
    <font>
      <sz val="10"/>
      <name val="A_Faseyha"/>
    </font>
    <font>
      <b/>
      <sz val="12"/>
      <name val="A_Faseyha"/>
    </font>
    <font>
      <b/>
      <sz val="12"/>
      <name val="A_Funa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hair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9">
    <xf numFmtId="0" fontId="0" fillId="0" borderId="0"/>
    <xf numFmtId="43" fontId="1" fillId="0" borderId="0" applyFont="0" applyFill="0" applyBorder="0" applyAlignment="0" applyProtection="0"/>
    <xf numFmtId="164" fontId="2" fillId="0" borderId="0"/>
    <xf numFmtId="40" fontId="22" fillId="0" borderId="0" applyFont="0" applyFill="0" applyBorder="0" applyAlignment="0" applyProtection="0"/>
    <xf numFmtId="0" fontId="8" fillId="0" borderId="0"/>
    <xf numFmtId="167" fontId="2" fillId="0" borderId="0"/>
    <xf numFmtId="167" fontId="2" fillId="0" borderId="0"/>
    <xf numFmtId="167" fontId="2" fillId="0" borderId="0"/>
    <xf numFmtId="0" fontId="8" fillId="0" borderId="0"/>
  </cellStyleXfs>
  <cellXfs count="98">
    <xf numFmtId="0" fontId="0" fillId="0" borderId="0" xfId="0"/>
    <xf numFmtId="164" fontId="2" fillId="2" borderId="0" xfId="2" applyFill="1" applyAlignment="1">
      <alignment vertical="center"/>
    </xf>
    <xf numFmtId="164" fontId="4" fillId="2" borderId="0" xfId="2" applyFont="1" applyFill="1" applyAlignment="1">
      <alignment vertical="center"/>
    </xf>
    <xf numFmtId="164" fontId="8" fillId="2" borderId="0" xfId="2" applyFont="1" applyFill="1" applyAlignment="1">
      <alignment vertical="center"/>
    </xf>
    <xf numFmtId="164" fontId="10" fillId="2" borderId="0" xfId="2" applyFont="1" applyFill="1" applyAlignment="1">
      <alignment horizontal="right" vertical="center"/>
    </xf>
    <xf numFmtId="164" fontId="13" fillId="2" borderId="0" xfId="2" applyFont="1" applyFill="1" applyAlignment="1">
      <alignment horizontal="left" vertical="center"/>
    </xf>
    <xf numFmtId="164" fontId="14" fillId="2" borderId="0" xfId="2" applyFont="1" applyFill="1" applyAlignment="1">
      <alignment vertical="center"/>
    </xf>
    <xf numFmtId="164" fontId="11" fillId="2" borderId="0" xfId="2" applyFont="1" applyFill="1" applyAlignment="1">
      <alignment horizontal="left" vertical="center"/>
    </xf>
    <xf numFmtId="164" fontId="15" fillId="2" borderId="0" xfId="2" applyFont="1" applyFill="1" applyAlignment="1">
      <alignment vertical="center"/>
    </xf>
    <xf numFmtId="164" fontId="5" fillId="2" borderId="0" xfId="2" applyFont="1" applyFill="1" applyAlignment="1">
      <alignment vertical="center"/>
    </xf>
    <xf numFmtId="164" fontId="17" fillId="2" borderId="0" xfId="2" applyFont="1" applyFill="1" applyAlignment="1">
      <alignment vertical="center"/>
    </xf>
    <xf numFmtId="164" fontId="6" fillId="2" borderId="0" xfId="2" applyFont="1" applyFill="1" applyAlignment="1">
      <alignment vertical="center"/>
    </xf>
    <xf numFmtId="164" fontId="14" fillId="2" borderId="0" xfId="2" applyFont="1" applyFill="1" applyAlignment="1">
      <alignment horizontal="right" vertical="center"/>
    </xf>
    <xf numFmtId="164" fontId="5" fillId="2" borderId="0" xfId="2" applyFont="1" applyFill="1" applyAlignment="1">
      <alignment horizontal="right" vertical="center"/>
    </xf>
    <xf numFmtId="164" fontId="14" fillId="2" borderId="2" xfId="2" applyFont="1" applyFill="1" applyBorder="1" applyAlignment="1">
      <alignment vertical="center"/>
    </xf>
    <xf numFmtId="164" fontId="5" fillId="2" borderId="2" xfId="2" applyFont="1" applyFill="1" applyBorder="1" applyAlignment="1">
      <alignment vertical="center"/>
    </xf>
    <xf numFmtId="164" fontId="19" fillId="2" borderId="2" xfId="2" applyFont="1" applyFill="1" applyBorder="1"/>
    <xf numFmtId="164" fontId="6" fillId="2" borderId="0" xfId="2" applyFont="1" applyFill="1" applyAlignment="1">
      <alignment horizontal="left" vertical="center" wrapText="1"/>
    </xf>
    <xf numFmtId="164" fontId="7" fillId="2" borderId="0" xfId="2" applyFont="1" applyFill="1" applyAlignment="1">
      <alignment horizontal="right" vertical="center" wrapText="1"/>
    </xf>
    <xf numFmtId="164" fontId="14" fillId="2" borderId="0" xfId="2" applyFont="1" applyFill="1" applyAlignment="1">
      <alignment vertical="center" wrapText="1"/>
    </xf>
    <xf numFmtId="164" fontId="6" fillId="2" borderId="0" xfId="2" applyFont="1" applyFill="1" applyAlignment="1">
      <alignment horizontal="right" vertical="center" wrapText="1"/>
    </xf>
    <xf numFmtId="0" fontId="20" fillId="2" borderId="0" xfId="0" applyFont="1" applyFill="1" applyAlignment="1">
      <alignment horizontal="right" vertical="center" wrapText="1"/>
    </xf>
    <xf numFmtId="164" fontId="5" fillId="2" borderId="0" xfId="2" applyFont="1" applyFill="1" applyAlignment="1">
      <alignment vertical="center" wrapText="1"/>
    </xf>
    <xf numFmtId="164" fontId="17" fillId="2" borderId="1" xfId="2" applyFont="1" applyFill="1" applyBorder="1" applyAlignment="1">
      <alignment horizontal="right" vertical="center"/>
    </xf>
    <xf numFmtId="164" fontId="6" fillId="2" borderId="1" xfId="2" applyFont="1" applyFill="1" applyBorder="1" applyAlignment="1">
      <alignment horizontal="right" vertical="center"/>
    </xf>
    <xf numFmtId="164" fontId="6" fillId="2" borderId="1" xfId="2" applyFont="1" applyFill="1" applyBorder="1" applyAlignment="1">
      <alignment horizontal="right" vertical="center" wrapText="1"/>
    </xf>
    <xf numFmtId="164" fontId="12" fillId="2" borderId="1" xfId="2" applyFont="1" applyFill="1" applyBorder="1" applyAlignment="1">
      <alignment horizontal="right" vertical="center"/>
    </xf>
    <xf numFmtId="164" fontId="21" fillId="2" borderId="0" xfId="2" applyFont="1" applyFill="1" applyAlignment="1">
      <alignment horizontal="left" vertical="center"/>
    </xf>
    <xf numFmtId="38" fontId="21" fillId="2" borderId="2" xfId="3" applyNumberFormat="1" applyFont="1" applyFill="1" applyBorder="1" applyAlignment="1" applyProtection="1">
      <alignment vertical="center"/>
    </xf>
    <xf numFmtId="38" fontId="21" fillId="2" borderId="0" xfId="3" applyNumberFormat="1" applyFont="1" applyFill="1" applyAlignment="1" applyProtection="1">
      <alignment vertical="center"/>
    </xf>
    <xf numFmtId="164" fontId="7" fillId="2" borderId="0" xfId="2" applyFont="1" applyFill="1" applyAlignment="1">
      <alignment horizontal="right" vertical="center"/>
    </xf>
    <xf numFmtId="164" fontId="16" fillId="2" borderId="0" xfId="2" applyFont="1" applyFill="1" applyAlignment="1">
      <alignment horizontal="right" vertical="center"/>
    </xf>
    <xf numFmtId="38" fontId="21" fillId="2" borderId="0" xfId="3" applyNumberFormat="1" applyFont="1" applyFill="1" applyBorder="1" applyAlignment="1" applyProtection="1">
      <alignment vertical="center"/>
    </xf>
    <xf numFmtId="38" fontId="21" fillId="2" borderId="0" xfId="3" applyNumberFormat="1" applyFont="1" applyFill="1"/>
    <xf numFmtId="38" fontId="21" fillId="2" borderId="0" xfId="3" applyNumberFormat="1" applyFont="1" applyFill="1" applyBorder="1"/>
    <xf numFmtId="164" fontId="21" fillId="2" borderId="0" xfId="2" applyFont="1" applyFill="1" applyAlignment="1">
      <alignment horizontal="left" vertical="top"/>
    </xf>
    <xf numFmtId="38" fontId="21" fillId="2" borderId="0" xfId="3" applyNumberFormat="1" applyFont="1" applyFill="1" applyBorder="1" applyAlignment="1">
      <alignment horizontal="right"/>
    </xf>
    <xf numFmtId="164" fontId="9" fillId="2" borderId="0" xfId="2" applyFont="1" applyFill="1" applyAlignment="1">
      <alignment horizontal="right" vertical="center"/>
    </xf>
    <xf numFmtId="164" fontId="23" fillId="2" borderId="0" xfId="2" applyFont="1" applyFill="1" applyAlignment="1">
      <alignment horizontal="right" vertical="center"/>
    </xf>
    <xf numFmtId="164" fontId="24" fillId="2" borderId="0" xfId="0" applyNumberFormat="1" applyFont="1" applyFill="1" applyAlignment="1">
      <alignment horizontal="left" vertical="center" indent="2"/>
    </xf>
    <xf numFmtId="38" fontId="24" fillId="2" borderId="0" xfId="3" applyNumberFormat="1" applyFont="1" applyFill="1" applyBorder="1" applyAlignment="1" applyProtection="1">
      <alignment vertical="center"/>
    </xf>
    <xf numFmtId="38" fontId="24" fillId="2" borderId="0" xfId="3" applyNumberFormat="1" applyFont="1" applyFill="1" applyBorder="1"/>
    <xf numFmtId="164" fontId="12" fillId="2" borderId="0" xfId="0" applyNumberFormat="1" applyFont="1" applyFill="1" applyAlignment="1">
      <alignment horizontal="right" vertical="center" indent="2"/>
    </xf>
    <xf numFmtId="164" fontId="25" fillId="2" borderId="0" xfId="0" applyNumberFormat="1" applyFont="1" applyFill="1" applyAlignment="1">
      <alignment horizontal="right" vertical="center"/>
    </xf>
    <xf numFmtId="164" fontId="8" fillId="2" borderId="0" xfId="0" applyNumberFormat="1" applyFont="1" applyFill="1"/>
    <xf numFmtId="164" fontId="24" fillId="2" borderId="1" xfId="0" applyNumberFormat="1" applyFont="1" applyFill="1" applyBorder="1" applyAlignment="1">
      <alignment horizontal="left" vertical="center" indent="2"/>
    </xf>
    <xf numFmtId="38" fontId="24" fillId="2" borderId="1" xfId="3" applyNumberFormat="1" applyFont="1" applyFill="1" applyBorder="1" applyAlignment="1" applyProtection="1">
      <alignment vertical="center"/>
    </xf>
    <xf numFmtId="38" fontId="21" fillId="2" borderId="1" xfId="3" applyNumberFormat="1" applyFont="1" applyFill="1" applyBorder="1" applyAlignment="1" applyProtection="1">
      <alignment vertical="center"/>
    </xf>
    <xf numFmtId="38" fontId="24" fillId="2" borderId="1" xfId="3" applyNumberFormat="1" applyFont="1" applyFill="1" applyBorder="1"/>
    <xf numFmtId="164" fontId="12" fillId="2" borderId="1" xfId="0" applyNumberFormat="1" applyFont="1" applyFill="1" applyBorder="1" applyAlignment="1">
      <alignment horizontal="right" vertical="center" indent="2"/>
    </xf>
    <xf numFmtId="164" fontId="14" fillId="2" borderId="7" xfId="2" applyFont="1" applyFill="1" applyBorder="1" applyAlignment="1">
      <alignment vertical="center"/>
    </xf>
    <xf numFmtId="164" fontId="6" fillId="2" borderId="7" xfId="2" applyFont="1" applyFill="1" applyBorder="1" applyAlignment="1">
      <alignment horizontal="left" vertical="center"/>
    </xf>
    <xf numFmtId="164" fontId="16" fillId="2" borderId="7" xfId="2" applyFont="1" applyFill="1" applyBorder="1" applyAlignment="1">
      <alignment horizontal="right" vertical="center"/>
    </xf>
    <xf numFmtId="164" fontId="26" fillId="2" borderId="7" xfId="2" applyFont="1" applyFill="1" applyBorder="1" applyAlignment="1">
      <alignment horizontal="right" vertical="center"/>
    </xf>
    <xf numFmtId="164" fontId="17" fillId="2" borderId="7" xfId="2" applyFont="1" applyFill="1" applyBorder="1" applyAlignment="1">
      <alignment horizontal="right" vertical="center"/>
    </xf>
    <xf numFmtId="164" fontId="6" fillId="2" borderId="7" xfId="2" applyFont="1" applyFill="1" applyBorder="1" applyAlignment="1">
      <alignment horizontal="right" vertical="center"/>
    </xf>
    <xf numFmtId="164" fontId="6" fillId="2" borderId="7" xfId="2" applyFont="1" applyFill="1" applyBorder="1" applyAlignment="1">
      <alignment horizontal="right" vertical="center" wrapText="1"/>
    </xf>
    <xf numFmtId="38" fontId="6" fillId="2" borderId="7" xfId="3" applyNumberFormat="1" applyFont="1" applyFill="1" applyBorder="1" applyAlignment="1" applyProtection="1">
      <alignment vertical="center"/>
    </xf>
    <xf numFmtId="3" fontId="6" fillId="2" borderId="7" xfId="2" applyNumberFormat="1" applyFont="1" applyFill="1" applyBorder="1" applyAlignment="1">
      <alignment vertical="center"/>
    </xf>
    <xf numFmtId="3" fontId="6" fillId="2" borderId="7" xfId="2" applyNumberFormat="1" applyFont="1" applyFill="1" applyBorder="1"/>
    <xf numFmtId="3" fontId="6" fillId="2" borderId="7" xfId="4" applyNumberFormat="1" applyFont="1" applyFill="1" applyBorder="1"/>
    <xf numFmtId="165" fontId="6" fillId="2" borderId="7" xfId="4" applyNumberFormat="1" applyFont="1" applyFill="1" applyBorder="1"/>
    <xf numFmtId="165" fontId="6" fillId="2" borderId="7" xfId="4" applyNumberFormat="1" applyFont="1" applyFill="1" applyBorder="1" applyAlignment="1">
      <alignment horizontal="right"/>
    </xf>
    <xf numFmtId="164" fontId="17" fillId="2" borderId="7" xfId="0" applyNumberFormat="1" applyFont="1" applyFill="1" applyBorder="1" applyAlignment="1">
      <alignment horizontal="left" vertical="center"/>
    </xf>
    <xf numFmtId="3" fontId="17" fillId="2" borderId="7" xfId="4" applyNumberFormat="1" applyFont="1" applyFill="1" applyBorder="1"/>
    <xf numFmtId="3" fontId="17" fillId="2" borderId="7" xfId="2" applyNumberFormat="1" applyFont="1" applyFill="1" applyBorder="1"/>
    <xf numFmtId="164" fontId="25" fillId="2" borderId="7" xfId="0" applyNumberFormat="1" applyFont="1" applyFill="1" applyBorder="1" applyAlignment="1">
      <alignment horizontal="right" vertical="center"/>
    </xf>
    <xf numFmtId="165" fontId="17" fillId="2" borderId="7" xfId="2" applyNumberFormat="1" applyFont="1" applyFill="1" applyBorder="1"/>
    <xf numFmtId="165" fontId="17" fillId="2" borderId="7" xfId="2" applyNumberFormat="1" applyFont="1" applyFill="1" applyBorder="1" applyAlignment="1">
      <alignment horizontal="right"/>
    </xf>
    <xf numFmtId="3" fontId="17" fillId="2" borderId="7" xfId="2" applyNumberFormat="1" applyFont="1" applyFill="1" applyBorder="1" applyAlignment="1">
      <alignment horizontal="right"/>
    </xf>
    <xf numFmtId="164" fontId="11" fillId="2" borderId="7" xfId="2" applyFont="1" applyFill="1" applyBorder="1" applyAlignment="1">
      <alignment horizontal="left" vertical="center"/>
    </xf>
    <xf numFmtId="164" fontId="13" fillId="2" borderId="7" xfId="2" applyFont="1" applyFill="1" applyBorder="1" applyAlignment="1">
      <alignment horizontal="left" vertical="center"/>
    </xf>
    <xf numFmtId="164" fontId="25" fillId="2" borderId="7" xfId="2" applyFont="1" applyFill="1" applyBorder="1" applyAlignment="1">
      <alignment horizontal="right" vertical="center"/>
    </xf>
    <xf numFmtId="164" fontId="8" fillId="2" borderId="0" xfId="2" applyFont="1" applyFill="1" applyAlignment="1">
      <alignment horizontal="right" vertical="center"/>
    </xf>
    <xf numFmtId="1" fontId="8" fillId="2" borderId="0" xfId="2" applyNumberFormat="1" applyFont="1" applyFill="1" applyAlignment="1">
      <alignment vertical="center"/>
    </xf>
    <xf numFmtId="43" fontId="14" fillId="2" borderId="0" xfId="1" applyFont="1" applyFill="1" applyAlignment="1">
      <alignment vertical="center"/>
    </xf>
    <xf numFmtId="43" fontId="4" fillId="2" borderId="0" xfId="1" applyFont="1" applyFill="1" applyAlignment="1">
      <alignment vertical="center"/>
    </xf>
    <xf numFmtId="43" fontId="8" fillId="2" borderId="0" xfId="1" applyFont="1" applyFill="1"/>
    <xf numFmtId="43" fontId="8" fillId="2" borderId="0" xfId="1" applyFont="1" applyFill="1" applyAlignment="1">
      <alignment vertical="center"/>
    </xf>
    <xf numFmtId="164" fontId="6" fillId="2" borderId="5" xfId="2" applyFont="1" applyFill="1" applyBorder="1" applyAlignment="1">
      <alignment vertical="center"/>
    </xf>
    <xf numFmtId="166" fontId="6" fillId="2" borderId="6" xfId="1" applyNumberFormat="1" applyFont="1" applyFill="1" applyBorder="1" applyAlignment="1" applyProtection="1">
      <alignment vertical="center"/>
    </xf>
    <xf numFmtId="164" fontId="28" fillId="2" borderId="7" xfId="2" applyFont="1" applyFill="1" applyBorder="1" applyAlignment="1">
      <alignment horizontal="centerContinuous" vertical="center"/>
    </xf>
    <xf numFmtId="164" fontId="6" fillId="2" borderId="0" xfId="2" applyFont="1" applyFill="1" applyAlignment="1">
      <alignment horizontal="center" vertical="center"/>
    </xf>
    <xf numFmtId="164" fontId="10" fillId="2" borderId="0" xfId="2" applyFont="1" applyFill="1" applyAlignment="1">
      <alignment horizontal="right" vertical="top" wrapText="1"/>
    </xf>
    <xf numFmtId="164" fontId="6" fillId="2" borderId="1" xfId="2" applyFont="1" applyFill="1" applyBorder="1" applyAlignment="1">
      <alignment horizontal="center" vertical="center"/>
    </xf>
    <xf numFmtId="164" fontId="29" fillId="2" borderId="0" xfId="2" applyFont="1" applyFill="1" applyAlignment="1">
      <alignment vertical="center"/>
    </xf>
    <xf numFmtId="164" fontId="27" fillId="2" borderId="0" xfId="2" applyFont="1" applyFill="1" applyAlignment="1">
      <alignment vertical="center"/>
    </xf>
    <xf numFmtId="164" fontId="27" fillId="2" borderId="0" xfId="2" applyFont="1" applyFill="1" applyAlignment="1">
      <alignment horizontal="right" vertical="center" wrapText="1"/>
    </xf>
    <xf numFmtId="164" fontId="27" fillId="2" borderId="3" xfId="2" applyFont="1" applyFill="1" applyBorder="1" applyAlignment="1">
      <alignment horizontal="right" vertical="center" wrapText="1"/>
    </xf>
    <xf numFmtId="164" fontId="27" fillId="2" borderId="3" xfId="2" applyFont="1" applyFill="1" applyBorder="1" applyAlignment="1">
      <alignment horizontal="center" vertical="center" wrapText="1"/>
    </xf>
    <xf numFmtId="164" fontId="11" fillId="2" borderId="0" xfId="2" applyFont="1" applyFill="1" applyAlignment="1">
      <alignment horizontal="left" vertical="top" wrapText="1"/>
    </xf>
    <xf numFmtId="164" fontId="10" fillId="2" borderId="0" xfId="2" applyFont="1" applyFill="1" applyAlignment="1">
      <alignment horizontal="right" vertical="top" wrapText="1"/>
    </xf>
    <xf numFmtId="164" fontId="30" fillId="2" borderId="0" xfId="2" applyFont="1" applyFill="1" applyAlignment="1">
      <alignment horizontal="center" vertical="center"/>
    </xf>
    <xf numFmtId="164" fontId="3" fillId="2" borderId="0" xfId="2" applyFont="1" applyFill="1" applyAlignment="1">
      <alignment horizontal="center" vertical="center"/>
    </xf>
    <xf numFmtId="164" fontId="30" fillId="2" borderId="0" xfId="2" applyFont="1" applyFill="1" applyAlignment="1">
      <alignment horizontal="center" vertical="center" wrapText="1"/>
    </xf>
    <xf numFmtId="164" fontId="31" fillId="2" borderId="0" xfId="2" applyFont="1" applyFill="1" applyAlignment="1">
      <alignment horizontal="center" vertical="center" wrapText="1"/>
    </xf>
    <xf numFmtId="164" fontId="6" fillId="2" borderId="4" xfId="2" applyFont="1" applyFill="1" applyBorder="1" applyAlignment="1">
      <alignment horizontal="center" vertical="center"/>
    </xf>
    <xf numFmtId="164" fontId="18" fillId="2" borderId="4" xfId="2" applyFont="1" applyFill="1" applyBorder="1" applyAlignment="1">
      <alignment horizontal="center" vertical="center"/>
    </xf>
  </cellXfs>
  <cellStyles count="9">
    <cellStyle name="1" xfId="8" xr:uid="{00000000-0005-0000-0000-000000000000}"/>
    <cellStyle name="Comma" xfId="1" builtinId="3"/>
    <cellStyle name="Comma 2" xfId="3" xr:uid="{00000000-0005-0000-0000-000002000000}"/>
    <cellStyle name="Normal" xfId="0" builtinId="0"/>
    <cellStyle name="Normal 2_agri planning 2009 year book(final)" xfId="5" xr:uid="{00000000-0005-0000-0000-000005000000}"/>
    <cellStyle name="Normal 3_agri planning 2009 year book(final)" xfId="7" xr:uid="{00000000-0005-0000-0000-000006000000}"/>
    <cellStyle name="Normal 4_agri planning 2009 year book(final)" xfId="6" xr:uid="{00000000-0005-0000-0000-000007000000}"/>
    <cellStyle name="Normal_9.3fig9.1" xfId="4" xr:uid="{00000000-0005-0000-0000-000009000000}"/>
    <cellStyle name="Normal_Fish &amp;  Agri - 8" xfId="2" xr:uid="{00000000-0005-0000-0000-00000A000000}"/>
  </cellStyles>
  <dxfs count="0"/>
  <tableStyles count="0" defaultTableStyle="TableStyleMedium2" defaultPivotStyle="PivotStyleLight16"/>
  <colors>
    <mruColors>
      <color rgb="FF9BC2E6"/>
      <color rgb="FF003399"/>
      <color rgb="FFEEEEEE"/>
      <color rgb="FFAEAAAA"/>
      <color rgb="FF7E5400"/>
      <color rgb="FF33CCCC"/>
      <color rgb="FF249390"/>
      <color rgb="FF00FFCC"/>
      <color rgb="FFEAFAFA"/>
      <color rgb="FFFFD5D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4"/>
    </mc:Choice>
    <mc:Fallback>
      <c:style val="14"/>
    </mc:Fallback>
  </mc:AlternateContent>
  <c:chart>
    <c:title>
      <c:tx>
        <c:rich>
          <a:bodyPr/>
          <a:lstStyle/>
          <a:p>
            <a:pPr>
              <a:defRPr sz="1200">
                <a:latin typeface="Consolas" pitchFamily="49" charset="0"/>
                <a:cs typeface="Consolas" pitchFamily="49" charset="0"/>
              </a:defRPr>
            </a:pPr>
            <a:r>
              <a:rPr lang="en-US" sz="1200">
                <a:latin typeface="Consolas" pitchFamily="49" charset="0"/>
                <a:cs typeface="Consolas" pitchFamily="49" charset="0"/>
              </a:rPr>
              <a:t>Figure 9.1: Fish catch by type of species, 2024</a:t>
            </a:r>
          </a:p>
        </c:rich>
      </c:tx>
      <c:layout>
        <c:manualLayout>
          <c:xMode val="edge"/>
          <c:yMode val="edge"/>
          <c:x val="0.12425645397563045"/>
          <c:y val="3.1558081640269832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24423734938921696"/>
          <c:y val="0.11905520023389325"/>
          <c:w val="0.53427474001468755"/>
          <c:h val="0.88094491273625797"/>
        </c:manualLayout>
      </c:layout>
      <c:doughnutChart>
        <c:varyColors val="1"/>
        <c:ser>
          <c:idx val="0"/>
          <c:order val="0"/>
          <c:explosion val="3"/>
          <c:dPt>
            <c:idx val="0"/>
            <c:bubble3D val="0"/>
            <c:spPr>
              <a:solidFill>
                <a:srgbClr val="003399"/>
              </a:solidFill>
            </c:spPr>
            <c:extLst>
              <c:ext xmlns:c16="http://schemas.microsoft.com/office/drawing/2014/chart" uri="{C3380CC4-5D6E-409C-BE32-E72D297353CC}">
                <c16:uniqueId val="{00000004-1B39-454F-A679-7E388A770785}"/>
              </c:ext>
            </c:extLst>
          </c:dPt>
          <c:dPt>
            <c:idx val="1"/>
            <c:bubble3D val="0"/>
            <c:spPr>
              <a:solidFill>
                <a:srgbClr val="9BC2E6"/>
              </a:solidFill>
            </c:spPr>
            <c:extLst>
              <c:ext xmlns:c16="http://schemas.microsoft.com/office/drawing/2014/chart" uri="{C3380CC4-5D6E-409C-BE32-E72D297353CC}">
                <c16:uniqueId val="{00000003-1B39-454F-A679-7E388A77078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>
                    <a:solidFill>
                      <a:schemeClr val="bg1"/>
                    </a:solidFill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'9.3'!$D$8:$J$8</c15:sqref>
                  </c15:fullRef>
                </c:ext>
              </c:extLst>
              <c:f>'9.3'!$D$8:$E$8</c:f>
              <c:strCache>
                <c:ptCount val="2"/>
                <c:pt idx="0">
                  <c:v>Skipjack tuna</c:v>
                </c:pt>
                <c:pt idx="1">
                  <c:v>Yellowfin tuna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'9.3'!$D$9:$J$9</c15:sqref>
                  </c15:fullRef>
                </c:ext>
              </c:extLst>
              <c:f>'9.3'!$D$9:$E$9</c:f>
              <c:numCache>
                <c:formatCode>#,##0_);[Red]\(#,##0\)</c:formatCode>
                <c:ptCount val="2"/>
                <c:pt idx="0">
                  <c:v>80292.561614211852</c:v>
                </c:pt>
                <c:pt idx="1">
                  <c:v>26477.308942631738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>
                <c15:categoryFilterException>
                  <c15:sqref>'9.3'!$F$9</c15:sqref>
                  <c15:dLbl>
                    <c:idx val="1"/>
                    <c:delete val="1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4-6AC0-4B64-B91A-F06F52032063}"/>
                      </c:ext>
                    </c:extLst>
                  </c15:dLbl>
                </c15:categoryFilterException>
                <c15:categoryFilterException>
                  <c15:sqref>'9.3'!$G$9</c15:sqref>
                  <c15:dLbl>
                    <c:idx val="1"/>
                    <c:delete val="1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5-6AC0-4B64-B91A-F06F52032063}"/>
                      </c:ext>
                    </c:extLst>
                  </c15:dLbl>
                </c15:categoryFilterException>
                <c15:categoryFilterException>
                  <c15:sqref>'9.3'!$H$9</c15:sqref>
                  <c15:dLbl>
                    <c:idx val="1"/>
                    <c:delete val="1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6-6AC0-4B64-B91A-F06F52032063}"/>
                      </c:ext>
                    </c:extLst>
                  </c15:dLbl>
                </c15:categoryFilterException>
                <c15:categoryFilterException>
                  <c15:sqref>'9.3'!$I$9</c15:sqref>
                  <c15:dLbl>
                    <c:idx val="1"/>
                    <c:delete val="1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7-6AC0-4B64-B91A-F06F52032063}"/>
                      </c:ext>
                    </c:extLst>
                  </c15:dLbl>
                </c15:categoryFilterException>
                <c15:categoryFilterException>
                  <c15:sqref>'9.3'!$J$9</c15:sqref>
                  <c15:spPr xmlns:c15="http://schemas.microsoft.com/office/drawing/2012/chart">
                    <a:solidFill>
                      <a:srgbClr val="FFD5D5"/>
                    </a:solidFill>
                  </c15:spPr>
                  <c15:bubble3D val="0"/>
                  <c15:dLbl>
                    <c:idx val="1"/>
                    <c:delete val="1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9-6AC0-4B64-B91A-F06F52032063}"/>
                      </c:ext>
                    </c:extLst>
                  </c15:dLbl>
                </c15:categoryFilterException>
              </c15:categoryFilterExceptions>
            </c:ext>
            <c:ext xmlns:c16="http://schemas.microsoft.com/office/drawing/2014/chart" uri="{C3380CC4-5D6E-409C-BE32-E72D297353CC}">
              <c16:uniqueId val="{0000000C-3FA9-4570-BF8C-959C5942D2E9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0"/>
        </c:dLbls>
        <c:firstSliceAng val="88"/>
        <c:holeSize val="41"/>
      </c:doughnutChart>
    </c:plotArea>
    <c:plotVisOnly val="1"/>
    <c:dispBlanksAs val="zero"/>
    <c:showDLblsOverMax val="0"/>
  </c:chart>
  <c:printSettings>
    <c:headerFooter/>
    <c:pageMargins b="0.75000000000000144" l="0.70000000000000062" r="0.70000000000000062" t="0.75000000000000144" header="0.30000000000000032" footer="0.30000000000000032"/>
    <c:pageSetup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2"/>
    </mc:Choice>
    <mc:Fallback>
      <c:style val="2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Figure 9.2: Fish catch by Atoll, 2024</a:t>
            </a:r>
          </a:p>
        </c:rich>
      </c:tx>
      <c:layout>
        <c:manualLayout>
          <c:xMode val="edge"/>
          <c:yMode val="edge"/>
          <c:x val="0.3448372624881178"/>
          <c:y val="5.1499856415491041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8.8930302207521864E-2"/>
          <c:y val="0.18082264349840874"/>
          <c:w val="0.88642575634158582"/>
          <c:h val="0.71430060936324247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003399"/>
            </a:solidFill>
          </c:spPr>
          <c:invertIfNegative val="0"/>
          <c:cat>
            <c:strRef>
              <c:f>'9.3'!$A$13:$A$32</c:f>
              <c:strCache>
                <c:ptCount val="20"/>
                <c:pt idx="0">
                  <c:v> HA</c:v>
                </c:pt>
                <c:pt idx="1">
                  <c:v> HDh</c:v>
                </c:pt>
                <c:pt idx="2">
                  <c:v> Sh</c:v>
                </c:pt>
                <c:pt idx="3">
                  <c:v> N</c:v>
                </c:pt>
                <c:pt idx="4">
                  <c:v> 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 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'9.3'!$B$13:$B$32</c:f>
              <c:numCache>
                <c:formatCode>#,##0_);[Red]\(#,##0\)</c:formatCode>
                <c:ptCount val="20"/>
                <c:pt idx="0">
                  <c:v>8153.5129675398448</c:v>
                </c:pt>
                <c:pt idx="1">
                  <c:v>1781.228108564266</c:v>
                </c:pt>
                <c:pt idx="2">
                  <c:v>1992.0448290489014</c:v>
                </c:pt>
                <c:pt idx="3">
                  <c:v>1768.7248988449621</c:v>
                </c:pt>
                <c:pt idx="4">
                  <c:v>6210.8774895042043</c:v>
                </c:pt>
                <c:pt idx="5">
                  <c:v>1348.4255168135326</c:v>
                </c:pt>
                <c:pt idx="6">
                  <c:v>5057.4543803465513</c:v>
                </c:pt>
                <c:pt idx="7">
                  <c:v>3904.6972138155779</c:v>
                </c:pt>
                <c:pt idx="8">
                  <c:v>1540.2401981522887</c:v>
                </c:pt>
                <c:pt idx="9">
                  <c:v>1700.5497817528742</c:v>
                </c:pt>
                <c:pt idx="10">
                  <c:v>166.17997110213878</c:v>
                </c:pt>
                <c:pt idx="11">
                  <c:v>1841.0062832936817</c:v>
                </c:pt>
                <c:pt idx="12">
                  <c:v>1898.3243772924779</c:v>
                </c:pt>
                <c:pt idx="13">
                  <c:v>8698.4102208563127</c:v>
                </c:pt>
                <c:pt idx="14">
                  <c:v>4745.6099819568153</c:v>
                </c:pt>
                <c:pt idx="15">
                  <c:v>5438.8405685555945</c:v>
                </c:pt>
                <c:pt idx="16">
                  <c:v>13762.2673033377</c:v>
                </c:pt>
                <c:pt idx="17">
                  <c:v>10398.700167750892</c:v>
                </c:pt>
                <c:pt idx="18">
                  <c:v>2424.0518100662307</c:v>
                </c:pt>
                <c:pt idx="19">
                  <c:v>10186.679372882103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618-4493-8B6D-CD3AABE3DA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2"/>
        <c:axId val="107753856"/>
        <c:axId val="107755392"/>
      </c:barChart>
      <c:catAx>
        <c:axId val="1077538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/>
            </a:pPr>
            <a:endParaRPr lang="en-US"/>
          </a:p>
        </c:txPr>
        <c:crossAx val="107755392"/>
        <c:crosses val="autoZero"/>
        <c:auto val="1"/>
        <c:lblAlgn val="ctr"/>
        <c:lblOffset val="100"/>
        <c:noMultiLvlLbl val="0"/>
      </c:catAx>
      <c:valAx>
        <c:axId val="107755392"/>
        <c:scaling>
          <c:orientation val="minMax"/>
          <c:max val="16000"/>
          <c:min val="0"/>
        </c:scaling>
        <c:delete val="0"/>
        <c:axPos val="l"/>
        <c:majorGridlines>
          <c:spPr>
            <a:ln>
              <a:noFill/>
            </a:ln>
          </c:spPr>
        </c:majorGridlines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US"/>
                  <a:t>in metric ton</a:t>
                </a:r>
              </a:p>
            </c:rich>
          </c:tx>
          <c:layout>
            <c:manualLayout>
              <c:xMode val="edge"/>
              <c:yMode val="edge"/>
              <c:x val="1.005533324727852E-2"/>
              <c:y val="6.680942109959033E-2"/>
            </c:manualLayout>
          </c:layout>
          <c:overlay val="0"/>
        </c:title>
        <c:numFmt formatCode="#,##0" sourceLinked="0"/>
        <c:majorTickMark val="out"/>
        <c:minorTickMark val="none"/>
        <c:tickLblPos val="nextTo"/>
        <c:txPr>
          <a:bodyPr rot="0" vert="horz"/>
          <a:lstStyle/>
          <a:p>
            <a:pPr>
              <a:defRPr/>
            </a:pPr>
            <a:endParaRPr lang="en-US"/>
          </a:p>
        </c:txPr>
        <c:crossAx val="107753856"/>
        <c:crosses val="autoZero"/>
        <c:crossBetween val="between"/>
        <c:majorUnit val="2000"/>
      </c:valAx>
      <c:spPr>
        <a:ln>
          <a:solidFill>
            <a:schemeClr val="bg1">
              <a:lumMod val="75000"/>
            </a:schemeClr>
          </a:solidFill>
        </a:ln>
      </c:spPr>
    </c:plotArea>
    <c:plotVisOnly val="1"/>
    <c:dispBlanksAs val="gap"/>
    <c:showDLblsOverMax val="0"/>
  </c:chart>
  <c:txPr>
    <a:bodyPr/>
    <a:lstStyle/>
    <a:p>
      <a:pPr>
        <a:defRPr sz="900"/>
      </a:pPr>
      <a:endParaRPr lang="en-US"/>
    </a:p>
  </c:txPr>
  <c:printSettings>
    <c:headerFooter/>
    <c:pageMargins b="0.75000000000000122" l="0.70000000000000062" r="0.70000000000000062" t="0.75000000000000122" header="0.30000000000000032" footer="0.30000000000000032"/>
    <c:pageSetup orientation="portrait"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624840</xdr:colOff>
      <xdr:row>36</xdr:row>
      <xdr:rowOff>0</xdr:rowOff>
    </xdr:from>
    <xdr:to>
      <xdr:col>7</xdr:col>
      <xdr:colOff>514523</xdr:colOff>
      <xdr:row>37</xdr:row>
      <xdr:rowOff>45721</xdr:rowOff>
    </xdr:to>
    <xdr:sp macro="" textlink="">
      <xdr:nvSpPr>
        <xdr:cNvPr id="2" name="Text Box 3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 txBox="1">
          <a:spLocks noChangeArrowheads="1"/>
        </xdr:cNvSpPr>
      </xdr:nvSpPr>
      <xdr:spPr bwMode="auto">
        <a:xfrm>
          <a:off x="2205990" y="7160895"/>
          <a:ext cx="3453765" cy="20764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624840</xdr:colOff>
      <xdr:row>67</xdr:row>
      <xdr:rowOff>76200</xdr:rowOff>
    </xdr:from>
    <xdr:to>
      <xdr:col>7</xdr:col>
      <xdr:colOff>514523</xdr:colOff>
      <xdr:row>68</xdr:row>
      <xdr:rowOff>144780</xdr:rowOff>
    </xdr:to>
    <xdr:sp macro="" textlink="">
      <xdr:nvSpPr>
        <xdr:cNvPr id="3" name="Text Box 3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 txBox="1">
          <a:spLocks noChangeArrowheads="1"/>
        </xdr:cNvSpPr>
      </xdr:nvSpPr>
      <xdr:spPr bwMode="auto">
        <a:xfrm>
          <a:off x="2205990" y="13115925"/>
          <a:ext cx="3453765" cy="2305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624840</xdr:colOff>
      <xdr:row>36</xdr:row>
      <xdr:rowOff>0</xdr:rowOff>
    </xdr:from>
    <xdr:to>
      <xdr:col>7</xdr:col>
      <xdr:colOff>514523</xdr:colOff>
      <xdr:row>37</xdr:row>
      <xdr:rowOff>45721</xdr:rowOff>
    </xdr:to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 txBox="1">
          <a:spLocks noChangeArrowheads="1"/>
        </xdr:cNvSpPr>
      </xdr:nvSpPr>
      <xdr:spPr bwMode="auto">
        <a:xfrm>
          <a:off x="2205990" y="7160895"/>
          <a:ext cx="3453765" cy="20764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624840</xdr:colOff>
      <xdr:row>67</xdr:row>
      <xdr:rowOff>76200</xdr:rowOff>
    </xdr:from>
    <xdr:to>
      <xdr:col>7</xdr:col>
      <xdr:colOff>514523</xdr:colOff>
      <xdr:row>68</xdr:row>
      <xdr:rowOff>144780</xdr:rowOff>
    </xdr:to>
    <xdr:sp macro="" textlink="">
      <xdr:nvSpPr>
        <xdr:cNvPr id="5" name="Text Box 3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 txBox="1">
          <a:spLocks noChangeArrowheads="1"/>
        </xdr:cNvSpPr>
      </xdr:nvSpPr>
      <xdr:spPr bwMode="auto">
        <a:xfrm>
          <a:off x="2205990" y="13115925"/>
          <a:ext cx="3453765" cy="2305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624840</xdr:colOff>
      <xdr:row>36</xdr:row>
      <xdr:rowOff>0</xdr:rowOff>
    </xdr:from>
    <xdr:to>
      <xdr:col>7</xdr:col>
      <xdr:colOff>381173</xdr:colOff>
      <xdr:row>37</xdr:row>
      <xdr:rowOff>45721</xdr:rowOff>
    </xdr:to>
    <xdr:sp macro="" textlink="">
      <xdr:nvSpPr>
        <xdr:cNvPr id="9" name="Text Box 3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 txBox="1">
          <a:spLocks noChangeArrowheads="1"/>
        </xdr:cNvSpPr>
      </xdr:nvSpPr>
      <xdr:spPr bwMode="auto">
        <a:xfrm>
          <a:off x="2205990" y="7160895"/>
          <a:ext cx="3320415" cy="20764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624840</xdr:colOff>
      <xdr:row>67</xdr:row>
      <xdr:rowOff>76200</xdr:rowOff>
    </xdr:from>
    <xdr:to>
      <xdr:col>7</xdr:col>
      <xdr:colOff>381173</xdr:colOff>
      <xdr:row>68</xdr:row>
      <xdr:rowOff>144780</xdr:rowOff>
    </xdr:to>
    <xdr:sp macro="" textlink="">
      <xdr:nvSpPr>
        <xdr:cNvPr id="10" name="Text Box 3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SpPr txBox="1">
          <a:spLocks noChangeArrowheads="1"/>
        </xdr:cNvSpPr>
      </xdr:nvSpPr>
      <xdr:spPr bwMode="auto">
        <a:xfrm>
          <a:off x="2205990" y="13115925"/>
          <a:ext cx="3320415" cy="2305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624840</xdr:colOff>
      <xdr:row>36</xdr:row>
      <xdr:rowOff>0</xdr:rowOff>
    </xdr:from>
    <xdr:to>
      <xdr:col>7</xdr:col>
      <xdr:colOff>381173</xdr:colOff>
      <xdr:row>37</xdr:row>
      <xdr:rowOff>45721</xdr:rowOff>
    </xdr:to>
    <xdr:sp macro="" textlink="">
      <xdr:nvSpPr>
        <xdr:cNvPr id="11" name="Text Box 3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SpPr txBox="1">
          <a:spLocks noChangeArrowheads="1"/>
        </xdr:cNvSpPr>
      </xdr:nvSpPr>
      <xdr:spPr bwMode="auto">
        <a:xfrm>
          <a:off x="2205990" y="7160895"/>
          <a:ext cx="3320415" cy="20764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624840</xdr:colOff>
      <xdr:row>67</xdr:row>
      <xdr:rowOff>76200</xdr:rowOff>
    </xdr:from>
    <xdr:to>
      <xdr:col>7</xdr:col>
      <xdr:colOff>381173</xdr:colOff>
      <xdr:row>68</xdr:row>
      <xdr:rowOff>144780</xdr:rowOff>
    </xdr:to>
    <xdr:sp macro="" textlink="">
      <xdr:nvSpPr>
        <xdr:cNvPr id="13" name="Text Box 3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SpPr txBox="1">
          <a:spLocks noChangeArrowheads="1"/>
        </xdr:cNvSpPr>
      </xdr:nvSpPr>
      <xdr:spPr bwMode="auto">
        <a:xfrm>
          <a:off x="2205990" y="13115925"/>
          <a:ext cx="3320415" cy="2305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624840</xdr:colOff>
      <xdr:row>36</xdr:row>
      <xdr:rowOff>0</xdr:rowOff>
    </xdr:from>
    <xdr:to>
      <xdr:col>7</xdr:col>
      <xdr:colOff>514523</xdr:colOff>
      <xdr:row>37</xdr:row>
      <xdr:rowOff>45721</xdr:rowOff>
    </xdr:to>
    <xdr:sp macro="" textlink="">
      <xdr:nvSpPr>
        <xdr:cNvPr id="17" name="Text Box 3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 txBox="1">
          <a:spLocks noChangeArrowheads="1"/>
        </xdr:cNvSpPr>
      </xdr:nvSpPr>
      <xdr:spPr bwMode="auto">
        <a:xfrm>
          <a:off x="2205990" y="7160895"/>
          <a:ext cx="3453765" cy="20764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624840</xdr:colOff>
      <xdr:row>67</xdr:row>
      <xdr:rowOff>76200</xdr:rowOff>
    </xdr:from>
    <xdr:to>
      <xdr:col>7</xdr:col>
      <xdr:colOff>514523</xdr:colOff>
      <xdr:row>68</xdr:row>
      <xdr:rowOff>144780</xdr:rowOff>
    </xdr:to>
    <xdr:sp macro="" textlink="">
      <xdr:nvSpPr>
        <xdr:cNvPr id="18" name="Text Box 3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 txBox="1">
          <a:spLocks noChangeArrowheads="1"/>
        </xdr:cNvSpPr>
      </xdr:nvSpPr>
      <xdr:spPr bwMode="auto">
        <a:xfrm>
          <a:off x="2205990" y="13115925"/>
          <a:ext cx="3453765" cy="2305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624840</xdr:colOff>
      <xdr:row>36</xdr:row>
      <xdr:rowOff>0</xdr:rowOff>
    </xdr:from>
    <xdr:to>
      <xdr:col>7</xdr:col>
      <xdr:colOff>514523</xdr:colOff>
      <xdr:row>37</xdr:row>
      <xdr:rowOff>45721</xdr:rowOff>
    </xdr:to>
    <xdr:sp macro="" textlink="">
      <xdr:nvSpPr>
        <xdr:cNvPr id="19" name="Text Box 3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 txBox="1">
          <a:spLocks noChangeArrowheads="1"/>
        </xdr:cNvSpPr>
      </xdr:nvSpPr>
      <xdr:spPr bwMode="auto">
        <a:xfrm>
          <a:off x="2205990" y="7160895"/>
          <a:ext cx="3453765" cy="20764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624840</xdr:colOff>
      <xdr:row>67</xdr:row>
      <xdr:rowOff>76200</xdr:rowOff>
    </xdr:from>
    <xdr:to>
      <xdr:col>7</xdr:col>
      <xdr:colOff>514523</xdr:colOff>
      <xdr:row>68</xdr:row>
      <xdr:rowOff>144780</xdr:rowOff>
    </xdr:to>
    <xdr:sp macro="" textlink="">
      <xdr:nvSpPr>
        <xdr:cNvPr id="20" name="Text Box 3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 txBox="1">
          <a:spLocks noChangeArrowheads="1"/>
        </xdr:cNvSpPr>
      </xdr:nvSpPr>
      <xdr:spPr bwMode="auto">
        <a:xfrm>
          <a:off x="2205990" y="13115925"/>
          <a:ext cx="3453765" cy="2305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624840</xdr:colOff>
      <xdr:row>36</xdr:row>
      <xdr:rowOff>0</xdr:rowOff>
    </xdr:from>
    <xdr:to>
      <xdr:col>7</xdr:col>
      <xdr:colOff>381173</xdr:colOff>
      <xdr:row>37</xdr:row>
      <xdr:rowOff>45721</xdr:rowOff>
    </xdr:to>
    <xdr:sp macro="" textlink="">
      <xdr:nvSpPr>
        <xdr:cNvPr id="24" name="Text Box 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 txBox="1">
          <a:spLocks noChangeArrowheads="1"/>
        </xdr:cNvSpPr>
      </xdr:nvSpPr>
      <xdr:spPr bwMode="auto">
        <a:xfrm>
          <a:off x="2205990" y="7160895"/>
          <a:ext cx="3320415" cy="20764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624840</xdr:colOff>
      <xdr:row>67</xdr:row>
      <xdr:rowOff>76200</xdr:rowOff>
    </xdr:from>
    <xdr:to>
      <xdr:col>7</xdr:col>
      <xdr:colOff>381173</xdr:colOff>
      <xdr:row>68</xdr:row>
      <xdr:rowOff>144780</xdr:rowOff>
    </xdr:to>
    <xdr:sp macro="" textlink="">
      <xdr:nvSpPr>
        <xdr:cNvPr id="25" name="Text Box 3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 txBox="1">
          <a:spLocks noChangeArrowheads="1"/>
        </xdr:cNvSpPr>
      </xdr:nvSpPr>
      <xdr:spPr bwMode="auto">
        <a:xfrm>
          <a:off x="2205990" y="13115925"/>
          <a:ext cx="3320415" cy="2305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624840</xdr:colOff>
      <xdr:row>36</xdr:row>
      <xdr:rowOff>0</xdr:rowOff>
    </xdr:from>
    <xdr:to>
      <xdr:col>7</xdr:col>
      <xdr:colOff>381173</xdr:colOff>
      <xdr:row>37</xdr:row>
      <xdr:rowOff>45721</xdr:rowOff>
    </xdr:to>
    <xdr:sp macro="" textlink="">
      <xdr:nvSpPr>
        <xdr:cNvPr id="26" name="Text Box 3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 txBox="1">
          <a:spLocks noChangeArrowheads="1"/>
        </xdr:cNvSpPr>
      </xdr:nvSpPr>
      <xdr:spPr bwMode="auto">
        <a:xfrm>
          <a:off x="2205990" y="7160895"/>
          <a:ext cx="3320415" cy="20764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624840</xdr:colOff>
      <xdr:row>67</xdr:row>
      <xdr:rowOff>76200</xdr:rowOff>
    </xdr:from>
    <xdr:to>
      <xdr:col>7</xdr:col>
      <xdr:colOff>381173</xdr:colOff>
      <xdr:row>68</xdr:row>
      <xdr:rowOff>144780</xdr:rowOff>
    </xdr:to>
    <xdr:sp macro="" textlink="">
      <xdr:nvSpPr>
        <xdr:cNvPr id="28" name="Text Box 3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 txBox="1">
          <a:spLocks noChangeArrowheads="1"/>
        </xdr:cNvSpPr>
      </xdr:nvSpPr>
      <xdr:spPr bwMode="auto">
        <a:xfrm>
          <a:off x="2205990" y="13115925"/>
          <a:ext cx="3320415" cy="2305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624840</xdr:colOff>
      <xdr:row>67</xdr:row>
      <xdr:rowOff>76200</xdr:rowOff>
    </xdr:from>
    <xdr:to>
      <xdr:col>7</xdr:col>
      <xdr:colOff>706137</xdr:colOff>
      <xdr:row>68</xdr:row>
      <xdr:rowOff>144780</xdr:rowOff>
    </xdr:to>
    <xdr:sp macro="" textlink="">
      <xdr:nvSpPr>
        <xdr:cNvPr id="30" name="Text Box 3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 txBox="1">
          <a:spLocks noChangeArrowheads="1"/>
        </xdr:cNvSpPr>
      </xdr:nvSpPr>
      <xdr:spPr bwMode="auto">
        <a:xfrm>
          <a:off x="2205990" y="13001625"/>
          <a:ext cx="3549015" cy="2305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624840</xdr:colOff>
      <xdr:row>36</xdr:row>
      <xdr:rowOff>0</xdr:rowOff>
    </xdr:from>
    <xdr:to>
      <xdr:col>7</xdr:col>
      <xdr:colOff>706137</xdr:colOff>
      <xdr:row>37</xdr:row>
      <xdr:rowOff>45720</xdr:rowOff>
    </xdr:to>
    <xdr:sp macro="" textlink="">
      <xdr:nvSpPr>
        <xdr:cNvPr id="31" name="Text Box 3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 txBox="1">
          <a:spLocks noChangeArrowheads="1"/>
        </xdr:cNvSpPr>
      </xdr:nvSpPr>
      <xdr:spPr bwMode="auto">
        <a:xfrm>
          <a:off x="2205990" y="7113270"/>
          <a:ext cx="3549015" cy="2076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624840</xdr:colOff>
      <xdr:row>67</xdr:row>
      <xdr:rowOff>76200</xdr:rowOff>
    </xdr:from>
    <xdr:to>
      <xdr:col>7</xdr:col>
      <xdr:colOff>706137</xdr:colOff>
      <xdr:row>68</xdr:row>
      <xdr:rowOff>144780</xdr:rowOff>
    </xdr:to>
    <xdr:sp macro="" textlink="">
      <xdr:nvSpPr>
        <xdr:cNvPr id="32" name="Text Box 3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 txBox="1">
          <a:spLocks noChangeArrowheads="1"/>
        </xdr:cNvSpPr>
      </xdr:nvSpPr>
      <xdr:spPr bwMode="auto">
        <a:xfrm>
          <a:off x="2205990" y="13001625"/>
          <a:ext cx="3549015" cy="2305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624840</xdr:colOff>
      <xdr:row>36</xdr:row>
      <xdr:rowOff>0</xdr:rowOff>
    </xdr:from>
    <xdr:to>
      <xdr:col>7</xdr:col>
      <xdr:colOff>571673</xdr:colOff>
      <xdr:row>37</xdr:row>
      <xdr:rowOff>45720</xdr:rowOff>
    </xdr:to>
    <xdr:sp macro="" textlink="">
      <xdr:nvSpPr>
        <xdr:cNvPr id="35" name="Text Box 3">
          <a:extLst>
            <a:ext uri="{FF2B5EF4-FFF2-40B4-BE49-F238E27FC236}">
              <a16:creationId xmlns:a16="http://schemas.microsoft.com/office/drawing/2014/main" id="{00000000-0008-0000-0200-000023000000}"/>
            </a:ext>
          </a:extLst>
        </xdr:cNvPr>
        <xdr:cNvSpPr txBox="1">
          <a:spLocks noChangeArrowheads="1"/>
        </xdr:cNvSpPr>
      </xdr:nvSpPr>
      <xdr:spPr bwMode="auto">
        <a:xfrm>
          <a:off x="2205990" y="7113270"/>
          <a:ext cx="3415665" cy="2076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624840</xdr:colOff>
      <xdr:row>67</xdr:row>
      <xdr:rowOff>76200</xdr:rowOff>
    </xdr:from>
    <xdr:to>
      <xdr:col>7</xdr:col>
      <xdr:colOff>571673</xdr:colOff>
      <xdr:row>68</xdr:row>
      <xdr:rowOff>144780</xdr:rowOff>
    </xdr:to>
    <xdr:sp macro="" textlink="">
      <xdr:nvSpPr>
        <xdr:cNvPr id="36" name="Text Box 3">
          <a:extLst>
            <a:ext uri="{FF2B5EF4-FFF2-40B4-BE49-F238E27FC236}">
              <a16:creationId xmlns:a16="http://schemas.microsoft.com/office/drawing/2014/main" id="{00000000-0008-0000-0200-000024000000}"/>
            </a:ext>
          </a:extLst>
        </xdr:cNvPr>
        <xdr:cNvSpPr txBox="1">
          <a:spLocks noChangeArrowheads="1"/>
        </xdr:cNvSpPr>
      </xdr:nvSpPr>
      <xdr:spPr bwMode="auto">
        <a:xfrm>
          <a:off x="2205990" y="13001625"/>
          <a:ext cx="3415665" cy="2305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624840</xdr:colOff>
      <xdr:row>36</xdr:row>
      <xdr:rowOff>0</xdr:rowOff>
    </xdr:from>
    <xdr:to>
      <xdr:col>7</xdr:col>
      <xdr:colOff>571673</xdr:colOff>
      <xdr:row>37</xdr:row>
      <xdr:rowOff>45720</xdr:rowOff>
    </xdr:to>
    <xdr:sp macro="" textlink="">
      <xdr:nvSpPr>
        <xdr:cNvPr id="37" name="Text Box 3">
          <a:extLst>
            <a:ext uri="{FF2B5EF4-FFF2-40B4-BE49-F238E27FC236}">
              <a16:creationId xmlns:a16="http://schemas.microsoft.com/office/drawing/2014/main" id="{00000000-0008-0000-0200-000025000000}"/>
            </a:ext>
          </a:extLst>
        </xdr:cNvPr>
        <xdr:cNvSpPr txBox="1">
          <a:spLocks noChangeArrowheads="1"/>
        </xdr:cNvSpPr>
      </xdr:nvSpPr>
      <xdr:spPr bwMode="auto">
        <a:xfrm>
          <a:off x="2205990" y="7113270"/>
          <a:ext cx="3415665" cy="2076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624840</xdr:colOff>
      <xdr:row>67</xdr:row>
      <xdr:rowOff>76200</xdr:rowOff>
    </xdr:from>
    <xdr:to>
      <xdr:col>7</xdr:col>
      <xdr:colOff>571673</xdr:colOff>
      <xdr:row>68</xdr:row>
      <xdr:rowOff>144780</xdr:rowOff>
    </xdr:to>
    <xdr:sp macro="" textlink="">
      <xdr:nvSpPr>
        <xdr:cNvPr id="39" name="Text Box 3">
          <a:extLst>
            <a:ext uri="{FF2B5EF4-FFF2-40B4-BE49-F238E27FC236}">
              <a16:creationId xmlns:a16="http://schemas.microsoft.com/office/drawing/2014/main" id="{00000000-0008-0000-0200-000027000000}"/>
            </a:ext>
          </a:extLst>
        </xdr:cNvPr>
        <xdr:cNvSpPr txBox="1">
          <a:spLocks noChangeArrowheads="1"/>
        </xdr:cNvSpPr>
      </xdr:nvSpPr>
      <xdr:spPr bwMode="auto">
        <a:xfrm>
          <a:off x="2205990" y="13001625"/>
          <a:ext cx="3415665" cy="2305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624840</xdr:colOff>
      <xdr:row>36</xdr:row>
      <xdr:rowOff>0</xdr:rowOff>
    </xdr:from>
    <xdr:to>
      <xdr:col>7</xdr:col>
      <xdr:colOff>706137</xdr:colOff>
      <xdr:row>37</xdr:row>
      <xdr:rowOff>45720</xdr:rowOff>
    </xdr:to>
    <xdr:sp macro="" textlink="">
      <xdr:nvSpPr>
        <xdr:cNvPr id="43" name="Text Box 3">
          <a:extLst>
            <a:ext uri="{FF2B5EF4-FFF2-40B4-BE49-F238E27FC236}">
              <a16:creationId xmlns:a16="http://schemas.microsoft.com/office/drawing/2014/main" id="{00000000-0008-0000-0200-00002B000000}"/>
            </a:ext>
          </a:extLst>
        </xdr:cNvPr>
        <xdr:cNvSpPr txBox="1">
          <a:spLocks noChangeArrowheads="1"/>
        </xdr:cNvSpPr>
      </xdr:nvSpPr>
      <xdr:spPr bwMode="auto">
        <a:xfrm>
          <a:off x="2205990" y="7113270"/>
          <a:ext cx="3549015" cy="2076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624840</xdr:colOff>
      <xdr:row>67</xdr:row>
      <xdr:rowOff>76200</xdr:rowOff>
    </xdr:from>
    <xdr:to>
      <xdr:col>7</xdr:col>
      <xdr:colOff>706137</xdr:colOff>
      <xdr:row>68</xdr:row>
      <xdr:rowOff>144780</xdr:rowOff>
    </xdr:to>
    <xdr:sp macro="" textlink="">
      <xdr:nvSpPr>
        <xdr:cNvPr id="44" name="Text Box 3">
          <a:extLst>
            <a:ext uri="{FF2B5EF4-FFF2-40B4-BE49-F238E27FC236}">
              <a16:creationId xmlns:a16="http://schemas.microsoft.com/office/drawing/2014/main" id="{00000000-0008-0000-0200-00002C000000}"/>
            </a:ext>
          </a:extLst>
        </xdr:cNvPr>
        <xdr:cNvSpPr txBox="1">
          <a:spLocks noChangeArrowheads="1"/>
        </xdr:cNvSpPr>
      </xdr:nvSpPr>
      <xdr:spPr bwMode="auto">
        <a:xfrm>
          <a:off x="2205990" y="13001625"/>
          <a:ext cx="3549015" cy="2305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624840</xdr:colOff>
      <xdr:row>36</xdr:row>
      <xdr:rowOff>0</xdr:rowOff>
    </xdr:from>
    <xdr:to>
      <xdr:col>7</xdr:col>
      <xdr:colOff>706137</xdr:colOff>
      <xdr:row>37</xdr:row>
      <xdr:rowOff>45720</xdr:rowOff>
    </xdr:to>
    <xdr:sp macro="" textlink="">
      <xdr:nvSpPr>
        <xdr:cNvPr id="45" name="Text Box 3">
          <a:extLst>
            <a:ext uri="{FF2B5EF4-FFF2-40B4-BE49-F238E27FC236}">
              <a16:creationId xmlns:a16="http://schemas.microsoft.com/office/drawing/2014/main" id="{00000000-0008-0000-0200-00002D000000}"/>
            </a:ext>
          </a:extLst>
        </xdr:cNvPr>
        <xdr:cNvSpPr txBox="1">
          <a:spLocks noChangeArrowheads="1"/>
        </xdr:cNvSpPr>
      </xdr:nvSpPr>
      <xdr:spPr bwMode="auto">
        <a:xfrm>
          <a:off x="2205990" y="7113270"/>
          <a:ext cx="3549015" cy="2076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624840</xdr:colOff>
      <xdr:row>67</xdr:row>
      <xdr:rowOff>76200</xdr:rowOff>
    </xdr:from>
    <xdr:to>
      <xdr:col>7</xdr:col>
      <xdr:colOff>706137</xdr:colOff>
      <xdr:row>68</xdr:row>
      <xdr:rowOff>144780</xdr:rowOff>
    </xdr:to>
    <xdr:sp macro="" textlink="">
      <xdr:nvSpPr>
        <xdr:cNvPr id="46" name="Text Box 3">
          <a:extLst>
            <a:ext uri="{FF2B5EF4-FFF2-40B4-BE49-F238E27FC236}">
              <a16:creationId xmlns:a16="http://schemas.microsoft.com/office/drawing/2014/main" id="{00000000-0008-0000-0200-00002E000000}"/>
            </a:ext>
          </a:extLst>
        </xdr:cNvPr>
        <xdr:cNvSpPr txBox="1">
          <a:spLocks noChangeArrowheads="1"/>
        </xdr:cNvSpPr>
      </xdr:nvSpPr>
      <xdr:spPr bwMode="auto">
        <a:xfrm>
          <a:off x="2205990" y="13001625"/>
          <a:ext cx="3549015" cy="2305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624840</xdr:colOff>
      <xdr:row>36</xdr:row>
      <xdr:rowOff>0</xdr:rowOff>
    </xdr:from>
    <xdr:to>
      <xdr:col>7</xdr:col>
      <xdr:colOff>571673</xdr:colOff>
      <xdr:row>37</xdr:row>
      <xdr:rowOff>45720</xdr:rowOff>
    </xdr:to>
    <xdr:sp macro="" textlink="">
      <xdr:nvSpPr>
        <xdr:cNvPr id="50" name="Text Box 3">
          <a:extLst>
            <a:ext uri="{FF2B5EF4-FFF2-40B4-BE49-F238E27FC236}">
              <a16:creationId xmlns:a16="http://schemas.microsoft.com/office/drawing/2014/main" id="{00000000-0008-0000-0200-000032000000}"/>
            </a:ext>
          </a:extLst>
        </xdr:cNvPr>
        <xdr:cNvSpPr txBox="1">
          <a:spLocks noChangeArrowheads="1"/>
        </xdr:cNvSpPr>
      </xdr:nvSpPr>
      <xdr:spPr bwMode="auto">
        <a:xfrm>
          <a:off x="2205990" y="7113270"/>
          <a:ext cx="3415665" cy="2076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624840</xdr:colOff>
      <xdr:row>67</xdr:row>
      <xdr:rowOff>76200</xdr:rowOff>
    </xdr:from>
    <xdr:to>
      <xdr:col>7</xdr:col>
      <xdr:colOff>571673</xdr:colOff>
      <xdr:row>68</xdr:row>
      <xdr:rowOff>144780</xdr:rowOff>
    </xdr:to>
    <xdr:sp macro="" textlink="">
      <xdr:nvSpPr>
        <xdr:cNvPr id="51" name="Text Box 3">
          <a:extLst>
            <a:ext uri="{FF2B5EF4-FFF2-40B4-BE49-F238E27FC236}">
              <a16:creationId xmlns:a16="http://schemas.microsoft.com/office/drawing/2014/main" id="{00000000-0008-0000-0200-000033000000}"/>
            </a:ext>
          </a:extLst>
        </xdr:cNvPr>
        <xdr:cNvSpPr txBox="1">
          <a:spLocks noChangeArrowheads="1"/>
        </xdr:cNvSpPr>
      </xdr:nvSpPr>
      <xdr:spPr bwMode="auto">
        <a:xfrm>
          <a:off x="2205990" y="13001625"/>
          <a:ext cx="3415665" cy="2305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624840</xdr:colOff>
      <xdr:row>67</xdr:row>
      <xdr:rowOff>76200</xdr:rowOff>
    </xdr:from>
    <xdr:to>
      <xdr:col>7</xdr:col>
      <xdr:colOff>571673</xdr:colOff>
      <xdr:row>68</xdr:row>
      <xdr:rowOff>144780</xdr:rowOff>
    </xdr:to>
    <xdr:sp macro="" textlink="">
      <xdr:nvSpPr>
        <xdr:cNvPr id="53" name="Text Box 3">
          <a:extLst>
            <a:ext uri="{FF2B5EF4-FFF2-40B4-BE49-F238E27FC236}">
              <a16:creationId xmlns:a16="http://schemas.microsoft.com/office/drawing/2014/main" id="{00000000-0008-0000-0200-000035000000}"/>
            </a:ext>
          </a:extLst>
        </xdr:cNvPr>
        <xdr:cNvSpPr txBox="1">
          <a:spLocks noChangeArrowheads="1"/>
        </xdr:cNvSpPr>
      </xdr:nvSpPr>
      <xdr:spPr bwMode="auto">
        <a:xfrm>
          <a:off x="2205990" y="13001625"/>
          <a:ext cx="3415665" cy="2305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oneCellAnchor>
    <xdr:from>
      <xdr:col>3</xdr:col>
      <xdr:colOff>624840</xdr:colOff>
      <xdr:row>73</xdr:row>
      <xdr:rowOff>0</xdr:rowOff>
    </xdr:from>
    <xdr:ext cx="3356928" cy="204470"/>
    <xdr:sp macro="" textlink="">
      <xdr:nvSpPr>
        <xdr:cNvPr id="34" name="Text Box 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SpPr txBox="1">
          <a:spLocks noChangeArrowheads="1"/>
        </xdr:cNvSpPr>
      </xdr:nvSpPr>
      <xdr:spPr bwMode="auto">
        <a:xfrm>
          <a:off x="2212340" y="7058898"/>
          <a:ext cx="3356928" cy="20447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624840</xdr:colOff>
      <xdr:row>73</xdr:row>
      <xdr:rowOff>0</xdr:rowOff>
    </xdr:from>
    <xdr:ext cx="3356928" cy="204470"/>
    <xdr:sp macro="" textlink="">
      <xdr:nvSpPr>
        <xdr:cNvPr id="38" name="Text Box 3">
          <a:extLst>
            <a:ext uri="{FF2B5EF4-FFF2-40B4-BE49-F238E27FC236}">
              <a16:creationId xmlns:a16="http://schemas.microsoft.com/office/drawing/2014/main" id="{00000000-0008-0000-0200-000026000000}"/>
            </a:ext>
          </a:extLst>
        </xdr:cNvPr>
        <xdr:cNvSpPr txBox="1">
          <a:spLocks noChangeArrowheads="1"/>
        </xdr:cNvSpPr>
      </xdr:nvSpPr>
      <xdr:spPr bwMode="auto">
        <a:xfrm>
          <a:off x="2212340" y="7058898"/>
          <a:ext cx="3356928" cy="20447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624840</xdr:colOff>
      <xdr:row>73</xdr:row>
      <xdr:rowOff>0</xdr:rowOff>
    </xdr:from>
    <xdr:ext cx="3223578" cy="204470"/>
    <xdr:sp macro="" textlink="">
      <xdr:nvSpPr>
        <xdr:cNvPr id="40" name="Text Box 3">
          <a:extLst>
            <a:ext uri="{FF2B5EF4-FFF2-40B4-BE49-F238E27FC236}">
              <a16:creationId xmlns:a16="http://schemas.microsoft.com/office/drawing/2014/main" id="{00000000-0008-0000-0200-000028000000}"/>
            </a:ext>
          </a:extLst>
        </xdr:cNvPr>
        <xdr:cNvSpPr txBox="1">
          <a:spLocks noChangeArrowheads="1"/>
        </xdr:cNvSpPr>
      </xdr:nvSpPr>
      <xdr:spPr bwMode="auto">
        <a:xfrm>
          <a:off x="2212340" y="7058898"/>
          <a:ext cx="3223578" cy="20447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624840</xdr:colOff>
      <xdr:row>73</xdr:row>
      <xdr:rowOff>0</xdr:rowOff>
    </xdr:from>
    <xdr:ext cx="3223578" cy="204470"/>
    <xdr:sp macro="" textlink="">
      <xdr:nvSpPr>
        <xdr:cNvPr id="41" name="Text Box 3">
          <a:extLst>
            <a:ext uri="{FF2B5EF4-FFF2-40B4-BE49-F238E27FC236}">
              <a16:creationId xmlns:a16="http://schemas.microsoft.com/office/drawing/2014/main" id="{00000000-0008-0000-0200-000029000000}"/>
            </a:ext>
          </a:extLst>
        </xdr:cNvPr>
        <xdr:cNvSpPr txBox="1">
          <a:spLocks noChangeArrowheads="1"/>
        </xdr:cNvSpPr>
      </xdr:nvSpPr>
      <xdr:spPr bwMode="auto">
        <a:xfrm>
          <a:off x="2212340" y="7058898"/>
          <a:ext cx="3223578" cy="20447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624840</xdr:colOff>
      <xdr:row>73</xdr:row>
      <xdr:rowOff>0</xdr:rowOff>
    </xdr:from>
    <xdr:ext cx="3356928" cy="204470"/>
    <xdr:sp macro="" textlink="">
      <xdr:nvSpPr>
        <xdr:cNvPr id="42" name="Text Box 3">
          <a:extLst>
            <a:ext uri="{FF2B5EF4-FFF2-40B4-BE49-F238E27FC236}">
              <a16:creationId xmlns:a16="http://schemas.microsoft.com/office/drawing/2014/main" id="{00000000-0008-0000-0200-00002A000000}"/>
            </a:ext>
          </a:extLst>
        </xdr:cNvPr>
        <xdr:cNvSpPr txBox="1">
          <a:spLocks noChangeArrowheads="1"/>
        </xdr:cNvSpPr>
      </xdr:nvSpPr>
      <xdr:spPr bwMode="auto">
        <a:xfrm>
          <a:off x="2212340" y="7058898"/>
          <a:ext cx="3356928" cy="20447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624840</xdr:colOff>
      <xdr:row>73</xdr:row>
      <xdr:rowOff>0</xdr:rowOff>
    </xdr:from>
    <xdr:ext cx="3356928" cy="204470"/>
    <xdr:sp macro="" textlink="">
      <xdr:nvSpPr>
        <xdr:cNvPr id="47" name="Text Box 3">
          <a:extLst>
            <a:ext uri="{FF2B5EF4-FFF2-40B4-BE49-F238E27FC236}">
              <a16:creationId xmlns:a16="http://schemas.microsoft.com/office/drawing/2014/main" id="{00000000-0008-0000-0200-00002F000000}"/>
            </a:ext>
          </a:extLst>
        </xdr:cNvPr>
        <xdr:cNvSpPr txBox="1">
          <a:spLocks noChangeArrowheads="1"/>
        </xdr:cNvSpPr>
      </xdr:nvSpPr>
      <xdr:spPr bwMode="auto">
        <a:xfrm>
          <a:off x="2212340" y="7058898"/>
          <a:ext cx="3356928" cy="20447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624840</xdr:colOff>
      <xdr:row>73</xdr:row>
      <xdr:rowOff>0</xdr:rowOff>
    </xdr:from>
    <xdr:ext cx="3223578" cy="204470"/>
    <xdr:sp macro="" textlink="">
      <xdr:nvSpPr>
        <xdr:cNvPr id="48" name="Text Box 3">
          <a:extLst>
            <a:ext uri="{FF2B5EF4-FFF2-40B4-BE49-F238E27FC236}">
              <a16:creationId xmlns:a16="http://schemas.microsoft.com/office/drawing/2014/main" id="{00000000-0008-0000-0200-000030000000}"/>
            </a:ext>
          </a:extLst>
        </xdr:cNvPr>
        <xdr:cNvSpPr txBox="1">
          <a:spLocks noChangeArrowheads="1"/>
        </xdr:cNvSpPr>
      </xdr:nvSpPr>
      <xdr:spPr bwMode="auto">
        <a:xfrm>
          <a:off x="2212340" y="7058898"/>
          <a:ext cx="3223578" cy="20447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624840</xdr:colOff>
      <xdr:row>73</xdr:row>
      <xdr:rowOff>0</xdr:rowOff>
    </xdr:from>
    <xdr:ext cx="3223578" cy="204470"/>
    <xdr:sp macro="" textlink="">
      <xdr:nvSpPr>
        <xdr:cNvPr id="49" name="Text Box 3">
          <a:extLst>
            <a:ext uri="{FF2B5EF4-FFF2-40B4-BE49-F238E27FC236}">
              <a16:creationId xmlns:a16="http://schemas.microsoft.com/office/drawing/2014/main" id="{00000000-0008-0000-0200-000031000000}"/>
            </a:ext>
          </a:extLst>
        </xdr:cNvPr>
        <xdr:cNvSpPr txBox="1">
          <a:spLocks noChangeArrowheads="1"/>
        </xdr:cNvSpPr>
      </xdr:nvSpPr>
      <xdr:spPr bwMode="auto">
        <a:xfrm>
          <a:off x="2212340" y="7058898"/>
          <a:ext cx="3223578" cy="20447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624840</xdr:colOff>
      <xdr:row>73</xdr:row>
      <xdr:rowOff>0</xdr:rowOff>
    </xdr:from>
    <xdr:ext cx="3550603" cy="204469"/>
    <xdr:sp macro="" textlink="">
      <xdr:nvSpPr>
        <xdr:cNvPr id="52" name="Text Box 3">
          <a:extLst>
            <a:ext uri="{FF2B5EF4-FFF2-40B4-BE49-F238E27FC236}">
              <a16:creationId xmlns:a16="http://schemas.microsoft.com/office/drawing/2014/main" id="{00000000-0008-0000-0200-000034000000}"/>
            </a:ext>
          </a:extLst>
        </xdr:cNvPr>
        <xdr:cNvSpPr txBox="1">
          <a:spLocks noChangeArrowheads="1"/>
        </xdr:cNvSpPr>
      </xdr:nvSpPr>
      <xdr:spPr bwMode="auto">
        <a:xfrm>
          <a:off x="2212340" y="7058898"/>
          <a:ext cx="3550603" cy="20446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624840</xdr:colOff>
      <xdr:row>73</xdr:row>
      <xdr:rowOff>0</xdr:rowOff>
    </xdr:from>
    <xdr:ext cx="3414078" cy="204469"/>
    <xdr:sp macro="" textlink="">
      <xdr:nvSpPr>
        <xdr:cNvPr id="54" name="Text Box 3">
          <a:extLst>
            <a:ext uri="{FF2B5EF4-FFF2-40B4-BE49-F238E27FC236}">
              <a16:creationId xmlns:a16="http://schemas.microsoft.com/office/drawing/2014/main" id="{00000000-0008-0000-0200-000036000000}"/>
            </a:ext>
          </a:extLst>
        </xdr:cNvPr>
        <xdr:cNvSpPr txBox="1">
          <a:spLocks noChangeArrowheads="1"/>
        </xdr:cNvSpPr>
      </xdr:nvSpPr>
      <xdr:spPr bwMode="auto">
        <a:xfrm>
          <a:off x="2212340" y="7058898"/>
          <a:ext cx="3414078" cy="20446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624840</xdr:colOff>
      <xdr:row>73</xdr:row>
      <xdr:rowOff>0</xdr:rowOff>
    </xdr:from>
    <xdr:ext cx="3414078" cy="204469"/>
    <xdr:sp macro="" textlink="">
      <xdr:nvSpPr>
        <xdr:cNvPr id="55" name="Text Box 3">
          <a:extLst>
            <a:ext uri="{FF2B5EF4-FFF2-40B4-BE49-F238E27FC236}">
              <a16:creationId xmlns:a16="http://schemas.microsoft.com/office/drawing/2014/main" id="{00000000-0008-0000-0200-000037000000}"/>
            </a:ext>
          </a:extLst>
        </xdr:cNvPr>
        <xdr:cNvSpPr txBox="1">
          <a:spLocks noChangeArrowheads="1"/>
        </xdr:cNvSpPr>
      </xdr:nvSpPr>
      <xdr:spPr bwMode="auto">
        <a:xfrm>
          <a:off x="2212340" y="7058898"/>
          <a:ext cx="3414078" cy="20446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624840</xdr:colOff>
      <xdr:row>73</xdr:row>
      <xdr:rowOff>0</xdr:rowOff>
    </xdr:from>
    <xdr:ext cx="3550603" cy="204469"/>
    <xdr:sp macro="" textlink="">
      <xdr:nvSpPr>
        <xdr:cNvPr id="56" name="Text Box 3">
          <a:extLst>
            <a:ext uri="{FF2B5EF4-FFF2-40B4-BE49-F238E27FC236}">
              <a16:creationId xmlns:a16="http://schemas.microsoft.com/office/drawing/2014/main" id="{00000000-0008-0000-0200-000038000000}"/>
            </a:ext>
          </a:extLst>
        </xdr:cNvPr>
        <xdr:cNvSpPr txBox="1">
          <a:spLocks noChangeArrowheads="1"/>
        </xdr:cNvSpPr>
      </xdr:nvSpPr>
      <xdr:spPr bwMode="auto">
        <a:xfrm>
          <a:off x="2212340" y="7058898"/>
          <a:ext cx="3550603" cy="20446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624840</xdr:colOff>
      <xdr:row>73</xdr:row>
      <xdr:rowOff>0</xdr:rowOff>
    </xdr:from>
    <xdr:ext cx="3550603" cy="204469"/>
    <xdr:sp macro="" textlink="">
      <xdr:nvSpPr>
        <xdr:cNvPr id="57" name="Text Box 3">
          <a:extLst>
            <a:ext uri="{FF2B5EF4-FFF2-40B4-BE49-F238E27FC236}">
              <a16:creationId xmlns:a16="http://schemas.microsoft.com/office/drawing/2014/main" id="{00000000-0008-0000-0200-000039000000}"/>
            </a:ext>
          </a:extLst>
        </xdr:cNvPr>
        <xdr:cNvSpPr txBox="1">
          <a:spLocks noChangeArrowheads="1"/>
        </xdr:cNvSpPr>
      </xdr:nvSpPr>
      <xdr:spPr bwMode="auto">
        <a:xfrm>
          <a:off x="2212340" y="7058898"/>
          <a:ext cx="3550603" cy="20446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624840</xdr:colOff>
      <xdr:row>73</xdr:row>
      <xdr:rowOff>0</xdr:rowOff>
    </xdr:from>
    <xdr:ext cx="3414078" cy="204469"/>
    <xdr:sp macro="" textlink="">
      <xdr:nvSpPr>
        <xdr:cNvPr id="58" name="Text Box 3">
          <a:extLst>
            <a:ext uri="{FF2B5EF4-FFF2-40B4-BE49-F238E27FC236}">
              <a16:creationId xmlns:a16="http://schemas.microsoft.com/office/drawing/2014/main" id="{00000000-0008-0000-0200-00003A000000}"/>
            </a:ext>
          </a:extLst>
        </xdr:cNvPr>
        <xdr:cNvSpPr txBox="1">
          <a:spLocks noChangeArrowheads="1"/>
        </xdr:cNvSpPr>
      </xdr:nvSpPr>
      <xdr:spPr bwMode="auto">
        <a:xfrm>
          <a:off x="2212340" y="7058898"/>
          <a:ext cx="3414078" cy="20446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twoCellAnchor editAs="oneCell">
    <xdr:from>
      <xdr:col>3</xdr:col>
      <xdr:colOff>624840</xdr:colOff>
      <xdr:row>36</xdr:row>
      <xdr:rowOff>0</xdr:rowOff>
    </xdr:from>
    <xdr:to>
      <xdr:col>7</xdr:col>
      <xdr:colOff>514523</xdr:colOff>
      <xdr:row>37</xdr:row>
      <xdr:rowOff>45721</xdr:rowOff>
    </xdr:to>
    <xdr:sp macro="" textlink="">
      <xdr:nvSpPr>
        <xdr:cNvPr id="59" name="Text Box 3">
          <a:extLst>
            <a:ext uri="{FF2B5EF4-FFF2-40B4-BE49-F238E27FC236}">
              <a16:creationId xmlns:a16="http://schemas.microsoft.com/office/drawing/2014/main" id="{00000000-0008-0000-0200-00003B000000}"/>
            </a:ext>
          </a:extLst>
        </xdr:cNvPr>
        <xdr:cNvSpPr txBox="1">
          <a:spLocks noChangeArrowheads="1"/>
        </xdr:cNvSpPr>
      </xdr:nvSpPr>
      <xdr:spPr bwMode="auto">
        <a:xfrm>
          <a:off x="2205990" y="14390370"/>
          <a:ext cx="3358515" cy="20764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624840</xdr:colOff>
      <xdr:row>67</xdr:row>
      <xdr:rowOff>76200</xdr:rowOff>
    </xdr:from>
    <xdr:to>
      <xdr:col>7</xdr:col>
      <xdr:colOff>514523</xdr:colOff>
      <xdr:row>68</xdr:row>
      <xdr:rowOff>144780</xdr:rowOff>
    </xdr:to>
    <xdr:sp macro="" textlink="">
      <xdr:nvSpPr>
        <xdr:cNvPr id="60" name="Text Box 3">
          <a:extLst>
            <a:ext uri="{FF2B5EF4-FFF2-40B4-BE49-F238E27FC236}">
              <a16:creationId xmlns:a16="http://schemas.microsoft.com/office/drawing/2014/main" id="{00000000-0008-0000-0200-00003C000000}"/>
            </a:ext>
          </a:extLst>
        </xdr:cNvPr>
        <xdr:cNvSpPr txBox="1">
          <a:spLocks noChangeArrowheads="1"/>
        </xdr:cNvSpPr>
      </xdr:nvSpPr>
      <xdr:spPr bwMode="auto">
        <a:xfrm>
          <a:off x="2205990" y="20278725"/>
          <a:ext cx="3358515" cy="2305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624840</xdr:colOff>
      <xdr:row>36</xdr:row>
      <xdr:rowOff>0</xdr:rowOff>
    </xdr:from>
    <xdr:to>
      <xdr:col>7</xdr:col>
      <xdr:colOff>514523</xdr:colOff>
      <xdr:row>37</xdr:row>
      <xdr:rowOff>45721</xdr:rowOff>
    </xdr:to>
    <xdr:sp macro="" textlink="">
      <xdr:nvSpPr>
        <xdr:cNvPr id="61" name="Text Box 3">
          <a:extLst>
            <a:ext uri="{FF2B5EF4-FFF2-40B4-BE49-F238E27FC236}">
              <a16:creationId xmlns:a16="http://schemas.microsoft.com/office/drawing/2014/main" id="{00000000-0008-0000-0200-00003D000000}"/>
            </a:ext>
          </a:extLst>
        </xdr:cNvPr>
        <xdr:cNvSpPr txBox="1">
          <a:spLocks noChangeArrowheads="1"/>
        </xdr:cNvSpPr>
      </xdr:nvSpPr>
      <xdr:spPr bwMode="auto">
        <a:xfrm>
          <a:off x="2205990" y="14390370"/>
          <a:ext cx="3358515" cy="20764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624840</xdr:colOff>
      <xdr:row>67</xdr:row>
      <xdr:rowOff>76200</xdr:rowOff>
    </xdr:from>
    <xdr:to>
      <xdr:col>7</xdr:col>
      <xdr:colOff>514523</xdr:colOff>
      <xdr:row>68</xdr:row>
      <xdr:rowOff>144780</xdr:rowOff>
    </xdr:to>
    <xdr:sp macro="" textlink="">
      <xdr:nvSpPr>
        <xdr:cNvPr id="62" name="Text Box 3">
          <a:extLst>
            <a:ext uri="{FF2B5EF4-FFF2-40B4-BE49-F238E27FC236}">
              <a16:creationId xmlns:a16="http://schemas.microsoft.com/office/drawing/2014/main" id="{00000000-0008-0000-0200-00003E000000}"/>
            </a:ext>
          </a:extLst>
        </xdr:cNvPr>
        <xdr:cNvSpPr txBox="1">
          <a:spLocks noChangeArrowheads="1"/>
        </xdr:cNvSpPr>
      </xdr:nvSpPr>
      <xdr:spPr bwMode="auto">
        <a:xfrm>
          <a:off x="2205990" y="20278725"/>
          <a:ext cx="3358515" cy="2305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624840</xdr:colOff>
      <xdr:row>36</xdr:row>
      <xdr:rowOff>0</xdr:rowOff>
    </xdr:from>
    <xdr:to>
      <xdr:col>7</xdr:col>
      <xdr:colOff>381173</xdr:colOff>
      <xdr:row>37</xdr:row>
      <xdr:rowOff>45721</xdr:rowOff>
    </xdr:to>
    <xdr:sp macro="" textlink="">
      <xdr:nvSpPr>
        <xdr:cNvPr id="63" name="Text Box 3">
          <a:extLst>
            <a:ext uri="{FF2B5EF4-FFF2-40B4-BE49-F238E27FC236}">
              <a16:creationId xmlns:a16="http://schemas.microsoft.com/office/drawing/2014/main" id="{00000000-0008-0000-0200-00003F000000}"/>
            </a:ext>
          </a:extLst>
        </xdr:cNvPr>
        <xdr:cNvSpPr txBox="1">
          <a:spLocks noChangeArrowheads="1"/>
        </xdr:cNvSpPr>
      </xdr:nvSpPr>
      <xdr:spPr bwMode="auto">
        <a:xfrm>
          <a:off x="2205990" y="14390370"/>
          <a:ext cx="3225165" cy="20764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624840</xdr:colOff>
      <xdr:row>67</xdr:row>
      <xdr:rowOff>76200</xdr:rowOff>
    </xdr:from>
    <xdr:to>
      <xdr:col>7</xdr:col>
      <xdr:colOff>381173</xdr:colOff>
      <xdr:row>68</xdr:row>
      <xdr:rowOff>144780</xdr:rowOff>
    </xdr:to>
    <xdr:sp macro="" textlink="">
      <xdr:nvSpPr>
        <xdr:cNvPr id="64" name="Text Box 3">
          <a:extLst>
            <a:ext uri="{FF2B5EF4-FFF2-40B4-BE49-F238E27FC236}">
              <a16:creationId xmlns:a16="http://schemas.microsoft.com/office/drawing/2014/main" id="{00000000-0008-0000-0200-000040000000}"/>
            </a:ext>
          </a:extLst>
        </xdr:cNvPr>
        <xdr:cNvSpPr txBox="1">
          <a:spLocks noChangeArrowheads="1"/>
        </xdr:cNvSpPr>
      </xdr:nvSpPr>
      <xdr:spPr bwMode="auto">
        <a:xfrm>
          <a:off x="2205990" y="20278725"/>
          <a:ext cx="3225165" cy="2305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624840</xdr:colOff>
      <xdr:row>36</xdr:row>
      <xdr:rowOff>0</xdr:rowOff>
    </xdr:from>
    <xdr:to>
      <xdr:col>7</xdr:col>
      <xdr:colOff>381173</xdr:colOff>
      <xdr:row>37</xdr:row>
      <xdr:rowOff>45721</xdr:rowOff>
    </xdr:to>
    <xdr:sp macro="" textlink="">
      <xdr:nvSpPr>
        <xdr:cNvPr id="65" name="Text Box 3">
          <a:extLst>
            <a:ext uri="{FF2B5EF4-FFF2-40B4-BE49-F238E27FC236}">
              <a16:creationId xmlns:a16="http://schemas.microsoft.com/office/drawing/2014/main" id="{00000000-0008-0000-0200-000041000000}"/>
            </a:ext>
          </a:extLst>
        </xdr:cNvPr>
        <xdr:cNvSpPr txBox="1">
          <a:spLocks noChangeArrowheads="1"/>
        </xdr:cNvSpPr>
      </xdr:nvSpPr>
      <xdr:spPr bwMode="auto">
        <a:xfrm>
          <a:off x="2205990" y="14390370"/>
          <a:ext cx="3225165" cy="20764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624840</xdr:colOff>
      <xdr:row>67</xdr:row>
      <xdr:rowOff>76200</xdr:rowOff>
    </xdr:from>
    <xdr:to>
      <xdr:col>7</xdr:col>
      <xdr:colOff>381173</xdr:colOff>
      <xdr:row>68</xdr:row>
      <xdr:rowOff>144780</xdr:rowOff>
    </xdr:to>
    <xdr:sp macro="" textlink="">
      <xdr:nvSpPr>
        <xdr:cNvPr id="66" name="Text Box 3">
          <a:extLst>
            <a:ext uri="{FF2B5EF4-FFF2-40B4-BE49-F238E27FC236}">
              <a16:creationId xmlns:a16="http://schemas.microsoft.com/office/drawing/2014/main" id="{00000000-0008-0000-0200-000042000000}"/>
            </a:ext>
          </a:extLst>
        </xdr:cNvPr>
        <xdr:cNvSpPr txBox="1">
          <a:spLocks noChangeArrowheads="1"/>
        </xdr:cNvSpPr>
      </xdr:nvSpPr>
      <xdr:spPr bwMode="auto">
        <a:xfrm>
          <a:off x="2205990" y="20278725"/>
          <a:ext cx="3225165" cy="2305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624840</xdr:colOff>
      <xdr:row>36</xdr:row>
      <xdr:rowOff>0</xdr:rowOff>
    </xdr:from>
    <xdr:to>
      <xdr:col>7</xdr:col>
      <xdr:colOff>514523</xdr:colOff>
      <xdr:row>37</xdr:row>
      <xdr:rowOff>45721</xdr:rowOff>
    </xdr:to>
    <xdr:sp macro="" textlink="">
      <xdr:nvSpPr>
        <xdr:cNvPr id="67" name="Text Box 3">
          <a:extLst>
            <a:ext uri="{FF2B5EF4-FFF2-40B4-BE49-F238E27FC236}">
              <a16:creationId xmlns:a16="http://schemas.microsoft.com/office/drawing/2014/main" id="{00000000-0008-0000-0200-000043000000}"/>
            </a:ext>
          </a:extLst>
        </xdr:cNvPr>
        <xdr:cNvSpPr txBox="1">
          <a:spLocks noChangeArrowheads="1"/>
        </xdr:cNvSpPr>
      </xdr:nvSpPr>
      <xdr:spPr bwMode="auto">
        <a:xfrm>
          <a:off x="2205990" y="14390370"/>
          <a:ext cx="3358515" cy="20764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624840</xdr:colOff>
      <xdr:row>67</xdr:row>
      <xdr:rowOff>76200</xdr:rowOff>
    </xdr:from>
    <xdr:to>
      <xdr:col>7</xdr:col>
      <xdr:colOff>514523</xdr:colOff>
      <xdr:row>68</xdr:row>
      <xdr:rowOff>144780</xdr:rowOff>
    </xdr:to>
    <xdr:sp macro="" textlink="">
      <xdr:nvSpPr>
        <xdr:cNvPr id="68" name="Text Box 3">
          <a:extLst>
            <a:ext uri="{FF2B5EF4-FFF2-40B4-BE49-F238E27FC236}">
              <a16:creationId xmlns:a16="http://schemas.microsoft.com/office/drawing/2014/main" id="{00000000-0008-0000-0200-000044000000}"/>
            </a:ext>
          </a:extLst>
        </xdr:cNvPr>
        <xdr:cNvSpPr txBox="1">
          <a:spLocks noChangeArrowheads="1"/>
        </xdr:cNvSpPr>
      </xdr:nvSpPr>
      <xdr:spPr bwMode="auto">
        <a:xfrm>
          <a:off x="2205990" y="20278725"/>
          <a:ext cx="3358515" cy="2305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624840</xdr:colOff>
      <xdr:row>36</xdr:row>
      <xdr:rowOff>0</xdr:rowOff>
    </xdr:from>
    <xdr:to>
      <xdr:col>7</xdr:col>
      <xdr:colOff>514523</xdr:colOff>
      <xdr:row>37</xdr:row>
      <xdr:rowOff>45721</xdr:rowOff>
    </xdr:to>
    <xdr:sp macro="" textlink="">
      <xdr:nvSpPr>
        <xdr:cNvPr id="69" name="Text Box 3">
          <a:extLst>
            <a:ext uri="{FF2B5EF4-FFF2-40B4-BE49-F238E27FC236}">
              <a16:creationId xmlns:a16="http://schemas.microsoft.com/office/drawing/2014/main" id="{00000000-0008-0000-0200-000045000000}"/>
            </a:ext>
          </a:extLst>
        </xdr:cNvPr>
        <xdr:cNvSpPr txBox="1">
          <a:spLocks noChangeArrowheads="1"/>
        </xdr:cNvSpPr>
      </xdr:nvSpPr>
      <xdr:spPr bwMode="auto">
        <a:xfrm>
          <a:off x="2205990" y="14390370"/>
          <a:ext cx="3358515" cy="20764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624840</xdr:colOff>
      <xdr:row>67</xdr:row>
      <xdr:rowOff>76200</xdr:rowOff>
    </xdr:from>
    <xdr:to>
      <xdr:col>7</xdr:col>
      <xdr:colOff>514523</xdr:colOff>
      <xdr:row>68</xdr:row>
      <xdr:rowOff>144780</xdr:rowOff>
    </xdr:to>
    <xdr:sp macro="" textlink="">
      <xdr:nvSpPr>
        <xdr:cNvPr id="70" name="Text Box 3">
          <a:extLst>
            <a:ext uri="{FF2B5EF4-FFF2-40B4-BE49-F238E27FC236}">
              <a16:creationId xmlns:a16="http://schemas.microsoft.com/office/drawing/2014/main" id="{00000000-0008-0000-0200-000046000000}"/>
            </a:ext>
          </a:extLst>
        </xdr:cNvPr>
        <xdr:cNvSpPr txBox="1">
          <a:spLocks noChangeArrowheads="1"/>
        </xdr:cNvSpPr>
      </xdr:nvSpPr>
      <xdr:spPr bwMode="auto">
        <a:xfrm>
          <a:off x="2205990" y="20278725"/>
          <a:ext cx="3358515" cy="2305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624840</xdr:colOff>
      <xdr:row>36</xdr:row>
      <xdr:rowOff>0</xdr:rowOff>
    </xdr:from>
    <xdr:to>
      <xdr:col>7</xdr:col>
      <xdr:colOff>381173</xdr:colOff>
      <xdr:row>37</xdr:row>
      <xdr:rowOff>45721</xdr:rowOff>
    </xdr:to>
    <xdr:sp macro="" textlink="">
      <xdr:nvSpPr>
        <xdr:cNvPr id="71" name="Text Box 3">
          <a:extLst>
            <a:ext uri="{FF2B5EF4-FFF2-40B4-BE49-F238E27FC236}">
              <a16:creationId xmlns:a16="http://schemas.microsoft.com/office/drawing/2014/main" id="{00000000-0008-0000-0200-000047000000}"/>
            </a:ext>
          </a:extLst>
        </xdr:cNvPr>
        <xdr:cNvSpPr txBox="1">
          <a:spLocks noChangeArrowheads="1"/>
        </xdr:cNvSpPr>
      </xdr:nvSpPr>
      <xdr:spPr bwMode="auto">
        <a:xfrm>
          <a:off x="2205990" y="14390370"/>
          <a:ext cx="3225165" cy="20764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624840</xdr:colOff>
      <xdr:row>67</xdr:row>
      <xdr:rowOff>76200</xdr:rowOff>
    </xdr:from>
    <xdr:to>
      <xdr:col>7</xdr:col>
      <xdr:colOff>381173</xdr:colOff>
      <xdr:row>68</xdr:row>
      <xdr:rowOff>144780</xdr:rowOff>
    </xdr:to>
    <xdr:sp macro="" textlink="">
      <xdr:nvSpPr>
        <xdr:cNvPr id="72" name="Text Box 3">
          <a:extLst>
            <a:ext uri="{FF2B5EF4-FFF2-40B4-BE49-F238E27FC236}">
              <a16:creationId xmlns:a16="http://schemas.microsoft.com/office/drawing/2014/main" id="{00000000-0008-0000-0200-000048000000}"/>
            </a:ext>
          </a:extLst>
        </xdr:cNvPr>
        <xdr:cNvSpPr txBox="1">
          <a:spLocks noChangeArrowheads="1"/>
        </xdr:cNvSpPr>
      </xdr:nvSpPr>
      <xdr:spPr bwMode="auto">
        <a:xfrm>
          <a:off x="2205990" y="20278725"/>
          <a:ext cx="3225165" cy="2305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624840</xdr:colOff>
      <xdr:row>36</xdr:row>
      <xdr:rowOff>0</xdr:rowOff>
    </xdr:from>
    <xdr:to>
      <xdr:col>7</xdr:col>
      <xdr:colOff>381173</xdr:colOff>
      <xdr:row>37</xdr:row>
      <xdr:rowOff>45721</xdr:rowOff>
    </xdr:to>
    <xdr:sp macro="" textlink="">
      <xdr:nvSpPr>
        <xdr:cNvPr id="73" name="Text Box 3">
          <a:extLst>
            <a:ext uri="{FF2B5EF4-FFF2-40B4-BE49-F238E27FC236}">
              <a16:creationId xmlns:a16="http://schemas.microsoft.com/office/drawing/2014/main" id="{00000000-0008-0000-0200-000049000000}"/>
            </a:ext>
          </a:extLst>
        </xdr:cNvPr>
        <xdr:cNvSpPr txBox="1">
          <a:spLocks noChangeArrowheads="1"/>
        </xdr:cNvSpPr>
      </xdr:nvSpPr>
      <xdr:spPr bwMode="auto">
        <a:xfrm>
          <a:off x="2205990" y="14390370"/>
          <a:ext cx="3225165" cy="20764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>
    <xdr:from>
      <xdr:col>1</xdr:col>
      <xdr:colOff>490162</xdr:colOff>
      <xdr:row>34</xdr:row>
      <xdr:rowOff>59815</xdr:rowOff>
    </xdr:from>
    <xdr:to>
      <xdr:col>8</xdr:col>
      <xdr:colOff>637995</xdr:colOff>
      <xdr:row>50</xdr:row>
      <xdr:rowOff>71887</xdr:rowOff>
    </xdr:to>
    <xdr:graphicFrame macro="">
      <xdr:nvGraphicFramePr>
        <xdr:cNvPr id="74" name="Chart 4">
          <a:extLst>
            <a:ext uri="{FF2B5EF4-FFF2-40B4-BE49-F238E27FC236}">
              <a16:creationId xmlns:a16="http://schemas.microsoft.com/office/drawing/2014/main" id="{00000000-0008-0000-0200-00004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3</xdr:col>
      <xdr:colOff>624840</xdr:colOff>
      <xdr:row>67</xdr:row>
      <xdr:rowOff>76200</xdr:rowOff>
    </xdr:from>
    <xdr:to>
      <xdr:col>7</xdr:col>
      <xdr:colOff>381173</xdr:colOff>
      <xdr:row>68</xdr:row>
      <xdr:rowOff>144780</xdr:rowOff>
    </xdr:to>
    <xdr:sp macro="" textlink="">
      <xdr:nvSpPr>
        <xdr:cNvPr id="75" name="Text Box 3">
          <a:extLst>
            <a:ext uri="{FF2B5EF4-FFF2-40B4-BE49-F238E27FC236}">
              <a16:creationId xmlns:a16="http://schemas.microsoft.com/office/drawing/2014/main" id="{00000000-0008-0000-0200-00004B000000}"/>
            </a:ext>
          </a:extLst>
        </xdr:cNvPr>
        <xdr:cNvSpPr txBox="1">
          <a:spLocks noChangeArrowheads="1"/>
        </xdr:cNvSpPr>
      </xdr:nvSpPr>
      <xdr:spPr bwMode="auto">
        <a:xfrm>
          <a:off x="2205990" y="20278725"/>
          <a:ext cx="3225165" cy="2305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>
    <xdr:from>
      <xdr:col>1</xdr:col>
      <xdr:colOff>521179</xdr:colOff>
      <xdr:row>51</xdr:row>
      <xdr:rowOff>113068</xdr:rowOff>
    </xdr:from>
    <xdr:to>
      <xdr:col>8</xdr:col>
      <xdr:colOff>655967</xdr:colOff>
      <xdr:row>67</xdr:row>
      <xdr:rowOff>153837</xdr:rowOff>
    </xdr:to>
    <xdr:graphicFrame macro="">
      <xdr:nvGraphicFramePr>
        <xdr:cNvPr id="76" name="Chart 75">
          <a:extLst>
            <a:ext uri="{FF2B5EF4-FFF2-40B4-BE49-F238E27FC236}">
              <a16:creationId xmlns:a16="http://schemas.microsoft.com/office/drawing/2014/main" id="{00000000-0008-0000-0200-00004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3</xdr:col>
      <xdr:colOff>624840</xdr:colOff>
      <xdr:row>67</xdr:row>
      <xdr:rowOff>76200</xdr:rowOff>
    </xdr:from>
    <xdr:to>
      <xdr:col>7</xdr:col>
      <xdr:colOff>706137</xdr:colOff>
      <xdr:row>68</xdr:row>
      <xdr:rowOff>144780</xdr:rowOff>
    </xdr:to>
    <xdr:sp macro="" textlink="">
      <xdr:nvSpPr>
        <xdr:cNvPr id="77" name="Text Box 3">
          <a:extLst>
            <a:ext uri="{FF2B5EF4-FFF2-40B4-BE49-F238E27FC236}">
              <a16:creationId xmlns:a16="http://schemas.microsoft.com/office/drawing/2014/main" id="{00000000-0008-0000-0200-00004D000000}"/>
            </a:ext>
          </a:extLst>
        </xdr:cNvPr>
        <xdr:cNvSpPr txBox="1">
          <a:spLocks noChangeArrowheads="1"/>
        </xdr:cNvSpPr>
      </xdr:nvSpPr>
      <xdr:spPr bwMode="auto">
        <a:xfrm>
          <a:off x="2205990" y="20278725"/>
          <a:ext cx="3549015" cy="2305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624840</xdr:colOff>
      <xdr:row>36</xdr:row>
      <xdr:rowOff>0</xdr:rowOff>
    </xdr:from>
    <xdr:to>
      <xdr:col>7</xdr:col>
      <xdr:colOff>706137</xdr:colOff>
      <xdr:row>37</xdr:row>
      <xdr:rowOff>45720</xdr:rowOff>
    </xdr:to>
    <xdr:sp macro="" textlink="">
      <xdr:nvSpPr>
        <xdr:cNvPr id="78" name="Text Box 3">
          <a:extLst>
            <a:ext uri="{FF2B5EF4-FFF2-40B4-BE49-F238E27FC236}">
              <a16:creationId xmlns:a16="http://schemas.microsoft.com/office/drawing/2014/main" id="{00000000-0008-0000-0200-00004E000000}"/>
            </a:ext>
          </a:extLst>
        </xdr:cNvPr>
        <xdr:cNvSpPr txBox="1">
          <a:spLocks noChangeArrowheads="1"/>
        </xdr:cNvSpPr>
      </xdr:nvSpPr>
      <xdr:spPr bwMode="auto">
        <a:xfrm>
          <a:off x="2205990" y="14390370"/>
          <a:ext cx="3549015" cy="2076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624840</xdr:colOff>
      <xdr:row>67</xdr:row>
      <xdr:rowOff>76200</xdr:rowOff>
    </xdr:from>
    <xdr:to>
      <xdr:col>7</xdr:col>
      <xdr:colOff>706137</xdr:colOff>
      <xdr:row>68</xdr:row>
      <xdr:rowOff>144780</xdr:rowOff>
    </xdr:to>
    <xdr:sp macro="" textlink="">
      <xdr:nvSpPr>
        <xdr:cNvPr id="79" name="Text Box 3">
          <a:extLst>
            <a:ext uri="{FF2B5EF4-FFF2-40B4-BE49-F238E27FC236}">
              <a16:creationId xmlns:a16="http://schemas.microsoft.com/office/drawing/2014/main" id="{00000000-0008-0000-0200-00004F000000}"/>
            </a:ext>
          </a:extLst>
        </xdr:cNvPr>
        <xdr:cNvSpPr txBox="1">
          <a:spLocks noChangeArrowheads="1"/>
        </xdr:cNvSpPr>
      </xdr:nvSpPr>
      <xdr:spPr bwMode="auto">
        <a:xfrm>
          <a:off x="2205990" y="20278725"/>
          <a:ext cx="3549015" cy="2305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624840</xdr:colOff>
      <xdr:row>36</xdr:row>
      <xdr:rowOff>0</xdr:rowOff>
    </xdr:from>
    <xdr:to>
      <xdr:col>7</xdr:col>
      <xdr:colOff>571673</xdr:colOff>
      <xdr:row>37</xdr:row>
      <xdr:rowOff>45720</xdr:rowOff>
    </xdr:to>
    <xdr:sp macro="" textlink="">
      <xdr:nvSpPr>
        <xdr:cNvPr id="80" name="Text Box 3">
          <a:extLst>
            <a:ext uri="{FF2B5EF4-FFF2-40B4-BE49-F238E27FC236}">
              <a16:creationId xmlns:a16="http://schemas.microsoft.com/office/drawing/2014/main" id="{00000000-0008-0000-0200-000050000000}"/>
            </a:ext>
          </a:extLst>
        </xdr:cNvPr>
        <xdr:cNvSpPr txBox="1">
          <a:spLocks noChangeArrowheads="1"/>
        </xdr:cNvSpPr>
      </xdr:nvSpPr>
      <xdr:spPr bwMode="auto">
        <a:xfrm>
          <a:off x="2205990" y="14390370"/>
          <a:ext cx="3415665" cy="2076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624840</xdr:colOff>
      <xdr:row>67</xdr:row>
      <xdr:rowOff>76200</xdr:rowOff>
    </xdr:from>
    <xdr:to>
      <xdr:col>7</xdr:col>
      <xdr:colOff>571673</xdr:colOff>
      <xdr:row>68</xdr:row>
      <xdr:rowOff>144780</xdr:rowOff>
    </xdr:to>
    <xdr:sp macro="" textlink="">
      <xdr:nvSpPr>
        <xdr:cNvPr id="81" name="Text Box 3">
          <a:extLst>
            <a:ext uri="{FF2B5EF4-FFF2-40B4-BE49-F238E27FC236}">
              <a16:creationId xmlns:a16="http://schemas.microsoft.com/office/drawing/2014/main" id="{00000000-0008-0000-0200-000051000000}"/>
            </a:ext>
          </a:extLst>
        </xdr:cNvPr>
        <xdr:cNvSpPr txBox="1">
          <a:spLocks noChangeArrowheads="1"/>
        </xdr:cNvSpPr>
      </xdr:nvSpPr>
      <xdr:spPr bwMode="auto">
        <a:xfrm>
          <a:off x="2205990" y="20278725"/>
          <a:ext cx="3415665" cy="2305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624840</xdr:colOff>
      <xdr:row>36</xdr:row>
      <xdr:rowOff>0</xdr:rowOff>
    </xdr:from>
    <xdr:to>
      <xdr:col>7</xdr:col>
      <xdr:colOff>571673</xdr:colOff>
      <xdr:row>37</xdr:row>
      <xdr:rowOff>45720</xdr:rowOff>
    </xdr:to>
    <xdr:sp macro="" textlink="">
      <xdr:nvSpPr>
        <xdr:cNvPr id="82" name="Text Box 3">
          <a:extLst>
            <a:ext uri="{FF2B5EF4-FFF2-40B4-BE49-F238E27FC236}">
              <a16:creationId xmlns:a16="http://schemas.microsoft.com/office/drawing/2014/main" id="{00000000-0008-0000-0200-000052000000}"/>
            </a:ext>
          </a:extLst>
        </xdr:cNvPr>
        <xdr:cNvSpPr txBox="1">
          <a:spLocks noChangeArrowheads="1"/>
        </xdr:cNvSpPr>
      </xdr:nvSpPr>
      <xdr:spPr bwMode="auto">
        <a:xfrm>
          <a:off x="2205990" y="14390370"/>
          <a:ext cx="3415665" cy="2076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624840</xdr:colOff>
      <xdr:row>67</xdr:row>
      <xdr:rowOff>76200</xdr:rowOff>
    </xdr:from>
    <xdr:to>
      <xdr:col>7</xdr:col>
      <xdr:colOff>571673</xdr:colOff>
      <xdr:row>68</xdr:row>
      <xdr:rowOff>144780</xdr:rowOff>
    </xdr:to>
    <xdr:sp macro="" textlink="">
      <xdr:nvSpPr>
        <xdr:cNvPr id="83" name="Text Box 3">
          <a:extLst>
            <a:ext uri="{FF2B5EF4-FFF2-40B4-BE49-F238E27FC236}">
              <a16:creationId xmlns:a16="http://schemas.microsoft.com/office/drawing/2014/main" id="{00000000-0008-0000-0200-000053000000}"/>
            </a:ext>
          </a:extLst>
        </xdr:cNvPr>
        <xdr:cNvSpPr txBox="1">
          <a:spLocks noChangeArrowheads="1"/>
        </xdr:cNvSpPr>
      </xdr:nvSpPr>
      <xdr:spPr bwMode="auto">
        <a:xfrm>
          <a:off x="2205990" y="20278725"/>
          <a:ext cx="3415665" cy="2305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624840</xdr:colOff>
      <xdr:row>36</xdr:row>
      <xdr:rowOff>0</xdr:rowOff>
    </xdr:from>
    <xdr:to>
      <xdr:col>7</xdr:col>
      <xdr:colOff>706137</xdr:colOff>
      <xdr:row>37</xdr:row>
      <xdr:rowOff>45720</xdr:rowOff>
    </xdr:to>
    <xdr:sp macro="" textlink="">
      <xdr:nvSpPr>
        <xdr:cNvPr id="84" name="Text Box 3">
          <a:extLst>
            <a:ext uri="{FF2B5EF4-FFF2-40B4-BE49-F238E27FC236}">
              <a16:creationId xmlns:a16="http://schemas.microsoft.com/office/drawing/2014/main" id="{00000000-0008-0000-0200-000054000000}"/>
            </a:ext>
          </a:extLst>
        </xdr:cNvPr>
        <xdr:cNvSpPr txBox="1">
          <a:spLocks noChangeArrowheads="1"/>
        </xdr:cNvSpPr>
      </xdr:nvSpPr>
      <xdr:spPr bwMode="auto">
        <a:xfrm>
          <a:off x="2205990" y="14390370"/>
          <a:ext cx="3549015" cy="2076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624840</xdr:colOff>
      <xdr:row>67</xdr:row>
      <xdr:rowOff>76200</xdr:rowOff>
    </xdr:from>
    <xdr:to>
      <xdr:col>7</xdr:col>
      <xdr:colOff>706137</xdr:colOff>
      <xdr:row>68</xdr:row>
      <xdr:rowOff>144780</xdr:rowOff>
    </xdr:to>
    <xdr:sp macro="" textlink="">
      <xdr:nvSpPr>
        <xdr:cNvPr id="85" name="Text Box 3">
          <a:extLst>
            <a:ext uri="{FF2B5EF4-FFF2-40B4-BE49-F238E27FC236}">
              <a16:creationId xmlns:a16="http://schemas.microsoft.com/office/drawing/2014/main" id="{00000000-0008-0000-0200-000055000000}"/>
            </a:ext>
          </a:extLst>
        </xdr:cNvPr>
        <xdr:cNvSpPr txBox="1">
          <a:spLocks noChangeArrowheads="1"/>
        </xdr:cNvSpPr>
      </xdr:nvSpPr>
      <xdr:spPr bwMode="auto">
        <a:xfrm>
          <a:off x="2205990" y="20278725"/>
          <a:ext cx="3549015" cy="2305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624840</xdr:colOff>
      <xdr:row>36</xdr:row>
      <xdr:rowOff>0</xdr:rowOff>
    </xdr:from>
    <xdr:to>
      <xdr:col>7</xdr:col>
      <xdr:colOff>706137</xdr:colOff>
      <xdr:row>37</xdr:row>
      <xdr:rowOff>45720</xdr:rowOff>
    </xdr:to>
    <xdr:sp macro="" textlink="">
      <xdr:nvSpPr>
        <xdr:cNvPr id="86" name="Text Box 3">
          <a:extLst>
            <a:ext uri="{FF2B5EF4-FFF2-40B4-BE49-F238E27FC236}">
              <a16:creationId xmlns:a16="http://schemas.microsoft.com/office/drawing/2014/main" id="{00000000-0008-0000-0200-000056000000}"/>
            </a:ext>
          </a:extLst>
        </xdr:cNvPr>
        <xdr:cNvSpPr txBox="1">
          <a:spLocks noChangeArrowheads="1"/>
        </xdr:cNvSpPr>
      </xdr:nvSpPr>
      <xdr:spPr bwMode="auto">
        <a:xfrm>
          <a:off x="2205990" y="14390370"/>
          <a:ext cx="3549015" cy="2076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624840</xdr:colOff>
      <xdr:row>67</xdr:row>
      <xdr:rowOff>76200</xdr:rowOff>
    </xdr:from>
    <xdr:to>
      <xdr:col>7</xdr:col>
      <xdr:colOff>706137</xdr:colOff>
      <xdr:row>68</xdr:row>
      <xdr:rowOff>144780</xdr:rowOff>
    </xdr:to>
    <xdr:sp macro="" textlink="">
      <xdr:nvSpPr>
        <xdr:cNvPr id="87" name="Text Box 3">
          <a:extLst>
            <a:ext uri="{FF2B5EF4-FFF2-40B4-BE49-F238E27FC236}">
              <a16:creationId xmlns:a16="http://schemas.microsoft.com/office/drawing/2014/main" id="{00000000-0008-0000-0200-000057000000}"/>
            </a:ext>
          </a:extLst>
        </xdr:cNvPr>
        <xdr:cNvSpPr txBox="1">
          <a:spLocks noChangeArrowheads="1"/>
        </xdr:cNvSpPr>
      </xdr:nvSpPr>
      <xdr:spPr bwMode="auto">
        <a:xfrm>
          <a:off x="2205990" y="20278725"/>
          <a:ext cx="3549015" cy="2305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624840</xdr:colOff>
      <xdr:row>36</xdr:row>
      <xdr:rowOff>0</xdr:rowOff>
    </xdr:from>
    <xdr:to>
      <xdr:col>7</xdr:col>
      <xdr:colOff>571673</xdr:colOff>
      <xdr:row>37</xdr:row>
      <xdr:rowOff>45720</xdr:rowOff>
    </xdr:to>
    <xdr:sp macro="" textlink="">
      <xdr:nvSpPr>
        <xdr:cNvPr id="88" name="Text Box 3">
          <a:extLst>
            <a:ext uri="{FF2B5EF4-FFF2-40B4-BE49-F238E27FC236}">
              <a16:creationId xmlns:a16="http://schemas.microsoft.com/office/drawing/2014/main" id="{00000000-0008-0000-0200-000058000000}"/>
            </a:ext>
          </a:extLst>
        </xdr:cNvPr>
        <xdr:cNvSpPr txBox="1">
          <a:spLocks noChangeArrowheads="1"/>
        </xdr:cNvSpPr>
      </xdr:nvSpPr>
      <xdr:spPr bwMode="auto">
        <a:xfrm>
          <a:off x="2205990" y="14390370"/>
          <a:ext cx="3415665" cy="2076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624840</xdr:colOff>
      <xdr:row>67</xdr:row>
      <xdr:rowOff>76200</xdr:rowOff>
    </xdr:from>
    <xdr:to>
      <xdr:col>7</xdr:col>
      <xdr:colOff>571673</xdr:colOff>
      <xdr:row>68</xdr:row>
      <xdr:rowOff>144780</xdr:rowOff>
    </xdr:to>
    <xdr:sp macro="" textlink="">
      <xdr:nvSpPr>
        <xdr:cNvPr id="89" name="Text Box 3">
          <a:extLst>
            <a:ext uri="{FF2B5EF4-FFF2-40B4-BE49-F238E27FC236}">
              <a16:creationId xmlns:a16="http://schemas.microsoft.com/office/drawing/2014/main" id="{00000000-0008-0000-0200-000059000000}"/>
            </a:ext>
          </a:extLst>
        </xdr:cNvPr>
        <xdr:cNvSpPr txBox="1">
          <a:spLocks noChangeArrowheads="1"/>
        </xdr:cNvSpPr>
      </xdr:nvSpPr>
      <xdr:spPr bwMode="auto">
        <a:xfrm>
          <a:off x="2205990" y="20278725"/>
          <a:ext cx="3415665" cy="2305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624840</xdr:colOff>
      <xdr:row>67</xdr:row>
      <xdr:rowOff>76200</xdr:rowOff>
    </xdr:from>
    <xdr:to>
      <xdr:col>7</xdr:col>
      <xdr:colOff>571673</xdr:colOff>
      <xdr:row>68</xdr:row>
      <xdr:rowOff>144780</xdr:rowOff>
    </xdr:to>
    <xdr:sp macro="" textlink="">
      <xdr:nvSpPr>
        <xdr:cNvPr id="90" name="Text Box 3">
          <a:extLst>
            <a:ext uri="{FF2B5EF4-FFF2-40B4-BE49-F238E27FC236}">
              <a16:creationId xmlns:a16="http://schemas.microsoft.com/office/drawing/2014/main" id="{00000000-0008-0000-0200-00005A000000}"/>
            </a:ext>
          </a:extLst>
        </xdr:cNvPr>
        <xdr:cNvSpPr txBox="1">
          <a:spLocks noChangeArrowheads="1"/>
        </xdr:cNvSpPr>
      </xdr:nvSpPr>
      <xdr:spPr bwMode="auto">
        <a:xfrm>
          <a:off x="2205990" y="20278725"/>
          <a:ext cx="3415665" cy="2305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oneCellAnchor>
    <xdr:from>
      <xdr:col>3</xdr:col>
      <xdr:colOff>624840</xdr:colOff>
      <xdr:row>73</xdr:row>
      <xdr:rowOff>0</xdr:rowOff>
    </xdr:from>
    <xdr:ext cx="3356928" cy="204470"/>
    <xdr:sp macro="" textlink="">
      <xdr:nvSpPr>
        <xdr:cNvPr id="91" name="Text Box 3">
          <a:extLst>
            <a:ext uri="{FF2B5EF4-FFF2-40B4-BE49-F238E27FC236}">
              <a16:creationId xmlns:a16="http://schemas.microsoft.com/office/drawing/2014/main" id="{00000000-0008-0000-0200-00005B000000}"/>
            </a:ext>
          </a:extLst>
        </xdr:cNvPr>
        <xdr:cNvSpPr txBox="1">
          <a:spLocks noChangeArrowheads="1"/>
        </xdr:cNvSpPr>
      </xdr:nvSpPr>
      <xdr:spPr bwMode="auto">
        <a:xfrm>
          <a:off x="2205990" y="31725870"/>
          <a:ext cx="3356928" cy="20447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624840</xdr:colOff>
      <xdr:row>73</xdr:row>
      <xdr:rowOff>0</xdr:rowOff>
    </xdr:from>
    <xdr:ext cx="3356928" cy="204470"/>
    <xdr:sp macro="" textlink="">
      <xdr:nvSpPr>
        <xdr:cNvPr id="92" name="Text Box 3">
          <a:extLst>
            <a:ext uri="{FF2B5EF4-FFF2-40B4-BE49-F238E27FC236}">
              <a16:creationId xmlns:a16="http://schemas.microsoft.com/office/drawing/2014/main" id="{00000000-0008-0000-0200-00005C000000}"/>
            </a:ext>
          </a:extLst>
        </xdr:cNvPr>
        <xdr:cNvSpPr txBox="1">
          <a:spLocks noChangeArrowheads="1"/>
        </xdr:cNvSpPr>
      </xdr:nvSpPr>
      <xdr:spPr bwMode="auto">
        <a:xfrm>
          <a:off x="2205990" y="31725870"/>
          <a:ext cx="3356928" cy="20447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624840</xdr:colOff>
      <xdr:row>73</xdr:row>
      <xdr:rowOff>0</xdr:rowOff>
    </xdr:from>
    <xdr:ext cx="3223578" cy="204470"/>
    <xdr:sp macro="" textlink="">
      <xdr:nvSpPr>
        <xdr:cNvPr id="93" name="Text Box 3">
          <a:extLst>
            <a:ext uri="{FF2B5EF4-FFF2-40B4-BE49-F238E27FC236}">
              <a16:creationId xmlns:a16="http://schemas.microsoft.com/office/drawing/2014/main" id="{00000000-0008-0000-0200-00005D000000}"/>
            </a:ext>
          </a:extLst>
        </xdr:cNvPr>
        <xdr:cNvSpPr txBox="1">
          <a:spLocks noChangeArrowheads="1"/>
        </xdr:cNvSpPr>
      </xdr:nvSpPr>
      <xdr:spPr bwMode="auto">
        <a:xfrm>
          <a:off x="2205990" y="31725870"/>
          <a:ext cx="3223578" cy="20447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624840</xdr:colOff>
      <xdr:row>73</xdr:row>
      <xdr:rowOff>0</xdr:rowOff>
    </xdr:from>
    <xdr:ext cx="3223578" cy="204470"/>
    <xdr:sp macro="" textlink="">
      <xdr:nvSpPr>
        <xdr:cNvPr id="94" name="Text Box 3">
          <a:extLst>
            <a:ext uri="{FF2B5EF4-FFF2-40B4-BE49-F238E27FC236}">
              <a16:creationId xmlns:a16="http://schemas.microsoft.com/office/drawing/2014/main" id="{00000000-0008-0000-0200-00005E000000}"/>
            </a:ext>
          </a:extLst>
        </xdr:cNvPr>
        <xdr:cNvSpPr txBox="1">
          <a:spLocks noChangeArrowheads="1"/>
        </xdr:cNvSpPr>
      </xdr:nvSpPr>
      <xdr:spPr bwMode="auto">
        <a:xfrm>
          <a:off x="2205990" y="31725870"/>
          <a:ext cx="3223578" cy="20447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624840</xdr:colOff>
      <xdr:row>73</xdr:row>
      <xdr:rowOff>0</xdr:rowOff>
    </xdr:from>
    <xdr:ext cx="3356928" cy="204470"/>
    <xdr:sp macro="" textlink="">
      <xdr:nvSpPr>
        <xdr:cNvPr id="95" name="Text Box 3">
          <a:extLst>
            <a:ext uri="{FF2B5EF4-FFF2-40B4-BE49-F238E27FC236}">
              <a16:creationId xmlns:a16="http://schemas.microsoft.com/office/drawing/2014/main" id="{00000000-0008-0000-0200-00005F000000}"/>
            </a:ext>
          </a:extLst>
        </xdr:cNvPr>
        <xdr:cNvSpPr txBox="1">
          <a:spLocks noChangeArrowheads="1"/>
        </xdr:cNvSpPr>
      </xdr:nvSpPr>
      <xdr:spPr bwMode="auto">
        <a:xfrm>
          <a:off x="2205990" y="31725870"/>
          <a:ext cx="3356928" cy="20447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624840</xdr:colOff>
      <xdr:row>73</xdr:row>
      <xdr:rowOff>0</xdr:rowOff>
    </xdr:from>
    <xdr:ext cx="3356928" cy="204470"/>
    <xdr:sp macro="" textlink="">
      <xdr:nvSpPr>
        <xdr:cNvPr id="96" name="Text Box 3">
          <a:extLst>
            <a:ext uri="{FF2B5EF4-FFF2-40B4-BE49-F238E27FC236}">
              <a16:creationId xmlns:a16="http://schemas.microsoft.com/office/drawing/2014/main" id="{00000000-0008-0000-0200-000060000000}"/>
            </a:ext>
          </a:extLst>
        </xdr:cNvPr>
        <xdr:cNvSpPr txBox="1">
          <a:spLocks noChangeArrowheads="1"/>
        </xdr:cNvSpPr>
      </xdr:nvSpPr>
      <xdr:spPr bwMode="auto">
        <a:xfrm>
          <a:off x="2205990" y="31725870"/>
          <a:ext cx="3356928" cy="20447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624840</xdr:colOff>
      <xdr:row>73</xdr:row>
      <xdr:rowOff>0</xdr:rowOff>
    </xdr:from>
    <xdr:ext cx="3223578" cy="204470"/>
    <xdr:sp macro="" textlink="">
      <xdr:nvSpPr>
        <xdr:cNvPr id="97" name="Text Box 3">
          <a:extLst>
            <a:ext uri="{FF2B5EF4-FFF2-40B4-BE49-F238E27FC236}">
              <a16:creationId xmlns:a16="http://schemas.microsoft.com/office/drawing/2014/main" id="{00000000-0008-0000-0200-000061000000}"/>
            </a:ext>
          </a:extLst>
        </xdr:cNvPr>
        <xdr:cNvSpPr txBox="1">
          <a:spLocks noChangeArrowheads="1"/>
        </xdr:cNvSpPr>
      </xdr:nvSpPr>
      <xdr:spPr bwMode="auto">
        <a:xfrm>
          <a:off x="2205990" y="31725870"/>
          <a:ext cx="3223578" cy="20447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624840</xdr:colOff>
      <xdr:row>73</xdr:row>
      <xdr:rowOff>0</xdr:rowOff>
    </xdr:from>
    <xdr:ext cx="3223578" cy="204470"/>
    <xdr:sp macro="" textlink="">
      <xdr:nvSpPr>
        <xdr:cNvPr id="98" name="Text Box 3">
          <a:extLst>
            <a:ext uri="{FF2B5EF4-FFF2-40B4-BE49-F238E27FC236}">
              <a16:creationId xmlns:a16="http://schemas.microsoft.com/office/drawing/2014/main" id="{00000000-0008-0000-0200-000062000000}"/>
            </a:ext>
          </a:extLst>
        </xdr:cNvPr>
        <xdr:cNvSpPr txBox="1">
          <a:spLocks noChangeArrowheads="1"/>
        </xdr:cNvSpPr>
      </xdr:nvSpPr>
      <xdr:spPr bwMode="auto">
        <a:xfrm>
          <a:off x="2205990" y="31725870"/>
          <a:ext cx="3223578" cy="20447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624840</xdr:colOff>
      <xdr:row>73</xdr:row>
      <xdr:rowOff>0</xdr:rowOff>
    </xdr:from>
    <xdr:ext cx="3550603" cy="204469"/>
    <xdr:sp macro="" textlink="">
      <xdr:nvSpPr>
        <xdr:cNvPr id="99" name="Text Box 3">
          <a:extLst>
            <a:ext uri="{FF2B5EF4-FFF2-40B4-BE49-F238E27FC236}">
              <a16:creationId xmlns:a16="http://schemas.microsoft.com/office/drawing/2014/main" id="{00000000-0008-0000-0200-000063000000}"/>
            </a:ext>
          </a:extLst>
        </xdr:cNvPr>
        <xdr:cNvSpPr txBox="1">
          <a:spLocks noChangeArrowheads="1"/>
        </xdr:cNvSpPr>
      </xdr:nvSpPr>
      <xdr:spPr bwMode="auto">
        <a:xfrm>
          <a:off x="2205990" y="31725870"/>
          <a:ext cx="3550603" cy="20446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624840</xdr:colOff>
      <xdr:row>73</xdr:row>
      <xdr:rowOff>0</xdr:rowOff>
    </xdr:from>
    <xdr:ext cx="3414078" cy="204469"/>
    <xdr:sp macro="" textlink="">
      <xdr:nvSpPr>
        <xdr:cNvPr id="100" name="Text Box 3">
          <a:extLst>
            <a:ext uri="{FF2B5EF4-FFF2-40B4-BE49-F238E27FC236}">
              <a16:creationId xmlns:a16="http://schemas.microsoft.com/office/drawing/2014/main" id="{00000000-0008-0000-0200-000064000000}"/>
            </a:ext>
          </a:extLst>
        </xdr:cNvPr>
        <xdr:cNvSpPr txBox="1">
          <a:spLocks noChangeArrowheads="1"/>
        </xdr:cNvSpPr>
      </xdr:nvSpPr>
      <xdr:spPr bwMode="auto">
        <a:xfrm>
          <a:off x="2205990" y="31725870"/>
          <a:ext cx="3414078" cy="20446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624840</xdr:colOff>
      <xdr:row>73</xdr:row>
      <xdr:rowOff>0</xdr:rowOff>
    </xdr:from>
    <xdr:ext cx="3414078" cy="204469"/>
    <xdr:sp macro="" textlink="">
      <xdr:nvSpPr>
        <xdr:cNvPr id="101" name="Text Box 3">
          <a:extLst>
            <a:ext uri="{FF2B5EF4-FFF2-40B4-BE49-F238E27FC236}">
              <a16:creationId xmlns:a16="http://schemas.microsoft.com/office/drawing/2014/main" id="{00000000-0008-0000-0200-000065000000}"/>
            </a:ext>
          </a:extLst>
        </xdr:cNvPr>
        <xdr:cNvSpPr txBox="1">
          <a:spLocks noChangeArrowheads="1"/>
        </xdr:cNvSpPr>
      </xdr:nvSpPr>
      <xdr:spPr bwMode="auto">
        <a:xfrm>
          <a:off x="2205990" y="31725870"/>
          <a:ext cx="3414078" cy="20446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624840</xdr:colOff>
      <xdr:row>73</xdr:row>
      <xdr:rowOff>0</xdr:rowOff>
    </xdr:from>
    <xdr:ext cx="3550603" cy="204469"/>
    <xdr:sp macro="" textlink="">
      <xdr:nvSpPr>
        <xdr:cNvPr id="102" name="Text Box 3">
          <a:extLst>
            <a:ext uri="{FF2B5EF4-FFF2-40B4-BE49-F238E27FC236}">
              <a16:creationId xmlns:a16="http://schemas.microsoft.com/office/drawing/2014/main" id="{00000000-0008-0000-0200-000066000000}"/>
            </a:ext>
          </a:extLst>
        </xdr:cNvPr>
        <xdr:cNvSpPr txBox="1">
          <a:spLocks noChangeArrowheads="1"/>
        </xdr:cNvSpPr>
      </xdr:nvSpPr>
      <xdr:spPr bwMode="auto">
        <a:xfrm>
          <a:off x="2205990" y="31725870"/>
          <a:ext cx="3550603" cy="20446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624840</xdr:colOff>
      <xdr:row>73</xdr:row>
      <xdr:rowOff>0</xdr:rowOff>
    </xdr:from>
    <xdr:ext cx="3550603" cy="204469"/>
    <xdr:sp macro="" textlink="">
      <xdr:nvSpPr>
        <xdr:cNvPr id="103" name="Text Box 3">
          <a:extLst>
            <a:ext uri="{FF2B5EF4-FFF2-40B4-BE49-F238E27FC236}">
              <a16:creationId xmlns:a16="http://schemas.microsoft.com/office/drawing/2014/main" id="{00000000-0008-0000-0200-000067000000}"/>
            </a:ext>
          </a:extLst>
        </xdr:cNvPr>
        <xdr:cNvSpPr txBox="1">
          <a:spLocks noChangeArrowheads="1"/>
        </xdr:cNvSpPr>
      </xdr:nvSpPr>
      <xdr:spPr bwMode="auto">
        <a:xfrm>
          <a:off x="2205990" y="31725870"/>
          <a:ext cx="3550603" cy="20446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624840</xdr:colOff>
      <xdr:row>73</xdr:row>
      <xdr:rowOff>0</xdr:rowOff>
    </xdr:from>
    <xdr:ext cx="3414078" cy="204469"/>
    <xdr:sp macro="" textlink="">
      <xdr:nvSpPr>
        <xdr:cNvPr id="104" name="Text Box 3">
          <a:extLst>
            <a:ext uri="{FF2B5EF4-FFF2-40B4-BE49-F238E27FC236}">
              <a16:creationId xmlns:a16="http://schemas.microsoft.com/office/drawing/2014/main" id="{00000000-0008-0000-0200-000068000000}"/>
            </a:ext>
          </a:extLst>
        </xdr:cNvPr>
        <xdr:cNvSpPr txBox="1">
          <a:spLocks noChangeArrowheads="1"/>
        </xdr:cNvSpPr>
      </xdr:nvSpPr>
      <xdr:spPr bwMode="auto">
        <a:xfrm>
          <a:off x="2205990" y="31725870"/>
          <a:ext cx="3414078" cy="20446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E73"/>
  <sheetViews>
    <sheetView tabSelected="1" topLeftCell="A16" zoomScale="106" zoomScaleNormal="106" zoomScaleSheetLayoutView="100" workbookViewId="0">
      <selection activeCell="K33" sqref="K33"/>
    </sheetView>
  </sheetViews>
  <sheetFormatPr defaultColWidth="9.140625" defaultRowHeight="12.75"/>
  <cols>
    <col min="1" max="1" width="12" style="3" customWidth="1"/>
    <col min="2" max="2" width="10.42578125" style="3" bestFit="1" customWidth="1"/>
    <col min="3" max="3" width="1.28515625" style="3" customWidth="1"/>
    <col min="4" max="5" width="12.85546875" style="3" bestFit="1" customWidth="1"/>
    <col min="6" max="6" width="14.42578125" style="73" customWidth="1"/>
    <col min="7" max="7" width="11.85546875" style="3" customWidth="1"/>
    <col min="8" max="9" width="11.85546875" style="73" customWidth="1"/>
    <col min="10" max="10" width="11.85546875" style="74" customWidth="1"/>
    <col min="11" max="11" width="22.5703125" style="3" customWidth="1"/>
    <col min="12" max="12" width="5.85546875" style="3" customWidth="1"/>
    <col min="13" max="13" width="11.28515625" style="3" customWidth="1"/>
    <col min="14" max="14" width="14.85546875" style="3" bestFit="1" customWidth="1"/>
    <col min="15" max="17" width="3.140625" style="3" customWidth="1"/>
    <col min="18" max="18" width="16.5703125" style="3" customWidth="1"/>
    <col min="19" max="19" width="3.140625" style="3" customWidth="1"/>
    <col min="20" max="20" width="6.42578125" style="3" customWidth="1"/>
    <col min="21" max="21" width="18.42578125" style="3" customWidth="1"/>
    <col min="22" max="24" width="3.140625" style="3" customWidth="1"/>
    <col min="25" max="16384" width="9.140625" style="3"/>
  </cols>
  <sheetData>
    <row r="1" spans="1:31" s="86" customFormat="1" ht="18.75">
      <c r="A1" s="92" t="s">
        <v>70</v>
      </c>
      <c r="B1" s="92"/>
      <c r="C1" s="92"/>
      <c r="D1" s="92"/>
      <c r="E1" s="92"/>
      <c r="F1" s="92"/>
      <c r="G1" s="92"/>
      <c r="H1" s="92"/>
      <c r="I1" s="92"/>
      <c r="J1" s="92"/>
      <c r="K1" s="92"/>
      <c r="L1" s="85"/>
      <c r="M1" s="85"/>
      <c r="N1" s="85"/>
      <c r="O1" s="85"/>
      <c r="P1" s="85"/>
      <c r="Q1" s="85"/>
      <c r="R1" s="85"/>
      <c r="S1" s="85"/>
      <c r="T1" s="85"/>
      <c r="U1" s="85"/>
      <c r="V1" s="85"/>
      <c r="W1" s="85"/>
      <c r="X1" s="85"/>
      <c r="Y1" s="85"/>
      <c r="Z1" s="85"/>
      <c r="AA1" s="85"/>
      <c r="AB1" s="85"/>
      <c r="AC1" s="85"/>
    </row>
    <row r="2" spans="1:31" s="11" customFormat="1" ht="15.75">
      <c r="A2" s="93" t="s">
        <v>69</v>
      </c>
      <c r="B2" s="93"/>
      <c r="C2" s="93"/>
      <c r="D2" s="93"/>
      <c r="E2" s="93"/>
      <c r="F2" s="93"/>
      <c r="G2" s="93"/>
      <c r="H2" s="93"/>
      <c r="I2" s="93"/>
      <c r="J2" s="93"/>
      <c r="K2" s="93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</row>
    <row r="3" spans="1:31" s="13" customFormat="1" ht="20.25">
      <c r="A3" s="94" t="s">
        <v>48</v>
      </c>
      <c r="B3" s="95"/>
      <c r="C3" s="95"/>
      <c r="D3" s="95"/>
      <c r="E3" s="95"/>
      <c r="F3" s="95"/>
      <c r="G3" s="95"/>
      <c r="H3" s="95"/>
      <c r="I3" s="95"/>
      <c r="J3" s="95"/>
      <c r="K3" s="95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</row>
    <row r="4" spans="1:31" s="11" customFormat="1" ht="15.75">
      <c r="A4" s="93" t="s">
        <v>49</v>
      </c>
      <c r="B4" s="93"/>
      <c r="C4" s="93"/>
      <c r="D4" s="93"/>
      <c r="E4" s="93"/>
      <c r="F4" s="93"/>
      <c r="G4" s="93"/>
      <c r="H4" s="93"/>
      <c r="I4" s="93"/>
      <c r="J4" s="93"/>
      <c r="K4" s="93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</row>
    <row r="5" spans="1:31" s="11" customFormat="1" ht="6" customHeight="1">
      <c r="A5" s="82"/>
      <c r="B5" s="82"/>
      <c r="C5" s="82"/>
      <c r="D5" s="84"/>
      <c r="E5" s="84"/>
      <c r="F5" s="84"/>
      <c r="G5" s="84"/>
      <c r="H5" s="84"/>
      <c r="I5" s="84"/>
      <c r="J5" s="84"/>
      <c r="K5" s="82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</row>
    <row r="6" spans="1:31" s="9" customFormat="1" ht="17.25" customHeight="1">
      <c r="A6" s="14"/>
      <c r="B6" s="15"/>
      <c r="C6" s="15"/>
      <c r="D6" s="96" t="s">
        <v>50</v>
      </c>
      <c r="E6" s="96"/>
      <c r="F6" s="96"/>
      <c r="G6" s="97" t="s">
        <v>51</v>
      </c>
      <c r="H6" s="97"/>
      <c r="I6" s="97"/>
      <c r="J6" s="97"/>
      <c r="K6" s="1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</row>
    <row r="7" spans="1:31" s="22" customFormat="1" ht="35.25" customHeight="1">
      <c r="A7" s="17" t="s">
        <v>52</v>
      </c>
      <c r="B7" s="87" t="s">
        <v>53</v>
      </c>
      <c r="C7" s="88"/>
      <c r="D7" s="88" t="s">
        <v>54</v>
      </c>
      <c r="E7" s="88" t="s">
        <v>55</v>
      </c>
      <c r="F7" s="89" t="s">
        <v>0</v>
      </c>
      <c r="G7" s="88" t="s">
        <v>56</v>
      </c>
      <c r="H7" s="88" t="s">
        <v>57</v>
      </c>
      <c r="I7" s="88" t="s">
        <v>58</v>
      </c>
      <c r="J7" s="88" t="s">
        <v>59</v>
      </c>
      <c r="K7" s="18" t="s">
        <v>1</v>
      </c>
      <c r="L7" s="19"/>
      <c r="M7" s="19"/>
      <c r="N7" s="19"/>
      <c r="O7" s="19"/>
      <c r="P7" s="19"/>
      <c r="Q7" s="20"/>
      <c r="R7" s="20"/>
      <c r="S7" s="20"/>
      <c r="T7" s="21"/>
      <c r="U7" s="20"/>
      <c r="V7" s="20"/>
      <c r="W7" s="20"/>
      <c r="X7" s="20"/>
      <c r="Y7" s="19"/>
      <c r="Z7" s="19"/>
      <c r="AA7" s="19"/>
      <c r="AB7" s="19"/>
      <c r="AC7" s="19"/>
      <c r="AD7" s="19"/>
    </row>
    <row r="8" spans="1:31" s="11" customFormat="1" ht="24">
      <c r="A8" s="23"/>
      <c r="B8" s="24" t="s">
        <v>60</v>
      </c>
      <c r="C8" s="24"/>
      <c r="D8" s="25" t="s">
        <v>61</v>
      </c>
      <c r="E8" s="25" t="s">
        <v>62</v>
      </c>
      <c r="F8" s="25" t="s">
        <v>63</v>
      </c>
      <c r="G8" s="25" t="s">
        <v>64</v>
      </c>
      <c r="H8" s="25" t="s">
        <v>65</v>
      </c>
      <c r="I8" s="25" t="s">
        <v>66</v>
      </c>
      <c r="J8" s="25" t="s">
        <v>67</v>
      </c>
      <c r="K8" s="26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</row>
    <row r="9" spans="1:31" s="9" customFormat="1" ht="15">
      <c r="A9" s="27" t="s">
        <v>2</v>
      </c>
      <c r="B9" s="28">
        <f>SUM(D9:J9)</f>
        <v>107666.37614855106</v>
      </c>
      <c r="C9" s="29"/>
      <c r="D9" s="28">
        <f t="shared" ref="D9:J9" si="0">D10+D11+D12</f>
        <v>80292.561614211852</v>
      </c>
      <c r="E9" s="28">
        <f t="shared" si="0"/>
        <v>26477.308942631738</v>
      </c>
      <c r="F9" s="28">
        <f t="shared" si="0"/>
        <v>271.19266748034443</v>
      </c>
      <c r="G9" s="28">
        <f t="shared" si="0"/>
        <v>1.0668139718028742</v>
      </c>
      <c r="H9" s="28">
        <f t="shared" si="0"/>
        <v>14.297867575690839</v>
      </c>
      <c r="I9" s="28">
        <f t="shared" si="0"/>
        <v>94.621129237894237</v>
      </c>
      <c r="J9" s="28">
        <f t="shared" si="0"/>
        <v>515.32711344174902</v>
      </c>
      <c r="K9" s="30" t="s">
        <v>3</v>
      </c>
      <c r="L9" s="31"/>
      <c r="M9" s="31"/>
      <c r="N9" s="31"/>
      <c r="O9" s="31"/>
      <c r="P9" s="31"/>
      <c r="Q9" s="31"/>
      <c r="R9" s="31"/>
      <c r="S9" s="31"/>
      <c r="T9" s="31"/>
      <c r="V9" s="6"/>
      <c r="W9" s="6"/>
      <c r="X9" s="6"/>
      <c r="Y9" s="6"/>
      <c r="Z9" s="6"/>
      <c r="AA9" s="6"/>
      <c r="AB9" s="6"/>
      <c r="AC9" s="6"/>
      <c r="AD9" s="6"/>
      <c r="AE9" s="6"/>
    </row>
    <row r="10" spans="1:31" s="9" customFormat="1" ht="15">
      <c r="A10" s="27" t="s">
        <v>4</v>
      </c>
      <c r="B10" s="32">
        <f>SUM(D10:J10)</f>
        <v>14648.550707074137</v>
      </c>
      <c r="C10" s="33"/>
      <c r="D10" s="41">
        <v>12483.828798257622</v>
      </c>
      <c r="E10" s="41">
        <v>2117.0534601144459</v>
      </c>
      <c r="F10" s="41">
        <v>35.727599915678262</v>
      </c>
      <c r="G10" s="41">
        <v>2.5603535323268981E-2</v>
      </c>
      <c r="H10" s="41">
        <v>0.27737163266874731</v>
      </c>
      <c r="I10" s="41">
        <v>3.8053254374208523</v>
      </c>
      <c r="J10" s="41">
        <v>7.8325481809767012</v>
      </c>
      <c r="K10" s="30" t="s">
        <v>5</v>
      </c>
      <c r="L10" s="31"/>
      <c r="M10" s="75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</row>
    <row r="11" spans="1:31" s="9" customFormat="1" ht="15">
      <c r="A11" s="27" t="s">
        <v>6</v>
      </c>
      <c r="B11" s="32">
        <f>SUM(D11:J11)</f>
        <v>93017.825441476947</v>
      </c>
      <c r="C11" s="33"/>
      <c r="D11" s="34">
        <f t="shared" ref="D11:J11" si="1">SUM(D13:D32)</f>
        <v>67808.732815954238</v>
      </c>
      <c r="E11" s="34">
        <f t="shared" si="1"/>
        <v>24360.255482517292</v>
      </c>
      <c r="F11" s="34">
        <f t="shared" si="1"/>
        <v>235.46506756466619</v>
      </c>
      <c r="G11" s="34">
        <f t="shared" si="1"/>
        <v>1.0412104364796051</v>
      </c>
      <c r="H11" s="34">
        <f t="shared" si="1"/>
        <v>14.020495943022091</v>
      </c>
      <c r="I11" s="34">
        <f t="shared" si="1"/>
        <v>90.81580380047339</v>
      </c>
      <c r="J11" s="34">
        <f t="shared" si="1"/>
        <v>507.49456526077228</v>
      </c>
      <c r="K11" s="30" t="s">
        <v>7</v>
      </c>
      <c r="L11" s="31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</row>
    <row r="12" spans="1:31" s="9" customFormat="1" ht="15.75" hidden="1">
      <c r="A12" s="35" t="s">
        <v>8</v>
      </c>
      <c r="B12" s="32">
        <f>SUM(D12:J12)</f>
        <v>0</v>
      </c>
      <c r="C12" s="29"/>
      <c r="D12" s="34"/>
      <c r="E12" s="34"/>
      <c r="F12" s="34"/>
      <c r="G12" s="34"/>
      <c r="H12" s="34"/>
      <c r="I12" s="34"/>
      <c r="J12" s="36"/>
      <c r="K12" s="37" t="s">
        <v>68</v>
      </c>
      <c r="L12" s="38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</row>
    <row r="13" spans="1:31" s="9" customFormat="1" ht="15">
      <c r="A13" s="39" t="s">
        <v>9</v>
      </c>
      <c r="B13" s="40">
        <f>SUM(D13:J13)</f>
        <v>8153.5129675398448</v>
      </c>
      <c r="C13" s="29"/>
      <c r="D13" s="41">
        <v>4686.0548315288552</v>
      </c>
      <c r="E13" s="41">
        <v>3433.3670073917774</v>
      </c>
      <c r="F13" s="41">
        <v>16.232641394952534</v>
      </c>
      <c r="G13" s="41">
        <v>0.2987079121048048</v>
      </c>
      <c r="H13" s="41">
        <v>4.2416523518882272</v>
      </c>
      <c r="I13" s="41">
        <v>8.792488729084365</v>
      </c>
      <c r="J13" s="41">
        <v>4.5256382311821524</v>
      </c>
      <c r="K13" s="42" t="s">
        <v>10</v>
      </c>
      <c r="L13" s="43"/>
      <c r="M13" s="75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</row>
    <row r="14" spans="1:31" s="9" customFormat="1" ht="15">
      <c r="A14" s="39" t="s">
        <v>11</v>
      </c>
      <c r="B14" s="40">
        <f t="shared" ref="B14:B32" si="2">SUM(D14:J14)</f>
        <v>1781.228108564266</v>
      </c>
      <c r="C14" s="29"/>
      <c r="D14" s="41">
        <v>1091.2118264018025</v>
      </c>
      <c r="E14" s="41">
        <v>687.82931352026765</v>
      </c>
      <c r="F14" s="41">
        <v>1.0134732732127305</v>
      </c>
      <c r="G14" s="41">
        <v>0</v>
      </c>
      <c r="H14" s="41">
        <v>1.0668139718028742</v>
      </c>
      <c r="I14" s="41">
        <v>0.10668139718028742</v>
      </c>
      <c r="J14" s="41">
        <v>0</v>
      </c>
      <c r="K14" s="42" t="s">
        <v>12</v>
      </c>
      <c r="L14" s="43"/>
      <c r="M14" s="75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</row>
    <row r="15" spans="1:31" s="9" customFormat="1" ht="15">
      <c r="A15" s="39" t="s">
        <v>13</v>
      </c>
      <c r="B15" s="40">
        <f t="shared" si="2"/>
        <v>1992.0448290489014</v>
      </c>
      <c r="C15" s="29"/>
      <c r="D15" s="41">
        <v>1410.014001508091</v>
      </c>
      <c r="E15" s="41">
        <v>577.04298148820487</v>
      </c>
      <c r="F15" s="41">
        <v>2.739578279589781</v>
      </c>
      <c r="G15" s="41">
        <v>0</v>
      </c>
      <c r="H15" s="41">
        <v>0</v>
      </c>
      <c r="I15" s="41">
        <v>1.1948316484192192</v>
      </c>
      <c r="J15" s="41">
        <v>1.0534361245964663</v>
      </c>
      <c r="K15" s="42" t="s">
        <v>14</v>
      </c>
      <c r="L15" s="43"/>
      <c r="M15" s="75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</row>
    <row r="16" spans="1:31" s="9" customFormat="1" ht="15">
      <c r="A16" s="39" t="s">
        <v>15</v>
      </c>
      <c r="B16" s="40">
        <f t="shared" si="2"/>
        <v>1768.7248988449621</v>
      </c>
      <c r="C16" s="29"/>
      <c r="D16" s="41">
        <v>1011.2039363742467</v>
      </c>
      <c r="E16" s="41">
        <v>726.01365729120982</v>
      </c>
      <c r="F16" s="41">
        <v>7.8944233913412681E-2</v>
      </c>
      <c r="G16" s="41">
        <v>0</v>
      </c>
      <c r="H16" s="41">
        <v>0</v>
      </c>
      <c r="I16" s="41">
        <v>1.1066274692305573</v>
      </c>
      <c r="J16" s="41">
        <v>30.321733476361555</v>
      </c>
      <c r="K16" s="42" t="s">
        <v>16</v>
      </c>
      <c r="L16" s="43"/>
      <c r="M16" s="75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</row>
    <row r="17" spans="1:31" s="2" customFormat="1" ht="15">
      <c r="A17" s="39" t="s">
        <v>17</v>
      </c>
      <c r="B17" s="40">
        <f t="shared" si="2"/>
        <v>6210.8774895042043</v>
      </c>
      <c r="C17" s="29"/>
      <c r="D17" s="41">
        <v>4009.8163558175847</v>
      </c>
      <c r="E17" s="41">
        <v>2102.122074897854</v>
      </c>
      <c r="F17" s="41">
        <v>1.6983678431101756</v>
      </c>
      <c r="G17" s="41">
        <v>0.74250252437480035</v>
      </c>
      <c r="H17" s="41">
        <v>8.1316828186702264</v>
      </c>
      <c r="I17" s="41">
        <v>16.879728077689286</v>
      </c>
      <c r="J17" s="41">
        <v>71.486777524921877</v>
      </c>
      <c r="K17" s="42" t="s">
        <v>18</v>
      </c>
      <c r="L17" s="43"/>
      <c r="M17" s="75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</row>
    <row r="18" spans="1:31" s="2" customFormat="1" ht="15">
      <c r="A18" s="39" t="s">
        <v>19</v>
      </c>
      <c r="B18" s="40">
        <f t="shared" si="2"/>
        <v>1348.4255168135326</v>
      </c>
      <c r="C18" s="29"/>
      <c r="D18" s="41">
        <v>668.81684133641318</v>
      </c>
      <c r="E18" s="41">
        <v>637.05958965410105</v>
      </c>
      <c r="F18" s="41">
        <v>6.4478236455765714</v>
      </c>
      <c r="G18" s="41">
        <v>0</v>
      </c>
      <c r="H18" s="41">
        <v>0</v>
      </c>
      <c r="I18" s="41">
        <v>0</v>
      </c>
      <c r="J18" s="41">
        <v>36.101262177441924</v>
      </c>
      <c r="K18" s="42" t="s">
        <v>20</v>
      </c>
      <c r="L18" s="43"/>
      <c r="M18" s="75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</row>
    <row r="19" spans="1:31" s="2" customFormat="1" ht="15">
      <c r="A19" s="39" t="s">
        <v>21</v>
      </c>
      <c r="B19" s="40">
        <f t="shared" si="2"/>
        <v>5057.4543803465513</v>
      </c>
      <c r="C19" s="29"/>
      <c r="D19" s="41">
        <v>3211.8284595051764</v>
      </c>
      <c r="E19" s="41">
        <v>1842.9872631635185</v>
      </c>
      <c r="F19" s="41">
        <v>1.4252634663286399</v>
      </c>
      <c r="G19" s="41">
        <v>0</v>
      </c>
      <c r="H19" s="41">
        <v>0.46939814759326465</v>
      </c>
      <c r="I19" s="41">
        <v>0.74399606393532447</v>
      </c>
      <c r="J19" s="41">
        <v>0</v>
      </c>
      <c r="K19" s="42" t="s">
        <v>22</v>
      </c>
      <c r="L19" s="43"/>
      <c r="M19" s="75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</row>
    <row r="20" spans="1:31" s="2" customFormat="1" ht="15">
      <c r="A20" s="39" t="s">
        <v>23</v>
      </c>
      <c r="B20" s="40">
        <f t="shared" si="2"/>
        <v>3904.6972138155779</v>
      </c>
      <c r="C20" s="29"/>
      <c r="D20" s="41">
        <v>2315.6918635181032</v>
      </c>
      <c r="E20" s="41">
        <v>1576.9090027065554</v>
      </c>
      <c r="F20" s="41">
        <v>0</v>
      </c>
      <c r="G20" s="41">
        <v>0</v>
      </c>
      <c r="H20" s="41">
        <v>0</v>
      </c>
      <c r="I20" s="41">
        <v>8.7376118183748233</v>
      </c>
      <c r="J20" s="41">
        <v>3.3587357725447329</v>
      </c>
      <c r="K20" s="42" t="s">
        <v>24</v>
      </c>
      <c r="L20" s="43"/>
      <c r="M20" s="75"/>
      <c r="N20" s="6"/>
      <c r="O20" s="6"/>
      <c r="Q20" s="6"/>
      <c r="AA20" s="6"/>
      <c r="AB20" s="6"/>
      <c r="AC20" s="6"/>
      <c r="AD20" s="6"/>
      <c r="AE20" s="6"/>
    </row>
    <row r="21" spans="1:31" s="2" customFormat="1" ht="15">
      <c r="A21" s="39" t="s">
        <v>25</v>
      </c>
      <c r="B21" s="40">
        <f t="shared" si="2"/>
        <v>1540.2401981522887</v>
      </c>
      <c r="C21" s="29"/>
      <c r="D21" s="41">
        <v>514.31638588944907</v>
      </c>
      <c r="E21" s="41">
        <v>998.73424460769138</v>
      </c>
      <c r="F21" s="41">
        <v>0.53342832218087322</v>
      </c>
      <c r="G21" s="41">
        <v>0</v>
      </c>
      <c r="H21" s="41">
        <v>0</v>
      </c>
      <c r="I21" s="41">
        <v>26.646986069089373</v>
      </c>
      <c r="J21" s="41">
        <v>9.1532638780686595E-3</v>
      </c>
      <c r="K21" s="42" t="s">
        <v>26</v>
      </c>
      <c r="L21" s="43"/>
      <c r="M21" s="75"/>
      <c r="N21" s="6"/>
      <c r="O21" s="6"/>
      <c r="Q21" s="6"/>
      <c r="AA21" s="6"/>
      <c r="AB21" s="6"/>
      <c r="AC21" s="6"/>
      <c r="AD21" s="6"/>
      <c r="AE21" s="6"/>
    </row>
    <row r="22" spans="1:31" s="2" customFormat="1" ht="15">
      <c r="A22" s="39" t="s">
        <v>27</v>
      </c>
      <c r="B22" s="40">
        <f t="shared" si="2"/>
        <v>1700.5497817528742</v>
      </c>
      <c r="C22" s="29"/>
      <c r="D22" s="41">
        <v>151.302165077127</v>
      </c>
      <c r="E22" s="41">
        <v>1470.259216663902</v>
      </c>
      <c r="F22" s="41">
        <v>0</v>
      </c>
      <c r="G22" s="41">
        <v>0</v>
      </c>
      <c r="H22" s="41">
        <v>0</v>
      </c>
      <c r="I22" s="41">
        <v>6.1432909291857243</v>
      </c>
      <c r="J22" s="41">
        <v>72.845109082659604</v>
      </c>
      <c r="K22" s="42" t="s">
        <v>28</v>
      </c>
      <c r="L22" s="43"/>
      <c r="M22" s="76"/>
      <c r="O22" s="6"/>
      <c r="Q22" s="6"/>
      <c r="AA22" s="6"/>
      <c r="AB22" s="6"/>
      <c r="AC22" s="6"/>
      <c r="AD22" s="6"/>
      <c r="AE22" s="6"/>
    </row>
    <row r="23" spans="1:31" s="2" customFormat="1" ht="15">
      <c r="A23" s="39" t="s">
        <v>29</v>
      </c>
      <c r="B23" s="40">
        <f t="shared" si="2"/>
        <v>166.17997110213878</v>
      </c>
      <c r="C23" s="29"/>
      <c r="D23" s="41">
        <v>147.67229630226376</v>
      </c>
      <c r="E23" s="41">
        <v>18.507674799875019</v>
      </c>
      <c r="F23" s="41">
        <v>0</v>
      </c>
      <c r="G23" s="41">
        <v>0</v>
      </c>
      <c r="H23" s="41">
        <v>0</v>
      </c>
      <c r="I23" s="41">
        <v>0</v>
      </c>
      <c r="J23" s="41">
        <v>0</v>
      </c>
      <c r="K23" s="42" t="s">
        <v>30</v>
      </c>
      <c r="L23" s="43"/>
      <c r="M23" s="76"/>
      <c r="O23" s="6"/>
      <c r="Q23" s="6"/>
      <c r="AA23" s="6"/>
      <c r="AB23" s="6"/>
      <c r="AC23" s="6"/>
      <c r="AD23" s="6"/>
      <c r="AE23" s="6"/>
    </row>
    <row r="24" spans="1:31" s="2" customFormat="1" ht="15">
      <c r="A24" s="39" t="s">
        <v>31</v>
      </c>
      <c r="B24" s="40">
        <f t="shared" si="2"/>
        <v>1841.0062832936817</v>
      </c>
      <c r="C24" s="29"/>
      <c r="D24" s="41">
        <v>1334.2119814440944</v>
      </c>
      <c r="E24" s="41">
        <v>482.09755840235084</v>
      </c>
      <c r="F24" s="41">
        <v>20.973562685644506</v>
      </c>
      <c r="G24" s="41">
        <v>0</v>
      </c>
      <c r="H24" s="41">
        <v>6.4008838308172458E-2</v>
      </c>
      <c r="I24" s="41">
        <v>3.5951630849756859</v>
      </c>
      <c r="J24" s="41">
        <v>6.4008838308172444E-2</v>
      </c>
      <c r="K24" s="42" t="s">
        <v>32</v>
      </c>
      <c r="L24" s="43"/>
      <c r="M24" s="76"/>
      <c r="O24" s="6"/>
      <c r="Q24" s="6"/>
      <c r="AA24" s="6"/>
      <c r="AB24" s="6"/>
      <c r="AC24" s="6"/>
      <c r="AD24" s="6"/>
      <c r="AE24" s="6"/>
    </row>
    <row r="25" spans="1:31" s="2" customFormat="1" ht="15">
      <c r="A25" s="39" t="s">
        <v>33</v>
      </c>
      <c r="B25" s="40">
        <f t="shared" si="2"/>
        <v>1898.3243772924779</v>
      </c>
      <c r="C25" s="29"/>
      <c r="D25" s="41">
        <v>495.04059162099639</v>
      </c>
      <c r="E25" s="41">
        <v>1116.469825210866</v>
      </c>
      <c r="F25" s="41">
        <v>0.9302617834121063</v>
      </c>
      <c r="G25" s="41">
        <v>0</v>
      </c>
      <c r="H25" s="41">
        <v>0</v>
      </c>
      <c r="I25" s="41">
        <v>0.14937529233183844</v>
      </c>
      <c r="J25" s="41">
        <v>285.73432338487169</v>
      </c>
      <c r="K25" s="42" t="s">
        <v>34</v>
      </c>
      <c r="L25" s="43"/>
      <c r="M25" s="76"/>
      <c r="O25" s="6"/>
      <c r="Q25" s="6"/>
      <c r="AA25" s="6"/>
      <c r="AB25" s="6"/>
      <c r="AC25" s="6"/>
      <c r="AD25" s="6"/>
      <c r="AE25" s="6"/>
    </row>
    <row r="26" spans="1:31" s="2" customFormat="1" ht="15">
      <c r="A26" s="39" t="s">
        <v>35</v>
      </c>
      <c r="B26" s="40">
        <f t="shared" si="2"/>
        <v>8698.4102208563127</v>
      </c>
      <c r="C26" s="29"/>
      <c r="D26" s="41">
        <v>4927.971105916311</v>
      </c>
      <c r="E26" s="41">
        <v>3759.4049300119677</v>
      </c>
      <c r="F26" s="41">
        <v>8.3232826080060249</v>
      </c>
      <c r="G26" s="41">
        <v>0</v>
      </c>
      <c r="H26" s="41">
        <v>0</v>
      </c>
      <c r="I26" s="41">
        <v>1.4027750278030355</v>
      </c>
      <c r="J26" s="41">
        <v>1.3081272922246845</v>
      </c>
      <c r="K26" s="42" t="s">
        <v>36</v>
      </c>
      <c r="L26" s="43"/>
      <c r="M26" s="76"/>
      <c r="O26" s="6"/>
      <c r="P26" s="44"/>
      <c r="Q26" s="6"/>
      <c r="R26" s="44"/>
      <c r="S26" s="44"/>
      <c r="T26" s="44"/>
      <c r="U26" s="44"/>
      <c r="V26" s="44"/>
      <c r="W26" s="44"/>
      <c r="X26" s="44"/>
      <c r="Y26" s="44"/>
      <c r="Z26" s="44"/>
    </row>
    <row r="27" spans="1:31" ht="15">
      <c r="A27" s="39" t="s">
        <v>37</v>
      </c>
      <c r="B27" s="40">
        <f t="shared" si="2"/>
        <v>4745.6099819568153</v>
      </c>
      <c r="C27" s="29"/>
      <c r="D27" s="41">
        <v>4129.7336045822749</v>
      </c>
      <c r="E27" s="41">
        <v>601.94143991205567</v>
      </c>
      <c r="F27" s="41">
        <v>1.5127422120164755</v>
      </c>
      <c r="G27" s="41">
        <v>0</v>
      </c>
      <c r="H27" s="41">
        <v>0</v>
      </c>
      <c r="I27" s="41">
        <v>12.419848259729063</v>
      </c>
      <c r="J27" s="41">
        <v>2.3469907379663232E-3</v>
      </c>
      <c r="K27" s="42" t="s">
        <v>38</v>
      </c>
      <c r="L27" s="43"/>
      <c r="M27" s="76"/>
      <c r="N27" s="2"/>
      <c r="O27" s="6"/>
      <c r="Q27" s="6"/>
    </row>
    <row r="28" spans="1:31" ht="15">
      <c r="A28" s="39" t="s">
        <v>39</v>
      </c>
      <c r="B28" s="40">
        <f t="shared" si="2"/>
        <v>5438.8405685555945</v>
      </c>
      <c r="C28" s="29"/>
      <c r="D28" s="41">
        <v>4569.6647366222151</v>
      </c>
      <c r="E28" s="41">
        <v>861.97057036782223</v>
      </c>
      <c r="F28" s="41">
        <v>6.4542245294073881</v>
      </c>
      <c r="G28" s="41">
        <v>0</v>
      </c>
      <c r="H28" s="41">
        <v>4.6939814759326459E-2</v>
      </c>
      <c r="I28" s="41">
        <v>0.70409722138989694</v>
      </c>
      <c r="J28" s="41">
        <v>0</v>
      </c>
      <c r="K28" s="42" t="s">
        <v>40</v>
      </c>
      <c r="L28" s="43"/>
      <c r="M28" s="77"/>
      <c r="N28" s="44"/>
      <c r="O28" s="6"/>
      <c r="Q28" s="6"/>
    </row>
    <row r="29" spans="1:31" ht="15">
      <c r="A29" s="39" t="s">
        <v>41</v>
      </c>
      <c r="B29" s="40">
        <f t="shared" si="2"/>
        <v>13762.2673033377</v>
      </c>
      <c r="C29" s="29"/>
      <c r="D29" s="41">
        <v>12474.634883731909</v>
      </c>
      <c r="E29" s="41">
        <v>1214.0649281102626</v>
      </c>
      <c r="F29" s="41">
        <v>73.56749149552617</v>
      </c>
      <c r="G29" s="41">
        <v>0</v>
      </c>
      <c r="H29" s="41">
        <v>0</v>
      </c>
      <c r="I29" s="41">
        <v>0</v>
      </c>
      <c r="J29" s="41">
        <v>0</v>
      </c>
      <c r="K29" s="42" t="s">
        <v>42</v>
      </c>
      <c r="L29" s="43"/>
      <c r="M29" s="78"/>
      <c r="O29" s="6"/>
      <c r="Q29" s="6"/>
    </row>
    <row r="30" spans="1:31" ht="15">
      <c r="A30" s="39" t="s">
        <v>43</v>
      </c>
      <c r="B30" s="40">
        <f t="shared" si="2"/>
        <v>10398.700167750892</v>
      </c>
      <c r="C30" s="29"/>
      <c r="D30" s="41">
        <v>9598.7093824235726</v>
      </c>
      <c r="E30" s="41">
        <v>775.23643392560541</v>
      </c>
      <c r="F30" s="41">
        <v>24.754351401713894</v>
      </c>
      <c r="G30" s="41">
        <v>0</v>
      </c>
      <c r="H30" s="41">
        <v>0</v>
      </c>
      <c r="I30" s="41">
        <v>0</v>
      </c>
      <c r="J30" s="41">
        <v>0</v>
      </c>
      <c r="K30" s="42" t="s">
        <v>44</v>
      </c>
      <c r="L30" s="43"/>
      <c r="M30" s="78"/>
      <c r="O30" s="6"/>
      <c r="Q30" s="6"/>
    </row>
    <row r="31" spans="1:31" ht="15">
      <c r="A31" s="39" t="s">
        <v>45</v>
      </c>
      <c r="B31" s="40">
        <f t="shared" si="2"/>
        <v>2424.0518100662307</v>
      </c>
      <c r="C31" s="29"/>
      <c r="D31" s="41">
        <v>1984.8483839001112</v>
      </c>
      <c r="E31" s="41">
        <v>426.07619489796718</v>
      </c>
      <c r="F31" s="41">
        <v>12.443318167108725</v>
      </c>
      <c r="G31" s="41">
        <v>0</v>
      </c>
      <c r="H31" s="41">
        <v>0</v>
      </c>
      <c r="I31" s="41">
        <v>0</v>
      </c>
      <c r="J31" s="41">
        <v>0.68391310104338665</v>
      </c>
      <c r="K31" s="42" t="s">
        <v>46</v>
      </c>
      <c r="L31" s="43"/>
      <c r="M31" s="78"/>
      <c r="O31" s="6"/>
      <c r="Q31" s="6"/>
    </row>
    <row r="32" spans="1:31" ht="15">
      <c r="A32" s="45" t="s">
        <v>14</v>
      </c>
      <c r="B32" s="46">
        <f t="shared" si="2"/>
        <v>10186.679372882103</v>
      </c>
      <c r="C32" s="47"/>
      <c r="D32" s="48">
        <v>9075.989182453648</v>
      </c>
      <c r="E32" s="48">
        <v>1052.1615754934346</v>
      </c>
      <c r="F32" s="48">
        <v>56.336312222966178</v>
      </c>
      <c r="G32" s="48">
        <v>0</v>
      </c>
      <c r="H32" s="48">
        <v>0</v>
      </c>
      <c r="I32" s="48">
        <v>2.1923027120549068</v>
      </c>
      <c r="J32" s="48">
        <v>0</v>
      </c>
      <c r="K32" s="49" t="s">
        <v>47</v>
      </c>
      <c r="L32" s="43"/>
      <c r="M32" s="78"/>
      <c r="O32" s="6"/>
      <c r="Q32" s="6"/>
    </row>
    <row r="33" spans="1:29" ht="17.25">
      <c r="A33" s="7" t="s">
        <v>71</v>
      </c>
      <c r="B33" s="5"/>
      <c r="C33" s="5"/>
      <c r="D33" s="5"/>
      <c r="E33" s="5"/>
      <c r="F33" s="5"/>
      <c r="G33" s="5"/>
      <c r="H33" s="5"/>
      <c r="I33" s="5"/>
      <c r="J33" s="5"/>
      <c r="K33" s="4" t="s">
        <v>72</v>
      </c>
    </row>
    <row r="34" spans="1:29" s="8" customFormat="1">
      <c r="A34" s="3"/>
      <c r="B34" s="3"/>
      <c r="C34" s="3"/>
      <c r="D34" s="3"/>
      <c r="E34" s="3"/>
      <c r="F34" s="73"/>
      <c r="G34" s="91"/>
      <c r="H34" s="91"/>
      <c r="I34" s="91"/>
      <c r="J34" s="91"/>
      <c r="K34" s="9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</row>
    <row r="35" spans="1:29" s="8" customFormat="1" ht="19.5" customHeight="1">
      <c r="A35" s="3"/>
      <c r="B35" s="3"/>
      <c r="C35" s="3"/>
      <c r="D35" s="3"/>
      <c r="E35" s="3"/>
      <c r="F35" s="73"/>
      <c r="G35" s="91"/>
      <c r="H35" s="91"/>
      <c r="I35" s="91"/>
      <c r="J35" s="91"/>
      <c r="K35" s="9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</row>
    <row r="36" spans="1:29" s="8" customFormat="1" ht="19.5" customHeight="1">
      <c r="A36" s="3"/>
      <c r="B36" s="3"/>
      <c r="C36" s="3"/>
      <c r="D36" s="3"/>
      <c r="E36" s="3"/>
      <c r="F36" s="73"/>
      <c r="G36" s="83"/>
      <c r="H36" s="83"/>
      <c r="I36" s="83"/>
      <c r="J36" s="83"/>
      <c r="K36" s="83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</row>
    <row r="37" spans="1:29" s="13" customFormat="1">
      <c r="A37" s="90"/>
      <c r="B37" s="90"/>
      <c r="C37" s="90"/>
      <c r="D37" s="90"/>
      <c r="E37" s="90"/>
      <c r="F37" s="90"/>
      <c r="G37" s="3"/>
      <c r="H37" s="73"/>
      <c r="I37" s="73"/>
      <c r="J37" s="74"/>
      <c r="K37" s="3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2"/>
    </row>
    <row r="38" spans="1:29" s="11" customFormat="1" ht="12">
      <c r="A38" s="79"/>
      <c r="D38" s="80"/>
      <c r="E38" s="80"/>
      <c r="F38" s="80"/>
      <c r="G38" s="80"/>
      <c r="H38" s="80"/>
      <c r="I38" s="80"/>
      <c r="J38" s="80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0"/>
    </row>
    <row r="39" spans="1:29" s="9" customFormat="1" ht="12">
      <c r="A39" s="50"/>
      <c r="B39" s="51"/>
      <c r="C39" s="51"/>
      <c r="D39" s="81"/>
      <c r="E39" s="81"/>
      <c r="F39" s="81"/>
      <c r="G39" s="81"/>
      <c r="H39" s="81"/>
      <c r="I39" s="81"/>
      <c r="J39" s="81"/>
      <c r="K39" s="6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6"/>
    </row>
    <row r="40" spans="1:29" s="9" customFormat="1" ht="15">
      <c r="A40" s="51"/>
      <c r="B40" s="53"/>
      <c r="C40" s="53"/>
      <c r="D40" s="53"/>
      <c r="E40" s="53"/>
      <c r="F40" s="53"/>
      <c r="G40" s="53"/>
      <c r="H40" s="53"/>
      <c r="I40" s="53"/>
      <c r="J40" s="52"/>
      <c r="K40" s="6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6"/>
    </row>
    <row r="41" spans="1:29" s="11" customFormat="1" ht="12">
      <c r="A41" s="54"/>
      <c r="B41" s="55"/>
      <c r="C41" s="55"/>
      <c r="D41" s="56"/>
      <c r="E41" s="56"/>
      <c r="F41" s="56"/>
      <c r="G41" s="56"/>
      <c r="H41" s="56"/>
      <c r="I41" s="56"/>
      <c r="J41" s="54"/>
      <c r="K41" s="10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0"/>
    </row>
    <row r="42" spans="1:29" s="9" customFormat="1" ht="15">
      <c r="A42" s="51"/>
      <c r="B42" s="57"/>
      <c r="C42" s="57"/>
      <c r="D42" s="58"/>
      <c r="E42" s="58"/>
      <c r="F42" s="58"/>
      <c r="G42" s="58"/>
      <c r="H42" s="58"/>
      <c r="I42" s="58"/>
      <c r="J42" s="52"/>
      <c r="K42" s="6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6"/>
    </row>
    <row r="43" spans="1:29" s="9" customFormat="1" ht="15">
      <c r="A43" s="51"/>
      <c r="B43" s="59"/>
      <c r="C43" s="59"/>
      <c r="D43" s="60"/>
      <c r="E43" s="60"/>
      <c r="F43" s="60"/>
      <c r="G43" s="60"/>
      <c r="H43" s="60"/>
      <c r="I43" s="60"/>
      <c r="J43" s="52"/>
      <c r="K43" s="6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6"/>
    </row>
    <row r="44" spans="1:29" s="9" customFormat="1" ht="15">
      <c r="A44" s="51"/>
      <c r="B44" s="59"/>
      <c r="C44" s="59"/>
      <c r="D44" s="59"/>
      <c r="E44" s="59"/>
      <c r="F44" s="59"/>
      <c r="G44" s="59"/>
      <c r="H44" s="59"/>
      <c r="I44" s="59"/>
      <c r="J44" s="52"/>
      <c r="K44" s="6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6"/>
    </row>
    <row r="45" spans="1:29" s="9" customFormat="1" ht="15">
      <c r="A45" s="51"/>
      <c r="B45" s="58"/>
      <c r="C45" s="58"/>
      <c r="D45" s="61"/>
      <c r="E45" s="60"/>
      <c r="F45" s="62"/>
      <c r="G45" s="62"/>
      <c r="H45" s="62"/>
      <c r="I45" s="60"/>
      <c r="J45" s="52"/>
      <c r="K45" s="6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6"/>
    </row>
    <row r="46" spans="1:29" s="9" customFormat="1" ht="15">
      <c r="A46" s="63"/>
      <c r="B46" s="58"/>
      <c r="C46" s="58"/>
      <c r="D46" s="64"/>
      <c r="E46" s="65"/>
      <c r="F46" s="65"/>
      <c r="G46" s="65"/>
      <c r="H46" s="65"/>
      <c r="I46" s="65"/>
      <c r="J46" s="66"/>
      <c r="K46" s="6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6"/>
    </row>
    <row r="47" spans="1:29" s="9" customFormat="1" ht="15">
      <c r="A47" s="63"/>
      <c r="B47" s="58"/>
      <c r="C47" s="58"/>
      <c r="D47" s="64"/>
      <c r="E47" s="65"/>
      <c r="F47" s="65"/>
      <c r="G47" s="65"/>
      <c r="H47" s="65"/>
      <c r="I47" s="65"/>
      <c r="J47" s="66"/>
      <c r="K47" s="6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6"/>
    </row>
    <row r="48" spans="1:29" s="9" customFormat="1" ht="15">
      <c r="A48" s="63"/>
      <c r="B48" s="58"/>
      <c r="C48" s="58"/>
      <c r="D48" s="64"/>
      <c r="E48" s="65"/>
      <c r="F48" s="65"/>
      <c r="G48" s="65"/>
      <c r="H48" s="65"/>
      <c r="I48" s="65"/>
      <c r="J48" s="66"/>
      <c r="K48" s="6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6"/>
    </row>
    <row r="49" spans="1:29" s="9" customFormat="1" ht="15">
      <c r="A49" s="63"/>
      <c r="B49" s="58"/>
      <c r="C49" s="58"/>
      <c r="D49" s="64"/>
      <c r="E49" s="65"/>
      <c r="F49" s="67"/>
      <c r="G49" s="65"/>
      <c r="H49" s="65"/>
      <c r="I49" s="65"/>
      <c r="J49" s="66"/>
      <c r="K49" s="6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6"/>
    </row>
    <row r="50" spans="1:29" s="2" customFormat="1" ht="15">
      <c r="A50" s="63"/>
      <c r="B50" s="58"/>
      <c r="C50" s="58"/>
      <c r="D50" s="64"/>
      <c r="E50" s="65"/>
      <c r="F50" s="65"/>
      <c r="G50" s="65"/>
      <c r="H50" s="65"/>
      <c r="I50" s="65"/>
      <c r="J50" s="66"/>
      <c r="K50" s="6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6"/>
    </row>
    <row r="51" spans="1:29" s="2" customFormat="1" ht="15">
      <c r="A51" s="63"/>
      <c r="B51" s="58"/>
      <c r="C51" s="58"/>
      <c r="D51" s="64"/>
      <c r="E51" s="65"/>
      <c r="F51" s="65"/>
      <c r="G51" s="65"/>
      <c r="H51" s="65"/>
      <c r="I51" s="65"/>
      <c r="J51" s="66"/>
      <c r="K51" s="6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6"/>
    </row>
    <row r="52" spans="1:29" s="2" customFormat="1" ht="15">
      <c r="A52" s="63"/>
      <c r="B52" s="58"/>
      <c r="C52" s="58"/>
      <c r="D52" s="64"/>
      <c r="E52" s="65"/>
      <c r="F52" s="65"/>
      <c r="G52" s="65"/>
      <c r="H52" s="65"/>
      <c r="I52" s="65"/>
      <c r="J52" s="66"/>
      <c r="K52" s="6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6"/>
    </row>
    <row r="53" spans="1:29" s="2" customFormat="1" ht="15">
      <c r="A53" s="63"/>
      <c r="B53" s="58"/>
      <c r="C53" s="58"/>
      <c r="D53" s="64"/>
      <c r="E53" s="65"/>
      <c r="F53" s="65"/>
      <c r="G53" s="65"/>
      <c r="H53" s="65"/>
      <c r="I53" s="65"/>
      <c r="J53" s="66"/>
      <c r="V53" s="6"/>
      <c r="W53" s="6"/>
      <c r="X53" s="6"/>
      <c r="Y53" s="6"/>
      <c r="Z53" s="6"/>
      <c r="AA53" s="6"/>
      <c r="AB53" s="6"/>
      <c r="AC53" s="6"/>
    </row>
    <row r="54" spans="1:29" s="2" customFormat="1" ht="15">
      <c r="A54" s="63"/>
      <c r="B54" s="58"/>
      <c r="C54" s="58"/>
      <c r="D54" s="64"/>
      <c r="E54" s="65"/>
      <c r="F54" s="65"/>
      <c r="G54" s="65"/>
      <c r="H54" s="65"/>
      <c r="I54" s="65"/>
      <c r="J54" s="66"/>
      <c r="V54" s="6"/>
      <c r="W54" s="6"/>
      <c r="X54" s="6"/>
      <c r="Y54" s="6"/>
      <c r="Z54" s="6"/>
      <c r="AA54" s="6"/>
      <c r="AB54" s="6"/>
      <c r="AC54" s="6"/>
    </row>
    <row r="55" spans="1:29" s="2" customFormat="1" ht="15">
      <c r="A55" s="63"/>
      <c r="B55" s="58"/>
      <c r="C55" s="58"/>
      <c r="D55" s="64"/>
      <c r="E55" s="65"/>
      <c r="F55" s="65"/>
      <c r="G55" s="65"/>
      <c r="H55" s="65"/>
      <c r="I55" s="65"/>
      <c r="J55" s="66"/>
      <c r="V55" s="6"/>
      <c r="W55" s="6"/>
      <c r="X55" s="6"/>
      <c r="Y55" s="6"/>
      <c r="Z55" s="6"/>
      <c r="AA55" s="6"/>
      <c r="AB55" s="6"/>
      <c r="AC55" s="6"/>
    </row>
    <row r="56" spans="1:29" s="2" customFormat="1" ht="15">
      <c r="A56" s="63"/>
      <c r="B56" s="58"/>
      <c r="C56" s="58"/>
      <c r="D56" s="64"/>
      <c r="E56" s="65"/>
      <c r="F56" s="65"/>
      <c r="G56" s="65"/>
      <c r="H56" s="65"/>
      <c r="I56" s="65"/>
      <c r="J56" s="66"/>
      <c r="V56" s="6"/>
      <c r="W56" s="6"/>
      <c r="X56" s="6"/>
      <c r="Y56" s="6"/>
      <c r="Z56" s="6"/>
      <c r="AA56" s="6"/>
      <c r="AB56" s="6"/>
      <c r="AC56" s="6"/>
    </row>
    <row r="57" spans="1:29" s="2" customFormat="1" ht="15">
      <c r="A57" s="63"/>
      <c r="B57" s="58"/>
      <c r="C57" s="58"/>
      <c r="D57" s="64"/>
      <c r="E57" s="65"/>
      <c r="F57" s="68"/>
      <c r="G57" s="65"/>
      <c r="H57" s="65"/>
      <c r="I57" s="65"/>
      <c r="J57" s="66"/>
      <c r="V57" s="6"/>
      <c r="W57" s="6"/>
      <c r="X57" s="6"/>
      <c r="Y57" s="6"/>
      <c r="Z57" s="6"/>
      <c r="AA57" s="6"/>
      <c r="AB57" s="6"/>
      <c r="AC57" s="6"/>
    </row>
    <row r="58" spans="1:29" s="2" customFormat="1" ht="15">
      <c r="A58" s="63"/>
      <c r="B58" s="58"/>
      <c r="C58" s="58"/>
      <c r="D58" s="64"/>
      <c r="E58" s="65"/>
      <c r="F58" s="65"/>
      <c r="G58" s="65"/>
      <c r="H58" s="65"/>
      <c r="I58" s="65"/>
      <c r="J58" s="66"/>
      <c r="V58" s="6"/>
      <c r="W58" s="6"/>
      <c r="X58" s="6"/>
      <c r="Y58" s="6"/>
      <c r="Z58" s="6"/>
      <c r="AA58" s="6"/>
      <c r="AB58" s="6"/>
      <c r="AC58" s="6"/>
    </row>
    <row r="59" spans="1:29" s="2" customFormat="1" ht="15">
      <c r="A59" s="63"/>
      <c r="B59" s="58"/>
      <c r="C59" s="58"/>
      <c r="D59" s="64"/>
      <c r="E59" s="65"/>
      <c r="F59" s="65"/>
      <c r="G59" s="65"/>
      <c r="H59" s="65"/>
      <c r="I59" s="65"/>
      <c r="J59" s="66"/>
      <c r="K59" s="44"/>
      <c r="L59" s="44"/>
      <c r="M59" s="44"/>
      <c r="N59" s="44"/>
      <c r="O59" s="44"/>
      <c r="P59" s="44"/>
      <c r="Q59" s="44"/>
      <c r="R59" s="44"/>
    </row>
    <row r="60" spans="1:29" ht="15">
      <c r="A60" s="63"/>
      <c r="B60" s="58"/>
      <c r="C60" s="58"/>
      <c r="D60" s="64"/>
      <c r="E60" s="65"/>
      <c r="F60" s="65"/>
      <c r="G60" s="65"/>
      <c r="H60" s="65"/>
      <c r="I60" s="65"/>
      <c r="J60" s="66"/>
    </row>
    <row r="61" spans="1:29" ht="15">
      <c r="A61" s="63"/>
      <c r="B61" s="58"/>
      <c r="C61" s="58"/>
      <c r="D61" s="64"/>
      <c r="E61" s="65"/>
      <c r="F61" s="65"/>
      <c r="G61" s="65"/>
      <c r="H61" s="65"/>
      <c r="I61" s="65"/>
      <c r="J61" s="66"/>
    </row>
    <row r="62" spans="1:29" ht="15">
      <c r="A62" s="63"/>
      <c r="B62" s="58"/>
      <c r="C62" s="58"/>
      <c r="D62" s="64"/>
      <c r="E62" s="65"/>
      <c r="F62" s="69"/>
      <c r="G62" s="67"/>
      <c r="H62" s="65"/>
      <c r="I62" s="65"/>
      <c r="J62" s="66"/>
    </row>
    <row r="63" spans="1:29" ht="15">
      <c r="A63" s="63"/>
      <c r="B63" s="58"/>
      <c r="C63" s="58"/>
      <c r="D63" s="64"/>
      <c r="E63" s="65"/>
      <c r="F63" s="67"/>
      <c r="G63" s="65"/>
      <c r="H63" s="65"/>
      <c r="I63" s="65"/>
      <c r="J63" s="66"/>
    </row>
    <row r="64" spans="1:29" ht="15">
      <c r="A64" s="63"/>
      <c r="B64" s="58"/>
      <c r="C64" s="58"/>
      <c r="D64" s="64"/>
      <c r="E64" s="65"/>
      <c r="F64" s="67"/>
      <c r="G64" s="67"/>
      <c r="H64" s="67"/>
      <c r="I64" s="65"/>
      <c r="J64" s="66"/>
    </row>
    <row r="65" spans="1:10" ht="15">
      <c r="A65" s="63"/>
      <c r="B65" s="58"/>
      <c r="C65" s="58"/>
      <c r="D65" s="64"/>
      <c r="E65" s="65"/>
      <c r="F65" s="67"/>
      <c r="G65" s="67"/>
      <c r="H65" s="67"/>
      <c r="I65" s="65"/>
      <c r="J65" s="66"/>
    </row>
    <row r="66" spans="1:10" ht="15">
      <c r="A66" s="70"/>
      <c r="B66" s="71"/>
      <c r="C66" s="71"/>
      <c r="D66" s="71"/>
      <c r="E66" s="71"/>
      <c r="F66" s="71"/>
      <c r="G66" s="71"/>
      <c r="H66" s="71"/>
      <c r="I66" s="71"/>
      <c r="J66" s="72"/>
    </row>
    <row r="67" spans="1:10">
      <c r="A67" s="5"/>
    </row>
    <row r="71" spans="1:10">
      <c r="B71" s="74"/>
      <c r="C71" s="74"/>
      <c r="D71" s="74"/>
      <c r="E71" s="74"/>
      <c r="F71" s="74"/>
      <c r="G71" s="74"/>
      <c r="H71" s="74"/>
      <c r="I71" s="74"/>
    </row>
    <row r="72" spans="1:10">
      <c r="B72" s="74"/>
      <c r="C72" s="74"/>
      <c r="D72" s="74"/>
      <c r="E72" s="74"/>
      <c r="F72" s="74"/>
      <c r="G72" s="74"/>
      <c r="H72" s="74"/>
      <c r="I72" s="74"/>
    </row>
    <row r="73" spans="1:10">
      <c r="B73" s="74"/>
      <c r="C73" s="74"/>
      <c r="D73" s="74"/>
      <c r="E73" s="74"/>
      <c r="F73" s="74"/>
      <c r="G73" s="74"/>
      <c r="H73" s="74"/>
      <c r="I73" s="74"/>
    </row>
  </sheetData>
  <mergeCells count="8">
    <mergeCell ref="A37:F37"/>
    <mergeCell ref="G34:K35"/>
    <mergeCell ref="A1:K1"/>
    <mergeCell ref="A2:K2"/>
    <mergeCell ref="A3:K3"/>
    <mergeCell ref="A4:K4"/>
    <mergeCell ref="D6:F6"/>
    <mergeCell ref="G6:J6"/>
  </mergeCells>
  <pageMargins left="0.7" right="0.7" top="0.75" bottom="0.75" header="0.3" footer="0.3"/>
  <pageSetup scale="64" orientation="portrait" horizontalDpi="4294967295" verticalDpi="4294967295" r:id="rId1"/>
  <colBreaks count="1" manualBreakCount="1">
    <brk id="12" max="1048575" man="1"/>
  </colBreaks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F0AD8A8E47B644AAB31F301E797EF9" ma:contentTypeVersion="2" ma:contentTypeDescription="Create a new document." ma:contentTypeScope="" ma:versionID="d3b0d3e69866578351583115802bfbce">
  <xsd:schema xmlns:xsd="http://www.w3.org/2001/XMLSchema" xmlns:xs="http://www.w3.org/2001/XMLSchema" xmlns:p="http://schemas.microsoft.com/office/2006/metadata/properties" xmlns:ns3="f2b882a0-f331-411c-a07d-1bff8ca734a3" targetNamespace="http://schemas.microsoft.com/office/2006/metadata/properties" ma:root="true" ma:fieldsID="5f6f84ab63878d05f8f0f9ebe8b3a832" ns3:_="">
    <xsd:import namespace="f2b882a0-f331-411c-a07d-1bff8ca734a3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b882a0-f331-411c-a07d-1bff8ca734a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62D9133-5BCE-4B33-B58F-C3F18E466E6C}">
  <ds:schemaRefs>
    <ds:schemaRef ds:uri="http://purl.org/dc/terms/"/>
    <ds:schemaRef ds:uri="http://www.w3.org/XML/1998/namespace"/>
    <ds:schemaRef ds:uri="http://schemas.openxmlformats.org/package/2006/metadata/core-properties"/>
    <ds:schemaRef ds:uri="http://purl.org/dc/elements/1.1/"/>
    <ds:schemaRef ds:uri="http://schemas.microsoft.com/office/2006/documentManagement/types"/>
    <ds:schemaRef ds:uri="http://purl.org/dc/dcmitype/"/>
    <ds:schemaRef ds:uri="http://schemas.microsoft.com/office/infopath/2007/PartnerControls"/>
    <ds:schemaRef ds:uri="f2b882a0-f331-411c-a07d-1bff8ca734a3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0743D734-6A26-4730-90D5-23CBDAFB43D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204CED7-A64A-48EC-A52E-55CE3F3D945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2b882a0-f331-411c-a07d-1bff8ca734a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9.3</vt:lpstr>
      <vt:lpstr>'9.3'!Print_Area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2025-07-08T05:42:07Z</cp:lastPrinted>
  <dcterms:created xsi:type="dcterms:W3CDTF">2019-09-09T05:11:24Z</dcterms:created>
  <dcterms:modified xsi:type="dcterms:W3CDTF">2025-07-08T05:47:43Z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0x01010006F0AD8A8E47B644AAB31F301E797EF9</vt:lpwstr>
  </property>
</Properties>
</file>