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B7AA92AE-D9EE-40CE-9E53-CBCB42D878EB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5" sheetId="5" r:id="rId1"/>
  </sheets>
  <definedNames>
    <definedName name="_xlnm.Print_Area" localSheetId="0">'15.5'!$A$1:$AU$36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5" i="5" l="1"/>
  <c r="AS16" i="5"/>
  <c r="AS30" i="5"/>
  <c r="AS33" i="5"/>
  <c r="AR32" i="5"/>
  <c r="W8" i="5"/>
  <c r="AS8" i="5" l="1"/>
  <c r="AN17" i="5"/>
  <c r="AR17" i="5"/>
  <c r="AS17" i="5"/>
  <c r="V30" i="5"/>
  <c r="AG30" i="5" s="1"/>
  <c r="AG7" i="5" s="1"/>
  <c r="W30" i="5"/>
  <c r="V22" i="5"/>
  <c r="AG22" i="5" s="1"/>
  <c r="W22" i="5"/>
  <c r="U18" i="5"/>
  <c r="V18" i="5"/>
  <c r="W18" i="5"/>
  <c r="AS9" i="5"/>
  <c r="AS10" i="5"/>
  <c r="AS11" i="5"/>
  <c r="AS12" i="5"/>
  <c r="AS13" i="5"/>
  <c r="AS14" i="5"/>
  <c r="AS19" i="5"/>
  <c r="AS23" i="5"/>
  <c r="AS24" i="5"/>
  <c r="AS25" i="5"/>
  <c r="AS26" i="5"/>
  <c r="AS27" i="5"/>
  <c r="AS28" i="5"/>
  <c r="AS29" i="5"/>
  <c r="AS32" i="5"/>
  <c r="AR23" i="5"/>
  <c r="AR24" i="5"/>
  <c r="AR25" i="5"/>
  <c r="AR26" i="5"/>
  <c r="AR27" i="5"/>
  <c r="AR28" i="5"/>
  <c r="AR29" i="5"/>
  <c r="AR14" i="5"/>
  <c r="AR15" i="5"/>
  <c r="AR19" i="5"/>
  <c r="AR20" i="5"/>
  <c r="AR11" i="5"/>
  <c r="AR12" i="5"/>
  <c r="AR13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3" i="5"/>
  <c r="AG24" i="5"/>
  <c r="AG25" i="5"/>
  <c r="AG26" i="5"/>
  <c r="AG27" i="5"/>
  <c r="AG28" i="5"/>
  <c r="AG29" i="5"/>
  <c r="AG31" i="5"/>
  <c r="AG32" i="5"/>
  <c r="AG33" i="5"/>
  <c r="AG8" i="5"/>
  <c r="AS22" i="5" l="1"/>
  <c r="AS18" i="5"/>
  <c r="W7" i="5"/>
  <c r="AH12" i="5" l="1"/>
  <c r="AH24" i="5"/>
  <c r="AH33" i="5"/>
  <c r="AH8" i="5"/>
  <c r="AH13" i="5"/>
  <c r="AH25" i="5"/>
  <c r="AH14" i="5"/>
  <c r="AH26" i="5"/>
  <c r="AH15" i="5"/>
  <c r="AH27" i="5"/>
  <c r="AH19" i="5"/>
  <c r="AS7" i="5"/>
  <c r="AH21" i="5"/>
  <c r="AH23" i="5"/>
  <c r="AH16" i="5"/>
  <c r="AH28" i="5"/>
  <c r="AH17" i="5"/>
  <c r="AH29" i="5"/>
  <c r="AH31" i="5"/>
  <c r="AH20" i="5"/>
  <c r="AH32" i="5"/>
  <c r="AH9" i="5"/>
  <c r="AH10" i="5"/>
  <c r="AH11" i="5"/>
  <c r="AH30" i="5"/>
  <c r="AH22" i="5"/>
  <c r="AH18" i="5"/>
  <c r="AH7" i="5" l="1"/>
  <c r="AR9" i="5"/>
  <c r="AR10" i="5"/>
  <c r="AR18" i="5" l="1"/>
  <c r="T8" i="5"/>
  <c r="AP9" i="5" l="1"/>
  <c r="AQ9" i="5"/>
  <c r="AP10" i="5"/>
  <c r="AQ10" i="5"/>
  <c r="AP11" i="5"/>
  <c r="AQ11" i="5"/>
  <c r="AP12" i="5"/>
  <c r="AQ12" i="5"/>
  <c r="AP13" i="5"/>
  <c r="AQ13" i="5"/>
  <c r="AP14" i="5"/>
  <c r="AQ15" i="5"/>
  <c r="AP16" i="5"/>
  <c r="AQ16" i="5"/>
  <c r="AP19" i="5"/>
  <c r="AQ19" i="5"/>
  <c r="AP20" i="5"/>
  <c r="AQ20" i="5"/>
  <c r="AP21" i="5"/>
  <c r="AQ21" i="5"/>
  <c r="AP23" i="5"/>
  <c r="AQ23" i="5"/>
  <c r="AP24" i="5"/>
  <c r="AQ24" i="5"/>
  <c r="AP25" i="5"/>
  <c r="AQ25" i="5"/>
  <c r="AP26" i="5"/>
  <c r="AQ26" i="5"/>
  <c r="AP27" i="5"/>
  <c r="AQ27" i="5"/>
  <c r="AP28" i="5"/>
  <c r="AQ28" i="5"/>
  <c r="AP29" i="5"/>
  <c r="AQ29" i="5"/>
  <c r="AP32" i="5"/>
  <c r="AQ32" i="5"/>
  <c r="AQ33" i="5"/>
  <c r="U8" i="5"/>
  <c r="T18" i="5"/>
  <c r="T22" i="5"/>
  <c r="U22" i="5"/>
  <c r="AR22" i="5" s="1"/>
  <c r="T30" i="5"/>
  <c r="U30" i="5"/>
  <c r="AR8" i="5" l="1"/>
  <c r="AQ8" i="5"/>
  <c r="AQ30" i="5"/>
  <c r="AQ22" i="5"/>
  <c r="AQ18" i="5"/>
  <c r="T7" i="5"/>
  <c r="U7" i="5"/>
  <c r="AE8" i="5" l="1"/>
  <c r="AR7" i="5"/>
  <c r="AQ7" i="5"/>
  <c r="AF9" i="5"/>
  <c r="AF13" i="5"/>
  <c r="AF17" i="5"/>
  <c r="AF21" i="5"/>
  <c r="AF25" i="5"/>
  <c r="AF29" i="5"/>
  <c r="AF33" i="5"/>
  <c r="AF10" i="5"/>
  <c r="AF14" i="5"/>
  <c r="AF18" i="5"/>
  <c r="AF22" i="5"/>
  <c r="AF26" i="5"/>
  <c r="AF30" i="5"/>
  <c r="AF11" i="5"/>
  <c r="AF15" i="5"/>
  <c r="AF19" i="5"/>
  <c r="AF23" i="5"/>
  <c r="AF27" i="5"/>
  <c r="AF31" i="5"/>
  <c r="AF12" i="5"/>
  <c r="AF16" i="5"/>
  <c r="AF20" i="5"/>
  <c r="AF24" i="5"/>
  <c r="AF28" i="5"/>
  <c r="AF32" i="5"/>
  <c r="AF8" i="5"/>
  <c r="AE11" i="5"/>
  <c r="AE15" i="5"/>
  <c r="AE19" i="5"/>
  <c r="AE23" i="5"/>
  <c r="AE27" i="5"/>
  <c r="AE31" i="5"/>
  <c r="AE25" i="5"/>
  <c r="AE29" i="5"/>
  <c r="AE33" i="5"/>
  <c r="AE10" i="5"/>
  <c r="AE14" i="5"/>
  <c r="AE18" i="5"/>
  <c r="AE22" i="5"/>
  <c r="AE26" i="5"/>
  <c r="AE12" i="5"/>
  <c r="AE16" i="5"/>
  <c r="AE20" i="5"/>
  <c r="AE24" i="5"/>
  <c r="AE28" i="5"/>
  <c r="AE32" i="5"/>
  <c r="AE9" i="5"/>
  <c r="AE13" i="5"/>
  <c r="AE17" i="5"/>
  <c r="AE21" i="5"/>
  <c r="AE30" i="5"/>
  <c r="AE7" i="5" l="1"/>
  <c r="AF7" i="5"/>
  <c r="AO9" i="5" l="1"/>
  <c r="AO10" i="5"/>
  <c r="AO11" i="5"/>
  <c r="AO12" i="5"/>
  <c r="AO13" i="5"/>
  <c r="AO14" i="5"/>
  <c r="AO15" i="5"/>
  <c r="AO16" i="5"/>
  <c r="AO19" i="5"/>
  <c r="AO21" i="5"/>
  <c r="AO23" i="5"/>
  <c r="AO24" i="5"/>
  <c r="AO25" i="5"/>
  <c r="AO26" i="5"/>
  <c r="AO27" i="5"/>
  <c r="AO28" i="5"/>
  <c r="AO29" i="5"/>
  <c r="AO32" i="5"/>
  <c r="AO33" i="5"/>
  <c r="S8" i="5"/>
  <c r="S18" i="5"/>
  <c r="S22" i="5"/>
  <c r="S30" i="5"/>
  <c r="AP8" i="5" l="1"/>
  <c r="AP30" i="5"/>
  <c r="AP22" i="5"/>
  <c r="AP18" i="5"/>
  <c r="S7" i="5"/>
  <c r="AM33" i="5"/>
  <c r="AK33" i="5"/>
  <c r="AJ33" i="5"/>
  <c r="AI33" i="5"/>
  <c r="AN32" i="5"/>
  <c r="AM32" i="5"/>
  <c r="AL32" i="5"/>
  <c r="AK32" i="5"/>
  <c r="AJ32" i="5"/>
  <c r="AI32" i="5"/>
  <c r="AJ31" i="5"/>
  <c r="AI31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N29" i="5"/>
  <c r="AK29" i="5"/>
  <c r="AJ29" i="5"/>
  <c r="AI29" i="5"/>
  <c r="AN28" i="5"/>
  <c r="AM28" i="5"/>
  <c r="AL28" i="5"/>
  <c r="AK28" i="5"/>
  <c r="AJ28" i="5"/>
  <c r="AI28" i="5"/>
  <c r="AN27" i="5"/>
  <c r="AM27" i="5"/>
  <c r="AL27" i="5"/>
  <c r="AK27" i="5"/>
  <c r="AJ27" i="5"/>
  <c r="AI27" i="5"/>
  <c r="AN26" i="5"/>
  <c r="AM26" i="5"/>
  <c r="AL26" i="5"/>
  <c r="AK26" i="5"/>
  <c r="AJ26" i="5"/>
  <c r="AI26" i="5"/>
  <c r="AN25" i="5"/>
  <c r="AM25" i="5"/>
  <c r="AL25" i="5"/>
  <c r="AK25" i="5"/>
  <c r="AJ25" i="5"/>
  <c r="AI25" i="5"/>
  <c r="AN24" i="5"/>
  <c r="AM24" i="5"/>
  <c r="AL24" i="5"/>
  <c r="AK24" i="5"/>
  <c r="AJ24" i="5"/>
  <c r="AI24" i="5"/>
  <c r="AN23" i="5"/>
  <c r="AM23" i="5"/>
  <c r="AK23" i="5"/>
  <c r="AJ23" i="5"/>
  <c r="AI23" i="5"/>
  <c r="R22" i="5"/>
  <c r="AO22" i="5" s="1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N21" i="5"/>
  <c r="AM21" i="5"/>
  <c r="AL21" i="5"/>
  <c r="AJ21" i="5"/>
  <c r="AI21" i="5"/>
  <c r="AN20" i="5"/>
  <c r="AM20" i="5"/>
  <c r="AK20" i="5"/>
  <c r="AJ20" i="5"/>
  <c r="AI20" i="5"/>
  <c r="AN19" i="5"/>
  <c r="AM19" i="5"/>
  <c r="AL19" i="5"/>
  <c r="AK19" i="5"/>
  <c r="AJ19" i="5"/>
  <c r="AI19" i="5"/>
  <c r="R18" i="5"/>
  <c r="AO18" i="5" s="1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K17" i="5"/>
  <c r="AJ17" i="5"/>
  <c r="AI17" i="5"/>
  <c r="AN16" i="5"/>
  <c r="AM16" i="5"/>
  <c r="AL16" i="5"/>
  <c r="AK16" i="5"/>
  <c r="AJ16" i="5"/>
  <c r="AI16" i="5"/>
  <c r="AL15" i="5"/>
  <c r="AK15" i="5"/>
  <c r="AJ15" i="5"/>
  <c r="AI15" i="5"/>
  <c r="AN14" i="5"/>
  <c r="AM14" i="5"/>
  <c r="AK14" i="5"/>
  <c r="AJ14" i="5"/>
  <c r="AI14" i="5"/>
  <c r="AN13" i="5"/>
  <c r="AM13" i="5"/>
  <c r="AL13" i="5"/>
  <c r="AK13" i="5"/>
  <c r="AJ13" i="5"/>
  <c r="AI13" i="5"/>
  <c r="AN12" i="5"/>
  <c r="AM12" i="5"/>
  <c r="AL12" i="5"/>
  <c r="AK12" i="5"/>
  <c r="AJ12" i="5"/>
  <c r="AI12" i="5"/>
  <c r="AN11" i="5"/>
  <c r="AM11" i="5"/>
  <c r="AL11" i="5"/>
  <c r="AK11" i="5"/>
  <c r="AJ11" i="5"/>
  <c r="AI11" i="5"/>
  <c r="AN10" i="5"/>
  <c r="AM10" i="5"/>
  <c r="AL10" i="5"/>
  <c r="AK10" i="5"/>
  <c r="AJ10" i="5"/>
  <c r="AI10" i="5"/>
  <c r="AN9" i="5"/>
  <c r="AM9" i="5"/>
  <c r="AL9" i="5"/>
  <c r="AK9" i="5"/>
  <c r="AJ9" i="5"/>
  <c r="AI9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D22" i="5" l="1"/>
  <c r="AP7" i="5"/>
  <c r="AN8" i="5"/>
  <c r="AO8" i="5"/>
  <c r="AD18" i="5"/>
  <c r="AD15" i="5"/>
  <c r="AD27" i="5"/>
  <c r="AD25" i="5"/>
  <c r="AD16" i="5"/>
  <c r="AD28" i="5"/>
  <c r="AD29" i="5"/>
  <c r="AD14" i="5"/>
  <c r="AD17" i="5"/>
  <c r="AD31" i="5"/>
  <c r="AD19" i="5"/>
  <c r="AD20" i="5"/>
  <c r="AD32" i="5"/>
  <c r="AD9" i="5"/>
  <c r="AD21" i="5"/>
  <c r="AD33" i="5"/>
  <c r="AD26" i="5"/>
  <c r="AD10" i="5"/>
  <c r="AD11" i="5"/>
  <c r="AD23" i="5"/>
  <c r="AD12" i="5"/>
  <c r="AD24" i="5"/>
  <c r="AD13" i="5"/>
  <c r="AD30" i="5"/>
  <c r="H7" i="5"/>
  <c r="AD8" i="5"/>
  <c r="AK18" i="5"/>
  <c r="AL8" i="5"/>
  <c r="AI18" i="5"/>
  <c r="K7" i="5"/>
  <c r="C7" i="5"/>
  <c r="AM30" i="5"/>
  <c r="AK22" i="5"/>
  <c r="F7" i="5"/>
  <c r="AL18" i="5"/>
  <c r="AN30" i="5"/>
  <c r="AO30" i="5"/>
  <c r="AM18" i="5"/>
  <c r="AJ22" i="5"/>
  <c r="P7" i="5"/>
  <c r="AA32" i="5" s="1"/>
  <c r="AI30" i="5"/>
  <c r="AJ30" i="5"/>
  <c r="B7" i="5"/>
  <c r="J7" i="5"/>
  <c r="D7" i="5"/>
  <c r="L7" i="5"/>
  <c r="N7" i="5"/>
  <c r="Y15" i="5" s="1"/>
  <c r="AN22" i="5"/>
  <c r="E7" i="5"/>
  <c r="M7" i="5"/>
  <c r="X29" i="5" s="1"/>
  <c r="O7" i="5"/>
  <c r="Z20" i="5" s="1"/>
  <c r="G7" i="5"/>
  <c r="R7" i="5"/>
  <c r="AO7" i="5" s="1"/>
  <c r="I7" i="5"/>
  <c r="Q7" i="5"/>
  <c r="AB10" i="5" s="1"/>
  <c r="AI8" i="5"/>
  <c r="AK8" i="5"/>
  <c r="AM8" i="5"/>
  <c r="AL22" i="5"/>
  <c r="AK30" i="5"/>
  <c r="AJ8" i="5"/>
  <c r="AJ18" i="5"/>
  <c r="AN18" i="5"/>
  <c r="AI22" i="5"/>
  <c r="AM22" i="5"/>
  <c r="AL30" i="5"/>
  <c r="AC22" i="5" l="1"/>
  <c r="AN7" i="5"/>
  <c r="Z27" i="5"/>
  <c r="AD7" i="5"/>
  <c r="Z29" i="5"/>
  <c r="Z30" i="5"/>
  <c r="Z13" i="5"/>
  <c r="Z19" i="5"/>
  <c r="Z23" i="5"/>
  <c r="Z12" i="5"/>
  <c r="Z24" i="5"/>
  <c r="Z28" i="5"/>
  <c r="Z18" i="5"/>
  <c r="Z31" i="5"/>
  <c r="Z33" i="5"/>
  <c r="Z21" i="5"/>
  <c r="Z22" i="5"/>
  <c r="Z32" i="5"/>
  <c r="AC31" i="5"/>
  <c r="Z11" i="5"/>
  <c r="AC12" i="5"/>
  <c r="AC18" i="5"/>
  <c r="Z15" i="5"/>
  <c r="Y31" i="5"/>
  <c r="Y21" i="5"/>
  <c r="AB14" i="5"/>
  <c r="X11" i="5"/>
  <c r="AB15" i="5"/>
  <c r="X23" i="5"/>
  <c r="Y17" i="5"/>
  <c r="AA15" i="5"/>
  <c r="AA33" i="5"/>
  <c r="AA16" i="5"/>
  <c r="AB18" i="5"/>
  <c r="AB8" i="5"/>
  <c r="Y8" i="5"/>
  <c r="AA19" i="5"/>
  <c r="Y9" i="5"/>
  <c r="AA18" i="5"/>
  <c r="AM7" i="5"/>
  <c r="AB30" i="5"/>
  <c r="AB23" i="5"/>
  <c r="AL7" i="5"/>
  <c r="AB31" i="5"/>
  <c r="AA26" i="5"/>
  <c r="Y22" i="5"/>
  <c r="Y10" i="5"/>
  <c r="AB24" i="5"/>
  <c r="AA8" i="5"/>
  <c r="AA27" i="5"/>
  <c r="Y26" i="5"/>
  <c r="Y11" i="5"/>
  <c r="Y30" i="5"/>
  <c r="AB11" i="5"/>
  <c r="AB25" i="5"/>
  <c r="AA22" i="5"/>
  <c r="AA9" i="5"/>
  <c r="AA28" i="5"/>
  <c r="Y27" i="5"/>
  <c r="Y12" i="5"/>
  <c r="AB32" i="5"/>
  <c r="AA30" i="5"/>
  <c r="AB12" i="5"/>
  <c r="AB26" i="5"/>
  <c r="AA17" i="5"/>
  <c r="AA13" i="5"/>
  <c r="AA29" i="5"/>
  <c r="Y28" i="5"/>
  <c r="Y19" i="5"/>
  <c r="AB13" i="5"/>
  <c r="AB9" i="5"/>
  <c r="AA14" i="5"/>
  <c r="AA23" i="5"/>
  <c r="Y29" i="5"/>
  <c r="Y20" i="5"/>
  <c r="X31" i="5"/>
  <c r="X13" i="5"/>
  <c r="X25" i="5"/>
  <c r="X9" i="5"/>
  <c r="X32" i="5"/>
  <c r="X14" i="5"/>
  <c r="X26" i="5"/>
  <c r="X8" i="5"/>
  <c r="X33" i="5"/>
  <c r="AB33" i="5"/>
  <c r="AB19" i="5"/>
  <c r="AB27" i="5"/>
  <c r="AB22" i="5"/>
  <c r="AK7" i="5"/>
  <c r="Y18" i="5"/>
  <c r="AA10" i="5"/>
  <c r="AA20" i="5"/>
  <c r="AA25" i="5"/>
  <c r="X16" i="5"/>
  <c r="X19" i="5"/>
  <c r="Y23" i="5"/>
  <c r="Y32" i="5"/>
  <c r="Y13" i="5"/>
  <c r="X30" i="5"/>
  <c r="X12" i="5"/>
  <c r="X24" i="5"/>
  <c r="AA31" i="5"/>
  <c r="X17" i="5"/>
  <c r="X21" i="5"/>
  <c r="Y24" i="5"/>
  <c r="Y33" i="5"/>
  <c r="Y14" i="5"/>
  <c r="X15" i="5"/>
  <c r="AB16" i="5"/>
  <c r="AB20" i="5"/>
  <c r="AB28" i="5"/>
  <c r="X22" i="5"/>
  <c r="AA11" i="5"/>
  <c r="AA21" i="5"/>
  <c r="X18" i="5"/>
  <c r="AB17" i="5"/>
  <c r="AB21" i="5"/>
  <c r="AB29" i="5"/>
  <c r="AJ7" i="5"/>
  <c r="AA12" i="5"/>
  <c r="AA24" i="5"/>
  <c r="X10" i="5"/>
  <c r="AI7" i="5"/>
  <c r="Y25" i="5"/>
  <c r="Y16" i="5"/>
  <c r="X27" i="5"/>
  <c r="AC23" i="5"/>
  <c r="AC29" i="5"/>
  <c r="AC11" i="5"/>
  <c r="AC8" i="5"/>
  <c r="AC32" i="5"/>
  <c r="AC24" i="5"/>
  <c r="AC33" i="5"/>
  <c r="AC14" i="5"/>
  <c r="AC13" i="5"/>
  <c r="AC16" i="5"/>
  <c r="AC15" i="5"/>
  <c r="AC30" i="5"/>
  <c r="AC26" i="5"/>
  <c r="AC17" i="5"/>
  <c r="AC19" i="5"/>
  <c r="Z10" i="5"/>
  <c r="AC25" i="5"/>
  <c r="Z14" i="5"/>
  <c r="Z25" i="5"/>
  <c r="Z16" i="5"/>
  <c r="AC27" i="5"/>
  <c r="AC9" i="5"/>
  <c r="AC20" i="5"/>
  <c r="Z9" i="5"/>
  <c r="X20" i="5"/>
  <c r="X28" i="5"/>
  <c r="Z8" i="5"/>
  <c r="Z26" i="5"/>
  <c r="Z17" i="5"/>
  <c r="AC28" i="5"/>
  <c r="AC10" i="5"/>
  <c r="AC21" i="5"/>
  <c r="X7" i="5" l="1"/>
  <c r="AB7" i="5"/>
  <c r="AA7" i="5"/>
  <c r="Y7" i="5"/>
  <c r="Z7" i="5"/>
  <c r="AC7" i="5"/>
</calcChain>
</file>

<file path=xl/sharedStrings.xml><?xml version="1.0" encoding="utf-8"?>
<sst xmlns="http://schemas.openxmlformats.org/spreadsheetml/2006/main" count="94" uniqueCount="65">
  <si>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</si>
  <si>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</si>
  <si>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</si>
  <si>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</si>
  <si>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</si>
  <si>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</si>
  <si>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</si>
  <si>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</si>
  <si>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</si>
  <si>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</si>
  <si>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</si>
  <si>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</si>
  <si>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</si>
  <si>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</si>
  <si>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</si>
  <si>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</si>
  <si>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</si>
  <si>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</si>
  <si>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</si>
  <si>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</si>
  <si>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</si>
  <si>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</si>
  <si>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</si>
  <si>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</si>
  <si>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</si>
  <si>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</si>
  <si>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</si>
  <si>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</si>
  <si>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</si>
  <si>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</si>
  <si>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</si>
  <si>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</si>
  <si>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</si>
  <si>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</si>
  <si>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</si>
  <si>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</si>
  <si>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na</t>
  </si>
  <si>
    <t>Source:  Maldives Customs Services</t>
  </si>
  <si>
    <t xml:space="preserve">cswsivrWs cscmwTcswk cscviDclOm :ctWrwfivcaed utWmUluAwm     </t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</si>
  <si>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</si>
  <si>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</si>
  <si>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</si>
  <si>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</si>
  <si>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</si>
  <si>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</si>
  <si>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</si>
  <si>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</si>
  <si>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</si>
  <si>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</si>
  <si>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</si>
  <si>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</si>
  <si>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</si>
  <si>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</si>
  <si>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</si>
  <si>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</si>
  <si>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</si>
  <si>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</si>
  <si>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</si>
  <si>
    <r>
      <rPr>
        <b/>
        <sz val="10"/>
        <rFont val="Calibri"/>
        <family val="2"/>
        <scheme val="minor"/>
      </rPr>
      <t xml:space="preserve"> Value (in MVR. '000)</t>
    </r>
    <r>
      <rPr>
        <b/>
        <sz val="10"/>
        <rFont val="A_Faseyha"/>
      </rPr>
      <t xml:space="preserve">   </t>
    </r>
    <r>
      <rPr>
        <b/>
        <sz val="8"/>
        <rFont val="A_Faseyha"/>
      </rPr>
      <t>(cniaWyifur '000 ) ugwa</t>
    </r>
  </si>
  <si>
    <t>(*)</t>
  </si>
  <si>
    <t xml:space="preserve">Note: (*) - Indicates if the percentage change is greater than 100. </t>
  </si>
  <si>
    <t>ތާވަލު އެކުލަވާލީ: މޯލްޑިވްސް ބިއުރޯ އޮފް ސްޓެޓިސްޓިކްސް</t>
  </si>
  <si>
    <t>Table  15.5: EXPORTS BY COUNTRY OF DESTINATION, 2018 -2024</t>
  </si>
  <si>
    <t>2024- 2018 ,cawtumuawq unuvunof Wdum unuverukurEb cnEjcaWr : 15.5 ulwvWt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</si>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</sst>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5" formatCode="#,##0.0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andhoo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b/>
      <sz val="8"/>
      <name val="A_Faseyha"/>
    </font>
    <font>
      <i/>
      <sz val="9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9" fillId="0" borderId="0"/>
    <xf numFmtId="40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5" fillId="0" borderId="40" applyNumberFormat="0" applyFill="0" applyAlignment="0" applyProtection="0"/>
    <xf numFmtId="0" fontId="26" fillId="0" borderId="41" applyNumberFormat="0" applyFill="0" applyAlignment="0" applyProtection="0"/>
    <xf numFmtId="0" fontId="27" fillId="0" borderId="42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3" applyNumberFormat="0" applyAlignment="0" applyProtection="0"/>
    <xf numFmtId="0" fontId="32" fillId="9" borderId="44" applyNumberFormat="0" applyAlignment="0" applyProtection="0"/>
    <xf numFmtId="0" fontId="33" fillId="9" borderId="43" applyNumberFormat="0" applyAlignment="0" applyProtection="0"/>
    <xf numFmtId="0" fontId="34" fillId="0" borderId="45" applyNumberFormat="0" applyFill="0" applyAlignment="0" applyProtection="0"/>
    <xf numFmtId="0" fontId="35" fillId="10" borderId="46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48" applyNumberFormat="0" applyFill="0" applyAlignment="0" applyProtection="0"/>
    <xf numFmtId="0" fontId="3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8" fillId="35" borderId="0" applyNumberFormat="0" applyBorder="0" applyAlignment="0" applyProtection="0"/>
    <xf numFmtId="0" fontId="39" fillId="0" borderId="0"/>
    <xf numFmtId="0" fontId="7" fillId="0" borderId="0"/>
    <xf numFmtId="172" fontId="7" fillId="0" borderId="0" applyFont="0" applyFill="0" applyBorder="0" applyAlignment="0" applyProtection="0"/>
    <xf numFmtId="173" fontId="40" fillId="0" borderId="0"/>
    <xf numFmtId="0" fontId="4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2" fillId="36" borderId="0" applyNumberFormat="0" applyBorder="0" applyAlignment="0" applyProtection="0"/>
    <xf numFmtId="0" fontId="7" fillId="0" borderId="0"/>
  </cellStyleXfs>
  <cellXfs count="155">
    <xf numFmtId="0" fontId="0" fillId="0" borderId="0" xfId="0"/>
    <xf numFmtId="165" fontId="8" fillId="2" borderId="0" xfId="0" applyNumberFormat="1" applyFont="1" applyFill="1" applyAlignment="1">
      <alignment horizontal="right" vertical="center"/>
    </xf>
    <xf numFmtId="165" fontId="11" fillId="2" borderId="3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/>
    </xf>
    <xf numFmtId="3" fontId="3" fillId="2" borderId="11" xfId="0" applyNumberFormat="1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vertical="center"/>
    </xf>
    <xf numFmtId="171" fontId="4" fillId="2" borderId="13" xfId="3" applyFont="1" applyFill="1" applyBorder="1" applyAlignment="1">
      <alignment vertical="center"/>
    </xf>
    <xf numFmtId="171" fontId="5" fillId="2" borderId="14" xfId="3" applyFont="1" applyFill="1" applyBorder="1" applyAlignment="1">
      <alignment vertical="center"/>
    </xf>
    <xf numFmtId="171" fontId="6" fillId="2" borderId="15" xfId="3" applyFont="1" applyFill="1" applyBorder="1" applyAlignment="1">
      <alignment vertical="center"/>
    </xf>
    <xf numFmtId="171" fontId="14" fillId="2" borderId="16" xfId="3" applyFont="1" applyFill="1" applyBorder="1" applyAlignment="1">
      <alignment vertical="center"/>
    </xf>
    <xf numFmtId="171" fontId="6" fillId="2" borderId="3" xfId="3" applyFont="1" applyFill="1" applyBorder="1" applyAlignment="1">
      <alignment horizontal="center" vertical="center"/>
    </xf>
    <xf numFmtId="171" fontId="6" fillId="2" borderId="0" xfId="3" applyFont="1" applyFill="1" applyAlignment="1">
      <alignment horizontal="center" vertical="center"/>
    </xf>
    <xf numFmtId="171" fontId="14" fillId="2" borderId="0" xfId="3" applyFont="1" applyFill="1" applyAlignment="1">
      <alignment vertical="center"/>
    </xf>
    <xf numFmtId="171" fontId="14" fillId="2" borderId="18" xfId="3" applyFont="1" applyFill="1" applyBorder="1" applyAlignment="1">
      <alignment vertical="center"/>
    </xf>
    <xf numFmtId="171" fontId="17" fillId="2" borderId="1" xfId="3" applyFont="1" applyFill="1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9" fillId="2" borderId="19" xfId="0" applyFont="1" applyFill="1" applyBorder="1" applyAlignment="1">
      <alignment horizontal="center" vertical="center"/>
    </xf>
    <xf numFmtId="171" fontId="17" fillId="2" borderId="21" xfId="3" applyFont="1" applyFill="1" applyBorder="1" applyAlignment="1">
      <alignment vertical="center"/>
    </xf>
    <xf numFmtId="171" fontId="17" fillId="2" borderId="22" xfId="3" applyFont="1" applyFill="1" applyBorder="1" applyAlignment="1">
      <alignment vertical="center"/>
    </xf>
    <xf numFmtId="171" fontId="15" fillId="2" borderId="7" xfId="3" applyFont="1" applyFill="1" applyBorder="1" applyAlignment="1">
      <alignment horizontal="center"/>
    </xf>
    <xf numFmtId="171" fontId="15" fillId="2" borderId="7" xfId="3" applyFont="1" applyFill="1" applyBorder="1" applyAlignment="1">
      <alignment horizontal="right"/>
    </xf>
    <xf numFmtId="171" fontId="8" fillId="2" borderId="7" xfId="3" applyFont="1" applyFill="1" applyBorder="1" applyAlignment="1">
      <alignment horizontal="right" vertical="center"/>
    </xf>
    <xf numFmtId="171" fontId="8" fillId="2" borderId="3" xfId="3" applyFont="1" applyFill="1" applyBorder="1" applyAlignment="1">
      <alignment horizontal="right" vertical="center"/>
    </xf>
    <xf numFmtId="171" fontId="8" fillId="2" borderId="25" xfId="3" applyFont="1" applyFill="1" applyBorder="1" applyAlignment="1">
      <alignment horizontal="right" vertical="center"/>
    </xf>
    <xf numFmtId="171" fontId="8" fillId="2" borderId="26" xfId="3" applyFont="1" applyFill="1" applyBorder="1" applyAlignment="1">
      <alignment horizontal="right" vertical="center"/>
    </xf>
    <xf numFmtId="171" fontId="8" fillId="2" borderId="27" xfId="3" applyFont="1" applyFill="1" applyBorder="1" applyAlignment="1">
      <alignment horizontal="right" vertical="center"/>
    </xf>
    <xf numFmtId="171" fontId="8" fillId="2" borderId="0" xfId="3" applyFont="1" applyFill="1" applyAlignment="1">
      <alignment horizontal="right" vertical="center"/>
    </xf>
    <xf numFmtId="171" fontId="14" fillId="2" borderId="13" xfId="3" applyFont="1" applyFill="1" applyBorder="1" applyAlignment="1">
      <alignment horizontal="center" vertical="center"/>
    </xf>
    <xf numFmtId="171" fontId="8" fillId="3" borderId="18" xfId="3" applyFont="1" applyFill="1" applyBorder="1" applyAlignment="1">
      <alignment horizontal="left" vertical="center"/>
    </xf>
    <xf numFmtId="4" fontId="15" fillId="3" borderId="18" xfId="3" applyNumberFormat="1" applyFont="1" applyFill="1" applyBorder="1" applyAlignment="1">
      <alignment horizontal="right"/>
    </xf>
    <xf numFmtId="3" fontId="8" fillId="3" borderId="28" xfId="3" applyNumberFormat="1" applyFont="1" applyFill="1" applyBorder="1" applyAlignment="1">
      <alignment horizontal="right" vertical="center"/>
    </xf>
    <xf numFmtId="3" fontId="8" fillId="3" borderId="29" xfId="3" applyNumberFormat="1" applyFont="1" applyFill="1" applyBorder="1" applyAlignment="1">
      <alignment horizontal="right" vertical="center"/>
    </xf>
    <xf numFmtId="3" fontId="8" fillId="3" borderId="30" xfId="3" applyNumberFormat="1" applyFont="1" applyFill="1" applyBorder="1" applyAlignment="1">
      <alignment horizontal="right" vertical="center"/>
    </xf>
    <xf numFmtId="3" fontId="8" fillId="4" borderId="32" xfId="4" applyNumberFormat="1" applyFont="1" applyFill="1" applyBorder="1" applyAlignment="1">
      <alignment horizontal="right" vertical="center"/>
    </xf>
    <xf numFmtId="3" fontId="8" fillId="4" borderId="30" xfId="4" applyNumberFormat="1" applyFont="1" applyFill="1" applyBorder="1" applyAlignment="1">
      <alignment horizontal="right" vertical="center"/>
    </xf>
    <xf numFmtId="171" fontId="14" fillId="2" borderId="13" xfId="3" applyFont="1" applyFill="1" applyBorder="1"/>
    <xf numFmtId="171" fontId="8" fillId="4" borderId="13" xfId="3" applyFont="1" applyFill="1" applyBorder="1"/>
    <xf numFmtId="4" fontId="15" fillId="4" borderId="13" xfId="4" applyNumberFormat="1" applyFont="1" applyFill="1" applyBorder="1" applyAlignment="1">
      <alignment horizontal="right"/>
    </xf>
    <xf numFmtId="3" fontId="8" fillId="4" borderId="13" xfId="4" applyNumberFormat="1" applyFont="1" applyFill="1" applyBorder="1" applyAlignment="1">
      <alignment horizontal="right" vertical="center"/>
    </xf>
    <xf numFmtId="3" fontId="8" fillId="4" borderId="5" xfId="4" applyNumberFormat="1" applyFont="1" applyFill="1" applyBorder="1" applyAlignment="1">
      <alignment horizontal="right" vertical="center"/>
    </xf>
    <xf numFmtId="3" fontId="8" fillId="4" borderId="11" xfId="4" applyNumberFormat="1" applyFont="1" applyFill="1" applyBorder="1" applyAlignment="1">
      <alignment horizontal="right" vertical="center"/>
    </xf>
    <xf numFmtId="165" fontId="8" fillId="4" borderId="34" xfId="4" applyNumberFormat="1" applyFont="1" applyFill="1" applyBorder="1" applyAlignment="1">
      <alignment horizontal="right" vertical="center"/>
    </xf>
    <xf numFmtId="165" fontId="8" fillId="4" borderId="11" xfId="4" applyNumberFormat="1" applyFont="1" applyFill="1" applyBorder="1" applyAlignment="1">
      <alignment horizontal="right" vertical="center"/>
    </xf>
    <xf numFmtId="171" fontId="11" fillId="4" borderId="13" xfId="3" applyFont="1" applyFill="1" applyBorder="1" applyAlignment="1">
      <alignment horizontal="left"/>
    </xf>
    <xf numFmtId="4" fontId="16" fillId="4" borderId="13" xfId="2" applyNumberFormat="1" applyFont="1" applyFill="1" applyBorder="1" applyAlignment="1">
      <alignment horizontal="right"/>
    </xf>
    <xf numFmtId="3" fontId="11" fillId="4" borderId="13" xfId="2" applyNumberFormat="1" applyFont="1" applyFill="1" applyBorder="1" applyAlignment="1">
      <alignment horizontal="right" vertical="center"/>
    </xf>
    <xf numFmtId="3" fontId="11" fillId="4" borderId="5" xfId="2" applyNumberFormat="1" applyFont="1" applyFill="1" applyBorder="1" applyAlignment="1">
      <alignment horizontal="right" vertical="center"/>
    </xf>
    <xf numFmtId="3" fontId="11" fillId="4" borderId="11" xfId="2" applyNumberFormat="1" applyFont="1" applyFill="1" applyBorder="1" applyAlignment="1">
      <alignment horizontal="right" vertical="center"/>
    </xf>
    <xf numFmtId="165" fontId="11" fillId="4" borderId="34" xfId="4" applyNumberFormat="1" applyFont="1" applyFill="1" applyBorder="1" applyAlignment="1">
      <alignment horizontal="right" vertical="center"/>
    </xf>
    <xf numFmtId="165" fontId="11" fillId="4" borderId="11" xfId="4" applyNumberFormat="1" applyFont="1" applyFill="1" applyBorder="1" applyAlignment="1">
      <alignment horizontal="right" vertical="center"/>
    </xf>
    <xf numFmtId="171" fontId="8" fillId="2" borderId="13" xfId="3" applyFont="1" applyFill="1" applyBorder="1"/>
    <xf numFmtId="4" fontId="15" fillId="4" borderId="13" xfId="2" applyNumberFormat="1" applyFont="1" applyFill="1" applyBorder="1" applyAlignment="1">
      <alignment horizontal="right"/>
    </xf>
    <xf numFmtId="3" fontId="8" fillId="4" borderId="13" xfId="2" applyNumberFormat="1" applyFont="1" applyFill="1" applyBorder="1" applyAlignment="1">
      <alignment horizontal="right" vertical="center"/>
    </xf>
    <xf numFmtId="3" fontId="8" fillId="4" borderId="5" xfId="2" applyNumberFormat="1" applyFont="1" applyFill="1" applyBorder="1" applyAlignment="1">
      <alignment horizontal="right" vertical="center"/>
    </xf>
    <xf numFmtId="3" fontId="8" fillId="4" borderId="11" xfId="2" applyNumberFormat="1" applyFont="1" applyFill="1" applyBorder="1" applyAlignment="1">
      <alignment horizontal="right" vertical="center"/>
    </xf>
    <xf numFmtId="4" fontId="15" fillId="2" borderId="13" xfId="4" applyNumberFormat="1" applyFont="1" applyFill="1" applyBorder="1" applyAlignment="1">
      <alignment horizontal="right"/>
    </xf>
    <xf numFmtId="3" fontId="8" fillId="2" borderId="13" xfId="4" applyNumberFormat="1" applyFont="1" applyFill="1" applyBorder="1" applyAlignment="1">
      <alignment horizontal="right" vertical="center"/>
    </xf>
    <xf numFmtId="3" fontId="8" fillId="2" borderId="5" xfId="4" applyNumberFormat="1" applyFont="1" applyFill="1" applyBorder="1" applyAlignment="1">
      <alignment horizontal="right" vertical="center"/>
    </xf>
    <xf numFmtId="3" fontId="8" fillId="2" borderId="11" xfId="4" applyNumberFormat="1" applyFont="1" applyFill="1" applyBorder="1" applyAlignment="1">
      <alignment horizontal="right" vertical="center"/>
    </xf>
    <xf numFmtId="171" fontId="11" fillId="2" borderId="13" xfId="3" applyFont="1" applyFill="1" applyBorder="1" applyAlignment="1">
      <alignment horizontal="left"/>
    </xf>
    <xf numFmtId="4" fontId="16" fillId="2" borderId="13" xfId="5" applyNumberFormat="1" applyFont="1" applyFill="1" applyBorder="1" applyAlignment="1">
      <alignment horizontal="right"/>
    </xf>
    <xf numFmtId="3" fontId="11" fillId="2" borderId="13" xfId="5" applyNumberFormat="1" applyFont="1" applyFill="1" applyBorder="1" applyAlignment="1">
      <alignment horizontal="right" vertical="center"/>
    </xf>
    <xf numFmtId="3" fontId="11" fillId="2" borderId="5" xfId="5" applyNumberFormat="1" applyFont="1" applyFill="1" applyBorder="1" applyAlignment="1">
      <alignment horizontal="right" vertical="center"/>
    </xf>
    <xf numFmtId="3" fontId="11" fillId="2" borderId="11" xfId="5" applyNumberFormat="1" applyFont="1" applyFill="1" applyBorder="1" applyAlignment="1">
      <alignment horizontal="right" vertical="center"/>
    </xf>
    <xf numFmtId="3" fontId="11" fillId="4" borderId="11" xfId="5" applyNumberFormat="1" applyFont="1" applyFill="1" applyBorder="1" applyAlignment="1">
      <alignment horizontal="right" vertical="center"/>
    </xf>
    <xf numFmtId="171" fontId="8" fillId="4" borderId="13" xfId="3" applyFont="1" applyFill="1" applyBorder="1" applyAlignment="1">
      <alignment horizontal="left"/>
    </xf>
    <xf numFmtId="4" fontId="15" fillId="2" borderId="13" xfId="5" applyNumberFormat="1" applyFont="1" applyFill="1" applyBorder="1" applyAlignment="1">
      <alignment horizontal="right"/>
    </xf>
    <xf numFmtId="3" fontId="8" fillId="2" borderId="13" xfId="5" applyNumberFormat="1" applyFont="1" applyFill="1" applyBorder="1" applyAlignment="1">
      <alignment horizontal="right" vertical="center"/>
    </xf>
    <xf numFmtId="3" fontId="8" fillId="2" borderId="5" xfId="5" applyNumberFormat="1" applyFont="1" applyFill="1" applyBorder="1" applyAlignment="1">
      <alignment horizontal="right" vertical="center"/>
    </xf>
    <xf numFmtId="3" fontId="8" fillId="2" borderId="11" xfId="5" applyNumberFormat="1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right"/>
    </xf>
    <xf numFmtId="4" fontId="16" fillId="2" borderId="13" xfId="2" applyNumberFormat="1" applyFont="1" applyFill="1" applyBorder="1" applyAlignment="1">
      <alignment horizontal="right"/>
    </xf>
    <xf numFmtId="3" fontId="11" fillId="2" borderId="13" xfId="2" applyNumberFormat="1" applyFont="1" applyFill="1" applyBorder="1" applyAlignment="1">
      <alignment horizontal="right" vertical="center"/>
    </xf>
    <xf numFmtId="3" fontId="11" fillId="2" borderId="5" xfId="2" applyNumberFormat="1" applyFont="1" applyFill="1" applyBorder="1" applyAlignment="1">
      <alignment horizontal="right" vertical="center"/>
    </xf>
    <xf numFmtId="3" fontId="11" fillId="2" borderId="11" xfId="2" applyNumberFormat="1" applyFont="1" applyFill="1" applyBorder="1" applyAlignment="1">
      <alignment horizontal="right" vertical="center"/>
    </xf>
    <xf numFmtId="165" fontId="21" fillId="4" borderId="34" xfId="4" applyNumberFormat="1" applyFont="1" applyFill="1" applyBorder="1" applyAlignment="1">
      <alignment horizontal="right" vertical="center"/>
    </xf>
    <xf numFmtId="165" fontId="21" fillId="4" borderId="11" xfId="4" applyNumberFormat="1" applyFont="1" applyFill="1" applyBorder="1" applyAlignment="1">
      <alignment horizontal="right" vertical="center"/>
    </xf>
    <xf numFmtId="171" fontId="4" fillId="2" borderId="13" xfId="3" applyFont="1" applyFill="1" applyBorder="1"/>
    <xf numFmtId="171" fontId="11" fillId="2" borderId="13" xfId="3" applyFont="1" applyFill="1" applyBorder="1"/>
    <xf numFmtId="171" fontId="8" fillId="2" borderId="13" xfId="3" applyFont="1" applyFill="1" applyBorder="1" applyAlignment="1">
      <alignment horizontal="left"/>
    </xf>
    <xf numFmtId="4" fontId="15" fillId="2" borderId="13" xfId="2" applyNumberFormat="1" applyFont="1" applyFill="1" applyBorder="1" applyAlignment="1">
      <alignment horizontal="right"/>
    </xf>
    <xf numFmtId="3" fontId="8" fillId="2" borderId="13" xfId="2" applyNumberFormat="1" applyFont="1" applyFill="1" applyBorder="1" applyAlignment="1">
      <alignment horizontal="right" vertical="center"/>
    </xf>
    <xf numFmtId="3" fontId="8" fillId="2" borderId="5" xfId="2" applyNumberFormat="1" applyFont="1" applyFill="1" applyBorder="1" applyAlignment="1">
      <alignment horizontal="right" vertical="center"/>
    </xf>
    <xf numFmtId="3" fontId="8" fillId="2" borderId="11" xfId="2" applyNumberFormat="1" applyFont="1" applyFill="1" applyBorder="1" applyAlignment="1">
      <alignment horizontal="right" vertical="center"/>
    </xf>
    <xf numFmtId="165" fontId="22" fillId="4" borderId="34" xfId="4" applyNumberFormat="1" applyFont="1" applyFill="1" applyBorder="1" applyAlignment="1">
      <alignment horizontal="right" vertical="center"/>
    </xf>
    <xf numFmtId="165" fontId="22" fillId="4" borderId="11" xfId="4" applyNumberFormat="1" applyFont="1" applyFill="1" applyBorder="1" applyAlignment="1">
      <alignment horizontal="right" vertical="center"/>
    </xf>
    <xf numFmtId="171" fontId="11" fillId="2" borderId="35" xfId="3" applyFont="1" applyFill="1" applyBorder="1"/>
    <xf numFmtId="4" fontId="16" fillId="2" borderId="35" xfId="2" applyNumberFormat="1" applyFont="1" applyFill="1" applyBorder="1" applyAlignment="1">
      <alignment horizontal="right"/>
    </xf>
    <xf numFmtId="3" fontId="11" fillId="2" borderId="35" xfId="2" applyNumberFormat="1" applyFont="1" applyFill="1" applyBorder="1" applyAlignment="1">
      <alignment horizontal="right" vertical="center"/>
    </xf>
    <xf numFmtId="3" fontId="11" fillId="2" borderId="8" xfId="2" applyNumberFormat="1" applyFont="1" applyFill="1" applyBorder="1" applyAlignment="1">
      <alignment horizontal="right" vertical="center"/>
    </xf>
    <xf numFmtId="3" fontId="11" fillId="2" borderId="36" xfId="2" applyNumberFormat="1" applyFont="1" applyFill="1" applyBorder="1" applyAlignment="1">
      <alignment horizontal="right" vertical="center"/>
    </xf>
    <xf numFmtId="3" fontId="11" fillId="4" borderId="36" xfId="2" applyNumberFormat="1" applyFont="1" applyFill="1" applyBorder="1" applyAlignment="1">
      <alignment horizontal="right" vertical="center"/>
    </xf>
    <xf numFmtId="165" fontId="21" fillId="4" borderId="38" xfId="4" applyNumberFormat="1" applyFont="1" applyFill="1" applyBorder="1" applyAlignment="1">
      <alignment horizontal="right" vertical="center"/>
    </xf>
    <xf numFmtId="165" fontId="11" fillId="4" borderId="36" xfId="4" applyNumberFormat="1" applyFont="1" applyFill="1" applyBorder="1" applyAlignment="1">
      <alignment horizontal="right" vertical="center"/>
    </xf>
    <xf numFmtId="165" fontId="21" fillId="4" borderId="36" xfId="4" applyNumberFormat="1" applyFont="1" applyFill="1" applyBorder="1" applyAlignment="1">
      <alignment horizontal="right" vertical="center"/>
    </xf>
    <xf numFmtId="4" fontId="16" fillId="2" borderId="18" xfId="2" applyNumberFormat="1" applyFont="1" applyFill="1" applyBorder="1" applyAlignment="1">
      <alignment horizontal="right"/>
    </xf>
    <xf numFmtId="171" fontId="23" fillId="2" borderId="18" xfId="3" applyFont="1" applyFill="1" applyBorder="1"/>
    <xf numFmtId="171" fontId="24" fillId="2" borderId="18" xfId="3" applyFont="1" applyFill="1" applyBorder="1"/>
    <xf numFmtId="171" fontId="10" fillId="2" borderId="13" xfId="3" applyFont="1" applyFill="1" applyBorder="1" applyAlignment="1">
      <alignment vertical="center"/>
    </xf>
    <xf numFmtId="171" fontId="4" fillId="2" borderId="13" xfId="3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right" readingOrder="2"/>
    </xf>
    <xf numFmtId="0" fontId="46" fillId="2" borderId="12" xfId="0" applyFont="1" applyFill="1" applyBorder="1" applyAlignment="1">
      <alignment horizontal="right"/>
    </xf>
    <xf numFmtId="0" fontId="46" fillId="2" borderId="39" xfId="0" applyFont="1" applyFill="1" applyBorder="1" applyAlignment="1">
      <alignment horizontal="right"/>
    </xf>
    <xf numFmtId="4" fontId="16" fillId="2" borderId="4" xfId="2" applyNumberFormat="1" applyFont="1" applyFill="1" applyBorder="1" applyAlignment="1">
      <alignment horizontal="right"/>
    </xf>
    <xf numFmtId="4" fontId="16" fillId="2" borderId="19" xfId="2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right" vertical="center"/>
    </xf>
    <xf numFmtId="0" fontId="45" fillId="2" borderId="12" xfId="0" applyFont="1" applyFill="1" applyBorder="1" applyAlignment="1">
      <alignment horizontal="right"/>
    </xf>
    <xf numFmtId="171" fontId="4" fillId="2" borderId="18" xfId="3" applyFont="1" applyFill="1" applyBorder="1" applyAlignment="1">
      <alignment vertical="center"/>
    </xf>
    <xf numFmtId="0" fontId="12" fillId="2" borderId="13" xfId="0" applyFont="1" applyFill="1" applyBorder="1" applyAlignment="1">
      <alignment horizontal="right"/>
    </xf>
    <xf numFmtId="165" fontId="22" fillId="2" borderId="0" xfId="0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5" fontId="21" fillId="2" borderId="3" xfId="0" applyNumberFormat="1" applyFont="1" applyFill="1" applyBorder="1" applyAlignment="1">
      <alignment horizontal="right" vertical="center"/>
    </xf>
    <xf numFmtId="0" fontId="49" fillId="2" borderId="0" xfId="73" applyFont="1" applyFill="1" applyAlignment="1">
      <alignment horizontal="left" vertical="center"/>
    </xf>
    <xf numFmtId="171" fontId="23" fillId="2" borderId="4" xfId="3" applyFont="1" applyFill="1" applyBorder="1"/>
    <xf numFmtId="171" fontId="4" fillId="2" borderId="0" xfId="3" applyFont="1" applyFill="1" applyAlignment="1">
      <alignment vertical="center"/>
    </xf>
    <xf numFmtId="165" fontId="11" fillId="2" borderId="11" xfId="4" applyNumberFormat="1" applyFont="1" applyFill="1" applyBorder="1" applyAlignment="1">
      <alignment horizontal="right" vertical="center"/>
    </xf>
    <xf numFmtId="165" fontId="11" fillId="2" borderId="36" xfId="4" applyNumberFormat="1" applyFont="1" applyFill="1" applyBorder="1" applyAlignment="1">
      <alignment horizontal="right" vertical="center"/>
    </xf>
    <xf numFmtId="43" fontId="11" fillId="4" borderId="11" xfId="1" applyFont="1" applyFill="1" applyBorder="1" applyAlignment="1">
      <alignment horizontal="right" vertical="center"/>
    </xf>
    <xf numFmtId="3" fontId="8" fillId="4" borderId="31" xfId="4" applyNumberFormat="1" applyFont="1" applyFill="1" applyBorder="1" applyAlignment="1">
      <alignment horizontal="right" vertical="center"/>
    </xf>
    <xf numFmtId="165" fontId="8" fillId="4" borderId="33" xfId="4" applyNumberFormat="1" applyFont="1" applyFill="1" applyBorder="1" applyAlignment="1">
      <alignment horizontal="right" vertical="center"/>
    </xf>
    <xf numFmtId="3" fontId="11" fillId="4" borderId="33" xfId="2" applyNumberFormat="1" applyFont="1" applyFill="1" applyBorder="1" applyAlignment="1">
      <alignment horizontal="right" vertical="center"/>
    </xf>
    <xf numFmtId="165" fontId="11" fillId="4" borderId="33" xfId="4" applyNumberFormat="1" applyFont="1" applyFill="1" applyBorder="1" applyAlignment="1">
      <alignment horizontal="right" vertical="center"/>
    </xf>
    <xf numFmtId="43" fontId="11" fillId="4" borderId="33" xfId="1" applyFont="1" applyFill="1" applyBorder="1" applyAlignment="1">
      <alignment horizontal="right" vertical="center"/>
    </xf>
    <xf numFmtId="3" fontId="8" fillId="4" borderId="33" xfId="2" applyNumberFormat="1" applyFont="1" applyFill="1" applyBorder="1" applyAlignment="1">
      <alignment horizontal="right" vertical="center"/>
    </xf>
    <xf numFmtId="3" fontId="11" fillId="4" borderId="33" xfId="5" applyNumberFormat="1" applyFont="1" applyFill="1" applyBorder="1" applyAlignment="1">
      <alignment horizontal="right" vertical="center"/>
    </xf>
    <xf numFmtId="165" fontId="11" fillId="2" borderId="33" xfId="4" applyNumberFormat="1" applyFont="1" applyFill="1" applyBorder="1" applyAlignment="1">
      <alignment horizontal="right" vertical="center"/>
    </xf>
    <xf numFmtId="3" fontId="11" fillId="4" borderId="37" xfId="2" applyNumberFormat="1" applyFont="1" applyFill="1" applyBorder="1" applyAlignment="1">
      <alignment horizontal="right" vertical="center"/>
    </xf>
    <xf numFmtId="165" fontId="11" fillId="2" borderId="37" xfId="4" applyNumberFormat="1" applyFont="1" applyFill="1" applyBorder="1" applyAlignment="1">
      <alignment horizontal="right" vertical="center"/>
    </xf>
    <xf numFmtId="3" fontId="8" fillId="3" borderId="31" xfId="3" applyNumberFormat="1" applyFont="1" applyFill="1" applyBorder="1" applyAlignment="1">
      <alignment horizontal="right" vertical="center"/>
    </xf>
    <xf numFmtId="3" fontId="8" fillId="2" borderId="33" xfId="4" applyNumberFormat="1" applyFont="1" applyFill="1" applyBorder="1" applyAlignment="1">
      <alignment horizontal="right" vertical="center"/>
    </xf>
    <xf numFmtId="41" fontId="8" fillId="2" borderId="11" xfId="1" applyNumberFormat="1" applyFont="1" applyFill="1" applyBorder="1" applyAlignment="1">
      <alignment horizontal="right" vertical="center"/>
    </xf>
    <xf numFmtId="41" fontId="8" fillId="4" borderId="11" xfId="1" applyNumberFormat="1" applyFont="1" applyFill="1" applyBorder="1" applyAlignment="1">
      <alignment horizontal="right" vertical="center"/>
    </xf>
    <xf numFmtId="41" fontId="8" fillId="4" borderId="33" xfId="1" applyNumberFormat="1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43" fillId="2" borderId="3" xfId="0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center" vertical="center"/>
    </xf>
    <xf numFmtId="3" fontId="44" fillId="2" borderId="5" xfId="0" applyNumberFormat="1" applyFont="1" applyFill="1" applyBorder="1" applyAlignment="1">
      <alignment horizontal="center" vertical="center"/>
    </xf>
    <xf numFmtId="3" fontId="44" fillId="2" borderId="11" xfId="0" applyNumberFormat="1" applyFont="1" applyFill="1" applyBorder="1" applyAlignment="1">
      <alignment horizontal="center" vertical="center"/>
    </xf>
    <xf numFmtId="171" fontId="5" fillId="2" borderId="6" xfId="3" applyFont="1" applyFill="1" applyBorder="1" applyAlignment="1">
      <alignment horizontal="center" vertical="center"/>
    </xf>
    <xf numFmtId="171" fontId="5" fillId="2" borderId="14" xfId="3" applyFont="1" applyFill="1" applyBorder="1" applyAlignment="1">
      <alignment horizontal="center" vertical="center"/>
    </xf>
    <xf numFmtId="171" fontId="8" fillId="2" borderId="17" xfId="3" applyFont="1" applyFill="1" applyBorder="1" applyAlignment="1">
      <alignment horizontal="left" vertical="center"/>
    </xf>
    <xf numFmtId="171" fontId="8" fillId="2" borderId="20" xfId="3" applyFont="1" applyFill="1" applyBorder="1" applyAlignment="1">
      <alignment horizontal="left" vertical="center"/>
    </xf>
    <xf numFmtId="171" fontId="8" fillId="2" borderId="7" xfId="3" applyFont="1" applyFill="1" applyBorder="1" applyAlignment="1">
      <alignment horizontal="left" vertical="center"/>
    </xf>
    <xf numFmtId="171" fontId="45" fillId="2" borderId="1" xfId="3" applyFont="1" applyFill="1" applyBorder="1" applyAlignment="1">
      <alignment horizontal="center" vertical="center"/>
    </xf>
    <xf numFmtId="171" fontId="45" fillId="2" borderId="9" xfId="3" applyFont="1" applyFill="1" applyBorder="1" applyAlignment="1">
      <alignment horizontal="center" vertical="center"/>
    </xf>
    <xf numFmtId="171" fontId="45" fillId="2" borderId="2" xfId="3" applyFont="1" applyFill="1" applyBorder="1" applyAlignment="1">
      <alignment horizontal="center" vertical="center"/>
    </xf>
    <xf numFmtId="171" fontId="45" fillId="2" borderId="23" xfId="3" applyFont="1" applyFill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/>
    </xf>
    <xf numFmtId="0" fontId="43" fillId="2" borderId="9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</cellXfs>
  <cellStyles count="74">
    <cellStyle name="1" xfId="49" xr:uid="{00000000-0005-0000-0000-000000000000}"/>
    <cellStyle name="20% - Accent1" xfId="25" builtinId="30" customBuiltin="1"/>
    <cellStyle name="20% - Accent1 2" xfId="60" xr:uid="{00000000-0005-0000-0000-000002000000}"/>
    <cellStyle name="20% - Accent2" xfId="29" builtinId="34" customBuiltin="1"/>
    <cellStyle name="20% - Accent2 2" xfId="62" xr:uid="{00000000-0005-0000-0000-000004000000}"/>
    <cellStyle name="20% - Accent3" xfId="33" builtinId="38" customBuiltin="1"/>
    <cellStyle name="20% - Accent3 2" xfId="64" xr:uid="{00000000-0005-0000-0000-000006000000}"/>
    <cellStyle name="20% - Accent4" xfId="37" builtinId="42" customBuiltin="1"/>
    <cellStyle name="20% - Accent4 2" xfId="66" xr:uid="{00000000-0005-0000-0000-000008000000}"/>
    <cellStyle name="20% - Accent5" xfId="41" builtinId="46" customBuiltin="1"/>
    <cellStyle name="20% - Accent5 2" xfId="68" xr:uid="{00000000-0005-0000-0000-00000A000000}"/>
    <cellStyle name="20% - Accent6" xfId="45" builtinId="50" customBuiltin="1"/>
    <cellStyle name="20% - Accent6 2" xfId="70" xr:uid="{00000000-0005-0000-0000-00000C000000}"/>
    <cellStyle name="40% - Accent1" xfId="26" builtinId="31" customBuiltin="1"/>
    <cellStyle name="40% - Accent1 2" xfId="61" xr:uid="{00000000-0005-0000-0000-00000E000000}"/>
    <cellStyle name="40% - Accent2" xfId="30" builtinId="35" customBuiltin="1"/>
    <cellStyle name="40% - Accent2 2" xfId="63" xr:uid="{00000000-0005-0000-0000-000010000000}"/>
    <cellStyle name="40% - Accent3" xfId="34" builtinId="39" customBuiltin="1"/>
    <cellStyle name="40% - Accent3 2" xfId="65" xr:uid="{00000000-0005-0000-0000-000012000000}"/>
    <cellStyle name="40% - Accent4" xfId="38" builtinId="43" customBuiltin="1"/>
    <cellStyle name="40% - Accent4 2" xfId="67" xr:uid="{00000000-0005-0000-0000-000014000000}"/>
    <cellStyle name="40% - Accent5" xfId="42" builtinId="47" customBuiltin="1"/>
    <cellStyle name="40% - Accent5 2" xfId="69" xr:uid="{00000000-0005-0000-0000-000016000000}"/>
    <cellStyle name="40% - Accent6" xfId="46" builtinId="51" customBuiltin="1"/>
    <cellStyle name="40% - Accent6 2" xfId="71" xr:uid="{00000000-0005-0000-0000-000018000000}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1 - 20%" xfId="72" xr:uid="{00000000-0005-0000-0000-000020000000}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0" xr:uid="{00000000-0005-0000-0000-00002A000000}"/>
    <cellStyle name="Comma 3" xfId="2" xr:uid="{00000000-0005-0000-0000-00002B000000}"/>
    <cellStyle name="Comma 4" xfId="54" xr:uid="{00000000-0005-0000-0000-00002C000000}"/>
    <cellStyle name="Comma 5" xfId="57" xr:uid="{00000000-0005-0000-0000-00002D000000}"/>
    <cellStyle name="Comma_XII7" xfId="5" xr:uid="{00000000-0005-0000-0000-00002E000000}"/>
    <cellStyle name="Comma_XII-7 (Commerce)" xfId="4" xr:uid="{00000000-0005-0000-0000-00002F000000}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1" xr:uid="{00000000-0005-0000-0000-00003A000000}"/>
    <cellStyle name="Normal 2" xfId="7" xr:uid="{00000000-0005-0000-0000-00003B000000}"/>
    <cellStyle name="Normal 3" xfId="53" xr:uid="{00000000-0005-0000-0000-00003C000000}"/>
    <cellStyle name="Normal 4" xfId="56" xr:uid="{00000000-0005-0000-0000-00003D000000}"/>
    <cellStyle name="Normal 5" xfId="6" xr:uid="{00000000-0005-0000-0000-00003E000000}"/>
    <cellStyle name="Normal 6" xfId="59" xr:uid="{00000000-0005-0000-0000-00003F000000}"/>
    <cellStyle name="Normal 7" xfId="48" xr:uid="{00000000-0005-0000-0000-000040000000}"/>
    <cellStyle name="Normal_Quick data" xfId="73" xr:uid="{00000000-0005-0000-0000-000042000000}"/>
    <cellStyle name="Normal_XII-7 (Commerce)" xfId="3" xr:uid="{00000000-0005-0000-0000-000043000000}"/>
    <cellStyle name="Note 2" xfId="55" xr:uid="{00000000-0005-0000-0000-000044000000}"/>
    <cellStyle name="Note 3" xfId="58" xr:uid="{00000000-0005-0000-0000-000045000000}"/>
    <cellStyle name="Output" xfId="17" builtinId="21" customBuiltin="1"/>
    <cellStyle name="Percent 2" xfId="8" xr:uid="{00000000-0005-0000-0000-000048000000}"/>
    <cellStyle name="Title 2" xfId="52" xr:uid="{00000000-0005-0000-0000-000049000000}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Y45"/>
  <sheetViews>
    <sheetView tabSelected="1" zoomScale="106" zoomScaleNormal="106" workbookViewId="0">
      <selection activeCell="AT23" sqref="AT23"/>
    </sheetView>
  </sheetViews>
  <sheetFormatPr defaultColWidth="11" defaultRowHeight="15.75" x14ac:dyDescent="0.25"/>
  <cols>
    <col min="1" max="1" width="22.140625" style="100" customWidth="1"/>
    <col min="2" max="2" width="10.85546875" style="101" hidden="1" customWidth="1"/>
    <col min="3" max="3" width="11.140625" style="101" hidden="1" customWidth="1"/>
    <col min="4" max="4" width="11" style="101" hidden="1" customWidth="1"/>
    <col min="5" max="5" width="10.85546875" style="101" hidden="1" customWidth="1"/>
    <col min="6" max="12" width="9.5703125" style="8" hidden="1" customWidth="1"/>
    <col min="13" max="15" width="10.42578125" style="8" hidden="1" customWidth="1"/>
    <col min="16" max="16" width="12.28515625" style="8" hidden="1" customWidth="1"/>
    <col min="17" max="18" width="8.42578125" style="8" customWidth="1"/>
    <col min="19" max="19" width="10" style="8" bestFit="1" customWidth="1"/>
    <col min="20" max="22" width="8.42578125" style="8" customWidth="1"/>
    <col min="23" max="23" width="8.7109375" style="8" customWidth="1"/>
    <col min="24" max="24" width="9.140625" style="8" hidden="1" customWidth="1"/>
    <col min="25" max="25" width="8.140625" style="8" hidden="1" customWidth="1"/>
    <col min="26" max="27" width="8.85546875" style="8" hidden="1" customWidth="1"/>
    <col min="28" max="34" width="6.5703125" style="8" customWidth="1"/>
    <col min="35" max="36" width="9" style="8" hidden="1" customWidth="1"/>
    <col min="37" max="38" width="8.85546875" style="8" hidden="1" customWidth="1"/>
    <col min="39" max="45" width="7" style="8" customWidth="1"/>
    <col min="46" max="46" width="13" style="8" customWidth="1"/>
    <col min="47" max="47" width="3.28515625" style="8" customWidth="1"/>
    <col min="48" max="48" width="21.140625" style="8" customWidth="1"/>
    <col min="49" max="49" width="11" style="8"/>
    <col min="50" max="50" width="17.28515625" style="8" bestFit="1" customWidth="1"/>
    <col min="51" max="51" width="13.140625" style="8" bestFit="1" customWidth="1"/>
    <col min="52" max="16384" width="11" style="8"/>
  </cols>
  <sheetData>
    <row r="1" spans="1:51" ht="19.5" x14ac:dyDescent="0.25">
      <c r="A1" s="139" t="s">
        <v>63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6"/>
      <c r="AV1" s="7"/>
    </row>
    <row r="2" spans="1:51" s="11" customFormat="1" x14ac:dyDescent="0.25">
      <c r="A2" s="141" t="s">
        <v>62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9"/>
      <c r="AV2" s="10"/>
    </row>
    <row r="3" spans="1:51" s="14" customForma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/>
    </row>
    <row r="4" spans="1:51" s="15" customFormat="1" x14ac:dyDescent="0.25">
      <c r="A4" s="143" t="s">
        <v>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46" t="s">
        <v>58</v>
      </c>
      <c r="N4" s="146"/>
      <c r="O4" s="146"/>
      <c r="P4" s="146"/>
      <c r="Q4" s="146"/>
      <c r="R4" s="146"/>
      <c r="S4" s="146"/>
      <c r="T4" s="146"/>
      <c r="U4" s="146"/>
      <c r="V4" s="146"/>
      <c r="W4" s="147"/>
      <c r="X4" s="150" t="s">
        <v>1</v>
      </c>
      <c r="Y4" s="138"/>
      <c r="Z4" s="138"/>
      <c r="AA4" s="138"/>
      <c r="AB4" s="138"/>
      <c r="AC4" s="138"/>
      <c r="AD4" s="138"/>
      <c r="AE4" s="138"/>
      <c r="AF4" s="138"/>
      <c r="AG4" s="138"/>
      <c r="AH4" s="151"/>
      <c r="AI4" s="138" t="s">
        <v>2</v>
      </c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5" t="s">
        <v>39</v>
      </c>
      <c r="AU4" s="17"/>
      <c r="AV4" s="18"/>
    </row>
    <row r="5" spans="1:51" s="15" customFormat="1" x14ac:dyDescent="0.25">
      <c r="A5" s="144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9"/>
      <c r="X5" s="152" t="s">
        <v>3</v>
      </c>
      <c r="Y5" s="153"/>
      <c r="Z5" s="153"/>
      <c r="AA5" s="153"/>
      <c r="AB5" s="153"/>
      <c r="AC5" s="153"/>
      <c r="AD5" s="153"/>
      <c r="AE5" s="153"/>
      <c r="AF5" s="153"/>
      <c r="AG5" s="153"/>
      <c r="AH5" s="154"/>
      <c r="AI5" s="153" t="s">
        <v>4</v>
      </c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36"/>
      <c r="AU5" s="17"/>
      <c r="AV5" s="18"/>
    </row>
    <row r="6" spans="1:51" s="29" customFormat="1" x14ac:dyDescent="0.2">
      <c r="A6" s="145"/>
      <c r="B6" s="21">
        <v>2003</v>
      </c>
      <c r="C6" s="21">
        <v>2004</v>
      </c>
      <c r="D6" s="22">
        <v>2005</v>
      </c>
      <c r="E6" s="22">
        <v>2006</v>
      </c>
      <c r="F6" s="23">
        <v>2007</v>
      </c>
      <c r="G6" s="23">
        <v>2008</v>
      </c>
      <c r="H6" s="23">
        <v>2009</v>
      </c>
      <c r="I6" s="23">
        <v>2010</v>
      </c>
      <c r="J6" s="24">
        <v>2011</v>
      </c>
      <c r="K6" s="24">
        <v>2012</v>
      </c>
      <c r="L6" s="24">
        <v>2013</v>
      </c>
      <c r="M6" s="24">
        <v>2014</v>
      </c>
      <c r="N6" s="24">
        <v>2015</v>
      </c>
      <c r="O6" s="24">
        <v>2016</v>
      </c>
      <c r="P6" s="24">
        <v>2017</v>
      </c>
      <c r="Q6" s="24">
        <v>2018</v>
      </c>
      <c r="R6" s="24">
        <v>2019</v>
      </c>
      <c r="S6" s="26">
        <v>2020</v>
      </c>
      <c r="T6" s="26">
        <v>2021</v>
      </c>
      <c r="U6" s="26">
        <v>2022</v>
      </c>
      <c r="V6" s="26">
        <v>2023</v>
      </c>
      <c r="W6" s="27">
        <v>2024</v>
      </c>
      <c r="X6" s="25">
        <v>2014</v>
      </c>
      <c r="Y6" s="26">
        <v>2015</v>
      </c>
      <c r="Z6" s="26">
        <v>2016</v>
      </c>
      <c r="AA6" s="26">
        <v>2017</v>
      </c>
      <c r="AB6" s="26">
        <v>2018</v>
      </c>
      <c r="AC6" s="26">
        <v>2019</v>
      </c>
      <c r="AD6" s="26">
        <v>2020</v>
      </c>
      <c r="AE6" s="26">
        <v>2021</v>
      </c>
      <c r="AF6" s="26">
        <v>2022</v>
      </c>
      <c r="AG6" s="26">
        <v>2023</v>
      </c>
      <c r="AH6" s="27">
        <v>2024</v>
      </c>
      <c r="AI6" s="28">
        <v>2014</v>
      </c>
      <c r="AJ6" s="24">
        <v>2015</v>
      </c>
      <c r="AK6" s="24">
        <v>2016</v>
      </c>
      <c r="AL6" s="24">
        <v>2017</v>
      </c>
      <c r="AM6" s="24">
        <v>2018</v>
      </c>
      <c r="AN6" s="24">
        <v>2019</v>
      </c>
      <c r="AO6" s="24">
        <v>2020</v>
      </c>
      <c r="AP6" s="24">
        <v>2021</v>
      </c>
      <c r="AQ6" s="24">
        <v>2022</v>
      </c>
      <c r="AR6" s="24">
        <v>2023</v>
      </c>
      <c r="AS6" s="24">
        <v>2024</v>
      </c>
      <c r="AT6" s="137"/>
      <c r="AW6" s="15"/>
      <c r="AX6" s="15"/>
      <c r="AY6" s="15"/>
    </row>
    <row r="7" spans="1:51" s="37" customFormat="1" ht="15.75" customHeight="1" x14ac:dyDescent="0.4">
      <c r="A7" s="30" t="s">
        <v>5</v>
      </c>
      <c r="B7" s="31">
        <f>SUM(B8,B17,B18,B22,B30)</f>
        <v>1445921.9455699997</v>
      </c>
      <c r="C7" s="31">
        <f t="shared" ref="C7:N7" si="0">SUM(C8,C17,C18,C22,C30,C21)</f>
        <v>1572277.1540399997</v>
      </c>
      <c r="D7" s="31">
        <f t="shared" si="0"/>
        <v>1334059.5760799998</v>
      </c>
      <c r="E7" s="31">
        <f t="shared" si="0"/>
        <v>1735722.3422600001</v>
      </c>
      <c r="F7" s="32">
        <f t="shared" si="0"/>
        <v>1384588.6013099998</v>
      </c>
      <c r="G7" s="32">
        <f t="shared" si="0"/>
        <v>1617451.5994499999</v>
      </c>
      <c r="H7" s="32">
        <f t="shared" si="0"/>
        <v>981317.9378099998</v>
      </c>
      <c r="I7" s="32">
        <f t="shared" si="0"/>
        <v>949797.71056999988</v>
      </c>
      <c r="J7" s="33">
        <f t="shared" si="0"/>
        <v>1770329.63121</v>
      </c>
      <c r="K7" s="34">
        <f t="shared" si="0"/>
        <v>2483060.3319799998</v>
      </c>
      <c r="L7" s="34">
        <f t="shared" si="0"/>
        <v>2558635.1909499997</v>
      </c>
      <c r="M7" s="34">
        <f t="shared" si="0"/>
        <v>2227693.2185499994</v>
      </c>
      <c r="N7" s="34">
        <f t="shared" si="0"/>
        <v>2215411.7713000001</v>
      </c>
      <c r="O7" s="34">
        <f>SUM(O8,O17,O18,O22,O30,O21)</f>
        <v>2145317.2528799996</v>
      </c>
      <c r="P7" s="34">
        <f>SUM(P8,P17,P18,P22,P30,P21)</f>
        <v>3068176.8116000001</v>
      </c>
      <c r="Q7" s="34">
        <f>SUM(Q8,Q17,Q18,Q22,Q30,Q21)</f>
        <v>2796690.3097900008</v>
      </c>
      <c r="R7" s="34">
        <f>SUM(R8,R17,R18,R22,R30,R21)</f>
        <v>2431540.8970600003</v>
      </c>
      <c r="S7" s="34">
        <f>SUM(S8,S17,S18,S22,S30,S21)</f>
        <v>2504298.1249300004</v>
      </c>
      <c r="T7" s="34">
        <f t="shared" ref="T7:U7" si="1">SUM(T8,T17,T18,T22,T30,T21)</f>
        <v>2285808.4570199996</v>
      </c>
      <c r="U7" s="34">
        <f t="shared" si="1"/>
        <v>2404843.7606700012</v>
      </c>
      <c r="V7" s="34">
        <v>2690257.4136000001</v>
      </c>
      <c r="W7" s="130">
        <f t="shared" ref="W7" si="2">SUM(W8,W17,W18,W22,W30,W21)</f>
        <v>1422236.41649</v>
      </c>
      <c r="X7" s="35">
        <f>SUM(X30,X22,X18,X17,X8,X21)</f>
        <v>100.00000000000004</v>
      </c>
      <c r="Y7" s="36">
        <f t="shared" ref="Y7" si="3">SUM(Y30,Y22,Y18,Y17,Y8,Y21)</f>
        <v>99.999999999999986</v>
      </c>
      <c r="Z7" s="36">
        <f>SUM(Z30,Z22,Z18,Z17,Z8,Z21)</f>
        <v>100</v>
      </c>
      <c r="AA7" s="36">
        <f>SUM(AA30,AA22,AA18,AA17,AA8,AA21)</f>
        <v>100</v>
      </c>
      <c r="AB7" s="36">
        <f>SUM(AB30,AB22,AB18,AB17,AB8,AB21)</f>
        <v>100</v>
      </c>
      <c r="AC7" s="36">
        <f>SUM(AC30,AC22,AC18,AC17,AC8,AC21)</f>
        <v>99.999999999999972</v>
      </c>
      <c r="AD7" s="36">
        <f>SUM(AD30,AD22,AD18,AD17,AD8,AD21)</f>
        <v>99.999999999999986</v>
      </c>
      <c r="AE7" s="36">
        <f t="shared" ref="AE7:AF7" si="4">SUM(AE30,AE22,AE18,AE17,AE8,AE21)</f>
        <v>100.00000000000001</v>
      </c>
      <c r="AF7" s="36">
        <f t="shared" si="4"/>
        <v>100</v>
      </c>
      <c r="AG7" s="36">
        <f>SUM(AG30,AG22,AG18,AG17,AG8,AG21)</f>
        <v>100</v>
      </c>
      <c r="AH7" s="120">
        <f>SUM(AH30,AH22,AH18,AH17,AH8,AH21)</f>
        <v>100</v>
      </c>
      <c r="AI7" s="4">
        <f t="shared" ref="AI7:AM7" si="5">((M7-L7)/L7)*100</f>
        <v>-12.934316450057281</v>
      </c>
      <c r="AJ7" s="1">
        <f t="shared" si="5"/>
        <v>-0.55130783483702639</v>
      </c>
      <c r="AK7" s="1">
        <f t="shared" si="5"/>
        <v>-3.1639498953672711</v>
      </c>
      <c r="AL7" s="1">
        <f t="shared" si="5"/>
        <v>43.017393230819351</v>
      </c>
      <c r="AM7" s="1">
        <f t="shared" si="5"/>
        <v>-8.8484633865811642</v>
      </c>
      <c r="AN7" s="1">
        <f t="shared" ref="AN7" si="6">((R7-Q7)/Q7)*100</f>
        <v>-13.05648363895604</v>
      </c>
      <c r="AO7" s="1">
        <f t="shared" ref="AO7" si="7">((S7-R7)/R7)*100</f>
        <v>2.9922271905017732</v>
      </c>
      <c r="AP7" s="1">
        <f t="shared" ref="AP7" si="8">((T7-S7)/S7)*100</f>
        <v>-8.7245869704952952</v>
      </c>
      <c r="AQ7" s="1">
        <f t="shared" ref="AQ7" si="9">((U7-T7)/T7)*100</f>
        <v>5.2075799826721889</v>
      </c>
      <c r="AR7" s="1">
        <f t="shared" ref="AR7" si="10">((V7-U7)/U7)*100</f>
        <v>11.868282571940611</v>
      </c>
      <c r="AS7" s="1">
        <f>((W7-V7)/V7)*100</f>
        <v>-47.133816663780983</v>
      </c>
      <c r="AT7" s="103" t="s">
        <v>6</v>
      </c>
      <c r="AW7" s="15"/>
      <c r="AX7" s="15"/>
      <c r="AY7" s="15"/>
    </row>
    <row r="8" spans="1:51" s="37" customFormat="1" ht="15.75" customHeight="1" x14ac:dyDescent="0.4">
      <c r="A8" s="38" t="s">
        <v>7</v>
      </c>
      <c r="B8" s="39">
        <f t="shared" ref="B8:G8" si="11">SUM(B9:B16)</f>
        <v>227667.37286999996</v>
      </c>
      <c r="C8" s="39">
        <f t="shared" si="11"/>
        <v>305996.71087999997</v>
      </c>
      <c r="D8" s="39">
        <f t="shared" si="11"/>
        <v>352329.63900000002</v>
      </c>
      <c r="E8" s="39">
        <f t="shared" si="11"/>
        <v>427133.72319999995</v>
      </c>
      <c r="F8" s="40">
        <f t="shared" si="11"/>
        <v>405176.84723000001</v>
      </c>
      <c r="G8" s="40">
        <f t="shared" si="11"/>
        <v>501890.46439999994</v>
      </c>
      <c r="H8" s="40">
        <f t="shared" ref="H8:R8" si="12">SUM(H9:H16)</f>
        <v>421839.11106999998</v>
      </c>
      <c r="I8" s="40">
        <f t="shared" si="12"/>
        <v>337218.64825000009</v>
      </c>
      <c r="J8" s="41">
        <f t="shared" si="12"/>
        <v>812744.67657999997</v>
      </c>
      <c r="K8" s="42">
        <f t="shared" si="12"/>
        <v>1127850.1691099999</v>
      </c>
      <c r="L8" s="42">
        <f t="shared" si="12"/>
        <v>970103.83279999997</v>
      </c>
      <c r="M8" s="42">
        <f t="shared" si="12"/>
        <v>888622.34262000001</v>
      </c>
      <c r="N8" s="42">
        <f t="shared" si="12"/>
        <v>914364.13443999994</v>
      </c>
      <c r="O8" s="42">
        <f t="shared" si="12"/>
        <v>825995.70250999986</v>
      </c>
      <c r="P8" s="42">
        <f t="shared" si="12"/>
        <v>1013711.50981</v>
      </c>
      <c r="Q8" s="42">
        <f t="shared" si="12"/>
        <v>1134613.3933700004</v>
      </c>
      <c r="R8" s="60">
        <f t="shared" si="12"/>
        <v>957590.5027500001</v>
      </c>
      <c r="S8" s="60">
        <f t="shared" ref="S8:U8" si="13">SUM(S9:S16)</f>
        <v>885517.88605999993</v>
      </c>
      <c r="T8" s="60">
        <f>SUM(T9:T16)</f>
        <v>693988.16474000027</v>
      </c>
      <c r="U8" s="60">
        <f t="shared" si="13"/>
        <v>741199.62878000049</v>
      </c>
      <c r="V8" s="60">
        <v>957947.23871000018</v>
      </c>
      <c r="W8" s="131">
        <f>SUM(W9:W16)</f>
        <v>588016.69357999996</v>
      </c>
      <c r="X8" s="43">
        <f>(M8/$M$7)*100</f>
        <v>39.889798793677812</v>
      </c>
      <c r="Y8" s="44">
        <f>(N8/$N$7)*100</f>
        <v>41.272875150584419</v>
      </c>
      <c r="Z8" s="44">
        <f>(O8/$O$7)*100</f>
        <v>38.50226354172721</v>
      </c>
      <c r="AA8" s="44">
        <f>(P8/$P$7)*100</f>
        <v>33.039540158748778</v>
      </c>
      <c r="AB8" s="44">
        <f t="shared" ref="AB8:AB30" si="14">(Q8/$Q$7)*100</f>
        <v>40.569861789780965</v>
      </c>
      <c r="AC8" s="44">
        <f t="shared" ref="AC8:AC33" si="15">(R8/$R$7)*100</f>
        <v>39.382043868060457</v>
      </c>
      <c r="AD8" s="44">
        <f>(S8/$S$7)*100</f>
        <v>35.359922895951208</v>
      </c>
      <c r="AE8" s="44">
        <f>(T8/$T$7)*100</f>
        <v>30.360731346875415</v>
      </c>
      <c r="AF8" s="44">
        <f>(U8/$U$7)*100</f>
        <v>30.821113658273529</v>
      </c>
      <c r="AG8" s="44">
        <f>(V8/$V$7)*100</f>
        <v>35.608014083236434</v>
      </c>
      <c r="AH8" s="121">
        <f>(W8/$W$7)*100</f>
        <v>41.344511134878147</v>
      </c>
      <c r="AI8" s="1">
        <f t="shared" ref="AI8:AO13" si="16">((M8-L8)/L8)*100</f>
        <v>-8.3992545359624895</v>
      </c>
      <c r="AJ8" s="1">
        <f t="shared" si="16"/>
        <v>2.8968202334529689</v>
      </c>
      <c r="AK8" s="1">
        <f t="shared" si="16"/>
        <v>-9.6644683011458135</v>
      </c>
      <c r="AL8" s="1">
        <f t="shared" si="16"/>
        <v>22.726002899237546</v>
      </c>
      <c r="AM8" s="1">
        <f t="shared" si="16"/>
        <v>11.92665589667233</v>
      </c>
      <c r="AN8" s="1">
        <f t="shared" si="16"/>
        <v>-15.602044859898168</v>
      </c>
      <c r="AO8" s="1">
        <f t="shared" si="16"/>
        <v>-7.5264548346106883</v>
      </c>
      <c r="AP8" s="1">
        <f t="shared" ref="AP8:AP32" si="17">((T8-S8)/S8)*100</f>
        <v>-21.62911944920582</v>
      </c>
      <c r="AQ8" s="1">
        <f t="shared" ref="AQ8:AS33" si="18">((U8-T8)/T8)*100</f>
        <v>6.8029206316058426</v>
      </c>
      <c r="AR8" s="1">
        <f t="shared" si="18"/>
        <v>29.242811452396683</v>
      </c>
      <c r="AS8" s="1">
        <f t="shared" si="18"/>
        <v>-38.617006258941728</v>
      </c>
      <c r="AT8" s="103" t="s">
        <v>8</v>
      </c>
      <c r="AW8" s="15"/>
      <c r="AX8" s="15"/>
      <c r="AY8" s="15"/>
    </row>
    <row r="9" spans="1:51" s="79" customFormat="1" ht="15.75" customHeight="1" x14ac:dyDescent="0.4">
      <c r="A9" s="45" t="s">
        <v>18</v>
      </c>
      <c r="B9" s="46">
        <v>7269.4838300000001</v>
      </c>
      <c r="C9" s="46">
        <v>36289.345409999994</v>
      </c>
      <c r="D9" s="46">
        <v>52684.412360000002</v>
      </c>
      <c r="E9" s="46">
        <v>88149.976580000002</v>
      </c>
      <c r="F9" s="47">
        <v>102118.17361</v>
      </c>
      <c r="G9" s="47">
        <v>141451.09388999999</v>
      </c>
      <c r="H9" s="47">
        <v>110347.48964</v>
      </c>
      <c r="I9" s="47">
        <v>103389.08512</v>
      </c>
      <c r="J9" s="48">
        <v>295587.50266999996</v>
      </c>
      <c r="K9" s="49">
        <v>410733.49375999998</v>
      </c>
      <c r="L9" s="49">
        <v>345366.26675999997</v>
      </c>
      <c r="M9" s="49">
        <v>322181.28967000003</v>
      </c>
      <c r="N9" s="49">
        <v>232558.78039</v>
      </c>
      <c r="O9" s="49">
        <v>188612.58134999961</v>
      </c>
      <c r="P9" s="49">
        <v>213766.68318999998</v>
      </c>
      <c r="Q9" s="49">
        <v>206197.43750000015</v>
      </c>
      <c r="R9" s="49">
        <v>231029.20907999997</v>
      </c>
      <c r="S9" s="49">
        <v>200773.89124</v>
      </c>
      <c r="T9" s="49">
        <v>91424.453630000004</v>
      </c>
      <c r="U9" s="49">
        <v>89040.145570000401</v>
      </c>
      <c r="V9" s="49">
        <v>85320.933880000026</v>
      </c>
      <c r="W9" s="122">
        <v>55490.187560000006</v>
      </c>
      <c r="X9" s="50">
        <f>(M9/$M$7)*100</f>
        <v>14.462551979204171</v>
      </c>
      <c r="Y9" s="51">
        <f t="shared" ref="Y9:Y33" si="19">(N9/$N$7)*100</f>
        <v>10.49731627333256</v>
      </c>
      <c r="Z9" s="51">
        <f>(O9/$O$7)*100</f>
        <v>8.791826994203074</v>
      </c>
      <c r="AA9" s="51">
        <f t="shared" ref="AA9:AA32" si="20">(P9/$P$7)*100</f>
        <v>6.9672217840185162</v>
      </c>
      <c r="AB9" s="51">
        <f t="shared" si="14"/>
        <v>7.3729092126572704</v>
      </c>
      <c r="AC9" s="51">
        <f t="shared" si="15"/>
        <v>9.5013499200996225</v>
      </c>
      <c r="AD9" s="51">
        <f t="shared" ref="AD9:AD33" si="21">(S9/$S$7)*100</f>
        <v>8.0171721266457432</v>
      </c>
      <c r="AE9" s="51">
        <f t="shared" ref="AE9:AE33" si="22">(T9/$T$7)*100</f>
        <v>3.9996550607389798</v>
      </c>
      <c r="AF9" s="51">
        <f t="shared" ref="AF9:AF33" si="23">(U9/$U$7)*100</f>
        <v>3.7025334878800353</v>
      </c>
      <c r="AG9" s="51">
        <f t="shared" ref="AG9:AG33" si="24">(V9/$V$7)*100</f>
        <v>3.171478441010104</v>
      </c>
      <c r="AH9" s="123">
        <f t="shared" ref="AH9:AH33" si="25">(W9/$W$7)*100</f>
        <v>3.9016148733518365</v>
      </c>
      <c r="AI9" s="107">
        <f t="shared" si="16"/>
        <v>-6.7131562406213572</v>
      </c>
      <c r="AJ9" s="107">
        <f t="shared" si="16"/>
        <v>-27.817415893951353</v>
      </c>
      <c r="AK9" s="107">
        <f t="shared" si="16"/>
        <v>-18.896813513685792</v>
      </c>
      <c r="AL9" s="107">
        <f t="shared" si="16"/>
        <v>13.336385971688214</v>
      </c>
      <c r="AM9" s="107">
        <f t="shared" si="16"/>
        <v>-3.5408912076687566</v>
      </c>
      <c r="AN9" s="107">
        <f t="shared" si="16"/>
        <v>12.042715894565765</v>
      </c>
      <c r="AO9" s="107">
        <f t="shared" si="16"/>
        <v>-13.095884265233003</v>
      </c>
      <c r="AP9" s="107">
        <f t="shared" si="17"/>
        <v>-54.463972847588259</v>
      </c>
      <c r="AQ9" s="107">
        <f t="shared" si="18"/>
        <v>-2.6079543987750085</v>
      </c>
      <c r="AR9" s="107">
        <f t="shared" si="18"/>
        <v>-4.1770054015426714</v>
      </c>
      <c r="AS9" s="107">
        <f t="shared" si="18"/>
        <v>-34.962986178697477</v>
      </c>
      <c r="AT9" s="103" t="s">
        <v>19</v>
      </c>
      <c r="AW9" s="109"/>
      <c r="AX9" s="109"/>
      <c r="AY9" s="109"/>
    </row>
    <row r="10" spans="1:51" s="79" customFormat="1" ht="15.75" customHeight="1" x14ac:dyDescent="0.4">
      <c r="A10" s="45" t="s">
        <v>13</v>
      </c>
      <c r="B10" s="46">
        <v>11497.32883</v>
      </c>
      <c r="C10" s="46">
        <v>26967.876410000001</v>
      </c>
      <c r="D10" s="46">
        <v>25537.643619999999</v>
      </c>
      <c r="E10" s="46">
        <v>63823.594700000001</v>
      </c>
      <c r="F10" s="47">
        <v>58306.332060000001</v>
      </c>
      <c r="G10" s="47">
        <v>134426.35631</v>
      </c>
      <c r="H10" s="47">
        <v>125663.85926000001</v>
      </c>
      <c r="I10" s="47">
        <v>88064.559600000008</v>
      </c>
      <c r="J10" s="48">
        <v>177242.35548000003</v>
      </c>
      <c r="K10" s="49">
        <v>190472.78999000002</v>
      </c>
      <c r="L10" s="49">
        <v>126668.46704</v>
      </c>
      <c r="M10" s="49">
        <v>78885.759760000001</v>
      </c>
      <c r="N10" s="49">
        <v>124085.05331999999</v>
      </c>
      <c r="O10" s="49">
        <v>105654.97153000002</v>
      </c>
      <c r="P10" s="49">
        <v>88683.157289999988</v>
      </c>
      <c r="Q10" s="49">
        <v>122151.57711999999</v>
      </c>
      <c r="R10" s="49">
        <v>92190.691049999965</v>
      </c>
      <c r="S10" s="49">
        <v>105392.97382999997</v>
      </c>
      <c r="T10" s="49">
        <v>45894.306960000002</v>
      </c>
      <c r="U10" s="49">
        <v>52133.793399999995</v>
      </c>
      <c r="V10" s="49">
        <v>46226.829030000008</v>
      </c>
      <c r="W10" s="122">
        <v>12673.97292</v>
      </c>
      <c r="X10" s="50">
        <f t="shared" ref="X10:X33" si="26">(M10/$M$7)*100</f>
        <v>3.5411410827630281</v>
      </c>
      <c r="Y10" s="51">
        <f t="shared" si="19"/>
        <v>5.6009927782945326</v>
      </c>
      <c r="Z10" s="51">
        <f t="shared" ref="Z10:Z32" si="27">(O10/$O$7)*100</f>
        <v>4.9249112870444964</v>
      </c>
      <c r="AA10" s="51">
        <f t="shared" si="20"/>
        <v>2.8904187318902683</v>
      </c>
      <c r="AB10" s="51">
        <f t="shared" si="14"/>
        <v>4.3677191104213522</v>
      </c>
      <c r="AC10" s="51">
        <f t="shared" si="15"/>
        <v>3.7914513862986476</v>
      </c>
      <c r="AD10" s="51">
        <f t="shared" si="21"/>
        <v>4.2084835180294631</v>
      </c>
      <c r="AE10" s="51">
        <f t="shared" si="22"/>
        <v>2.0077932085277279</v>
      </c>
      <c r="AF10" s="51">
        <f t="shared" si="23"/>
        <v>2.1678661313729286</v>
      </c>
      <c r="AG10" s="51">
        <f t="shared" si="24"/>
        <v>1.7183050512679761</v>
      </c>
      <c r="AH10" s="123">
        <f t="shared" si="25"/>
        <v>0.89112982715480282</v>
      </c>
      <c r="AI10" s="107">
        <f t="shared" si="16"/>
        <v>-37.722653787947827</v>
      </c>
      <c r="AJ10" s="107">
        <f t="shared" si="16"/>
        <v>57.297151852898622</v>
      </c>
      <c r="AK10" s="107">
        <f t="shared" si="16"/>
        <v>-14.852781456660269</v>
      </c>
      <c r="AL10" s="107">
        <f t="shared" si="16"/>
        <v>-16.063431747914485</v>
      </c>
      <c r="AM10" s="107">
        <f t="shared" si="16"/>
        <v>37.739319226711757</v>
      </c>
      <c r="AN10" s="107">
        <f t="shared" si="16"/>
        <v>-24.527629340853185</v>
      </c>
      <c r="AO10" s="107">
        <f t="shared" si="16"/>
        <v>14.320624598463743</v>
      </c>
      <c r="AP10" s="107">
        <f t="shared" si="17"/>
        <v>-56.454111415407993</v>
      </c>
      <c r="AQ10" s="107">
        <f t="shared" si="18"/>
        <v>13.595338623237364</v>
      </c>
      <c r="AR10" s="107">
        <f t="shared" si="18"/>
        <v>-11.330394327300164</v>
      </c>
      <c r="AS10" s="107">
        <f t="shared" si="18"/>
        <v>-72.583079596969711</v>
      </c>
      <c r="AT10" s="103" t="s">
        <v>14</v>
      </c>
      <c r="AW10" s="109"/>
      <c r="AX10" s="109"/>
      <c r="AY10" s="109"/>
    </row>
    <row r="11" spans="1:51" s="79" customFormat="1" ht="15.75" customHeight="1" x14ac:dyDescent="0.4">
      <c r="A11" s="45" t="s">
        <v>15</v>
      </c>
      <c r="B11" s="46">
        <v>140226.35119999998</v>
      </c>
      <c r="C11" s="46">
        <v>153662.96505</v>
      </c>
      <c r="D11" s="46">
        <v>183635.94294000001</v>
      </c>
      <c r="E11" s="46">
        <v>168865.24539</v>
      </c>
      <c r="F11" s="47">
        <v>158540.01175000001</v>
      </c>
      <c r="G11" s="47">
        <v>123445.25870999999</v>
      </c>
      <c r="H11" s="47">
        <v>98090.754780000003</v>
      </c>
      <c r="I11" s="47">
        <v>90589.378890000007</v>
      </c>
      <c r="J11" s="48">
        <v>125746.90523</v>
      </c>
      <c r="K11" s="49">
        <v>184244.46200999999</v>
      </c>
      <c r="L11" s="49">
        <v>139580.98009999999</v>
      </c>
      <c r="M11" s="49">
        <v>104104.1945</v>
      </c>
      <c r="N11" s="49">
        <v>127377.47684999999</v>
      </c>
      <c r="O11" s="49">
        <v>88713.561470000001</v>
      </c>
      <c r="P11" s="49">
        <v>175357.36434999996</v>
      </c>
      <c r="Q11" s="49">
        <v>258059.13361999998</v>
      </c>
      <c r="R11" s="49">
        <v>174146.35357000001</v>
      </c>
      <c r="S11" s="49">
        <v>179369.27398999999</v>
      </c>
      <c r="T11" s="49">
        <v>155373.40364999999</v>
      </c>
      <c r="U11" s="49">
        <v>206907.03224999999</v>
      </c>
      <c r="V11" s="49">
        <v>342717.47966000001</v>
      </c>
      <c r="W11" s="122">
        <v>309819.69513000001</v>
      </c>
      <c r="X11" s="50">
        <f>(M11/$M$7)*100</f>
        <v>4.6731836158194708</v>
      </c>
      <c r="Y11" s="51">
        <f t="shared" si="19"/>
        <v>5.7496072964916625</v>
      </c>
      <c r="Z11" s="51">
        <f>(O11/$O$7)*100</f>
        <v>4.1352187584799269</v>
      </c>
      <c r="AA11" s="51">
        <f t="shared" si="20"/>
        <v>5.7153604605516257</v>
      </c>
      <c r="AB11" s="51">
        <f t="shared" si="14"/>
        <v>9.22730460060761</v>
      </c>
      <c r="AC11" s="51">
        <f t="shared" si="15"/>
        <v>7.1619750990230946</v>
      </c>
      <c r="AD11" s="51">
        <f t="shared" si="21"/>
        <v>7.1624569057653105</v>
      </c>
      <c r="AE11" s="51">
        <f t="shared" si="22"/>
        <v>6.797306361030782</v>
      </c>
      <c r="AF11" s="51">
        <f t="shared" si="23"/>
        <v>8.6037619422042901</v>
      </c>
      <c r="AG11" s="51">
        <f t="shared" si="24"/>
        <v>12.739207702856529</v>
      </c>
      <c r="AH11" s="123">
        <f t="shared" si="25"/>
        <v>21.783979902203441</v>
      </c>
      <c r="AI11" s="107">
        <f t="shared" si="16"/>
        <v>-25.416633107593427</v>
      </c>
      <c r="AJ11" s="107">
        <f t="shared" si="16"/>
        <v>22.35575853766391</v>
      </c>
      <c r="AK11" s="107">
        <f t="shared" si="16"/>
        <v>-30.353808488082006</v>
      </c>
      <c r="AL11" s="107">
        <f t="shared" si="16"/>
        <v>97.666919740675766</v>
      </c>
      <c r="AM11" s="107">
        <f t="shared" si="16"/>
        <v>47.161845512763058</v>
      </c>
      <c r="AN11" s="107">
        <f t="shared" si="16"/>
        <v>-32.516880481186192</v>
      </c>
      <c r="AO11" s="107">
        <f t="shared" si="16"/>
        <v>2.9991557749732447</v>
      </c>
      <c r="AP11" s="107">
        <f t="shared" si="17"/>
        <v>-13.377915741208712</v>
      </c>
      <c r="AQ11" s="107">
        <f t="shared" si="18"/>
        <v>33.167599723879768</v>
      </c>
      <c r="AR11" s="107">
        <f t="shared" si="18"/>
        <v>65.638391278022894</v>
      </c>
      <c r="AS11" s="107">
        <f t="shared" si="18"/>
        <v>-9.5990973564105726</v>
      </c>
      <c r="AT11" s="103" t="s">
        <v>16</v>
      </c>
      <c r="AW11" s="109"/>
      <c r="AX11" s="109"/>
      <c r="AY11" s="109"/>
    </row>
    <row r="12" spans="1:51" s="79" customFormat="1" ht="15.75" customHeight="1" x14ac:dyDescent="0.4">
      <c r="A12" s="45" t="s">
        <v>11</v>
      </c>
      <c r="B12" s="46">
        <v>55127.474479999997</v>
      </c>
      <c r="C12" s="46">
        <v>77192.205239999996</v>
      </c>
      <c r="D12" s="46">
        <v>70964.544049999997</v>
      </c>
      <c r="E12" s="46">
        <v>66325.581210000004</v>
      </c>
      <c r="F12" s="47">
        <v>21994.62098</v>
      </c>
      <c r="G12" s="47">
        <v>43164.361729999997</v>
      </c>
      <c r="H12" s="47">
        <v>33888.798379999993</v>
      </c>
      <c r="I12" s="47">
        <v>26841.330399999999</v>
      </c>
      <c r="J12" s="48">
        <v>45612.352340000005</v>
      </c>
      <c r="K12" s="49">
        <v>84795.587150000007</v>
      </c>
      <c r="L12" s="49">
        <v>153742.89004</v>
      </c>
      <c r="M12" s="49">
        <v>148550.84917</v>
      </c>
      <c r="N12" s="49">
        <v>154077.37527000002</v>
      </c>
      <c r="O12" s="49">
        <v>187349.15192000015</v>
      </c>
      <c r="P12" s="49">
        <v>220705.70510999995</v>
      </c>
      <c r="Q12" s="49">
        <v>355433.42591000017</v>
      </c>
      <c r="R12" s="49">
        <v>286720.38575000013</v>
      </c>
      <c r="S12" s="49">
        <v>242468.17299000002</v>
      </c>
      <c r="T12" s="49">
        <v>262165.55660000001</v>
      </c>
      <c r="U12" s="49">
        <v>231209.99093</v>
      </c>
      <c r="V12" s="49">
        <v>195333.23857999998</v>
      </c>
      <c r="W12" s="122">
        <v>146890.91383</v>
      </c>
      <c r="X12" s="50">
        <f t="shared" si="26"/>
        <v>6.6683710276180408</v>
      </c>
      <c r="Y12" s="51">
        <f t="shared" si="19"/>
        <v>6.9547962715566705</v>
      </c>
      <c r="Z12" s="51">
        <f t="shared" si="27"/>
        <v>8.7329345656681632</v>
      </c>
      <c r="AA12" s="51">
        <f t="shared" si="20"/>
        <v>7.1933828674921054</v>
      </c>
      <c r="AB12" s="51">
        <f t="shared" si="14"/>
        <v>12.709073459645559</v>
      </c>
      <c r="AC12" s="51">
        <f t="shared" si="15"/>
        <v>11.791715537117904</v>
      </c>
      <c r="AD12" s="51">
        <f t="shared" si="21"/>
        <v>9.6820810021082231</v>
      </c>
      <c r="AE12" s="51">
        <f t="shared" si="22"/>
        <v>11.469270567919079</v>
      </c>
      <c r="AF12" s="51">
        <f t="shared" si="23"/>
        <v>9.6143456265775775</v>
      </c>
      <c r="AG12" s="51">
        <f t="shared" si="24"/>
        <v>7.260763880531881</v>
      </c>
      <c r="AH12" s="123">
        <f t="shared" si="25"/>
        <v>10.328164300033785</v>
      </c>
      <c r="AI12" s="107">
        <f t="shared" si="16"/>
        <v>-3.3770933203149491</v>
      </c>
      <c r="AJ12" s="107">
        <f t="shared" si="16"/>
        <v>3.720292499759136</v>
      </c>
      <c r="AK12" s="107">
        <f t="shared" si="16"/>
        <v>21.594200051562265</v>
      </c>
      <c r="AL12" s="107">
        <f t="shared" si="16"/>
        <v>17.804485821341409</v>
      </c>
      <c r="AM12" s="107">
        <f t="shared" si="16"/>
        <v>61.044058980193462</v>
      </c>
      <c r="AN12" s="107">
        <f t="shared" si="16"/>
        <v>-19.332182949332111</v>
      </c>
      <c r="AO12" s="107">
        <f t="shared" si="16"/>
        <v>-15.433926208018187</v>
      </c>
      <c r="AP12" s="107">
        <f t="shared" si="17"/>
        <v>8.1236986145857415</v>
      </c>
      <c r="AQ12" s="107">
        <f t="shared" si="18"/>
        <v>-11.807640206997355</v>
      </c>
      <c r="AR12" s="107">
        <f t="shared" si="18"/>
        <v>-15.516955909081757</v>
      </c>
      <c r="AS12" s="107">
        <f t="shared" si="18"/>
        <v>-24.799836987374839</v>
      </c>
      <c r="AT12" s="103" t="s">
        <v>12</v>
      </c>
      <c r="AW12" s="109"/>
      <c r="AX12" s="109"/>
      <c r="AY12" s="109"/>
    </row>
    <row r="13" spans="1:51" s="79" customFormat="1" ht="15.75" customHeight="1" x14ac:dyDescent="0.4">
      <c r="A13" s="45" t="s">
        <v>9</v>
      </c>
      <c r="B13" s="46">
        <v>6340.2722599999997</v>
      </c>
      <c r="C13" s="46">
        <v>7133.5454099999997</v>
      </c>
      <c r="D13" s="46">
        <v>16781.176620000002</v>
      </c>
      <c r="E13" s="46">
        <v>33239.617559999999</v>
      </c>
      <c r="F13" s="47">
        <v>57391.865570000009</v>
      </c>
      <c r="G13" s="47">
        <v>26543.30904</v>
      </c>
      <c r="H13" s="47">
        <v>22690.00978</v>
      </c>
      <c r="I13" s="47">
        <v>4283.7419600000003</v>
      </c>
      <c r="J13" s="48">
        <v>48266.869429999999</v>
      </c>
      <c r="K13" s="49">
        <v>60907.614139999998</v>
      </c>
      <c r="L13" s="49">
        <v>40617.725859999999</v>
      </c>
      <c r="M13" s="49">
        <v>15023.796869999998</v>
      </c>
      <c r="N13" s="49">
        <v>79772.600709999999</v>
      </c>
      <c r="O13" s="49">
        <v>38876.185309999979</v>
      </c>
      <c r="P13" s="49">
        <v>10599.19361</v>
      </c>
      <c r="Q13" s="49">
        <v>17857.254080000002</v>
      </c>
      <c r="R13" s="49">
        <v>31529.092810000006</v>
      </c>
      <c r="S13" s="49">
        <v>36755.579680000003</v>
      </c>
      <c r="T13" s="49">
        <v>59388.490250000097</v>
      </c>
      <c r="U13" s="49">
        <v>46905.211410000098</v>
      </c>
      <c r="V13" s="49">
        <v>24315.655190000001</v>
      </c>
      <c r="W13" s="122">
        <v>6399.76188</v>
      </c>
      <c r="X13" s="50">
        <f t="shared" si="26"/>
        <v>0.67441049534544772</v>
      </c>
      <c r="Y13" s="51">
        <f t="shared" si="19"/>
        <v>3.6008024216279013</v>
      </c>
      <c r="Z13" s="51">
        <f t="shared" si="27"/>
        <v>1.8121415495918054</v>
      </c>
      <c r="AA13" s="51">
        <f t="shared" si="20"/>
        <v>0.34545576284675417</v>
      </c>
      <c r="AB13" s="51">
        <f t="shared" si="14"/>
        <v>0.63851381819036213</v>
      </c>
      <c r="AC13" s="51">
        <f t="shared" si="15"/>
        <v>1.2966712938335578</v>
      </c>
      <c r="AD13" s="51">
        <f t="shared" si="21"/>
        <v>1.4676998442838105</v>
      </c>
      <c r="AE13" s="51">
        <f t="shared" si="22"/>
        <v>2.5981394052336593</v>
      </c>
      <c r="AF13" s="51">
        <f t="shared" si="23"/>
        <v>1.9504473503481188</v>
      </c>
      <c r="AG13" s="51">
        <f t="shared" si="24"/>
        <v>0.90384121114498539</v>
      </c>
      <c r="AH13" s="123">
        <f t="shared" si="25"/>
        <v>0.44997876624438116</v>
      </c>
      <c r="AI13" s="107">
        <f t="shared" si="16"/>
        <v>-63.011723202368373</v>
      </c>
      <c r="AJ13" s="107">
        <f t="shared" si="16"/>
        <v>430.97496857996333</v>
      </c>
      <c r="AK13" s="107">
        <f t="shared" si="16"/>
        <v>-51.266243090998273</v>
      </c>
      <c r="AL13" s="107">
        <f t="shared" si="16"/>
        <v>-72.736024572674282</v>
      </c>
      <c r="AM13" s="107">
        <f t="shared" si="16"/>
        <v>68.477477976742065</v>
      </c>
      <c r="AN13" s="107">
        <f t="shared" si="16"/>
        <v>76.561820024235232</v>
      </c>
      <c r="AO13" s="107">
        <f t="shared" si="16"/>
        <v>16.576711868926104</v>
      </c>
      <c r="AP13" s="107">
        <f t="shared" si="17"/>
        <v>61.576802126495792</v>
      </c>
      <c r="AQ13" s="107">
        <f t="shared" si="18"/>
        <v>-21.01969386231363</v>
      </c>
      <c r="AR13" s="107">
        <f t="shared" si="18"/>
        <v>-48.160013655079801</v>
      </c>
      <c r="AS13" s="107">
        <f t="shared" si="18"/>
        <v>-73.680487611816631</v>
      </c>
      <c r="AT13" s="103" t="s">
        <v>10</v>
      </c>
      <c r="AW13" s="109"/>
      <c r="AX13" s="109"/>
      <c r="AY13" s="109"/>
    </row>
    <row r="14" spans="1:51" s="79" customFormat="1" ht="15.75" customHeight="1" x14ac:dyDescent="0.4">
      <c r="A14" s="45" t="s">
        <v>40</v>
      </c>
      <c r="B14" s="46">
        <v>45.265140000000002</v>
      </c>
      <c r="C14" s="46">
        <v>377.38648999999998</v>
      </c>
      <c r="D14" s="46">
        <v>128.16974999999999</v>
      </c>
      <c r="E14" s="46">
        <v>3054.9268700000002</v>
      </c>
      <c r="F14" s="47">
        <v>840.57092</v>
      </c>
      <c r="G14" s="47">
        <v>25133.824350000003</v>
      </c>
      <c r="H14" s="47">
        <v>20697.92165</v>
      </c>
      <c r="I14" s="47">
        <v>7511.9376700000003</v>
      </c>
      <c r="J14" s="48">
        <v>42375.93649</v>
      </c>
      <c r="K14" s="49">
        <v>57565.46413</v>
      </c>
      <c r="L14" s="49">
        <v>32338.50923</v>
      </c>
      <c r="M14" s="49">
        <v>24090.784899999999</v>
      </c>
      <c r="N14" s="49">
        <v>23866.289929999999</v>
      </c>
      <c r="O14" s="49">
        <v>29675.590509999976</v>
      </c>
      <c r="P14" s="49">
        <v>62741.776270000002</v>
      </c>
      <c r="Q14" s="49">
        <v>56278.4859</v>
      </c>
      <c r="R14" s="49">
        <v>47594.873639999991</v>
      </c>
      <c r="S14" s="49">
        <v>32880.42239</v>
      </c>
      <c r="T14" s="49">
        <v>11513.285519999999</v>
      </c>
      <c r="U14" s="49">
        <v>24377.449559999997</v>
      </c>
      <c r="V14" s="49">
        <v>14870.947960000001</v>
      </c>
      <c r="W14" s="122">
        <v>12842.648929999999</v>
      </c>
      <c r="X14" s="50">
        <f t="shared" si="26"/>
        <v>1.0814229131460316</v>
      </c>
      <c r="Y14" s="51">
        <f t="shared" si="19"/>
        <v>1.0772846041165205</v>
      </c>
      <c r="Z14" s="51">
        <f t="shared" si="27"/>
        <v>1.3832728222439699</v>
      </c>
      <c r="AA14" s="51">
        <f t="shared" si="20"/>
        <v>2.0449204893534563</v>
      </c>
      <c r="AB14" s="51">
        <f t="shared" si="14"/>
        <v>2.012324557459702</v>
      </c>
      <c r="AC14" s="51">
        <f t="shared" si="15"/>
        <v>1.9573955633461653</v>
      </c>
      <c r="AD14" s="51">
        <f t="shared" si="21"/>
        <v>1.3129595898618927</v>
      </c>
      <c r="AE14" s="51">
        <f t="shared" si="22"/>
        <v>0.50368548968489812</v>
      </c>
      <c r="AF14" s="51">
        <f t="shared" si="23"/>
        <v>1.0136812194904639</v>
      </c>
      <c r="AG14" s="51">
        <f t="shared" si="24"/>
        <v>0.55277044809255871</v>
      </c>
      <c r="AH14" s="123">
        <f t="shared" si="25"/>
        <v>0.90298974074190419</v>
      </c>
      <c r="AI14" s="107">
        <f t="shared" ref="AI14:AK20" si="28">((M14-L14)/L14)*100</f>
        <v>-25.504343046056981</v>
      </c>
      <c r="AJ14" s="107">
        <f t="shared" si="28"/>
        <v>-0.93187071708900515</v>
      </c>
      <c r="AK14" s="107">
        <f t="shared" si="28"/>
        <v>24.341029112772443</v>
      </c>
      <c r="AL14" s="112" t="s">
        <v>59</v>
      </c>
      <c r="AM14" s="107">
        <f>((Q14-P14)/P14)*100</f>
        <v>-10.301414391244174</v>
      </c>
      <c r="AN14" s="107">
        <f>((R14-Q14)/Q14)*100</f>
        <v>-15.429719050064225</v>
      </c>
      <c r="AO14" s="107">
        <f>((S14-R14)/R14)*100</f>
        <v>-30.916042263916378</v>
      </c>
      <c r="AP14" s="107">
        <f t="shared" si="17"/>
        <v>-64.98437464263975</v>
      </c>
      <c r="AQ14" s="107" t="s">
        <v>59</v>
      </c>
      <c r="AR14" s="107">
        <f t="shared" si="18"/>
        <v>-38.997113199236573</v>
      </c>
      <c r="AS14" s="107">
        <f t="shared" si="18"/>
        <v>-13.639339169605982</v>
      </c>
      <c r="AT14" s="103" t="s">
        <v>41</v>
      </c>
      <c r="AW14" s="109"/>
      <c r="AX14" s="109"/>
      <c r="AY14" s="109"/>
    </row>
    <row r="15" spans="1:51" s="79" customFormat="1" ht="15.75" customHeight="1" x14ac:dyDescent="0.4">
      <c r="A15" s="45" t="s">
        <v>42</v>
      </c>
      <c r="B15" s="46">
        <v>0</v>
      </c>
      <c r="C15" s="46">
        <v>4.3176000000000005</v>
      </c>
      <c r="D15" s="46">
        <v>1903.0851599999999</v>
      </c>
      <c r="E15" s="46">
        <v>2417.5982300000001</v>
      </c>
      <c r="F15" s="47">
        <v>1395.1529599999999</v>
      </c>
      <c r="G15" s="47">
        <v>6491.0110599999998</v>
      </c>
      <c r="H15" s="47">
        <v>4735.0923499999999</v>
      </c>
      <c r="I15" s="47">
        <v>503.90512999999999</v>
      </c>
      <c r="J15" s="48">
        <v>9750.6953300000005</v>
      </c>
      <c r="K15" s="49">
        <v>10682.216560000001</v>
      </c>
      <c r="L15" s="49">
        <v>4380.2525700000006</v>
      </c>
      <c r="M15" s="49">
        <v>437.6617</v>
      </c>
      <c r="N15" s="49">
        <v>804.31664000000001</v>
      </c>
      <c r="O15" s="49">
        <v>81.074569999999994</v>
      </c>
      <c r="P15" s="49">
        <v>0</v>
      </c>
      <c r="Q15" s="49">
        <v>14.380469999999999</v>
      </c>
      <c r="R15" s="49">
        <v>123.50001</v>
      </c>
      <c r="S15" s="49">
        <v>157.57307</v>
      </c>
      <c r="T15" s="49">
        <v>1202.2517600000001</v>
      </c>
      <c r="U15" s="49">
        <v>185.31383</v>
      </c>
      <c r="V15" s="49">
        <v>85.994749999999996</v>
      </c>
      <c r="W15" s="124">
        <v>0</v>
      </c>
      <c r="X15" s="50">
        <f t="shared" si="26"/>
        <v>1.9646408058146939E-2</v>
      </c>
      <c r="Y15" s="51">
        <f t="shared" si="19"/>
        <v>3.6305514415860857E-2</v>
      </c>
      <c r="Z15" s="51">
        <f t="shared" si="27"/>
        <v>3.7791412851018065E-3</v>
      </c>
      <c r="AA15" s="51">
        <f t="shared" si="20"/>
        <v>0</v>
      </c>
      <c r="AB15" s="51">
        <f t="shared" si="14"/>
        <v>5.1419601053646186E-4</v>
      </c>
      <c r="AC15" s="51">
        <f t="shared" si="15"/>
        <v>5.0790842197770579E-3</v>
      </c>
      <c r="AD15" s="51">
        <f t="shared" si="21"/>
        <v>6.2921050984856069E-3</v>
      </c>
      <c r="AE15" s="51">
        <f t="shared" si="22"/>
        <v>5.2596347533308697E-2</v>
      </c>
      <c r="AF15" s="51">
        <f t="shared" si="23"/>
        <v>7.7058573629902117E-3</v>
      </c>
      <c r="AG15" s="51">
        <f t="shared" si="24"/>
        <v>3.1965249706319026E-3</v>
      </c>
      <c r="AH15" s="123">
        <f t="shared" si="25"/>
        <v>0</v>
      </c>
      <c r="AI15" s="107">
        <f t="shared" si="28"/>
        <v>-90.008299909518684</v>
      </c>
      <c r="AJ15" s="107">
        <f t="shared" si="28"/>
        <v>83.77587986337393</v>
      </c>
      <c r="AK15" s="107">
        <f t="shared" si="28"/>
        <v>-89.920068046832895</v>
      </c>
      <c r="AL15" s="107">
        <f>((P15-O15)/O15)*100</f>
        <v>-100</v>
      </c>
      <c r="AM15" s="107">
        <v>0</v>
      </c>
      <c r="AN15" s="112" t="s">
        <v>59</v>
      </c>
      <c r="AO15" s="112">
        <f>((S15-R15)/R15)*100</f>
        <v>27.589520033237243</v>
      </c>
      <c r="AP15" s="107" t="s">
        <v>59</v>
      </c>
      <c r="AQ15" s="112">
        <f t="shared" si="18"/>
        <v>-84.586104494452968</v>
      </c>
      <c r="AR15" s="107">
        <f t="shared" si="18"/>
        <v>-53.59507166842323</v>
      </c>
      <c r="AS15" s="107">
        <f>((W15-V15)/V15)*100</f>
        <v>-100</v>
      </c>
      <c r="AT15" s="103" t="s">
        <v>43</v>
      </c>
      <c r="AW15" s="109"/>
      <c r="AX15" s="109"/>
      <c r="AY15" s="109"/>
    </row>
    <row r="16" spans="1:51" s="79" customFormat="1" ht="15.75" customHeight="1" x14ac:dyDescent="0.4">
      <c r="A16" s="45" t="s">
        <v>23</v>
      </c>
      <c r="B16" s="46">
        <v>7161.1971300000005</v>
      </c>
      <c r="C16" s="46">
        <v>4369.06927</v>
      </c>
      <c r="D16" s="46">
        <v>694.66449999999998</v>
      </c>
      <c r="E16" s="46">
        <v>1257.1826599999999</v>
      </c>
      <c r="F16" s="47">
        <v>4590.1193800000001</v>
      </c>
      <c r="G16" s="47">
        <v>1235.2493099999999</v>
      </c>
      <c r="H16" s="47">
        <v>5725.1852300000173</v>
      </c>
      <c r="I16" s="47">
        <v>16034.709480000001</v>
      </c>
      <c r="J16" s="48">
        <v>68162.059609999997</v>
      </c>
      <c r="K16" s="49">
        <v>128448.54136999999</v>
      </c>
      <c r="L16" s="49">
        <v>127408.74120000002</v>
      </c>
      <c r="M16" s="49">
        <v>195348.00605000008</v>
      </c>
      <c r="N16" s="49">
        <v>171822.24132999999</v>
      </c>
      <c r="O16" s="49">
        <v>187032.58585</v>
      </c>
      <c r="P16" s="49">
        <v>241857.62999000002</v>
      </c>
      <c r="Q16" s="49">
        <v>118621.69877000025</v>
      </c>
      <c r="R16" s="49">
        <v>94256.396839999914</v>
      </c>
      <c r="S16" s="49">
        <v>87719.99887000001</v>
      </c>
      <c r="T16" s="49">
        <v>67026.416369999992</v>
      </c>
      <c r="U16" s="49">
        <v>90440.691830000011</v>
      </c>
      <c r="V16" s="49">
        <v>249076.15965999998</v>
      </c>
      <c r="W16" s="122">
        <v>43899.513329999922</v>
      </c>
      <c r="X16" s="50">
        <f t="shared" si="26"/>
        <v>8.769071271723476</v>
      </c>
      <c r="Y16" s="51">
        <f t="shared" si="19"/>
        <v>7.7557699907487159</v>
      </c>
      <c r="Z16" s="51">
        <f t="shared" si="27"/>
        <v>8.71817842321067</v>
      </c>
      <c r="AA16" s="51">
        <f t="shared" si="20"/>
        <v>7.8827800625960514</v>
      </c>
      <c r="AB16" s="51">
        <f t="shared" si="14"/>
        <v>4.2415028347885748</v>
      </c>
      <c r="AC16" s="51">
        <f t="shared" si="15"/>
        <v>3.8764059841216838</v>
      </c>
      <c r="AD16" s="51">
        <f t="shared" si="21"/>
        <v>3.5027778041582787</v>
      </c>
      <c r="AE16" s="51">
        <f t="shared" si="22"/>
        <v>2.9322849062069745</v>
      </c>
      <c r="AF16" s="51">
        <f t="shared" si="23"/>
        <v>3.7607720430371243</v>
      </c>
      <c r="AG16" s="51">
        <f t="shared" si="24"/>
        <v>9.2584508233617591</v>
      </c>
      <c r="AH16" s="123">
        <f t="shared" si="25"/>
        <v>3.0866537251479942</v>
      </c>
      <c r="AI16" s="107">
        <f t="shared" si="28"/>
        <v>53.323864760073505</v>
      </c>
      <c r="AJ16" s="107">
        <f t="shared" si="28"/>
        <v>-12.043002227511133</v>
      </c>
      <c r="AK16" s="107">
        <f t="shared" si="28"/>
        <v>8.8523723135395418</v>
      </c>
      <c r="AL16" s="107">
        <f>((P16-O16)/O16)*100</f>
        <v>29.313097442800505</v>
      </c>
      <c r="AM16" s="107">
        <f>((Q16-P16)/P16)*100</f>
        <v>-50.953915005739184</v>
      </c>
      <c r="AN16" s="107">
        <f>((R16-Q16)/Q16)*100</f>
        <v>-20.540341423741594</v>
      </c>
      <c r="AO16" s="107">
        <f>((S16-R16)/R16)*100</f>
        <v>-6.9346995950793966</v>
      </c>
      <c r="AP16" s="107">
        <f t="shared" si="17"/>
        <v>-23.590495629927744</v>
      </c>
      <c r="AQ16" s="107">
        <f t="shared" si="18"/>
        <v>34.932906647952457</v>
      </c>
      <c r="AR16" s="107" t="s">
        <v>59</v>
      </c>
      <c r="AS16" s="107">
        <f t="shared" ref="AS16" si="29">((W16-V16)/V16)*100</f>
        <v>-82.375064161128591</v>
      </c>
      <c r="AT16" s="103" t="s">
        <v>24</v>
      </c>
      <c r="AW16" s="109"/>
      <c r="AX16" s="109"/>
      <c r="AY16" s="109"/>
    </row>
    <row r="17" spans="1:51" s="37" customFormat="1" ht="15.75" customHeight="1" x14ac:dyDescent="0.4">
      <c r="A17" s="52" t="s">
        <v>25</v>
      </c>
      <c r="B17" s="53">
        <v>0</v>
      </c>
      <c r="C17" s="53">
        <v>594.31763999999998</v>
      </c>
      <c r="D17" s="53">
        <v>2.4671999999999996</v>
      </c>
      <c r="E17" s="53">
        <v>8378.0071000000007</v>
      </c>
      <c r="F17" s="54">
        <v>2058.7313300000001</v>
      </c>
      <c r="G17" s="54">
        <v>1475.0535299999999</v>
      </c>
      <c r="H17" s="54">
        <v>24448.0602</v>
      </c>
      <c r="I17" s="54">
        <v>5135.28287</v>
      </c>
      <c r="J17" s="55">
        <v>2067.8895699999998</v>
      </c>
      <c r="K17" s="56">
        <v>1.84344</v>
      </c>
      <c r="L17" s="56">
        <v>351.10524000000004</v>
      </c>
      <c r="M17" s="56">
        <v>129.80619999999999</v>
      </c>
      <c r="N17" s="56">
        <v>2396.2584499999998</v>
      </c>
      <c r="O17" s="56">
        <v>50.37229</v>
      </c>
      <c r="P17" s="56">
        <v>625.16800000000001</v>
      </c>
      <c r="Q17" s="56">
        <v>6677.9539800000002</v>
      </c>
      <c r="R17" s="56">
        <v>3193.5310800000002</v>
      </c>
      <c r="S17" s="56">
        <v>11669.233679999999</v>
      </c>
      <c r="T17" s="56">
        <v>67232.635150000002</v>
      </c>
      <c r="U17" s="56">
        <v>137793.42707000001</v>
      </c>
      <c r="V17" s="56">
        <v>24503.818890000002</v>
      </c>
      <c r="W17" s="125">
        <v>20716.429889999999</v>
      </c>
      <c r="X17" s="43">
        <f t="shared" si="26"/>
        <v>5.8269333909671166E-3</v>
      </c>
      <c r="Y17" s="44">
        <f t="shared" si="19"/>
        <v>0.10816311807325457</v>
      </c>
      <c r="Z17" s="44">
        <f>(O17/$O$7)*100</f>
        <v>2.3480112292192348E-3</v>
      </c>
      <c r="AA17" s="44">
        <f t="shared" si="20"/>
        <v>2.0375879174772394E-2</v>
      </c>
      <c r="AB17" s="44">
        <f t="shared" si="14"/>
        <v>0.23878060279407332</v>
      </c>
      <c r="AC17" s="44">
        <f t="shared" si="15"/>
        <v>0.13133774899123965</v>
      </c>
      <c r="AD17" s="44">
        <f t="shared" si="21"/>
        <v>0.46596823133133058</v>
      </c>
      <c r="AE17" s="44">
        <f t="shared" si="22"/>
        <v>2.941306606138423</v>
      </c>
      <c r="AF17" s="44">
        <f t="shared" si="23"/>
        <v>5.7298286617842518</v>
      </c>
      <c r="AG17" s="44">
        <f t="shared" si="24"/>
        <v>0.91083547492988493</v>
      </c>
      <c r="AH17" s="121">
        <f t="shared" si="25"/>
        <v>1.4566094391765745</v>
      </c>
      <c r="AI17" s="1">
        <f t="shared" si="28"/>
        <v>-63.029261539930317</v>
      </c>
      <c r="AJ17" s="1">
        <f t="shared" si="28"/>
        <v>1746.027732111409</v>
      </c>
      <c r="AK17" s="1">
        <f t="shared" si="28"/>
        <v>-97.897877418022262</v>
      </c>
      <c r="AL17" s="111" t="s">
        <v>59</v>
      </c>
      <c r="AM17" s="111" t="s">
        <v>59</v>
      </c>
      <c r="AN17" s="1">
        <f t="shared" ref="AN17:AN30" si="30">((R17-Q17)/Q17)*100</f>
        <v>-52.178001082900536</v>
      </c>
      <c r="AO17" s="1" t="s">
        <v>59</v>
      </c>
      <c r="AP17" s="1" t="s">
        <v>59</v>
      </c>
      <c r="AQ17" s="1" t="s">
        <v>59</v>
      </c>
      <c r="AR17" s="107">
        <f t="shared" si="18"/>
        <v>-82.21699001828884</v>
      </c>
      <c r="AS17" s="107">
        <f t="shared" si="18"/>
        <v>-15.456321388114874</v>
      </c>
      <c r="AT17" s="108" t="s">
        <v>44</v>
      </c>
      <c r="AW17" s="15"/>
      <c r="AX17" s="15"/>
      <c r="AY17" s="15"/>
    </row>
    <row r="18" spans="1:51" s="37" customFormat="1" ht="15.75" customHeight="1" x14ac:dyDescent="0.4">
      <c r="A18" s="52" t="s">
        <v>21</v>
      </c>
      <c r="B18" s="57">
        <f t="shared" ref="B18:G18" si="31">SUM(B19:B20)</f>
        <v>481150.80481999996</v>
      </c>
      <c r="C18" s="57">
        <f t="shared" si="31"/>
        <v>416906.88068999996</v>
      </c>
      <c r="D18" s="57">
        <f t="shared" si="31"/>
        <v>11107.855440000001</v>
      </c>
      <c r="E18" s="57">
        <f t="shared" si="31"/>
        <v>15696.14811</v>
      </c>
      <c r="F18" s="58">
        <f t="shared" si="31"/>
        <v>16789.653780000001</v>
      </c>
      <c r="G18" s="58">
        <f t="shared" si="31"/>
        <v>19422.227800000001</v>
      </c>
      <c r="H18" s="58">
        <f t="shared" ref="H18:M18" si="32">SUM(H19:H20)</f>
        <v>7644.4892799999998</v>
      </c>
      <c r="I18" s="58">
        <f t="shared" si="32"/>
        <v>6445.1383699999997</v>
      </c>
      <c r="J18" s="59">
        <f t="shared" si="32"/>
        <v>17034.936679999999</v>
      </c>
      <c r="K18" s="60">
        <f t="shared" si="32"/>
        <v>93126.190189999994</v>
      </c>
      <c r="L18" s="60">
        <f t="shared" si="32"/>
        <v>123909.38989999999</v>
      </c>
      <c r="M18" s="60">
        <f t="shared" si="32"/>
        <v>208448.00935000001</v>
      </c>
      <c r="N18" s="60">
        <f t="shared" ref="N18:S18" si="33">SUM(N19:N20)</f>
        <v>233868.07108000002</v>
      </c>
      <c r="O18" s="60">
        <f t="shared" si="33"/>
        <v>194037.17799</v>
      </c>
      <c r="P18" s="60">
        <f t="shared" si="33"/>
        <v>226921.45573999983</v>
      </c>
      <c r="Q18" s="60">
        <f t="shared" si="33"/>
        <v>248219.53900999992</v>
      </c>
      <c r="R18" s="60">
        <f t="shared" si="33"/>
        <v>231977.77517000001</v>
      </c>
      <c r="S18" s="60">
        <f t="shared" si="33"/>
        <v>187613.28936</v>
      </c>
      <c r="T18" s="60">
        <f t="shared" ref="T18:W18" si="34">SUM(T19:T20)</f>
        <v>103395.1139099999</v>
      </c>
      <c r="U18" s="60">
        <f t="shared" si="34"/>
        <v>53138.262700000101</v>
      </c>
      <c r="V18" s="60">
        <f t="shared" si="34"/>
        <v>39061.538939999999</v>
      </c>
      <c r="W18" s="131">
        <f t="shared" si="34"/>
        <v>28411.710170000002</v>
      </c>
      <c r="X18" s="43">
        <f t="shared" si="26"/>
        <v>9.3571236656041155</v>
      </c>
      <c r="Y18" s="44">
        <f t="shared" si="19"/>
        <v>10.556415475880884</v>
      </c>
      <c r="Z18" s="44">
        <f t="shared" si="27"/>
        <v>9.0446845439532595</v>
      </c>
      <c r="AA18" s="44">
        <f t="shared" si="20"/>
        <v>7.3959706260104454</v>
      </c>
      <c r="AB18" s="44">
        <f t="shared" si="14"/>
        <v>8.8754746330364469</v>
      </c>
      <c r="AC18" s="44">
        <f t="shared" si="15"/>
        <v>9.54036082430226</v>
      </c>
      <c r="AD18" s="44">
        <f t="shared" si="21"/>
        <v>7.4916515526778236</v>
      </c>
      <c r="AE18" s="44">
        <f t="shared" si="22"/>
        <v>4.5233498717909084</v>
      </c>
      <c r="AF18" s="44">
        <f t="shared" si="23"/>
        <v>2.2096347201032107</v>
      </c>
      <c r="AG18" s="44">
        <f t="shared" si="24"/>
        <v>1.4519628769549355</v>
      </c>
      <c r="AH18" s="121">
        <f t="shared" si="25"/>
        <v>1.9976784338090932</v>
      </c>
      <c r="AI18" s="1">
        <f t="shared" si="28"/>
        <v>68.226160679369158</v>
      </c>
      <c r="AJ18" s="1">
        <f t="shared" si="28"/>
        <v>12.194917000774906</v>
      </c>
      <c r="AK18" s="1">
        <f t="shared" si="28"/>
        <v>-17.03135143932279</v>
      </c>
      <c r="AL18" s="1">
        <f>((P18-O18)/O18)*100</f>
        <v>16.947410847056627</v>
      </c>
      <c r="AM18" s="1">
        <f>((Q18-P18)/P18)*100</f>
        <v>9.3856630703104731</v>
      </c>
      <c r="AN18" s="1">
        <f t="shared" si="30"/>
        <v>-6.5433059398863787</v>
      </c>
      <c r="AO18" s="1">
        <f>((S18-R18)/R18)*100</f>
        <v>-19.124455253305381</v>
      </c>
      <c r="AP18" s="1">
        <f t="shared" si="17"/>
        <v>-44.889237717270042</v>
      </c>
      <c r="AQ18" s="1">
        <f t="shared" si="18"/>
        <v>-48.606601714028564</v>
      </c>
      <c r="AR18" s="107">
        <f t="shared" si="18"/>
        <v>-26.490748934477441</v>
      </c>
      <c r="AS18" s="107">
        <f t="shared" si="18"/>
        <v>-27.26423243681857</v>
      </c>
      <c r="AT18" s="108" t="s">
        <v>33</v>
      </c>
      <c r="AV18" s="37" t="s">
        <v>64</v>
      </c>
      <c r="AW18" s="15"/>
      <c r="AX18" s="15"/>
      <c r="AY18" s="15"/>
    </row>
    <row r="19" spans="1:51" s="79" customFormat="1" ht="15.75" customHeight="1" x14ac:dyDescent="0.4">
      <c r="A19" s="61" t="s">
        <v>45</v>
      </c>
      <c r="B19" s="62">
        <v>466817.25089999998</v>
      </c>
      <c r="C19" s="62">
        <v>416676.35837999999</v>
      </c>
      <c r="D19" s="62">
        <v>11107.855440000001</v>
      </c>
      <c r="E19" s="62">
        <v>13904.56633</v>
      </c>
      <c r="F19" s="63">
        <v>15968.31367</v>
      </c>
      <c r="G19" s="63">
        <v>19349.7281</v>
      </c>
      <c r="H19" s="63">
        <v>7603.2997699999996</v>
      </c>
      <c r="I19" s="63">
        <v>6408.4228499999999</v>
      </c>
      <c r="J19" s="64">
        <v>16471.234039999999</v>
      </c>
      <c r="K19" s="65">
        <v>75873.706749999998</v>
      </c>
      <c r="L19" s="65">
        <v>111382.46312</v>
      </c>
      <c r="M19" s="65">
        <v>201277.28934000002</v>
      </c>
      <c r="N19" s="65">
        <v>225544.64430000001</v>
      </c>
      <c r="O19" s="66">
        <v>190111.46001000001</v>
      </c>
      <c r="P19" s="66">
        <v>213849.82423999984</v>
      </c>
      <c r="Q19" s="66">
        <v>231443.47718999995</v>
      </c>
      <c r="R19" s="66">
        <v>213889.84269000002</v>
      </c>
      <c r="S19" s="66">
        <v>132121.7273</v>
      </c>
      <c r="T19" s="66">
        <v>66666.281359999906</v>
      </c>
      <c r="U19" s="66">
        <v>44515.413090000104</v>
      </c>
      <c r="V19" s="66">
        <v>32187.650110000002</v>
      </c>
      <c r="W19" s="126">
        <v>12864.94491</v>
      </c>
      <c r="X19" s="50">
        <f t="shared" si="26"/>
        <v>9.0352337415207895</v>
      </c>
      <c r="Y19" s="51">
        <f t="shared" si="19"/>
        <v>10.180709844637629</v>
      </c>
      <c r="Z19" s="51">
        <f t="shared" si="27"/>
        <v>8.8616944535724613</v>
      </c>
      <c r="AA19" s="51">
        <f t="shared" si="20"/>
        <v>6.9699315708106448</v>
      </c>
      <c r="AB19" s="51">
        <f t="shared" si="14"/>
        <v>8.2756205211501825</v>
      </c>
      <c r="AC19" s="51">
        <f t="shared" si="15"/>
        <v>8.7964731725720231</v>
      </c>
      <c r="AD19" s="51">
        <f t="shared" si="21"/>
        <v>5.2757986752752544</v>
      </c>
      <c r="AE19" s="51">
        <f t="shared" si="22"/>
        <v>2.9165296486352363</v>
      </c>
      <c r="AF19" s="51">
        <f t="shared" si="23"/>
        <v>1.8510729810404771</v>
      </c>
      <c r="AG19" s="117">
        <f t="shared" si="24"/>
        <v>1.1964524267188141</v>
      </c>
      <c r="AH19" s="127">
        <f t="shared" si="25"/>
        <v>0.90455741118976307</v>
      </c>
      <c r="AI19" s="107">
        <f t="shared" si="28"/>
        <v>80.708240509235395</v>
      </c>
      <c r="AJ19" s="107">
        <f t="shared" si="28"/>
        <v>12.056678147631096</v>
      </c>
      <c r="AK19" s="107">
        <f t="shared" si="28"/>
        <v>-15.710053501811306</v>
      </c>
      <c r="AL19" s="107">
        <f>((P19-O19)/O19)*100</f>
        <v>12.486550904796152</v>
      </c>
      <c r="AM19" s="107">
        <f>((Q19-P19)/P19)*100</f>
        <v>8.2271065746844201</v>
      </c>
      <c r="AN19" s="107">
        <f t="shared" si="30"/>
        <v>-7.5844153022249756</v>
      </c>
      <c r="AO19" s="107">
        <f>((S19-R19)/R19)*100</f>
        <v>-38.229078277695564</v>
      </c>
      <c r="AP19" s="107">
        <f t="shared" si="17"/>
        <v>-49.541772786072329</v>
      </c>
      <c r="AQ19" s="107">
        <f t="shared" si="18"/>
        <v>-33.22649444084702</v>
      </c>
      <c r="AR19" s="107">
        <f t="shared" si="18"/>
        <v>-27.693246280959251</v>
      </c>
      <c r="AS19" s="107">
        <f t="shared" si="18"/>
        <v>-60.031425512472744</v>
      </c>
      <c r="AT19" s="103" t="s">
        <v>46</v>
      </c>
      <c r="AW19" s="109"/>
      <c r="AX19" s="109"/>
      <c r="AY19" s="109"/>
    </row>
    <row r="20" spans="1:51" s="79" customFormat="1" ht="15.75" customHeight="1" x14ac:dyDescent="0.4">
      <c r="A20" s="45" t="s">
        <v>23</v>
      </c>
      <c r="B20" s="62">
        <v>14333.553919999998</v>
      </c>
      <c r="C20" s="62">
        <v>230.52231</v>
      </c>
      <c r="D20" s="62">
        <v>0</v>
      </c>
      <c r="E20" s="62">
        <v>1791.58178</v>
      </c>
      <c r="F20" s="63">
        <v>821.34010999999998</v>
      </c>
      <c r="G20" s="63">
        <v>72.49969999999999</v>
      </c>
      <c r="H20" s="63">
        <v>41.189510000000155</v>
      </c>
      <c r="I20" s="63">
        <v>36.715519999999998</v>
      </c>
      <c r="J20" s="64">
        <v>563.70264000000009</v>
      </c>
      <c r="K20" s="65">
        <v>17252.48344</v>
      </c>
      <c r="L20" s="65">
        <v>12526.92678</v>
      </c>
      <c r="M20" s="65">
        <v>7170.72000999999</v>
      </c>
      <c r="N20" s="65">
        <v>8323.4267799999998</v>
      </c>
      <c r="O20" s="66">
        <v>3925.717979999999</v>
      </c>
      <c r="P20" s="66">
        <v>13071.6315</v>
      </c>
      <c r="Q20" s="66">
        <v>16776.061819999974</v>
      </c>
      <c r="R20" s="66">
        <v>18087.932479999989</v>
      </c>
      <c r="S20" s="66">
        <v>55491.562059999997</v>
      </c>
      <c r="T20" s="66">
        <v>36728.832549999999</v>
      </c>
      <c r="U20" s="66">
        <v>8622.8496099999993</v>
      </c>
      <c r="V20" s="66">
        <v>6873.8888299999999</v>
      </c>
      <c r="W20" s="126">
        <v>15546.765260000002</v>
      </c>
      <c r="X20" s="50">
        <f t="shared" si="26"/>
        <v>0.32188992408332578</v>
      </c>
      <c r="Y20" s="51">
        <f t="shared" si="19"/>
        <v>0.37570563124325307</v>
      </c>
      <c r="Z20" s="51">
        <f t="shared" si="27"/>
        <v>0.18299009038079964</v>
      </c>
      <c r="AA20" s="51">
        <f t="shared" si="20"/>
        <v>0.4260390551998004</v>
      </c>
      <c r="AB20" s="51">
        <f t="shared" si="14"/>
        <v>0.59985411188626248</v>
      </c>
      <c r="AC20" s="51">
        <f t="shared" si="15"/>
        <v>0.74388765173023752</v>
      </c>
      <c r="AD20" s="51">
        <f t="shared" si="21"/>
        <v>2.2158528774025692</v>
      </c>
      <c r="AE20" s="51">
        <f t="shared" si="22"/>
        <v>1.606820223155673</v>
      </c>
      <c r="AF20" s="51">
        <f t="shared" si="23"/>
        <v>0.35856173906273364</v>
      </c>
      <c r="AG20" s="117">
        <f t="shared" si="24"/>
        <v>0.25551045023612157</v>
      </c>
      <c r="AH20" s="127">
        <f t="shared" si="25"/>
        <v>1.09312102261933</v>
      </c>
      <c r="AI20" s="107">
        <f t="shared" si="28"/>
        <v>-42.757548312260589</v>
      </c>
      <c r="AJ20" s="107">
        <f t="shared" si="28"/>
        <v>16.075188661563867</v>
      </c>
      <c r="AK20" s="107">
        <f t="shared" si="28"/>
        <v>-52.835315504511485</v>
      </c>
      <c r="AL20" s="112" t="s">
        <v>59</v>
      </c>
      <c r="AM20" s="107">
        <f t="shared" ref="AM20:AM28" si="35">((Q20-P20)/P20)*100</f>
        <v>28.339464128865433</v>
      </c>
      <c r="AN20" s="107">
        <f t="shared" si="30"/>
        <v>7.8198964338342973</v>
      </c>
      <c r="AO20" s="107" t="s">
        <v>59</v>
      </c>
      <c r="AP20" s="107">
        <f t="shared" si="17"/>
        <v>-33.811860422514115</v>
      </c>
      <c r="AQ20" s="107">
        <f t="shared" si="18"/>
        <v>-76.522941211753832</v>
      </c>
      <c r="AR20" s="107">
        <f t="shared" si="18"/>
        <v>-20.282863080108847</v>
      </c>
      <c r="AS20" s="107" t="s">
        <v>59</v>
      </c>
      <c r="AT20" s="103" t="s">
        <v>24</v>
      </c>
      <c r="AW20" s="109"/>
      <c r="AX20" s="109"/>
      <c r="AY20" s="109"/>
    </row>
    <row r="21" spans="1:51" s="37" customFormat="1" ht="15.75" customHeight="1" x14ac:dyDescent="0.4">
      <c r="A21" s="67" t="s">
        <v>22</v>
      </c>
      <c r="B21" s="68">
        <v>0</v>
      </c>
      <c r="C21" s="68">
        <v>27.254849999999998</v>
      </c>
      <c r="D21" s="68">
        <v>23.907679999999999</v>
      </c>
      <c r="E21" s="68">
        <v>180.79217</v>
      </c>
      <c r="F21" s="69">
        <v>0</v>
      </c>
      <c r="G21" s="69">
        <v>0</v>
      </c>
      <c r="H21" s="69">
        <v>0</v>
      </c>
      <c r="I21" s="69">
        <v>7.7090000000000006E-2</v>
      </c>
      <c r="J21" s="70">
        <v>1443.5039400000001</v>
      </c>
      <c r="K21" s="71">
        <v>13354.008320000001</v>
      </c>
      <c r="L21" s="71">
        <v>9366.7566999999999</v>
      </c>
      <c r="M21" s="71">
        <v>6235.70118</v>
      </c>
      <c r="N21" s="71">
        <v>3136.9294399999999</v>
      </c>
      <c r="O21" s="71">
        <v>8726.4297100000022</v>
      </c>
      <c r="P21" s="71">
        <v>10181.431139999997</v>
      </c>
      <c r="Q21" s="132">
        <v>8395.0911799999994</v>
      </c>
      <c r="R21" s="133">
        <v>6411.2771099999991</v>
      </c>
      <c r="S21" s="133">
        <v>12310.738949999999</v>
      </c>
      <c r="T21" s="133">
        <v>34.596719999999998</v>
      </c>
      <c r="U21" s="133">
        <v>0</v>
      </c>
      <c r="V21" s="133">
        <v>0</v>
      </c>
      <c r="W21" s="134">
        <v>19.918430000000001</v>
      </c>
      <c r="X21" s="43">
        <f t="shared" si="26"/>
        <v>0.27991741089281602</v>
      </c>
      <c r="Y21" s="44">
        <f t="shared" si="19"/>
        <v>0.14159577378065724</v>
      </c>
      <c r="Z21" s="44">
        <f t="shared" si="27"/>
        <v>0.40676639775702783</v>
      </c>
      <c r="AA21" s="44">
        <f t="shared" si="20"/>
        <v>0.33183977864334879</v>
      </c>
      <c r="AB21" s="44">
        <f t="shared" si="14"/>
        <v>0.30017950684823497</v>
      </c>
      <c r="AC21" s="51">
        <f t="shared" si="15"/>
        <v>0.26367136648830114</v>
      </c>
      <c r="AD21" s="51">
        <f t="shared" si="21"/>
        <v>0.49158440153143129</v>
      </c>
      <c r="AE21" s="51">
        <f t="shared" si="22"/>
        <v>1.5135441420627001E-3</v>
      </c>
      <c r="AF21" s="51">
        <f t="shared" si="23"/>
        <v>0</v>
      </c>
      <c r="AG21" s="117">
        <f t="shared" si="24"/>
        <v>0</v>
      </c>
      <c r="AH21" s="127">
        <f t="shared" si="25"/>
        <v>1.4005006318961774E-3</v>
      </c>
      <c r="AI21" s="1">
        <f t="shared" ref="AI21:AI33" si="36">((M21-L21)/L21)*100</f>
        <v>-33.427317696850182</v>
      </c>
      <c r="AJ21" s="1">
        <f t="shared" ref="AJ21:AJ33" si="37">((N21-M21)/M21)*100</f>
        <v>-49.694038417665162</v>
      </c>
      <c r="AK21" s="112" t="s">
        <v>59</v>
      </c>
      <c r="AL21" s="1">
        <f>((P21-O21)/O21)*100</f>
        <v>16.673501974497594</v>
      </c>
      <c r="AM21" s="1">
        <f t="shared" si="35"/>
        <v>-17.545077263077165</v>
      </c>
      <c r="AN21" s="1">
        <f t="shared" si="30"/>
        <v>-23.630643520896225</v>
      </c>
      <c r="AO21" s="1">
        <f t="shared" ref="AO21:AO30" si="38">((S21-R21)/R21)*100</f>
        <v>92.016952921880502</v>
      </c>
      <c r="AP21" s="1">
        <f t="shared" si="17"/>
        <v>-99.71897121577743</v>
      </c>
      <c r="AQ21" s="1">
        <f t="shared" si="18"/>
        <v>-100</v>
      </c>
      <c r="AR21" s="1">
        <v>0</v>
      </c>
      <c r="AS21" s="1">
        <v>1</v>
      </c>
      <c r="AT21" s="103" t="s">
        <v>35</v>
      </c>
      <c r="AW21" s="15"/>
      <c r="AX21" s="15"/>
      <c r="AY21" s="15"/>
    </row>
    <row r="22" spans="1:51" s="37" customFormat="1" ht="15.75" customHeight="1" x14ac:dyDescent="0.4">
      <c r="A22" s="52" t="s">
        <v>17</v>
      </c>
      <c r="B22" s="57">
        <f t="shared" ref="B22:M22" si="39">SUM(B23:B29)</f>
        <v>736982.01227999991</v>
      </c>
      <c r="C22" s="57">
        <f t="shared" si="39"/>
        <v>847600.65657999995</v>
      </c>
      <c r="D22" s="57">
        <f t="shared" si="39"/>
        <v>970014.63735999982</v>
      </c>
      <c r="E22" s="57">
        <f t="shared" si="39"/>
        <v>1178313.5199200001</v>
      </c>
      <c r="F22" s="58">
        <f t="shared" si="39"/>
        <v>906441.20994999993</v>
      </c>
      <c r="G22" s="58">
        <f t="shared" si="39"/>
        <v>1047633.37697</v>
      </c>
      <c r="H22" s="58">
        <f t="shared" si="39"/>
        <v>469915.08199999994</v>
      </c>
      <c r="I22" s="58">
        <f t="shared" si="39"/>
        <v>571604.85386999988</v>
      </c>
      <c r="J22" s="59">
        <f t="shared" si="39"/>
        <v>894713.68382999999</v>
      </c>
      <c r="K22" s="60">
        <f t="shared" si="39"/>
        <v>1163184.78082</v>
      </c>
      <c r="L22" s="60">
        <f t="shared" si="39"/>
        <v>1276541.0895799999</v>
      </c>
      <c r="M22" s="60">
        <f t="shared" si="39"/>
        <v>1098464.48795</v>
      </c>
      <c r="N22" s="60">
        <f t="shared" ref="N22:S22" si="40">SUM(N23:N29)</f>
        <v>1047063.67667</v>
      </c>
      <c r="O22" s="60">
        <f t="shared" si="40"/>
        <v>1107208.3564599999</v>
      </c>
      <c r="P22" s="60">
        <f t="shared" si="40"/>
        <v>1808076.4558700006</v>
      </c>
      <c r="Q22" s="60">
        <f t="shared" si="40"/>
        <v>1388178.0647500004</v>
      </c>
      <c r="R22" s="60">
        <f t="shared" si="40"/>
        <v>1221647.4688899999</v>
      </c>
      <c r="S22" s="60">
        <f t="shared" si="40"/>
        <v>1400782.9334400003</v>
      </c>
      <c r="T22" s="60">
        <f t="shared" ref="T22:W22" si="41">SUM(T23:T29)</f>
        <v>1410369.1991499998</v>
      </c>
      <c r="U22" s="60">
        <f t="shared" si="41"/>
        <v>1463158.9216700005</v>
      </c>
      <c r="V22" s="60">
        <f t="shared" si="41"/>
        <v>1634388.7861999995</v>
      </c>
      <c r="W22" s="131">
        <f t="shared" si="41"/>
        <v>763024.74895000004</v>
      </c>
      <c r="X22" s="43">
        <f t="shared" si="26"/>
        <v>49.309504504618822</v>
      </c>
      <c r="Y22" s="44">
        <f t="shared" si="19"/>
        <v>47.2627116202233</v>
      </c>
      <c r="Z22" s="44">
        <f t="shared" si="27"/>
        <v>51.610471829917856</v>
      </c>
      <c r="AA22" s="44">
        <f t="shared" si="20"/>
        <v>58.929995462912075</v>
      </c>
      <c r="AB22" s="44">
        <f t="shared" si="14"/>
        <v>49.636459921593413</v>
      </c>
      <c r="AC22" s="44">
        <f t="shared" si="15"/>
        <v>50.241699424718931</v>
      </c>
      <c r="AD22" s="44">
        <f t="shared" si="21"/>
        <v>55.935150831099826</v>
      </c>
      <c r="AE22" s="44">
        <f t="shared" si="22"/>
        <v>61.701110380381266</v>
      </c>
      <c r="AF22" s="44">
        <f t="shared" si="23"/>
        <v>60.842161374440288</v>
      </c>
      <c r="AG22" s="44">
        <f t="shared" si="24"/>
        <v>60.752133901302876</v>
      </c>
      <c r="AH22" s="121">
        <f t="shared" si="25"/>
        <v>53.649642218633552</v>
      </c>
      <c r="AI22" s="1">
        <f t="shared" si="36"/>
        <v>-13.949931035011936</v>
      </c>
      <c r="AJ22" s="1">
        <f t="shared" si="37"/>
        <v>-4.6793330001888682</v>
      </c>
      <c r="AK22" s="1">
        <f t="shared" ref="AK22:AK30" si="42">((O22-N22)/N22)*100</f>
        <v>5.7441281872444891</v>
      </c>
      <c r="AL22" s="1">
        <f>((P22-O22)/O22)*100</f>
        <v>63.300470532108108</v>
      </c>
      <c r="AM22" s="1">
        <f t="shared" si="35"/>
        <v>-23.223486471314942</v>
      </c>
      <c r="AN22" s="1">
        <f t="shared" si="30"/>
        <v>-11.996342550621652</v>
      </c>
      <c r="AO22" s="1">
        <f t="shared" si="38"/>
        <v>14.663433528230899</v>
      </c>
      <c r="AP22" s="1">
        <f t="shared" si="17"/>
        <v>0.68435055004973699</v>
      </c>
      <c r="AQ22" s="1">
        <f t="shared" si="18"/>
        <v>3.7429718794068987</v>
      </c>
      <c r="AR22" s="1">
        <f t="shared" si="18"/>
        <v>11.702752311728581</v>
      </c>
      <c r="AS22" s="1">
        <f t="shared" si="18"/>
        <v>-53.314367095967761</v>
      </c>
      <c r="AT22" s="103" t="s">
        <v>47</v>
      </c>
      <c r="AV22" s="72"/>
      <c r="AW22" s="15"/>
      <c r="AX22" s="15"/>
      <c r="AY22" s="15"/>
    </row>
    <row r="23" spans="1:51" s="79" customFormat="1" ht="15.75" customHeight="1" x14ac:dyDescent="0.4">
      <c r="A23" s="61" t="s">
        <v>29</v>
      </c>
      <c r="B23" s="73">
        <v>236958.24240000002</v>
      </c>
      <c r="C23" s="73">
        <v>368871.09668999998</v>
      </c>
      <c r="D23" s="73">
        <v>290968.84031</v>
      </c>
      <c r="E23" s="73">
        <v>452121.15557</v>
      </c>
      <c r="F23" s="74">
        <v>566511.96591000003</v>
      </c>
      <c r="G23" s="74">
        <v>792374.70192999998</v>
      </c>
      <c r="H23" s="74">
        <v>203565.13146999999</v>
      </c>
      <c r="I23" s="74">
        <v>283653.46064</v>
      </c>
      <c r="J23" s="75">
        <v>471377.23420999997</v>
      </c>
      <c r="K23" s="76">
        <v>680549.75017999997</v>
      </c>
      <c r="L23" s="76">
        <v>947437.27882000001</v>
      </c>
      <c r="M23" s="76">
        <v>717658.82430999994</v>
      </c>
      <c r="N23" s="76">
        <v>563446.57271000009</v>
      </c>
      <c r="O23" s="49">
        <v>738371.18641999969</v>
      </c>
      <c r="P23" s="49">
        <v>1492075.1333200005</v>
      </c>
      <c r="Q23" s="49">
        <v>1014092.3380200005</v>
      </c>
      <c r="R23" s="49">
        <v>885773.84863999975</v>
      </c>
      <c r="S23" s="49">
        <v>1091416.5146100002</v>
      </c>
      <c r="T23" s="49">
        <v>1085126.41793</v>
      </c>
      <c r="U23" s="49">
        <v>1182018.3936900001</v>
      </c>
      <c r="V23" s="49">
        <v>1344234.6582599997</v>
      </c>
      <c r="W23" s="122">
        <v>497506.70705999999</v>
      </c>
      <c r="X23" s="77">
        <f t="shared" si="26"/>
        <v>32.215334604157142</v>
      </c>
      <c r="Y23" s="51">
        <f t="shared" si="19"/>
        <v>25.433040485262499</v>
      </c>
      <c r="Z23" s="78">
        <f t="shared" si="27"/>
        <v>34.417808621487893</v>
      </c>
      <c r="AA23" s="51">
        <f t="shared" si="20"/>
        <v>48.63067629214985</v>
      </c>
      <c r="AB23" s="51">
        <f t="shared" si="14"/>
        <v>36.260444514364096</v>
      </c>
      <c r="AC23" s="51">
        <f t="shared" si="15"/>
        <v>36.428498887721673</v>
      </c>
      <c r="AD23" s="51">
        <f t="shared" si="21"/>
        <v>43.5817326916901</v>
      </c>
      <c r="AE23" s="51">
        <f t="shared" si="22"/>
        <v>47.472324927202145</v>
      </c>
      <c r="AF23" s="51">
        <f t="shared" si="23"/>
        <v>49.151567059004449</v>
      </c>
      <c r="AG23" s="117">
        <f t="shared" si="24"/>
        <v>49.966767174937218</v>
      </c>
      <c r="AH23" s="127">
        <f t="shared" si="25"/>
        <v>34.980591221803948</v>
      </c>
      <c r="AI23" s="107">
        <f t="shared" si="36"/>
        <v>-24.252629661794721</v>
      </c>
      <c r="AJ23" s="107">
        <f t="shared" si="37"/>
        <v>-21.488240146460779</v>
      </c>
      <c r="AK23" s="107">
        <f t="shared" si="42"/>
        <v>31.045465920338717</v>
      </c>
      <c r="AL23" s="112" t="s">
        <v>59</v>
      </c>
      <c r="AM23" s="107">
        <f t="shared" si="35"/>
        <v>-32.034767192751588</v>
      </c>
      <c r="AN23" s="107">
        <f t="shared" si="30"/>
        <v>-12.653531100584056</v>
      </c>
      <c r="AO23" s="107">
        <f t="shared" si="38"/>
        <v>23.216159100400205</v>
      </c>
      <c r="AP23" s="107">
        <f t="shared" si="17"/>
        <v>-0.57632412518953458</v>
      </c>
      <c r="AQ23" s="107">
        <f t="shared" si="18"/>
        <v>8.9290956481211055</v>
      </c>
      <c r="AR23" s="107">
        <f t="shared" si="18"/>
        <v>13.723666690464634</v>
      </c>
      <c r="AS23" s="107">
        <f t="shared" si="18"/>
        <v>-62.989593818092658</v>
      </c>
      <c r="AT23" s="103" t="s">
        <v>30</v>
      </c>
      <c r="AW23" s="109"/>
      <c r="AX23" s="109"/>
      <c r="AY23" s="109"/>
    </row>
    <row r="24" spans="1:51" s="79" customFormat="1" ht="15.75" customHeight="1" x14ac:dyDescent="0.4">
      <c r="A24" s="45" t="s">
        <v>27</v>
      </c>
      <c r="B24" s="73">
        <v>196404.68191999997</v>
      </c>
      <c r="C24" s="73">
        <v>193544.59653000001</v>
      </c>
      <c r="D24" s="73">
        <v>206513.42063000001</v>
      </c>
      <c r="E24" s="73">
        <v>222886.43302</v>
      </c>
      <c r="F24" s="74">
        <v>206929.14606</v>
      </c>
      <c r="G24" s="74">
        <v>153947.83643999998</v>
      </c>
      <c r="H24" s="74">
        <v>167768.14257</v>
      </c>
      <c r="I24" s="74">
        <v>185936.75373</v>
      </c>
      <c r="J24" s="75">
        <v>191377.87302</v>
      </c>
      <c r="K24" s="76">
        <v>179041.12006000002</v>
      </c>
      <c r="L24" s="76">
        <v>145757.13890000002</v>
      </c>
      <c r="M24" s="76">
        <v>134475.08106</v>
      </c>
      <c r="N24" s="76">
        <v>265745.48710999999</v>
      </c>
      <c r="O24" s="49">
        <v>218607.09901000018</v>
      </c>
      <c r="P24" s="49">
        <v>115670.73841000005</v>
      </c>
      <c r="Q24" s="49">
        <v>95499.532769999976</v>
      </c>
      <c r="R24" s="49">
        <v>78765.619199999972</v>
      </c>
      <c r="S24" s="49">
        <v>71278.84580000001</v>
      </c>
      <c r="T24" s="49">
        <v>34054.998639999998</v>
      </c>
      <c r="U24" s="49">
        <v>19739.220740000099</v>
      </c>
      <c r="V24" s="49">
        <v>21127.702020000004</v>
      </c>
      <c r="W24" s="122">
        <v>24744.265350000001</v>
      </c>
      <c r="X24" s="77">
        <f t="shared" si="26"/>
        <v>6.0365170545129878</v>
      </c>
      <c r="Y24" s="51">
        <f t="shared" si="19"/>
        <v>11.99530897834225</v>
      </c>
      <c r="Z24" s="78">
        <f t="shared" si="27"/>
        <v>10.189966016286366</v>
      </c>
      <c r="AA24" s="51">
        <f t="shared" si="20"/>
        <v>3.7700154036976699</v>
      </c>
      <c r="AB24" s="51">
        <f t="shared" si="14"/>
        <v>3.4147339244426709</v>
      </c>
      <c r="AC24" s="51">
        <f t="shared" si="15"/>
        <v>3.2393294019950987</v>
      </c>
      <c r="AD24" s="51">
        <f t="shared" si="21"/>
        <v>2.8462603988889055</v>
      </c>
      <c r="AE24" s="51">
        <f t="shared" si="22"/>
        <v>1.4898448089739496</v>
      </c>
      <c r="AF24" s="51">
        <f t="shared" si="23"/>
        <v>0.82081094259947496</v>
      </c>
      <c r="AG24" s="117">
        <f t="shared" si="24"/>
        <v>0.78534128047351848</v>
      </c>
      <c r="AH24" s="127">
        <f t="shared" si="25"/>
        <v>1.739813793480796</v>
      </c>
      <c r="AI24" s="107">
        <f t="shared" si="36"/>
        <v>-7.7403123614688498</v>
      </c>
      <c r="AJ24" s="107">
        <f t="shared" si="37"/>
        <v>97.616900480937318</v>
      </c>
      <c r="AK24" s="107">
        <f t="shared" si="42"/>
        <v>-17.738170688290118</v>
      </c>
      <c r="AL24" s="107">
        <f>((P24-O24)/O24)*100</f>
        <v>-47.087382370547495</v>
      </c>
      <c r="AM24" s="107">
        <f t="shared" si="35"/>
        <v>-17.438468810065292</v>
      </c>
      <c r="AN24" s="107">
        <f t="shared" si="30"/>
        <v>-17.522508314571319</v>
      </c>
      <c r="AO24" s="107">
        <f t="shared" si="38"/>
        <v>-9.5051286031151587</v>
      </c>
      <c r="AP24" s="107">
        <f t="shared" si="17"/>
        <v>-52.222853417752745</v>
      </c>
      <c r="AQ24" s="107">
        <f t="shared" si="18"/>
        <v>-42.037229398638146</v>
      </c>
      <c r="AR24" s="107">
        <f t="shared" si="18"/>
        <v>7.0341240836637935</v>
      </c>
      <c r="AS24" s="107">
        <f t="shared" si="18"/>
        <v>17.117636961068786</v>
      </c>
      <c r="AT24" s="103" t="s">
        <v>28</v>
      </c>
      <c r="AW24" s="109"/>
      <c r="AX24" s="109"/>
      <c r="AY24" s="109"/>
    </row>
    <row r="25" spans="1:51" s="79" customFormat="1" ht="15.75" customHeight="1" x14ac:dyDescent="0.4">
      <c r="A25" s="80" t="s">
        <v>31</v>
      </c>
      <c r="B25" s="73">
        <v>149645.58957999997</v>
      </c>
      <c r="C25" s="73">
        <v>184093.34530000002</v>
      </c>
      <c r="D25" s="73">
        <v>288251.24034000002</v>
      </c>
      <c r="E25" s="73">
        <v>261195.91558</v>
      </c>
      <c r="F25" s="74">
        <v>63083.403129999999</v>
      </c>
      <c r="G25" s="74">
        <v>46273.105510000001</v>
      </c>
      <c r="H25" s="74">
        <v>38991.252990000001</v>
      </c>
      <c r="I25" s="74">
        <v>16480.233820000001</v>
      </c>
      <c r="J25" s="75">
        <v>54258.660210000002</v>
      </c>
      <c r="K25" s="76">
        <v>51316.106850000004</v>
      </c>
      <c r="L25" s="76">
        <v>78734.15376999999</v>
      </c>
      <c r="M25" s="76">
        <v>118060.99639</v>
      </c>
      <c r="N25" s="76">
        <v>72469.581260000006</v>
      </c>
      <c r="O25" s="49">
        <v>45597.044409999995</v>
      </c>
      <c r="P25" s="49">
        <v>49020.427200000013</v>
      </c>
      <c r="Q25" s="49">
        <v>45114.810090000014</v>
      </c>
      <c r="R25" s="49">
        <v>35548.939690000021</v>
      </c>
      <c r="S25" s="49">
        <v>39747.926860000007</v>
      </c>
      <c r="T25" s="49">
        <v>83761.431650000013</v>
      </c>
      <c r="U25" s="49">
        <v>46205.90537</v>
      </c>
      <c r="V25" s="49">
        <v>34366.090799999998</v>
      </c>
      <c r="W25" s="122">
        <v>28720.820100000001</v>
      </c>
      <c r="X25" s="77">
        <f t="shared" si="26"/>
        <v>5.2996972566467493</v>
      </c>
      <c r="Y25" s="51">
        <f t="shared" si="19"/>
        <v>3.2711562788833146</v>
      </c>
      <c r="Z25" s="78">
        <f t="shared" si="27"/>
        <v>2.1254219789072151</v>
      </c>
      <c r="AA25" s="51">
        <f t="shared" si="20"/>
        <v>1.5977054195399101</v>
      </c>
      <c r="AB25" s="51">
        <f t="shared" si="14"/>
        <v>1.6131500127873515</v>
      </c>
      <c r="AC25" s="51">
        <f t="shared" si="15"/>
        <v>1.4619922590231811</v>
      </c>
      <c r="AD25" s="51">
        <f t="shared" si="21"/>
        <v>1.587188300958019</v>
      </c>
      <c r="AE25" s="51">
        <f t="shared" si="22"/>
        <v>3.6644116611240252</v>
      </c>
      <c r="AF25" s="51">
        <f t="shared" si="23"/>
        <v>1.9213682870244682</v>
      </c>
      <c r="AG25" s="117">
        <f t="shared" si="24"/>
        <v>1.2774276032572141</v>
      </c>
      <c r="AH25" s="127">
        <f t="shared" si="25"/>
        <v>2.019412508848661</v>
      </c>
      <c r="AI25" s="107">
        <f t="shared" si="36"/>
        <v>49.948898587114407</v>
      </c>
      <c r="AJ25" s="107">
        <f t="shared" si="37"/>
        <v>-38.616830726546091</v>
      </c>
      <c r="AK25" s="107">
        <f t="shared" si="42"/>
        <v>-37.08112615359137</v>
      </c>
      <c r="AL25" s="107">
        <f>((P25-O25)/O25)*100</f>
        <v>7.5079050282680777</v>
      </c>
      <c r="AM25" s="107">
        <f t="shared" si="35"/>
        <v>-7.9673257315064738</v>
      </c>
      <c r="AN25" s="107">
        <f t="shared" si="30"/>
        <v>-21.203392812508657</v>
      </c>
      <c r="AO25" s="107">
        <f t="shared" si="38"/>
        <v>11.811849260812604</v>
      </c>
      <c r="AP25" s="107">
        <f t="shared" si="17"/>
        <v>110.73157335984894</v>
      </c>
      <c r="AQ25" s="107">
        <f t="shared" si="18"/>
        <v>-44.83629940439301</v>
      </c>
      <c r="AR25" s="107">
        <f t="shared" si="18"/>
        <v>-25.624028952990091</v>
      </c>
      <c r="AS25" s="107">
        <f t="shared" si="18"/>
        <v>-16.426863133353525</v>
      </c>
      <c r="AT25" s="103" t="s">
        <v>32</v>
      </c>
      <c r="AW25" s="109"/>
      <c r="AX25" s="109"/>
      <c r="AY25" s="109"/>
    </row>
    <row r="26" spans="1:51" s="79" customFormat="1" ht="15.75" customHeight="1" x14ac:dyDescent="0.4">
      <c r="A26" s="80" t="s">
        <v>26</v>
      </c>
      <c r="B26" s="73">
        <v>4458.6715899999999</v>
      </c>
      <c r="C26" s="73">
        <v>5861.9512400000003</v>
      </c>
      <c r="D26" s="73">
        <v>13045.729630000002</v>
      </c>
      <c r="E26" s="73">
        <v>16131.8279</v>
      </c>
      <c r="F26" s="74">
        <v>25340.82879</v>
      </c>
      <c r="G26" s="74">
        <v>25025.00534</v>
      </c>
      <c r="H26" s="74">
        <v>22142.620760000002</v>
      </c>
      <c r="I26" s="74">
        <v>32113.870320000002</v>
      </c>
      <c r="J26" s="75">
        <v>35851.549359999997</v>
      </c>
      <c r="K26" s="76">
        <v>43726.893990000004</v>
      </c>
      <c r="L26" s="76">
        <v>38741.918939999996</v>
      </c>
      <c r="M26" s="76">
        <v>44624.855320000002</v>
      </c>
      <c r="N26" s="76">
        <v>46284.728729999995</v>
      </c>
      <c r="O26" s="49">
        <v>23950.067069999997</v>
      </c>
      <c r="P26" s="49">
        <v>44038.268859999996</v>
      </c>
      <c r="Q26" s="49">
        <v>43345.408179999999</v>
      </c>
      <c r="R26" s="49">
        <v>52769.282339999998</v>
      </c>
      <c r="S26" s="49">
        <v>51308.227530000004</v>
      </c>
      <c r="T26" s="49">
        <v>84221.447819999987</v>
      </c>
      <c r="U26" s="49">
        <v>89802.594290000299</v>
      </c>
      <c r="V26" s="49">
        <v>79246.802149999989</v>
      </c>
      <c r="W26" s="122">
        <v>64215.396520000002</v>
      </c>
      <c r="X26" s="77">
        <f t="shared" si="26"/>
        <v>2.0031867470982481</v>
      </c>
      <c r="Y26" s="51">
        <f t="shared" si="19"/>
        <v>2.0892156180446846</v>
      </c>
      <c r="Z26" s="78">
        <f t="shared" si="27"/>
        <v>1.1163881257118509</v>
      </c>
      <c r="AA26" s="51">
        <f t="shared" si="20"/>
        <v>1.4353236975620975</v>
      </c>
      <c r="AB26" s="51">
        <f t="shared" si="14"/>
        <v>1.5498823029588407</v>
      </c>
      <c r="AC26" s="51">
        <f t="shared" si="15"/>
        <v>2.1701992511745885</v>
      </c>
      <c r="AD26" s="51">
        <f t="shared" si="21"/>
        <v>2.048806690354974</v>
      </c>
      <c r="AE26" s="51">
        <f t="shared" si="22"/>
        <v>3.6845365394176195</v>
      </c>
      <c r="AF26" s="51">
        <f t="shared" si="23"/>
        <v>3.7342381970370027</v>
      </c>
      <c r="AG26" s="117">
        <f t="shared" si="24"/>
        <v>2.9456958932400057</v>
      </c>
      <c r="AH26" s="127">
        <f t="shared" si="25"/>
        <v>4.5151000055588515</v>
      </c>
      <c r="AI26" s="107">
        <f t="shared" si="36"/>
        <v>15.184938023103529</v>
      </c>
      <c r="AJ26" s="107">
        <f t="shared" si="37"/>
        <v>3.7196163395874797</v>
      </c>
      <c r="AK26" s="107">
        <f t="shared" si="42"/>
        <v>-48.254926134035053</v>
      </c>
      <c r="AL26" s="107">
        <f>((P26-O26)/O26)*100</f>
        <v>83.875346700647057</v>
      </c>
      <c r="AM26" s="107">
        <f t="shared" si="35"/>
        <v>-1.5733149779402977</v>
      </c>
      <c r="AN26" s="107">
        <f t="shared" si="30"/>
        <v>21.741343675587459</v>
      </c>
      <c r="AO26" s="107">
        <f t="shared" si="38"/>
        <v>-2.768760053597489</v>
      </c>
      <c r="AP26" s="107">
        <f t="shared" si="17"/>
        <v>64.148036045009675</v>
      </c>
      <c r="AQ26" s="107">
        <f t="shared" si="18"/>
        <v>6.6267519906906216</v>
      </c>
      <c r="AR26" s="107">
        <f t="shared" si="18"/>
        <v>-11.754440084339212</v>
      </c>
      <c r="AS26" s="107">
        <f t="shared" si="18"/>
        <v>-18.9678387293764</v>
      </c>
      <c r="AT26" s="103" t="s">
        <v>48</v>
      </c>
      <c r="AW26" s="109"/>
      <c r="AX26" s="109"/>
      <c r="AY26" s="109"/>
    </row>
    <row r="27" spans="1:51" s="79" customFormat="1" ht="15.75" customHeight="1" x14ac:dyDescent="0.4">
      <c r="A27" s="61" t="s">
        <v>49</v>
      </c>
      <c r="B27" s="73">
        <v>26419.831440000002</v>
      </c>
      <c r="C27" s="73">
        <v>9612.1980899999999</v>
      </c>
      <c r="D27" s="73">
        <v>10335.22639</v>
      </c>
      <c r="E27" s="73">
        <v>12131.463880000001</v>
      </c>
      <c r="F27" s="74">
        <v>8562.7436799999996</v>
      </c>
      <c r="G27" s="74">
        <v>13705.628480000001</v>
      </c>
      <c r="H27" s="74">
        <v>10723.59333</v>
      </c>
      <c r="I27" s="74">
        <v>13073.370070000001</v>
      </c>
      <c r="J27" s="75">
        <v>19114.618079999997</v>
      </c>
      <c r="K27" s="76">
        <v>38394.42138</v>
      </c>
      <c r="L27" s="76">
        <v>26068.722659999999</v>
      </c>
      <c r="M27" s="76">
        <v>34156.213100000001</v>
      </c>
      <c r="N27" s="76">
        <v>34490.467920000003</v>
      </c>
      <c r="O27" s="49">
        <v>24069.963009999996</v>
      </c>
      <c r="P27" s="49">
        <v>18840.906169999995</v>
      </c>
      <c r="Q27" s="49">
        <v>22059.926910000009</v>
      </c>
      <c r="R27" s="49">
        <v>33294.786420000004</v>
      </c>
      <c r="S27" s="49">
        <v>25772.043169999997</v>
      </c>
      <c r="T27" s="49">
        <v>24127.994300000002</v>
      </c>
      <c r="U27" s="49">
        <v>23996.64255</v>
      </c>
      <c r="V27" s="49">
        <v>15366.555829999998</v>
      </c>
      <c r="W27" s="122">
        <v>15304.536300000002</v>
      </c>
      <c r="X27" s="77">
        <f t="shared" si="26"/>
        <v>1.5332547953901932</v>
      </c>
      <c r="Y27" s="51">
        <f t="shared" si="19"/>
        <v>1.556842315582762</v>
      </c>
      <c r="Z27" s="78">
        <f t="shared" si="27"/>
        <v>1.121976853432147</v>
      </c>
      <c r="AA27" s="51">
        <f t="shared" si="20"/>
        <v>0.61407498090616219</v>
      </c>
      <c r="AB27" s="51">
        <f t="shared" si="14"/>
        <v>0.78878690403359153</v>
      </c>
      <c r="AC27" s="51">
        <f t="shared" si="15"/>
        <v>1.3692875353343656</v>
      </c>
      <c r="AD27" s="51">
        <f t="shared" si="21"/>
        <v>1.0291124252916322</v>
      </c>
      <c r="AE27" s="51">
        <f t="shared" si="22"/>
        <v>1.0555562617637517</v>
      </c>
      <c r="AF27" s="51">
        <f t="shared" si="23"/>
        <v>0.99784621946975971</v>
      </c>
      <c r="AG27" s="117">
        <f t="shared" si="24"/>
        <v>0.57119276959586762</v>
      </c>
      <c r="AH27" s="127">
        <f t="shared" si="25"/>
        <v>1.0760894688501046</v>
      </c>
      <c r="AI27" s="107">
        <f t="shared" si="36"/>
        <v>31.023731179623521</v>
      </c>
      <c r="AJ27" s="107">
        <f t="shared" si="37"/>
        <v>0.97860620268820697</v>
      </c>
      <c r="AK27" s="107">
        <f t="shared" si="42"/>
        <v>-30.212709593184339</v>
      </c>
      <c r="AL27" s="107">
        <f>((P27-O27)/O27)*100</f>
        <v>-21.724407460981809</v>
      </c>
      <c r="AM27" s="107">
        <f t="shared" si="35"/>
        <v>17.085275575150405</v>
      </c>
      <c r="AN27" s="107">
        <f t="shared" si="30"/>
        <v>50.928815656715109</v>
      </c>
      <c r="AO27" s="107">
        <f t="shared" si="38"/>
        <v>-22.594358032827429</v>
      </c>
      <c r="AP27" s="107">
        <f t="shared" si="17"/>
        <v>-6.379194925118524</v>
      </c>
      <c r="AQ27" s="107">
        <f t="shared" si="18"/>
        <v>-0.5443956441916169</v>
      </c>
      <c r="AR27" s="107">
        <f t="shared" si="18"/>
        <v>-35.96372576712821</v>
      </c>
      <c r="AS27" s="107">
        <f t="shared" si="18"/>
        <v>-0.40360072020117699</v>
      </c>
      <c r="AT27" s="103" t="s">
        <v>50</v>
      </c>
      <c r="AU27" s="110"/>
      <c r="AW27" s="109"/>
      <c r="AX27" s="109"/>
      <c r="AY27" s="109"/>
    </row>
    <row r="28" spans="1:51" s="79" customFormat="1" ht="15.75" customHeight="1" x14ac:dyDescent="0.4">
      <c r="A28" s="61" t="s">
        <v>51</v>
      </c>
      <c r="B28" s="73"/>
      <c r="C28" s="73"/>
      <c r="D28" s="73"/>
      <c r="E28" s="73"/>
      <c r="F28" s="74">
        <v>1310.6936799999999</v>
      </c>
      <c r="G28" s="74">
        <v>5997.3564299999998</v>
      </c>
      <c r="H28" s="74">
        <v>25005.762059999997</v>
      </c>
      <c r="I28" s="74">
        <v>30391.28745</v>
      </c>
      <c r="J28" s="75">
        <v>99143.179940000002</v>
      </c>
      <c r="K28" s="76">
        <v>39560.130829999995</v>
      </c>
      <c r="L28" s="76">
        <v>30701.155260000003</v>
      </c>
      <c r="M28" s="76">
        <v>33576.012299999995</v>
      </c>
      <c r="N28" s="76">
        <v>30089.316559999999</v>
      </c>
      <c r="O28" s="49">
        <v>33303.357379999987</v>
      </c>
      <c r="P28" s="49">
        <v>37515.765119999996</v>
      </c>
      <c r="Q28" s="49">
        <v>35005.961599999995</v>
      </c>
      <c r="R28" s="49">
        <v>23908.330949999992</v>
      </c>
      <c r="S28" s="49">
        <v>12326.751129999999</v>
      </c>
      <c r="T28" s="49">
        <v>9083.7850799999906</v>
      </c>
      <c r="U28" s="49">
        <v>8368.3918000000103</v>
      </c>
      <c r="V28" s="49">
        <v>10725.810890000001</v>
      </c>
      <c r="W28" s="122">
        <v>15297.259599999999</v>
      </c>
      <c r="X28" s="77">
        <f t="shared" si="26"/>
        <v>1.5072098806250596</v>
      </c>
      <c r="Y28" s="51">
        <f t="shared" si="19"/>
        <v>1.3581816685186086</v>
      </c>
      <c r="Z28" s="78">
        <f t="shared" si="27"/>
        <v>1.5523744721342081</v>
      </c>
      <c r="AA28" s="51">
        <f t="shared" si="20"/>
        <v>1.2227380435886999</v>
      </c>
      <c r="AB28" s="51">
        <f t="shared" si="14"/>
        <v>1.2516924550944841</v>
      </c>
      <c r="AC28" s="51">
        <f t="shared" si="15"/>
        <v>0.98325843414387093</v>
      </c>
      <c r="AD28" s="51">
        <f t="shared" si="21"/>
        <v>0.49222378946374662</v>
      </c>
      <c r="AE28" s="51">
        <f t="shared" si="22"/>
        <v>0.39739922442331366</v>
      </c>
      <c r="AF28" s="51">
        <f t="shared" si="23"/>
        <v>0.3479806853509908</v>
      </c>
      <c r="AG28" s="117">
        <f t="shared" si="24"/>
        <v>0.39869087752636762</v>
      </c>
      <c r="AH28" s="127">
        <f t="shared" si="25"/>
        <v>1.0755778309876765</v>
      </c>
      <c r="AI28" s="107">
        <f t="shared" si="36"/>
        <v>9.3640028059321683</v>
      </c>
      <c r="AJ28" s="107">
        <f t="shared" si="37"/>
        <v>-10.384484342114671</v>
      </c>
      <c r="AK28" s="107">
        <f t="shared" si="42"/>
        <v>10.68166773941504</v>
      </c>
      <c r="AL28" s="107">
        <f>((P28-O28)/O28)*100</f>
        <v>12.648597833351575</v>
      </c>
      <c r="AM28" s="107">
        <f t="shared" si="35"/>
        <v>-6.6899968905658875</v>
      </c>
      <c r="AN28" s="107">
        <f t="shared" si="30"/>
        <v>-31.702116276103109</v>
      </c>
      <c r="AO28" s="107">
        <f t="shared" si="38"/>
        <v>-48.44160742220275</v>
      </c>
      <c r="AP28" s="107">
        <f t="shared" si="17"/>
        <v>-26.308359889796918</v>
      </c>
      <c r="AQ28" s="107">
        <f t="shared" si="18"/>
        <v>-7.8754976444244642</v>
      </c>
      <c r="AR28" s="107">
        <f t="shared" si="18"/>
        <v>28.170515271524305</v>
      </c>
      <c r="AS28" s="107">
        <f t="shared" si="18"/>
        <v>42.621007930151919</v>
      </c>
      <c r="AT28" s="103" t="s">
        <v>52</v>
      </c>
      <c r="AU28" s="110"/>
      <c r="AW28" s="109"/>
      <c r="AX28" s="109"/>
      <c r="AY28" s="109"/>
    </row>
    <row r="29" spans="1:51" s="79" customFormat="1" ht="15.75" customHeight="1" x14ac:dyDescent="0.4">
      <c r="A29" s="45" t="s">
        <v>23</v>
      </c>
      <c r="B29" s="73">
        <v>123094.99535000001</v>
      </c>
      <c r="C29" s="73">
        <v>85617.468730000008</v>
      </c>
      <c r="D29" s="73">
        <v>160900.18005999998</v>
      </c>
      <c r="E29" s="73">
        <v>213846.72397000002</v>
      </c>
      <c r="F29" s="74">
        <v>34702.428700000004</v>
      </c>
      <c r="G29" s="74">
        <v>10309.742839999999</v>
      </c>
      <c r="H29" s="74">
        <v>1718.5788199999188</v>
      </c>
      <c r="I29" s="74">
        <v>9955.8778400000047</v>
      </c>
      <c r="J29" s="75">
        <v>23590.569010000003</v>
      </c>
      <c r="K29" s="76">
        <v>130596.35752999999</v>
      </c>
      <c r="L29" s="76">
        <v>9100.7212299999992</v>
      </c>
      <c r="M29" s="76">
        <v>15912.505469999975</v>
      </c>
      <c r="N29" s="76">
        <v>34537.522380000002</v>
      </c>
      <c r="O29" s="49">
        <v>23309.639159999995</v>
      </c>
      <c r="P29" s="49">
        <v>50915.216789999999</v>
      </c>
      <c r="Q29" s="49">
        <v>133060.08717999986</v>
      </c>
      <c r="R29" s="49">
        <v>111586.6616500001</v>
      </c>
      <c r="S29" s="49">
        <v>108932.62434000001</v>
      </c>
      <c r="T29" s="49">
        <v>89993.123729999992</v>
      </c>
      <c r="U29" s="49">
        <v>93027.773229999992</v>
      </c>
      <c r="V29" s="49">
        <v>129321.16624999999</v>
      </c>
      <c r="W29" s="122">
        <v>117235.7640200001</v>
      </c>
      <c r="X29" s="77">
        <f t="shared" si="26"/>
        <v>0.71430416618843906</v>
      </c>
      <c r="Y29" s="51">
        <f t="shared" si="19"/>
        <v>1.5589662755891849</v>
      </c>
      <c r="Z29" s="78">
        <f t="shared" si="27"/>
        <v>1.0865357619581799</v>
      </c>
      <c r="AA29" s="51">
        <f t="shared" si="20"/>
        <v>1.6594616254676866</v>
      </c>
      <c r="AB29" s="51">
        <f t="shared" si="14"/>
        <v>4.7577698079123802</v>
      </c>
      <c r="AC29" s="51">
        <f t="shared" si="15"/>
        <v>4.5891336553261599</v>
      </c>
      <c r="AD29" s="51">
        <f t="shared" si="21"/>
        <v>4.3498265344524372</v>
      </c>
      <c r="AE29" s="51">
        <f t="shared" si="22"/>
        <v>3.9370369574764683</v>
      </c>
      <c r="AF29" s="51">
        <f t="shared" si="23"/>
        <v>3.8683499839541344</v>
      </c>
      <c r="AG29" s="117">
        <f t="shared" si="24"/>
        <v>4.8070183022726933</v>
      </c>
      <c r="AH29" s="127">
        <f t="shared" si="25"/>
        <v>8.243057389103523</v>
      </c>
      <c r="AI29" s="107">
        <f t="shared" si="36"/>
        <v>74.848839645206624</v>
      </c>
      <c r="AJ29" s="107">
        <f t="shared" si="37"/>
        <v>117.04641324468972</v>
      </c>
      <c r="AK29" s="107">
        <f t="shared" si="42"/>
        <v>-32.509231833322971</v>
      </c>
      <c r="AL29" s="112" t="s">
        <v>59</v>
      </c>
      <c r="AM29" s="112" t="s">
        <v>59</v>
      </c>
      <c r="AN29" s="107">
        <f t="shared" si="30"/>
        <v>-16.138141786237618</v>
      </c>
      <c r="AO29" s="107">
        <f t="shared" si="38"/>
        <v>-2.3784539036795218</v>
      </c>
      <c r="AP29" s="107">
        <f t="shared" si="17"/>
        <v>-17.386435629133594</v>
      </c>
      <c r="AQ29" s="107">
        <f t="shared" si="18"/>
        <v>3.3720904156018006</v>
      </c>
      <c r="AR29" s="107">
        <f t="shared" si="18"/>
        <v>39.013502914090985</v>
      </c>
      <c r="AS29" s="107">
        <f t="shared" si="18"/>
        <v>-9.3452623266919321</v>
      </c>
      <c r="AT29" s="103" t="s">
        <v>24</v>
      </c>
      <c r="AW29" s="109"/>
      <c r="AX29" s="109"/>
      <c r="AY29" s="109"/>
    </row>
    <row r="30" spans="1:51" s="37" customFormat="1" ht="15.75" customHeight="1" x14ac:dyDescent="0.4">
      <c r="A30" s="81" t="s">
        <v>20</v>
      </c>
      <c r="B30" s="82">
        <f t="shared" ref="B30:M30" si="43">SUM(B31:B33)</f>
        <v>121.7556</v>
      </c>
      <c r="C30" s="82">
        <f t="shared" si="43"/>
        <v>1151.3334</v>
      </c>
      <c r="D30" s="82">
        <f t="shared" si="43"/>
        <v>581.06939999999997</v>
      </c>
      <c r="E30" s="82">
        <f t="shared" si="43"/>
        <v>106020.15176000001</v>
      </c>
      <c r="F30" s="83">
        <f t="shared" si="43"/>
        <v>54122.159019999999</v>
      </c>
      <c r="G30" s="83">
        <f t="shared" si="43"/>
        <v>47030.476750000002</v>
      </c>
      <c r="H30" s="83">
        <f t="shared" si="43"/>
        <v>57471.19526</v>
      </c>
      <c r="I30" s="83">
        <f t="shared" si="43"/>
        <v>29393.710120000003</v>
      </c>
      <c r="J30" s="84">
        <f t="shared" si="43"/>
        <v>42324.940609999991</v>
      </c>
      <c r="K30" s="85">
        <f t="shared" si="43"/>
        <v>85543.340099999987</v>
      </c>
      <c r="L30" s="85">
        <f t="shared" si="43"/>
        <v>178363.01673000003</v>
      </c>
      <c r="M30" s="85">
        <f t="shared" si="43"/>
        <v>25792.871249999997</v>
      </c>
      <c r="N30" s="85">
        <f t="shared" ref="N30:S30" si="44">SUM(N31:N33)</f>
        <v>14582.701219999999</v>
      </c>
      <c r="O30" s="85">
        <f t="shared" si="44"/>
        <v>9299.2139199999929</v>
      </c>
      <c r="P30" s="85">
        <f t="shared" si="44"/>
        <v>8660.7910400000037</v>
      </c>
      <c r="Q30" s="85">
        <f t="shared" si="44"/>
        <v>10606.267499999998</v>
      </c>
      <c r="R30" s="60">
        <f t="shared" si="44"/>
        <v>10720.342059999999</v>
      </c>
      <c r="S30" s="60">
        <f t="shared" si="44"/>
        <v>6404.0434399999976</v>
      </c>
      <c r="T30" s="60">
        <f t="shared" ref="T30:W30" si="45">SUM(T31:T33)</f>
        <v>10788.74735</v>
      </c>
      <c r="U30" s="60">
        <f t="shared" si="45"/>
        <v>9553.52045</v>
      </c>
      <c r="V30" s="60">
        <f t="shared" si="45"/>
        <v>34356.030859999999</v>
      </c>
      <c r="W30" s="131">
        <f t="shared" si="45"/>
        <v>22046.91547</v>
      </c>
      <c r="X30" s="86">
        <f t="shared" si="26"/>
        <v>1.157828691815497</v>
      </c>
      <c r="Y30" s="44">
        <f t="shared" si="19"/>
        <v>0.6582388614574749</v>
      </c>
      <c r="Z30" s="87">
        <f t="shared" si="27"/>
        <v>0.43346567541542791</v>
      </c>
      <c r="AA30" s="44">
        <f t="shared" si="20"/>
        <v>0.28227809451058178</v>
      </c>
      <c r="AB30" s="44">
        <f t="shared" si="14"/>
        <v>0.37924354594686627</v>
      </c>
      <c r="AC30" s="44">
        <f t="shared" si="15"/>
        <v>0.44088676743879024</v>
      </c>
      <c r="AD30" s="44">
        <f t="shared" si="21"/>
        <v>0.2557220874083832</v>
      </c>
      <c r="AE30" s="44">
        <f t="shared" si="22"/>
        <v>0.47198825067194172</v>
      </c>
      <c r="AF30" s="44">
        <f t="shared" si="23"/>
        <v>0.39726158539872641</v>
      </c>
      <c r="AG30" s="117">
        <f t="shared" si="24"/>
        <v>1.2770536635758607</v>
      </c>
      <c r="AH30" s="127">
        <f t="shared" si="25"/>
        <v>1.5501582728707337</v>
      </c>
      <c r="AI30" s="1">
        <f t="shared" si="36"/>
        <v>-85.539114709500353</v>
      </c>
      <c r="AJ30" s="1">
        <f t="shared" si="37"/>
        <v>-43.462280415950197</v>
      </c>
      <c r="AK30" s="1">
        <f t="shared" si="42"/>
        <v>-36.231197638156139</v>
      </c>
      <c r="AL30" s="1">
        <f>((P30-O30)/O30)*100</f>
        <v>-6.8653424417618902</v>
      </c>
      <c r="AM30" s="1">
        <f>((Q30-P30)/P30)*100</f>
        <v>22.46303427729384</v>
      </c>
      <c r="AN30" s="1">
        <f t="shared" si="30"/>
        <v>1.0755391564468928</v>
      </c>
      <c r="AO30" s="1">
        <f t="shared" si="38"/>
        <v>-40.262694938672524</v>
      </c>
      <c r="AP30" s="1">
        <f t="shared" si="17"/>
        <v>68.467741530497861</v>
      </c>
      <c r="AQ30" s="1">
        <f t="shared" si="18"/>
        <v>-11.449215186228265</v>
      </c>
      <c r="AR30" s="1" t="s">
        <v>59</v>
      </c>
      <c r="AS30" s="1">
        <f>((W30-V30)/V30)*100</f>
        <v>-35.828106687176259</v>
      </c>
      <c r="AT30" s="103" t="s">
        <v>34</v>
      </c>
      <c r="AW30" s="15"/>
      <c r="AX30" s="15"/>
      <c r="AY30" s="15"/>
    </row>
    <row r="31" spans="1:51" s="79" customFormat="1" ht="15.75" customHeight="1" x14ac:dyDescent="0.4">
      <c r="A31" s="61" t="s">
        <v>53</v>
      </c>
      <c r="B31" s="73">
        <v>0</v>
      </c>
      <c r="C31" s="73">
        <v>0</v>
      </c>
      <c r="D31" s="73">
        <v>0</v>
      </c>
      <c r="E31" s="73">
        <v>30243.985690000001</v>
      </c>
      <c r="F31" s="74">
        <v>39056.505799999999</v>
      </c>
      <c r="G31" s="74">
        <v>46127.536610000003</v>
      </c>
      <c r="H31" s="74">
        <v>57414.48128</v>
      </c>
      <c r="I31" s="74">
        <v>28344.640500000001</v>
      </c>
      <c r="J31" s="75">
        <v>38350.337409999993</v>
      </c>
      <c r="K31" s="76">
        <v>76554.130209999988</v>
      </c>
      <c r="L31" s="76">
        <v>165792.30936000001</v>
      </c>
      <c r="M31" s="76">
        <v>10200.435449999999</v>
      </c>
      <c r="N31" s="76">
        <v>0</v>
      </c>
      <c r="O31" s="49">
        <v>0</v>
      </c>
      <c r="P31" s="49">
        <v>0</v>
      </c>
      <c r="Q31" s="119">
        <v>0</v>
      </c>
      <c r="R31" s="119">
        <v>106.59605999999999</v>
      </c>
      <c r="S31" s="119">
        <v>0</v>
      </c>
      <c r="T31" s="119">
        <v>0</v>
      </c>
      <c r="U31" s="119">
        <v>0</v>
      </c>
      <c r="V31" s="119">
        <v>0</v>
      </c>
      <c r="W31" s="124">
        <v>0</v>
      </c>
      <c r="X31" s="77">
        <f t="shared" si="26"/>
        <v>0.45789228808800886</v>
      </c>
      <c r="Y31" s="51">
        <f t="shared" si="19"/>
        <v>0</v>
      </c>
      <c r="Z31" s="78">
        <f t="shared" si="27"/>
        <v>0</v>
      </c>
      <c r="AA31" s="51">
        <f>(P31/$P$7)*100</f>
        <v>0</v>
      </c>
      <c r="AB31" s="51">
        <f>(Q31/$P$7)*100</f>
        <v>0</v>
      </c>
      <c r="AC31" s="51">
        <f t="shared" si="15"/>
        <v>4.3838892501823152E-3</v>
      </c>
      <c r="AD31" s="51">
        <f t="shared" si="21"/>
        <v>0</v>
      </c>
      <c r="AE31" s="51">
        <f t="shared" si="22"/>
        <v>0</v>
      </c>
      <c r="AF31" s="51">
        <f t="shared" si="23"/>
        <v>0</v>
      </c>
      <c r="AG31" s="117">
        <f t="shared" si="24"/>
        <v>0</v>
      </c>
      <c r="AH31" s="127">
        <f t="shared" si="25"/>
        <v>0</v>
      </c>
      <c r="AI31" s="107">
        <f t="shared" si="36"/>
        <v>-93.847461628723167</v>
      </c>
      <c r="AJ31" s="107">
        <f t="shared" si="37"/>
        <v>-100</v>
      </c>
      <c r="AK31" s="107">
        <v>0</v>
      </c>
      <c r="AL31" s="107">
        <v>0</v>
      </c>
      <c r="AM31" s="107">
        <v>0</v>
      </c>
      <c r="AN31" s="107">
        <v>0</v>
      </c>
      <c r="AO31" s="107">
        <v>1</v>
      </c>
      <c r="AP31" s="107" t="s">
        <v>36</v>
      </c>
      <c r="AQ31" s="107" t="s">
        <v>36</v>
      </c>
      <c r="AR31" s="107" t="s">
        <v>36</v>
      </c>
      <c r="AS31" s="107" t="s">
        <v>36</v>
      </c>
      <c r="AT31" s="103" t="s">
        <v>54</v>
      </c>
      <c r="AW31" s="109"/>
      <c r="AX31" s="109"/>
      <c r="AY31" s="109"/>
    </row>
    <row r="32" spans="1:51" s="79" customFormat="1" ht="15.75" customHeight="1" x14ac:dyDescent="0.4">
      <c r="A32" s="61" t="s">
        <v>55</v>
      </c>
      <c r="B32" s="73">
        <v>18.75</v>
      </c>
      <c r="C32" s="73">
        <v>191.95241000000001</v>
      </c>
      <c r="D32" s="73">
        <v>5.7803100000000001</v>
      </c>
      <c r="E32" s="73">
        <v>64859.86159</v>
      </c>
      <c r="F32" s="74">
        <v>1742.3332800000001</v>
      </c>
      <c r="G32" s="74">
        <v>893.19060000000002</v>
      </c>
      <c r="H32" s="74">
        <v>55.428980000000003</v>
      </c>
      <c r="I32" s="74">
        <v>1049.0696200000002</v>
      </c>
      <c r="J32" s="75">
        <v>3916.8488800000005</v>
      </c>
      <c r="K32" s="76">
        <v>7988.29943</v>
      </c>
      <c r="L32" s="76">
        <v>11252.54508</v>
      </c>
      <c r="M32" s="76">
        <v>12135.765150000001</v>
      </c>
      <c r="N32" s="76">
        <v>13968.84506</v>
      </c>
      <c r="O32" s="49">
        <v>9190.1724699999922</v>
      </c>
      <c r="P32" s="49">
        <v>8302.9928800000034</v>
      </c>
      <c r="Q32" s="49">
        <v>10142.288399999998</v>
      </c>
      <c r="R32" s="49">
        <v>9238.3579699999991</v>
      </c>
      <c r="S32" s="49">
        <v>6085.6477399999976</v>
      </c>
      <c r="T32" s="49">
        <v>5176.6779800000004</v>
      </c>
      <c r="U32" s="49">
        <v>6819.26253</v>
      </c>
      <c r="V32" s="49">
        <v>11550.367269999999</v>
      </c>
      <c r="W32" s="122">
        <v>12028.73352</v>
      </c>
      <c r="X32" s="77">
        <f t="shared" si="26"/>
        <v>0.54476824048057859</v>
      </c>
      <c r="Y32" s="51">
        <f t="shared" si="19"/>
        <v>0.63053041610423077</v>
      </c>
      <c r="Z32" s="78">
        <f t="shared" si="27"/>
        <v>0.42838290969144843</v>
      </c>
      <c r="AA32" s="51">
        <f t="shared" si="20"/>
        <v>0.27061650582223584</v>
      </c>
      <c r="AB32" s="51">
        <f>(Q32/$Q$7)*100</f>
        <v>0.36265325354388511</v>
      </c>
      <c r="AC32" s="51">
        <f t="shared" si="15"/>
        <v>0.37993841605420609</v>
      </c>
      <c r="AD32" s="51">
        <f t="shared" si="21"/>
        <v>0.24300811790010432</v>
      </c>
      <c r="AE32" s="51">
        <f t="shared" si="22"/>
        <v>0.22647033105953318</v>
      </c>
      <c r="AF32" s="51">
        <f t="shared" si="23"/>
        <v>0.28356364107829274</v>
      </c>
      <c r="AG32" s="117">
        <f t="shared" si="24"/>
        <v>0.42934059810074965</v>
      </c>
      <c r="AH32" s="127">
        <f t="shared" si="25"/>
        <v>0.84576188463000002</v>
      </c>
      <c r="AI32" s="107">
        <f t="shared" si="36"/>
        <v>7.8490693769342466</v>
      </c>
      <c r="AJ32" s="107">
        <f t="shared" si="37"/>
        <v>15.104774089996281</v>
      </c>
      <c r="AK32" s="107">
        <f>((O32-N32)/N32)*100</f>
        <v>-34.20950386001352</v>
      </c>
      <c r="AL32" s="107">
        <f>((P32-O32)/O32)*100</f>
        <v>-9.6535684492979872</v>
      </c>
      <c r="AM32" s="107">
        <f>((Q32-P32)/P32)*100</f>
        <v>22.152199171824336</v>
      </c>
      <c r="AN32" s="107">
        <f>((R32-Q32)/Q32)*100</f>
        <v>-8.9124899071101016</v>
      </c>
      <c r="AO32" s="107">
        <f>((S32-R32)/R32)*100</f>
        <v>-34.126305131689996</v>
      </c>
      <c r="AP32" s="107">
        <f t="shared" si="17"/>
        <v>-14.936286141333538</v>
      </c>
      <c r="AQ32" s="107">
        <f t="shared" si="18"/>
        <v>31.730475728760695</v>
      </c>
      <c r="AR32" s="107">
        <f>((V32-U32)/U32)*100</f>
        <v>69.378539382908883</v>
      </c>
      <c r="AS32" s="107">
        <f t="shared" si="18"/>
        <v>4.1415674395261117</v>
      </c>
      <c r="AT32" s="103" t="s">
        <v>56</v>
      </c>
      <c r="AW32" s="109"/>
      <c r="AX32" s="109"/>
      <c r="AY32" s="109"/>
    </row>
    <row r="33" spans="1:51" s="79" customFormat="1" ht="15.75" customHeight="1" x14ac:dyDescent="0.4">
      <c r="A33" s="88" t="s">
        <v>57</v>
      </c>
      <c r="B33" s="89">
        <v>103.0056</v>
      </c>
      <c r="C33" s="89">
        <v>959.38099</v>
      </c>
      <c r="D33" s="89">
        <v>575.28908999999999</v>
      </c>
      <c r="E33" s="89">
        <v>10916.304479999999</v>
      </c>
      <c r="F33" s="90">
        <v>13323.319939999999</v>
      </c>
      <c r="G33" s="90">
        <v>9.7495399999999997</v>
      </c>
      <c r="H33" s="90">
        <v>1.2850000000004442</v>
      </c>
      <c r="I33" s="90">
        <v>0</v>
      </c>
      <c r="J33" s="91">
        <v>57.75432</v>
      </c>
      <c r="K33" s="92">
        <v>1000.9104600000001</v>
      </c>
      <c r="L33" s="92">
        <v>1318.16229</v>
      </c>
      <c r="M33" s="92">
        <v>3456.6706499999964</v>
      </c>
      <c r="N33" s="92">
        <v>613.85615999999993</v>
      </c>
      <c r="O33" s="93">
        <v>109.04145</v>
      </c>
      <c r="P33" s="93">
        <v>357.79816000000005</v>
      </c>
      <c r="Q33" s="93">
        <v>463.97909999999996</v>
      </c>
      <c r="R33" s="93">
        <v>1375.3880300000001</v>
      </c>
      <c r="S33" s="93">
        <v>318.39570000000003</v>
      </c>
      <c r="T33" s="93">
        <v>5612.0693699999993</v>
      </c>
      <c r="U33" s="93">
        <v>2734.2579200000009</v>
      </c>
      <c r="V33" s="93">
        <v>22805.66359</v>
      </c>
      <c r="W33" s="128">
        <v>10018.18195</v>
      </c>
      <c r="X33" s="94">
        <f t="shared" si="26"/>
        <v>0.15516816324690955</v>
      </c>
      <c r="Y33" s="95">
        <f t="shared" si="19"/>
        <v>2.7708445353244199E-2</v>
      </c>
      <c r="Z33" s="96">
        <f>(O33/$O$7)*100</f>
        <v>5.0827657239793491E-3</v>
      </c>
      <c r="AA33" s="95">
        <f>(P33/$P$7)*100</f>
        <v>1.1661588688345983E-2</v>
      </c>
      <c r="AB33" s="95">
        <f>(Q33/$Q$7)*100</f>
        <v>1.6590292402981134E-2</v>
      </c>
      <c r="AC33" s="95">
        <f t="shared" si="15"/>
        <v>5.6564462134401902E-2</v>
      </c>
      <c r="AD33" s="95">
        <f t="shared" si="21"/>
        <v>1.2713969508278881E-2</v>
      </c>
      <c r="AE33" s="95">
        <f t="shared" si="22"/>
        <v>0.24551791961240857</v>
      </c>
      <c r="AF33" s="95">
        <f t="shared" si="23"/>
        <v>0.11369794432043367</v>
      </c>
      <c r="AG33" s="118">
        <f t="shared" si="24"/>
        <v>0.84771306547511116</v>
      </c>
      <c r="AH33" s="129">
        <f t="shared" si="25"/>
        <v>0.70439638824073381</v>
      </c>
      <c r="AI33" s="2">
        <f t="shared" si="36"/>
        <v>162.23407210351891</v>
      </c>
      <c r="AJ33" s="2">
        <f t="shared" si="37"/>
        <v>-82.241404456626483</v>
      </c>
      <c r="AK33" s="2">
        <f>((O33-N33)/N33)*100</f>
        <v>-82.236644819203235</v>
      </c>
      <c r="AL33" s="113" t="s">
        <v>59</v>
      </c>
      <c r="AM33" s="2">
        <f>((Q33-P33)/P33)*100</f>
        <v>29.676211862017372</v>
      </c>
      <c r="AN33" s="113" t="s">
        <v>59</v>
      </c>
      <c r="AO33" s="113">
        <f>((S33-R33)/R33)*100</f>
        <v>-76.850481969077478</v>
      </c>
      <c r="AP33" s="2" t="s">
        <v>59</v>
      </c>
      <c r="AQ33" s="113">
        <f t="shared" si="18"/>
        <v>-51.278971450062436</v>
      </c>
      <c r="AR33" s="113" t="s">
        <v>59</v>
      </c>
      <c r="AS33" s="2">
        <f>((W33-V33)/V33)*100</f>
        <v>-56.071517452389116</v>
      </c>
      <c r="AT33" s="104" t="s">
        <v>24</v>
      </c>
      <c r="AW33" s="109"/>
      <c r="AX33" s="109"/>
      <c r="AY33" s="109"/>
    </row>
    <row r="34" spans="1:51" s="37" customFormat="1" ht="17.25" x14ac:dyDescent="0.35">
      <c r="A34" s="114" t="s">
        <v>60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5"/>
      <c r="S34" s="106"/>
      <c r="T34" s="106"/>
      <c r="U34" s="106"/>
      <c r="V34" s="106"/>
      <c r="W34" s="106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115"/>
      <c r="AS34" s="115"/>
      <c r="AT34" s="102" t="s">
        <v>38</v>
      </c>
      <c r="AU34" s="99"/>
      <c r="AW34" s="15"/>
      <c r="AX34" s="15"/>
      <c r="AY34" s="15"/>
    </row>
    <row r="35" spans="1:51" ht="19.5" x14ac:dyDescent="0.5">
      <c r="A35" s="3" t="s">
        <v>37</v>
      </c>
      <c r="AA35" s="98"/>
      <c r="AB35" s="98"/>
      <c r="AR35" s="116"/>
      <c r="AS35" s="116"/>
      <c r="AT35" s="5" t="s">
        <v>61</v>
      </c>
      <c r="AW35" s="15"/>
      <c r="AX35" s="15"/>
      <c r="AY35" s="15"/>
    </row>
    <row r="36" spans="1:51" x14ac:dyDescent="0.25">
      <c r="AA36" s="98"/>
      <c r="AB36" s="98"/>
      <c r="AW36" s="15"/>
      <c r="AX36" s="15"/>
      <c r="AY36" s="15"/>
    </row>
    <row r="37" spans="1:51" x14ac:dyDescent="0.25">
      <c r="AA37" s="98"/>
      <c r="AB37" s="98"/>
      <c r="AW37" s="15"/>
      <c r="AX37" s="15"/>
      <c r="AY37" s="15"/>
    </row>
    <row r="38" spans="1:51" x14ac:dyDescent="0.25">
      <c r="AA38" s="98"/>
      <c r="AB38" s="98"/>
      <c r="AW38" s="15"/>
      <c r="AX38" s="15"/>
      <c r="AY38" s="15"/>
    </row>
    <row r="39" spans="1:51" x14ac:dyDescent="0.25">
      <c r="AA39" s="98"/>
      <c r="AB39" s="98"/>
      <c r="AW39" s="15"/>
      <c r="AX39" s="15"/>
      <c r="AY39" s="15"/>
    </row>
    <row r="40" spans="1:51" x14ac:dyDescent="0.25">
      <c r="AA40" s="98"/>
      <c r="AB40" s="98"/>
      <c r="AW40" s="15"/>
      <c r="AX40" s="15"/>
      <c r="AY40" s="15"/>
    </row>
    <row r="41" spans="1:51" x14ac:dyDescent="0.25">
      <c r="AA41" s="98"/>
      <c r="AB41" s="98"/>
    </row>
    <row r="42" spans="1:51" x14ac:dyDescent="0.25">
      <c r="AA42" s="98"/>
      <c r="AB42" s="98"/>
    </row>
    <row r="43" spans="1:51" x14ac:dyDescent="0.25">
      <c r="AA43" s="98"/>
      <c r="AB43" s="98"/>
    </row>
    <row r="44" spans="1:51" x14ac:dyDescent="0.25">
      <c r="AA44" s="98"/>
      <c r="AB44" s="98"/>
    </row>
    <row r="45" spans="1:51" x14ac:dyDescent="0.25">
      <c r="AA45" s="98"/>
      <c r="AB45" s="98"/>
    </row>
  </sheetData>
  <mergeCells count="9">
    <mergeCell ref="A1:AT1"/>
    <mergeCell ref="A2:AT2"/>
    <mergeCell ref="A4:A6"/>
    <mergeCell ref="AT4:AT6"/>
    <mergeCell ref="M4:W5"/>
    <mergeCell ref="X4:AH4"/>
    <mergeCell ref="X5:AH5"/>
    <mergeCell ref="AI4:AS4"/>
    <mergeCell ref="AI5:AS5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2025-06-01T07:13:25Z</cp:lastPrinted>
  <dcterms:created xsi:type="dcterms:W3CDTF">2019-12-05T04:01:34Z</dcterms:created>
  <dcterms:modified xsi:type="dcterms:W3CDTF">2025-06-01T07:13:32Z</dcterms:modified>
</cp:coreProperties>
</file>