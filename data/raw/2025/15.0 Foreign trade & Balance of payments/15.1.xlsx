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C6C978E5-0567-41D5-874E-119C9C186263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1" sheetId="1" r:id="rId1"/>
  </sheets>
  <definedNames>
    <definedName name="_xlnm.Print_Area" localSheetId="0">'15.1'!$A$1:$Z$67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1" l="1"/>
  <c r="S41" i="1"/>
  <c r="V41" i="1"/>
  <c r="W41" i="1"/>
  <c r="R47" i="1"/>
  <c r="S47" i="1"/>
  <c r="T47" i="1"/>
  <c r="V47" i="1"/>
  <c r="W47" i="1"/>
  <c r="X47" i="1"/>
  <c r="X9" i="1" l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9" i="1"/>
  <c r="X30" i="1"/>
  <c r="X31" i="1"/>
  <c r="X32" i="1"/>
  <c r="X35" i="1"/>
  <c r="X36" i="1"/>
  <c r="X37" i="1"/>
  <c r="X38" i="1"/>
  <c r="X40" i="1"/>
  <c r="X41" i="1"/>
  <c r="X42" i="1"/>
  <c r="X43" i="1"/>
  <c r="X45" i="1"/>
  <c r="X46" i="1"/>
  <c r="J8" i="1"/>
  <c r="J18" i="1"/>
  <c r="J28" i="1"/>
  <c r="J33" i="1"/>
  <c r="J39" i="1"/>
  <c r="J44" i="1"/>
  <c r="I44" i="1"/>
  <c r="I39" i="1"/>
  <c r="I33" i="1"/>
  <c r="I28" i="1"/>
  <c r="I18" i="1"/>
  <c r="I8" i="1"/>
  <c r="X8" i="1" l="1"/>
  <c r="AO14" i="1"/>
  <c r="AO22" i="1" s="1"/>
  <c r="AO19" i="1"/>
  <c r="AO18" i="1"/>
  <c r="X33" i="1"/>
  <c r="AO17" i="1"/>
  <c r="X28" i="1"/>
  <c r="AO16" i="1"/>
  <c r="X18" i="1"/>
  <c r="AO15" i="1"/>
  <c r="X44" i="1"/>
  <c r="X39" i="1"/>
  <c r="J7" i="1"/>
  <c r="Q8" i="1" s="1"/>
  <c r="I7" i="1"/>
  <c r="Q18" i="1" l="1"/>
  <c r="Q28" i="1"/>
  <c r="Q39" i="1"/>
  <c r="Q16" i="1"/>
  <c r="Q40" i="1"/>
  <c r="Q17" i="1"/>
  <c r="Q29" i="1"/>
  <c r="Q41" i="1"/>
  <c r="Q30" i="1"/>
  <c r="Q42" i="1"/>
  <c r="Q19" i="1"/>
  <c r="Q31" i="1"/>
  <c r="Q43" i="1"/>
  <c r="Q20" i="1"/>
  <c r="Q32" i="1"/>
  <c r="Q24" i="1"/>
  <c r="Q13" i="1"/>
  <c r="Q9" i="1"/>
  <c r="BC35" i="1"/>
  <c r="Q21" i="1"/>
  <c r="Q45" i="1"/>
  <c r="Q11" i="1"/>
  <c r="Q23" i="1"/>
  <c r="Q35" i="1"/>
  <c r="Q47" i="1"/>
  <c r="Q12" i="1"/>
  <c r="Q48" i="1"/>
  <c r="Q10" i="1"/>
  <c r="Q22" i="1"/>
  <c r="Q34" i="1"/>
  <c r="Q46" i="1"/>
  <c r="Q14" i="1"/>
  <c r="Q26" i="1"/>
  <c r="Q38" i="1"/>
  <c r="Q15" i="1"/>
  <c r="Q27" i="1"/>
  <c r="Q7" i="1"/>
  <c r="Q36" i="1"/>
  <c r="Q25" i="1"/>
  <c r="Q37" i="1"/>
  <c r="Q33" i="1"/>
  <c r="P36" i="1"/>
  <c r="P48" i="1"/>
  <c r="P47" i="1"/>
  <c r="Q44" i="1"/>
  <c r="X7" i="1"/>
  <c r="BC36" i="1" s="1"/>
  <c r="P41" i="1"/>
  <c r="P18" i="1"/>
  <c r="P45" i="1"/>
  <c r="P32" i="1"/>
  <c r="P44" i="1"/>
  <c r="P42" i="1"/>
  <c r="P33" i="1"/>
  <c r="P8" i="1"/>
  <c r="P21" i="1"/>
  <c r="P10" i="1"/>
  <c r="P34" i="1"/>
  <c r="P46" i="1"/>
  <c r="P11" i="1"/>
  <c r="P23" i="1"/>
  <c r="P22" i="1"/>
  <c r="P19" i="1"/>
  <c r="P12" i="1"/>
  <c r="P43" i="1"/>
  <c r="P24" i="1"/>
  <c r="P31" i="1"/>
  <c r="P29" i="1"/>
  <c r="P20" i="1"/>
  <c r="P17" i="1"/>
  <c r="BB35" i="1"/>
  <c r="P28" i="1"/>
  <c r="P38" i="1"/>
  <c r="P13" i="1"/>
  <c r="P25" i="1"/>
  <c r="P26" i="1"/>
  <c r="P27" i="1"/>
  <c r="P35" i="1"/>
  <c r="P39" i="1"/>
  <c r="P14" i="1"/>
  <c r="P37" i="1"/>
  <c r="P40" i="1"/>
  <c r="P16" i="1"/>
  <c r="P15" i="1"/>
  <c r="P7" i="1"/>
  <c r="P30" i="1"/>
  <c r="P9" i="1"/>
  <c r="U36" i="1"/>
  <c r="V36" i="1"/>
  <c r="W36" i="1"/>
  <c r="U26" i="1"/>
  <c r="V26" i="1"/>
  <c r="V32" i="1"/>
  <c r="W32" i="1"/>
  <c r="V13" i="1"/>
  <c r="W13" i="1"/>
  <c r="R10" i="1"/>
  <c r="S10" i="1"/>
  <c r="T10" i="1"/>
  <c r="U10" i="1"/>
  <c r="V10" i="1"/>
  <c r="W10" i="1"/>
  <c r="W9" i="1" l="1"/>
  <c r="W11" i="1"/>
  <c r="W12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9" i="1"/>
  <c r="W30" i="1"/>
  <c r="W31" i="1"/>
  <c r="W35" i="1"/>
  <c r="W37" i="1"/>
  <c r="W38" i="1"/>
  <c r="W40" i="1"/>
  <c r="W45" i="1"/>
  <c r="W46" i="1"/>
  <c r="V42" i="1" l="1"/>
  <c r="V21" i="1"/>
  <c r="V22" i="1"/>
  <c r="V23" i="1"/>
  <c r="V24" i="1"/>
  <c r="V25" i="1"/>
  <c r="V27" i="1"/>
  <c r="V11" i="1"/>
  <c r="V12" i="1"/>
  <c r="V14" i="1"/>
  <c r="V15" i="1"/>
  <c r="V16" i="1"/>
  <c r="V17" i="1"/>
  <c r="V19" i="1"/>
  <c r="V20" i="1"/>
  <c r="U9" i="1" l="1"/>
  <c r="V9" i="1"/>
  <c r="U11" i="1"/>
  <c r="U12" i="1"/>
  <c r="U13" i="1"/>
  <c r="U14" i="1"/>
  <c r="U15" i="1"/>
  <c r="U16" i="1"/>
  <c r="U17" i="1"/>
  <c r="U19" i="1"/>
  <c r="U20" i="1"/>
  <c r="U21" i="1"/>
  <c r="U22" i="1"/>
  <c r="U23" i="1"/>
  <c r="U24" i="1"/>
  <c r="U25" i="1"/>
  <c r="U27" i="1"/>
  <c r="U29" i="1"/>
  <c r="V29" i="1"/>
  <c r="U30" i="1"/>
  <c r="V30" i="1"/>
  <c r="U31" i="1"/>
  <c r="V31" i="1"/>
  <c r="U32" i="1"/>
  <c r="U35" i="1"/>
  <c r="V35" i="1"/>
  <c r="U37" i="1"/>
  <c r="V37" i="1"/>
  <c r="U38" i="1"/>
  <c r="V38" i="1"/>
  <c r="U40" i="1"/>
  <c r="V40" i="1"/>
  <c r="U43" i="1"/>
  <c r="V43" i="1"/>
  <c r="U45" i="1"/>
  <c r="V45" i="1"/>
  <c r="U46" i="1"/>
  <c r="V46" i="1"/>
  <c r="G44" i="1"/>
  <c r="H44" i="1"/>
  <c r="W44" i="1" s="1"/>
  <c r="G39" i="1"/>
  <c r="H39" i="1"/>
  <c r="W39" i="1" s="1"/>
  <c r="G33" i="1"/>
  <c r="H33" i="1"/>
  <c r="W33" i="1" s="1"/>
  <c r="G28" i="1"/>
  <c r="H28" i="1"/>
  <c r="W28" i="1" s="1"/>
  <c r="G18" i="1"/>
  <c r="H18" i="1"/>
  <c r="W18" i="1" s="1"/>
  <c r="G8" i="1"/>
  <c r="H8" i="1"/>
  <c r="W8" i="1" s="1"/>
  <c r="AN19" i="1"/>
  <c r="AN18" i="1"/>
  <c r="AN17" i="1"/>
  <c r="AN16" i="1"/>
  <c r="AN15" i="1"/>
  <c r="AN14" i="1"/>
  <c r="V18" i="1" l="1"/>
  <c r="V44" i="1"/>
  <c r="V39" i="1"/>
  <c r="V33" i="1"/>
  <c r="V28" i="1"/>
  <c r="V8" i="1"/>
  <c r="H7" i="1"/>
  <c r="G7" i="1"/>
  <c r="O48" i="1" l="1"/>
  <c r="O47" i="1"/>
  <c r="N11" i="1"/>
  <c r="N48" i="1"/>
  <c r="N47" i="1"/>
  <c r="O11" i="1"/>
  <c r="W7" i="1"/>
  <c r="BB36" i="1" s="1"/>
  <c r="O10" i="1"/>
  <c r="N18" i="1"/>
  <c r="N10" i="1"/>
  <c r="O8" i="1"/>
  <c r="O33" i="1"/>
  <c r="N28" i="1"/>
  <c r="N33" i="1"/>
  <c r="N16" i="1"/>
  <c r="N40" i="1"/>
  <c r="N17" i="1"/>
  <c r="N29" i="1"/>
  <c r="N41" i="1"/>
  <c r="AZ35" i="1"/>
  <c r="N30" i="1"/>
  <c r="N42" i="1"/>
  <c r="N19" i="1"/>
  <c r="N31" i="1"/>
  <c r="N43" i="1"/>
  <c r="N22" i="1"/>
  <c r="N26" i="1"/>
  <c r="N27" i="1"/>
  <c r="N20" i="1"/>
  <c r="N32" i="1"/>
  <c r="N7" i="1"/>
  <c r="N9" i="1"/>
  <c r="N21" i="1"/>
  <c r="N45" i="1"/>
  <c r="N34" i="1"/>
  <c r="N46" i="1"/>
  <c r="N23" i="1"/>
  <c r="N35" i="1"/>
  <c r="N12" i="1"/>
  <c r="N24" i="1"/>
  <c r="N36" i="1"/>
  <c r="N13" i="1"/>
  <c r="N25" i="1"/>
  <c r="N37" i="1"/>
  <c r="N14" i="1"/>
  <c r="N38" i="1"/>
  <c r="N15" i="1"/>
  <c r="O12" i="1"/>
  <c r="O24" i="1"/>
  <c r="O36" i="1"/>
  <c r="O13" i="1"/>
  <c r="O25" i="1"/>
  <c r="O37" i="1"/>
  <c r="BA35" i="1"/>
  <c r="O14" i="1"/>
  <c r="O26" i="1"/>
  <c r="O38" i="1"/>
  <c r="O15" i="1"/>
  <c r="O27" i="1"/>
  <c r="O7" i="1"/>
  <c r="O42" i="1"/>
  <c r="O45" i="1"/>
  <c r="O34" i="1"/>
  <c r="O35" i="1"/>
  <c r="O16" i="1"/>
  <c r="O40" i="1"/>
  <c r="O17" i="1"/>
  <c r="O29" i="1"/>
  <c r="O41" i="1"/>
  <c r="O30" i="1"/>
  <c r="O46" i="1"/>
  <c r="O23" i="1"/>
  <c r="O19" i="1"/>
  <c r="O31" i="1"/>
  <c r="O43" i="1"/>
  <c r="O20" i="1"/>
  <c r="O32" i="1"/>
  <c r="O9" i="1"/>
  <c r="O21" i="1"/>
  <c r="O22" i="1"/>
  <c r="N44" i="1"/>
  <c r="O28" i="1"/>
  <c r="O44" i="1"/>
  <c r="O18" i="1"/>
  <c r="N8" i="1"/>
  <c r="N39" i="1"/>
  <c r="O39" i="1"/>
  <c r="V7" i="1"/>
  <c r="T9" i="1" l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9" i="1"/>
  <c r="T30" i="1"/>
  <c r="T31" i="1"/>
  <c r="T32" i="1"/>
  <c r="T35" i="1"/>
  <c r="T36" i="1"/>
  <c r="T37" i="1"/>
  <c r="T38" i="1"/>
  <c r="T40" i="1"/>
  <c r="T43" i="1"/>
  <c r="T45" i="1"/>
  <c r="T46" i="1"/>
  <c r="F8" i="1"/>
  <c r="U8" i="1" s="1"/>
  <c r="F18" i="1"/>
  <c r="U18" i="1" s="1"/>
  <c r="F28" i="1"/>
  <c r="U28" i="1" s="1"/>
  <c r="F33" i="1"/>
  <c r="U33" i="1" s="1"/>
  <c r="F39" i="1"/>
  <c r="U39" i="1" s="1"/>
  <c r="F44" i="1"/>
  <c r="U44" i="1" s="1"/>
  <c r="F7" i="1" l="1"/>
  <c r="M47" i="1" l="1"/>
  <c r="M48" i="1"/>
  <c r="M10" i="1"/>
  <c r="M11" i="1"/>
  <c r="U7" i="1"/>
  <c r="M16" i="1"/>
  <c r="M24" i="1"/>
  <c r="M32" i="1"/>
  <c r="M40" i="1"/>
  <c r="M13" i="1"/>
  <c r="M21" i="1"/>
  <c r="M29" i="1"/>
  <c r="M37" i="1"/>
  <c r="M45" i="1"/>
  <c r="M14" i="1"/>
  <c r="M22" i="1"/>
  <c r="M38" i="1"/>
  <c r="M46" i="1"/>
  <c r="M15" i="1"/>
  <c r="M23" i="1"/>
  <c r="M31" i="1"/>
  <c r="M9" i="1"/>
  <c r="M17" i="1"/>
  <c r="M25" i="1"/>
  <c r="M41" i="1"/>
  <c r="M26" i="1"/>
  <c r="M34" i="1"/>
  <c r="M42" i="1"/>
  <c r="M7" i="1"/>
  <c r="M19" i="1"/>
  <c r="M27" i="1"/>
  <c r="M35" i="1"/>
  <c r="M43" i="1"/>
  <c r="M12" i="1"/>
  <c r="M20" i="1"/>
  <c r="M36" i="1"/>
  <c r="M30" i="1"/>
  <c r="M28" i="1"/>
  <c r="M39" i="1"/>
  <c r="M44" i="1"/>
  <c r="M18" i="1"/>
  <c r="M33" i="1"/>
  <c r="M8" i="1"/>
  <c r="S30" i="1" l="1"/>
  <c r="S9" i="1"/>
  <c r="S46" i="1" l="1"/>
  <c r="S45" i="1"/>
  <c r="S43" i="1"/>
  <c r="S42" i="1"/>
  <c r="S40" i="1"/>
  <c r="S38" i="1"/>
  <c r="S37" i="1"/>
  <c r="S36" i="1"/>
  <c r="S35" i="1"/>
  <c r="S34" i="1"/>
  <c r="S32" i="1"/>
  <c r="S31" i="1"/>
  <c r="S29" i="1"/>
  <c r="S27" i="1"/>
  <c r="S26" i="1"/>
  <c r="S25" i="1"/>
  <c r="S24" i="1"/>
  <c r="S23" i="1"/>
  <c r="S22" i="1"/>
  <c r="S21" i="1"/>
  <c r="S20" i="1"/>
  <c r="S19" i="1"/>
  <c r="S17" i="1"/>
  <c r="S16" i="1"/>
  <c r="S15" i="1"/>
  <c r="S14" i="1"/>
  <c r="S13" i="1"/>
  <c r="S12" i="1"/>
  <c r="S11" i="1"/>
  <c r="E44" i="1"/>
  <c r="E39" i="1"/>
  <c r="E33" i="1"/>
  <c r="E28" i="1"/>
  <c r="E18" i="1"/>
  <c r="E8" i="1"/>
  <c r="T8" i="1" s="1"/>
  <c r="T18" i="1" l="1"/>
  <c r="T28" i="1"/>
  <c r="T33" i="1"/>
  <c r="T39" i="1"/>
  <c r="T44" i="1"/>
  <c r="E7" i="1"/>
  <c r="L11" i="1" l="1"/>
  <c r="L47" i="1"/>
  <c r="L48" i="1"/>
  <c r="T7" i="1"/>
  <c r="L10" i="1"/>
  <c r="L33" i="1"/>
  <c r="L44" i="1"/>
  <c r="L8" i="1"/>
  <c r="L18" i="1"/>
  <c r="L12" i="1"/>
  <c r="L16" i="1"/>
  <c r="L20" i="1"/>
  <c r="L24" i="1"/>
  <c r="L32" i="1"/>
  <c r="L36" i="1"/>
  <c r="L40" i="1"/>
  <c r="L14" i="1"/>
  <c r="L26" i="1"/>
  <c r="L38" i="1"/>
  <c r="L46" i="1"/>
  <c r="L15" i="1"/>
  <c r="L23" i="1"/>
  <c r="L31" i="1"/>
  <c r="L9" i="1"/>
  <c r="L13" i="1"/>
  <c r="L17" i="1"/>
  <c r="L21" i="1"/>
  <c r="L25" i="1"/>
  <c r="L29" i="1"/>
  <c r="L37" i="1"/>
  <c r="L41" i="1"/>
  <c r="L45" i="1"/>
  <c r="L7" i="1"/>
  <c r="L22" i="1"/>
  <c r="L30" i="1"/>
  <c r="L34" i="1"/>
  <c r="L42" i="1"/>
  <c r="L19" i="1"/>
  <c r="L27" i="1"/>
  <c r="L35" i="1"/>
  <c r="L43" i="1"/>
  <c r="L39" i="1"/>
  <c r="L28" i="1"/>
  <c r="R17" i="1" l="1"/>
  <c r="R46" i="1" l="1"/>
  <c r="R45" i="1"/>
  <c r="D44" i="1"/>
  <c r="C44" i="1"/>
  <c r="R43" i="1"/>
  <c r="R42" i="1"/>
  <c r="R41" i="1"/>
  <c r="R40" i="1"/>
  <c r="D39" i="1"/>
  <c r="C39" i="1"/>
  <c r="R38" i="1"/>
  <c r="R37" i="1"/>
  <c r="R36" i="1"/>
  <c r="R35" i="1"/>
  <c r="R34" i="1"/>
  <c r="D33" i="1"/>
  <c r="C33" i="1"/>
  <c r="R32" i="1"/>
  <c r="R31" i="1"/>
  <c r="R30" i="1"/>
  <c r="R29" i="1"/>
  <c r="D28" i="1"/>
  <c r="C28" i="1"/>
  <c r="R27" i="1"/>
  <c r="R26" i="1"/>
  <c r="R25" i="1"/>
  <c r="R24" i="1"/>
  <c r="R23" i="1"/>
  <c r="R22" i="1"/>
  <c r="R21" i="1"/>
  <c r="R20" i="1"/>
  <c r="R19" i="1"/>
  <c r="D18" i="1"/>
  <c r="C18" i="1"/>
  <c r="R16" i="1"/>
  <c r="R15" i="1"/>
  <c r="R14" i="1"/>
  <c r="R13" i="1"/>
  <c r="R12" i="1"/>
  <c r="R11" i="1"/>
  <c r="R9" i="1"/>
  <c r="D8" i="1"/>
  <c r="S8" i="1" s="1"/>
  <c r="C8" i="1"/>
  <c r="R28" i="1" l="1"/>
  <c r="R8" i="1"/>
  <c r="R18" i="1"/>
  <c r="R33" i="1"/>
  <c r="S33" i="1"/>
  <c r="S18" i="1"/>
  <c r="R39" i="1"/>
  <c r="S39" i="1"/>
  <c r="S44" i="1"/>
  <c r="D7" i="1"/>
  <c r="S28" i="1"/>
  <c r="C7" i="1"/>
  <c r="R44" i="1"/>
  <c r="K47" i="1" l="1"/>
  <c r="K48" i="1"/>
  <c r="K10" i="1"/>
  <c r="K11" i="1"/>
  <c r="K37" i="1"/>
  <c r="K9" i="1"/>
  <c r="K27" i="1"/>
  <c r="K17" i="1"/>
  <c r="K36" i="1"/>
  <c r="K20" i="1"/>
  <c r="K19" i="1"/>
  <c r="K46" i="1"/>
  <c r="K24" i="1"/>
  <c r="K13" i="1"/>
  <c r="K43" i="1"/>
  <c r="K31" i="1"/>
  <c r="K21" i="1"/>
  <c r="K40" i="1"/>
  <c r="K14" i="1"/>
  <c r="K23" i="1"/>
  <c r="K34" i="1"/>
  <c r="K42" i="1"/>
  <c r="K30" i="1"/>
  <c r="K45" i="1"/>
  <c r="K41" i="1"/>
  <c r="K25" i="1"/>
  <c r="R7" i="1"/>
  <c r="S7" i="1"/>
  <c r="K28" i="1"/>
  <c r="K33" i="1"/>
  <c r="K26" i="1"/>
  <c r="K44" i="1"/>
  <c r="K15" i="1"/>
  <c r="K39" i="1"/>
  <c r="K29" i="1"/>
  <c r="K22" i="1"/>
  <c r="K12" i="1"/>
  <c r="K7" i="1"/>
  <c r="K38" i="1"/>
  <c r="K16" i="1"/>
  <c r="K32" i="1"/>
  <c r="K35" i="1"/>
  <c r="K8" i="1"/>
  <c r="K18" i="1"/>
</calcChain>
</file>

<file path=xl/sharedStrings.xml><?xml version="1.0" encoding="utf-8"?>
<sst xmlns="http://schemas.openxmlformats.org/spreadsheetml/2006/main" count="117" uniqueCount="95">
  <si>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</si>
  <si>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</si>
  <si>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</si>
  <si>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</si>
  <si>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</si>
  <si>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Rf.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</si>
  <si>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</si>
  <si>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</si>
  <si>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</si>
  <si>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</si>
  <si>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</si>
  <si>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</si>
  <si>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</si>
  <si>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</si>
  <si>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</si>
  <si>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</si>
  <si>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</si>
  <si>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</si>
  <si>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</si>
  <si>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</si>
  <si>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</si>
  <si>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</si>
  <si>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</si>
  <si>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</si>
  <si>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</si>
  <si>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</si>
  <si>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</si>
  <si>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</si>
  <si>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</si>
  <si>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</si>
  <si>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</si>
  <si>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</si>
  <si>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</si>
  <si>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</si>
  <si>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</si>
  <si>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</si>
  <si>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</si>
  <si>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</si>
  <si>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</si>
  <si>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</si>
  <si>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</si>
  <si>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</si>
  <si>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</si>
  <si>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</si>
  <si>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</si>
  <si>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</si>
  <si>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</si>
  <si>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</si>
  <si>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Indonesia</t>
  </si>
  <si>
    <t>WaixEnoDcnia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</si>
  <si>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</si>
  <si>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</si>
  <si>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</si>
  <si>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</si>
  <si>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</si>
  <si>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</si>
  <si>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</si>
  <si>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</si>
  <si>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</si>
  <si>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</si>
  <si>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</si>
  <si>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</si>
  <si>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</si>
  <si>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</si>
  <si>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</si>
  <si>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</si>
  <si>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</si>
  <si>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</si>
  <si>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</si>
  <si>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</si>
  <si>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</si>
  <si>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</si>
  <si>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</si>
  <si>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</si>
  <si>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</si>
  <si>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</si>
  <si>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</si>
  <si>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</si>
  <si>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</si>
  <si>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</si>
  <si>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</si>
  <si>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Ijif</t>
  </si>
  <si>
    <t>Source:  Maldives Customs Services</t>
  </si>
  <si>
    <t xml:space="preserve">cswsivrWs cscmwTcswk cscviDclOm :ctWrwfivcaed utWmUluAwm     </t>
  </si>
  <si>
    <t>(*)</t>
  </si>
  <si>
    <t>Imports</t>
  </si>
  <si>
    <t>Percentage Change</t>
  </si>
  <si>
    <t>Total Imports</t>
  </si>
  <si>
    <t>% change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</si>
  <si>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</si>
  <si>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</si>
  <si>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</si>
  <si>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t>NA</t>
  </si>
  <si>
    <t>Table  15.1 :  IMPORTS BY COUNTRY OF CONSIGNMENT, 2018 - 2024</t>
  </si>
  <si>
    <t>2024 - 2018 ,cawtumuawq unuverukeretea Wdum cSwaejcaWr : 15.1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</si>
</sst>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69" formatCode="_-* #,##0.00\ _ރ_._-;_-* #,##0.00\ _ރ_.\-;_-* &quot;-&quot;??\ _ރ_._-;_-@_-"/>
    <numFmt numFmtId="170" formatCode="0.0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i/>
      <sz val="9"/>
      <name val="Calibri Light"/>
      <family val="2"/>
      <scheme val="maj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2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theme="1" tint="4.9989318521683403E-2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0" borderId="23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24" applyNumberFormat="0" applyAlignment="0" applyProtection="0"/>
    <xf numFmtId="0" fontId="30" fillId="7" borderId="25" applyNumberFormat="0" applyAlignment="0" applyProtection="0"/>
    <xf numFmtId="0" fontId="31" fillId="7" borderId="24" applyNumberFormat="0" applyAlignment="0" applyProtection="0"/>
    <xf numFmtId="0" fontId="32" fillId="0" borderId="26" applyNumberFormat="0" applyFill="0" applyAlignment="0" applyProtection="0"/>
    <xf numFmtId="0" fontId="33" fillId="8" borderId="27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9" fillId="0" borderId="0"/>
    <xf numFmtId="169" fontId="9" fillId="0" borderId="0" applyFont="0" applyFill="0" applyBorder="0" applyAlignment="0" applyProtection="0"/>
    <xf numFmtId="170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  <xf numFmtId="0" fontId="9" fillId="0" borderId="0"/>
  </cellStyleXfs>
  <cellXfs count="127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" fontId="8" fillId="2" borderId="0" xfId="0" applyNumberFormat="1" applyFont="1" applyFill="1"/>
    <xf numFmtId="164" fontId="8" fillId="2" borderId="0" xfId="1" applyNumberFormat="1" applyFont="1" applyFill="1" applyBorder="1"/>
    <xf numFmtId="0" fontId="13" fillId="2" borderId="0" xfId="0" applyFont="1" applyFill="1" applyAlignment="1">
      <alignment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1" fontId="5" fillId="2" borderId="0" xfId="0" applyNumberFormat="1" applyFont="1" applyFill="1"/>
    <xf numFmtId="164" fontId="5" fillId="2" borderId="0" xfId="1" applyNumberFormat="1" applyFont="1" applyFill="1" applyBorder="1"/>
    <xf numFmtId="3" fontId="10" fillId="2" borderId="0" xfId="0" applyNumberFormat="1" applyFont="1" applyFill="1" applyAlignment="1">
      <alignment horizontal="right" vertical="center"/>
    </xf>
    <xf numFmtId="3" fontId="10" fillId="2" borderId="1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4" fontId="13" fillId="2" borderId="0" xfId="0" applyNumberFormat="1" applyFont="1" applyFill="1"/>
    <xf numFmtId="0" fontId="14" fillId="2" borderId="0" xfId="2" applyFont="1" applyFill="1" applyAlignment="1">
      <alignment vertical="center"/>
    </xf>
    <xf numFmtId="3" fontId="15" fillId="2" borderId="0" xfId="3" applyNumberFormat="1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right" vertical="center"/>
    </xf>
    <xf numFmtId="3" fontId="14" fillId="2" borderId="0" xfId="1" applyNumberFormat="1" applyFont="1" applyFill="1" applyAlignment="1">
      <alignment vertical="center"/>
    </xf>
    <xf numFmtId="4" fontId="14" fillId="2" borderId="0" xfId="0" applyNumberFormat="1" applyFont="1" applyFill="1"/>
    <xf numFmtId="3" fontId="14" fillId="2" borderId="0" xfId="2" applyNumberFormat="1" applyFont="1" applyFill="1" applyAlignment="1">
      <alignment vertical="center"/>
    </xf>
    <xf numFmtId="166" fontId="5" fillId="2" borderId="0" xfId="1" applyNumberFormat="1" applyFont="1" applyFill="1" applyBorder="1"/>
    <xf numFmtId="167" fontId="1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0" xfId="0" applyFont="1" applyFill="1"/>
    <xf numFmtId="4" fontId="14" fillId="2" borderId="0" xfId="2" applyNumberFormat="1" applyFont="1" applyFill="1" applyAlignment="1">
      <alignment vertical="center"/>
    </xf>
    <xf numFmtId="43" fontId="17" fillId="2" borderId="0" xfId="1" applyFont="1" applyFill="1" applyBorder="1" applyAlignment="1">
      <alignment horizontal="right"/>
    </xf>
    <xf numFmtId="0" fontId="13" fillId="2" borderId="0" xfId="0" applyFont="1" applyFill="1"/>
    <xf numFmtId="1" fontId="15" fillId="2" borderId="0" xfId="0" applyNumberFormat="1" applyFont="1" applyFill="1"/>
    <xf numFmtId="3" fontId="18" fillId="2" borderId="0" xfId="3" applyNumberFormat="1" applyFont="1" applyFill="1" applyBorder="1" applyAlignment="1">
      <alignment horizontal="right" vertical="center"/>
    </xf>
    <xf numFmtId="4" fontId="18" fillId="2" borderId="8" xfId="0" applyNumberFormat="1" applyFont="1" applyFill="1" applyBorder="1" applyAlignment="1">
      <alignment horizontal="left"/>
    </xf>
    <xf numFmtId="4" fontId="18" fillId="2" borderId="8" xfId="0" applyNumberFormat="1" applyFont="1" applyFill="1" applyBorder="1" applyAlignment="1">
      <alignment horizontal="right"/>
    </xf>
    <xf numFmtId="3" fontId="15" fillId="2" borderId="8" xfId="0" applyNumberFormat="1" applyFont="1" applyFill="1" applyBorder="1" applyAlignment="1">
      <alignment horizontal="right" vertical="center"/>
    </xf>
    <xf numFmtId="165" fontId="15" fillId="2" borderId="8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4" fontId="21" fillId="2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3" fontId="21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/>
    <xf numFmtId="167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2" fontId="9" fillId="2" borderId="0" xfId="0" applyNumberFormat="1" applyFont="1" applyFill="1" applyAlignment="1">
      <alignment horizontal="right"/>
    </xf>
    <xf numFmtId="0" fontId="10" fillId="2" borderId="12" xfId="0" applyFont="1" applyFill="1" applyBorder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/>
    </xf>
    <xf numFmtId="0" fontId="10" fillId="2" borderId="19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45" fillId="2" borderId="11" xfId="0" applyFont="1" applyFill="1" applyBorder="1" applyAlignment="1">
      <alignment horizontal="right" readingOrder="2"/>
    </xf>
    <xf numFmtId="0" fontId="4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0" fontId="10" fillId="2" borderId="18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right" vertical="center"/>
    </xf>
    <xf numFmtId="4" fontId="13" fillId="2" borderId="0" xfId="2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left"/>
    </xf>
    <xf numFmtId="3" fontId="10" fillId="2" borderId="10" xfId="0" applyNumberFormat="1" applyFont="1" applyFill="1" applyBorder="1" applyAlignment="1">
      <alignment horizontal="left" vertical="center"/>
    </xf>
    <xf numFmtId="0" fontId="47" fillId="2" borderId="0" xfId="71" applyFont="1" applyFill="1" applyAlignment="1">
      <alignment horizontal="left" vertical="center"/>
    </xf>
    <xf numFmtId="164" fontId="15" fillId="2" borderId="0" xfId="1" applyNumberFormat="1" applyFont="1" applyFill="1" applyBorder="1"/>
    <xf numFmtId="0" fontId="10" fillId="2" borderId="0" xfId="0" applyFont="1" applyFill="1" applyAlignment="1">
      <alignment horizontal="left" vertical="center"/>
    </xf>
    <xf numFmtId="4" fontId="10" fillId="2" borderId="0" xfId="0" applyNumberFormat="1" applyFont="1" applyFill="1" applyAlignment="1">
      <alignment horizontal="left"/>
    </xf>
    <xf numFmtId="3" fontId="10" fillId="2" borderId="0" xfId="0" applyNumberFormat="1" applyFont="1" applyFill="1" applyAlignment="1">
      <alignment horizontal="right"/>
    </xf>
    <xf numFmtId="4" fontId="15" fillId="2" borderId="0" xfId="0" applyNumberFormat="1" applyFont="1" applyFill="1" applyAlignment="1">
      <alignment horizontal="left"/>
    </xf>
    <xf numFmtId="4" fontId="15" fillId="2" borderId="0" xfId="0" applyNumberFormat="1" applyFont="1" applyFill="1" applyAlignment="1">
      <alignment horizontal="right"/>
    </xf>
    <xf numFmtId="4" fontId="10" fillId="2" borderId="0" xfId="0" applyNumberFormat="1" applyFont="1" applyFill="1" applyAlignment="1">
      <alignment horizontal="right"/>
    </xf>
    <xf numFmtId="1" fontId="15" fillId="2" borderId="0" xfId="0" applyNumberFormat="1" applyFont="1" applyFill="1" applyAlignment="1">
      <alignment horizontal="right"/>
    </xf>
    <xf numFmtId="4" fontId="10" fillId="2" borderId="0" xfId="0" applyNumberFormat="1" applyFont="1" applyFill="1" applyAlignment="1">
      <alignment horizontal="left" vertical="top"/>
    </xf>
    <xf numFmtId="4" fontId="10" fillId="2" borderId="0" xfId="0" applyNumberFormat="1" applyFont="1" applyFill="1" applyAlignment="1">
      <alignment horizontal="right" vertical="top"/>
    </xf>
    <xf numFmtId="0" fontId="41" fillId="2" borderId="0" xfId="0" applyFont="1" applyFill="1" applyAlignment="1">
      <alignment horizontal="right" vertical="top"/>
    </xf>
    <xf numFmtId="1" fontId="18" fillId="2" borderId="0" xfId="0" applyNumberFormat="1" applyFont="1" applyFill="1"/>
    <xf numFmtId="1" fontId="18" fillId="2" borderId="0" xfId="0" applyNumberFormat="1" applyFont="1" applyFill="1" applyAlignment="1">
      <alignment horizontal="right"/>
    </xf>
    <xf numFmtId="4" fontId="18" fillId="2" borderId="0" xfId="0" applyNumberFormat="1" applyFont="1" applyFill="1" applyAlignment="1">
      <alignment horizontal="left"/>
    </xf>
    <xf numFmtId="4" fontId="18" fillId="2" borderId="0" xfId="0" applyNumberFormat="1" applyFont="1" applyFill="1" applyAlignment="1">
      <alignment horizontal="right"/>
    </xf>
    <xf numFmtId="4" fontId="19" fillId="2" borderId="0" xfId="0" applyNumberFormat="1" applyFont="1" applyFill="1" applyAlignment="1">
      <alignment horizontal="left"/>
    </xf>
    <xf numFmtId="4" fontId="19" fillId="2" borderId="0" xfId="0" applyNumberFormat="1" applyFont="1" applyFill="1" applyAlignment="1">
      <alignment horizontal="right"/>
    </xf>
    <xf numFmtId="3" fontId="19" fillId="2" borderId="0" xfId="0" applyNumberFormat="1" applyFont="1" applyFill="1" applyAlignment="1">
      <alignment horizontal="right"/>
    </xf>
    <xf numFmtId="3" fontId="13" fillId="2" borderId="0" xfId="0" applyNumberFormat="1" applyFont="1" applyFill="1"/>
    <xf numFmtId="165" fontId="14" fillId="2" borderId="0" xfId="0" applyNumberFormat="1" applyFont="1" applyFill="1"/>
    <xf numFmtId="43" fontId="15" fillId="2" borderId="0" xfId="1" applyFont="1" applyFill="1" applyAlignment="1">
      <alignment horizontal="right" vertical="center"/>
    </xf>
    <xf numFmtId="43" fontId="15" fillId="2" borderId="8" xfId="1" applyFont="1" applyFill="1" applyBorder="1" applyAlignment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43" fontId="15" fillId="2" borderId="10" xfId="1" applyFont="1" applyFill="1" applyBorder="1" applyAlignment="1">
      <alignment horizontal="right" vertical="center"/>
    </xf>
    <xf numFmtId="3" fontId="15" fillId="2" borderId="9" xfId="0" applyNumberFormat="1" applyFont="1" applyFill="1" applyBorder="1" applyAlignment="1">
      <alignment horizontal="right" vertical="center"/>
    </xf>
    <xf numFmtId="0" fontId="41" fillId="2" borderId="15" xfId="0" applyFont="1" applyFill="1" applyBorder="1" applyAlignment="1">
      <alignment horizontal="right"/>
    </xf>
    <xf numFmtId="0" fontId="41" fillId="2" borderId="13" xfId="0" applyFont="1" applyFill="1" applyBorder="1" applyAlignment="1">
      <alignment horizontal="right"/>
    </xf>
    <xf numFmtId="0" fontId="44" fillId="2" borderId="13" xfId="0" applyFont="1" applyFill="1" applyBorder="1" applyAlignment="1">
      <alignment horizontal="right"/>
    </xf>
    <xf numFmtId="0" fontId="45" fillId="2" borderId="13" xfId="0" applyFont="1" applyFill="1" applyBorder="1" applyAlignment="1">
      <alignment horizontal="right"/>
    </xf>
    <xf numFmtId="0" fontId="45" fillId="2" borderId="14" xfId="0" applyFont="1" applyFill="1" applyBorder="1" applyAlignment="1">
      <alignment horizontal="right"/>
    </xf>
    <xf numFmtId="0" fontId="45" fillId="2" borderId="20" xfId="0" applyFont="1" applyFill="1" applyBorder="1" applyAlignment="1">
      <alignment horizontal="right"/>
    </xf>
    <xf numFmtId="0" fontId="45" fillId="2" borderId="16" xfId="0" applyFont="1" applyFill="1" applyBorder="1" applyAlignment="1">
      <alignment horizontal="right"/>
    </xf>
    <xf numFmtId="0" fontId="10" fillId="2" borderId="9" xfId="0" applyFont="1" applyFill="1" applyBorder="1" applyAlignment="1">
      <alignment horizontal="right" vertical="center"/>
    </xf>
    <xf numFmtId="165" fontId="10" fillId="2" borderId="3" xfId="0" applyNumberFormat="1" applyFont="1" applyFill="1" applyBorder="1" applyAlignment="1">
      <alignment horizontal="right" vertical="center"/>
    </xf>
    <xf numFmtId="165" fontId="10" fillId="2" borderId="10" xfId="0" applyNumberFormat="1" applyFont="1" applyFill="1" applyBorder="1" applyAlignment="1">
      <alignment horizontal="right" vertical="center"/>
    </xf>
    <xf numFmtId="165" fontId="15" fillId="2" borderId="10" xfId="0" applyNumberFormat="1" applyFont="1" applyFill="1" applyBorder="1" applyAlignment="1">
      <alignment horizontal="right" vertical="center"/>
    </xf>
    <xf numFmtId="165" fontId="15" fillId="2" borderId="9" xfId="0" applyNumberFormat="1" applyFont="1" applyFill="1" applyBorder="1" applyAlignment="1">
      <alignment horizontal="right" vertical="center"/>
    </xf>
    <xf numFmtId="0" fontId="10" fillId="2" borderId="31" xfId="0" applyFont="1" applyFill="1" applyBorder="1" applyAlignment="1">
      <alignment horizontal="right" vertical="center"/>
    </xf>
    <xf numFmtId="0" fontId="48" fillId="2" borderId="0" xfId="0" applyFont="1" applyFill="1" applyAlignment="1" applyProtection="1">
      <alignment vertical="center"/>
      <protection hidden="1"/>
    </xf>
    <xf numFmtId="0" fontId="4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41" fillId="2" borderId="2" xfId="0" applyFont="1" applyFill="1" applyBorder="1" applyAlignment="1">
      <alignment horizontal="right" vertical="center"/>
    </xf>
    <xf numFmtId="0" fontId="41" fillId="2" borderId="0" xfId="0" applyFont="1" applyFill="1" applyAlignment="1">
      <alignment horizontal="right" vertical="center"/>
    </xf>
    <xf numFmtId="0" fontId="41" fillId="2" borderId="8" xfId="0" applyFont="1" applyFill="1" applyBorder="1" applyAlignment="1">
      <alignment horizontal="right" vertical="center"/>
    </xf>
    <xf numFmtId="0" fontId="41" fillId="2" borderId="2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2" fontId="10" fillId="2" borderId="30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72">
    <cellStyle name="1" xfId="47" xr:uid="{00000000-0005-0000-0000-000000000000}"/>
    <cellStyle name="20% - Accent1" xfId="23" builtinId="30" customBuiltin="1"/>
    <cellStyle name="20% - Accent1 2" xfId="58" xr:uid="{00000000-0005-0000-0000-000002000000}"/>
    <cellStyle name="20% - Accent2" xfId="27" builtinId="34" customBuiltin="1"/>
    <cellStyle name="20% - Accent2 2" xfId="60" xr:uid="{00000000-0005-0000-0000-000004000000}"/>
    <cellStyle name="20% - Accent3" xfId="31" builtinId="38" customBuiltin="1"/>
    <cellStyle name="20% - Accent3 2" xfId="62" xr:uid="{00000000-0005-0000-0000-000006000000}"/>
    <cellStyle name="20% - Accent4" xfId="35" builtinId="42" customBuiltin="1"/>
    <cellStyle name="20% - Accent4 2" xfId="64" xr:uid="{00000000-0005-0000-0000-000008000000}"/>
    <cellStyle name="20% - Accent5" xfId="39" builtinId="46" customBuiltin="1"/>
    <cellStyle name="20% - Accent5 2" xfId="66" xr:uid="{00000000-0005-0000-0000-00000A000000}"/>
    <cellStyle name="20% - Accent6" xfId="43" builtinId="50" customBuiltin="1"/>
    <cellStyle name="20% - Accent6 2" xfId="68" xr:uid="{00000000-0005-0000-0000-00000C000000}"/>
    <cellStyle name="40% - Accent1" xfId="24" builtinId="31" customBuiltin="1"/>
    <cellStyle name="40% - Accent1 2" xfId="59" xr:uid="{00000000-0005-0000-0000-00000E000000}"/>
    <cellStyle name="40% - Accent2" xfId="28" builtinId="35" customBuiltin="1"/>
    <cellStyle name="40% - Accent2 2" xfId="61" xr:uid="{00000000-0005-0000-0000-000010000000}"/>
    <cellStyle name="40% - Accent3" xfId="32" builtinId="39" customBuiltin="1"/>
    <cellStyle name="40% - Accent3 2" xfId="63" xr:uid="{00000000-0005-0000-0000-000012000000}"/>
    <cellStyle name="40% - Accent4" xfId="36" builtinId="43" customBuiltin="1"/>
    <cellStyle name="40% - Accent4 2" xfId="65" xr:uid="{00000000-0005-0000-0000-000014000000}"/>
    <cellStyle name="40% - Accent5" xfId="40" builtinId="47" customBuiltin="1"/>
    <cellStyle name="40% - Accent5 2" xfId="67" xr:uid="{00000000-0005-0000-0000-000016000000}"/>
    <cellStyle name="40% - Accent6" xfId="44" builtinId="51" customBuiltin="1"/>
    <cellStyle name="40% - Accent6 2" xfId="69" xr:uid="{00000000-0005-0000-0000-000018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 xr:uid="{00000000-0005-0000-0000-000020000000}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 xr:uid="{00000000-0005-0000-0000-00002A000000}"/>
    <cellStyle name="Comma 3" xfId="3" xr:uid="{00000000-0005-0000-0000-00002B000000}"/>
    <cellStyle name="Comma 4" xfId="52" xr:uid="{00000000-0005-0000-0000-00002C000000}"/>
    <cellStyle name="Comma 5" xfId="55" xr:uid="{00000000-0005-0000-0000-00002D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 xr:uid="{00000000-0005-0000-0000-00003A000000}"/>
    <cellStyle name="Normal 2" xfId="5" xr:uid="{00000000-0005-0000-0000-00003B000000}"/>
    <cellStyle name="Normal 3" xfId="51" xr:uid="{00000000-0005-0000-0000-00003C000000}"/>
    <cellStyle name="Normal 4" xfId="54" xr:uid="{00000000-0005-0000-0000-00003D000000}"/>
    <cellStyle name="Normal 5" xfId="4" xr:uid="{00000000-0005-0000-0000-00003E000000}"/>
    <cellStyle name="Normal 6" xfId="57" xr:uid="{00000000-0005-0000-0000-00003F000000}"/>
    <cellStyle name="Normal 7" xfId="46" xr:uid="{00000000-0005-0000-0000-000040000000}"/>
    <cellStyle name="Normal_Indicators" xfId="2" xr:uid="{00000000-0005-0000-0000-000041000000}"/>
    <cellStyle name="Normal_Quick data" xfId="71" xr:uid="{00000000-0005-0000-0000-000042000000}"/>
    <cellStyle name="Note 2" xfId="53" xr:uid="{00000000-0005-0000-0000-000044000000}"/>
    <cellStyle name="Note 3" xfId="56" xr:uid="{00000000-0005-0000-0000-000045000000}"/>
    <cellStyle name="Output" xfId="15" builtinId="21" customBuiltin="1"/>
    <cellStyle name="Percent 2" xfId="6" xr:uid="{00000000-0005-0000-0000-000048000000}"/>
    <cellStyle name="Title 2" xfId="50" xr:uid="{00000000-0005-0000-0000-000049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'15.1'!$AM$35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numRef>
              <c:f>'15.1'!$AU$34:$BB$34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'15.1'!$AU$35:$BB$35</c:f>
              <c:numCache>
                <c:formatCode>General</c:formatCode>
                <c:ptCount val="8"/>
                <c:pt idx="0">
                  <c:v>32705613.741919942</c:v>
                </c:pt>
                <c:pt idx="1">
                  <c:v>36319895.400504716</c:v>
                </c:pt>
                <c:pt idx="2">
                  <c:v>45572679.692879952</c:v>
                </c:pt>
                <c:pt idx="3">
                  <c:v>44419161.239239857</c:v>
                </c:pt>
                <c:pt idx="4">
                  <c:v>28255524.516999986</c:v>
                </c:pt>
                <c:pt idx="5" formatCode="#,##0.00">
                  <c:v>38244243.662689924</c:v>
                </c:pt>
                <c:pt idx="6" formatCode="#,##0">
                  <c:v>53660565.957659826</c:v>
                </c:pt>
                <c:pt idx="7" formatCode="#,##0">
                  <c:v>68336911.602839991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35724320"/>
        <c:axId val="335732904"/>
      </c:barChart>
      <c:lineChart>
        <c:grouping val="standard"/>
        <c:varyColors val="0"/>
        <c:ser>
          <c:idx val="1"/>
          <c:order val="1"/>
          <c:tx>
            <c:strRef>
              <c:f>'15.1'!$AM$36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rgbClr val="7E5400"/>
              </a:solidFill>
            </a:ln>
          </c:spPr>
          <c:marker>
            <c:symbol val="square"/>
            <c:size val="6"/>
            <c:spPr>
              <a:solidFill>
                <a:srgbClr val="FFDF9F"/>
              </a:solidFill>
              <a:ln>
                <a:solidFill>
                  <a:srgbClr val="FFDF9F"/>
                </a:solidFill>
              </a:ln>
            </c:spPr>
          </c:marker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0-B6C1-48E0-990F-F829A924A93A}"/>
              </c:ext>
            </c:extLst>
          </c:dPt>
          <c:cat>
            <c:numRef>
              <c:f>'15.1'!$AU$34:$BB$34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'15.1'!$AU$36:$BB$36</c:f>
              <c:numCache>
                <c:formatCode>General</c:formatCode>
                <c:ptCount val="8"/>
                <c:pt idx="0">
                  <c:v>12.206193478145542</c:v>
                </c:pt>
                <c:pt idx="1">
                  <c:v>11.050951946980959</c:v>
                </c:pt>
                <c:pt idx="2">
                  <c:v>25.475801046075304</c:v>
                </c:pt>
                <c:pt idx="3">
                  <c:v>-2.5311622257321766</c:v>
                </c:pt>
                <c:pt idx="4">
                  <c:v>-36.388883246090934</c:v>
                </c:pt>
                <c:pt idx="5" formatCode="#,##0.0">
                  <c:v>35.351384610397901</c:v>
                </c:pt>
                <c:pt idx="6" formatCode="#,##0.0">
                  <c:v>40.310176953531077</c:v>
                </c:pt>
                <c:pt idx="7" formatCode="#,##0.0">
                  <c:v>27.350337036624524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1016"/>
        <c:axId val="333809448"/>
      </c:lineChart>
      <c:catAx>
        <c:axId val="3357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32904"/>
        <c:crosses val="autoZero"/>
        <c:auto val="1"/>
        <c:lblAlgn val="ctr"/>
        <c:lblOffset val="100"/>
        <c:noMultiLvlLbl val="0"/>
      </c:catAx>
      <c:valAx>
        <c:axId val="335732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2432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33380944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333811016"/>
        <c:crosses val="max"/>
        <c:crossBetween val="between"/>
      </c:valAx>
      <c:catAx>
        <c:axId val="333811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80944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175266035490253"/>
          <c:y val="0.19299090174123731"/>
          <c:w val="0.21517583192370174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Candara" pitchFamily="34" charset="0"/>
                <a:cs typeface="Consolas" pitchFamily="49" charset="0"/>
              </a:rPr>
              <a:t>Figure 15.1: Percentage share of Imports by Continents, 2024  </a:t>
            </a:r>
          </a:p>
        </c:rich>
      </c:tx>
      <c:layout>
        <c:manualLayout>
          <c:xMode val="edge"/>
          <c:yMode val="edge"/>
          <c:x val="7.8361111111111104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129067404910278"/>
          <c:y val="0.16199109637754483"/>
          <c:w val="0.37569026180058046"/>
          <c:h val="0.782732567285553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E54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B87-4435-8006-4FE31E96E720}"/>
              </c:ext>
            </c:extLst>
          </c:dPt>
          <c:dPt>
            <c:idx val="1"/>
            <c:bubble3D val="0"/>
            <c:spPr>
              <a:solidFill>
                <a:srgbClr val="00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B87-4435-8006-4FE31E96E720}"/>
              </c:ext>
            </c:extLst>
          </c:dPt>
          <c:dPt>
            <c:idx val="2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87-4435-8006-4FE31E96E720}"/>
              </c:ext>
            </c:extLst>
          </c:dPt>
          <c:dPt>
            <c:idx val="3"/>
            <c:bubble3D val="0"/>
            <c:spPr>
              <a:solidFill>
                <a:srgbClr val="AEAA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7-4435-8006-4FE31E96E720}"/>
              </c:ext>
            </c:extLst>
          </c:dPt>
          <c:dPt>
            <c:idx val="4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7-4435-8006-4FE31E96E720}"/>
              </c:ext>
            </c:extLst>
          </c:dPt>
          <c:dPt>
            <c:idx val="5"/>
            <c:bubble3D val="0"/>
            <c:spPr>
              <a:solidFill>
                <a:srgbClr val="FFDF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87-4435-8006-4FE31E96E720}"/>
              </c:ext>
            </c:extLst>
          </c:dPt>
          <c:dLbls>
            <c:dLbl>
              <c:idx val="0"/>
              <c:layout>
                <c:manualLayout>
                  <c:x val="4.7766140245268401E-2"/>
                  <c:y val="-5.52535020766860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87-4435-8006-4FE31E96E720}"/>
                </c:ext>
              </c:extLst>
            </c:dLbl>
            <c:dLbl>
              <c:idx val="1"/>
              <c:layout>
                <c:manualLayout>
                  <c:x val="8.264886870919326E-2"/>
                  <c:y val="8.1924120259853043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87-4435-8006-4FE31E96E720}"/>
                </c:ext>
              </c:extLst>
            </c:dLbl>
            <c:dLbl>
              <c:idx val="2"/>
              <c:layout>
                <c:manualLayout>
                  <c:x val="-8.0362938436590203E-2"/>
                  <c:y val="9.0682035208499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87-4435-8006-4FE31E96E720}"/>
                </c:ext>
              </c:extLst>
            </c:dLbl>
            <c:dLbl>
              <c:idx val="3"/>
              <c:layout>
                <c:manualLayout>
                  <c:x val="-0.10494253751049694"/>
                  <c:y val="-7.446091312260118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87-4435-8006-4FE31E96E720}"/>
                </c:ext>
              </c:extLst>
            </c:dLbl>
            <c:dLbl>
              <c:idx val="4"/>
              <c:layout>
                <c:manualLayout>
                  <c:x val="-7.0185709655174996E-2"/>
                  <c:y val="-6.70295999898663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87-4435-8006-4FE31E96E720}"/>
                </c:ext>
              </c:extLst>
            </c:dLbl>
            <c:dLbl>
              <c:idx val="5"/>
              <c:layout>
                <c:manualLayout>
                  <c:x val="-1.7114473188551804E-2"/>
                  <c:y val="-8.20266373167330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87-4435-8006-4FE31E96E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'15.1'!$AN$14:$AN$19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'15.1'!$AO$14:$AO$19</c:f>
              <c:numCache>
                <c:formatCode>0</c:formatCode>
                <c:ptCount val="6"/>
                <c:pt idx="0">
                  <c:v>4866576.1768800011</c:v>
                </c:pt>
                <c:pt idx="1">
                  <c:v>30680604.370960005</c:v>
                </c:pt>
                <c:pt idx="2">
                  <c:v>462314.7164100004</c:v>
                </c:pt>
                <c:pt idx="3">
                  <c:v>2394011.1724299993</c:v>
                </c:pt>
                <c:pt idx="4">
                  <c:v>16444202.39685999</c:v>
                </c:pt>
                <c:pt idx="5" formatCode="#,##0">
                  <c:v>1082710.195189999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7-4435-8006-4FE31E96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175172</xdr:colOff>
      <xdr:row>51</xdr:row>
      <xdr:rowOff>120315</xdr:rowOff>
    </xdr:from>
    <xdr:to>
      <xdr:col>25</xdr:col>
      <xdr:colOff>21895</xdr:colOff>
      <xdr:row>64</xdr:row>
      <xdr:rowOff>199421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197068</xdr:colOff>
      <xdr:row>51</xdr:row>
      <xdr:rowOff>82753</xdr:rowOff>
    </xdr:from>
    <xdr:to>
      <xdr:col>9</xdr:col>
      <xdr:colOff>733534</xdr:colOff>
      <xdr:row>64</xdr:row>
      <xdr:rowOff>218965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E2330D-6A34-2C18-9C34-8E38987BA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2016</a:t>
          </a:r>
          <a:r>
            <a:rPr lang="en-US" sz="1100" b="1" baseline="0">
              <a:latin typeface="Candara" pitchFamily="34" charset="0"/>
            </a:rPr>
            <a:t> - 2024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30B1A5A3-5920-BB0F-067A-8B7DD646C0A3}"/>
            </a:ext>
          </a:extLst>
        </cdr:cNvPr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C80"/>
  <sheetViews>
    <sheetView tabSelected="1" topLeftCell="D1" zoomScale="98" zoomScaleNormal="98" workbookViewId="0">
      <selection activeCell="AB11" sqref="AB11"/>
    </sheetView>
  </sheetViews>
  <sheetFormatPr defaultColWidth="9.140625" defaultRowHeight="18.75"/>
  <cols>
    <col min="1" max="1" width="15" style="3" customWidth="1"/>
    <col min="2" max="2" width="10.85546875" style="28" hidden="1" customWidth="1"/>
    <col min="3" max="3" width="11" style="28" hidden="1" customWidth="1"/>
    <col min="4" max="9" width="11" style="28" customWidth="1"/>
    <col min="10" max="10" width="12.28515625" style="28" customWidth="1"/>
    <col min="11" max="17" width="6.7109375" style="28" customWidth="1"/>
    <col min="18" max="21" width="7.140625" style="28" customWidth="1"/>
    <col min="22" max="22" width="6" style="28" bestFit="1" customWidth="1"/>
    <col min="23" max="23" width="7.140625" style="28" bestFit="1" customWidth="1"/>
    <col min="24" max="24" width="7.85546875" style="28" bestFit="1" customWidth="1"/>
    <col min="25" max="25" width="19.5703125" style="55" customWidth="1"/>
    <col min="26" max="26" width="3.85546875" style="3" customWidth="1"/>
    <col min="27" max="27" width="32.7109375" style="3" customWidth="1"/>
    <col min="28" max="28" width="8.140625" style="3" customWidth="1"/>
    <col min="29" max="31" width="32.7109375" style="3" customWidth="1"/>
    <col min="32" max="32" width="24.7109375" style="3" customWidth="1"/>
    <col min="33" max="34" width="8" style="3" customWidth="1"/>
    <col min="35" max="36" width="11.5703125" style="3" customWidth="1"/>
    <col min="37" max="37" width="12.85546875" style="3" customWidth="1"/>
    <col min="38" max="38" width="11.5703125" style="3" customWidth="1"/>
    <col min="39" max="39" width="13.85546875" style="3" customWidth="1"/>
    <col min="40" max="40" width="14.42578125" style="3" customWidth="1"/>
    <col min="41" max="41" width="11.7109375" style="3" customWidth="1"/>
    <col min="42" max="42" width="12.140625" style="3" customWidth="1"/>
    <col min="43" max="43" width="10.28515625" style="3" bestFit="1" customWidth="1"/>
    <col min="44" max="44" width="12" style="3" customWidth="1"/>
    <col min="45" max="45" width="15.5703125" style="3" customWidth="1"/>
    <col min="46" max="46" width="9.85546875" style="3" bestFit="1" customWidth="1"/>
    <col min="47" max="53" width="9.140625" style="3"/>
    <col min="54" max="54" width="9.85546875" style="3" bestFit="1" customWidth="1"/>
    <col min="55" max="16384" width="9.140625" style="3"/>
  </cols>
  <sheetData>
    <row r="1" spans="1:45" ht="19.5">
      <c r="A1" s="103" t="s">
        <v>94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"/>
      <c r="AA1" s="2"/>
      <c r="AB1" s="2"/>
      <c r="AC1" s="2"/>
      <c r="AD1" s="2"/>
      <c r="AE1" s="2"/>
    </row>
    <row r="2" spans="1:45" s="5" customFormat="1" ht="15.75">
      <c r="A2" s="104" t="s">
        <v>93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4"/>
      <c r="AA2" s="58"/>
      <c r="AB2" s="58"/>
      <c r="AC2" s="58"/>
      <c r="AD2" s="58"/>
      <c r="AE2" s="58"/>
    </row>
    <row r="3" spans="1:45" ht="2.4500000000000002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56"/>
      <c r="M3" s="56"/>
      <c r="N3" s="56"/>
      <c r="O3" s="56"/>
      <c r="P3" s="56"/>
      <c r="Q3" s="56"/>
      <c r="R3" s="7"/>
      <c r="S3" s="7"/>
      <c r="T3" s="7"/>
      <c r="U3" s="7"/>
      <c r="V3" s="7"/>
      <c r="W3" s="7"/>
      <c r="X3" s="7"/>
      <c r="Y3" s="53"/>
      <c r="Z3" s="8"/>
      <c r="AA3" s="8"/>
      <c r="AB3" s="8"/>
      <c r="AC3" s="8"/>
      <c r="AD3" s="8"/>
      <c r="AE3" s="8"/>
      <c r="AF3" s="9"/>
      <c r="AG3" s="8"/>
    </row>
    <row r="4" spans="1:45" ht="13.9" customHeight="1">
      <c r="A4" s="105" t="s">
        <v>0</v>
      </c>
      <c r="B4" s="125" t="s">
        <v>1</v>
      </c>
      <c r="C4" s="125"/>
      <c r="D4" s="125"/>
      <c r="E4" s="125"/>
      <c r="F4" s="125"/>
      <c r="G4" s="125"/>
      <c r="H4" s="125"/>
      <c r="I4" s="125"/>
      <c r="J4" s="126"/>
      <c r="K4" s="115" t="s">
        <v>2</v>
      </c>
      <c r="L4" s="111"/>
      <c r="M4" s="111"/>
      <c r="N4" s="111"/>
      <c r="O4" s="111"/>
      <c r="P4" s="111"/>
      <c r="Q4" s="112"/>
      <c r="R4" s="117" t="s">
        <v>3</v>
      </c>
      <c r="S4" s="118"/>
      <c r="T4" s="118"/>
      <c r="U4" s="118"/>
      <c r="V4" s="118"/>
      <c r="W4" s="118"/>
      <c r="X4" s="119"/>
      <c r="Y4" s="108" t="s">
        <v>4</v>
      </c>
      <c r="Z4" s="8"/>
      <c r="AA4" s="8"/>
      <c r="AB4" s="8"/>
      <c r="AC4" s="8"/>
      <c r="AD4" s="8"/>
      <c r="AE4" s="8"/>
      <c r="AF4" s="9"/>
      <c r="AG4" s="8"/>
    </row>
    <row r="5" spans="1:45" s="10" customFormat="1" ht="15" customHeight="1">
      <c r="A5" s="106"/>
      <c r="B5" s="123" t="s">
        <v>5</v>
      </c>
      <c r="C5" s="123"/>
      <c r="D5" s="123"/>
      <c r="E5" s="123"/>
      <c r="F5" s="123"/>
      <c r="G5" s="123"/>
      <c r="H5" s="123"/>
      <c r="I5" s="123"/>
      <c r="J5" s="124"/>
      <c r="K5" s="116" t="s">
        <v>6</v>
      </c>
      <c r="L5" s="113"/>
      <c r="M5" s="113"/>
      <c r="N5" s="113"/>
      <c r="O5" s="113"/>
      <c r="P5" s="113"/>
      <c r="Q5" s="114"/>
      <c r="R5" s="120" t="s">
        <v>7</v>
      </c>
      <c r="S5" s="121"/>
      <c r="T5" s="121"/>
      <c r="U5" s="121"/>
      <c r="V5" s="121"/>
      <c r="W5" s="121"/>
      <c r="X5" s="122"/>
      <c r="Y5" s="109"/>
      <c r="Z5" s="8"/>
      <c r="AA5" s="8"/>
      <c r="AB5" s="8"/>
      <c r="AC5" s="8"/>
      <c r="AD5" s="8"/>
      <c r="AE5" s="8"/>
      <c r="AF5" s="9"/>
      <c r="AG5" s="8"/>
    </row>
    <row r="6" spans="1:45" s="10" customFormat="1" ht="14.45" customHeight="1">
      <c r="A6" s="107"/>
      <c r="B6" s="11"/>
      <c r="C6" s="12">
        <v>2017</v>
      </c>
      <c r="D6" s="12">
        <v>2018</v>
      </c>
      <c r="E6" s="49">
        <v>2019</v>
      </c>
      <c r="F6" s="49">
        <v>2020</v>
      </c>
      <c r="G6" s="49">
        <v>2021</v>
      </c>
      <c r="H6" s="49">
        <v>2022</v>
      </c>
      <c r="I6" s="49">
        <v>2023</v>
      </c>
      <c r="J6" s="52">
        <v>2024</v>
      </c>
      <c r="K6" s="13">
        <v>2018</v>
      </c>
      <c r="L6" s="13">
        <v>2019</v>
      </c>
      <c r="M6" s="13">
        <v>2020</v>
      </c>
      <c r="N6" s="13">
        <v>2021</v>
      </c>
      <c r="O6" s="13">
        <v>2022</v>
      </c>
      <c r="P6" s="13">
        <v>2023</v>
      </c>
      <c r="Q6" s="101">
        <v>2024</v>
      </c>
      <c r="R6" s="12">
        <v>2018</v>
      </c>
      <c r="S6" s="12">
        <v>2019</v>
      </c>
      <c r="T6" s="12">
        <v>2020</v>
      </c>
      <c r="U6" s="12">
        <v>2021</v>
      </c>
      <c r="V6" s="12">
        <v>2022</v>
      </c>
      <c r="W6" s="12">
        <v>2023</v>
      </c>
      <c r="X6" s="96">
        <v>2024</v>
      </c>
      <c r="Y6" s="110"/>
      <c r="Z6" s="14"/>
      <c r="AA6" s="8"/>
      <c r="AB6" s="8"/>
      <c r="AC6" s="8"/>
      <c r="AD6" s="8"/>
      <c r="AE6" s="8"/>
      <c r="AF6" s="15"/>
      <c r="AG6" s="14"/>
    </row>
    <row r="7" spans="1:45" s="10" customFormat="1" ht="16.5">
      <c r="A7" s="65" t="s">
        <v>8</v>
      </c>
      <c r="B7" s="16"/>
      <c r="C7" s="16">
        <f>SUM(C8+C18+C28+C33+C39+C44)</f>
        <v>36319895.400504716</v>
      </c>
      <c r="D7" s="16">
        <f>SUM(D8+D18+D28+D33+D39+D44)</f>
        <v>45572679.692879952</v>
      </c>
      <c r="E7" s="16">
        <f>SUM(E8+E18+E28+E33+E39+E44)</f>
        <v>44419161.239239857</v>
      </c>
      <c r="F7" s="16">
        <f>SUM(F8+F18+F28+F33+F39+F44)</f>
        <v>28255524.516999986</v>
      </c>
      <c r="G7" s="16">
        <f t="shared" ref="G7:I7" si="0">SUM(G8+G18+G28+G33+G39+G44)</f>
        <v>38244243.662689924</v>
      </c>
      <c r="H7" s="16">
        <f t="shared" si="0"/>
        <v>53660565.957659826</v>
      </c>
      <c r="I7" s="16">
        <f t="shared" si="0"/>
        <v>68336911.602839991</v>
      </c>
      <c r="J7" s="17">
        <f t="shared" ref="J7" si="1">SUM(J8+J18+J28+J33+J39+J44)</f>
        <v>55930419.028729998</v>
      </c>
      <c r="K7" s="18">
        <f>D7/$D$7*100</f>
        <v>100</v>
      </c>
      <c r="L7" s="18">
        <f>E7/$E$7*100</f>
        <v>100</v>
      </c>
      <c r="M7" s="18">
        <f>F7/$F$7*100</f>
        <v>100</v>
      </c>
      <c r="N7" s="18">
        <f>G7/$G$7*100</f>
        <v>100</v>
      </c>
      <c r="O7" s="18">
        <f>H7/$H$7*100</f>
        <v>100</v>
      </c>
      <c r="P7" s="18">
        <f>I7/$I$7*100</f>
        <v>100</v>
      </c>
      <c r="Q7" s="98">
        <f>J7/$J$7*100</f>
        <v>100</v>
      </c>
      <c r="R7" s="50">
        <f>((D7-C7)/C7)*100</f>
        <v>25.475801046075304</v>
      </c>
      <c r="S7" s="50">
        <f>((E7-D7)/D7)*100</f>
        <v>-2.5311622257321766</v>
      </c>
      <c r="T7" s="50">
        <f>((F7-E7)/E7)*100</f>
        <v>-36.388883246090934</v>
      </c>
      <c r="U7" s="50">
        <f t="shared" ref="U7:X22" si="2">((G7-F7)/F7)*100</f>
        <v>35.351384610397901</v>
      </c>
      <c r="V7" s="50">
        <f t="shared" si="2"/>
        <v>40.310176953531077</v>
      </c>
      <c r="W7" s="50">
        <f t="shared" si="2"/>
        <v>27.350337036624524</v>
      </c>
      <c r="X7" s="97">
        <f>((J7-I7)/I7)*100</f>
        <v>-18.154892111914517</v>
      </c>
      <c r="Y7" s="89" t="s">
        <v>9</v>
      </c>
      <c r="AA7" s="8"/>
      <c r="AB7" s="8"/>
      <c r="AC7" s="8"/>
      <c r="AD7" s="8"/>
      <c r="AE7" s="8"/>
      <c r="AF7" s="15"/>
      <c r="AG7" s="14"/>
    </row>
    <row r="8" spans="1:45" s="19" customFormat="1" ht="16.5">
      <c r="A8" s="66" t="s">
        <v>10</v>
      </c>
      <c r="B8" s="67"/>
      <c r="C8" s="16">
        <f t="shared" ref="C8:D8" si="3">SUM(C9:C17)</f>
        <v>3401410.9120900016</v>
      </c>
      <c r="D8" s="16">
        <f t="shared" si="3"/>
        <v>4681844.5684999963</v>
      </c>
      <c r="E8" s="16">
        <f t="shared" ref="E8:I8" si="4">SUM(E9:E17)</f>
        <v>4918709.4611999961</v>
      </c>
      <c r="F8" s="16">
        <f t="shared" si="4"/>
        <v>2525984.4993400015</v>
      </c>
      <c r="G8" s="16">
        <f t="shared" si="4"/>
        <v>3400021.8253599931</v>
      </c>
      <c r="H8" s="16">
        <f t="shared" si="4"/>
        <v>4890989.8129999805</v>
      </c>
      <c r="I8" s="16">
        <f t="shared" si="4"/>
        <v>4558918.9136999995</v>
      </c>
      <c r="J8" s="17">
        <f t="shared" ref="J8" si="5">SUM(J9:J17)</f>
        <v>4866576.1768800011</v>
      </c>
      <c r="K8" s="18">
        <f>D8/$D$7*100</f>
        <v>10.273358073414903</v>
      </c>
      <c r="L8" s="59">
        <f>E8/$E$7*100</f>
        <v>11.073395633717666</v>
      </c>
      <c r="M8" s="18">
        <f>F8/$F$7*100</f>
        <v>8.9397898022393409</v>
      </c>
      <c r="N8" s="18">
        <f>G8/$G$7*100</f>
        <v>8.8902838695093998</v>
      </c>
      <c r="O8" s="18">
        <f>H8/$H$7*100</f>
        <v>9.1146817513239657</v>
      </c>
      <c r="P8" s="18">
        <f>I8/$I$7*100</f>
        <v>6.6712393152846801</v>
      </c>
      <c r="Q8" s="98">
        <f>J8/$J$7*100</f>
        <v>8.7011259014172015</v>
      </c>
      <c r="R8" s="18">
        <f t="shared" ref="R8:T46" si="6">((D8-C8)/C8)*100</f>
        <v>37.644192057443313</v>
      </c>
      <c r="S8" s="18">
        <f>((E8-D8)/D8)*100</f>
        <v>5.0592216216158636</v>
      </c>
      <c r="T8" s="18">
        <f>((F8-E8)/E8)*100</f>
        <v>-48.645381084904578</v>
      </c>
      <c r="U8" s="18">
        <f t="shared" si="2"/>
        <v>34.601848358466306</v>
      </c>
      <c r="V8" s="18">
        <f t="shared" si="2"/>
        <v>43.851718142489396</v>
      </c>
      <c r="W8" s="18">
        <f t="shared" si="2"/>
        <v>-6.7894416467062557</v>
      </c>
      <c r="X8" s="98">
        <f t="shared" si="2"/>
        <v>6.7484697360038872</v>
      </c>
      <c r="Y8" s="90" t="s">
        <v>11</v>
      </c>
      <c r="AB8" s="20"/>
      <c r="AC8" s="20"/>
      <c r="AD8" s="20"/>
      <c r="AE8" s="20"/>
      <c r="AF8" s="9"/>
      <c r="AG8" s="8"/>
    </row>
    <row r="9" spans="1:45" s="24" customFormat="1" ht="17.25">
      <c r="A9" s="68" t="s">
        <v>12</v>
      </c>
      <c r="B9" s="21"/>
      <c r="C9" s="22">
        <v>321632.76900000044</v>
      </c>
      <c r="D9" s="22">
        <v>361246.33152999979</v>
      </c>
      <c r="E9" s="22">
        <v>258177.02838000015</v>
      </c>
      <c r="F9" s="22">
        <v>231977.08890000038</v>
      </c>
      <c r="G9" s="22">
        <v>284755.798119999</v>
      </c>
      <c r="H9" s="22">
        <v>535251.69466000004</v>
      </c>
      <c r="I9" s="22">
        <v>396628.46032999968</v>
      </c>
      <c r="J9" s="86">
        <v>350977.6740699996</v>
      </c>
      <c r="K9" s="59">
        <f t="shared" ref="K9:K46" si="7">D9/$D$7*100</f>
        <v>0.79268178646611176</v>
      </c>
      <c r="L9" s="59">
        <f t="shared" ref="L9:L46" si="8">E9/$E$7*100</f>
        <v>0.58122895880331649</v>
      </c>
      <c r="M9" s="59">
        <f t="shared" ref="M9:M46" si="9">F9/$F$7*100</f>
        <v>0.82099728412555562</v>
      </c>
      <c r="N9" s="59">
        <f t="shared" ref="N9:N46" si="10">G9/$G$7*100</f>
        <v>0.74457165536208325</v>
      </c>
      <c r="O9" s="59">
        <f t="shared" ref="O9:O46" si="11">H9/$H$7*100</f>
        <v>0.99747679717417348</v>
      </c>
      <c r="P9" s="59">
        <f t="shared" ref="P9:P46" si="12">I9/$I$7*100</f>
        <v>0.58040150048793882</v>
      </c>
      <c r="Q9" s="99">
        <f>J9/$J$7*100</f>
        <v>0.62752555794318565</v>
      </c>
      <c r="R9" s="59">
        <f t="shared" si="6"/>
        <v>12.316395077890618</v>
      </c>
      <c r="S9" s="59">
        <f>((E9-D9)/D9)*100</f>
        <v>-28.531584725986409</v>
      </c>
      <c r="T9" s="59">
        <f>((F9-E9)/E9)*100</f>
        <v>-10.148052150262243</v>
      </c>
      <c r="U9" s="59">
        <f t="shared" si="2"/>
        <v>22.751690466617685</v>
      </c>
      <c r="V9" s="59">
        <f t="shared" si="2"/>
        <v>87.968672874727389</v>
      </c>
      <c r="W9" s="59">
        <f t="shared" si="2"/>
        <v>-25.898700688478144</v>
      </c>
      <c r="X9" s="99">
        <f t="shared" si="2"/>
        <v>-11.509710176122528</v>
      </c>
      <c r="Y9" s="91" t="s">
        <v>13</v>
      </c>
      <c r="AB9" s="23"/>
      <c r="AC9" s="23"/>
      <c r="AD9" s="23"/>
      <c r="AE9" s="23"/>
      <c r="AF9" s="9"/>
      <c r="AG9" s="8"/>
    </row>
    <row r="10" spans="1:45" s="24" customFormat="1" ht="16.5">
      <c r="A10" s="68" t="s">
        <v>14</v>
      </c>
      <c r="B10" s="21"/>
      <c r="C10" s="22">
        <v>860260.4703600026</v>
      </c>
      <c r="D10" s="22">
        <v>853110.38708999881</v>
      </c>
      <c r="E10" s="22">
        <v>975305.8839200004</v>
      </c>
      <c r="F10" s="22">
        <v>519090.81897000072</v>
      </c>
      <c r="G10" s="22">
        <v>782042.67384000192</v>
      </c>
      <c r="H10" s="22">
        <v>877213.94915001793</v>
      </c>
      <c r="I10" s="22">
        <v>1146245.6648999986</v>
      </c>
      <c r="J10" s="86">
        <v>953917.14209000091</v>
      </c>
      <c r="K10" s="59">
        <f t="shared" si="7"/>
        <v>1.8719776691632299</v>
      </c>
      <c r="L10" s="59">
        <f t="shared" si="8"/>
        <v>2.1956873041051836</v>
      </c>
      <c r="M10" s="59">
        <f t="shared" si="9"/>
        <v>1.837130358906234</v>
      </c>
      <c r="N10" s="59">
        <f t="shared" si="10"/>
        <v>2.0448637466530477</v>
      </c>
      <c r="O10" s="59">
        <f t="shared" si="11"/>
        <v>1.634745988035557</v>
      </c>
      <c r="P10" s="59">
        <f t="shared" si="12"/>
        <v>1.6773448463134264</v>
      </c>
      <c r="Q10" s="99">
        <f t="shared" ref="Q10:Q48" si="13">J10/$J$7*100</f>
        <v>1.7055426343221183</v>
      </c>
      <c r="R10" s="59">
        <f t="shared" si="6"/>
        <v>-0.83115329790890113</v>
      </c>
      <c r="S10" s="59">
        <f t="shared" si="6"/>
        <v>14.323527022899862</v>
      </c>
      <c r="T10" s="59">
        <f t="shared" si="6"/>
        <v>-46.776613621601079</v>
      </c>
      <c r="U10" s="59">
        <f t="shared" si="2"/>
        <v>50.65623302522669</v>
      </c>
      <c r="V10" s="59">
        <f t="shared" si="2"/>
        <v>12.169575714161999</v>
      </c>
      <c r="W10" s="59">
        <f t="shared" si="2"/>
        <v>30.668882546915793</v>
      </c>
      <c r="X10" s="99">
        <f t="shared" si="2"/>
        <v>-16.77899674558655</v>
      </c>
      <c r="Y10" s="92" t="s">
        <v>15</v>
      </c>
      <c r="AB10" s="23"/>
      <c r="AC10" s="23"/>
      <c r="AD10" s="23"/>
      <c r="AE10" s="23"/>
      <c r="AF10" s="9"/>
      <c r="AG10" s="8"/>
    </row>
    <row r="11" spans="1:45" s="24" customFormat="1" ht="16.5">
      <c r="A11" s="68" t="s">
        <v>16</v>
      </c>
      <c r="B11" s="21"/>
      <c r="C11" s="22">
        <v>535528.10026999866</v>
      </c>
      <c r="D11" s="22">
        <v>722838.40423999797</v>
      </c>
      <c r="E11" s="22">
        <v>679481.92537999805</v>
      </c>
      <c r="F11" s="22">
        <v>410539.62858000043</v>
      </c>
      <c r="G11" s="22">
        <v>510859.53976999602</v>
      </c>
      <c r="H11" s="22">
        <v>625407.90053999703</v>
      </c>
      <c r="I11" s="22">
        <v>617167.94545000151</v>
      </c>
      <c r="J11" s="86">
        <v>707936.15647000028</v>
      </c>
      <c r="K11" s="59">
        <f t="shared" si="7"/>
        <v>1.5861222318092709</v>
      </c>
      <c r="L11" s="59">
        <f t="shared" si="8"/>
        <v>1.5297045383642773</v>
      </c>
      <c r="M11" s="59">
        <f t="shared" si="9"/>
        <v>1.4529534864341256</v>
      </c>
      <c r="N11" s="59">
        <f t="shared" si="10"/>
        <v>1.335781521202829</v>
      </c>
      <c r="O11" s="59">
        <f t="shared" si="11"/>
        <v>1.1654888266245029</v>
      </c>
      <c r="P11" s="59">
        <f t="shared" si="12"/>
        <v>0.90312531101325444</v>
      </c>
      <c r="Q11" s="99">
        <f t="shared" si="13"/>
        <v>1.2657444173739374</v>
      </c>
      <c r="R11" s="59">
        <f t="shared" si="6"/>
        <v>34.97674610829246</v>
      </c>
      <c r="S11" s="59">
        <f t="shared" si="6"/>
        <v>-5.99808734644993</v>
      </c>
      <c r="T11" s="59">
        <f t="shared" si="6"/>
        <v>-39.580493130791154</v>
      </c>
      <c r="U11" s="59">
        <f t="shared" si="2"/>
        <v>24.436109015100012</v>
      </c>
      <c r="V11" s="59">
        <f t="shared" si="2"/>
        <v>22.422672349737084</v>
      </c>
      <c r="W11" s="59">
        <f t="shared" si="2"/>
        <v>-1.3175329385639167</v>
      </c>
      <c r="X11" s="99">
        <f t="shared" si="2"/>
        <v>14.707214088025275</v>
      </c>
      <c r="Y11" s="92" t="s">
        <v>17</v>
      </c>
      <c r="AB11" s="23"/>
      <c r="AC11" s="23"/>
      <c r="AD11" s="23"/>
      <c r="AE11" s="23"/>
      <c r="AF11" s="9"/>
      <c r="AG11" s="8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s="24" customFormat="1" ht="16.5">
      <c r="A12" s="68" t="s">
        <v>18</v>
      </c>
      <c r="B12" s="21"/>
      <c r="C12" s="22">
        <v>286104.1470600001</v>
      </c>
      <c r="D12" s="22">
        <v>518317.78193999926</v>
      </c>
      <c r="E12" s="22">
        <v>452795.27419000032</v>
      </c>
      <c r="F12" s="22">
        <v>242843.22281000041</v>
      </c>
      <c r="G12" s="22">
        <v>320414.436619999</v>
      </c>
      <c r="H12" s="22">
        <v>368492.56279999297</v>
      </c>
      <c r="I12" s="22">
        <v>337650.59778000019</v>
      </c>
      <c r="J12" s="86">
        <v>424514.63975000085</v>
      </c>
      <c r="K12" s="59">
        <f t="shared" si="7"/>
        <v>1.137343218421669</v>
      </c>
      <c r="L12" s="59">
        <f t="shared" si="8"/>
        <v>1.0193692576752245</v>
      </c>
      <c r="M12" s="59">
        <f t="shared" si="9"/>
        <v>0.85945395444311568</v>
      </c>
      <c r="N12" s="59">
        <f t="shared" si="10"/>
        <v>0.83781088585780272</v>
      </c>
      <c r="O12" s="59">
        <f t="shared" si="11"/>
        <v>0.68671016830263631</v>
      </c>
      <c r="P12" s="59">
        <f t="shared" si="12"/>
        <v>0.49409695267230647</v>
      </c>
      <c r="Q12" s="99">
        <f t="shared" si="13"/>
        <v>0.75900493349055498</v>
      </c>
      <c r="R12" s="59">
        <f t="shared" si="6"/>
        <v>81.164022705095789</v>
      </c>
      <c r="S12" s="59">
        <f t="shared" si="6"/>
        <v>-12.641377555050553</v>
      </c>
      <c r="T12" s="59">
        <f t="shared" si="6"/>
        <v>-46.367986449412584</v>
      </c>
      <c r="U12" s="59">
        <f t="shared" si="2"/>
        <v>31.942918938565562</v>
      </c>
      <c r="V12" s="59">
        <f t="shared" si="2"/>
        <v>15.004981263379541</v>
      </c>
      <c r="W12" s="59">
        <f t="shared" si="2"/>
        <v>-8.3697659419880619</v>
      </c>
      <c r="X12" s="99">
        <f t="shared" si="2"/>
        <v>25.726014566868276</v>
      </c>
      <c r="Y12" s="92" t="s">
        <v>19</v>
      </c>
      <c r="AB12" s="23"/>
      <c r="AC12" s="23"/>
      <c r="AD12" s="23"/>
      <c r="AE12" s="23"/>
      <c r="AF12" s="9"/>
      <c r="AG12" s="8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s="24" customFormat="1" ht="16.5">
      <c r="A13" s="68" t="s">
        <v>21</v>
      </c>
      <c r="B13" s="21"/>
      <c r="C13" s="22">
        <v>360506.93283000012</v>
      </c>
      <c r="D13" s="22">
        <v>398064.65791000024</v>
      </c>
      <c r="E13" s="22">
        <v>715893.15832000109</v>
      </c>
      <c r="F13" s="22">
        <v>257429.37032999957</v>
      </c>
      <c r="G13" s="22">
        <v>408459.485359999</v>
      </c>
      <c r="H13" s="22">
        <v>1146168.62885997</v>
      </c>
      <c r="I13" s="22">
        <v>717555.55159999919</v>
      </c>
      <c r="J13" s="86">
        <v>1024975.7283199998</v>
      </c>
      <c r="K13" s="59">
        <f t="shared" si="7"/>
        <v>0.87347213416592628</v>
      </c>
      <c r="L13" s="59">
        <f t="shared" si="8"/>
        <v>1.6116764440107925</v>
      </c>
      <c r="M13" s="59">
        <f t="shared" si="9"/>
        <v>0.9110762398875899</v>
      </c>
      <c r="N13" s="59">
        <f t="shared" si="10"/>
        <v>1.0680286658629394</v>
      </c>
      <c r="O13" s="59">
        <f t="shared" si="11"/>
        <v>2.1359607533106146</v>
      </c>
      <c r="P13" s="59">
        <f t="shared" si="12"/>
        <v>1.0500263104810528</v>
      </c>
      <c r="Q13" s="99">
        <f t="shared" si="13"/>
        <v>1.8325908264579538</v>
      </c>
      <c r="R13" s="59">
        <f t="shared" si="6"/>
        <v>10.418031294202811</v>
      </c>
      <c r="S13" s="59">
        <f t="shared" si="6"/>
        <v>79.843436008292841</v>
      </c>
      <c r="T13" s="59">
        <f t="shared" si="6"/>
        <v>-64.04081149006737</v>
      </c>
      <c r="U13" s="59">
        <f t="shared" si="2"/>
        <v>58.668564055606176</v>
      </c>
      <c r="V13" s="59">
        <f t="shared" ref="V13" si="14">((H13-G13)/G13)*100</f>
        <v>180.60766610666056</v>
      </c>
      <c r="W13" s="59">
        <f t="shared" ref="W13:X13" si="15">((I13-H13)/H13)*100</f>
        <v>-37.395289529629537</v>
      </c>
      <c r="X13" s="99">
        <f t="shared" si="15"/>
        <v>42.842700615237064</v>
      </c>
      <c r="Y13" s="92" t="s">
        <v>22</v>
      </c>
      <c r="AB13" s="25"/>
      <c r="AC13" s="25"/>
      <c r="AD13" s="25"/>
      <c r="AE13" s="25"/>
      <c r="AF13" s="9"/>
      <c r="AG13" s="8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5" s="24" customFormat="1" ht="16.5">
      <c r="A14" s="68" t="s">
        <v>24</v>
      </c>
      <c r="B14" s="21"/>
      <c r="C14" s="22">
        <v>83187.915789999926</v>
      </c>
      <c r="D14" s="22">
        <v>85946.824929999973</v>
      </c>
      <c r="E14" s="22">
        <v>90092.507369999905</v>
      </c>
      <c r="F14" s="22">
        <v>95384.850459999943</v>
      </c>
      <c r="G14" s="22">
        <v>108187.68548</v>
      </c>
      <c r="H14" s="22">
        <v>111615.02362000001</v>
      </c>
      <c r="I14" s="22">
        <v>109939.41324999998</v>
      </c>
      <c r="J14" s="86">
        <v>144116.87077999982</v>
      </c>
      <c r="K14" s="59">
        <f t="shared" si="7"/>
        <v>0.18859287079277867</v>
      </c>
      <c r="L14" s="59">
        <f t="shared" si="8"/>
        <v>0.2028235222289885</v>
      </c>
      <c r="M14" s="59">
        <f t="shared" si="9"/>
        <v>0.33757947194578353</v>
      </c>
      <c r="N14" s="59">
        <f t="shared" si="10"/>
        <v>0.28288619441452062</v>
      </c>
      <c r="O14" s="59">
        <f t="shared" si="11"/>
        <v>0.20800195008764613</v>
      </c>
      <c r="P14" s="59">
        <f t="shared" si="12"/>
        <v>0.1608785218286497</v>
      </c>
      <c r="Q14" s="99">
        <f t="shared" si="13"/>
        <v>0.25767171654117371</v>
      </c>
      <c r="R14" s="59">
        <f t="shared" si="6"/>
        <v>3.3164782574486589</v>
      </c>
      <c r="S14" s="59">
        <f t="shared" si="6"/>
        <v>4.8235434448874788</v>
      </c>
      <c r="T14" s="59">
        <f t="shared" si="6"/>
        <v>5.874343210656769</v>
      </c>
      <c r="U14" s="59">
        <f t="shared" si="2"/>
        <v>13.422293957853382</v>
      </c>
      <c r="V14" s="59">
        <f t="shared" si="2"/>
        <v>3.1679558766728566</v>
      </c>
      <c r="W14" s="59">
        <f t="shared" si="2"/>
        <v>-1.5012408864462004</v>
      </c>
      <c r="X14" s="99">
        <f t="shared" si="2"/>
        <v>31.087538599356535</v>
      </c>
      <c r="Y14" s="92" t="s">
        <v>25</v>
      </c>
      <c r="Z14" s="23"/>
      <c r="AA14" s="25"/>
      <c r="AB14" s="25"/>
      <c r="AC14" s="25"/>
      <c r="AD14" s="25"/>
      <c r="AE14" s="25"/>
      <c r="AF14" s="9"/>
      <c r="AG14" s="8"/>
      <c r="AN14" s="19" t="str">
        <f>A8</f>
        <v>Europe</v>
      </c>
      <c r="AO14" s="61">
        <f>J8</f>
        <v>4866576.1768800011</v>
      </c>
    </row>
    <row r="15" spans="1:45" s="24" customFormat="1" ht="17.25">
      <c r="A15" s="68" t="s">
        <v>26</v>
      </c>
      <c r="B15" s="21"/>
      <c r="C15" s="22">
        <v>238402.14973000012</v>
      </c>
      <c r="D15" s="22">
        <v>119412.02202000005</v>
      </c>
      <c r="E15" s="22">
        <v>210513.69507999951</v>
      </c>
      <c r="F15" s="22">
        <v>99211.71807000009</v>
      </c>
      <c r="G15" s="22">
        <v>165609.30272000001</v>
      </c>
      <c r="H15" s="22">
        <v>125702.29862999999</v>
      </c>
      <c r="I15" s="22">
        <v>128872.81545000004</v>
      </c>
      <c r="J15" s="86">
        <v>130422.07439999995</v>
      </c>
      <c r="K15" s="59">
        <f t="shared" si="7"/>
        <v>0.26202545653389875</v>
      </c>
      <c r="L15" s="59">
        <f t="shared" si="8"/>
        <v>0.47392541688525147</v>
      </c>
      <c r="M15" s="59">
        <f t="shared" si="9"/>
        <v>0.35112325736621591</v>
      </c>
      <c r="N15" s="59">
        <f t="shared" si="10"/>
        <v>0.43303066516534117</v>
      </c>
      <c r="O15" s="59">
        <f t="shared" si="11"/>
        <v>0.23425451518566492</v>
      </c>
      <c r="P15" s="59">
        <f t="shared" si="12"/>
        <v>0.18858448886157192</v>
      </c>
      <c r="Q15" s="99">
        <f t="shared" si="13"/>
        <v>0.23318629945004621</v>
      </c>
      <c r="R15" s="59">
        <f t="shared" si="6"/>
        <v>-49.911516253004059</v>
      </c>
      <c r="S15" s="59">
        <f t="shared" si="6"/>
        <v>76.29187708147262</v>
      </c>
      <c r="T15" s="59">
        <f t="shared" si="6"/>
        <v>-52.871608646507482</v>
      </c>
      <c r="U15" s="59">
        <f t="shared" si="2"/>
        <v>66.925143462541641</v>
      </c>
      <c r="V15" s="59">
        <f t="shared" si="2"/>
        <v>-24.097078747727014</v>
      </c>
      <c r="W15" s="59">
        <f t="shared" si="2"/>
        <v>2.5222425162902913</v>
      </c>
      <c r="X15" s="99">
        <f t="shared" si="2"/>
        <v>1.2021611730838579</v>
      </c>
      <c r="Y15" s="91" t="s">
        <v>27</v>
      </c>
      <c r="Z15" s="25"/>
      <c r="AB15" s="25"/>
      <c r="AC15" s="25"/>
      <c r="AD15" s="25"/>
      <c r="AE15" s="25"/>
      <c r="AF15" s="9"/>
      <c r="AG15" s="8"/>
      <c r="AN15" s="60" t="str">
        <f>A18</f>
        <v>Asia</v>
      </c>
      <c r="AO15" s="61">
        <f>J18</f>
        <v>30680604.370960005</v>
      </c>
    </row>
    <row r="16" spans="1:45" s="24" customFormat="1" ht="17.25">
      <c r="A16" s="68" t="s">
        <v>29</v>
      </c>
      <c r="B16" s="21"/>
      <c r="C16" s="22">
        <v>58627.86942000001</v>
      </c>
      <c r="D16" s="22">
        <v>85281.880310000226</v>
      </c>
      <c r="E16" s="22">
        <v>88329.118209999913</v>
      </c>
      <c r="F16" s="22">
        <v>47597.556990000005</v>
      </c>
      <c r="G16" s="22">
        <v>75497.493330000201</v>
      </c>
      <c r="H16" s="22">
        <v>79873.493170000191</v>
      </c>
      <c r="I16" s="22">
        <v>60244.052019999966</v>
      </c>
      <c r="J16" s="86">
        <v>85307.558059999952</v>
      </c>
      <c r="K16" s="59">
        <f t="shared" si="7"/>
        <v>0.18713378472524678</v>
      </c>
      <c r="L16" s="59">
        <f t="shared" si="8"/>
        <v>0.19885363826269198</v>
      </c>
      <c r="M16" s="59">
        <f t="shared" si="9"/>
        <v>0.1684539848529899</v>
      </c>
      <c r="N16" s="59">
        <f t="shared" si="10"/>
        <v>0.19740877606543847</v>
      </c>
      <c r="O16" s="59">
        <f t="shared" si="11"/>
        <v>0.14884951685568007</v>
      </c>
      <c r="P16" s="59">
        <f t="shared" si="12"/>
        <v>8.8157410990601898E-2</v>
      </c>
      <c r="Q16" s="99">
        <f t="shared" si="13"/>
        <v>0.1525244393684583</v>
      </c>
      <c r="R16" s="59">
        <f t="shared" si="6"/>
        <v>45.463038574803818</v>
      </c>
      <c r="S16" s="59">
        <f t="shared" si="6"/>
        <v>3.5731363906646481</v>
      </c>
      <c r="T16" s="59">
        <f t="shared" si="6"/>
        <v>-46.113401837842197</v>
      </c>
      <c r="U16" s="59">
        <f t="shared" si="2"/>
        <v>58.616320047396187</v>
      </c>
      <c r="V16" s="59">
        <f t="shared" si="2"/>
        <v>5.7962187179810805</v>
      </c>
      <c r="W16" s="59">
        <f t="shared" si="2"/>
        <v>-24.575663804037653</v>
      </c>
      <c r="X16" s="99">
        <f t="shared" si="2"/>
        <v>41.603287294950448</v>
      </c>
      <c r="Y16" s="91" t="s">
        <v>30</v>
      </c>
      <c r="Z16" s="25"/>
      <c r="AA16" s="25"/>
      <c r="AB16" s="25"/>
      <c r="AC16" s="25"/>
      <c r="AD16" s="25"/>
      <c r="AE16" s="25"/>
      <c r="AF16" s="9"/>
      <c r="AG16" s="8"/>
      <c r="AI16" s="10"/>
      <c r="AJ16" s="10"/>
      <c r="AK16" s="10"/>
      <c r="AL16" s="10"/>
      <c r="AM16" s="10"/>
      <c r="AN16" s="30" t="str">
        <f>A28</f>
        <v>Africa</v>
      </c>
      <c r="AO16" s="61">
        <f>J28</f>
        <v>462314.7164100004</v>
      </c>
      <c r="AP16" s="10"/>
      <c r="AQ16" s="10"/>
      <c r="AR16" s="10"/>
      <c r="AS16" s="10"/>
    </row>
    <row r="17" spans="1:45" s="24" customFormat="1" ht="16.5">
      <c r="A17" s="68" t="s">
        <v>32</v>
      </c>
      <c r="B17" s="21"/>
      <c r="C17" s="22">
        <v>657160.55762999994</v>
      </c>
      <c r="D17" s="22">
        <v>1537626.27853</v>
      </c>
      <c r="E17" s="22">
        <v>1448120.8703499974</v>
      </c>
      <c r="F17" s="22">
        <v>621910.24423000007</v>
      </c>
      <c r="G17" s="22">
        <v>744195.41011999792</v>
      </c>
      <c r="H17" s="22">
        <v>1021264.2615700027</v>
      </c>
      <c r="I17" s="22">
        <v>1044614.4129200001</v>
      </c>
      <c r="J17" s="86">
        <v>1044408.3329400001</v>
      </c>
      <c r="K17" s="59">
        <f t="shared" si="7"/>
        <v>3.3740089213367699</v>
      </c>
      <c r="L17" s="59">
        <f t="shared" si="8"/>
        <v>3.2601265533819408</v>
      </c>
      <c r="M17" s="59">
        <f t="shared" si="9"/>
        <v>2.2010217642777317</v>
      </c>
      <c r="N17" s="59">
        <f t="shared" si="10"/>
        <v>1.9459017589253971</v>
      </c>
      <c r="O17" s="59">
        <f t="shared" si="11"/>
        <v>1.9031932357474908</v>
      </c>
      <c r="P17" s="59">
        <f t="shared" si="12"/>
        <v>1.5286239726358768</v>
      </c>
      <c r="Q17" s="99">
        <f t="shared" si="13"/>
        <v>1.8673350764697738</v>
      </c>
      <c r="R17" s="59">
        <f>((D17-C17)/C17)*100</f>
        <v>133.98030522028489</v>
      </c>
      <c r="S17" s="59">
        <f>((E17-D17)/D17)*100</f>
        <v>-5.8210118693842476</v>
      </c>
      <c r="T17" s="59">
        <f>((F17-E17)/E17)*100</f>
        <v>-57.05398237374412</v>
      </c>
      <c r="U17" s="59">
        <f t="shared" si="2"/>
        <v>19.662831899706308</v>
      </c>
      <c r="V17" s="59">
        <f t="shared" si="2"/>
        <v>37.230658464465499</v>
      </c>
      <c r="W17" s="59">
        <f t="shared" si="2"/>
        <v>2.2863965996519853</v>
      </c>
      <c r="X17" s="99">
        <f t="shared" si="2"/>
        <v>-1.9727851487706869E-2</v>
      </c>
      <c r="Y17" s="92" t="s">
        <v>33</v>
      </c>
      <c r="Z17" s="25"/>
      <c r="AA17" s="25"/>
      <c r="AB17" s="25"/>
      <c r="AC17" s="25"/>
      <c r="AD17" s="25"/>
      <c r="AE17" s="25"/>
      <c r="AF17" s="9"/>
      <c r="AG17" s="8"/>
      <c r="AI17" s="10"/>
      <c r="AJ17" s="10"/>
      <c r="AK17" s="10"/>
      <c r="AL17" s="10"/>
      <c r="AM17" s="10"/>
      <c r="AN17" s="23" t="str">
        <f>A33</f>
        <v>America</v>
      </c>
      <c r="AO17" s="61">
        <f>J33</f>
        <v>2394011.1724299993</v>
      </c>
      <c r="AP17" s="10"/>
      <c r="AQ17" s="10"/>
      <c r="AR17" s="10"/>
      <c r="AS17" s="10"/>
    </row>
    <row r="18" spans="1:45" s="19" customFormat="1" ht="16.5">
      <c r="A18" s="66" t="s">
        <v>20</v>
      </c>
      <c r="B18" s="67"/>
      <c r="C18" s="16">
        <f t="shared" ref="C18:D18" si="16">SUM(C19:C27)</f>
        <v>22551008.430829685</v>
      </c>
      <c r="D18" s="16">
        <f t="shared" si="16"/>
        <v>28143742.830659926</v>
      </c>
      <c r="E18" s="16">
        <f t="shared" ref="E18:I18" si="17">SUM(E19:E27)</f>
        <v>27052345.191849913</v>
      </c>
      <c r="F18" s="16">
        <f t="shared" si="17"/>
        <v>17518757.41934998</v>
      </c>
      <c r="G18" s="16">
        <f t="shared" si="17"/>
        <v>21121089.468200147</v>
      </c>
      <c r="H18" s="16">
        <f t="shared" si="17"/>
        <v>28367157.463770226</v>
      </c>
      <c r="I18" s="16">
        <f t="shared" si="17"/>
        <v>29799903.723730009</v>
      </c>
      <c r="J18" s="17">
        <f t="shared" ref="J18" si="18">SUM(J19:J27)</f>
        <v>30680604.370960005</v>
      </c>
      <c r="K18" s="18">
        <f t="shared" si="7"/>
        <v>61.755733962374315</v>
      </c>
      <c r="L18" s="18">
        <f t="shared" si="8"/>
        <v>60.902422371613561</v>
      </c>
      <c r="M18" s="18">
        <f t="shared" si="9"/>
        <v>62.001175765857006</v>
      </c>
      <c r="N18" s="18">
        <f t="shared" si="10"/>
        <v>55.226845782298284</v>
      </c>
      <c r="O18" s="18">
        <f t="shared" si="11"/>
        <v>52.864066857127376</v>
      </c>
      <c r="P18" s="18">
        <f t="shared" si="12"/>
        <v>43.607331711039109</v>
      </c>
      <c r="Q18" s="98">
        <f t="shared" si="13"/>
        <v>54.854951748529146</v>
      </c>
      <c r="R18" s="18">
        <f t="shared" si="6"/>
        <v>24.800373859043763</v>
      </c>
      <c r="S18" s="18">
        <f t="shared" si="6"/>
        <v>-3.8779406327613208</v>
      </c>
      <c r="T18" s="18">
        <f t="shared" si="6"/>
        <v>-35.241261727549329</v>
      </c>
      <c r="U18" s="18">
        <f t="shared" si="2"/>
        <v>20.562714367351685</v>
      </c>
      <c r="V18" s="18">
        <f t="shared" si="2"/>
        <v>34.307264341073591</v>
      </c>
      <c r="W18" s="18">
        <f t="shared" si="2"/>
        <v>5.0507219899972302</v>
      </c>
      <c r="X18" s="98">
        <f t="shared" si="2"/>
        <v>2.9553808475182537</v>
      </c>
      <c r="Y18" s="90" t="s">
        <v>35</v>
      </c>
      <c r="Z18" s="25"/>
      <c r="AA18" s="23"/>
      <c r="AB18" s="23"/>
      <c r="AC18" s="23"/>
      <c r="AD18" s="23"/>
      <c r="AE18" s="23"/>
      <c r="AF18" s="26"/>
      <c r="AG18" s="14"/>
      <c r="AN18" s="23" t="str">
        <f>A39</f>
        <v>Middle East</v>
      </c>
      <c r="AO18" s="61">
        <f>J39</f>
        <v>16444202.39685999</v>
      </c>
    </row>
    <row r="19" spans="1:45" s="24" customFormat="1" ht="16.5">
      <c r="A19" s="68" t="s">
        <v>36</v>
      </c>
      <c r="B19" s="21"/>
      <c r="C19" s="22">
        <v>4897768.0799900014</v>
      </c>
      <c r="D19" s="22">
        <v>5681714.5460599717</v>
      </c>
      <c r="E19" s="22">
        <v>5453956.1766699832</v>
      </c>
      <c r="F19" s="22">
        <v>3086975.3068500115</v>
      </c>
      <c r="G19" s="22">
        <v>3819253.5418200102</v>
      </c>
      <c r="H19" s="22">
        <v>4939987.0666899905</v>
      </c>
      <c r="I19" s="22">
        <v>4952630.0032600006</v>
      </c>
      <c r="J19" s="86">
        <v>5768922.4286199929</v>
      </c>
      <c r="K19" s="59">
        <f t="shared" si="7"/>
        <v>12.467369889920374</v>
      </c>
      <c r="L19" s="59">
        <f t="shared" si="8"/>
        <v>12.278386229076208</v>
      </c>
      <c r="M19" s="59">
        <f t="shared" si="9"/>
        <v>10.92520970542496</v>
      </c>
      <c r="N19" s="59">
        <f t="shared" si="10"/>
        <v>9.9864794699704653</v>
      </c>
      <c r="O19" s="59">
        <f t="shared" si="11"/>
        <v>9.2059913616785618</v>
      </c>
      <c r="P19" s="59">
        <f t="shared" si="12"/>
        <v>7.2473717162456248</v>
      </c>
      <c r="Q19" s="99">
        <f t="shared" si="13"/>
        <v>10.314463093252794</v>
      </c>
      <c r="R19" s="59">
        <f t="shared" si="6"/>
        <v>16.006198196129588</v>
      </c>
      <c r="S19" s="59">
        <f t="shared" si="6"/>
        <v>-4.0086204180730842</v>
      </c>
      <c r="T19" s="59">
        <f t="shared" si="6"/>
        <v>-43.399337896132067</v>
      </c>
      <c r="U19" s="59">
        <f t="shared" si="2"/>
        <v>23.72154494870983</v>
      </c>
      <c r="V19" s="59">
        <f t="shared" si="2"/>
        <v>29.344308059105995</v>
      </c>
      <c r="W19" s="59">
        <f t="shared" si="2"/>
        <v>0.25593056012758902</v>
      </c>
      <c r="X19" s="99">
        <f t="shared" si="2"/>
        <v>16.481998954548978</v>
      </c>
      <c r="Y19" s="92" t="s">
        <v>37</v>
      </c>
      <c r="Z19" s="25"/>
      <c r="AA19" s="23"/>
      <c r="AB19" s="23"/>
      <c r="AC19" s="23"/>
      <c r="AD19" s="23"/>
      <c r="AE19" s="23"/>
      <c r="AF19" s="9"/>
      <c r="AG19" s="8"/>
      <c r="AH19" s="27"/>
      <c r="AN19" s="23" t="str">
        <f>A44</f>
        <v>Oceania</v>
      </c>
      <c r="AO19" s="62">
        <f>J44</f>
        <v>1082710.195189999</v>
      </c>
    </row>
    <row r="20" spans="1:45" s="29" customFormat="1" ht="16.5">
      <c r="A20" s="68" t="s">
        <v>38</v>
      </c>
      <c r="B20" s="69"/>
      <c r="C20" s="22">
        <v>4424615.0572196795</v>
      </c>
      <c r="D20" s="22">
        <v>4412159.0999900065</v>
      </c>
      <c r="E20" s="22">
        <v>4466600.6893099882</v>
      </c>
      <c r="F20" s="22">
        <v>3720070.9827699633</v>
      </c>
      <c r="G20" s="22">
        <v>4756301.2684099395</v>
      </c>
      <c r="H20" s="22">
        <v>7499824.3041401096</v>
      </c>
      <c r="I20" s="22">
        <v>8385831.9910300039</v>
      </c>
      <c r="J20" s="86">
        <v>7906314.2822300075</v>
      </c>
      <c r="K20" s="59">
        <f t="shared" si="7"/>
        <v>9.6815880253785913</v>
      </c>
      <c r="L20" s="59">
        <f t="shared" si="8"/>
        <v>10.055571885414613</v>
      </c>
      <c r="M20" s="59">
        <f t="shared" si="9"/>
        <v>13.165818176660554</v>
      </c>
      <c r="N20" s="59">
        <f t="shared" si="10"/>
        <v>12.436646179644708</v>
      </c>
      <c r="O20" s="59">
        <f t="shared" si="11"/>
        <v>13.97641670432203</v>
      </c>
      <c r="P20" s="59">
        <f t="shared" si="12"/>
        <v>12.271306669178623</v>
      </c>
      <c r="Q20" s="99">
        <f t="shared" si="13"/>
        <v>14.135982564637573</v>
      </c>
      <c r="R20" s="59">
        <f t="shared" si="6"/>
        <v>-0.28151504862210436</v>
      </c>
      <c r="S20" s="59">
        <f t="shared" si="6"/>
        <v>1.2338990522827009</v>
      </c>
      <c r="T20" s="59">
        <f t="shared" si="6"/>
        <v>-16.713598516355187</v>
      </c>
      <c r="U20" s="59">
        <f t="shared" si="2"/>
        <v>27.855121325357064</v>
      </c>
      <c r="V20" s="59">
        <f t="shared" si="2"/>
        <v>57.68185993498571</v>
      </c>
      <c r="W20" s="59">
        <f t="shared" si="2"/>
        <v>11.813712574583828</v>
      </c>
      <c r="X20" s="99">
        <f t="shared" si="2"/>
        <v>-5.7181888369921756</v>
      </c>
      <c r="Y20" s="92" t="s">
        <v>39</v>
      </c>
      <c r="Z20" s="23"/>
      <c r="AA20" s="25"/>
      <c r="AB20" s="25"/>
      <c r="AC20" s="25"/>
      <c r="AD20" s="25"/>
      <c r="AE20" s="25"/>
      <c r="AF20" s="9"/>
      <c r="AG20" s="8"/>
      <c r="AH20" s="27"/>
      <c r="AI20" s="24"/>
      <c r="AJ20" s="24"/>
      <c r="AK20" s="24"/>
      <c r="AL20" s="24"/>
      <c r="AM20" s="24"/>
      <c r="AN20" s="24"/>
      <c r="AP20" s="24"/>
      <c r="AQ20" s="24"/>
      <c r="AR20" s="24"/>
      <c r="AS20" s="24"/>
    </row>
    <row r="21" spans="1:45" s="24" customFormat="1" ht="17.25">
      <c r="A21" s="68" t="s">
        <v>40</v>
      </c>
      <c r="B21" s="69"/>
      <c r="C21" s="22">
        <v>2676860.6926400121</v>
      </c>
      <c r="D21" s="22">
        <v>3575094.8297199877</v>
      </c>
      <c r="E21" s="22">
        <v>2945546.690809994</v>
      </c>
      <c r="F21" s="22">
        <v>2134820.5277700014</v>
      </c>
      <c r="G21" s="22">
        <v>2035720.68771996</v>
      </c>
      <c r="H21" s="22">
        <v>3336050.9902600199</v>
      </c>
      <c r="I21" s="22">
        <v>3157509.7115799948</v>
      </c>
      <c r="J21" s="86">
        <v>2752471.44700999</v>
      </c>
      <c r="K21" s="59">
        <f t="shared" si="7"/>
        <v>7.844820304210776</v>
      </c>
      <c r="L21" s="59">
        <f t="shared" si="8"/>
        <v>6.6312523889080097</v>
      </c>
      <c r="M21" s="59">
        <f t="shared" si="9"/>
        <v>7.5554093022962041</v>
      </c>
      <c r="N21" s="59">
        <f t="shared" si="10"/>
        <v>5.32294665224601</v>
      </c>
      <c r="O21" s="59">
        <f t="shared" si="11"/>
        <v>6.2169508105678348</v>
      </c>
      <c r="P21" s="59">
        <f t="shared" si="12"/>
        <v>4.6205039670665666</v>
      </c>
      <c r="Q21" s="99">
        <f t="shared" si="13"/>
        <v>4.9212423128747114</v>
      </c>
      <c r="R21" s="59">
        <f t="shared" si="6"/>
        <v>33.555505504999076</v>
      </c>
      <c r="S21" s="59">
        <f t="shared" si="6"/>
        <v>-17.609271051400384</v>
      </c>
      <c r="T21" s="59">
        <f t="shared" si="6"/>
        <v>-27.52379263141307</v>
      </c>
      <c r="U21" s="59">
        <f t="shared" si="2"/>
        <v>-4.6420689121609442</v>
      </c>
      <c r="V21" s="59">
        <f t="shared" si="2"/>
        <v>63.875673631653797</v>
      </c>
      <c r="W21" s="59">
        <f t="shared" si="2"/>
        <v>-5.3518749923576321</v>
      </c>
      <c r="X21" s="99">
        <f t="shared" si="2"/>
        <v>-12.82777573365963</v>
      </c>
      <c r="Y21" s="92" t="s">
        <v>41</v>
      </c>
      <c r="Z21" s="23"/>
      <c r="AA21" s="25"/>
      <c r="AB21" s="25"/>
      <c r="AC21" s="25"/>
      <c r="AD21" s="25"/>
      <c r="AE21" s="25"/>
      <c r="AF21" s="9"/>
      <c r="AG21" s="8"/>
      <c r="AH21" s="28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s="24" customFormat="1" ht="16.5">
      <c r="A22" s="68" t="s">
        <v>42</v>
      </c>
      <c r="B22" s="69"/>
      <c r="C22" s="22">
        <v>2376884.430870004</v>
      </c>
      <c r="D22" s="22">
        <v>2544912.7784099951</v>
      </c>
      <c r="E22" s="22">
        <v>2545413.8107299991</v>
      </c>
      <c r="F22" s="22">
        <v>1800562.7032199972</v>
      </c>
      <c r="G22" s="22">
        <v>2089814.8058100301</v>
      </c>
      <c r="H22" s="22">
        <v>2406599.8651900003</v>
      </c>
      <c r="I22" s="22">
        <v>2496351.5639999956</v>
      </c>
      <c r="J22" s="86">
        <v>2472109.3432400068</v>
      </c>
      <c r="K22" s="59">
        <f t="shared" si="7"/>
        <v>5.5842947914418986</v>
      </c>
      <c r="L22" s="59">
        <f t="shared" si="8"/>
        <v>5.7304409622246135</v>
      </c>
      <c r="M22" s="59">
        <f t="shared" si="9"/>
        <v>6.3724271058450368</v>
      </c>
      <c r="N22" s="59">
        <f t="shared" si="10"/>
        <v>5.464390469431085</v>
      </c>
      <c r="O22" s="59">
        <f t="shared" si="11"/>
        <v>4.4848574036451589</v>
      </c>
      <c r="P22" s="59">
        <f t="shared" si="12"/>
        <v>3.6530061213598226</v>
      </c>
      <c r="Q22" s="99">
        <f t="shared" si="13"/>
        <v>4.4199728630142188</v>
      </c>
      <c r="R22" s="59">
        <f t="shared" si="6"/>
        <v>7.0692687182307896</v>
      </c>
      <c r="S22" s="59">
        <f t="shared" si="6"/>
        <v>1.9687602822953735E-2</v>
      </c>
      <c r="T22" s="59">
        <f t="shared" si="6"/>
        <v>-29.262476080318983</v>
      </c>
      <c r="U22" s="59">
        <f t="shared" si="2"/>
        <v>16.064539272792619</v>
      </c>
      <c r="V22" s="59">
        <f t="shared" si="2"/>
        <v>15.158523066218855</v>
      </c>
      <c r="W22" s="59">
        <f t="shared" si="2"/>
        <v>3.7293984807445106</v>
      </c>
      <c r="X22" s="99">
        <f t="shared" si="2"/>
        <v>-0.97110603769064341</v>
      </c>
      <c r="Y22" s="92" t="s">
        <v>43</v>
      </c>
      <c r="Z22" s="25"/>
      <c r="AA22" s="30"/>
      <c r="AB22" s="30"/>
      <c r="AC22" s="30"/>
      <c r="AD22" s="30"/>
      <c r="AE22" s="30"/>
      <c r="AF22" s="9"/>
      <c r="AG22" s="8"/>
      <c r="AH22" s="31"/>
      <c r="AI22" s="10"/>
      <c r="AJ22" s="10"/>
      <c r="AK22" s="10"/>
      <c r="AL22" s="10"/>
      <c r="AM22" s="10"/>
      <c r="AN22" s="10"/>
      <c r="AO22" s="25">
        <f>SUM(AO14:AO19)</f>
        <v>55930419.028729998</v>
      </c>
      <c r="AP22" s="10"/>
      <c r="AQ22" s="10"/>
      <c r="AR22" s="10"/>
      <c r="AS22" s="10"/>
    </row>
    <row r="23" spans="1:45" s="29" customFormat="1" ht="17.25">
      <c r="A23" s="68" t="s">
        <v>44</v>
      </c>
      <c r="B23" s="69"/>
      <c r="C23" s="22">
        <v>1693528.7112799997</v>
      </c>
      <c r="D23" s="22">
        <v>1912015.6626200024</v>
      </c>
      <c r="E23" s="22">
        <v>1835671.9262900061</v>
      </c>
      <c r="F23" s="22">
        <v>925020.05542000034</v>
      </c>
      <c r="G23" s="22">
        <v>1076217.17979</v>
      </c>
      <c r="H23" s="22">
        <v>1542464.4815799799</v>
      </c>
      <c r="I23" s="22">
        <v>1389001.4660300007</v>
      </c>
      <c r="J23" s="86">
        <v>1447760.773860001</v>
      </c>
      <c r="K23" s="59">
        <f t="shared" si="7"/>
        <v>4.1955304702407616</v>
      </c>
      <c r="L23" s="59">
        <f t="shared" si="8"/>
        <v>4.1326127623237845</v>
      </c>
      <c r="M23" s="59">
        <f t="shared" si="9"/>
        <v>3.2737670640778953</v>
      </c>
      <c r="N23" s="59">
        <f t="shared" si="10"/>
        <v>2.8140631810688133</v>
      </c>
      <c r="O23" s="59">
        <f t="shared" si="11"/>
        <v>2.8744841841531104</v>
      </c>
      <c r="P23" s="59">
        <f t="shared" si="12"/>
        <v>2.0325786364221292</v>
      </c>
      <c r="Q23" s="99">
        <f t="shared" si="13"/>
        <v>2.588503356494297</v>
      </c>
      <c r="R23" s="59">
        <f t="shared" si="6"/>
        <v>12.90128415802684</v>
      </c>
      <c r="S23" s="59">
        <f t="shared" si="6"/>
        <v>-3.9928405306776487</v>
      </c>
      <c r="T23" s="59">
        <f t="shared" si="6"/>
        <v>-49.60863963913657</v>
      </c>
      <c r="U23" s="59">
        <f t="shared" ref="U23:X40" si="19">((G23-F23)/F23)*100</f>
        <v>16.345280676249704</v>
      </c>
      <c r="V23" s="59">
        <f t="shared" si="19"/>
        <v>43.322789353814052</v>
      </c>
      <c r="W23" s="59">
        <f t="shared" si="19"/>
        <v>-9.9492090341544639</v>
      </c>
      <c r="X23" s="99">
        <f t="shared" si="19"/>
        <v>4.2303272722918184</v>
      </c>
      <c r="Y23" s="92" t="s">
        <v>45</v>
      </c>
      <c r="Z23" s="25"/>
      <c r="AA23" s="8"/>
      <c r="AB23" s="8"/>
      <c r="AC23" s="8"/>
      <c r="AD23" s="8"/>
      <c r="AE23" s="8"/>
      <c r="AF23" s="9"/>
      <c r="AG23" s="8"/>
      <c r="AH23" s="28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s="29" customFormat="1" ht="17.25">
      <c r="A24" s="68" t="s">
        <v>46</v>
      </c>
      <c r="B24" s="69"/>
      <c r="C24" s="22">
        <v>4317657.572809997</v>
      </c>
      <c r="D24" s="22">
        <v>7516024.4676699685</v>
      </c>
      <c r="E24" s="22">
        <v>7222029.9398099482</v>
      </c>
      <c r="F24" s="22">
        <v>4116015.7588700042</v>
      </c>
      <c r="G24" s="22">
        <v>4811068.5544502093</v>
      </c>
      <c r="H24" s="22">
        <v>5868150.6648401096</v>
      </c>
      <c r="I24" s="22">
        <v>6241492.8779100003</v>
      </c>
      <c r="J24" s="86">
        <v>7474227.0394700086</v>
      </c>
      <c r="K24" s="59">
        <f t="shared" si="7"/>
        <v>16.492390876115707</v>
      </c>
      <c r="L24" s="59">
        <f t="shared" si="8"/>
        <v>16.258816551965893</v>
      </c>
      <c r="M24" s="59">
        <f t="shared" si="9"/>
        <v>14.567118569657399</v>
      </c>
      <c r="N24" s="59">
        <f t="shared" si="10"/>
        <v>12.579850177933471</v>
      </c>
      <c r="O24" s="59">
        <f t="shared" si="11"/>
        <v>10.935685377359414</v>
      </c>
      <c r="P24" s="59">
        <f t="shared" si="12"/>
        <v>9.133413745977089</v>
      </c>
      <c r="Q24" s="99">
        <f t="shared" si="13"/>
        <v>13.363438302921873</v>
      </c>
      <c r="R24" s="59">
        <f t="shared" si="6"/>
        <v>74.076437070909861</v>
      </c>
      <c r="S24" s="59">
        <f t="shared" si="6"/>
        <v>-3.9115695953975669</v>
      </c>
      <c r="T24" s="59">
        <f t="shared" si="6"/>
        <v>-43.007495217081313</v>
      </c>
      <c r="U24" s="59">
        <f t="shared" si="19"/>
        <v>16.886543596981326</v>
      </c>
      <c r="V24" s="59">
        <f t="shared" si="19"/>
        <v>21.971877939924713</v>
      </c>
      <c r="W24" s="59">
        <f t="shared" si="19"/>
        <v>6.3621783828221314</v>
      </c>
      <c r="X24" s="99">
        <f t="shared" si="19"/>
        <v>19.750629948211948</v>
      </c>
      <c r="Y24" s="92" t="s">
        <v>47</v>
      </c>
      <c r="Z24" s="30"/>
      <c r="AA24" s="8"/>
      <c r="AB24" s="8"/>
      <c r="AC24" s="8"/>
      <c r="AD24" s="8"/>
      <c r="AE24" s="8"/>
      <c r="AF24" s="9"/>
      <c r="AG24" s="8"/>
      <c r="AH24" s="28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</row>
    <row r="25" spans="1:45" s="29" customFormat="1" ht="17.25">
      <c r="A25" s="68" t="s">
        <v>48</v>
      </c>
      <c r="B25" s="69"/>
      <c r="C25" s="22">
        <v>711309.59093999816</v>
      </c>
      <c r="D25" s="22">
        <v>968624.93123999774</v>
      </c>
      <c r="E25" s="22">
        <v>874723.88217999809</v>
      </c>
      <c r="F25" s="22">
        <v>560688.25997999997</v>
      </c>
      <c r="G25" s="22">
        <v>750169.18241999496</v>
      </c>
      <c r="H25" s="22">
        <v>747580.50541000289</v>
      </c>
      <c r="I25" s="22">
        <v>962158.11223000113</v>
      </c>
      <c r="J25" s="86">
        <v>767557.3343499992</v>
      </c>
      <c r="K25" s="59">
        <f t="shared" si="7"/>
        <v>2.1254509012146832</v>
      </c>
      <c r="L25" s="59">
        <f t="shared" si="8"/>
        <v>1.9692489857446198</v>
      </c>
      <c r="M25" s="59">
        <f t="shared" si="9"/>
        <v>1.9843491478725193</v>
      </c>
      <c r="N25" s="59">
        <f t="shared" si="10"/>
        <v>1.9615218149858202</v>
      </c>
      <c r="O25" s="59">
        <f t="shared" si="11"/>
        <v>1.3931655249403661</v>
      </c>
      <c r="P25" s="59">
        <f t="shared" si="12"/>
        <v>1.4079625339550979</v>
      </c>
      <c r="Q25" s="99">
        <f t="shared" si="13"/>
        <v>1.3723432573528995</v>
      </c>
      <c r="R25" s="59">
        <f t="shared" si="6"/>
        <v>36.174872879185621</v>
      </c>
      <c r="S25" s="59">
        <f t="shared" si="6"/>
        <v>-9.6942630766060294</v>
      </c>
      <c r="T25" s="59">
        <f t="shared" si="6"/>
        <v>-35.901114465670531</v>
      </c>
      <c r="U25" s="59">
        <f t="shared" si="19"/>
        <v>33.794344551953678</v>
      </c>
      <c r="V25" s="59">
        <f t="shared" si="19"/>
        <v>-0.34507909291090472</v>
      </c>
      <c r="W25" s="59">
        <f t="shared" si="19"/>
        <v>28.702943063277893</v>
      </c>
      <c r="X25" s="99">
        <f t="shared" si="19"/>
        <v>-20.225446878889191</v>
      </c>
      <c r="Y25" s="92" t="s">
        <v>49</v>
      </c>
      <c r="Z25" s="8"/>
      <c r="AA25" s="8"/>
      <c r="AB25" s="8"/>
      <c r="AC25" s="8"/>
      <c r="AD25" s="8"/>
      <c r="AE25" s="8"/>
      <c r="AF25" s="9"/>
      <c r="AG25" s="8"/>
      <c r="AH25" s="28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</row>
    <row r="26" spans="1:45" s="29" customFormat="1" ht="17.25">
      <c r="A26" s="68" t="s">
        <v>50</v>
      </c>
      <c r="B26" s="69"/>
      <c r="C26" s="22">
        <v>359290.91390999948</v>
      </c>
      <c r="D26" s="22">
        <v>317407.52254000033</v>
      </c>
      <c r="E26" s="22">
        <v>542973.62313000008</v>
      </c>
      <c r="F26" s="22">
        <v>285612.11608000036</v>
      </c>
      <c r="G26" s="22">
        <v>595949.09549000592</v>
      </c>
      <c r="H26" s="22">
        <v>587973.18937000097</v>
      </c>
      <c r="I26" s="22">
        <v>644005.50025999872</v>
      </c>
      <c r="J26" s="86">
        <v>736089.32456999889</v>
      </c>
      <c r="K26" s="59">
        <f t="shared" si="7"/>
        <v>0.69648641396347499</v>
      </c>
      <c r="L26" s="59">
        <f t="shared" si="8"/>
        <v>1.2223860333732226</v>
      </c>
      <c r="M26" s="59">
        <f t="shared" si="9"/>
        <v>1.0108186663042171</v>
      </c>
      <c r="N26" s="59">
        <f t="shared" si="10"/>
        <v>1.55827135907357</v>
      </c>
      <c r="O26" s="59">
        <f t="shared" si="11"/>
        <v>1.0957267760350005</v>
      </c>
      <c r="P26" s="59">
        <f t="shared" si="12"/>
        <v>0.94239772497010932</v>
      </c>
      <c r="Q26" s="99">
        <f t="shared" si="13"/>
        <v>1.3160804752631821</v>
      </c>
      <c r="R26" s="59">
        <f t="shared" si="6"/>
        <v>-11.657236447813631</v>
      </c>
      <c r="S26" s="59">
        <f t="shared" si="6"/>
        <v>71.065140102838441</v>
      </c>
      <c r="T26" s="59">
        <f t="shared" si="6"/>
        <v>-47.398528415878793</v>
      </c>
      <c r="U26" s="59">
        <f t="shared" si="19"/>
        <v>108.65679778202397</v>
      </c>
      <c r="V26" s="59">
        <f t="shared" si="19"/>
        <v>-1.3383535909970525</v>
      </c>
      <c r="W26" s="59">
        <f t="shared" si="19"/>
        <v>9.5297390940622666</v>
      </c>
      <c r="X26" s="99">
        <f t="shared" si="19"/>
        <v>14.298608361702497</v>
      </c>
      <c r="Y26" s="92" t="s">
        <v>51</v>
      </c>
      <c r="Z26" s="8"/>
      <c r="AA26" s="8"/>
      <c r="AB26" s="8"/>
      <c r="AC26" s="8"/>
      <c r="AD26" s="8"/>
      <c r="AE26" s="8"/>
      <c r="AF26" s="9"/>
      <c r="AG26" s="8"/>
      <c r="AH26" s="28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s="29" customFormat="1" ht="18">
      <c r="A27" s="68" t="s">
        <v>32</v>
      </c>
      <c r="B27" s="69"/>
      <c r="C27" s="22">
        <v>1093093.3811699986</v>
      </c>
      <c r="D27" s="22">
        <v>1215788.9924100002</v>
      </c>
      <c r="E27" s="22">
        <v>1165428.4529199982</v>
      </c>
      <c r="F27" s="22">
        <v>888991.70839000028</v>
      </c>
      <c r="G27" s="22">
        <v>1186595.1522899976</v>
      </c>
      <c r="H27" s="22">
        <v>1438526.3962900119</v>
      </c>
      <c r="I27" s="22">
        <v>1570922.4974300079</v>
      </c>
      <c r="J27" s="86">
        <v>1355152.3976100006</v>
      </c>
      <c r="K27" s="59">
        <f t="shared" si="7"/>
        <v>2.6678022898880553</v>
      </c>
      <c r="L27" s="59">
        <f t="shared" si="8"/>
        <v>2.6237065725825985</v>
      </c>
      <c r="M27" s="59">
        <f t="shared" si="9"/>
        <v>3.1462580277182144</v>
      </c>
      <c r="N27" s="59">
        <f t="shared" si="10"/>
        <v>3.1026764779443354</v>
      </c>
      <c r="O27" s="59">
        <f t="shared" si="11"/>
        <v>2.6807887144259017</v>
      </c>
      <c r="P27" s="59">
        <f t="shared" si="12"/>
        <v>2.2987905958640402</v>
      </c>
      <c r="Q27" s="99">
        <f t="shared" si="13"/>
        <v>2.4229255227176005</v>
      </c>
      <c r="R27" s="59">
        <f t="shared" si="6"/>
        <v>11.224623015160306</v>
      </c>
      <c r="S27" s="59">
        <f t="shared" si="6"/>
        <v>-4.1422105155085092</v>
      </c>
      <c r="T27" s="59">
        <f t="shared" si="6"/>
        <v>-23.719752494233479</v>
      </c>
      <c r="U27" s="59">
        <f t="shared" si="19"/>
        <v>33.47651514534023</v>
      </c>
      <c r="V27" s="59">
        <f t="shared" si="19"/>
        <v>21.231440522390045</v>
      </c>
      <c r="W27" s="59">
        <f t="shared" si="19"/>
        <v>9.2035920565273006</v>
      </c>
      <c r="X27" s="99">
        <f t="shared" si="19"/>
        <v>-13.735247930626885</v>
      </c>
      <c r="Y27" s="91" t="s">
        <v>33</v>
      </c>
      <c r="Z27" s="8"/>
      <c r="AA27" s="8"/>
      <c r="AB27" s="8"/>
      <c r="AC27" s="8"/>
      <c r="AD27" s="8"/>
      <c r="AE27" s="8"/>
      <c r="AF27" s="9"/>
      <c r="AG27" s="8"/>
      <c r="AH27" s="28"/>
      <c r="AI27" s="10"/>
      <c r="AJ27" s="10"/>
      <c r="AK27" s="10"/>
      <c r="AL27" s="10"/>
      <c r="AM27" s="10"/>
      <c r="AN27" s="57">
        <v>2016</v>
      </c>
      <c r="AO27" s="12">
        <v>2017</v>
      </c>
      <c r="AP27" s="12">
        <v>2018</v>
      </c>
      <c r="AQ27" s="12">
        <v>2019</v>
      </c>
      <c r="AR27" s="12">
        <v>2020</v>
      </c>
    </row>
    <row r="28" spans="1:45" s="32" customFormat="1" ht="16.5">
      <c r="A28" s="66" t="s">
        <v>34</v>
      </c>
      <c r="B28" s="70"/>
      <c r="C28" s="16">
        <f t="shared" ref="C28:D28" si="20">SUM(C29:C32)</f>
        <v>269290.94461000018</v>
      </c>
      <c r="D28" s="16">
        <f t="shared" si="20"/>
        <v>327869.58846000029</v>
      </c>
      <c r="E28" s="16">
        <f t="shared" ref="E28:I28" si="21">SUM(E29:E32)</f>
        <v>389073.48913999973</v>
      </c>
      <c r="F28" s="16">
        <f t="shared" si="21"/>
        <v>240954.22769999999</v>
      </c>
      <c r="G28" s="16">
        <f t="shared" si="21"/>
        <v>329515.41650999995</v>
      </c>
      <c r="H28" s="16">
        <f t="shared" si="21"/>
        <v>551822.05403999996</v>
      </c>
      <c r="I28" s="16">
        <f t="shared" si="21"/>
        <v>570124.03149999969</v>
      </c>
      <c r="J28" s="17">
        <f t="shared" ref="J28" si="22">SUM(J29:J32)</f>
        <v>462314.7164100004</v>
      </c>
      <c r="K28" s="18">
        <f t="shared" si="7"/>
        <v>0.71944329512671823</v>
      </c>
      <c r="L28" s="18">
        <f t="shared" si="8"/>
        <v>0.87591363340803574</v>
      </c>
      <c r="M28" s="18">
        <f t="shared" si="9"/>
        <v>0.85276855347360281</v>
      </c>
      <c r="N28" s="18">
        <f t="shared" si="10"/>
        <v>0.86160787860335308</v>
      </c>
      <c r="O28" s="18">
        <f t="shared" si="11"/>
        <v>1.0283567535896063</v>
      </c>
      <c r="P28" s="18">
        <f t="shared" si="12"/>
        <v>0.83428416375244274</v>
      </c>
      <c r="Q28" s="98">
        <f t="shared" si="13"/>
        <v>0.82658904481391682</v>
      </c>
      <c r="R28" s="18">
        <f t="shared" si="6"/>
        <v>21.75292003778161</v>
      </c>
      <c r="S28" s="18">
        <f t="shared" si="6"/>
        <v>18.667147803330423</v>
      </c>
      <c r="T28" s="18">
        <f t="shared" si="6"/>
        <v>-38.069738898787378</v>
      </c>
      <c r="U28" s="18">
        <f t="shared" si="19"/>
        <v>36.75436187833278</v>
      </c>
      <c r="V28" s="18">
        <f t="shared" ref="V28:X42" si="23">((H28-G28)/G28)*100</f>
        <v>67.464715273269633</v>
      </c>
      <c r="W28" s="18">
        <f t="shared" si="23"/>
        <v>3.3166447998965038</v>
      </c>
      <c r="X28" s="98">
        <f t="shared" si="23"/>
        <v>-18.909800172140148</v>
      </c>
      <c r="Y28" s="90" t="s">
        <v>52</v>
      </c>
      <c r="Z28" s="8"/>
      <c r="AA28" s="14"/>
      <c r="AB28" s="14"/>
      <c r="AC28" s="14"/>
      <c r="AD28" s="14"/>
      <c r="AE28" s="14"/>
      <c r="AF28" s="15"/>
      <c r="AG28" s="8"/>
      <c r="AH28" s="24"/>
      <c r="AI28" s="19"/>
      <c r="AJ28" s="19"/>
      <c r="AK28" s="19"/>
      <c r="AL28" s="19"/>
      <c r="AM28" s="19" t="s">
        <v>85</v>
      </c>
      <c r="AN28" s="19">
        <v>32705613.741919942</v>
      </c>
      <c r="AO28" s="19">
        <v>36319895.400504716</v>
      </c>
      <c r="AP28" s="19">
        <v>45572679.692879952</v>
      </c>
      <c r="AQ28" s="19">
        <v>44419161.239239857</v>
      </c>
      <c r="AR28" s="19">
        <v>28255524.516999986</v>
      </c>
    </row>
    <row r="29" spans="1:45" s="29" customFormat="1" ht="16.5">
      <c r="A29" s="68" t="s">
        <v>53</v>
      </c>
      <c r="B29" s="69"/>
      <c r="C29" s="22">
        <v>138067.68432000012</v>
      </c>
      <c r="D29" s="22">
        <v>191187.71241000015</v>
      </c>
      <c r="E29" s="22">
        <v>204009.01861999978</v>
      </c>
      <c r="F29" s="22">
        <v>150875.89047000001</v>
      </c>
      <c r="G29" s="22">
        <v>168559.62787999999</v>
      </c>
      <c r="H29" s="22">
        <v>259420.88183000003</v>
      </c>
      <c r="I29" s="22">
        <v>253037.87269999977</v>
      </c>
      <c r="J29" s="86">
        <v>252963.42732000037</v>
      </c>
      <c r="K29" s="59">
        <f t="shared" si="7"/>
        <v>0.4195226475564709</v>
      </c>
      <c r="L29" s="59">
        <f t="shared" si="8"/>
        <v>0.45928156437086964</v>
      </c>
      <c r="M29" s="59">
        <f t="shared" si="9"/>
        <v>0.53396952648755569</v>
      </c>
      <c r="N29" s="59">
        <f t="shared" si="10"/>
        <v>0.44074509452109339</v>
      </c>
      <c r="O29" s="59">
        <f t="shared" si="11"/>
        <v>0.48344790480721489</v>
      </c>
      <c r="P29" s="59">
        <f t="shared" si="12"/>
        <v>0.37027993622334532</v>
      </c>
      <c r="Q29" s="99">
        <f t="shared" si="13"/>
        <v>0.45228237462347576</v>
      </c>
      <c r="R29" s="59">
        <f t="shared" si="6"/>
        <v>38.473903833197852</v>
      </c>
      <c r="S29" s="59">
        <f t="shared" si="6"/>
        <v>6.7061350587764066</v>
      </c>
      <c r="T29" s="59">
        <f t="shared" si="6"/>
        <v>-26.044499654678955</v>
      </c>
      <c r="U29" s="59">
        <f t="shared" si="19"/>
        <v>11.720717839618111</v>
      </c>
      <c r="V29" s="59">
        <f t="shared" si="23"/>
        <v>53.904517405962402</v>
      </c>
      <c r="W29" s="59">
        <f t="shared" si="23"/>
        <v>-2.4604839382910875</v>
      </c>
      <c r="X29" s="99">
        <f t="shared" si="23"/>
        <v>-2.942064727507018E-2</v>
      </c>
      <c r="Y29" s="92" t="s">
        <v>54</v>
      </c>
      <c r="Z29" s="8"/>
      <c r="AA29" s="8"/>
      <c r="AB29" s="8"/>
      <c r="AC29" s="8"/>
      <c r="AD29" s="8"/>
      <c r="AE29" s="8"/>
      <c r="AF29" s="9"/>
      <c r="AG29" s="8"/>
      <c r="AI29" s="24"/>
      <c r="AJ29" s="24"/>
      <c r="AK29" s="24"/>
      <c r="AL29" s="24"/>
      <c r="AM29" s="24" t="s">
        <v>86</v>
      </c>
      <c r="AN29" s="83">
        <v>12.206193478145542</v>
      </c>
      <c r="AO29" s="83">
        <v>11.050951946980959</v>
      </c>
      <c r="AP29" s="83">
        <v>25.475801046075304</v>
      </c>
      <c r="AQ29" s="83">
        <v>-2.5311622257321766</v>
      </c>
      <c r="AR29" s="83">
        <v>-36.388883246090934</v>
      </c>
    </row>
    <row r="30" spans="1:45" s="29" customFormat="1" ht="16.5">
      <c r="A30" s="33" t="s">
        <v>55</v>
      </c>
      <c r="B30" s="71"/>
      <c r="C30" s="22">
        <v>53064.23605</v>
      </c>
      <c r="D30" s="22">
        <v>32939.792019999979</v>
      </c>
      <c r="E30" s="22">
        <v>65966.815880000038</v>
      </c>
      <c r="F30" s="22">
        <v>9183.510279999995</v>
      </c>
      <c r="G30" s="22">
        <v>15026.034119999998</v>
      </c>
      <c r="H30" s="22">
        <v>12915.94385</v>
      </c>
      <c r="I30" s="22">
        <v>13785.641159999996</v>
      </c>
      <c r="J30" s="86">
        <v>33946.464930000024</v>
      </c>
      <c r="K30" s="59">
        <f t="shared" si="7"/>
        <v>7.2279690906888516E-2</v>
      </c>
      <c r="L30" s="59">
        <f t="shared" si="8"/>
        <v>0.14850981882504571</v>
      </c>
      <c r="M30" s="59">
        <f t="shared" si="9"/>
        <v>3.2501645030424825E-2</v>
      </c>
      <c r="N30" s="59">
        <f t="shared" si="10"/>
        <v>3.9289662131974649E-2</v>
      </c>
      <c r="O30" s="59">
        <f t="shared" si="11"/>
        <v>2.406971231013694E-2</v>
      </c>
      <c r="P30" s="59">
        <f t="shared" si="12"/>
        <v>2.0173052654353613E-2</v>
      </c>
      <c r="Q30" s="99">
        <f t="shared" si="13"/>
        <v>6.0694100847988652E-2</v>
      </c>
      <c r="R30" s="59">
        <f t="shared" si="6"/>
        <v>-37.924684359985278</v>
      </c>
      <c r="S30" s="59">
        <f>((E30-D30)/D30)*100</f>
        <v>100.26482207279</v>
      </c>
      <c r="T30" s="59">
        <f>((F30-E30)/E30)*100</f>
        <v>-86.07859094380774</v>
      </c>
      <c r="U30" s="59">
        <f t="shared" si="19"/>
        <v>63.619723415826648</v>
      </c>
      <c r="V30" s="59">
        <f t="shared" si="23"/>
        <v>-14.042895504885216</v>
      </c>
      <c r="W30" s="59">
        <f t="shared" si="23"/>
        <v>6.7335172721426471</v>
      </c>
      <c r="X30" s="99">
        <f t="shared" si="23"/>
        <v>146.24509325324723</v>
      </c>
      <c r="Y30" s="92" t="s">
        <v>56</v>
      </c>
      <c r="Z30" s="14"/>
      <c r="AA30" s="8"/>
      <c r="AB30" s="8"/>
      <c r="AC30" s="8"/>
      <c r="AD30" s="8"/>
      <c r="AE30" s="8"/>
      <c r="AF30" s="9"/>
      <c r="AG30" s="8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</row>
    <row r="31" spans="1:45" s="29" customFormat="1" ht="16.5">
      <c r="A31" s="33" t="s">
        <v>57</v>
      </c>
      <c r="B31" s="71"/>
      <c r="C31" s="22">
        <v>62817.488380000046</v>
      </c>
      <c r="D31" s="22">
        <v>80301.477780000161</v>
      </c>
      <c r="E31" s="22">
        <v>83870.717819999962</v>
      </c>
      <c r="F31" s="22">
        <v>62429.433850000016</v>
      </c>
      <c r="G31" s="22">
        <v>121283.15768999999</v>
      </c>
      <c r="H31" s="22">
        <v>151639.80541999999</v>
      </c>
      <c r="I31" s="22">
        <v>224099.2827699999</v>
      </c>
      <c r="J31" s="86">
        <v>134551.23883999995</v>
      </c>
      <c r="K31" s="59">
        <f t="shared" si="7"/>
        <v>0.17620530177545399</v>
      </c>
      <c r="L31" s="59">
        <f t="shared" si="8"/>
        <v>0.18881652755277292</v>
      </c>
      <c r="M31" s="59">
        <f t="shared" si="9"/>
        <v>0.2209459385984473</v>
      </c>
      <c r="N31" s="59">
        <f t="shared" si="10"/>
        <v>0.31712787618367949</v>
      </c>
      <c r="O31" s="59">
        <f t="shared" si="11"/>
        <v>0.28259076793869342</v>
      </c>
      <c r="P31" s="59">
        <f t="shared" si="12"/>
        <v>0.32793299772225387</v>
      </c>
      <c r="Q31" s="99">
        <f t="shared" si="13"/>
        <v>0.24056898048785308</v>
      </c>
      <c r="R31" s="59">
        <f t="shared" si="6"/>
        <v>27.832996592023413</v>
      </c>
      <c r="S31" s="59">
        <f t="shared" si="6"/>
        <v>4.4447999447511455</v>
      </c>
      <c r="T31" s="59">
        <f t="shared" si="6"/>
        <v>-25.564683989013169</v>
      </c>
      <c r="U31" s="59">
        <f t="shared" si="19"/>
        <v>94.272397185930856</v>
      </c>
      <c r="V31" s="59">
        <f t="shared" si="23"/>
        <v>25.029565776636236</v>
      </c>
      <c r="W31" s="59">
        <f t="shared" si="23"/>
        <v>47.783942447899719</v>
      </c>
      <c r="X31" s="99">
        <f t="shared" si="23"/>
        <v>-39.959094390277862</v>
      </c>
      <c r="Y31" s="92" t="s">
        <v>58</v>
      </c>
      <c r="Z31" s="14"/>
      <c r="AA31" s="8"/>
      <c r="AB31" s="8"/>
      <c r="AC31" s="8"/>
      <c r="AD31" s="8"/>
      <c r="AE31" s="8"/>
      <c r="AF31" s="9"/>
      <c r="AG31" s="8"/>
      <c r="AH31" s="24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s="29" customFormat="1" ht="16.5">
      <c r="A32" s="68" t="s">
        <v>32</v>
      </c>
      <c r="B32" s="69"/>
      <c r="C32" s="22">
        <v>15341.535860000004</v>
      </c>
      <c r="D32" s="22">
        <v>23440.606249999997</v>
      </c>
      <c r="E32" s="22">
        <v>35226.93681999993</v>
      </c>
      <c r="F32" s="22">
        <v>18465.393100000001</v>
      </c>
      <c r="G32" s="22">
        <v>24646.596819999984</v>
      </c>
      <c r="H32" s="22">
        <v>127845.42293999997</v>
      </c>
      <c r="I32" s="22">
        <v>79201.23487</v>
      </c>
      <c r="J32" s="86">
        <v>40853.585320000049</v>
      </c>
      <c r="K32" s="59">
        <f t="shared" si="7"/>
        <v>5.1435654887904775E-2</v>
      </c>
      <c r="L32" s="59">
        <f t="shared" si="8"/>
        <v>7.9305722659347461E-2</v>
      </c>
      <c r="M32" s="59">
        <f t="shared" si="9"/>
        <v>6.5351443357175215E-2</v>
      </c>
      <c r="N32" s="59">
        <f t="shared" si="10"/>
        <v>6.4445245766605527E-2</v>
      </c>
      <c r="O32" s="59">
        <f t="shared" si="11"/>
        <v>0.23824836853356102</v>
      </c>
      <c r="P32" s="59">
        <f t="shared" si="12"/>
        <v>0.11589817715249003</v>
      </c>
      <c r="Q32" s="99">
        <f t="shared" si="13"/>
        <v>7.304358885459919E-2</v>
      </c>
      <c r="R32" s="59">
        <f t="shared" si="6"/>
        <v>52.791783455766669</v>
      </c>
      <c r="S32" s="59">
        <f t="shared" si="6"/>
        <v>50.281679766707974</v>
      </c>
      <c r="T32" s="59">
        <f t="shared" si="6"/>
        <v>-47.581610077671129</v>
      </c>
      <c r="U32" s="59">
        <f t="shared" si="19"/>
        <v>33.474530905058195</v>
      </c>
      <c r="V32" s="59">
        <f t="shared" si="23"/>
        <v>418.71430312949815</v>
      </c>
      <c r="W32" s="59">
        <f t="shared" si="23"/>
        <v>-38.049221435819035</v>
      </c>
      <c r="X32" s="99">
        <f t="shared" si="23"/>
        <v>-48.417994508473697</v>
      </c>
      <c r="Y32" s="93" t="s">
        <v>33</v>
      </c>
      <c r="Z32" s="14"/>
      <c r="AA32" s="8"/>
      <c r="AB32" s="8"/>
      <c r="AC32" s="8"/>
      <c r="AD32" s="8"/>
      <c r="AE32" s="8"/>
      <c r="AF32" s="9"/>
      <c r="AG32" s="8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55" s="32" customFormat="1" ht="15.75" customHeight="1">
      <c r="A33" s="72" t="s">
        <v>28</v>
      </c>
      <c r="B33" s="73"/>
      <c r="C33" s="16">
        <f t="shared" ref="C33:D33" si="24">SUM(C34:C38)</f>
        <v>1415953.0414900023</v>
      </c>
      <c r="D33" s="16">
        <f t="shared" si="24"/>
        <v>1340198.6867899986</v>
      </c>
      <c r="E33" s="16">
        <f t="shared" ref="E33:I33" si="25">SUM(E34:E38)</f>
        <v>1587408.04216</v>
      </c>
      <c r="F33" s="16">
        <f t="shared" si="25"/>
        <v>938963.61044000054</v>
      </c>
      <c r="G33" s="16">
        <f t="shared" si="25"/>
        <v>1601445.786630003</v>
      </c>
      <c r="H33" s="16">
        <f t="shared" si="25"/>
        <v>2152720.7828699709</v>
      </c>
      <c r="I33" s="16">
        <f t="shared" si="25"/>
        <v>2107986.5099100014</v>
      </c>
      <c r="J33" s="17">
        <f t="shared" ref="J33" si="26">SUM(J34:J38)</f>
        <v>2394011.1724299993</v>
      </c>
      <c r="K33" s="18">
        <f t="shared" si="7"/>
        <v>2.9407941245100506</v>
      </c>
      <c r="L33" s="18">
        <f t="shared" si="8"/>
        <v>3.5737010737557218</v>
      </c>
      <c r="M33" s="18">
        <f t="shared" si="9"/>
        <v>3.3231151305475555</v>
      </c>
      <c r="N33" s="18">
        <f t="shared" si="10"/>
        <v>4.1874165449696976</v>
      </c>
      <c r="O33" s="18">
        <f t="shared" si="11"/>
        <v>4.0117370073370964</v>
      </c>
      <c r="P33" s="18">
        <f t="shared" si="12"/>
        <v>3.084696777286605</v>
      </c>
      <c r="Q33" s="98">
        <f t="shared" si="13"/>
        <v>4.2803383454006632</v>
      </c>
      <c r="R33" s="18">
        <f t="shared" si="6"/>
        <v>-5.3500612294520531</v>
      </c>
      <c r="S33" s="18">
        <f t="shared" si="6"/>
        <v>18.445724339732745</v>
      </c>
      <c r="T33" s="18">
        <f t="shared" si="6"/>
        <v>-40.849259579008773</v>
      </c>
      <c r="U33" s="18">
        <f t="shared" si="19"/>
        <v>70.554616688453109</v>
      </c>
      <c r="V33" s="18">
        <f t="shared" si="23"/>
        <v>34.423581543777487</v>
      </c>
      <c r="W33" s="18">
        <f t="shared" si="23"/>
        <v>-2.078034147109896</v>
      </c>
      <c r="X33" s="98">
        <f t="shared" si="23"/>
        <v>13.568619209627176</v>
      </c>
      <c r="Y33" s="74" t="s">
        <v>59</v>
      </c>
      <c r="Z33" s="14"/>
      <c r="AA33" s="14"/>
      <c r="AB33" s="14"/>
      <c r="AC33" s="14"/>
      <c r="AD33" s="14"/>
      <c r="AE33" s="14"/>
      <c r="AF33" s="15"/>
      <c r="AG33" s="8"/>
      <c r="AH33" s="24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55" s="29" customFormat="1" ht="17.25">
      <c r="A34" s="75" t="s">
        <v>60</v>
      </c>
      <c r="B34" s="76"/>
      <c r="C34" s="22">
        <v>1285.32476</v>
      </c>
      <c r="D34" s="22">
        <v>864.25310000000002</v>
      </c>
      <c r="E34" s="22">
        <v>2118.9905100000005</v>
      </c>
      <c r="F34" s="84">
        <v>0</v>
      </c>
      <c r="G34" s="84">
        <v>0</v>
      </c>
      <c r="H34" s="84">
        <v>0</v>
      </c>
      <c r="I34" s="84">
        <v>0</v>
      </c>
      <c r="J34" s="87">
        <v>0</v>
      </c>
      <c r="K34" s="59">
        <f t="shared" si="7"/>
        <v>1.8964280920593455E-3</v>
      </c>
      <c r="L34" s="59">
        <f t="shared" si="8"/>
        <v>4.770442419178518E-3</v>
      </c>
      <c r="M34" s="59">
        <f t="shared" si="9"/>
        <v>0</v>
      </c>
      <c r="N34" s="59">
        <f t="shared" si="10"/>
        <v>0</v>
      </c>
      <c r="O34" s="59">
        <f t="shared" si="11"/>
        <v>0</v>
      </c>
      <c r="P34" s="59">
        <f t="shared" si="12"/>
        <v>0</v>
      </c>
      <c r="Q34" s="99">
        <f t="shared" si="13"/>
        <v>0</v>
      </c>
      <c r="R34" s="59">
        <f t="shared" si="6"/>
        <v>-32.759943097960701</v>
      </c>
      <c r="S34" s="59">
        <f t="shared" si="6"/>
        <v>145.18170776593112</v>
      </c>
      <c r="T34" s="59">
        <f>((F34-E34)/E34)*100</f>
        <v>-100</v>
      </c>
      <c r="U34" s="59">
        <v>0</v>
      </c>
      <c r="V34" s="59">
        <v>0</v>
      </c>
      <c r="W34" s="59">
        <v>0</v>
      </c>
      <c r="X34" s="99">
        <v>0</v>
      </c>
      <c r="Y34" s="94" t="s">
        <v>61</v>
      </c>
      <c r="Z34" s="14"/>
      <c r="AA34" s="8"/>
      <c r="AB34" s="8"/>
      <c r="AC34" s="8"/>
      <c r="AD34" s="8"/>
      <c r="AE34" s="8"/>
      <c r="AF34" s="9"/>
      <c r="AG34" s="8"/>
      <c r="AH34" s="24"/>
      <c r="AI34" s="24"/>
      <c r="AJ34" s="24"/>
      <c r="AK34" s="24"/>
      <c r="AL34" s="24"/>
      <c r="AM34" s="3"/>
      <c r="AN34" s="3">
        <v>2009</v>
      </c>
      <c r="AO34" s="3">
        <v>2010</v>
      </c>
      <c r="AP34" s="3">
        <v>2011</v>
      </c>
      <c r="AQ34" s="3">
        <v>2012</v>
      </c>
      <c r="AR34" s="3">
        <v>2013</v>
      </c>
      <c r="AS34" s="3">
        <v>2014</v>
      </c>
      <c r="AT34" s="3">
        <v>2015</v>
      </c>
      <c r="AU34" s="3">
        <v>2016</v>
      </c>
      <c r="AV34" s="3">
        <v>2017</v>
      </c>
      <c r="AW34" s="3">
        <v>2018</v>
      </c>
      <c r="AX34" s="3">
        <v>2019</v>
      </c>
      <c r="AY34" s="3">
        <v>2020</v>
      </c>
      <c r="AZ34" s="12">
        <v>2021</v>
      </c>
      <c r="BA34" s="12">
        <v>2022</v>
      </c>
      <c r="BB34" s="12">
        <v>2023</v>
      </c>
      <c r="BC34" s="12">
        <v>2024</v>
      </c>
    </row>
    <row r="35" spans="1:55" s="29" customFormat="1" ht="17.25">
      <c r="A35" s="77" t="s">
        <v>62</v>
      </c>
      <c r="B35" s="78"/>
      <c r="C35" s="22">
        <v>671386.44107000227</v>
      </c>
      <c r="D35" s="22">
        <v>774070.80221999867</v>
      </c>
      <c r="E35" s="22">
        <v>863337.38879999949</v>
      </c>
      <c r="F35" s="22">
        <v>573788.2061900004</v>
      </c>
      <c r="G35" s="22">
        <v>878567.88641000201</v>
      </c>
      <c r="H35" s="22">
        <v>1339199.64991997</v>
      </c>
      <c r="I35" s="22">
        <v>1252135.0112900017</v>
      </c>
      <c r="J35" s="86">
        <v>1552755.8129999996</v>
      </c>
      <c r="K35" s="59">
        <f t="shared" si="7"/>
        <v>1.6985413353714542</v>
      </c>
      <c r="L35" s="59">
        <f t="shared" si="8"/>
        <v>1.9436147930621612</v>
      </c>
      <c r="M35" s="59">
        <f t="shared" si="9"/>
        <v>2.0307115723326237</v>
      </c>
      <c r="N35" s="59">
        <f t="shared" si="10"/>
        <v>2.2972552265874975</v>
      </c>
      <c r="O35" s="59">
        <f t="shared" si="11"/>
        <v>2.4956867785864354</v>
      </c>
      <c r="P35" s="59">
        <f t="shared" si="12"/>
        <v>1.8322967513766961</v>
      </c>
      <c r="Q35" s="99">
        <f t="shared" si="13"/>
        <v>2.7762277486288625</v>
      </c>
      <c r="R35" s="59">
        <f t="shared" si="6"/>
        <v>15.294375171822988</v>
      </c>
      <c r="S35" s="59">
        <f t="shared" si="6"/>
        <v>11.532095813973147</v>
      </c>
      <c r="T35" s="59">
        <f t="shared" si="6"/>
        <v>-33.538357815414379</v>
      </c>
      <c r="U35" s="59">
        <f t="shared" si="19"/>
        <v>53.117104348268683</v>
      </c>
      <c r="V35" s="59">
        <f t="shared" si="23"/>
        <v>52.429843001910555</v>
      </c>
      <c r="W35" s="59">
        <f t="shared" si="23"/>
        <v>-6.5012441300422399</v>
      </c>
      <c r="X35" s="99">
        <f t="shared" si="23"/>
        <v>24.008657133569475</v>
      </c>
      <c r="Y35" s="92" t="s">
        <v>63</v>
      </c>
      <c r="Z35" s="14"/>
      <c r="AG35" s="8"/>
      <c r="AI35" s="24"/>
      <c r="AJ35" s="24"/>
      <c r="AK35" s="24"/>
      <c r="AL35" s="24"/>
      <c r="AM35" s="3" t="s">
        <v>87</v>
      </c>
      <c r="AN35" s="3">
        <v>12368528.392270003</v>
      </c>
      <c r="AO35" s="3">
        <v>14017488.443949997</v>
      </c>
      <c r="AP35" s="3">
        <v>20486216.653159894</v>
      </c>
      <c r="AQ35" s="3">
        <v>23884653.941069901</v>
      </c>
      <c r="AR35" s="3">
        <v>26634885.396759901</v>
      </c>
      <c r="AS35" s="3">
        <v>30649233.308269795</v>
      </c>
      <c r="AT35" s="3">
        <v>29147779.394450299</v>
      </c>
      <c r="AU35" s="3">
        <v>32705613.741919942</v>
      </c>
      <c r="AV35" s="3">
        <v>36319895.400504716</v>
      </c>
      <c r="AW35" s="3">
        <v>45572679.692879952</v>
      </c>
      <c r="AX35" s="3">
        <v>44419161.239239857</v>
      </c>
      <c r="AY35" s="3">
        <v>28255524.516999986</v>
      </c>
      <c r="AZ35" s="19">
        <f>G7</f>
        <v>38244243.662689924</v>
      </c>
      <c r="BA35" s="82">
        <f>H7</f>
        <v>53660565.957659826</v>
      </c>
      <c r="BB35" s="82">
        <f>I7</f>
        <v>68336911.602839991</v>
      </c>
      <c r="BC35" s="82">
        <f>J7</f>
        <v>55930419.028729998</v>
      </c>
    </row>
    <row r="36" spans="1:55" s="29" customFormat="1" ht="18">
      <c r="A36" s="77" t="s">
        <v>64</v>
      </c>
      <c r="B36" s="78"/>
      <c r="C36" s="22">
        <v>420211.27243000013</v>
      </c>
      <c r="D36" s="22">
        <v>280444.37696999998</v>
      </c>
      <c r="E36" s="22">
        <v>445326.62298000004</v>
      </c>
      <c r="F36" s="22">
        <v>174434.53714000012</v>
      </c>
      <c r="G36" s="22">
        <v>412978.41841000202</v>
      </c>
      <c r="H36" s="22">
        <v>273868.93461</v>
      </c>
      <c r="I36" s="22">
        <v>432836.20385999995</v>
      </c>
      <c r="J36" s="86">
        <v>320789.13972000021</v>
      </c>
      <c r="K36" s="59">
        <f t="shared" si="7"/>
        <v>0.61537828993148991</v>
      </c>
      <c r="L36" s="59">
        <f t="shared" si="8"/>
        <v>1.0025552274197351</v>
      </c>
      <c r="M36" s="59">
        <f t="shared" si="9"/>
        <v>0.61734666095138768</v>
      </c>
      <c r="N36" s="59">
        <f t="shared" si="10"/>
        <v>1.0798446481316948</v>
      </c>
      <c r="O36" s="59">
        <f t="shared" si="11"/>
        <v>0.51037280304887711</v>
      </c>
      <c r="P36" s="59">
        <f t="shared" si="12"/>
        <v>0.63338566772750071</v>
      </c>
      <c r="Q36" s="99">
        <f t="shared" si="13"/>
        <v>0.5735503958145195</v>
      </c>
      <c r="R36" s="59">
        <f t="shared" si="6"/>
        <v>-33.261100934240851</v>
      </c>
      <c r="S36" s="59">
        <f t="shared" si="6"/>
        <v>58.793208047682853</v>
      </c>
      <c r="T36" s="59">
        <f t="shared" si="6"/>
        <v>-60.829977787374709</v>
      </c>
      <c r="U36" s="59">
        <f t="shared" si="19"/>
        <v>136.75266674887209</v>
      </c>
      <c r="V36" s="59">
        <f t="shared" si="23"/>
        <v>-33.684443931860656</v>
      </c>
      <c r="W36" s="59">
        <f t="shared" si="23"/>
        <v>58.045016853180343</v>
      </c>
      <c r="X36" s="99">
        <f t="shared" si="23"/>
        <v>-25.886712604161261</v>
      </c>
      <c r="Y36" s="91" t="s">
        <v>65</v>
      </c>
      <c r="Z36" s="14"/>
      <c r="AG36" s="8"/>
      <c r="AH36" s="24"/>
      <c r="AI36" s="10"/>
      <c r="AJ36" s="10"/>
      <c r="AK36" s="10"/>
      <c r="AL36" s="10"/>
      <c r="AM36" s="3" t="s">
        <v>88</v>
      </c>
      <c r="AN36" s="3">
        <v>-30.357833956150195</v>
      </c>
      <c r="AO36" s="3">
        <v>13.33190173788622</v>
      </c>
      <c r="AP36" s="3">
        <v>46.14755514210411</v>
      </c>
      <c r="AQ36" s="3">
        <v>16.588896551505599</v>
      </c>
      <c r="AR36" s="3">
        <v>12</v>
      </c>
      <c r="AS36" s="3">
        <v>15.071767164420516</v>
      </c>
      <c r="AT36" s="3">
        <v>-4.8988302536571844</v>
      </c>
      <c r="AU36" s="3">
        <v>12.206193478145542</v>
      </c>
      <c r="AV36" s="3">
        <v>11.050951946980959</v>
      </c>
      <c r="AW36" s="3">
        <v>25.475801046075304</v>
      </c>
      <c r="AX36" s="3">
        <v>-2.5311622257321766</v>
      </c>
      <c r="AY36" s="3">
        <v>-36.388883246090934</v>
      </c>
      <c r="AZ36" s="83">
        <v>35.351384610397901</v>
      </c>
      <c r="BA36" s="83">
        <v>40.310176953531077</v>
      </c>
      <c r="BB36" s="83">
        <f>W7</f>
        <v>27.350337036624524</v>
      </c>
      <c r="BC36" s="83">
        <f>X7</f>
        <v>-18.154892111914517</v>
      </c>
    </row>
    <row r="37" spans="1:55" s="29" customFormat="1" ht="17.25">
      <c r="A37" s="75" t="s">
        <v>66</v>
      </c>
      <c r="B37" s="76"/>
      <c r="C37" s="22">
        <v>273042.73187000002</v>
      </c>
      <c r="D37" s="22">
        <v>240687.16187000001</v>
      </c>
      <c r="E37" s="22">
        <v>232669.13011999996</v>
      </c>
      <c r="F37" s="22">
        <v>136784.86456000005</v>
      </c>
      <c r="G37" s="22">
        <v>273213.46797999903</v>
      </c>
      <c r="H37" s="22">
        <v>476954.35622000101</v>
      </c>
      <c r="I37" s="22">
        <v>365755.06915999996</v>
      </c>
      <c r="J37" s="86">
        <v>472937.39534999977</v>
      </c>
      <c r="K37" s="59">
        <f t="shared" si="7"/>
        <v>0.52813914716453192</v>
      </c>
      <c r="L37" s="59">
        <f t="shared" si="8"/>
        <v>0.5238035199873613</v>
      </c>
      <c r="M37" s="59">
        <f t="shared" si="9"/>
        <v>0.48409954123379728</v>
      </c>
      <c r="N37" s="59">
        <f t="shared" si="10"/>
        <v>0.71439108690372366</v>
      </c>
      <c r="O37" s="59">
        <f t="shared" si="11"/>
        <v>0.88883586616722543</v>
      </c>
      <c r="P37" s="59">
        <f t="shared" si="12"/>
        <v>0.53522329379719824</v>
      </c>
      <c r="Q37" s="99">
        <f t="shared" si="13"/>
        <v>0.84558171306934815</v>
      </c>
      <c r="R37" s="59">
        <f t="shared" si="6"/>
        <v>-11.850002297590915</v>
      </c>
      <c r="S37" s="59">
        <f t="shared" si="6"/>
        <v>-3.3313084452467612</v>
      </c>
      <c r="T37" s="59">
        <f t="shared" si="6"/>
        <v>-41.21056605599</v>
      </c>
      <c r="U37" s="59">
        <f t="shared" si="19"/>
        <v>99.739546373681719</v>
      </c>
      <c r="V37" s="59">
        <f t="shared" si="23"/>
        <v>74.572051570648455</v>
      </c>
      <c r="W37" s="59">
        <f t="shared" si="23"/>
        <v>-23.314450452090853</v>
      </c>
      <c r="X37" s="99">
        <f t="shared" si="23"/>
        <v>29.30439937200509</v>
      </c>
      <c r="Y37" s="91" t="s">
        <v>67</v>
      </c>
      <c r="Z37" s="14"/>
      <c r="AG37" s="8"/>
      <c r="AH37" s="24"/>
      <c r="AI37" s="24"/>
      <c r="AJ37" s="24"/>
      <c r="AK37" s="24"/>
      <c r="AL37" s="24"/>
      <c r="AM37" s="24"/>
    </row>
    <row r="38" spans="1:55" s="29" customFormat="1" ht="16.5">
      <c r="A38" s="77" t="s">
        <v>32</v>
      </c>
      <c r="B38" s="78"/>
      <c r="C38" s="22">
        <v>50027.271359999992</v>
      </c>
      <c r="D38" s="22">
        <v>44132.092630000014</v>
      </c>
      <c r="E38" s="22">
        <v>43955.909750000479</v>
      </c>
      <c r="F38" s="22">
        <v>53956.002550000005</v>
      </c>
      <c r="G38" s="22">
        <v>36686.013829999982</v>
      </c>
      <c r="H38" s="22">
        <v>62697.842119999994</v>
      </c>
      <c r="I38" s="22">
        <v>57260.225599999903</v>
      </c>
      <c r="J38" s="86">
        <v>47528.824359999657</v>
      </c>
      <c r="K38" s="59">
        <f t="shared" si="7"/>
        <v>9.6838923950515451E-2</v>
      </c>
      <c r="L38" s="59">
        <f t="shared" si="8"/>
        <v>9.895709086728513E-2</v>
      </c>
      <c r="M38" s="59">
        <f t="shared" si="9"/>
        <v>0.19095735602974662</v>
      </c>
      <c r="N38" s="59">
        <f t="shared" si="10"/>
        <v>9.5925583346781904E-2</v>
      </c>
      <c r="O38" s="59">
        <f t="shared" si="11"/>
        <v>0.11684155953455824</v>
      </c>
      <c r="P38" s="59">
        <f t="shared" si="12"/>
        <v>8.3791064385210307E-2</v>
      </c>
      <c r="Q38" s="99">
        <f t="shared" si="13"/>
        <v>8.4978487887933288E-2</v>
      </c>
      <c r="R38" s="59">
        <f t="shared" si="6"/>
        <v>-11.783930183954727</v>
      </c>
      <c r="S38" s="59">
        <f t="shared" si="6"/>
        <v>-0.39921714448629936</v>
      </c>
      <c r="T38" s="59">
        <f t="shared" si="6"/>
        <v>22.750280580870964</v>
      </c>
      <c r="U38" s="59">
        <f t="shared" si="19"/>
        <v>-32.007539298331544</v>
      </c>
      <c r="V38" s="59">
        <f t="shared" si="23"/>
        <v>70.903937425681406</v>
      </c>
      <c r="W38" s="59">
        <f t="shared" si="23"/>
        <v>-8.6727331214889531</v>
      </c>
      <c r="X38" s="99">
        <f t="shared" si="23"/>
        <v>-16.99504523083867</v>
      </c>
      <c r="Y38" s="92" t="s">
        <v>33</v>
      </c>
      <c r="Z38" s="14"/>
      <c r="AA38" s="8"/>
      <c r="AB38" s="8"/>
      <c r="AC38" s="8"/>
      <c r="AD38" s="8"/>
      <c r="AE38" s="8"/>
      <c r="AG38" s="8"/>
    </row>
    <row r="39" spans="1:55" s="32" customFormat="1" ht="16.5">
      <c r="A39" s="79" t="s">
        <v>23</v>
      </c>
      <c r="B39" s="80"/>
      <c r="C39" s="16">
        <f t="shared" ref="C39:D39" si="27">SUM(C40:C43)</f>
        <v>7679425.4968550289</v>
      </c>
      <c r="D39" s="16">
        <f t="shared" si="27"/>
        <v>10057780.652160024</v>
      </c>
      <c r="E39" s="16">
        <f t="shared" ref="E39:I39" si="28">SUM(E40:E43)</f>
        <v>9263715.8779299539</v>
      </c>
      <c r="F39" s="16">
        <f t="shared" si="28"/>
        <v>6336565.6690400047</v>
      </c>
      <c r="G39" s="16">
        <f t="shared" si="28"/>
        <v>10919737.520839794</v>
      </c>
      <c r="H39" s="16">
        <f t="shared" si="28"/>
        <v>16614960.369989654</v>
      </c>
      <c r="I39" s="16">
        <f t="shared" si="28"/>
        <v>30317449.484759971</v>
      </c>
      <c r="J39" s="17">
        <f t="shared" ref="J39" si="29">SUM(J40:J43)</f>
        <v>16444202.39685999</v>
      </c>
      <c r="K39" s="18">
        <f t="shared" si="7"/>
        <v>22.069759162596274</v>
      </c>
      <c r="L39" s="18">
        <f t="shared" si="8"/>
        <v>20.855224681159431</v>
      </c>
      <c r="M39" s="18">
        <f t="shared" si="9"/>
        <v>22.425935378504828</v>
      </c>
      <c r="N39" s="18">
        <f t="shared" si="10"/>
        <v>28.552630343930169</v>
      </c>
      <c r="O39" s="18">
        <f t="shared" si="11"/>
        <v>30.963073298741339</v>
      </c>
      <c r="P39" s="18">
        <f t="shared" si="12"/>
        <v>44.36467609329307</v>
      </c>
      <c r="Q39" s="98">
        <f t="shared" si="13"/>
        <v>29.401178611612107</v>
      </c>
      <c r="R39" s="18">
        <f t="shared" si="6"/>
        <v>30.970482834673092</v>
      </c>
      <c r="S39" s="18">
        <f t="shared" si="6"/>
        <v>-7.895029745548646</v>
      </c>
      <c r="T39" s="18">
        <f t="shared" si="6"/>
        <v>-31.598013663865114</v>
      </c>
      <c r="U39" s="18">
        <f t="shared" si="19"/>
        <v>72.328956901572568</v>
      </c>
      <c r="V39" s="18">
        <f t="shared" si="23"/>
        <v>52.155309029001863</v>
      </c>
      <c r="W39" s="18">
        <f t="shared" si="23"/>
        <v>82.470790237454239</v>
      </c>
      <c r="X39" s="98">
        <f t="shared" si="23"/>
        <v>-45.759941300054969</v>
      </c>
      <c r="Y39" s="90" t="s">
        <v>68</v>
      </c>
      <c r="Z39" s="14"/>
      <c r="AA39" s="14"/>
      <c r="AB39" s="14"/>
      <c r="AC39" s="14"/>
      <c r="AD39" s="14"/>
      <c r="AE39" s="14"/>
      <c r="AF39" s="15"/>
      <c r="AG39" s="8"/>
      <c r="AH39" s="24"/>
      <c r="AI39" s="24"/>
      <c r="AJ39" s="24"/>
      <c r="AK39" s="24"/>
      <c r="AL39" s="24"/>
      <c r="AM39" s="24"/>
    </row>
    <row r="40" spans="1:55" s="29" customFormat="1" ht="16.5">
      <c r="A40" s="77" t="s">
        <v>69</v>
      </c>
      <c r="B40" s="78"/>
      <c r="C40" s="22">
        <v>6682101.2809250262</v>
      </c>
      <c r="D40" s="22">
        <v>8261155.0778400246</v>
      </c>
      <c r="E40" s="22">
        <v>8359593.4175699549</v>
      </c>
      <c r="F40" s="22">
        <v>3501303.1487300042</v>
      </c>
      <c r="G40" s="22">
        <v>4994845.7275698008</v>
      </c>
      <c r="H40" s="22">
        <v>6301849.1150396504</v>
      </c>
      <c r="I40" s="22">
        <v>7038306.5703699877</v>
      </c>
      <c r="J40" s="86">
        <v>11125213.928799989</v>
      </c>
      <c r="K40" s="59">
        <f t="shared" si="7"/>
        <v>18.127428831293205</v>
      </c>
      <c r="L40" s="59">
        <f t="shared" si="8"/>
        <v>18.819791244020827</v>
      </c>
      <c r="M40" s="59">
        <f t="shared" si="9"/>
        <v>12.391570174616433</v>
      </c>
      <c r="N40" s="59">
        <f t="shared" si="10"/>
        <v>13.060385692612456</v>
      </c>
      <c r="O40" s="59">
        <f t="shared" si="11"/>
        <v>11.743911012813474</v>
      </c>
      <c r="P40" s="59">
        <f t="shared" si="12"/>
        <v>10.299421506308583</v>
      </c>
      <c r="Q40" s="99">
        <f t="shared" si="13"/>
        <v>19.891168566223786</v>
      </c>
      <c r="R40" s="59">
        <f t="shared" si="6"/>
        <v>23.631096425051563</v>
      </c>
      <c r="S40" s="59">
        <f t="shared" si="6"/>
        <v>1.191580823775894</v>
      </c>
      <c r="T40" s="59">
        <f t="shared" si="6"/>
        <v>-58.116346407816131</v>
      </c>
      <c r="U40" s="59">
        <f t="shared" si="19"/>
        <v>42.656762793634009</v>
      </c>
      <c r="V40" s="59">
        <f t="shared" si="23"/>
        <v>26.167042162196285</v>
      </c>
      <c r="W40" s="59">
        <f t="shared" si="23"/>
        <v>11.686370807780023</v>
      </c>
      <c r="X40" s="99">
        <f t="shared" si="23"/>
        <v>58.06662891944989</v>
      </c>
      <c r="Y40" s="92" t="s">
        <v>70</v>
      </c>
      <c r="Z40" s="14"/>
      <c r="AA40" s="8"/>
      <c r="AB40" s="8"/>
      <c r="AC40" s="8"/>
      <c r="AD40" s="8"/>
      <c r="AE40" s="8"/>
      <c r="AF40" s="9"/>
      <c r="AG40" s="8"/>
    </row>
    <row r="41" spans="1:55" s="29" customFormat="1" ht="16.5">
      <c r="A41" s="77" t="s">
        <v>71</v>
      </c>
      <c r="B41" s="78"/>
      <c r="C41" s="22">
        <v>109627.61198999995</v>
      </c>
      <c r="D41" s="22">
        <v>160259.57405000005</v>
      </c>
      <c r="E41" s="22">
        <v>279326.08016999991</v>
      </c>
      <c r="F41" s="22">
        <v>2369094.9747800007</v>
      </c>
      <c r="G41" s="22">
        <v>5038023.4519300004</v>
      </c>
      <c r="H41" s="22">
        <v>9594439.5557499994</v>
      </c>
      <c r="I41" s="22">
        <v>8118138.7518099975</v>
      </c>
      <c r="J41" s="86">
        <v>4391749.5683300002</v>
      </c>
      <c r="K41" s="59">
        <f t="shared" si="7"/>
        <v>0.35165712249095199</v>
      </c>
      <c r="L41" s="59">
        <f t="shared" si="8"/>
        <v>0.62884141072714239</v>
      </c>
      <c r="M41" s="59">
        <f t="shared" si="9"/>
        <v>8.3845372375042295</v>
      </c>
      <c r="N41" s="59">
        <f t="shared" si="10"/>
        <v>13.173285622706571</v>
      </c>
      <c r="O41" s="59">
        <f t="shared" si="11"/>
        <v>17.879870225968858</v>
      </c>
      <c r="P41" s="59">
        <f t="shared" si="12"/>
        <v>11.879580978126349</v>
      </c>
      <c r="Q41" s="99">
        <f t="shared" si="13"/>
        <v>7.8521663963827493</v>
      </c>
      <c r="R41" s="59">
        <f t="shared" si="6"/>
        <v>46.185409990157105</v>
      </c>
      <c r="S41" s="59">
        <f t="shared" ref="S41" si="30">((E41-D41)/D41)*100</f>
        <v>74.296033061245879</v>
      </c>
      <c r="T41" s="59" t="s">
        <v>84</v>
      </c>
      <c r="U41" s="59" t="s">
        <v>84</v>
      </c>
      <c r="V41" s="59">
        <f t="shared" si="23"/>
        <v>90.440549697609995</v>
      </c>
      <c r="W41" s="59">
        <f t="shared" si="23"/>
        <v>-15.387045750423711</v>
      </c>
      <c r="X41" s="99">
        <f t="shared" si="23"/>
        <v>-45.90201396408964</v>
      </c>
      <c r="Y41" s="92" t="s">
        <v>72</v>
      </c>
      <c r="Z41" s="14"/>
      <c r="AA41" s="8"/>
      <c r="AB41" s="8"/>
      <c r="AC41" s="8"/>
      <c r="AD41" s="8"/>
      <c r="AE41" s="8"/>
      <c r="AF41" s="9"/>
      <c r="AG41" s="8"/>
    </row>
    <row r="42" spans="1:55" s="29" customFormat="1" ht="16.5">
      <c r="A42" s="77" t="s">
        <v>73</v>
      </c>
      <c r="B42" s="78"/>
      <c r="C42" s="22">
        <v>21032.909509999998</v>
      </c>
      <c r="D42" s="22">
        <v>35781.251859999997</v>
      </c>
      <c r="E42" s="22">
        <v>2933.1176800000003</v>
      </c>
      <c r="F42" s="22">
        <v>6152.1783800000012</v>
      </c>
      <c r="G42" s="22">
        <v>128746.55149</v>
      </c>
      <c r="H42" s="22">
        <v>959.24419999999998</v>
      </c>
      <c r="I42" s="22">
        <v>2279.4201999999996</v>
      </c>
      <c r="J42" s="86">
        <v>941.17498999999998</v>
      </c>
      <c r="K42" s="59">
        <f t="shared" si="7"/>
        <v>7.8514698062818286E-2</v>
      </c>
      <c r="L42" s="59">
        <f t="shared" si="8"/>
        <v>6.6032711968655681E-3</v>
      </c>
      <c r="M42" s="59">
        <f t="shared" si="9"/>
        <v>2.1773364625733746E-2</v>
      </c>
      <c r="N42" s="59">
        <f t="shared" si="10"/>
        <v>0.33664295370966307</v>
      </c>
      <c r="O42" s="59">
        <f t="shared" si="11"/>
        <v>1.7876147649223064E-3</v>
      </c>
      <c r="P42" s="59">
        <f t="shared" si="12"/>
        <v>3.3355622116017164E-3</v>
      </c>
      <c r="Q42" s="99">
        <f t="shared" si="13"/>
        <v>1.6827604840874569E-3</v>
      </c>
      <c r="R42" s="59">
        <f t="shared" si="6"/>
        <v>70.120314752402507</v>
      </c>
      <c r="S42" s="59">
        <f t="shared" si="6"/>
        <v>-91.802640971097631</v>
      </c>
      <c r="T42" s="59" t="s">
        <v>84</v>
      </c>
      <c r="U42" s="59" t="s">
        <v>84</v>
      </c>
      <c r="V42" s="59">
        <f t="shared" si="23"/>
        <v>-99.254936004965927</v>
      </c>
      <c r="W42" s="59" t="s">
        <v>84</v>
      </c>
      <c r="X42" s="99">
        <f t="shared" si="23"/>
        <v>-58.709895174220172</v>
      </c>
      <c r="Y42" s="92" t="s">
        <v>74</v>
      </c>
      <c r="Z42" s="14"/>
      <c r="AA42" s="8"/>
      <c r="AB42" s="8"/>
      <c r="AC42" s="8"/>
      <c r="AD42" s="8"/>
      <c r="AE42" s="8"/>
      <c r="AF42" s="9"/>
      <c r="AG42" s="8"/>
    </row>
    <row r="43" spans="1:55" s="29" customFormat="1" ht="17.25">
      <c r="A43" s="77" t="s">
        <v>32</v>
      </c>
      <c r="B43" s="78"/>
      <c r="C43" s="22">
        <v>866663.69443000294</v>
      </c>
      <c r="D43" s="22">
        <v>1600584.7484099988</v>
      </c>
      <c r="E43" s="22">
        <v>621863.26251000026</v>
      </c>
      <c r="F43" s="22">
        <v>460015.3671499996</v>
      </c>
      <c r="G43" s="22">
        <v>758121.78984999296</v>
      </c>
      <c r="H43" s="22">
        <v>717712.45500000298</v>
      </c>
      <c r="I43" s="22">
        <v>15158724.742379986</v>
      </c>
      <c r="J43" s="86">
        <v>926297.72474000172</v>
      </c>
      <c r="K43" s="59">
        <f t="shared" si="7"/>
        <v>3.5121585107492947</v>
      </c>
      <c r="L43" s="59">
        <f t="shared" si="8"/>
        <v>1.3999887552146002</v>
      </c>
      <c r="M43" s="59">
        <f t="shared" si="9"/>
        <v>1.6280546017584299</v>
      </c>
      <c r="N43" s="59">
        <f t="shared" si="10"/>
        <v>1.9823160749014801</v>
      </c>
      <c r="O43" s="59">
        <f t="shared" si="11"/>
        <v>1.337504445194083</v>
      </c>
      <c r="P43" s="59">
        <f t="shared" si="12"/>
        <v>22.182338046646535</v>
      </c>
      <c r="Q43" s="99">
        <f t="shared" si="13"/>
        <v>1.6561608885214802</v>
      </c>
      <c r="R43" s="59">
        <f t="shared" si="6"/>
        <v>84.683488958504171</v>
      </c>
      <c r="S43" s="59">
        <f t="shared" si="6"/>
        <v>-61.147745339461004</v>
      </c>
      <c r="T43" s="59">
        <f t="shared" si="6"/>
        <v>-26.026283448026966</v>
      </c>
      <c r="U43" s="59">
        <f t="shared" ref="U43:U46" si="31">((G43-F43)/F43)*100</f>
        <v>64.803579181907693</v>
      </c>
      <c r="V43" s="59">
        <f t="shared" ref="V43:X46" si="32">((H43-G43)/G43)*100</f>
        <v>-5.3301903982980932</v>
      </c>
      <c r="W43" s="59" t="s">
        <v>84</v>
      </c>
      <c r="X43" s="99">
        <f t="shared" si="32"/>
        <v>-93.889342669107862</v>
      </c>
      <c r="Y43" s="91" t="s">
        <v>33</v>
      </c>
      <c r="Z43" s="8"/>
      <c r="AA43" s="8"/>
      <c r="AB43" s="8"/>
      <c r="AC43" s="8"/>
      <c r="AD43" s="8"/>
      <c r="AE43" s="8"/>
      <c r="AF43" s="9"/>
      <c r="AG43" s="8"/>
    </row>
    <row r="44" spans="1:55" s="32" customFormat="1" ht="16.5">
      <c r="A44" s="79" t="s">
        <v>31</v>
      </c>
      <c r="B44" s="81"/>
      <c r="C44" s="16">
        <f>SUM(C45:C48)</f>
        <v>1002806.574630001</v>
      </c>
      <c r="D44" s="16">
        <f>SUM(D45:D48)</f>
        <v>1021243.3663099986</v>
      </c>
      <c r="E44" s="16">
        <f>SUM(E45:E48)</f>
        <v>1207909.1769599949</v>
      </c>
      <c r="F44" s="16">
        <f>SUM(F45:F48)</f>
        <v>694299.09113000031</v>
      </c>
      <c r="G44" s="16">
        <f t="shared" ref="G44:I44" si="33">SUM(G45:G48)</f>
        <v>872433.64514998684</v>
      </c>
      <c r="H44" s="16">
        <f t="shared" si="33"/>
        <v>1082915.4739899919</v>
      </c>
      <c r="I44" s="16">
        <f t="shared" si="33"/>
        <v>982528.93924000126</v>
      </c>
      <c r="J44" s="17">
        <f t="shared" ref="J44" si="34">SUM(J45:J48)</f>
        <v>1082710.195189999</v>
      </c>
      <c r="K44" s="18">
        <f t="shared" si="7"/>
        <v>2.240911381977726</v>
      </c>
      <c r="L44" s="18">
        <f t="shared" si="8"/>
        <v>2.7193426063455894</v>
      </c>
      <c r="M44" s="18">
        <f t="shared" si="9"/>
        <v>2.4572153693776735</v>
      </c>
      <c r="N44" s="18">
        <f t="shared" si="10"/>
        <v>2.2812155806891012</v>
      </c>
      <c r="O44" s="18">
        <f t="shared" si="11"/>
        <v>2.0180843318806074</v>
      </c>
      <c r="P44" s="18">
        <f t="shared" si="12"/>
        <v>1.4377719393440787</v>
      </c>
      <c r="Q44" s="98">
        <f t="shared" si="13"/>
        <v>1.9358163482269621</v>
      </c>
      <c r="R44" s="18">
        <f t="shared" si="6"/>
        <v>1.8385192265816648</v>
      </c>
      <c r="S44" s="18">
        <f t="shared" si="6"/>
        <v>18.278288682987046</v>
      </c>
      <c r="T44" s="18">
        <f t="shared" si="6"/>
        <v>-42.52058810602157</v>
      </c>
      <c r="U44" s="18">
        <f t="shared" si="31"/>
        <v>25.656745960889165</v>
      </c>
      <c r="V44" s="18">
        <f t="shared" si="32"/>
        <v>24.125826647116472</v>
      </c>
      <c r="W44" s="18">
        <f t="shared" si="32"/>
        <v>-9.2700249614235766</v>
      </c>
      <c r="X44" s="98">
        <f t="shared" si="32"/>
        <v>10.196265163190937</v>
      </c>
      <c r="Y44" s="90" t="s">
        <v>75</v>
      </c>
      <c r="Z44" s="8"/>
      <c r="AA44" s="14"/>
      <c r="AB44" s="14"/>
      <c r="AC44" s="14"/>
      <c r="AD44" s="14"/>
      <c r="AE44" s="14"/>
      <c r="AF44" s="15"/>
      <c r="AG44" s="14"/>
    </row>
    <row r="45" spans="1:55" s="29" customFormat="1" ht="16.5">
      <c r="A45" s="77" t="s">
        <v>76</v>
      </c>
      <c r="B45" s="34"/>
      <c r="C45" s="22">
        <v>623690.12402000092</v>
      </c>
      <c r="D45" s="22">
        <v>661419.75911999831</v>
      </c>
      <c r="E45" s="22">
        <v>733146.0403499949</v>
      </c>
      <c r="F45" s="22">
        <v>385593.04479000019</v>
      </c>
      <c r="G45" s="22">
        <v>725749.74627998692</v>
      </c>
      <c r="H45" s="22">
        <v>895544.07079999195</v>
      </c>
      <c r="I45" s="22">
        <v>765602.52063000121</v>
      </c>
      <c r="J45" s="86">
        <v>794856.00431999913</v>
      </c>
      <c r="K45" s="59">
        <f t="shared" si="7"/>
        <v>1.4513514754396486</v>
      </c>
      <c r="L45" s="59">
        <f t="shared" si="8"/>
        <v>1.6505175241857881</v>
      </c>
      <c r="M45" s="59">
        <f t="shared" si="9"/>
        <v>1.3646642608174109</v>
      </c>
      <c r="N45" s="59">
        <f t="shared" si="10"/>
        <v>1.8976705427384599</v>
      </c>
      <c r="O45" s="59">
        <f t="shared" si="11"/>
        <v>1.6689053773801219</v>
      </c>
      <c r="P45" s="59">
        <f t="shared" si="12"/>
        <v>1.1203352663631112</v>
      </c>
      <c r="Q45" s="99">
        <f t="shared" si="13"/>
        <v>1.4211515274214239</v>
      </c>
      <c r="R45" s="59">
        <f t="shared" si="6"/>
        <v>6.0494199999208993</v>
      </c>
      <c r="S45" s="59">
        <f t="shared" si="6"/>
        <v>10.84429067033415</v>
      </c>
      <c r="T45" s="59">
        <f t="shared" si="6"/>
        <v>-47.405697696202139</v>
      </c>
      <c r="U45" s="59">
        <f t="shared" si="31"/>
        <v>88.216503405874775</v>
      </c>
      <c r="V45" s="59">
        <f t="shared" si="32"/>
        <v>23.395712556611777</v>
      </c>
      <c r="W45" s="59">
        <f t="shared" si="32"/>
        <v>-14.509788452277238</v>
      </c>
      <c r="X45" s="99">
        <f t="shared" si="32"/>
        <v>3.8209753627673191</v>
      </c>
      <c r="Y45" s="92" t="s">
        <v>77</v>
      </c>
      <c r="Z45" s="8"/>
      <c r="AA45" s="8"/>
      <c r="AB45" s="8"/>
      <c r="AC45" s="8"/>
      <c r="AD45" s="8"/>
      <c r="AE45" s="8"/>
      <c r="AG45" s="8"/>
    </row>
    <row r="46" spans="1:55" s="29" customFormat="1" ht="16.5">
      <c r="A46" s="77" t="s">
        <v>78</v>
      </c>
      <c r="B46" s="34"/>
      <c r="C46" s="22">
        <v>377837.47268000001</v>
      </c>
      <c r="D46" s="22">
        <v>358327.35065000021</v>
      </c>
      <c r="E46" s="22">
        <v>473314.19823000015</v>
      </c>
      <c r="F46" s="22">
        <v>308416.16247000004</v>
      </c>
      <c r="G46" s="22">
        <v>145359.28119000001</v>
      </c>
      <c r="H46" s="22">
        <v>185376.93132</v>
      </c>
      <c r="I46" s="22">
        <v>215474.24347000013</v>
      </c>
      <c r="J46" s="86">
        <v>261803.36563999977</v>
      </c>
      <c r="K46" s="59">
        <f t="shared" si="7"/>
        <v>0.78627667511503274</v>
      </c>
      <c r="L46" s="59">
        <f t="shared" si="8"/>
        <v>1.0655631151627301</v>
      </c>
      <c r="M46" s="59">
        <f t="shared" si="9"/>
        <v>1.0915251715976495</v>
      </c>
      <c r="N46" s="59">
        <f t="shared" si="10"/>
        <v>0.38008146395063552</v>
      </c>
      <c r="O46" s="59">
        <f t="shared" si="11"/>
        <v>0.34546212476825022</v>
      </c>
      <c r="P46" s="59">
        <f t="shared" si="12"/>
        <v>0.31531164990641058</v>
      </c>
      <c r="Q46" s="99">
        <f t="shared" si="13"/>
        <v>0.46808761705417984</v>
      </c>
      <c r="R46" s="59">
        <f t="shared" si="6"/>
        <v>-5.1636281313270915</v>
      </c>
      <c r="S46" s="59">
        <f t="shared" si="6"/>
        <v>32.089888581325319</v>
      </c>
      <c r="T46" s="59">
        <f t="shared" si="6"/>
        <v>-34.839021600588097</v>
      </c>
      <c r="U46" s="59">
        <f t="shared" si="31"/>
        <v>-52.869110352107683</v>
      </c>
      <c r="V46" s="59">
        <f t="shared" si="32"/>
        <v>27.53016512078969</v>
      </c>
      <c r="W46" s="59">
        <f t="shared" si="32"/>
        <v>16.235737605368904</v>
      </c>
      <c r="X46" s="99">
        <f t="shared" si="32"/>
        <v>21.501002358293423</v>
      </c>
      <c r="Y46" s="92" t="s">
        <v>79</v>
      </c>
      <c r="Z46" s="14"/>
      <c r="AA46" s="8"/>
      <c r="AB46" s="8"/>
      <c r="AC46" s="8"/>
      <c r="AD46" s="8"/>
      <c r="AE46" s="8"/>
      <c r="AF46" s="9"/>
      <c r="AG46" s="8"/>
    </row>
    <row r="47" spans="1:55" s="29" customFormat="1" ht="16.5">
      <c r="A47" s="77" t="s">
        <v>80</v>
      </c>
      <c r="B47" s="34"/>
      <c r="C47" s="22">
        <v>1278.97793</v>
      </c>
      <c r="D47" s="22">
        <v>1496.2565400000001</v>
      </c>
      <c r="E47" s="22">
        <v>1448.9383799999998</v>
      </c>
      <c r="F47" s="22">
        <v>289.88387</v>
      </c>
      <c r="G47" s="22">
        <v>1288.09969</v>
      </c>
      <c r="H47" s="22">
        <v>1994.4718700000001</v>
      </c>
      <c r="I47" s="22">
        <v>1378.1016199999999</v>
      </c>
      <c r="J47" s="86">
        <v>2003.17138</v>
      </c>
      <c r="K47" s="59">
        <f t="shared" ref="K47:K48" si="35">D47/$D$7*100</f>
        <v>3.2832314230443809E-3</v>
      </c>
      <c r="L47" s="59">
        <f t="shared" ref="L47:L48" si="36">E47/$E$7*100</f>
        <v>3.2619669970715449E-3</v>
      </c>
      <c r="M47" s="59">
        <f t="shared" ref="M47:M48" si="37">F47/$F$7*100</f>
        <v>1.0259369626127127E-3</v>
      </c>
      <c r="N47" s="59">
        <f t="shared" ref="N47:N48" si="38">G47/$G$7*100</f>
        <v>3.368087760764468E-3</v>
      </c>
      <c r="O47" s="59">
        <f t="shared" ref="O47:O48" si="39">H47/$H$7*100</f>
        <v>3.716829732235236E-3</v>
      </c>
      <c r="P47" s="59">
        <f t="shared" ref="P47:P48" si="40">I47/$I$7*100</f>
        <v>2.0166284774606759E-3</v>
      </c>
      <c r="Q47" s="99">
        <f t="shared" si="13"/>
        <v>3.5815418779019392E-3</v>
      </c>
      <c r="R47" s="59">
        <f t="shared" ref="R47" si="41">((D47-C47)/C47)*100</f>
        <v>16.988456556087726</v>
      </c>
      <c r="S47" s="59">
        <f t="shared" ref="S47" si="42">((E47-D47)/D47)*100</f>
        <v>-3.1624363025340734</v>
      </c>
      <c r="T47" s="59">
        <f t="shared" ref="T47" si="43">((F47-E47)/E47)*100</f>
        <v>-79.993361070330678</v>
      </c>
      <c r="U47" s="59" t="s">
        <v>84</v>
      </c>
      <c r="V47" s="59">
        <f t="shared" ref="V47" si="44">((H47-G47)/G47)*100</f>
        <v>54.838316124429788</v>
      </c>
      <c r="W47" s="59">
        <f t="shared" ref="W47" si="45">((I47-H47)/H47)*100</f>
        <v>-30.903932979511019</v>
      </c>
      <c r="X47" s="99">
        <f t="shared" ref="X47" si="46">((J47-I47)/I47)*100</f>
        <v>45.357305363301158</v>
      </c>
      <c r="Y47" s="92" t="s">
        <v>81</v>
      </c>
      <c r="Z47" s="8"/>
      <c r="AA47" s="8"/>
      <c r="AB47" s="8"/>
      <c r="AC47" s="8"/>
      <c r="AD47" s="8"/>
      <c r="AE47" s="8"/>
      <c r="AF47" s="9"/>
      <c r="AG47" s="8"/>
    </row>
    <row r="48" spans="1:55" s="29" customFormat="1" ht="16.5">
      <c r="A48" s="35" t="s">
        <v>32</v>
      </c>
      <c r="B48" s="36"/>
      <c r="C48" s="85">
        <v>0</v>
      </c>
      <c r="D48" s="85">
        <v>0</v>
      </c>
      <c r="E48" s="85">
        <v>0</v>
      </c>
      <c r="F48" s="85">
        <v>0</v>
      </c>
      <c r="G48" s="85">
        <v>36.517989999999998</v>
      </c>
      <c r="H48" s="85">
        <v>0</v>
      </c>
      <c r="I48" s="37">
        <v>74.073520000000002</v>
      </c>
      <c r="J48" s="88">
        <v>24047.653850000024</v>
      </c>
      <c r="K48" s="38">
        <f t="shared" si="35"/>
        <v>0</v>
      </c>
      <c r="L48" s="38">
        <f t="shared" si="36"/>
        <v>0</v>
      </c>
      <c r="M48" s="38">
        <f t="shared" si="37"/>
        <v>0</v>
      </c>
      <c r="N48" s="38">
        <f t="shared" si="38"/>
        <v>9.5486239241870496E-5</v>
      </c>
      <c r="O48" s="38">
        <f t="shared" si="39"/>
        <v>0</v>
      </c>
      <c r="P48" s="38">
        <f t="shared" si="40"/>
        <v>1.0839459709636864E-4</v>
      </c>
      <c r="Q48" s="100">
        <f t="shared" si="13"/>
        <v>4.2995661873456326E-2</v>
      </c>
      <c r="R48" s="38" t="s">
        <v>92</v>
      </c>
      <c r="S48" s="38" t="s">
        <v>92</v>
      </c>
      <c r="T48" s="38" t="s">
        <v>92</v>
      </c>
      <c r="U48" s="38" t="s">
        <v>92</v>
      </c>
      <c r="V48" s="38" t="s">
        <v>92</v>
      </c>
      <c r="W48" s="38" t="s">
        <v>92</v>
      </c>
      <c r="X48" s="100" t="s">
        <v>84</v>
      </c>
      <c r="Y48" s="95" t="s">
        <v>33</v>
      </c>
      <c r="Z48" s="8"/>
      <c r="AA48" s="8"/>
      <c r="AB48" s="8"/>
      <c r="AC48" s="8"/>
      <c r="AD48" s="8"/>
      <c r="AE48" s="8"/>
      <c r="AF48" s="9"/>
      <c r="AG48" s="8"/>
    </row>
    <row r="49" spans="1:36" s="41" customFormat="1" ht="17.25">
      <c r="A49" s="63" t="s">
        <v>89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18"/>
      <c r="S49" s="18"/>
      <c r="T49" s="18"/>
      <c r="U49" s="18"/>
      <c r="V49" s="18"/>
      <c r="W49" s="18"/>
      <c r="X49" s="18"/>
      <c r="Z49" s="8"/>
      <c r="AA49" s="8"/>
      <c r="AB49" s="8"/>
      <c r="AC49" s="8"/>
      <c r="AD49" s="8"/>
      <c r="AE49" s="8"/>
      <c r="AF49" s="9"/>
      <c r="AG49" s="8"/>
      <c r="AJ49" s="42"/>
    </row>
    <row r="50" spans="1:36" s="29" customFormat="1" ht="15">
      <c r="A50" s="39" t="s">
        <v>82</v>
      </c>
      <c r="B50" s="43"/>
      <c r="C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54" t="s">
        <v>83</v>
      </c>
      <c r="Z50" s="33"/>
      <c r="AA50" s="33"/>
      <c r="AB50" s="33"/>
      <c r="AC50" s="33"/>
      <c r="AD50" s="33"/>
      <c r="AE50" s="33"/>
      <c r="AF50" s="64"/>
      <c r="AG50" s="33"/>
    </row>
    <row r="51" spans="1:36" s="29" customFormat="1">
      <c r="A51" s="39" t="s">
        <v>90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51" t="s">
        <v>91</v>
      </c>
      <c r="Z51" s="43"/>
      <c r="AA51" s="33"/>
      <c r="AB51" s="33"/>
      <c r="AC51" s="33"/>
      <c r="AD51" s="33"/>
      <c r="AE51" s="33"/>
      <c r="AG51" s="33"/>
    </row>
    <row r="52" spans="1:36">
      <c r="C52" s="44"/>
      <c r="D52" s="44"/>
      <c r="E52" s="44"/>
      <c r="F52" s="44"/>
      <c r="G52" s="44"/>
      <c r="H52" s="44"/>
      <c r="I52" s="44"/>
      <c r="J52" s="44"/>
      <c r="Z52" s="28"/>
      <c r="AA52" s="8"/>
      <c r="AB52" s="8"/>
      <c r="AC52" s="8"/>
      <c r="AD52" s="8"/>
      <c r="AE52" s="8"/>
      <c r="AG52" s="8"/>
    </row>
    <row r="53" spans="1:36">
      <c r="C53" s="44"/>
      <c r="D53" s="44"/>
      <c r="E53" s="44"/>
      <c r="F53" s="44"/>
      <c r="G53" s="44"/>
      <c r="H53" s="44"/>
      <c r="I53" s="44"/>
      <c r="J53" s="44"/>
      <c r="Z53" s="28"/>
      <c r="AA53" s="8"/>
      <c r="AB53" s="8"/>
      <c r="AC53" s="8"/>
      <c r="AD53" s="8"/>
      <c r="AE53" s="8"/>
      <c r="AF53" s="15"/>
      <c r="AG53" s="8"/>
    </row>
    <row r="54" spans="1:36" ht="15.75">
      <c r="C54" s="44"/>
      <c r="D54" s="44"/>
      <c r="E54" s="44"/>
      <c r="F54" s="44"/>
      <c r="G54" s="44"/>
      <c r="H54" s="44"/>
      <c r="I54" s="44"/>
      <c r="J54" s="44"/>
      <c r="Y54" s="102"/>
      <c r="Z54" s="102"/>
      <c r="AA54" s="102"/>
      <c r="AB54" s="102"/>
      <c r="AC54" s="102"/>
      <c r="AD54" s="102"/>
      <c r="AE54" s="8"/>
    </row>
    <row r="55" spans="1:36" ht="15.75">
      <c r="C55" s="44"/>
      <c r="D55" s="44"/>
      <c r="E55" s="44"/>
      <c r="F55" s="44"/>
      <c r="G55" s="44"/>
      <c r="H55" s="44"/>
      <c r="I55" s="44"/>
      <c r="J55" s="44"/>
      <c r="Y55" s="102"/>
      <c r="Z55" s="102"/>
      <c r="AA55" s="102"/>
      <c r="AB55" s="102"/>
      <c r="AC55" s="102"/>
      <c r="AD55" s="102"/>
      <c r="AE55" s="8"/>
      <c r="AF55" s="45"/>
    </row>
    <row r="56" spans="1:36">
      <c r="Z56" s="28"/>
      <c r="AA56" s="8"/>
      <c r="AB56" s="8"/>
      <c r="AC56" s="8"/>
      <c r="AD56" s="8"/>
      <c r="AE56" s="8"/>
    </row>
    <row r="57" spans="1:36">
      <c r="Z57" s="28"/>
      <c r="AA57" s="8"/>
      <c r="AB57" s="8"/>
      <c r="AC57" s="8"/>
      <c r="AD57" s="8"/>
      <c r="AE57" s="8"/>
    </row>
    <row r="58" spans="1:36">
      <c r="Z58" s="28"/>
      <c r="AA58" s="8"/>
      <c r="AB58" s="8"/>
      <c r="AC58" s="8"/>
      <c r="AD58" s="8"/>
      <c r="AE58" s="8"/>
    </row>
    <row r="59" spans="1:36">
      <c r="Z59" s="28"/>
      <c r="AA59" s="8"/>
      <c r="AB59" s="8"/>
      <c r="AC59" s="8"/>
      <c r="AD59" s="8"/>
      <c r="AE59" s="8"/>
    </row>
    <row r="60" spans="1:36">
      <c r="Z60" s="28"/>
      <c r="AA60" s="8"/>
      <c r="AB60" s="8"/>
      <c r="AC60" s="8"/>
      <c r="AD60" s="8"/>
      <c r="AE60" s="8"/>
    </row>
    <row r="61" spans="1:36">
      <c r="Z61" s="28"/>
      <c r="AA61" s="8"/>
      <c r="AB61" s="8"/>
      <c r="AC61" s="8"/>
      <c r="AD61" s="8"/>
      <c r="AE61" s="8"/>
    </row>
    <row r="62" spans="1:36">
      <c r="C62" s="46"/>
      <c r="D62" s="46"/>
      <c r="E62" s="46"/>
      <c r="F62" s="46"/>
      <c r="G62" s="46"/>
      <c r="H62" s="46"/>
      <c r="I62" s="46"/>
      <c r="J62" s="46"/>
      <c r="Z62" s="28"/>
      <c r="AA62" s="8"/>
      <c r="AB62" s="8"/>
      <c r="AC62" s="8"/>
      <c r="AD62" s="8"/>
      <c r="AE62" s="8"/>
    </row>
    <row r="63" spans="1:36">
      <c r="C63" s="46"/>
      <c r="D63" s="46"/>
      <c r="E63" s="46"/>
      <c r="F63" s="46"/>
      <c r="G63" s="46"/>
      <c r="H63" s="46"/>
      <c r="I63" s="46"/>
      <c r="J63" s="46"/>
      <c r="Z63" s="28"/>
      <c r="AA63" s="8"/>
      <c r="AB63" s="8"/>
      <c r="AC63" s="8"/>
      <c r="AD63" s="8"/>
      <c r="AE63" s="8"/>
    </row>
    <row r="64" spans="1:36">
      <c r="A64" s="47"/>
      <c r="B64" s="48"/>
      <c r="C64" s="46"/>
      <c r="D64" s="46"/>
      <c r="E64" s="46"/>
      <c r="F64" s="46"/>
      <c r="G64" s="46"/>
      <c r="H64" s="46"/>
      <c r="I64" s="46"/>
      <c r="J64" s="46"/>
      <c r="Z64" s="28"/>
      <c r="AA64" s="8"/>
      <c r="AB64" s="8"/>
      <c r="AC64" s="8"/>
      <c r="AD64" s="8"/>
      <c r="AE64" s="8"/>
    </row>
    <row r="65" spans="1:31">
      <c r="A65" s="47"/>
      <c r="B65" s="48"/>
      <c r="C65" s="46"/>
      <c r="D65" s="46"/>
      <c r="E65" s="46"/>
      <c r="F65" s="46"/>
      <c r="G65" s="46"/>
      <c r="H65" s="46"/>
      <c r="I65" s="46"/>
      <c r="J65" s="46"/>
      <c r="Z65" s="28"/>
      <c r="AA65" s="8"/>
      <c r="AB65" s="8"/>
      <c r="AC65" s="8"/>
      <c r="AD65" s="8"/>
      <c r="AE65" s="8"/>
    </row>
    <row r="66" spans="1:31">
      <c r="C66" s="46"/>
      <c r="D66" s="46"/>
      <c r="E66" s="46"/>
      <c r="F66" s="46"/>
      <c r="G66" s="46"/>
      <c r="H66" s="46"/>
      <c r="I66" s="46"/>
      <c r="J66" s="46"/>
      <c r="Z66" s="28"/>
    </row>
    <row r="67" spans="1:31">
      <c r="C67" s="46"/>
      <c r="D67" s="46"/>
      <c r="E67" s="46"/>
      <c r="F67" s="46"/>
      <c r="G67" s="46"/>
      <c r="H67" s="46"/>
      <c r="I67" s="46"/>
      <c r="J67" s="46"/>
      <c r="Z67" s="28"/>
    </row>
    <row r="68" spans="1:31">
      <c r="C68" s="46"/>
      <c r="D68" s="46"/>
      <c r="E68" s="46"/>
      <c r="F68" s="46"/>
      <c r="G68" s="46"/>
      <c r="H68" s="46"/>
      <c r="I68" s="46"/>
      <c r="J68" s="46"/>
      <c r="Z68" s="28"/>
    </row>
    <row r="69" spans="1:31">
      <c r="Z69" s="28"/>
    </row>
    <row r="70" spans="1:31">
      <c r="Z70" s="28"/>
    </row>
    <row r="71" spans="1:31">
      <c r="Z71" s="28"/>
    </row>
    <row r="72" spans="1:31">
      <c r="Z72" s="28"/>
    </row>
    <row r="73" spans="1:31">
      <c r="Z73" s="28"/>
    </row>
    <row r="74" spans="1:31">
      <c r="Z74" s="28"/>
    </row>
    <row r="75" spans="1:31">
      <c r="Z75" s="28"/>
    </row>
    <row r="76" spans="1:31">
      <c r="Z76" s="28"/>
    </row>
    <row r="77" spans="1:31">
      <c r="Z77" s="28"/>
    </row>
    <row r="78" spans="1:31">
      <c r="Z78" s="28"/>
    </row>
    <row r="79" spans="1:31">
      <c r="Z79" s="28"/>
    </row>
    <row r="80" spans="1:31">
      <c r="Z80" s="28"/>
    </row>
  </sheetData>
  <mergeCells count="10">
    <mergeCell ref="A1:Y1"/>
    <mergeCell ref="A2:Y2"/>
    <mergeCell ref="A4:A6"/>
    <mergeCell ref="Y4:Y6"/>
    <mergeCell ref="B4:J4"/>
    <mergeCell ref="B5:J5"/>
    <mergeCell ref="K4:Q4"/>
    <mergeCell ref="K5:Q5"/>
    <mergeCell ref="R4:X4"/>
    <mergeCell ref="R5:X5"/>
  </mergeCells>
  <pageMargins left="0.7" right="0.7" top="0.75" bottom="0.75" header="0.3" footer="0.3"/>
  <pageSetup paperSize="9" scale="40" orientation="portrait" horizontalDpi="4294967295" verticalDpi="4294967295" r:id="rId1"/>
  <colBreaks count="1" manualBreakCount="1">
    <brk id="26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2025-06-01T07:06:45Z</cp:lastPrinted>
  <dcterms:created xsi:type="dcterms:W3CDTF">2019-12-05T04:01:34Z</dcterms:created>
  <dcterms:modified xsi:type="dcterms:W3CDTF">2025-06-01T07:09:19Z</dcterms:modified>
</cp:coreProperties>
</file>