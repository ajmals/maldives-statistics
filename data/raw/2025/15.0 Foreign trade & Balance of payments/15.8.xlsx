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B72630DB-D87B-4995-ABCB-C0053ECE4EBD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8" sheetId="8" r:id="rId1"/>
  </sheets>
  <definedNames>
    <definedName name="_xlnm.Print_Area" localSheetId="0">'15.8'!$A$1:$AI$147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" i="8" l="1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6" i="8"/>
  <c r="AI27" i="8"/>
  <c r="AI29" i="8"/>
  <c r="AI30" i="8"/>
  <c r="AI31" i="8"/>
  <c r="AI32" i="8"/>
  <c r="AI33" i="8"/>
  <c r="AI34" i="8"/>
  <c r="AI35" i="8"/>
  <c r="AI36" i="8"/>
  <c r="AI37" i="8"/>
  <c r="AI38" i="8"/>
  <c r="AI40" i="8"/>
  <c r="AI41" i="8"/>
  <c r="AI43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8" i="8"/>
  <c r="AI59" i="8"/>
  <c r="AI60" i="8"/>
  <c r="AI62" i="8"/>
  <c r="AI63" i="8"/>
  <c r="AI64" i="8"/>
  <c r="AI65" i="8"/>
  <c r="AI67" i="8"/>
  <c r="AI68" i="8"/>
  <c r="AI69" i="8"/>
  <c r="AI70" i="8"/>
  <c r="AI72" i="8"/>
  <c r="AI73" i="8"/>
  <c r="AI74" i="8"/>
  <c r="AI75" i="8"/>
  <c r="AI77" i="8"/>
  <c r="AI78" i="8"/>
  <c r="AI79" i="8"/>
  <c r="AI80" i="8"/>
  <c r="AI81" i="8"/>
  <c r="AI82" i="8"/>
  <c r="AI83" i="8"/>
  <c r="AI84" i="8"/>
  <c r="AI85" i="8"/>
  <c r="AI86" i="8"/>
  <c r="AI87" i="8"/>
  <c r="AI89" i="8"/>
  <c r="AI90" i="8"/>
  <c r="AI91" i="8"/>
  <c r="AI93" i="8"/>
  <c r="AI94" i="8"/>
  <c r="AI95" i="8"/>
  <c r="AI96" i="8"/>
  <c r="AI97" i="8"/>
  <c r="AI99" i="8"/>
  <c r="AI100" i="8"/>
  <c r="AI101" i="8"/>
  <c r="AI102" i="8"/>
  <c r="AI104" i="8"/>
  <c r="AI105" i="8"/>
  <c r="AI107" i="8"/>
  <c r="AI108" i="8"/>
  <c r="AI109" i="8"/>
  <c r="AI110" i="8"/>
  <c r="AI111" i="8"/>
  <c r="AI112" i="8"/>
  <c r="AI113" i="8"/>
  <c r="AI114" i="8"/>
  <c r="AI116" i="8"/>
  <c r="AI117" i="8"/>
  <c r="AI118" i="8"/>
  <c r="AI120" i="8"/>
  <c r="AI121" i="8"/>
  <c r="AI122" i="8"/>
  <c r="AI124" i="8"/>
  <c r="AI125" i="8"/>
  <c r="AI126" i="8"/>
  <c r="AI127" i="8"/>
  <c r="AI128" i="8"/>
  <c r="AI130" i="8"/>
  <c r="AI131" i="8"/>
  <c r="AI132" i="8"/>
  <c r="AI133" i="8"/>
  <c r="AI138" i="8"/>
  <c r="AI139" i="8"/>
  <c r="AI140" i="8"/>
  <c r="AI141" i="8"/>
  <c r="AI6" i="8"/>
  <c r="AH6" i="8"/>
  <c r="X9" i="8"/>
  <c r="X10" i="8"/>
  <c r="X11" i="8"/>
  <c r="X12" i="8"/>
  <c r="X13" i="8"/>
  <c r="X15" i="8"/>
  <c r="X16" i="8"/>
  <c r="X17" i="8"/>
  <c r="X18" i="8"/>
  <c r="X19" i="8"/>
  <c r="X20" i="8"/>
  <c r="X21" i="8"/>
  <c r="X22" i="8"/>
  <c r="X23" i="8"/>
  <c r="X24" i="8"/>
  <c r="X26" i="8"/>
  <c r="X27" i="8"/>
  <c r="X29" i="8"/>
  <c r="X30" i="8"/>
  <c r="X31" i="8"/>
  <c r="X32" i="8"/>
  <c r="X33" i="8"/>
  <c r="X34" i="8"/>
  <c r="X35" i="8"/>
  <c r="X36" i="8"/>
  <c r="X37" i="8"/>
  <c r="X38" i="8"/>
  <c r="X40" i="8"/>
  <c r="X41" i="8"/>
  <c r="X42" i="8"/>
  <c r="X43" i="8"/>
  <c r="X45" i="8"/>
  <c r="X46" i="8"/>
  <c r="X47" i="8"/>
  <c r="X48" i="8"/>
  <c r="X49" i="8"/>
  <c r="X50" i="8"/>
  <c r="X51" i="8"/>
  <c r="X52" i="8"/>
  <c r="X53" i="8"/>
  <c r="X54" i="8"/>
  <c r="X55" i="8"/>
  <c r="X56" i="8"/>
  <c r="X58" i="8"/>
  <c r="X59" i="8"/>
  <c r="X60" i="8"/>
  <c r="X62" i="8"/>
  <c r="X63" i="8"/>
  <c r="X64" i="8"/>
  <c r="X65" i="8"/>
  <c r="X67" i="8"/>
  <c r="X68" i="8"/>
  <c r="X69" i="8"/>
  <c r="X70" i="8"/>
  <c r="X71" i="8"/>
  <c r="X72" i="8"/>
  <c r="X73" i="8"/>
  <c r="X74" i="8"/>
  <c r="X75" i="8"/>
  <c r="X77" i="8"/>
  <c r="X78" i="8"/>
  <c r="X79" i="8"/>
  <c r="X80" i="8"/>
  <c r="X81" i="8"/>
  <c r="X82" i="8"/>
  <c r="X83" i="8"/>
  <c r="X84" i="8"/>
  <c r="X85" i="8"/>
  <c r="X86" i="8"/>
  <c r="X87" i="8"/>
  <c r="X89" i="8"/>
  <c r="X90" i="8"/>
  <c r="X91" i="8"/>
  <c r="X93" i="8"/>
  <c r="X94" i="8"/>
  <c r="X95" i="8"/>
  <c r="X96" i="8"/>
  <c r="X97" i="8"/>
  <c r="X99" i="8"/>
  <c r="X100" i="8"/>
  <c r="X101" i="8"/>
  <c r="X102" i="8"/>
  <c r="X103" i="8"/>
  <c r="X104" i="8"/>
  <c r="X105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20" i="8"/>
  <c r="X121" i="8"/>
  <c r="X122" i="8"/>
  <c r="X124" i="8"/>
  <c r="X125" i="8"/>
  <c r="X126" i="8"/>
  <c r="X127" i="8"/>
  <c r="X128" i="8"/>
  <c r="X130" i="8"/>
  <c r="X131" i="8"/>
  <c r="X132" i="8"/>
  <c r="X133" i="8"/>
  <c r="X135" i="8"/>
  <c r="X136" i="8"/>
  <c r="X137" i="8"/>
  <c r="X138" i="8"/>
  <c r="X139" i="8"/>
  <c r="X140" i="8"/>
  <c r="X141" i="8"/>
  <c r="X143" i="8"/>
  <c r="X144" i="8"/>
  <c r="X8" i="8"/>
  <c r="X6" i="8" l="1"/>
  <c r="L143" i="8"/>
  <c r="M143" i="8"/>
  <c r="L138" i="8"/>
  <c r="M138" i="8"/>
  <c r="L135" i="8"/>
  <c r="M135" i="8"/>
  <c r="L130" i="8"/>
  <c r="M130" i="8"/>
  <c r="L124" i="8"/>
  <c r="M124" i="8"/>
  <c r="L120" i="8"/>
  <c r="M120" i="8"/>
  <c r="L107" i="8"/>
  <c r="M107" i="8"/>
  <c r="L104" i="8"/>
  <c r="M104" i="8"/>
  <c r="L99" i="8"/>
  <c r="M99" i="8"/>
  <c r="L93" i="8"/>
  <c r="M93" i="8"/>
  <c r="L77" i="8"/>
  <c r="M77" i="8"/>
  <c r="L72" i="8"/>
  <c r="M72" i="8"/>
  <c r="L67" i="8"/>
  <c r="M67" i="8"/>
  <c r="L62" i="8"/>
  <c r="M62" i="8"/>
  <c r="L58" i="8"/>
  <c r="M58" i="8"/>
  <c r="L45" i="8"/>
  <c r="M45" i="8"/>
  <c r="L40" i="8"/>
  <c r="M40" i="8"/>
  <c r="L29" i="8"/>
  <c r="M29" i="8"/>
  <c r="L26" i="8"/>
  <c r="M26" i="8"/>
  <c r="L15" i="8"/>
  <c r="M15" i="8"/>
  <c r="L8" i="8"/>
  <c r="M8" i="8"/>
  <c r="AG9" i="8"/>
  <c r="AH10" i="8"/>
  <c r="M6" i="8" l="1"/>
  <c r="L6" i="8"/>
  <c r="AG16" i="8"/>
  <c r="AH16" i="8"/>
  <c r="AG17" i="8"/>
  <c r="AH17" i="8"/>
  <c r="AG18" i="8"/>
  <c r="AH18" i="8"/>
  <c r="AG19" i="8"/>
  <c r="AH19" i="8"/>
  <c r="AG20" i="8"/>
  <c r="AH20" i="8"/>
  <c r="AG21" i="8"/>
  <c r="AH21" i="8"/>
  <c r="AG22" i="8"/>
  <c r="AH22" i="8"/>
  <c r="AG23" i="8"/>
  <c r="AH23" i="8"/>
  <c r="AG24" i="8"/>
  <c r="AH24" i="8"/>
  <c r="AG27" i="8"/>
  <c r="AH27" i="8"/>
  <c r="AG30" i="8"/>
  <c r="AH30" i="8"/>
  <c r="AG31" i="8"/>
  <c r="AH31" i="8"/>
  <c r="AG32" i="8"/>
  <c r="AH32" i="8"/>
  <c r="AG33" i="8"/>
  <c r="AH33" i="8"/>
  <c r="AG34" i="8"/>
  <c r="AH34" i="8"/>
  <c r="AG35" i="8"/>
  <c r="AH35" i="8"/>
  <c r="AG36" i="8"/>
  <c r="AH36" i="8"/>
  <c r="AG37" i="8"/>
  <c r="AH37" i="8"/>
  <c r="AG38" i="8"/>
  <c r="AH38" i="8"/>
  <c r="AG41" i="8"/>
  <c r="AH41" i="8"/>
  <c r="AG43" i="8"/>
  <c r="AH43" i="8"/>
  <c r="AG46" i="8"/>
  <c r="AH46" i="8"/>
  <c r="AG47" i="8"/>
  <c r="AH47" i="8"/>
  <c r="AG48" i="8"/>
  <c r="AH48" i="8"/>
  <c r="AG49" i="8"/>
  <c r="AH49" i="8"/>
  <c r="AG50" i="8"/>
  <c r="AH50" i="8"/>
  <c r="AG51" i="8"/>
  <c r="AH51" i="8"/>
  <c r="AG52" i="8"/>
  <c r="AH52" i="8"/>
  <c r="AG53" i="8"/>
  <c r="AH53" i="8"/>
  <c r="AG54" i="8"/>
  <c r="AH54" i="8"/>
  <c r="AG55" i="8"/>
  <c r="AH55" i="8"/>
  <c r="AG56" i="8"/>
  <c r="AH56" i="8"/>
  <c r="AG59" i="8"/>
  <c r="AH59" i="8"/>
  <c r="AG60" i="8"/>
  <c r="AH60" i="8"/>
  <c r="AG63" i="8"/>
  <c r="AH63" i="8"/>
  <c r="AG64" i="8"/>
  <c r="AH64" i="8"/>
  <c r="AH65" i="8"/>
  <c r="AG68" i="8"/>
  <c r="AH68" i="8"/>
  <c r="AG69" i="8"/>
  <c r="AH69" i="8"/>
  <c r="AG70" i="8"/>
  <c r="AH70" i="8"/>
  <c r="AG73" i="8"/>
  <c r="AH73" i="8"/>
  <c r="AG74" i="8"/>
  <c r="AH74" i="8"/>
  <c r="AG75" i="8"/>
  <c r="AH75" i="8"/>
  <c r="AG78" i="8"/>
  <c r="AH78" i="8"/>
  <c r="AG79" i="8"/>
  <c r="AH79" i="8"/>
  <c r="AG80" i="8"/>
  <c r="AH80" i="8"/>
  <c r="AG81" i="8"/>
  <c r="AH81" i="8"/>
  <c r="AG82" i="8"/>
  <c r="AH82" i="8"/>
  <c r="AG83" i="8"/>
  <c r="AH83" i="8"/>
  <c r="AG84" i="8"/>
  <c r="AH84" i="8"/>
  <c r="AG85" i="8"/>
  <c r="AH85" i="8"/>
  <c r="AG86" i="8"/>
  <c r="AH86" i="8"/>
  <c r="AG87" i="8"/>
  <c r="AH87" i="8"/>
  <c r="AG89" i="8"/>
  <c r="AH89" i="8"/>
  <c r="AG90" i="8"/>
  <c r="AH90" i="8"/>
  <c r="AG91" i="8"/>
  <c r="AH91" i="8"/>
  <c r="AG94" i="8"/>
  <c r="AH94" i="8"/>
  <c r="AG95" i="8"/>
  <c r="AH95" i="8"/>
  <c r="AG96" i="8"/>
  <c r="AH96" i="8"/>
  <c r="AG97" i="8"/>
  <c r="AH97" i="8"/>
  <c r="AG100" i="8"/>
  <c r="AH100" i="8"/>
  <c r="AG101" i="8"/>
  <c r="AH101" i="8"/>
  <c r="AG102" i="8"/>
  <c r="AH102" i="8"/>
  <c r="AG105" i="8"/>
  <c r="AH105" i="8"/>
  <c r="AG108" i="8"/>
  <c r="AH108" i="8"/>
  <c r="AG109" i="8"/>
  <c r="AH109" i="8"/>
  <c r="AG110" i="8"/>
  <c r="AH110" i="8"/>
  <c r="AH111" i="8"/>
  <c r="AG112" i="8"/>
  <c r="AH112" i="8"/>
  <c r="AG113" i="8"/>
  <c r="AH113" i="8"/>
  <c r="AG114" i="8"/>
  <c r="AH114" i="8"/>
  <c r="AH116" i="8"/>
  <c r="AG117" i="8"/>
  <c r="AH117" i="8"/>
  <c r="AG118" i="8"/>
  <c r="AH118" i="8"/>
  <c r="AG121" i="8"/>
  <c r="AH121" i="8"/>
  <c r="AG122" i="8"/>
  <c r="AH122" i="8"/>
  <c r="AH125" i="8"/>
  <c r="AG126" i="8"/>
  <c r="AH126" i="8"/>
  <c r="AH127" i="8"/>
  <c r="AH128" i="8"/>
  <c r="AG131" i="8"/>
  <c r="AH131" i="8"/>
  <c r="AG132" i="8"/>
  <c r="AH132" i="8"/>
  <c r="AG133" i="8"/>
  <c r="AH133" i="8"/>
  <c r="AH136" i="8"/>
  <c r="AG139" i="8"/>
  <c r="AH139" i="8"/>
  <c r="AG140" i="8"/>
  <c r="AH140" i="8"/>
  <c r="AG141" i="8"/>
  <c r="AH141" i="8"/>
  <c r="AG144" i="8"/>
  <c r="AH144" i="8"/>
  <c r="AH9" i="8"/>
  <c r="AG10" i="8"/>
  <c r="AG11" i="8"/>
  <c r="AH11" i="8"/>
  <c r="AG12" i="8"/>
  <c r="AH12" i="8"/>
  <c r="AG13" i="8"/>
  <c r="AH13" i="8"/>
  <c r="W23" i="8" l="1"/>
  <c r="W12" i="8"/>
  <c r="W35" i="8"/>
  <c r="W127" i="8"/>
  <c r="W36" i="8"/>
  <c r="W91" i="8"/>
  <c r="W26" i="8"/>
  <c r="W143" i="8"/>
  <c r="W29" i="8"/>
  <c r="W95" i="8"/>
  <c r="W20" i="8"/>
  <c r="W27" i="8"/>
  <c r="W84" i="8"/>
  <c r="W46" i="8"/>
  <c r="W10" i="8"/>
  <c r="W41" i="8"/>
  <c r="W104" i="8"/>
  <c r="W89" i="8"/>
  <c r="W54" i="8"/>
  <c r="W51" i="8"/>
  <c r="W73" i="8"/>
  <c r="W31" i="8"/>
  <c r="W62" i="8"/>
  <c r="W24" i="8"/>
  <c r="W75" i="8"/>
  <c r="W52" i="8"/>
  <c r="W55" i="8"/>
  <c r="W63" i="8"/>
  <c r="W78" i="8"/>
  <c r="W117" i="8"/>
  <c r="W64" i="8"/>
  <c r="W100" i="8"/>
  <c r="W65" i="8"/>
  <c r="W77" i="8"/>
  <c r="W87" i="8"/>
  <c r="W128" i="8"/>
  <c r="W138" i="8"/>
  <c r="W17" i="8"/>
  <c r="W18" i="8"/>
  <c r="W21" i="8"/>
  <c r="W43" i="8"/>
  <c r="W80" i="8"/>
  <c r="W99" i="8"/>
  <c r="W120" i="8"/>
  <c r="W9" i="8"/>
  <c r="W83" i="8"/>
  <c r="W140" i="8"/>
  <c r="W79" i="8"/>
  <c r="W40" i="8"/>
  <c r="W45" i="8"/>
  <c r="W56" i="8"/>
  <c r="W86" i="8"/>
  <c r="W47" i="8"/>
  <c r="W121" i="8"/>
  <c r="W112" i="8"/>
  <c r="W58" i="8"/>
  <c r="W108" i="8"/>
  <c r="W93" i="8"/>
  <c r="W53" i="8"/>
  <c r="W144" i="8"/>
  <c r="W105" i="8"/>
  <c r="W90" i="8"/>
  <c r="W136" i="8"/>
  <c r="W126" i="8"/>
  <c r="W74" i="8"/>
  <c r="W97" i="8"/>
  <c r="W67" i="8"/>
  <c r="W72" i="8"/>
  <c r="W118" i="8"/>
  <c r="W122" i="8"/>
  <c r="W70" i="8"/>
  <c r="W141" i="8"/>
  <c r="W116" i="8"/>
  <c r="W42" i="8"/>
  <c r="W135" i="8"/>
  <c r="W11" i="8"/>
  <c r="W81" i="8"/>
  <c r="W85" i="8"/>
  <c r="W16" i="8"/>
  <c r="W133" i="8"/>
  <c r="W22" i="8"/>
  <c r="W109" i="8"/>
  <c r="W33" i="8"/>
  <c r="W49" i="8"/>
  <c r="W38" i="8"/>
  <c r="W13" i="8"/>
  <c r="W32" i="8"/>
  <c r="W60" i="8"/>
  <c r="W19" i="8"/>
  <c r="W139" i="8"/>
  <c r="W48" i="8"/>
  <c r="W101" i="8"/>
  <c r="W111" i="8"/>
  <c r="W34" i="8"/>
  <c r="W102" i="8"/>
  <c r="W30" i="8"/>
  <c r="W96" i="8"/>
  <c r="W37" i="8"/>
  <c r="W94" i="8"/>
  <c r="W68" i="8"/>
  <c r="W113" i="8"/>
  <c r="W132" i="8"/>
  <c r="W107" i="8"/>
  <c r="W69" i="8"/>
  <c r="W50" i="8"/>
  <c r="W8" i="8"/>
  <c r="W115" i="8"/>
  <c r="W131" i="8"/>
  <c r="W15" i="8"/>
  <c r="W130" i="8"/>
  <c r="W103" i="8"/>
  <c r="W59" i="8"/>
  <c r="W82" i="8"/>
  <c r="W110" i="8"/>
  <c r="W124" i="8"/>
  <c r="W114" i="8"/>
  <c r="W125" i="8"/>
  <c r="AF10" i="8" l="1"/>
  <c r="AF11" i="8"/>
  <c r="AF12" i="8"/>
  <c r="AF13" i="8"/>
  <c r="AF16" i="8"/>
  <c r="AF17" i="8"/>
  <c r="AF18" i="8"/>
  <c r="AF19" i="8"/>
  <c r="AF20" i="8"/>
  <c r="AF21" i="8"/>
  <c r="AF22" i="8"/>
  <c r="AF23" i="8"/>
  <c r="AF24" i="8"/>
  <c r="AF27" i="8"/>
  <c r="AF30" i="8"/>
  <c r="AF31" i="8"/>
  <c r="AF32" i="8"/>
  <c r="AF33" i="8"/>
  <c r="AF34" i="8"/>
  <c r="AF35" i="8"/>
  <c r="AF36" i="8"/>
  <c r="AF37" i="8"/>
  <c r="AF38" i="8"/>
  <c r="AF41" i="8"/>
  <c r="AF42" i="8"/>
  <c r="AF43" i="8"/>
  <c r="AF46" i="8"/>
  <c r="AF47" i="8"/>
  <c r="AF48" i="8"/>
  <c r="AF49" i="8"/>
  <c r="AF50" i="8"/>
  <c r="AF51" i="8"/>
  <c r="AF52" i="8"/>
  <c r="AF53" i="8"/>
  <c r="AF54" i="8"/>
  <c r="AF55" i="8"/>
  <c r="AF56" i="8"/>
  <c r="AF59" i="8"/>
  <c r="AF60" i="8"/>
  <c r="AF64" i="8"/>
  <c r="AF65" i="8"/>
  <c r="AF68" i="8"/>
  <c r="AF69" i="8"/>
  <c r="AF70" i="8"/>
  <c r="AF73" i="8"/>
  <c r="AF74" i="8"/>
  <c r="AF78" i="8"/>
  <c r="AF80" i="8"/>
  <c r="AF81" i="8"/>
  <c r="AF82" i="8"/>
  <c r="AF83" i="8"/>
  <c r="AF84" i="8"/>
  <c r="AF85" i="8"/>
  <c r="AF86" i="8"/>
  <c r="AF87" i="8"/>
  <c r="AF89" i="8"/>
  <c r="AF90" i="8"/>
  <c r="AF91" i="8"/>
  <c r="AF94" i="8"/>
  <c r="AF95" i="8"/>
  <c r="AF96" i="8"/>
  <c r="AF100" i="8"/>
  <c r="AF101" i="8"/>
  <c r="AF102" i="8"/>
  <c r="AF105" i="8"/>
  <c r="AF108" i="8"/>
  <c r="AF109" i="8"/>
  <c r="AF110" i="8"/>
  <c r="AF112" i="8"/>
  <c r="AF113" i="8"/>
  <c r="AF114" i="8"/>
  <c r="AF115" i="8"/>
  <c r="AF116" i="8"/>
  <c r="AF117" i="8"/>
  <c r="AF118" i="8"/>
  <c r="AF121" i="8"/>
  <c r="AF122" i="8"/>
  <c r="AF125" i="8"/>
  <c r="AF126" i="8"/>
  <c r="AF128" i="8"/>
  <c r="AF131" i="8"/>
  <c r="AF132" i="8"/>
  <c r="AF133" i="8"/>
  <c r="AF139" i="8"/>
  <c r="AF140" i="8"/>
  <c r="AF141" i="8"/>
  <c r="AF144" i="8"/>
  <c r="J8" i="8"/>
  <c r="K8" i="8"/>
  <c r="AH8" i="8" s="1"/>
  <c r="J15" i="8"/>
  <c r="K15" i="8"/>
  <c r="AH15" i="8" s="1"/>
  <c r="J26" i="8"/>
  <c r="K26" i="8"/>
  <c r="J29" i="8"/>
  <c r="K29" i="8"/>
  <c r="J40" i="8"/>
  <c r="K40" i="8"/>
  <c r="J45" i="8"/>
  <c r="K45" i="8"/>
  <c r="J58" i="8"/>
  <c r="K58" i="8"/>
  <c r="J62" i="8"/>
  <c r="K62" i="8"/>
  <c r="J67" i="8"/>
  <c r="K67" i="8"/>
  <c r="J72" i="8"/>
  <c r="K72" i="8"/>
  <c r="J77" i="8"/>
  <c r="K77" i="8"/>
  <c r="J93" i="8"/>
  <c r="K93" i="8"/>
  <c r="J99" i="8"/>
  <c r="K99" i="8"/>
  <c r="J104" i="8"/>
  <c r="K104" i="8"/>
  <c r="J107" i="8"/>
  <c r="K107" i="8"/>
  <c r="J120" i="8"/>
  <c r="K120" i="8"/>
  <c r="J124" i="8"/>
  <c r="K124" i="8"/>
  <c r="J130" i="8"/>
  <c r="K130" i="8"/>
  <c r="J135" i="8"/>
  <c r="K135" i="8"/>
  <c r="J138" i="8"/>
  <c r="K138" i="8"/>
  <c r="J143" i="8"/>
  <c r="K143" i="8"/>
  <c r="AH143" i="8" l="1"/>
  <c r="AG143" i="8"/>
  <c r="AG26" i="8"/>
  <c r="AH26" i="8"/>
  <c r="AG138" i="8"/>
  <c r="AH138" i="8"/>
  <c r="AG104" i="8"/>
  <c r="AH104" i="8"/>
  <c r="AH62" i="8"/>
  <c r="AG62" i="8"/>
  <c r="AG15" i="8"/>
  <c r="AH135" i="8"/>
  <c r="AG99" i="8"/>
  <c r="AH99" i="8"/>
  <c r="AG58" i="8"/>
  <c r="AH58" i="8"/>
  <c r="AG72" i="8"/>
  <c r="AH72" i="8"/>
  <c r="AG130" i="8"/>
  <c r="AH130" i="8"/>
  <c r="AH93" i="8"/>
  <c r="AG93" i="8"/>
  <c r="AG45" i="8"/>
  <c r="AH45" i="8"/>
  <c r="AG120" i="8"/>
  <c r="AH120" i="8"/>
  <c r="AG107" i="8"/>
  <c r="AH107" i="8"/>
  <c r="AG124" i="8"/>
  <c r="AH124" i="8"/>
  <c r="AH77" i="8"/>
  <c r="AG77" i="8"/>
  <c r="AG40" i="8"/>
  <c r="AH40" i="8"/>
  <c r="AH29" i="8"/>
  <c r="AG29" i="8"/>
  <c r="AG67" i="8"/>
  <c r="AH67" i="8"/>
  <c r="AG8" i="8"/>
  <c r="K6" i="8"/>
  <c r="J6" i="8"/>
  <c r="U93" i="8" s="1"/>
  <c r="AG6" i="8" l="1"/>
  <c r="U29" i="8"/>
  <c r="U120" i="8"/>
  <c r="U77" i="8"/>
  <c r="V104" i="8"/>
  <c r="U8" i="8"/>
  <c r="U62" i="8"/>
  <c r="U124" i="8"/>
  <c r="V130" i="8"/>
  <c r="V26" i="8"/>
  <c r="V40" i="8"/>
  <c r="U67" i="8"/>
  <c r="V107" i="8"/>
  <c r="U15" i="8"/>
  <c r="V77" i="8"/>
  <c r="U58" i="8"/>
  <c r="U104" i="8"/>
  <c r="U72" i="8"/>
  <c r="V124" i="8"/>
  <c r="U99" i="8"/>
  <c r="U138" i="8"/>
  <c r="U135" i="8"/>
  <c r="V29" i="8"/>
  <c r="U45" i="8"/>
  <c r="V8" i="8"/>
  <c r="V15" i="8"/>
  <c r="V72" i="8"/>
  <c r="V58" i="8"/>
  <c r="V62" i="8"/>
  <c r="U12" i="8"/>
  <c r="U18" i="8"/>
  <c r="U24" i="8"/>
  <c r="U31" i="8"/>
  <c r="U37" i="8"/>
  <c r="U51" i="8"/>
  <c r="U65" i="8"/>
  <c r="U79" i="8"/>
  <c r="U85" i="8"/>
  <c r="U100" i="8"/>
  <c r="U113" i="8"/>
  <c r="U127" i="8"/>
  <c r="U144" i="8"/>
  <c r="U64" i="8"/>
  <c r="U84" i="8"/>
  <c r="U50" i="8"/>
  <c r="U13" i="8"/>
  <c r="U19" i="8"/>
  <c r="U32" i="8"/>
  <c r="U38" i="8"/>
  <c r="U46" i="8"/>
  <c r="U52" i="8"/>
  <c r="U59" i="8"/>
  <c r="U73" i="8"/>
  <c r="U80" i="8"/>
  <c r="U86" i="8"/>
  <c r="U94" i="8"/>
  <c r="U101" i="8"/>
  <c r="U108" i="8"/>
  <c r="U114" i="8"/>
  <c r="U121" i="8"/>
  <c r="U128" i="8"/>
  <c r="U136" i="8"/>
  <c r="U56" i="8"/>
  <c r="U105" i="8"/>
  <c r="U43" i="8"/>
  <c r="U112" i="8"/>
  <c r="U20" i="8"/>
  <c r="U27" i="8"/>
  <c r="U33" i="8"/>
  <c r="U47" i="8"/>
  <c r="U53" i="8"/>
  <c r="U60" i="8"/>
  <c r="U68" i="8"/>
  <c r="U74" i="8"/>
  <c r="U81" i="8"/>
  <c r="U87" i="8"/>
  <c r="U95" i="8"/>
  <c r="U102" i="8"/>
  <c r="U109" i="8"/>
  <c r="U115" i="8"/>
  <c r="U122" i="8"/>
  <c r="U36" i="8"/>
  <c r="U30" i="8"/>
  <c r="U133" i="8"/>
  <c r="U9" i="8"/>
  <c r="U21" i="8"/>
  <c r="U34" i="8"/>
  <c r="U41" i="8"/>
  <c r="U48" i="8"/>
  <c r="U54" i="8"/>
  <c r="U69" i="8"/>
  <c r="U75" i="8"/>
  <c r="U82" i="8"/>
  <c r="U89" i="8"/>
  <c r="U96" i="8"/>
  <c r="U103" i="8"/>
  <c r="U110" i="8"/>
  <c r="U116" i="8"/>
  <c r="U131" i="8"/>
  <c r="U139" i="8"/>
  <c r="U23" i="8"/>
  <c r="U126" i="8"/>
  <c r="U17" i="8"/>
  <c r="U118" i="8"/>
  <c r="U10" i="8"/>
  <c r="U16" i="8"/>
  <c r="U22" i="8"/>
  <c r="U35" i="8"/>
  <c r="U42" i="8"/>
  <c r="U49" i="8"/>
  <c r="U55" i="8"/>
  <c r="U63" i="8"/>
  <c r="U70" i="8"/>
  <c r="U83" i="8"/>
  <c r="U90" i="8"/>
  <c r="U97" i="8"/>
  <c r="U111" i="8"/>
  <c r="U117" i="8"/>
  <c r="U125" i="8"/>
  <c r="U132" i="8"/>
  <c r="U140" i="8"/>
  <c r="U11" i="8"/>
  <c r="U78" i="8"/>
  <c r="U141" i="8"/>
  <c r="U91" i="8"/>
  <c r="V120" i="8"/>
  <c r="U130" i="8"/>
  <c r="V99" i="8"/>
  <c r="V11" i="8"/>
  <c r="V126" i="8"/>
  <c r="V12" i="8"/>
  <c r="V18" i="8"/>
  <c r="V24" i="8"/>
  <c r="V31" i="8"/>
  <c r="V37" i="8"/>
  <c r="V51" i="8"/>
  <c r="V65" i="8"/>
  <c r="V79" i="8"/>
  <c r="V85" i="8"/>
  <c r="V100" i="8"/>
  <c r="V113" i="8"/>
  <c r="V127" i="8"/>
  <c r="V144" i="8"/>
  <c r="V23" i="8"/>
  <c r="V112" i="8"/>
  <c r="V30" i="8"/>
  <c r="V64" i="8"/>
  <c r="V84" i="8"/>
  <c r="V133" i="8"/>
  <c r="V13" i="8"/>
  <c r="V19" i="8"/>
  <c r="V32" i="8"/>
  <c r="V38" i="8"/>
  <c r="V46" i="8"/>
  <c r="V52" i="8"/>
  <c r="V59" i="8"/>
  <c r="V73" i="8"/>
  <c r="V80" i="8"/>
  <c r="V86" i="8"/>
  <c r="V94" i="8"/>
  <c r="V101" i="8"/>
  <c r="V108" i="8"/>
  <c r="V114" i="8"/>
  <c r="V121" i="8"/>
  <c r="V128" i="8"/>
  <c r="V136" i="8"/>
  <c r="V141" i="8"/>
  <c r="V17" i="8"/>
  <c r="V118" i="8"/>
  <c r="V20" i="8"/>
  <c r="V27" i="8"/>
  <c r="V33" i="8"/>
  <c r="V47" i="8"/>
  <c r="V53" i="8"/>
  <c r="V60" i="8"/>
  <c r="V68" i="8"/>
  <c r="V74" i="8"/>
  <c r="V81" i="8"/>
  <c r="V87" i="8"/>
  <c r="V95" i="8"/>
  <c r="V102" i="8"/>
  <c r="V109" i="8"/>
  <c r="V115" i="8"/>
  <c r="V122" i="8"/>
  <c r="V36" i="8"/>
  <c r="V56" i="8"/>
  <c r="V91" i="8"/>
  <c r="V9" i="8"/>
  <c r="V21" i="8"/>
  <c r="V34" i="8"/>
  <c r="V41" i="8"/>
  <c r="V48" i="8"/>
  <c r="V54" i="8"/>
  <c r="V69" i="8"/>
  <c r="V75" i="8"/>
  <c r="V82" i="8"/>
  <c r="V89" i="8"/>
  <c r="V96" i="8"/>
  <c r="V103" i="8"/>
  <c r="V110" i="8"/>
  <c r="V116" i="8"/>
  <c r="V131" i="8"/>
  <c r="V139" i="8"/>
  <c r="V43" i="8"/>
  <c r="V10" i="8"/>
  <c r="V16" i="8"/>
  <c r="V22" i="8"/>
  <c r="V35" i="8"/>
  <c r="V42" i="8"/>
  <c r="V49" i="8"/>
  <c r="V55" i="8"/>
  <c r="V63" i="8"/>
  <c r="V70" i="8"/>
  <c r="V83" i="8"/>
  <c r="V90" i="8"/>
  <c r="V97" i="8"/>
  <c r="V111" i="8"/>
  <c r="V117" i="8"/>
  <c r="V125" i="8"/>
  <c r="V132" i="8"/>
  <c r="V140" i="8"/>
  <c r="V50" i="8"/>
  <c r="V78" i="8"/>
  <c r="V105" i="8"/>
  <c r="V67" i="8"/>
  <c r="V45" i="8"/>
  <c r="V135" i="8"/>
  <c r="V138" i="8"/>
  <c r="U40" i="8"/>
  <c r="V93" i="8"/>
  <c r="U26" i="8"/>
  <c r="U107" i="8"/>
  <c r="AE139" i="8"/>
  <c r="AE140" i="8"/>
  <c r="AE141" i="8"/>
  <c r="AE144" i="8"/>
  <c r="AE63" i="8"/>
  <c r="AE136" i="8"/>
  <c r="AE133" i="8"/>
  <c r="AE132" i="8"/>
  <c r="AE131" i="8"/>
  <c r="AE128" i="8"/>
  <c r="AE127" i="8"/>
  <c r="AE126" i="8"/>
  <c r="AE125" i="8"/>
  <c r="AE122" i="8"/>
  <c r="AE121" i="8"/>
  <c r="AE118" i="8"/>
  <c r="AE117" i="8"/>
  <c r="AE116" i="8"/>
  <c r="AE115" i="8"/>
  <c r="AE114" i="8"/>
  <c r="AE113" i="8"/>
  <c r="AE112" i="8"/>
  <c r="AE111" i="8"/>
  <c r="AE110" i="8"/>
  <c r="AE109" i="8"/>
  <c r="AE108" i="8"/>
  <c r="AE105" i="8"/>
  <c r="AE102" i="8"/>
  <c r="AE101" i="8"/>
  <c r="AE100" i="8"/>
  <c r="AE97" i="8"/>
  <c r="AE96" i="8"/>
  <c r="AE95" i="8"/>
  <c r="AE94" i="8"/>
  <c r="AE91" i="8"/>
  <c r="AE90" i="8"/>
  <c r="AE89" i="8"/>
  <c r="AE87" i="8"/>
  <c r="AE86" i="8"/>
  <c r="AE85" i="8"/>
  <c r="AE84" i="8"/>
  <c r="AE83" i="8"/>
  <c r="AE82" i="8"/>
  <c r="AE81" i="8"/>
  <c r="AE80" i="8"/>
  <c r="AE79" i="8"/>
  <c r="AE78" i="8"/>
  <c r="AE75" i="8"/>
  <c r="AE74" i="8"/>
  <c r="AE73" i="8"/>
  <c r="AE70" i="8"/>
  <c r="AE69" i="8"/>
  <c r="AE68" i="8"/>
  <c r="AE65" i="8"/>
  <c r="AE64" i="8"/>
  <c r="AE60" i="8"/>
  <c r="AE59" i="8"/>
  <c r="AE56" i="8"/>
  <c r="AE55" i="8"/>
  <c r="AE54" i="8"/>
  <c r="AE53" i="8"/>
  <c r="AE52" i="8"/>
  <c r="AE51" i="8"/>
  <c r="AE50" i="8"/>
  <c r="AE49" i="8"/>
  <c r="AE48" i="8"/>
  <c r="AE47" i="8"/>
  <c r="AE46" i="8"/>
  <c r="AE43" i="8"/>
  <c r="AE42" i="8"/>
  <c r="AE41" i="8"/>
  <c r="AE38" i="8"/>
  <c r="AE37" i="8"/>
  <c r="AE36" i="8"/>
  <c r="AE35" i="8"/>
  <c r="AE34" i="8"/>
  <c r="AE33" i="8"/>
  <c r="AE32" i="8"/>
  <c r="AE31" i="8"/>
  <c r="AE30" i="8"/>
  <c r="AE27" i="8"/>
  <c r="AE24" i="8"/>
  <c r="AE23" i="8"/>
  <c r="AE22" i="8"/>
  <c r="AE21" i="8"/>
  <c r="AE20" i="8"/>
  <c r="AE19" i="8"/>
  <c r="AE18" i="8"/>
  <c r="AE17" i="8"/>
  <c r="AE16" i="8"/>
  <c r="AE13" i="8"/>
  <c r="AE12" i="8"/>
  <c r="AE11" i="8"/>
  <c r="AE10" i="8"/>
  <c r="AE9" i="8"/>
  <c r="I8" i="8" l="1"/>
  <c r="I15" i="8"/>
  <c r="AF15" i="8" s="1"/>
  <c r="I26" i="8"/>
  <c r="AF26" i="8" s="1"/>
  <c r="I29" i="8"/>
  <c r="AF29" i="8" s="1"/>
  <c r="I40" i="8"/>
  <c r="AF40" i="8" s="1"/>
  <c r="I45" i="8"/>
  <c r="AF45" i="8" s="1"/>
  <c r="I58" i="8"/>
  <c r="AF58" i="8" s="1"/>
  <c r="I62" i="8"/>
  <c r="AF62" i="8" s="1"/>
  <c r="I67" i="8"/>
  <c r="AF67" i="8" s="1"/>
  <c r="I72" i="8"/>
  <c r="AF72" i="8" s="1"/>
  <c r="I77" i="8"/>
  <c r="AF77" i="8" s="1"/>
  <c r="I93" i="8"/>
  <c r="AF93" i="8" s="1"/>
  <c r="I99" i="8"/>
  <c r="AF99" i="8" s="1"/>
  <c r="I104" i="8"/>
  <c r="AF104" i="8" s="1"/>
  <c r="I107" i="8"/>
  <c r="AF107" i="8" s="1"/>
  <c r="I120" i="8"/>
  <c r="AF120" i="8" s="1"/>
  <c r="I124" i="8"/>
  <c r="AF124" i="8" s="1"/>
  <c r="I130" i="8"/>
  <c r="AF130" i="8" s="1"/>
  <c r="I135" i="8"/>
  <c r="I138" i="8"/>
  <c r="AF138" i="8" s="1"/>
  <c r="I143" i="8"/>
  <c r="AF143" i="8" l="1"/>
  <c r="AF8" i="8"/>
  <c r="I6" i="8"/>
  <c r="AF6" i="8" s="1"/>
  <c r="T8" i="8" l="1"/>
  <c r="T62" i="8"/>
  <c r="T15" i="8"/>
  <c r="T77" i="8"/>
  <c r="T93" i="8"/>
  <c r="T99" i="8"/>
  <c r="T45" i="8"/>
  <c r="T67" i="8"/>
  <c r="T72" i="8"/>
  <c r="T22" i="8"/>
  <c r="T32" i="8"/>
  <c r="T41" i="8"/>
  <c r="T50" i="8"/>
  <c r="T59" i="8"/>
  <c r="T69" i="8"/>
  <c r="T79" i="8"/>
  <c r="T87" i="8"/>
  <c r="T97" i="8"/>
  <c r="T115" i="8"/>
  <c r="T125" i="8"/>
  <c r="T9" i="8"/>
  <c r="T18" i="8"/>
  <c r="T30" i="8"/>
  <c r="T95" i="8"/>
  <c r="T31" i="8"/>
  <c r="T68" i="8"/>
  <c r="T105" i="8"/>
  <c r="T144" i="8"/>
  <c r="T23" i="8"/>
  <c r="T33" i="8"/>
  <c r="T42" i="8"/>
  <c r="T51" i="8"/>
  <c r="T60" i="8"/>
  <c r="T70" i="8"/>
  <c r="T80" i="8"/>
  <c r="T89" i="8"/>
  <c r="T108" i="8"/>
  <c r="T116" i="8"/>
  <c r="T126" i="8"/>
  <c r="T136" i="8"/>
  <c r="T10" i="8"/>
  <c r="T38" i="8"/>
  <c r="T16" i="8"/>
  <c r="T49" i="8"/>
  <c r="T86" i="8"/>
  <c r="T133" i="8"/>
  <c r="T24" i="8"/>
  <c r="T34" i="8"/>
  <c r="T43" i="8"/>
  <c r="T52" i="8"/>
  <c r="T81" i="8"/>
  <c r="T90" i="8"/>
  <c r="T100" i="8"/>
  <c r="T109" i="8"/>
  <c r="T117" i="8"/>
  <c r="T127" i="8"/>
  <c r="T11" i="8"/>
  <c r="T35" i="8"/>
  <c r="T53" i="8"/>
  <c r="T63" i="8"/>
  <c r="T73" i="8"/>
  <c r="T82" i="8"/>
  <c r="T91" i="8"/>
  <c r="T101" i="8"/>
  <c r="T110" i="8"/>
  <c r="T118" i="8"/>
  <c r="T128" i="8"/>
  <c r="T139" i="8"/>
  <c r="T12" i="8"/>
  <c r="T48" i="8"/>
  <c r="T85" i="8"/>
  <c r="T132" i="8"/>
  <c r="T21" i="8"/>
  <c r="T78" i="8"/>
  <c r="T17" i="8"/>
  <c r="T27" i="8"/>
  <c r="T36" i="8"/>
  <c r="T46" i="8"/>
  <c r="T54" i="8"/>
  <c r="T64" i="8"/>
  <c r="T74" i="8"/>
  <c r="T83" i="8"/>
  <c r="T102" i="8"/>
  <c r="T111" i="8"/>
  <c r="T140" i="8"/>
  <c r="T13" i="8"/>
  <c r="T122" i="8"/>
  <c r="T114" i="8"/>
  <c r="T19" i="8"/>
  <c r="T37" i="8"/>
  <c r="T47" i="8"/>
  <c r="T55" i="8"/>
  <c r="T65" i="8"/>
  <c r="T75" i="8"/>
  <c r="T84" i="8"/>
  <c r="T94" i="8"/>
  <c r="T103" i="8"/>
  <c r="T112" i="8"/>
  <c r="T121" i="8"/>
  <c r="T131" i="8"/>
  <c r="T141" i="8"/>
  <c r="T20" i="8"/>
  <c r="T56" i="8"/>
  <c r="T113" i="8"/>
  <c r="T96" i="8"/>
  <c r="T130" i="8"/>
  <c r="T135" i="8"/>
  <c r="T138" i="8"/>
  <c r="T104" i="8"/>
  <c r="T124" i="8"/>
  <c r="T120" i="8"/>
  <c r="T58" i="8"/>
  <c r="T26" i="8"/>
  <c r="T29" i="8"/>
  <c r="T40" i="8"/>
  <c r="T107" i="8"/>
  <c r="AD24" i="8" l="1"/>
  <c r="AD23" i="8"/>
  <c r="AD22" i="8"/>
  <c r="AD21" i="8"/>
  <c r="AD20" i="8"/>
  <c r="AD19" i="8"/>
  <c r="AD18" i="8"/>
  <c r="AD17" i="8"/>
  <c r="AD16" i="8"/>
  <c r="AD13" i="8"/>
  <c r="AD12" i="8"/>
  <c r="AD11" i="8"/>
  <c r="AD10" i="8"/>
  <c r="AD9" i="8"/>
  <c r="AD27" i="8"/>
  <c r="H62" i="8"/>
  <c r="AE62" i="8" s="1"/>
  <c r="AD141" i="8"/>
  <c r="AD140" i="8"/>
  <c r="AD139" i="8"/>
  <c r="AD133" i="8"/>
  <c r="AD132" i="8"/>
  <c r="AD131" i="8"/>
  <c r="AD128" i="8"/>
  <c r="AD127" i="8"/>
  <c r="AD126" i="8"/>
  <c r="AD125" i="8"/>
  <c r="AD122" i="8"/>
  <c r="AD121" i="8"/>
  <c r="AD118" i="8"/>
  <c r="AD117" i="8"/>
  <c r="AD116" i="8"/>
  <c r="AD115" i="8"/>
  <c r="AD114" i="8"/>
  <c r="AD112" i="8"/>
  <c r="AD111" i="8"/>
  <c r="AD110" i="8"/>
  <c r="AD109" i="8"/>
  <c r="AD108" i="8"/>
  <c r="AD105" i="8"/>
  <c r="AD102" i="8"/>
  <c r="AD101" i="8"/>
  <c r="AD100" i="8"/>
  <c r="AD97" i="8"/>
  <c r="AD96" i="8"/>
  <c r="AD95" i="8"/>
  <c r="AD94" i="8"/>
  <c r="AD91" i="8"/>
  <c r="AD90" i="8"/>
  <c r="AD89" i="8"/>
  <c r="AD87" i="8"/>
  <c r="AD86" i="8"/>
  <c r="AD85" i="8"/>
  <c r="AD84" i="8"/>
  <c r="AD83" i="8"/>
  <c r="AD82" i="8"/>
  <c r="AD81" i="8"/>
  <c r="AD80" i="8"/>
  <c r="AD79" i="8"/>
  <c r="AD78" i="8"/>
  <c r="AD75" i="8"/>
  <c r="AD74" i="8"/>
  <c r="AD73" i="8"/>
  <c r="AD70" i="8"/>
  <c r="AD69" i="8"/>
  <c r="AD68" i="8"/>
  <c r="AD64" i="8"/>
  <c r="AD63" i="8"/>
  <c r="AD60" i="8"/>
  <c r="AD59" i="8"/>
  <c r="AD56" i="8"/>
  <c r="AD55" i="8"/>
  <c r="AD54" i="8"/>
  <c r="AD53" i="8"/>
  <c r="AD52" i="8"/>
  <c r="AD51" i="8"/>
  <c r="AD50" i="8"/>
  <c r="AD49" i="8"/>
  <c r="AD48" i="8"/>
  <c r="AD47" i="8"/>
  <c r="AD46" i="8"/>
  <c r="AD43" i="8"/>
  <c r="AD41" i="8"/>
  <c r="AD38" i="8"/>
  <c r="AD30" i="8"/>
  <c r="AD31" i="8"/>
  <c r="AD32" i="8"/>
  <c r="AD33" i="8"/>
  <c r="AD34" i="8"/>
  <c r="AD35" i="8"/>
  <c r="AD36" i="8"/>
  <c r="AD37" i="8"/>
  <c r="H143" i="8" l="1"/>
  <c r="H138" i="8"/>
  <c r="AE138" i="8" s="1"/>
  <c r="H135" i="8"/>
  <c r="AE135" i="8" s="1"/>
  <c r="H130" i="8"/>
  <c r="AE130" i="8" s="1"/>
  <c r="H124" i="8"/>
  <c r="AE124" i="8" s="1"/>
  <c r="H120" i="8"/>
  <c r="AE120" i="8" s="1"/>
  <c r="H107" i="8"/>
  <c r="AE107" i="8" s="1"/>
  <c r="H104" i="8"/>
  <c r="AE104" i="8" s="1"/>
  <c r="H99" i="8"/>
  <c r="AE99" i="8" s="1"/>
  <c r="H93" i="8"/>
  <c r="AE93" i="8" s="1"/>
  <c r="H77" i="8"/>
  <c r="AE77" i="8" s="1"/>
  <c r="H72" i="8"/>
  <c r="AE72" i="8" s="1"/>
  <c r="H67" i="8"/>
  <c r="AE67" i="8" s="1"/>
  <c r="H58" i="8"/>
  <c r="AE58" i="8" s="1"/>
  <c r="H45" i="8"/>
  <c r="AE45" i="8" s="1"/>
  <c r="H40" i="8"/>
  <c r="AE40" i="8" s="1"/>
  <c r="H29" i="8"/>
  <c r="AE29" i="8" s="1"/>
  <c r="H26" i="8"/>
  <c r="AE26" i="8" s="1"/>
  <c r="H15" i="8"/>
  <c r="AE15" i="8" s="1"/>
  <c r="H8" i="8"/>
  <c r="AE143" i="8" l="1"/>
  <c r="AE8" i="8"/>
  <c r="H6" i="8"/>
  <c r="AC144" i="8"/>
  <c r="AB144" i="8"/>
  <c r="AA144" i="8"/>
  <c r="Z144" i="8"/>
  <c r="Y144" i="8"/>
  <c r="G143" i="8"/>
  <c r="F143" i="8"/>
  <c r="E143" i="8"/>
  <c r="D143" i="8"/>
  <c r="C143" i="8"/>
  <c r="B143" i="8"/>
  <c r="AC141" i="8"/>
  <c r="AB141" i="8"/>
  <c r="AA141" i="8"/>
  <c r="Z141" i="8"/>
  <c r="Y141" i="8"/>
  <c r="AC140" i="8"/>
  <c r="AB140" i="8"/>
  <c r="AA140" i="8"/>
  <c r="Z140" i="8"/>
  <c r="Y140" i="8"/>
  <c r="AC139" i="8"/>
  <c r="AB139" i="8"/>
  <c r="AA139" i="8"/>
  <c r="Z139" i="8"/>
  <c r="Y139" i="8"/>
  <c r="G138" i="8"/>
  <c r="AD138" i="8" s="1"/>
  <c r="F138" i="8"/>
  <c r="E138" i="8"/>
  <c r="D138" i="8"/>
  <c r="C138" i="8"/>
  <c r="B138" i="8"/>
  <c r="AA136" i="8"/>
  <c r="G135" i="8"/>
  <c r="E135" i="8"/>
  <c r="D135" i="8"/>
  <c r="C135" i="8"/>
  <c r="B135" i="8"/>
  <c r="AC133" i="8"/>
  <c r="AB133" i="8"/>
  <c r="AA133" i="8"/>
  <c r="Z133" i="8"/>
  <c r="Y133" i="8"/>
  <c r="AC132" i="8"/>
  <c r="AB132" i="8"/>
  <c r="AA132" i="8"/>
  <c r="Z132" i="8"/>
  <c r="Y132" i="8"/>
  <c r="AC131" i="8"/>
  <c r="AB131" i="8"/>
  <c r="AA131" i="8"/>
  <c r="Z131" i="8"/>
  <c r="Y131" i="8"/>
  <c r="G130" i="8"/>
  <c r="AD130" i="8" s="1"/>
  <c r="F130" i="8"/>
  <c r="E130" i="8"/>
  <c r="D130" i="8"/>
  <c r="C130" i="8"/>
  <c r="B130" i="8"/>
  <c r="AC128" i="8"/>
  <c r="AB128" i="8"/>
  <c r="AA128" i="8"/>
  <c r="Z128" i="8"/>
  <c r="Y128" i="8"/>
  <c r="AC127" i="8"/>
  <c r="AB127" i="8"/>
  <c r="AA127" i="8"/>
  <c r="Z127" i="8"/>
  <c r="Y127" i="8"/>
  <c r="AC126" i="8"/>
  <c r="AB126" i="8"/>
  <c r="AA126" i="8"/>
  <c r="Z126" i="8"/>
  <c r="Y126" i="8"/>
  <c r="AC125" i="8"/>
  <c r="AB125" i="8"/>
  <c r="Z125" i="8"/>
  <c r="Y125" i="8"/>
  <c r="G124" i="8"/>
  <c r="AD124" i="8" s="1"/>
  <c r="F124" i="8"/>
  <c r="E124" i="8"/>
  <c r="D124" i="8"/>
  <c r="C124" i="8"/>
  <c r="B124" i="8"/>
  <c r="AC122" i="8"/>
  <c r="AB122" i="8"/>
  <c r="AA122" i="8"/>
  <c r="Z122" i="8"/>
  <c r="Y122" i="8"/>
  <c r="AC121" i="8"/>
  <c r="AB121" i="8"/>
  <c r="AA121" i="8"/>
  <c r="Z121" i="8"/>
  <c r="Y121" i="8"/>
  <c r="G120" i="8"/>
  <c r="AD120" i="8" s="1"/>
  <c r="F120" i="8"/>
  <c r="E120" i="8"/>
  <c r="D120" i="8"/>
  <c r="C120" i="8"/>
  <c r="B120" i="8"/>
  <c r="AC118" i="8"/>
  <c r="AB118" i="8"/>
  <c r="AA118" i="8"/>
  <c r="Z118" i="8"/>
  <c r="Y118" i="8"/>
  <c r="AC117" i="8"/>
  <c r="AB117" i="8"/>
  <c r="AA117" i="8"/>
  <c r="Z117" i="8"/>
  <c r="Y117" i="8"/>
  <c r="AC116" i="8"/>
  <c r="AB116" i="8"/>
  <c r="Y116" i="8"/>
  <c r="AC115" i="8"/>
  <c r="AA115" i="8"/>
  <c r="Z115" i="8"/>
  <c r="Y115" i="8"/>
  <c r="AC114" i="8"/>
  <c r="AB114" i="8"/>
  <c r="Z114" i="8"/>
  <c r="Y114" i="8"/>
  <c r="AC113" i="8"/>
  <c r="AB113" i="8"/>
  <c r="AA113" i="8"/>
  <c r="Z113" i="8"/>
  <c r="Y113" i="8"/>
  <c r="AC112" i="8"/>
  <c r="AB112" i="8"/>
  <c r="AA112" i="8"/>
  <c r="Z112" i="8"/>
  <c r="Y112" i="8"/>
  <c r="AA111" i="8"/>
  <c r="Z111" i="8"/>
  <c r="Y111" i="8"/>
  <c r="AC110" i="8"/>
  <c r="AB110" i="8"/>
  <c r="AA110" i="8"/>
  <c r="Z110" i="8"/>
  <c r="Y110" i="8"/>
  <c r="AC109" i="8"/>
  <c r="AB109" i="8"/>
  <c r="AA109" i="8"/>
  <c r="Z109" i="8"/>
  <c r="Y109" i="8"/>
  <c r="AC108" i="8"/>
  <c r="AB108" i="8"/>
  <c r="AA108" i="8"/>
  <c r="Z108" i="8"/>
  <c r="Y108" i="8"/>
  <c r="G107" i="8"/>
  <c r="AD107" i="8" s="1"/>
  <c r="F107" i="8"/>
  <c r="E107" i="8"/>
  <c r="D107" i="8"/>
  <c r="C107" i="8"/>
  <c r="B107" i="8"/>
  <c r="AC105" i="8"/>
  <c r="AB105" i="8"/>
  <c r="AA105" i="8"/>
  <c r="Z105" i="8"/>
  <c r="Y105" i="8"/>
  <c r="G104" i="8"/>
  <c r="AD104" i="8" s="1"/>
  <c r="F104" i="8"/>
  <c r="E104" i="8"/>
  <c r="D104" i="8"/>
  <c r="C104" i="8"/>
  <c r="B104" i="8"/>
  <c r="AC102" i="8"/>
  <c r="AB102" i="8"/>
  <c r="AA102" i="8"/>
  <c r="Z102" i="8"/>
  <c r="Y102" i="8"/>
  <c r="AC101" i="8"/>
  <c r="AB101" i="8"/>
  <c r="AA101" i="8"/>
  <c r="Z101" i="8"/>
  <c r="Y101" i="8"/>
  <c r="AC100" i="8"/>
  <c r="AB100" i="8"/>
  <c r="AA100" i="8"/>
  <c r="Z100" i="8"/>
  <c r="Y100" i="8"/>
  <c r="G99" i="8"/>
  <c r="AD99" i="8" s="1"/>
  <c r="F99" i="8"/>
  <c r="E99" i="8"/>
  <c r="D99" i="8"/>
  <c r="C99" i="8"/>
  <c r="B99" i="8"/>
  <c r="AC97" i="8"/>
  <c r="AB97" i="8"/>
  <c r="AA97" i="8"/>
  <c r="Y97" i="8"/>
  <c r="AC96" i="8"/>
  <c r="AB96" i="8"/>
  <c r="AA96" i="8"/>
  <c r="Z96" i="8"/>
  <c r="Y96" i="8"/>
  <c r="AC95" i="8"/>
  <c r="AB95" i="8"/>
  <c r="AA95" i="8"/>
  <c r="Z95" i="8"/>
  <c r="Y95" i="8"/>
  <c r="AC94" i="8"/>
  <c r="AB94" i="8"/>
  <c r="AA94" i="8"/>
  <c r="Z94" i="8"/>
  <c r="Y94" i="8"/>
  <c r="G93" i="8"/>
  <c r="AD93" i="8" s="1"/>
  <c r="F93" i="8"/>
  <c r="E93" i="8"/>
  <c r="D93" i="8"/>
  <c r="C93" i="8"/>
  <c r="B93" i="8"/>
  <c r="AC91" i="8"/>
  <c r="AB91" i="8"/>
  <c r="AA91" i="8"/>
  <c r="Z91" i="8"/>
  <c r="Y91" i="8"/>
  <c r="AC90" i="8"/>
  <c r="AB90" i="8"/>
  <c r="AA90" i="8"/>
  <c r="Z90" i="8"/>
  <c r="Y90" i="8"/>
  <c r="AC89" i="8"/>
  <c r="AB89" i="8"/>
  <c r="AA89" i="8"/>
  <c r="Z89" i="8"/>
  <c r="Y89" i="8"/>
  <c r="AC87" i="8"/>
  <c r="AB87" i="8"/>
  <c r="AA87" i="8"/>
  <c r="Z87" i="8"/>
  <c r="Y87" i="8"/>
  <c r="AC86" i="8"/>
  <c r="AB86" i="8"/>
  <c r="AA86" i="8"/>
  <c r="Z86" i="8"/>
  <c r="Y86" i="8"/>
  <c r="AB85" i="8"/>
  <c r="AA85" i="8"/>
  <c r="Z85" i="8"/>
  <c r="Y85" i="8"/>
  <c r="AC84" i="8"/>
  <c r="AB84" i="8"/>
  <c r="AA84" i="8"/>
  <c r="Z84" i="8"/>
  <c r="Y84" i="8"/>
  <c r="AC83" i="8"/>
  <c r="AB83" i="8"/>
  <c r="AA83" i="8"/>
  <c r="Z83" i="8"/>
  <c r="Y83" i="8"/>
  <c r="AC82" i="8"/>
  <c r="AB82" i="8"/>
  <c r="AA82" i="8"/>
  <c r="Z82" i="8"/>
  <c r="Y82" i="8"/>
  <c r="AC81" i="8"/>
  <c r="AB81" i="8"/>
  <c r="AA81" i="8"/>
  <c r="Z81" i="8"/>
  <c r="Y81" i="8"/>
  <c r="AC80" i="8"/>
  <c r="AB80" i="8"/>
  <c r="AA80" i="8"/>
  <c r="Z80" i="8"/>
  <c r="Y80" i="8"/>
  <c r="AC79" i="8"/>
  <c r="AB79" i="8"/>
  <c r="AA79" i="8"/>
  <c r="Y79" i="8"/>
  <c r="AB78" i="8"/>
  <c r="AA78" i="8"/>
  <c r="Z78" i="8"/>
  <c r="Y78" i="8"/>
  <c r="G77" i="8"/>
  <c r="AD77" i="8" s="1"/>
  <c r="F77" i="8"/>
  <c r="E77" i="8"/>
  <c r="D77" i="8"/>
  <c r="C77" i="8"/>
  <c r="B77" i="8"/>
  <c r="AC75" i="8"/>
  <c r="AB75" i="8"/>
  <c r="AA75" i="8"/>
  <c r="Z75" i="8"/>
  <c r="Y75" i="8"/>
  <c r="AC74" i="8"/>
  <c r="AB74" i="8"/>
  <c r="AA74" i="8"/>
  <c r="Z74" i="8"/>
  <c r="Y74" i="8"/>
  <c r="AC73" i="8"/>
  <c r="AB73" i="8"/>
  <c r="AA73" i="8"/>
  <c r="Z73" i="8"/>
  <c r="Y73" i="8"/>
  <c r="G72" i="8"/>
  <c r="F72" i="8"/>
  <c r="E72" i="8"/>
  <c r="D72" i="8"/>
  <c r="C72" i="8"/>
  <c r="B72" i="8"/>
  <c r="AA70" i="8"/>
  <c r="Z70" i="8"/>
  <c r="Y70" i="8"/>
  <c r="AC69" i="8"/>
  <c r="AB69" i="8"/>
  <c r="AA69" i="8"/>
  <c r="Z69" i="8"/>
  <c r="Y69" i="8"/>
  <c r="AC68" i="8"/>
  <c r="AB68" i="8"/>
  <c r="AA68" i="8"/>
  <c r="Z68" i="8"/>
  <c r="Y68" i="8"/>
  <c r="G67" i="8"/>
  <c r="F67" i="8"/>
  <c r="E67" i="8"/>
  <c r="D67" i="8"/>
  <c r="C67" i="8"/>
  <c r="B67" i="8"/>
  <c r="AC64" i="8"/>
  <c r="AB64" i="8"/>
  <c r="AA64" i="8"/>
  <c r="Z64" i="8"/>
  <c r="Y64" i="8"/>
  <c r="AC63" i="8"/>
  <c r="AB63" i="8"/>
  <c r="AA63" i="8"/>
  <c r="Y63" i="8"/>
  <c r="G62" i="8"/>
  <c r="AD62" i="8" s="1"/>
  <c r="F62" i="8"/>
  <c r="E62" i="8"/>
  <c r="D62" i="8"/>
  <c r="C62" i="8"/>
  <c r="B62" i="8"/>
  <c r="AC60" i="8"/>
  <c r="AB60" i="8"/>
  <c r="AA60" i="8"/>
  <c r="Z60" i="8"/>
  <c r="Y60" i="8"/>
  <c r="AC59" i="8"/>
  <c r="AB59" i="8"/>
  <c r="AA59" i="8"/>
  <c r="Z59" i="8"/>
  <c r="Y59" i="8"/>
  <c r="G58" i="8"/>
  <c r="AD58" i="8" s="1"/>
  <c r="F58" i="8"/>
  <c r="E58" i="8"/>
  <c r="D58" i="8"/>
  <c r="C58" i="8"/>
  <c r="B58" i="8"/>
  <c r="AC56" i="8"/>
  <c r="AB56" i="8"/>
  <c r="AA56" i="8"/>
  <c r="Z56" i="8"/>
  <c r="Y56" i="8"/>
  <c r="AC55" i="8"/>
  <c r="AB55" i="8"/>
  <c r="AA55" i="8"/>
  <c r="Z55" i="8"/>
  <c r="Y55" i="8"/>
  <c r="AC54" i="8"/>
  <c r="AB54" i="8"/>
  <c r="AA54" i="8"/>
  <c r="Y54" i="8"/>
  <c r="AC53" i="8"/>
  <c r="AB53" i="8"/>
  <c r="AA53" i="8"/>
  <c r="Z53" i="8"/>
  <c r="Y53" i="8"/>
  <c r="AC52" i="8"/>
  <c r="AB52" i="8"/>
  <c r="AA52" i="8"/>
  <c r="Z52" i="8"/>
  <c r="Y52" i="8"/>
  <c r="AC51" i="8"/>
  <c r="AB51" i="8"/>
  <c r="AA51" i="8"/>
  <c r="Z51" i="8"/>
  <c r="Y51" i="8"/>
  <c r="AC50" i="8"/>
  <c r="AB50" i="8"/>
  <c r="AA50" i="8"/>
  <c r="Z50" i="8"/>
  <c r="Y50" i="8"/>
  <c r="AC49" i="8"/>
  <c r="AB49" i="8"/>
  <c r="AA49" i="8"/>
  <c r="Z49" i="8"/>
  <c r="Y49" i="8"/>
  <c r="AC48" i="8"/>
  <c r="AB48" i="8"/>
  <c r="AA48" i="8"/>
  <c r="Z48" i="8"/>
  <c r="Y48" i="8"/>
  <c r="AC47" i="8"/>
  <c r="AB47" i="8"/>
  <c r="Z47" i="8"/>
  <c r="Y47" i="8"/>
  <c r="AC46" i="8"/>
  <c r="AB46" i="8"/>
  <c r="Z46" i="8"/>
  <c r="Y46" i="8"/>
  <c r="G45" i="8"/>
  <c r="F45" i="8"/>
  <c r="E45" i="8"/>
  <c r="D45" i="8"/>
  <c r="C45" i="8"/>
  <c r="B45" i="8"/>
  <c r="AC43" i="8"/>
  <c r="AB43" i="8"/>
  <c r="AA43" i="8"/>
  <c r="Z43" i="8"/>
  <c r="Y43" i="8"/>
  <c r="AC42" i="8"/>
  <c r="Z42" i="8"/>
  <c r="Y42" i="8"/>
  <c r="AC41" i="8"/>
  <c r="AB41" i="8"/>
  <c r="AA41" i="8"/>
  <c r="Z41" i="8"/>
  <c r="Y41" i="8"/>
  <c r="G40" i="8"/>
  <c r="F40" i="8"/>
  <c r="E40" i="8"/>
  <c r="D40" i="8"/>
  <c r="C40" i="8"/>
  <c r="B40" i="8"/>
  <c r="AC38" i="8"/>
  <c r="AB38" i="8"/>
  <c r="AA38" i="8"/>
  <c r="Z38" i="8"/>
  <c r="Y38" i="8"/>
  <c r="AC37" i="8"/>
  <c r="AB37" i="8"/>
  <c r="AA37" i="8"/>
  <c r="Z37" i="8"/>
  <c r="Y37" i="8"/>
  <c r="AC36" i="8"/>
  <c r="AB36" i="8"/>
  <c r="AA36" i="8"/>
  <c r="Z36" i="8"/>
  <c r="Y36" i="8"/>
  <c r="AC35" i="8"/>
  <c r="AB35" i="8"/>
  <c r="AA35" i="8"/>
  <c r="Z35" i="8"/>
  <c r="Y35" i="8"/>
  <c r="AC34" i="8"/>
  <c r="AB34" i="8"/>
  <c r="AA34" i="8"/>
  <c r="Z34" i="8"/>
  <c r="Y34" i="8"/>
  <c r="AC33" i="8"/>
  <c r="AB33" i="8"/>
  <c r="AA33" i="8"/>
  <c r="Z33" i="8"/>
  <c r="Y33" i="8"/>
  <c r="AC32" i="8"/>
  <c r="AB32" i="8"/>
  <c r="AA32" i="8"/>
  <c r="Z32" i="8"/>
  <c r="Y32" i="8"/>
  <c r="AC31" i="8"/>
  <c r="AB31" i="8"/>
  <c r="AA31" i="8"/>
  <c r="Z31" i="8"/>
  <c r="Y31" i="8"/>
  <c r="AC30" i="8"/>
  <c r="AB30" i="8"/>
  <c r="AA30" i="8"/>
  <c r="Z30" i="8"/>
  <c r="Y30" i="8"/>
  <c r="G29" i="8"/>
  <c r="F29" i="8"/>
  <c r="E29" i="8"/>
  <c r="D29" i="8"/>
  <c r="C29" i="8"/>
  <c r="B29" i="8"/>
  <c r="AC27" i="8"/>
  <c r="AB27" i="8"/>
  <c r="AA27" i="8"/>
  <c r="Z27" i="8"/>
  <c r="Y27" i="8"/>
  <c r="G26" i="8"/>
  <c r="F26" i="8"/>
  <c r="E26" i="8"/>
  <c r="D26" i="8"/>
  <c r="C26" i="8"/>
  <c r="B26" i="8"/>
  <c r="AB24" i="8"/>
  <c r="AA24" i="8"/>
  <c r="Z24" i="8"/>
  <c r="Y24" i="8"/>
  <c r="AC23" i="8"/>
  <c r="AA23" i="8"/>
  <c r="Z23" i="8"/>
  <c r="Y23" i="8"/>
  <c r="AC22" i="8"/>
  <c r="AB22" i="8"/>
  <c r="AA22" i="8"/>
  <c r="Z22" i="8"/>
  <c r="Y22" i="8"/>
  <c r="AC21" i="8"/>
  <c r="AB21" i="8"/>
  <c r="AA21" i="8"/>
  <c r="Z21" i="8"/>
  <c r="Y21" i="8"/>
  <c r="AC20" i="8"/>
  <c r="AB20" i="8"/>
  <c r="AA20" i="8"/>
  <c r="Z20" i="8"/>
  <c r="Y20" i="8"/>
  <c r="AC19" i="8"/>
  <c r="AB19" i="8"/>
  <c r="AA19" i="8"/>
  <c r="Z19" i="8"/>
  <c r="Y19" i="8"/>
  <c r="AC18" i="8"/>
  <c r="AB18" i="8"/>
  <c r="AA18" i="8"/>
  <c r="Z18" i="8"/>
  <c r="Y18" i="8"/>
  <c r="AC17" i="8"/>
  <c r="AB17" i="8"/>
  <c r="AA17" i="8"/>
  <c r="Z17" i="8"/>
  <c r="Y17" i="8"/>
  <c r="AB16" i="8"/>
  <c r="AA16" i="8"/>
  <c r="Z16" i="8"/>
  <c r="Y16" i="8"/>
  <c r="G15" i="8"/>
  <c r="AD15" i="8" s="1"/>
  <c r="F15" i="8"/>
  <c r="E15" i="8"/>
  <c r="D15" i="8"/>
  <c r="C15" i="8"/>
  <c r="B15" i="8"/>
  <c r="AC13" i="8"/>
  <c r="AB13" i="8"/>
  <c r="AA13" i="8"/>
  <c r="Z13" i="8"/>
  <c r="Y13" i="8"/>
  <c r="AC12" i="8"/>
  <c r="AB12" i="8"/>
  <c r="AA12" i="8"/>
  <c r="Z12" i="8"/>
  <c r="Y12" i="8"/>
  <c r="AC11" i="8"/>
  <c r="AB11" i="8"/>
  <c r="AA11" i="8"/>
  <c r="Z11" i="8"/>
  <c r="Y11" i="8"/>
  <c r="AC10" i="8"/>
  <c r="AB10" i="8"/>
  <c r="AA10" i="8"/>
  <c r="Z10" i="8"/>
  <c r="Y10" i="8"/>
  <c r="AC9" i="8"/>
  <c r="AB9" i="8"/>
  <c r="AA9" i="8"/>
  <c r="Z9" i="8"/>
  <c r="Y9" i="8"/>
  <c r="G8" i="8"/>
  <c r="AD8" i="8" s="1"/>
  <c r="F8" i="8"/>
  <c r="E8" i="8"/>
  <c r="D8" i="8"/>
  <c r="C8" i="8"/>
  <c r="B8" i="8"/>
  <c r="AE6" i="8" l="1"/>
  <c r="S8" i="8"/>
  <c r="AB136" i="8"/>
  <c r="AC136" i="8"/>
  <c r="Y45" i="8"/>
  <c r="AC26" i="8"/>
  <c r="Z45" i="8"/>
  <c r="AC67" i="8"/>
  <c r="AA72" i="8"/>
  <c r="AC72" i="8"/>
  <c r="Y93" i="8"/>
  <c r="AA104" i="8"/>
  <c r="AA120" i="8"/>
  <c r="AA135" i="8"/>
  <c r="AC45" i="8"/>
  <c r="Z8" i="8"/>
  <c r="AC40" i="8"/>
  <c r="AA58" i="8"/>
  <c r="AA62" i="8"/>
  <c r="AA93" i="8"/>
  <c r="Y99" i="8"/>
  <c r="AB104" i="8"/>
  <c r="AB124" i="8"/>
  <c r="Z130" i="8"/>
  <c r="Y72" i="8"/>
  <c r="Y15" i="8"/>
  <c r="AB77" i="8"/>
  <c r="AA99" i="8"/>
  <c r="AC29" i="8"/>
  <c r="AD29" i="8"/>
  <c r="S40" i="8"/>
  <c r="AD45" i="8"/>
  <c r="AA8" i="8"/>
  <c r="Y67" i="8"/>
  <c r="Y124" i="8"/>
  <c r="AD40" i="8"/>
  <c r="AD26" i="8"/>
  <c r="AD72" i="8"/>
  <c r="Y107" i="8"/>
  <c r="AD67" i="8"/>
  <c r="S15" i="8"/>
  <c r="AC15" i="8"/>
  <c r="Z26" i="8"/>
  <c r="AB40" i="8"/>
  <c r="Z72" i="8"/>
  <c r="AA77" i="8"/>
  <c r="AB93" i="8"/>
  <c r="AC104" i="8"/>
  <c r="AC120" i="8"/>
  <c r="S77" i="8"/>
  <c r="S67" i="8"/>
  <c r="AB26" i="8"/>
  <c r="Z62" i="8"/>
  <c r="Z67" i="8"/>
  <c r="AB99" i="8"/>
  <c r="AB107" i="8"/>
  <c r="S29" i="8"/>
  <c r="S107" i="8"/>
  <c r="AC107" i="8"/>
  <c r="S120" i="8"/>
  <c r="AB58" i="8"/>
  <c r="S130" i="8"/>
  <c r="S58" i="8"/>
  <c r="S138" i="8"/>
  <c r="S72" i="8"/>
  <c r="S104" i="8"/>
  <c r="Y26" i="8"/>
  <c r="AA40" i="8"/>
  <c r="Y130" i="8"/>
  <c r="AB138" i="8"/>
  <c r="S93" i="8"/>
  <c r="S10" i="8"/>
  <c r="S19" i="8"/>
  <c r="S37" i="8"/>
  <c r="S47" i="8"/>
  <c r="S55" i="8"/>
  <c r="S64" i="8"/>
  <c r="S73" i="8"/>
  <c r="S82" i="8"/>
  <c r="S91" i="8"/>
  <c r="S101" i="8"/>
  <c r="S110" i="8"/>
  <c r="S118" i="8"/>
  <c r="S128" i="8"/>
  <c r="S139" i="8"/>
  <c r="S115" i="8"/>
  <c r="S17" i="8"/>
  <c r="S11" i="8"/>
  <c r="S20" i="8"/>
  <c r="S30" i="8"/>
  <c r="S38" i="8"/>
  <c r="S48" i="8"/>
  <c r="S56" i="8"/>
  <c r="S65" i="8"/>
  <c r="S74" i="8"/>
  <c r="S83" i="8"/>
  <c r="S102" i="8"/>
  <c r="S111" i="8"/>
  <c r="S140" i="8"/>
  <c r="S52" i="8"/>
  <c r="S135" i="8"/>
  <c r="S62" i="8"/>
  <c r="S108" i="8"/>
  <c r="S12" i="8"/>
  <c r="S21" i="8"/>
  <c r="S31" i="8"/>
  <c r="S49" i="8"/>
  <c r="S75" i="8"/>
  <c r="S84" i="8"/>
  <c r="S94" i="8"/>
  <c r="S103" i="8"/>
  <c r="S112" i="8"/>
  <c r="S121" i="8"/>
  <c r="S131" i="8"/>
  <c r="S141" i="8"/>
  <c r="S24" i="8"/>
  <c r="S87" i="8"/>
  <c r="S35" i="8"/>
  <c r="S99" i="8"/>
  <c r="S13" i="8"/>
  <c r="S22" i="8"/>
  <c r="S32" i="8"/>
  <c r="S41" i="8"/>
  <c r="S50" i="8"/>
  <c r="S59" i="8"/>
  <c r="S68" i="8"/>
  <c r="S85" i="8"/>
  <c r="S95" i="8"/>
  <c r="S113" i="8"/>
  <c r="S122" i="8"/>
  <c r="S132" i="8"/>
  <c r="S34" i="8"/>
  <c r="S70" i="8"/>
  <c r="S79" i="8"/>
  <c r="S125" i="8"/>
  <c r="S53" i="8"/>
  <c r="S89" i="8"/>
  <c r="S136" i="8"/>
  <c r="S23" i="8"/>
  <c r="S33" i="8"/>
  <c r="S42" i="8"/>
  <c r="S51" i="8"/>
  <c r="S60" i="8"/>
  <c r="S69" i="8"/>
  <c r="S78" i="8"/>
  <c r="S86" i="8"/>
  <c r="S96" i="8"/>
  <c r="S105" i="8"/>
  <c r="S114" i="8"/>
  <c r="S133" i="8"/>
  <c r="S144" i="8"/>
  <c r="S16" i="8"/>
  <c r="S97" i="8"/>
  <c r="S9" i="8"/>
  <c r="S45" i="8"/>
  <c r="S80" i="8"/>
  <c r="S126" i="8"/>
  <c r="S18" i="8"/>
  <c r="S27" i="8"/>
  <c r="S36" i="8"/>
  <c r="S46" i="8"/>
  <c r="S54" i="8"/>
  <c r="S63" i="8"/>
  <c r="S81" i="8"/>
  <c r="S90" i="8"/>
  <c r="S100" i="8"/>
  <c r="S109" i="8"/>
  <c r="S117" i="8"/>
  <c r="S127" i="8"/>
  <c r="S43" i="8"/>
  <c r="S26" i="8"/>
  <c r="S116" i="8"/>
  <c r="S124" i="8"/>
  <c r="D6" i="8"/>
  <c r="O144" i="8" s="1"/>
  <c r="AA130" i="8"/>
  <c r="E6" i="8"/>
  <c r="P132" i="8" s="1"/>
  <c r="Y29" i="8"/>
  <c r="Y58" i="8"/>
  <c r="AB62" i="8"/>
  <c r="AA67" i="8"/>
  <c r="AB72" i="8"/>
  <c r="AC77" i="8"/>
  <c r="Z107" i="8"/>
  <c r="Z124" i="8"/>
  <c r="AA124" i="8"/>
  <c r="AC138" i="8"/>
  <c r="Y8" i="8"/>
  <c r="AA26" i="8"/>
  <c r="Z29" i="8"/>
  <c r="Z58" i="8"/>
  <c r="AC62" i="8"/>
  <c r="AB67" i="8"/>
  <c r="Z93" i="8"/>
  <c r="Z99" i="8"/>
  <c r="AA107" i="8"/>
  <c r="AB130" i="8"/>
  <c r="AC93" i="8"/>
  <c r="AC99" i="8"/>
  <c r="F135" i="8"/>
  <c r="Y120" i="8"/>
  <c r="AB8" i="8"/>
  <c r="Z15" i="8"/>
  <c r="AA45" i="8"/>
  <c r="G6" i="8"/>
  <c r="W6" i="8" s="1"/>
  <c r="AC8" i="8"/>
  <c r="AA15" i="8"/>
  <c r="Y40" i="8"/>
  <c r="AC58" i="8"/>
  <c r="B6" i="8"/>
  <c r="AB15" i="8"/>
  <c r="AC124" i="8"/>
  <c r="AC130" i="8"/>
  <c r="AA143" i="8"/>
  <c r="Z143" i="8"/>
  <c r="C6" i="8"/>
  <c r="N77" i="8" s="1"/>
  <c r="AB29" i="8"/>
  <c r="AA29" i="8"/>
  <c r="Y77" i="8"/>
  <c r="Y104" i="8"/>
  <c r="Y143" i="8"/>
  <c r="Z40" i="8"/>
  <c r="AB45" i="8"/>
  <c r="Y62" i="8"/>
  <c r="Z77" i="8"/>
  <c r="Z104" i="8"/>
  <c r="Z120" i="8"/>
  <c r="Y138" i="8"/>
  <c r="Z138" i="8"/>
  <c r="AB143" i="8"/>
  <c r="AB120" i="8"/>
  <c r="AA138" i="8"/>
  <c r="AC143" i="8"/>
  <c r="R72" i="8" l="1"/>
  <c r="U143" i="8"/>
  <c r="V143" i="8"/>
  <c r="T143" i="8"/>
  <c r="T6" i="8" s="1"/>
  <c r="S143" i="8"/>
  <c r="R143" i="8"/>
  <c r="AD6" i="8"/>
  <c r="AC135" i="8"/>
  <c r="AB135" i="8"/>
  <c r="P99" i="8"/>
  <c r="P17" i="8"/>
  <c r="P72" i="8"/>
  <c r="P13" i="8"/>
  <c r="P97" i="8"/>
  <c r="P121" i="8"/>
  <c r="P114" i="8"/>
  <c r="P58" i="8"/>
  <c r="P115" i="8"/>
  <c r="P77" i="8"/>
  <c r="P79" i="8"/>
  <c r="P135" i="8"/>
  <c r="P11" i="8"/>
  <c r="P37" i="8"/>
  <c r="P45" i="8"/>
  <c r="P16" i="8"/>
  <c r="P53" i="8"/>
  <c r="P20" i="8"/>
  <c r="P131" i="8"/>
  <c r="P143" i="8"/>
  <c r="O29" i="8"/>
  <c r="P96" i="8"/>
  <c r="P83" i="8"/>
  <c r="P118" i="8"/>
  <c r="P10" i="8"/>
  <c r="P80" i="8"/>
  <c r="P124" i="8"/>
  <c r="P30" i="8"/>
  <c r="P41" i="8"/>
  <c r="P108" i="8"/>
  <c r="P84" i="8"/>
  <c r="P120" i="8"/>
  <c r="P12" i="8"/>
  <c r="P55" i="8"/>
  <c r="P36" i="8"/>
  <c r="P122" i="8"/>
  <c r="P101" i="8"/>
  <c r="P70" i="8"/>
  <c r="P59" i="8"/>
  <c r="P40" i="8"/>
  <c r="P63" i="8"/>
  <c r="P46" i="8"/>
  <c r="P24" i="8"/>
  <c r="P136" i="8"/>
  <c r="P50" i="8"/>
  <c r="N104" i="8"/>
  <c r="P18" i="8"/>
  <c r="P78" i="8"/>
  <c r="P42" i="8"/>
  <c r="P128" i="8"/>
  <c r="P109" i="8"/>
  <c r="P75" i="8"/>
  <c r="P67" i="8"/>
  <c r="P35" i="8"/>
  <c r="P100" i="8"/>
  <c r="P130" i="8"/>
  <c r="O58" i="8"/>
  <c r="N138" i="8"/>
  <c r="P9" i="8"/>
  <c r="P91" i="8"/>
  <c r="P56" i="8"/>
  <c r="P33" i="8"/>
  <c r="P125" i="8"/>
  <c r="P90" i="8"/>
  <c r="O93" i="8"/>
  <c r="O43" i="8"/>
  <c r="O124" i="8"/>
  <c r="O77" i="8"/>
  <c r="N143" i="8"/>
  <c r="O11" i="8"/>
  <c r="O17" i="8"/>
  <c r="O82" i="8"/>
  <c r="O78" i="8"/>
  <c r="O9" i="8"/>
  <c r="O63" i="8"/>
  <c r="O56" i="8"/>
  <c r="O108" i="8"/>
  <c r="O37" i="8"/>
  <c r="O80" i="8"/>
  <c r="O125" i="8"/>
  <c r="O50" i="8"/>
  <c r="O96" i="8"/>
  <c r="O40" i="8"/>
  <c r="O107" i="8"/>
  <c r="O8" i="8"/>
  <c r="O26" i="8"/>
  <c r="O19" i="8"/>
  <c r="O10" i="8"/>
  <c r="O139" i="8"/>
  <c r="O73" i="8"/>
  <c r="O116" i="8"/>
  <c r="O45" i="8"/>
  <c r="O89" i="8"/>
  <c r="O65" i="8"/>
  <c r="O60" i="8"/>
  <c r="O110" i="8"/>
  <c r="O23" i="8"/>
  <c r="O84" i="8"/>
  <c r="O102" i="8"/>
  <c r="O27" i="8"/>
  <c r="O12" i="8"/>
  <c r="O67" i="8"/>
  <c r="O47" i="8"/>
  <c r="O16" i="8"/>
  <c r="O32" i="8"/>
  <c r="O79" i="8"/>
  <c r="O122" i="8"/>
  <c r="O49" i="8"/>
  <c r="O95" i="8"/>
  <c r="O141" i="8"/>
  <c r="O70" i="8"/>
  <c r="O114" i="8"/>
  <c r="O136" i="8"/>
  <c r="O138" i="8"/>
  <c r="O62" i="8"/>
  <c r="O18" i="8"/>
  <c r="O21" i="8"/>
  <c r="O127" i="8"/>
  <c r="O36" i="8"/>
  <c r="O83" i="8"/>
  <c r="O128" i="8"/>
  <c r="O53" i="8"/>
  <c r="O101" i="8"/>
  <c r="O30" i="8"/>
  <c r="O75" i="8"/>
  <c r="O118" i="8"/>
  <c r="O35" i="8"/>
  <c r="O112" i="8"/>
  <c r="O54" i="8"/>
  <c r="O143" i="8"/>
  <c r="O72" i="8"/>
  <c r="O20" i="8"/>
  <c r="O120" i="8"/>
  <c r="O99" i="8"/>
  <c r="O22" i="8"/>
  <c r="O55" i="8"/>
  <c r="O97" i="8"/>
  <c r="O24" i="8"/>
  <c r="O42" i="8"/>
  <c r="O87" i="8"/>
  <c r="O64" i="8"/>
  <c r="O59" i="8"/>
  <c r="O109" i="8"/>
  <c r="O34" i="8"/>
  <c r="O81" i="8"/>
  <c r="O126" i="8"/>
  <c r="O105" i="8"/>
  <c r="O115" i="8"/>
  <c r="O31" i="8"/>
  <c r="O111" i="8"/>
  <c r="O135" i="8"/>
  <c r="O41" i="8"/>
  <c r="O48" i="8"/>
  <c r="O94" i="8"/>
  <c r="O140" i="8"/>
  <c r="O69" i="8"/>
  <c r="O113" i="8"/>
  <c r="O38" i="8"/>
  <c r="O85" i="8"/>
  <c r="O132" i="8"/>
  <c r="O86" i="8"/>
  <c r="O68" i="8"/>
  <c r="O131" i="8"/>
  <c r="O15" i="8"/>
  <c r="O130" i="8"/>
  <c r="O104" i="8"/>
  <c r="N72" i="8"/>
  <c r="O133" i="8"/>
  <c r="O51" i="8"/>
  <c r="O13" i="8"/>
  <c r="O121" i="8"/>
  <c r="O91" i="8"/>
  <c r="O52" i="8"/>
  <c r="O100" i="8"/>
  <c r="O33" i="8"/>
  <c r="O74" i="8"/>
  <c r="O117" i="8"/>
  <c r="O46" i="8"/>
  <c r="O90" i="8"/>
  <c r="R120" i="8"/>
  <c r="R138" i="8"/>
  <c r="R104" i="8"/>
  <c r="R107" i="8"/>
  <c r="R58" i="8"/>
  <c r="R124" i="8"/>
  <c r="R62" i="8"/>
  <c r="R77" i="8"/>
  <c r="R93" i="8"/>
  <c r="F6" i="8"/>
  <c r="Z6" i="8"/>
  <c r="R40" i="8"/>
  <c r="R135" i="8"/>
  <c r="P93" i="8"/>
  <c r="P29" i="8"/>
  <c r="P104" i="8"/>
  <c r="N8" i="8"/>
  <c r="P26" i="8"/>
  <c r="P21" i="8"/>
  <c r="P27" i="8"/>
  <c r="P22" i="8"/>
  <c r="P19" i="8"/>
  <c r="AA6" i="8"/>
  <c r="P47" i="8"/>
  <c r="P82" i="8"/>
  <c r="P105" i="8"/>
  <c r="P127" i="8"/>
  <c r="P139" i="8"/>
  <c r="P48" i="8"/>
  <c r="P68" i="8"/>
  <c r="P87" i="8"/>
  <c r="P112" i="8"/>
  <c r="P64" i="8"/>
  <c r="P43" i="8"/>
  <c r="P69" i="8"/>
  <c r="P89" i="8"/>
  <c r="P113" i="8"/>
  <c r="P65" i="8"/>
  <c r="P34" i="8"/>
  <c r="P54" i="8"/>
  <c r="P81" i="8"/>
  <c r="P102" i="8"/>
  <c r="P126" i="8"/>
  <c r="P107" i="8"/>
  <c r="N58" i="8"/>
  <c r="P15" i="8"/>
  <c r="R99" i="8"/>
  <c r="N135" i="8"/>
  <c r="P138" i="8"/>
  <c r="P144" i="8"/>
  <c r="P8" i="8"/>
  <c r="P62" i="8"/>
  <c r="P23" i="8"/>
  <c r="P31" i="8"/>
  <c r="P51" i="8"/>
  <c r="P86" i="8"/>
  <c r="P111" i="8"/>
  <c r="P133" i="8"/>
  <c r="P32" i="8"/>
  <c r="P52" i="8"/>
  <c r="P73" i="8"/>
  <c r="P94" i="8"/>
  <c r="P116" i="8"/>
  <c r="P140" i="8"/>
  <c r="P49" i="8"/>
  <c r="P74" i="8"/>
  <c r="P95" i="8"/>
  <c r="P117" i="8"/>
  <c r="P141" i="8"/>
  <c r="P38" i="8"/>
  <c r="P60" i="8"/>
  <c r="P85" i="8"/>
  <c r="P110" i="8"/>
  <c r="N93" i="8"/>
  <c r="N107" i="8"/>
  <c r="N40" i="8"/>
  <c r="N120" i="8"/>
  <c r="R45" i="8"/>
  <c r="R131" i="8"/>
  <c r="R125" i="8"/>
  <c r="R117" i="8"/>
  <c r="R113" i="8"/>
  <c r="R109" i="8"/>
  <c r="R101" i="8"/>
  <c r="R95" i="8"/>
  <c r="R89" i="8"/>
  <c r="R84" i="8"/>
  <c r="R80" i="8"/>
  <c r="R74" i="8"/>
  <c r="R69" i="8"/>
  <c r="R59" i="8"/>
  <c r="R53" i="8"/>
  <c r="R49" i="8"/>
  <c r="R43" i="8"/>
  <c r="R37" i="8"/>
  <c r="R33" i="8"/>
  <c r="R140" i="8"/>
  <c r="R64" i="8"/>
  <c r="R128" i="8"/>
  <c r="R122" i="8"/>
  <c r="R116" i="8"/>
  <c r="R112" i="8"/>
  <c r="R108" i="8"/>
  <c r="R100" i="8"/>
  <c r="R94" i="8"/>
  <c r="R87" i="8"/>
  <c r="R83" i="8"/>
  <c r="R79" i="8"/>
  <c r="R73" i="8"/>
  <c r="R68" i="8"/>
  <c r="R56" i="8"/>
  <c r="R52" i="8"/>
  <c r="R48" i="8"/>
  <c r="R42" i="8"/>
  <c r="R36" i="8"/>
  <c r="R32" i="8"/>
  <c r="R139" i="8"/>
  <c r="R136" i="8"/>
  <c r="R63" i="8"/>
  <c r="R133" i="8"/>
  <c r="R127" i="8"/>
  <c r="R121" i="8"/>
  <c r="R115" i="8"/>
  <c r="R111" i="8"/>
  <c r="R105" i="8"/>
  <c r="R97" i="8"/>
  <c r="R91" i="8"/>
  <c r="R86" i="8"/>
  <c r="R82" i="8"/>
  <c r="R78" i="8"/>
  <c r="R55" i="8"/>
  <c r="R51" i="8"/>
  <c r="R47" i="8"/>
  <c r="R41" i="8"/>
  <c r="R35" i="8"/>
  <c r="R31" i="8"/>
  <c r="R144" i="8"/>
  <c r="R132" i="8"/>
  <c r="R126" i="8"/>
  <c r="R118" i="8"/>
  <c r="R114" i="8"/>
  <c r="R110" i="8"/>
  <c r="R102" i="8"/>
  <c r="R96" i="8"/>
  <c r="R90" i="8"/>
  <c r="R85" i="8"/>
  <c r="R81" i="8"/>
  <c r="R75" i="8"/>
  <c r="R70" i="8"/>
  <c r="R60" i="8"/>
  <c r="R54" i="8"/>
  <c r="R50" i="8"/>
  <c r="R46" i="8"/>
  <c r="R38" i="8"/>
  <c r="R34" i="8"/>
  <c r="R30" i="8"/>
  <c r="R22" i="8"/>
  <c r="R18" i="8"/>
  <c r="R12" i="8"/>
  <c r="R27" i="8"/>
  <c r="R141" i="8"/>
  <c r="R13" i="8"/>
  <c r="R9" i="8"/>
  <c r="R21" i="8"/>
  <c r="R17" i="8"/>
  <c r="R11" i="8"/>
  <c r="R23" i="8"/>
  <c r="R26" i="8"/>
  <c r="R19" i="8"/>
  <c r="R15" i="8"/>
  <c r="R24" i="8"/>
  <c r="R20" i="8"/>
  <c r="R16" i="8"/>
  <c r="R10" i="8"/>
  <c r="R65" i="8"/>
  <c r="N133" i="8"/>
  <c r="N127" i="8"/>
  <c r="N121" i="8"/>
  <c r="N115" i="8"/>
  <c r="N111" i="8"/>
  <c r="N105" i="8"/>
  <c r="N97" i="8"/>
  <c r="N91" i="8"/>
  <c r="N86" i="8"/>
  <c r="N82" i="8"/>
  <c r="N78" i="8"/>
  <c r="N55" i="8"/>
  <c r="N51" i="8"/>
  <c r="N47" i="8"/>
  <c r="N41" i="8"/>
  <c r="N35" i="8"/>
  <c r="N31" i="8"/>
  <c r="N144" i="8"/>
  <c r="N132" i="8"/>
  <c r="N126" i="8"/>
  <c r="N118" i="8"/>
  <c r="N114" i="8"/>
  <c r="N110" i="8"/>
  <c r="N102" i="8"/>
  <c r="N96" i="8"/>
  <c r="N90" i="8"/>
  <c r="N85" i="8"/>
  <c r="N81" i="8"/>
  <c r="N75" i="8"/>
  <c r="N70" i="8"/>
  <c r="N60" i="8"/>
  <c r="N54" i="8"/>
  <c r="N50" i="8"/>
  <c r="N46" i="8"/>
  <c r="N38" i="8"/>
  <c r="N34" i="8"/>
  <c r="N30" i="8"/>
  <c r="N141" i="8"/>
  <c r="N65" i="8"/>
  <c r="N131" i="8"/>
  <c r="N125" i="8"/>
  <c r="N117" i="8"/>
  <c r="N113" i="8"/>
  <c r="N109" i="8"/>
  <c r="N101" i="8"/>
  <c r="N95" i="8"/>
  <c r="N89" i="8"/>
  <c r="N84" i="8"/>
  <c r="N80" i="8"/>
  <c r="N74" i="8"/>
  <c r="N69" i="8"/>
  <c r="N59" i="8"/>
  <c r="N53" i="8"/>
  <c r="N49" i="8"/>
  <c r="N43" i="8"/>
  <c r="N33" i="8"/>
  <c r="N140" i="8"/>
  <c r="N64" i="8"/>
  <c r="N128" i="8"/>
  <c r="N122" i="8"/>
  <c r="N116" i="8"/>
  <c r="N112" i="8"/>
  <c r="N108" i="8"/>
  <c r="N100" i="8"/>
  <c r="N94" i="8"/>
  <c r="N87" i="8"/>
  <c r="N83" i="8"/>
  <c r="N79" i="8"/>
  <c r="N73" i="8"/>
  <c r="N68" i="8"/>
  <c r="N56" i="8"/>
  <c r="N52" i="8"/>
  <c r="N48" i="8"/>
  <c r="N42" i="8"/>
  <c r="N36" i="8"/>
  <c r="N32" i="8"/>
  <c r="N26" i="8"/>
  <c r="Y6" i="8"/>
  <c r="N136" i="8"/>
  <c r="N63" i="8"/>
  <c r="N24" i="8"/>
  <c r="N20" i="8"/>
  <c r="N16" i="8"/>
  <c r="N10" i="8"/>
  <c r="N17" i="8"/>
  <c r="N11" i="8"/>
  <c r="N21" i="8"/>
  <c r="N23" i="8"/>
  <c r="N19" i="8"/>
  <c r="N15" i="8"/>
  <c r="N13" i="8"/>
  <c r="N9" i="8"/>
  <c r="N27" i="8"/>
  <c r="N139" i="8"/>
  <c r="N22" i="8"/>
  <c r="N18" i="8"/>
  <c r="N12" i="8"/>
  <c r="N29" i="8"/>
  <c r="R130" i="8"/>
  <c r="N130" i="8"/>
  <c r="R67" i="8"/>
  <c r="R29" i="8"/>
  <c r="N99" i="8"/>
  <c r="N124" i="8"/>
  <c r="N62" i="8"/>
  <c r="N67" i="8"/>
  <c r="N45" i="8"/>
  <c r="R8" i="8"/>
  <c r="Q24" i="8" l="1"/>
  <c r="AC6" i="8"/>
  <c r="Q35" i="8"/>
  <c r="Q144" i="8"/>
  <c r="O6" i="8"/>
  <c r="Q34" i="8"/>
  <c r="Q33" i="8"/>
  <c r="Q135" i="8"/>
  <c r="Q87" i="8"/>
  <c r="Q75" i="8"/>
  <c r="Q95" i="8"/>
  <c r="Q48" i="8"/>
  <c r="Q13" i="8"/>
  <c r="Q38" i="8"/>
  <c r="Q100" i="8"/>
  <c r="Q9" i="8"/>
  <c r="Q26" i="8"/>
  <c r="Q141" i="8"/>
  <c r="Q23" i="8"/>
  <c r="Q51" i="8"/>
  <c r="Q64" i="8"/>
  <c r="Q68" i="8"/>
  <c r="Q124" i="8"/>
  <c r="Q136" i="8"/>
  <c r="Q60" i="8"/>
  <c r="Q127" i="8"/>
  <c r="Q117" i="8"/>
  <c r="Q116" i="8"/>
  <c r="Q139" i="8"/>
  <c r="Q73" i="8"/>
  <c r="Q113" i="8"/>
  <c r="Q45" i="8"/>
  <c r="Q121" i="8"/>
  <c r="Q107" i="8"/>
  <c r="Q70" i="8"/>
  <c r="Q53" i="8"/>
  <c r="Q29" i="8"/>
  <c r="Q99" i="8"/>
  <c r="Q50" i="8"/>
  <c r="Q125" i="8"/>
  <c r="Q133" i="8"/>
  <c r="Q114" i="8"/>
  <c r="Q94" i="8"/>
  <c r="Q27" i="8"/>
  <c r="Q46" i="8"/>
  <c r="Q96" i="8"/>
  <c r="Q97" i="8"/>
  <c r="Q74" i="8"/>
  <c r="Q143" i="8"/>
  <c r="Q110" i="8"/>
  <c r="Q40" i="8"/>
  <c r="Q126" i="8"/>
  <c r="Q49" i="8"/>
  <c r="Q18" i="8"/>
  <c r="Q42" i="8"/>
  <c r="Q30" i="8"/>
  <c r="Q22" i="8"/>
  <c r="Q128" i="8"/>
  <c r="Q82" i="8"/>
  <c r="Q132" i="8"/>
  <c r="Q89" i="8"/>
  <c r="Q105" i="8"/>
  <c r="Q77" i="8"/>
  <c r="Q58" i="8"/>
  <c r="Q54" i="8"/>
  <c r="Q62" i="8"/>
  <c r="Q112" i="8"/>
  <c r="Q47" i="8"/>
  <c r="Q104" i="8"/>
  <c r="Q59" i="8"/>
  <c r="Q78" i="8"/>
  <c r="Q11" i="8"/>
  <c r="Q72" i="8"/>
  <c r="Q36" i="8"/>
  <c r="Q118" i="8"/>
  <c r="Q84" i="8"/>
  <c r="Q55" i="8"/>
  <c r="Q65" i="8"/>
  <c r="AB6" i="8"/>
  <c r="Q80" i="8"/>
  <c r="Q8" i="8"/>
  <c r="Q122" i="8"/>
  <c r="Q16" i="8"/>
  <c r="Q43" i="8"/>
  <c r="Q21" i="8"/>
  <c r="Q32" i="8"/>
  <c r="Q91" i="8"/>
  <c r="P6" i="8"/>
  <c r="Q19" i="8"/>
  <c r="Q83" i="8"/>
  <c r="Q10" i="8"/>
  <c r="Q140" i="8"/>
  <c r="Q31" i="8"/>
  <c r="Q93" i="8"/>
  <c r="Q56" i="8"/>
  <c r="Q37" i="8"/>
  <c r="Q41" i="8"/>
  <c r="Q90" i="8"/>
  <c r="Q138" i="8"/>
  <c r="Q130" i="8"/>
  <c r="Q102" i="8"/>
  <c r="Q85" i="8"/>
  <c r="Q108" i="8"/>
  <c r="Q15" i="8"/>
  <c r="Q101" i="8"/>
  <c r="Q79" i="8"/>
  <c r="Q120" i="8"/>
  <c r="Q52" i="8"/>
  <c r="Q81" i="8"/>
  <c r="Q67" i="8"/>
  <c r="Q131" i="8"/>
  <c r="Q63" i="8"/>
  <c r="Q12" i="8"/>
  <c r="Q69" i="8"/>
  <c r="Q86" i="8"/>
  <c r="Q17" i="8"/>
  <c r="Q111" i="8"/>
  <c r="Q109" i="8"/>
  <c r="Q115" i="8"/>
  <c r="Q20" i="8"/>
  <c r="S6" i="8"/>
  <c r="N6" i="8"/>
  <c r="R6" i="8"/>
  <c r="V6" i="8" l="1"/>
  <c r="U6" i="8"/>
  <c r="Q6" i="8"/>
</calcChain>
</file>

<file path=xl/sharedStrings.xml><?xml version="1.0" encoding="utf-8"?>
<sst xmlns="http://schemas.openxmlformats.org/spreadsheetml/2006/main" count="208" uniqueCount="152">
  <si>
    <t>Source:  Maldives Customs Services</t>
  </si>
  <si>
    <t xml:space="preserve">cswsivrWs cscmwTcswk cscviDclOm :ctWrwfivcaed utWmUluAwm     </t>
  </si>
  <si>
    <t>Harmonized System</t>
  </si>
  <si>
    <t>TOTAL</t>
  </si>
  <si>
    <t xml:space="preserve">Percentage  Share  </t>
  </si>
  <si>
    <t xml:space="preserve">% Change Over Previous Year  </t>
  </si>
  <si>
    <t xml:space="preserve">       Section I</t>
  </si>
  <si>
    <t>LIVE ANIMALS; ANIMAL PRODUCT</t>
  </si>
  <si>
    <t xml:space="preserve">Live animals </t>
  </si>
  <si>
    <t>Meat and edible meat offals</t>
  </si>
  <si>
    <t>Fish and crustaceans and molluscs and other...</t>
  </si>
  <si>
    <t>Dairy products; birds' eggs; natural honey; ...</t>
  </si>
  <si>
    <t>Products of animal origin, not elsewhere ...</t>
  </si>
  <si>
    <t xml:space="preserve">       Section II</t>
  </si>
  <si>
    <t>VEGETABLE PRODUCTS</t>
  </si>
  <si>
    <t>Live trees and other plants; bulbs roots and ...</t>
  </si>
  <si>
    <t>Edible vegetables and certain roots and tubers</t>
  </si>
  <si>
    <t>Edible fruits and nuts; peel of citrus fruit or melons</t>
  </si>
  <si>
    <t>Coffee, tea, mate and spices</t>
  </si>
  <si>
    <t>Cereals</t>
  </si>
  <si>
    <t>Products of the milling industry; malt; starches; inulin...</t>
  </si>
  <si>
    <t>Oil seeds and oleaginous fruit; miscellaneous ...</t>
  </si>
  <si>
    <t>Lac; gums, resins and other vegetable saps and extracts</t>
  </si>
  <si>
    <t>Vegetable plaiting materials, vegetable products not elsewhere...</t>
  </si>
  <si>
    <t xml:space="preserve">       Section III</t>
  </si>
  <si>
    <t>ANIMAL AND VEGETABLE FATS AND OILS AND THEIR...</t>
  </si>
  <si>
    <t>Animal and Vegetable fats and oils and...</t>
  </si>
  <si>
    <t xml:space="preserve">       Section IV</t>
  </si>
  <si>
    <t>PREPARED FOODSTUFFS; BEVERAGES, SPIRITS AND...</t>
  </si>
  <si>
    <t>Preparations of meat, of fish, of crustaceans...</t>
  </si>
  <si>
    <t>Sugar and sugar confectionery</t>
  </si>
  <si>
    <t>Cocoa and cocoa preparations</t>
  </si>
  <si>
    <t>Preparations of cereals, flour, starch or milk...</t>
  </si>
  <si>
    <t>Preparations of vegetables, fruits...</t>
  </si>
  <si>
    <t>Miscellaneous edible preparations</t>
  </si>
  <si>
    <t>Beverages, spirits and vinegar</t>
  </si>
  <si>
    <t>Residues and waste from the food industries...</t>
  </si>
  <si>
    <t>Tobacco and manufactured tobacco substitutes</t>
  </si>
  <si>
    <t xml:space="preserve">       Section V</t>
  </si>
  <si>
    <t>MINERAL PRODUCTS</t>
  </si>
  <si>
    <t>Salt, sulphur, earths and stones; plastering</t>
  </si>
  <si>
    <t xml:space="preserve"> Ores, slag and ash</t>
  </si>
  <si>
    <t xml:space="preserve"> Mineral fuels, mineral oils and products of ...</t>
  </si>
  <si>
    <t xml:space="preserve">        Section VI</t>
  </si>
  <si>
    <t xml:space="preserve"> PRODUCTS OF THE CHEMICAL &amp; ALLIED INDUSTRIES</t>
  </si>
  <si>
    <t xml:space="preserve"> Inorganic chemicals; organic and inorganic compounds</t>
  </si>
  <si>
    <t xml:space="preserve"> Organic chemicals</t>
  </si>
  <si>
    <t xml:space="preserve"> Pharmaceutical products</t>
  </si>
  <si>
    <t xml:space="preserve"> Fertilizers</t>
  </si>
  <si>
    <t xml:space="preserve"> Tanning and dyeing extracts...</t>
  </si>
  <si>
    <t xml:space="preserve"> Essential oils and resinoids; perfumery, ...</t>
  </si>
  <si>
    <t xml:space="preserve"> Soap, organic surface-active agents...</t>
  </si>
  <si>
    <t xml:space="preserve"> Albuminoidal substances; modified starches; glues...</t>
  </si>
  <si>
    <t xml:space="preserve"> Explosives; pyrotechnic products; matches ...</t>
  </si>
  <si>
    <t xml:space="preserve"> Photographic and cinematographic goods</t>
  </si>
  <si>
    <t xml:space="preserve"> Miscellaneous chemical products</t>
  </si>
  <si>
    <t xml:space="preserve">        Section VII</t>
  </si>
  <si>
    <t xml:space="preserve"> PLASTIC &amp; ARTICLES THEREOF; RUBBER &amp; ARTICLES THEREOF</t>
  </si>
  <si>
    <t xml:space="preserve"> Plastics and articles thereof</t>
  </si>
  <si>
    <t xml:space="preserve"> Rubber and articles thereof</t>
  </si>
  <si>
    <t xml:space="preserve">        Section VIII</t>
  </si>
  <si>
    <t xml:space="preserve"> RAW HIDES &amp; SKINS, LEATHER, FURSKINS &amp; ARTICLES...   </t>
  </si>
  <si>
    <t xml:space="preserve"> Raw hides and skins (other than furskins) </t>
  </si>
  <si>
    <t xml:space="preserve"> Articles of leather; saddlery and harness;....</t>
  </si>
  <si>
    <t>Furkins and artificial fur; manufactures thereof</t>
  </si>
  <si>
    <t xml:space="preserve">         Section IX</t>
  </si>
  <si>
    <t xml:space="preserve"> WOOD; ARTICLES OF WOOD; WOOD CHARCOAL; CORK &amp; ARTICLES</t>
  </si>
  <si>
    <t xml:space="preserve"> Wood and articles of wood; wood charcoal</t>
  </si>
  <si>
    <t xml:space="preserve"> Cork and articles of cork</t>
  </si>
  <si>
    <t xml:space="preserve"> Manufactures of straw, of esparto and of other plating...</t>
  </si>
  <si>
    <t xml:space="preserve">         Section X</t>
  </si>
  <si>
    <t xml:space="preserve"> PULP OF WOOD OR OF OTHER FIBROUS CELLULOSIC MATERIAL</t>
  </si>
  <si>
    <t>pulp of wood or of other fibrous cellulosic material; recovered (waste and scrap) paper or paperboard</t>
  </si>
  <si>
    <t xml:space="preserve"> Paper and paperboard; articles of paper pulp</t>
  </si>
  <si>
    <t xml:space="preserve"> Printed books, newspapers, pictures and other products...</t>
  </si>
  <si>
    <t xml:space="preserve">        Section XI</t>
  </si>
  <si>
    <t xml:space="preserve"> TEXTILES AND TEXTILE ARTICLES</t>
  </si>
  <si>
    <t xml:space="preserve"> Silk </t>
  </si>
  <si>
    <t xml:space="preserve"> Wool, fine or coarse animal hair...</t>
  </si>
  <si>
    <t xml:space="preserve"> Cotton</t>
  </si>
  <si>
    <t xml:space="preserve"> Other vegetable textile fibres...</t>
  </si>
  <si>
    <t xml:space="preserve"> Man-made filaments</t>
  </si>
  <si>
    <t xml:space="preserve"> Man-made staple fibres</t>
  </si>
  <si>
    <t xml:space="preserve"> Wadding, felt and nonwovens; special yarns;...</t>
  </si>
  <si>
    <t xml:space="preserve"> Carpets and other textile floor coverings</t>
  </si>
  <si>
    <t xml:space="preserve"> Special woven fabrics…</t>
  </si>
  <si>
    <t xml:space="preserve"> Impregnated, coated, covered or laminated textile...</t>
  </si>
  <si>
    <t xml:space="preserve"> Articles of apparel and clothing accessories, knitted...</t>
  </si>
  <si>
    <t xml:space="preserve"> Articles of apparel and clothing accessories, not knitted...</t>
  </si>
  <si>
    <t xml:space="preserve"> Other made up textile articles; sets; worn clothing...</t>
  </si>
  <si>
    <t xml:space="preserve">        Section XII</t>
  </si>
  <si>
    <t xml:space="preserve"> FOOTWEAR, HEADGEAR, UMBRELLAS, SUNSHADES, ...</t>
  </si>
  <si>
    <t xml:space="preserve"> Footwear, gaiters and the like; parts of such articles</t>
  </si>
  <si>
    <t xml:space="preserve"> Headgear and parts thereof </t>
  </si>
  <si>
    <t xml:space="preserve"> Umbrellas, sun umbrellas, walking-sticks...</t>
  </si>
  <si>
    <t xml:space="preserve"> Prepared feathers and down and articles made of feathers...</t>
  </si>
  <si>
    <t xml:space="preserve">        Section XIII</t>
  </si>
  <si>
    <t xml:space="preserve"> ARTICLES OF STONE, PLASTER, CEMENT, ASBESTOS  </t>
  </si>
  <si>
    <t xml:space="preserve"> Articles of stone, plaster, cement, asbestos...</t>
  </si>
  <si>
    <t xml:space="preserve"> Ceramic products</t>
  </si>
  <si>
    <t xml:space="preserve"> Glass and glassware</t>
  </si>
  <si>
    <t xml:space="preserve">        Section XIV</t>
  </si>
  <si>
    <t xml:space="preserve"> PEARLS, PRECIOUS AND SEMI-PRECIOUS STONES, ...</t>
  </si>
  <si>
    <t xml:space="preserve"> Natural or cultured pearls, precious or semi-precious stones...</t>
  </si>
  <si>
    <t xml:space="preserve">        Section XV</t>
  </si>
  <si>
    <t xml:space="preserve"> BASE METAL AND ARTICLES OF BASE METAL</t>
  </si>
  <si>
    <t xml:space="preserve"> Iron and steel </t>
  </si>
  <si>
    <t xml:space="preserve"> Articles of iron or steel</t>
  </si>
  <si>
    <t xml:space="preserve"> Copper and articles thereof...</t>
  </si>
  <si>
    <t xml:space="preserve"> Nickel and articles thereof...</t>
  </si>
  <si>
    <t xml:space="preserve"> Aluminum and articles thereof...</t>
  </si>
  <si>
    <t xml:space="preserve"> Lead and articles thereof...</t>
  </si>
  <si>
    <t xml:space="preserve"> Zinc and articles thereof...</t>
  </si>
  <si>
    <t xml:space="preserve"> Tin and articles thereof...</t>
  </si>
  <si>
    <t xml:space="preserve"> Other base metals, cermets, articles thereof...</t>
  </si>
  <si>
    <t xml:space="preserve"> Tools, implements, cutlery, spoons and forks…</t>
  </si>
  <si>
    <t xml:space="preserve"> Miscellaneous articles of base metals</t>
  </si>
  <si>
    <t xml:space="preserve">        Section XVI</t>
  </si>
  <si>
    <t xml:space="preserve"> MACHINERY &amp; MECHANICAL APPLIANCES; ELECTRICAL</t>
  </si>
  <si>
    <t xml:space="preserve"> Nuclear reactors, boilers, machinery &amp; mechanical appliances;...</t>
  </si>
  <si>
    <t xml:space="preserve"> Electrical machinery and equipment; parts thereof...</t>
  </si>
  <si>
    <t xml:space="preserve">        Section XVII</t>
  </si>
  <si>
    <t xml:space="preserve"> VEHICLES, AIRCRAFT, &amp; PARTS THEREOF;</t>
  </si>
  <si>
    <t xml:space="preserve"> Railway tramway locomotives, rolling stocks and parts thereof</t>
  </si>
  <si>
    <t xml:space="preserve"> Vehicles other than railway or tramway...</t>
  </si>
  <si>
    <t xml:space="preserve"> Aircraft, spacecraft, and parts thereof…</t>
  </si>
  <si>
    <t xml:space="preserve"> Ships, boats and floating structures</t>
  </si>
  <si>
    <t xml:space="preserve">        Section XVIII</t>
  </si>
  <si>
    <t xml:space="preserve"> OPTICAL, PHOTOGRAPHIC, CINEMATOGRAPHIC, ...</t>
  </si>
  <si>
    <t xml:space="preserve"> Optical, photographic, cinematographic, ...</t>
  </si>
  <si>
    <t xml:space="preserve"> Clocks and watches and parts thereof</t>
  </si>
  <si>
    <t xml:space="preserve"> Musical instruments; parts and accessories </t>
  </si>
  <si>
    <t xml:space="preserve">        Section XIX</t>
  </si>
  <si>
    <t xml:space="preserve"> ARMS &amp; AMMUNITION; PARTS &amp; ACCESSORIES THEREOF</t>
  </si>
  <si>
    <t xml:space="preserve"> Arms and ammunition; parts and accessories thereof</t>
  </si>
  <si>
    <t xml:space="preserve">        Section XX</t>
  </si>
  <si>
    <t xml:space="preserve"> MISCELLANEOUS MANUFACTURED ARTICLES</t>
  </si>
  <si>
    <t xml:space="preserve"> Furniture and parts thereof; bedding, ...</t>
  </si>
  <si>
    <t xml:space="preserve"> Toys, games and sports requisities parts thereof...</t>
  </si>
  <si>
    <t xml:space="preserve"> Miscellaneous manufactured articles</t>
  </si>
  <si>
    <t xml:space="preserve">        Section XXI</t>
  </si>
  <si>
    <t xml:space="preserve"> WORK OF ART, COLLECTORS PIECES, &amp; ANTIQUES.</t>
  </si>
  <si>
    <t xml:space="preserve"> Work of art, collectors pieces, and antiques.</t>
  </si>
  <si>
    <t xml:space="preserve">    (cnuhWh Wyifur) ugwa</t>
  </si>
  <si>
    <t xml:space="preserve">   cniawtcaws ctogWviawfiheb</t>
  </si>
  <si>
    <t xml:space="preserve">   % urwvcnim ivurutia eruvcSwrwhwa Iruk</t>
  </si>
  <si>
    <t xml:space="preserve">        Value (in MVR. '000</t>
  </si>
  <si>
    <t>(*)</t>
  </si>
  <si>
    <t xml:space="preserve">Note: (*) - Indicates if the percentage change is greater than 100. </t>
  </si>
  <si>
    <t>Table  15.8 : IMPORTS CLASSIFIED BY HARMONIZED SYSTEM , 2018 - 2024</t>
  </si>
  <si>
    <t>ތާވަލު 15.8: ހާމޮނައިޒްޑް ސިސްޓަމްގެ ބައިތަކުގެ ގޮތުން، ރާއްޖެއަށް އެތެރެކުރެވުނު މައިގަނޑު މުދަލުގެ ބާވަތްތައް، 2018 - 2024</t>
  </si>
  <si>
    <t>Knitted or crocheted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</si>
</sst>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5" formatCode="#,##0.0"/>
    <numFmt numFmtId="167" formatCode="0.0"/>
    <numFmt numFmtId="168" formatCode="_(* #,##0_);_(* \(#,##0\);_(* &quot;-&quot;??_);_(@_)"/>
    <numFmt numFmtId="171" formatCode="General_)"/>
    <numFmt numFmtId="172" formatCode="_-* #,##0.00\ _ރ_._-;_-* #,##0.00\ _ރ_.\-;_-* &quot;-&quot;??\ _ރ_._-;_-@_-"/>
    <numFmt numFmtId="173" formatCode="0.00_)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  <charset val="1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b/>
      <sz val="11"/>
      <color indexed="50"/>
      <name val="Calibri"/>
      <family val="2"/>
      <scheme val="minor"/>
    </font>
    <font>
      <b/>
      <sz val="7"/>
      <color indexed="8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8"/>
      <color indexed="63"/>
      <name val="Calibri"/>
      <family val="2"/>
      <scheme val="minor"/>
    </font>
    <font>
      <sz val="8"/>
      <color indexed="6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  <font>
      <sz val="10"/>
      <name val="A_Faseyha"/>
    </font>
    <font>
      <sz val="9"/>
      <name val="A_Faseyha"/>
    </font>
    <font>
      <i/>
      <sz val="9"/>
      <name val="Calibri Light"/>
      <family val="2"/>
      <scheme val="major"/>
    </font>
    <font>
      <b/>
      <sz val="11"/>
      <name val="Faruma"/>
      <charset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21" fillId="0" borderId="20" applyNumberFormat="0" applyFill="0" applyAlignment="0" applyProtection="0"/>
    <xf numFmtId="0" fontId="22" fillId="0" borderId="21" applyNumberFormat="0" applyFill="0" applyAlignment="0" applyProtection="0"/>
    <xf numFmtId="0" fontId="23" fillId="0" borderId="22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0" applyNumberFormat="0" applyBorder="0" applyAlignment="0" applyProtection="0"/>
    <xf numFmtId="0" fontId="27" fillId="6" borderId="23" applyNumberFormat="0" applyAlignment="0" applyProtection="0"/>
    <xf numFmtId="0" fontId="28" fillId="7" borderId="24" applyNumberFormat="0" applyAlignment="0" applyProtection="0"/>
    <xf numFmtId="0" fontId="29" fillId="7" borderId="23" applyNumberFormat="0" applyAlignment="0" applyProtection="0"/>
    <xf numFmtId="0" fontId="30" fillId="0" borderId="25" applyNumberFormat="0" applyFill="0" applyAlignment="0" applyProtection="0"/>
    <xf numFmtId="0" fontId="31" fillId="8" borderId="26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28" applyNumberFormat="0" applyFill="0" applyAlignment="0" applyProtection="0"/>
    <xf numFmtId="0" fontId="3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4" fillId="29" borderId="0" applyNumberFormat="0" applyBorder="0" applyAlignment="0" applyProtection="0"/>
    <xf numFmtId="0" fontId="3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4" fillId="33" borderId="0" applyNumberFormat="0" applyBorder="0" applyAlignment="0" applyProtection="0"/>
    <xf numFmtId="0" fontId="35" fillId="0" borderId="0"/>
    <xf numFmtId="0" fontId="4" fillId="0" borderId="0"/>
    <xf numFmtId="172" fontId="4" fillId="0" borderId="0" applyFont="0" applyFill="0" applyBorder="0" applyAlignment="0" applyProtection="0"/>
    <xf numFmtId="173" fontId="36" fillId="0" borderId="0"/>
    <xf numFmtId="0" fontId="3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7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7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8" fillId="34" borderId="0" applyNumberFormat="0" applyBorder="0" applyAlignment="0" applyProtection="0"/>
    <xf numFmtId="0" fontId="4" fillId="0" borderId="0"/>
  </cellStyleXfs>
  <cellXfs count="84">
    <xf numFmtId="0" fontId="0" fillId="0" borderId="0" xfId="0"/>
    <xf numFmtId="3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165" fontId="6" fillId="2" borderId="10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0" fillId="2" borderId="0" xfId="0" applyFill="1"/>
    <xf numFmtId="0" fontId="7" fillId="2" borderId="15" xfId="0" applyFont="1" applyFill="1" applyBorder="1" applyAlignment="1">
      <alignment horizontal="right" readingOrder="2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2" borderId="0" xfId="0" applyFont="1" applyFill="1"/>
    <xf numFmtId="0" fontId="5" fillId="2" borderId="3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3" fontId="5" fillId="2" borderId="0" xfId="0" applyNumberFormat="1" applyFont="1" applyFill="1" applyAlignment="1" applyProtection="1">
      <alignment horizontal="right" vertical="center"/>
      <protection locked="0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168" fontId="5" fillId="2" borderId="0" xfId="0" applyNumberFormat="1" applyFont="1" applyFill="1" applyAlignment="1" applyProtection="1">
      <alignment horizontal="right" vertical="center"/>
      <protection locked="0"/>
    </xf>
    <xf numFmtId="168" fontId="5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37" fontId="5" fillId="2" borderId="0" xfId="0" applyNumberFormat="1" applyFont="1" applyFill="1" applyAlignment="1">
      <alignment horizontal="right" vertical="center"/>
    </xf>
    <xf numFmtId="0" fontId="10" fillId="2" borderId="3" xfId="0" applyFont="1" applyFill="1" applyBorder="1" applyAlignment="1">
      <alignment horizontal="left" vertical="center"/>
    </xf>
    <xf numFmtId="37" fontId="6" fillId="2" borderId="0" xfId="0" applyNumberFormat="1" applyFont="1" applyFill="1" applyAlignment="1">
      <alignment vertical="center"/>
    </xf>
    <xf numFmtId="10" fontId="6" fillId="2" borderId="0" xfId="5" applyNumberFormat="1" applyFont="1" applyFill="1" applyBorder="1" applyAlignment="1" applyProtection="1">
      <alignment vertical="center"/>
    </xf>
    <xf numFmtId="37" fontId="10" fillId="2" borderId="0" xfId="0" applyNumberFormat="1" applyFont="1" applyFill="1" applyAlignment="1">
      <alignment vertical="center"/>
    </xf>
    <xf numFmtId="10" fontId="10" fillId="2" borderId="0" xfId="5" applyNumberFormat="1" applyFont="1" applyFill="1" applyBorder="1" applyAlignment="1" applyProtection="1">
      <alignment vertical="center"/>
    </xf>
    <xf numFmtId="10" fontId="10" fillId="2" borderId="0" xfId="5" applyNumberFormat="1" applyFont="1" applyFill="1" applyBorder="1" applyAlignment="1">
      <alignment vertical="center"/>
    </xf>
    <xf numFmtId="0" fontId="16" fillId="2" borderId="0" xfId="0" applyFont="1" applyFill="1" applyAlignment="1">
      <alignment wrapText="1"/>
    </xf>
    <xf numFmtId="0" fontId="6" fillId="2" borderId="0" xfId="0" applyFont="1" applyFill="1"/>
    <xf numFmtId="0" fontId="6" fillId="2" borderId="0" xfId="0" applyFont="1" applyFill="1" applyAlignment="1">
      <alignment vertical="top" wrapText="1"/>
    </xf>
    <xf numFmtId="0" fontId="17" fillId="2" borderId="0" xfId="0" applyFont="1" applyFill="1" applyAlignment="1">
      <alignment wrapText="1"/>
    </xf>
    <xf numFmtId="0" fontId="18" fillId="2" borderId="0" xfId="0" applyFont="1" applyFill="1" applyAlignment="1">
      <alignment vertical="top" wrapText="1"/>
    </xf>
    <xf numFmtId="0" fontId="19" fillId="2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10" fontId="6" fillId="2" borderId="0" xfId="5" applyNumberFormat="1" applyFont="1" applyFill="1" applyBorder="1" applyAlignment="1">
      <alignment vertical="center"/>
    </xf>
    <xf numFmtId="0" fontId="11" fillId="2" borderId="15" xfId="0" applyFont="1" applyFill="1" applyBorder="1"/>
    <xf numFmtId="0" fontId="41" fillId="2" borderId="4" xfId="0" applyFont="1" applyFill="1" applyBorder="1" applyAlignment="1">
      <alignment horizontal="right" readingOrder="2"/>
    </xf>
    <xf numFmtId="165" fontId="6" fillId="2" borderId="14" xfId="0" applyNumberFormat="1" applyFont="1" applyFill="1" applyBorder="1" applyAlignment="1">
      <alignment horizontal="right" vertical="center"/>
    </xf>
    <xf numFmtId="165" fontId="6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wrapText="1"/>
    </xf>
    <xf numFmtId="165" fontId="14" fillId="2" borderId="18" xfId="0" applyNumberFormat="1" applyFont="1" applyFill="1" applyBorder="1" applyAlignment="1">
      <alignment horizontal="right" vertical="center"/>
    </xf>
    <xf numFmtId="165" fontId="14" fillId="2" borderId="19" xfId="0" applyNumberFormat="1" applyFont="1" applyFill="1" applyBorder="1" applyAlignment="1">
      <alignment horizontal="right" vertical="center"/>
    </xf>
    <xf numFmtId="0" fontId="42" fillId="2" borderId="0" xfId="70" applyFont="1" applyFill="1" applyAlignment="1">
      <alignment horizontal="left" vertical="center"/>
    </xf>
    <xf numFmtId="0" fontId="40" fillId="2" borderId="4" xfId="0" applyFont="1" applyFill="1" applyBorder="1" applyAlignment="1">
      <alignment horizontal="right" readingOrder="2"/>
    </xf>
    <xf numFmtId="0" fontId="5" fillId="2" borderId="10" xfId="0" applyFont="1" applyFill="1" applyBorder="1" applyAlignment="1">
      <alignment vertical="center"/>
    </xf>
    <xf numFmtId="165" fontId="5" fillId="2" borderId="6" xfId="0" applyNumberFormat="1" applyFont="1" applyFill="1" applyBorder="1" applyAlignment="1">
      <alignment horizontal="right" vertical="center"/>
    </xf>
    <xf numFmtId="165" fontId="5" fillId="2" borderId="14" xfId="0" applyNumberFormat="1" applyFont="1" applyFill="1" applyBorder="1" applyAlignment="1">
      <alignment horizontal="right" vertical="center"/>
    </xf>
    <xf numFmtId="0" fontId="5" fillId="2" borderId="12" xfId="0" applyFont="1" applyFill="1" applyBorder="1" applyAlignment="1">
      <alignment vertical="center"/>
    </xf>
    <xf numFmtId="1" fontId="5" fillId="2" borderId="11" xfId="0" applyNumberFormat="1" applyFont="1" applyFill="1" applyBorder="1" applyAlignment="1">
      <alignment vertical="center"/>
    </xf>
    <xf numFmtId="3" fontId="5" fillId="2" borderId="5" xfId="0" applyNumberFormat="1" applyFont="1" applyFill="1" applyBorder="1" applyAlignment="1">
      <alignment horizontal="right" vertical="center"/>
    </xf>
    <xf numFmtId="165" fontId="6" fillId="2" borderId="13" xfId="0" applyNumberFormat="1" applyFont="1" applyFill="1" applyBorder="1" applyAlignment="1">
      <alignment horizontal="right" vertical="center"/>
    </xf>
    <xf numFmtId="165" fontId="6" fillId="2" borderId="9" xfId="0" applyNumberFormat="1" applyFont="1" applyFill="1" applyBorder="1" applyAlignment="1">
      <alignment horizontal="right" vertical="center"/>
    </xf>
    <xf numFmtId="1" fontId="5" fillId="2" borderId="12" xfId="0" applyNumberFormat="1" applyFont="1" applyFill="1" applyBorder="1" applyAlignment="1">
      <alignment vertical="center"/>
    </xf>
    <xf numFmtId="165" fontId="5" fillId="2" borderId="5" xfId="0" applyNumberFormat="1" applyFont="1" applyFill="1" applyBorder="1" applyAlignment="1">
      <alignment horizontal="right" vertical="center"/>
    </xf>
    <xf numFmtId="165" fontId="5" fillId="2" borderId="13" xfId="0" applyNumberFormat="1" applyFont="1" applyFill="1" applyBorder="1" applyAlignment="1">
      <alignment horizontal="right" vertical="center"/>
    </xf>
    <xf numFmtId="165" fontId="6" fillId="2" borderId="16" xfId="0" applyNumberFormat="1" applyFont="1" applyFill="1" applyBorder="1" applyAlignment="1">
      <alignment horizontal="right" vertical="center"/>
    </xf>
    <xf numFmtId="37" fontId="5" fillId="2" borderId="13" xfId="1" applyNumberFormat="1" applyFont="1" applyFill="1" applyBorder="1" applyAlignment="1">
      <alignment horizontal="right" vertical="center"/>
    </xf>
    <xf numFmtId="37" fontId="6" fillId="2" borderId="13" xfId="1" applyNumberFormat="1" applyFont="1" applyFill="1" applyBorder="1" applyAlignment="1">
      <alignment horizontal="right" vertical="center"/>
    </xf>
    <xf numFmtId="37" fontId="5" fillId="2" borderId="0" xfId="1" applyNumberFormat="1" applyFont="1" applyFill="1" applyBorder="1" applyAlignment="1">
      <alignment horizontal="right" vertical="center"/>
    </xf>
    <xf numFmtId="37" fontId="6" fillId="2" borderId="0" xfId="1" applyNumberFormat="1" applyFont="1" applyFill="1" applyBorder="1" applyAlignment="1">
      <alignment horizontal="right" vertical="center"/>
    </xf>
    <xf numFmtId="37" fontId="6" fillId="2" borderId="3" xfId="1" applyNumberFormat="1" applyFont="1" applyFill="1" applyBorder="1" applyAlignment="1">
      <alignment horizontal="right" vertical="center"/>
    </xf>
    <xf numFmtId="3" fontId="5" fillId="2" borderId="13" xfId="0" applyNumberFormat="1" applyFont="1" applyFill="1" applyBorder="1" applyAlignment="1">
      <alignment horizontal="right" vertical="center"/>
    </xf>
    <xf numFmtId="3" fontId="5" fillId="2" borderId="13" xfId="0" applyNumberFormat="1" applyFont="1" applyFill="1" applyBorder="1" applyAlignment="1" applyProtection="1">
      <alignment horizontal="right" vertical="center"/>
      <protection locked="0"/>
    </xf>
    <xf numFmtId="37" fontId="9" fillId="2" borderId="13" xfId="1" applyNumberFormat="1" applyFont="1" applyFill="1" applyBorder="1" applyAlignment="1">
      <alignment vertical="center"/>
    </xf>
    <xf numFmtId="37" fontId="6" fillId="2" borderId="9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4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wrapText="1"/>
    </xf>
    <xf numFmtId="0" fontId="5" fillId="2" borderId="17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</cellXfs>
  <cellStyles count="71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rmal_Quick data" xfId="70" xr:uid="{00000000-0005-0000-0000-000042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I249"/>
  <sheetViews>
    <sheetView tabSelected="1" topLeftCell="A76" zoomScale="89" zoomScaleNormal="89" workbookViewId="0">
      <selection activeCell="X117" sqref="X117"/>
    </sheetView>
  </sheetViews>
  <sheetFormatPr defaultColWidth="9" defaultRowHeight="15" x14ac:dyDescent="0.25"/>
  <cols>
    <col min="1" max="1" width="59.28515625" style="13" customWidth="1"/>
    <col min="2" max="5" width="10.5703125" style="13" hidden="1" customWidth="1"/>
    <col min="6" max="6" width="10.42578125" style="40" hidden="1" customWidth="1"/>
    <col min="7" max="13" width="11.7109375" style="40" customWidth="1"/>
    <col min="14" max="14" width="11.28515625" style="40" hidden="1" customWidth="1"/>
    <col min="15" max="15" width="9.85546875" style="40" hidden="1" customWidth="1"/>
    <col min="16" max="17" width="5.42578125" style="40" hidden="1" customWidth="1"/>
    <col min="18" max="24" width="8.7109375" style="40" customWidth="1"/>
    <col min="25" max="28" width="8.7109375" style="13" hidden="1" customWidth="1"/>
    <col min="29" max="31" width="8.7109375" style="13" customWidth="1"/>
    <col min="32" max="32" width="9.140625" style="11" customWidth="1"/>
    <col min="33" max="16384" width="9" style="13"/>
  </cols>
  <sheetData>
    <row r="1" spans="1:35" ht="21" customHeight="1" x14ac:dyDescent="0.25">
      <c r="A1" s="75" t="s">
        <v>150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</row>
    <row r="2" spans="1:35" s="14" customFormat="1" ht="17.25" customHeight="1" x14ac:dyDescent="0.25">
      <c r="A2" s="72" t="s">
        <v>149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</row>
    <row r="3" spans="1:35" s="15" customFormat="1" ht="21" customHeight="1" x14ac:dyDescent="0.2">
      <c r="A3" s="77" t="s">
        <v>2</v>
      </c>
      <c r="C3" s="79" t="s">
        <v>146</v>
      </c>
      <c r="D3" s="79"/>
      <c r="E3" s="79"/>
      <c r="F3" s="79"/>
      <c r="G3" s="79"/>
      <c r="H3" s="79"/>
      <c r="I3" s="79"/>
      <c r="J3" s="79"/>
      <c r="K3" s="79"/>
      <c r="L3" s="79"/>
      <c r="M3" s="81"/>
      <c r="N3" s="78" t="s">
        <v>4</v>
      </c>
      <c r="O3" s="79"/>
      <c r="P3" s="79"/>
      <c r="Q3" s="79"/>
      <c r="R3" s="79"/>
      <c r="S3" s="79"/>
      <c r="T3" s="79"/>
      <c r="U3" s="79"/>
      <c r="V3" s="79"/>
      <c r="W3" s="79"/>
      <c r="X3" s="81"/>
      <c r="Y3" s="78" t="s">
        <v>5</v>
      </c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35" s="15" customFormat="1" ht="21" customHeight="1" x14ac:dyDescent="0.2">
      <c r="A4" s="73"/>
      <c r="C4" s="80" t="s">
        <v>143</v>
      </c>
      <c r="D4" s="80"/>
      <c r="E4" s="80"/>
      <c r="F4" s="80"/>
      <c r="G4" s="80"/>
      <c r="H4" s="80"/>
      <c r="I4" s="80"/>
      <c r="J4" s="80"/>
      <c r="K4" s="80"/>
      <c r="L4" s="80"/>
      <c r="M4" s="83"/>
      <c r="N4" s="82" t="s">
        <v>144</v>
      </c>
      <c r="O4" s="80"/>
      <c r="P4" s="80"/>
      <c r="Q4" s="80"/>
      <c r="R4" s="80"/>
      <c r="S4" s="80"/>
      <c r="T4" s="80"/>
      <c r="U4" s="80"/>
      <c r="V4" s="80"/>
      <c r="W4" s="80"/>
      <c r="X4" s="83"/>
      <c r="Y4" s="80" t="s">
        <v>145</v>
      </c>
      <c r="Z4" s="80"/>
      <c r="AA4" s="80"/>
      <c r="AB4" s="80"/>
      <c r="AC4" s="80"/>
      <c r="AD4" s="80"/>
      <c r="AE4" s="80"/>
      <c r="AF4" s="80"/>
      <c r="AG4" s="80"/>
      <c r="AH4" s="80"/>
      <c r="AI4" s="80"/>
    </row>
    <row r="5" spans="1:35" s="18" customFormat="1" ht="17.25" customHeight="1" x14ac:dyDescent="0.25">
      <c r="A5" s="74"/>
      <c r="B5" s="16">
        <v>2013</v>
      </c>
      <c r="C5" s="16">
        <v>2014</v>
      </c>
      <c r="D5" s="16">
        <v>2015</v>
      </c>
      <c r="E5" s="16">
        <v>2016</v>
      </c>
      <c r="F5" s="16">
        <v>2017</v>
      </c>
      <c r="G5" s="16">
        <v>2018</v>
      </c>
      <c r="H5" s="17">
        <v>2019</v>
      </c>
      <c r="I5" s="17">
        <v>2020</v>
      </c>
      <c r="J5" s="17">
        <v>2021</v>
      </c>
      <c r="K5" s="17">
        <v>2022</v>
      </c>
      <c r="L5" s="17">
        <v>2023</v>
      </c>
      <c r="M5" s="54">
        <v>2024</v>
      </c>
      <c r="N5" s="51">
        <v>2014</v>
      </c>
      <c r="O5" s="16">
        <v>2015</v>
      </c>
      <c r="P5" s="16">
        <v>2016</v>
      </c>
      <c r="Q5" s="17">
        <v>2017</v>
      </c>
      <c r="R5" s="17">
        <v>2018</v>
      </c>
      <c r="S5" s="17">
        <v>2019</v>
      </c>
      <c r="T5" s="17">
        <v>2020</v>
      </c>
      <c r="U5" s="17">
        <v>2021</v>
      </c>
      <c r="V5" s="55">
        <v>2022</v>
      </c>
      <c r="W5" s="55">
        <v>2023</v>
      </c>
      <c r="X5" s="59">
        <v>2024</v>
      </c>
      <c r="Y5" s="16">
        <v>2014</v>
      </c>
      <c r="Z5" s="16">
        <v>2015</v>
      </c>
      <c r="AA5" s="16">
        <v>2016</v>
      </c>
      <c r="AB5" s="17">
        <v>2017</v>
      </c>
      <c r="AC5" s="17">
        <v>2018</v>
      </c>
      <c r="AD5" s="17">
        <v>2019</v>
      </c>
      <c r="AE5" s="17">
        <v>2020</v>
      </c>
      <c r="AF5" s="17">
        <v>2021</v>
      </c>
      <c r="AG5" s="55">
        <v>2022</v>
      </c>
      <c r="AH5" s="55">
        <v>2023</v>
      </c>
      <c r="AI5" s="55">
        <v>2024</v>
      </c>
    </row>
    <row r="6" spans="1:35" s="18" customFormat="1" ht="19.5" customHeight="1" x14ac:dyDescent="0.25">
      <c r="A6" s="45" t="s">
        <v>3</v>
      </c>
      <c r="B6" s="7">
        <f t="shared" ref="B6:W6" si="0">B8+B15+B26+B29+B40+B45+B58+B62+B67+B72+B77+B93+B99+B104+B107+B120+B124+B130+B135+B138+B143</f>
        <v>26634885.396760009</v>
      </c>
      <c r="C6" s="7">
        <f t="shared" si="0"/>
        <v>30649233.308270004</v>
      </c>
      <c r="D6" s="7">
        <f t="shared" si="0"/>
        <v>29147779.394449998</v>
      </c>
      <c r="E6" s="7">
        <f t="shared" si="0"/>
        <v>32705613.74192002</v>
      </c>
      <c r="F6" s="7">
        <f t="shared" si="0"/>
        <v>36323926.056298584</v>
      </c>
      <c r="G6" s="7">
        <f t="shared" si="0"/>
        <v>45572679.69287999</v>
      </c>
      <c r="H6" s="7">
        <f t="shared" si="0"/>
        <v>44419161.239239991</v>
      </c>
      <c r="I6" s="7">
        <f t="shared" si="0"/>
        <v>28255524.517000012</v>
      </c>
      <c r="J6" s="7">
        <f t="shared" si="0"/>
        <v>38244243.662689999</v>
      </c>
      <c r="K6" s="7">
        <f t="shared" si="0"/>
        <v>53660565.957659975</v>
      </c>
      <c r="L6" s="7">
        <f t="shared" si="0"/>
        <v>53811154.530110009</v>
      </c>
      <c r="M6" s="56">
        <f t="shared" si="0"/>
        <v>55930419.028730035</v>
      </c>
      <c r="N6" s="52">
        <f t="shared" si="0"/>
        <v>100.00000000000001</v>
      </c>
      <c r="O6" s="10">
        <f t="shared" si="0"/>
        <v>100</v>
      </c>
      <c r="P6" s="10">
        <f t="shared" si="0"/>
        <v>100.00000000000001</v>
      </c>
      <c r="Q6" s="10">
        <f t="shared" si="0"/>
        <v>100.00000000000001</v>
      </c>
      <c r="R6" s="10">
        <f t="shared" si="0"/>
        <v>99.999999999999972</v>
      </c>
      <c r="S6" s="10">
        <f t="shared" si="0"/>
        <v>99.999802670871517</v>
      </c>
      <c r="T6" s="10">
        <f t="shared" si="0"/>
        <v>99.998711054177974</v>
      </c>
      <c r="U6" s="10">
        <f t="shared" si="0"/>
        <v>99.999569904010926</v>
      </c>
      <c r="V6" s="10">
        <f t="shared" si="0"/>
        <v>100.00062054012993</v>
      </c>
      <c r="W6" s="10">
        <f t="shared" si="0"/>
        <v>99.999999999999986</v>
      </c>
      <c r="X6" s="60">
        <f>X8+X15+X26+X29+X40+X45+X58+X62+X67+X72+X77+X93+X99+X104+X107+X120+X124+X130+X135+X138+X143</f>
        <v>100</v>
      </c>
      <c r="Y6" s="2">
        <f t="shared" ref="Y6:AG6" si="1">((C6-B6)/B6)*100</f>
        <v>15.071767164420832</v>
      </c>
      <c r="Z6" s="2">
        <f t="shared" si="1"/>
        <v>-4.8988302536588169</v>
      </c>
      <c r="AA6" s="2">
        <f t="shared" si="1"/>
        <v>12.206193478146972</v>
      </c>
      <c r="AB6" s="2">
        <f t="shared" si="1"/>
        <v>11.063275995768382</v>
      </c>
      <c r="AC6" s="2">
        <f t="shared" si="1"/>
        <v>25.461877722817544</v>
      </c>
      <c r="AD6" s="2">
        <f t="shared" si="1"/>
        <v>-2.5311622257319621</v>
      </c>
      <c r="AE6" s="2">
        <f t="shared" si="1"/>
        <v>-36.388883246091069</v>
      </c>
      <c r="AF6" s="2">
        <f t="shared" si="1"/>
        <v>35.351384610398043</v>
      </c>
      <c r="AG6" s="2">
        <f t="shared" si="1"/>
        <v>40.31017695353119</v>
      </c>
      <c r="AH6" s="2">
        <f>((L6-K6)/K6)*100</f>
        <v>0.28063172604041087</v>
      </c>
      <c r="AI6" s="2">
        <f>((M6-L6)/L6)*100</f>
        <v>3.9383367949003807</v>
      </c>
    </row>
    <row r="7" spans="1:35" s="18" customFormat="1" ht="19.5" customHeight="1" x14ac:dyDescent="0.25">
      <c r="A7" s="19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65"/>
      <c r="M7" s="63"/>
      <c r="N7" s="43"/>
      <c r="O7" s="44"/>
      <c r="P7" s="44"/>
      <c r="Q7" s="44"/>
      <c r="R7" s="44"/>
      <c r="S7" s="44"/>
      <c r="T7" s="44"/>
      <c r="U7" s="44"/>
      <c r="V7" s="44"/>
      <c r="W7" s="44"/>
      <c r="X7" s="57"/>
      <c r="Y7" s="2"/>
      <c r="Z7" s="2"/>
      <c r="AA7" s="44"/>
      <c r="AB7" s="44"/>
      <c r="AC7" s="44"/>
      <c r="AD7" s="2"/>
      <c r="AE7" s="44"/>
      <c r="AF7" s="2"/>
      <c r="AG7" s="2"/>
      <c r="AH7" s="2"/>
      <c r="AI7" s="2"/>
    </row>
    <row r="8" spans="1:35" s="18" customFormat="1" ht="19.5" customHeight="1" x14ac:dyDescent="0.25">
      <c r="A8" s="45" t="s">
        <v>7</v>
      </c>
      <c r="B8" s="20">
        <f t="shared" ref="B8:G8" si="2">SUM(B9:B13)</f>
        <v>1784856.2001800002</v>
      </c>
      <c r="C8" s="20">
        <f t="shared" si="2"/>
        <v>1913126.0952300001</v>
      </c>
      <c r="D8" s="20">
        <f t="shared" si="2"/>
        <v>1876753.2120099999</v>
      </c>
      <c r="E8" s="20">
        <f t="shared" si="2"/>
        <v>1956398.2647100009</v>
      </c>
      <c r="F8" s="20">
        <f t="shared" si="2"/>
        <v>2143496.4560899986</v>
      </c>
      <c r="G8" s="1">
        <f t="shared" si="2"/>
        <v>2356170.8097600015</v>
      </c>
      <c r="H8" s="1">
        <f t="shared" ref="H8:I8" si="3">SUM(H9:H13)</f>
        <v>2603063.8518500016</v>
      </c>
      <c r="I8" s="1">
        <f t="shared" si="3"/>
        <v>1591172.9614499975</v>
      </c>
      <c r="J8" s="1">
        <f t="shared" ref="J8:M8" si="4">SUM(J9:J13)</f>
        <v>2619930.4366799989</v>
      </c>
      <c r="K8" s="1">
        <f t="shared" si="4"/>
        <v>3322902.5787200006</v>
      </c>
      <c r="L8" s="1">
        <f t="shared" si="4"/>
        <v>3313668.8045900012</v>
      </c>
      <c r="M8" s="68">
        <f t="shared" si="4"/>
        <v>3763971.1735400031</v>
      </c>
      <c r="N8" s="53">
        <f t="shared" ref="N8:N13" si="5">C8/$C$6*100</f>
        <v>6.2420031065305182</v>
      </c>
      <c r="O8" s="2">
        <f t="shared" ref="O8:O13" si="6">D8/$D$6*100</f>
        <v>6.4387519426860713</v>
      </c>
      <c r="P8" s="2">
        <f>E8/$E$6*100</f>
        <v>5.9818423838425376</v>
      </c>
      <c r="Q8" s="2">
        <f>F8/$F$6*100</f>
        <v>5.9010594085225963</v>
      </c>
      <c r="R8" s="2">
        <f>G8/$G$6*100</f>
        <v>5.1701388323849562</v>
      </c>
      <c r="S8" s="2">
        <f>H8/$H$6*100</f>
        <v>5.8602273866226202</v>
      </c>
      <c r="T8" s="2">
        <f>I8/$I$6*100</f>
        <v>5.6313693999651786</v>
      </c>
      <c r="U8" s="2">
        <f>J8/$J$6*100</f>
        <v>6.8505222898052205</v>
      </c>
      <c r="V8" s="2">
        <f>K8/$K$6*100</f>
        <v>6.1924478794015787</v>
      </c>
      <c r="W8" s="2">
        <f t="shared" ref="W8:W13" si="7">L8/$L$6*100</f>
        <v>6.157958946477982</v>
      </c>
      <c r="X8" s="61">
        <f>M8/$M$6*100</f>
        <v>6.72973891292777</v>
      </c>
      <c r="Y8" s="2">
        <f t="shared" ref="Y8:AD13" si="8">((C8-B8)/B8)*100</f>
        <v>7.1865674689683177</v>
      </c>
      <c r="Z8" s="2">
        <f t="shared" si="8"/>
        <v>-1.9012276979906737</v>
      </c>
      <c r="AA8" s="2">
        <f t="shared" si="8"/>
        <v>4.2437680239641802</v>
      </c>
      <c r="AB8" s="2">
        <f t="shared" si="8"/>
        <v>9.5633999863382328</v>
      </c>
      <c r="AC8" s="2">
        <f t="shared" si="8"/>
        <v>9.9218430273473412</v>
      </c>
      <c r="AD8" s="2">
        <f t="shared" si="8"/>
        <v>10.478571462955546</v>
      </c>
      <c r="AE8" s="2">
        <f t="shared" ref="AE8:AE13" si="9">((I8-H8)/H8)*100</f>
        <v>-38.873072194554567</v>
      </c>
      <c r="AF8" s="2">
        <f t="shared" ref="AF8:AF70" si="10">((J8-I8)/I8)*100</f>
        <v>64.654031972270289</v>
      </c>
      <c r="AG8" s="2">
        <f t="shared" ref="AG8" si="11">((K8-J8)/J8)*100</f>
        <v>26.831710193451347</v>
      </c>
      <c r="AH8" s="2">
        <f t="shared" ref="AH8:AI13" si="12">((L8-K8)/K8)*100</f>
        <v>-0.27788278203317757</v>
      </c>
      <c r="AI8" s="2">
        <f>((M8-L8)/L8)*100</f>
        <v>13.589238861960364</v>
      </c>
    </row>
    <row r="9" spans="1:35" s="18" customFormat="1" ht="19.5" customHeight="1" x14ac:dyDescent="0.25">
      <c r="A9" s="21" t="s">
        <v>8</v>
      </c>
      <c r="B9" s="3">
        <v>910.23315000000002</v>
      </c>
      <c r="C9" s="3">
        <v>1911.64877</v>
      </c>
      <c r="D9" s="3">
        <v>3181.8244100000002</v>
      </c>
      <c r="E9" s="3">
        <v>1861.3230700000004</v>
      </c>
      <c r="F9" s="3">
        <v>1896.0983000000001</v>
      </c>
      <c r="G9" s="3">
        <v>2445.4350100000001</v>
      </c>
      <c r="H9" s="3">
        <v>3615.096770000001</v>
      </c>
      <c r="I9" s="3">
        <v>3047.7427899999998</v>
      </c>
      <c r="J9" s="3">
        <v>6300.8061699999989</v>
      </c>
      <c r="K9" s="3">
        <v>12598.893740000003</v>
      </c>
      <c r="L9" s="66">
        <v>8096.3362599999991</v>
      </c>
      <c r="M9" s="64">
        <v>5858.2502199999999</v>
      </c>
      <c r="N9" s="43">
        <f t="shared" si="5"/>
        <v>6.2371830015212314E-3</v>
      </c>
      <c r="O9" s="44">
        <f t="shared" si="6"/>
        <v>1.0916181184649177E-2</v>
      </c>
      <c r="P9" s="44">
        <f t="shared" ref="P9:P72" si="13">E9/$E$6*100</f>
        <v>5.6911424585629235E-3</v>
      </c>
      <c r="Q9" s="44">
        <f>F9/$F$6*100</f>
        <v>5.2199707076300908E-3</v>
      </c>
      <c r="R9" s="44">
        <f t="shared" ref="R9:R72" si="14">G9/$G$6*100</f>
        <v>5.3660110102809267E-3</v>
      </c>
      <c r="S9" s="44">
        <f t="shared" ref="S9:S13" si="15">H9/$H$6*100</f>
        <v>8.1385975537206154E-3</v>
      </c>
      <c r="T9" s="44">
        <f t="shared" ref="T9:T72" si="16">I9/$I$6*100</f>
        <v>1.0786360692636646E-2</v>
      </c>
      <c r="U9" s="44">
        <f t="shared" ref="U9:U72" si="17">J9/$J$6*100</f>
        <v>1.6475175259242705E-2</v>
      </c>
      <c r="V9" s="44">
        <f t="shared" ref="V9:V72" si="18">K9/$K$6*100</f>
        <v>2.3478868541828207E-2</v>
      </c>
      <c r="W9" s="44">
        <f t="shared" si="7"/>
        <v>1.5045832654398256E-2</v>
      </c>
      <c r="X9" s="57">
        <f t="shared" ref="X9:X72" si="19">M9/$M$6*100</f>
        <v>1.0474175451806941E-2</v>
      </c>
      <c r="Y9" s="44">
        <f t="shared" si="8"/>
        <v>110.01748508060818</v>
      </c>
      <c r="Z9" s="44">
        <f t="shared" si="8"/>
        <v>66.443985942041024</v>
      </c>
      <c r="AA9" s="44">
        <f t="shared" si="8"/>
        <v>-41.501389449708817</v>
      </c>
      <c r="AB9" s="44">
        <f t="shared" si="8"/>
        <v>1.8683070424738102</v>
      </c>
      <c r="AC9" s="44">
        <f t="shared" si="8"/>
        <v>28.971953089141</v>
      </c>
      <c r="AD9" s="44">
        <f t="shared" si="8"/>
        <v>47.830416887668619</v>
      </c>
      <c r="AE9" s="44">
        <f t="shared" si="9"/>
        <v>-15.694019167293302</v>
      </c>
      <c r="AF9" s="47" t="s">
        <v>147</v>
      </c>
      <c r="AG9" s="44">
        <f>((K9-J9)/J9)*100</f>
        <v>99.956853140270539</v>
      </c>
      <c r="AH9" s="44">
        <f t="shared" si="12"/>
        <v>-35.737720889770777</v>
      </c>
      <c r="AI9" s="44">
        <f t="shared" si="12"/>
        <v>-27.643195244462333</v>
      </c>
    </row>
    <row r="10" spans="1:35" s="18" customFormat="1" ht="19.5" customHeight="1" x14ac:dyDescent="0.25">
      <c r="A10" s="21" t="s">
        <v>9</v>
      </c>
      <c r="B10" s="3">
        <v>748149.57110999932</v>
      </c>
      <c r="C10" s="3">
        <v>746908.46537999995</v>
      </c>
      <c r="D10" s="3">
        <v>742834.62384000001</v>
      </c>
      <c r="E10" s="3">
        <v>781177.80265999923</v>
      </c>
      <c r="F10" s="3">
        <v>826778.15667000005</v>
      </c>
      <c r="G10" s="3">
        <v>926940.45151000016</v>
      </c>
      <c r="H10" s="3">
        <v>1022257.8311100008</v>
      </c>
      <c r="I10" s="3">
        <v>598189.01617999922</v>
      </c>
      <c r="J10" s="3">
        <v>1053564.9102499997</v>
      </c>
      <c r="K10" s="3">
        <v>1486819.1270800009</v>
      </c>
      <c r="L10" s="66">
        <v>1317310.5811600008</v>
      </c>
      <c r="M10" s="64">
        <v>1608295.51385</v>
      </c>
      <c r="N10" s="43">
        <f t="shared" si="5"/>
        <v>2.4369564415122369</v>
      </c>
      <c r="O10" s="44">
        <f t="shared" si="6"/>
        <v>2.5485118910342877</v>
      </c>
      <c r="P10" s="44">
        <f t="shared" si="13"/>
        <v>2.3885128981962325</v>
      </c>
      <c r="Q10" s="44">
        <f t="shared" ref="Q10:Q13" si="20">F10/$F$6*100</f>
        <v>2.2761255360683577</v>
      </c>
      <c r="R10" s="44">
        <f t="shared" si="14"/>
        <v>2.0339827672122159</v>
      </c>
      <c r="S10" s="44">
        <f t="shared" si="15"/>
        <v>2.301389316210086</v>
      </c>
      <c r="T10" s="44">
        <f t="shared" si="16"/>
        <v>2.1170692330276766</v>
      </c>
      <c r="U10" s="44">
        <f t="shared" si="17"/>
        <v>2.7548326476065936</v>
      </c>
      <c r="V10" s="44">
        <f t="shared" si="18"/>
        <v>2.770785399939971</v>
      </c>
      <c r="W10" s="44">
        <f t="shared" si="7"/>
        <v>2.4480251216741693</v>
      </c>
      <c r="X10" s="57">
        <f t="shared" si="19"/>
        <v>2.8755291695988539</v>
      </c>
      <c r="Y10" s="44">
        <f t="shared" si="8"/>
        <v>-0.16589005433204906</v>
      </c>
      <c r="Z10" s="44">
        <f t="shared" si="8"/>
        <v>-0.54542714788047186</v>
      </c>
      <c r="AA10" s="44">
        <f t="shared" si="8"/>
        <v>5.1617382374812397</v>
      </c>
      <c r="AB10" s="44">
        <f t="shared" si="8"/>
        <v>5.8373847611550707</v>
      </c>
      <c r="AC10" s="44">
        <f t="shared" si="8"/>
        <v>12.114772751547045</v>
      </c>
      <c r="AD10" s="44">
        <f t="shared" si="8"/>
        <v>10.283010029902915</v>
      </c>
      <c r="AE10" s="44">
        <f t="shared" si="9"/>
        <v>-41.483547694570746</v>
      </c>
      <c r="AF10" s="44">
        <f t="shared" si="10"/>
        <v>76.125753190522431</v>
      </c>
      <c r="AG10" s="44">
        <f t="shared" ref="AG10:AG13" si="21">((K10-J10)/J10)*100</f>
        <v>41.122688560991897</v>
      </c>
      <c r="AH10" s="44">
        <f t="shared" si="12"/>
        <v>-11.400750961073658</v>
      </c>
      <c r="AI10" s="44">
        <f t="shared" si="12"/>
        <v>22.089318711291529</v>
      </c>
    </row>
    <row r="11" spans="1:35" s="18" customFormat="1" ht="19.5" customHeight="1" x14ac:dyDescent="0.25">
      <c r="A11" s="21" t="s">
        <v>10</v>
      </c>
      <c r="B11" s="3">
        <v>300514.88207000011</v>
      </c>
      <c r="C11" s="3">
        <v>342114.57923000003</v>
      </c>
      <c r="D11" s="3">
        <v>339288.47610000003</v>
      </c>
      <c r="E11" s="3">
        <v>356767.69853999908</v>
      </c>
      <c r="F11" s="3">
        <v>442908.68807999947</v>
      </c>
      <c r="G11" s="3">
        <v>434670.95931000076</v>
      </c>
      <c r="H11" s="3">
        <v>485518.79933000141</v>
      </c>
      <c r="I11" s="3">
        <v>195293.61287999971</v>
      </c>
      <c r="J11" s="3">
        <v>369065.73056</v>
      </c>
      <c r="K11" s="3">
        <v>468798.47665999993</v>
      </c>
      <c r="L11" s="66">
        <v>503396.46228999994</v>
      </c>
      <c r="M11" s="64">
        <v>544671.34175000049</v>
      </c>
      <c r="N11" s="43">
        <f t="shared" si="5"/>
        <v>1.1162255701113677</v>
      </c>
      <c r="O11" s="44">
        <f t="shared" si="6"/>
        <v>1.1640285577453069</v>
      </c>
      <c r="P11" s="44">
        <f t="shared" si="13"/>
        <v>1.0908454473756486</v>
      </c>
      <c r="Q11" s="44">
        <f t="shared" si="20"/>
        <v>1.2193304418512847</v>
      </c>
      <c r="R11" s="44">
        <f t="shared" si="14"/>
        <v>0.9537972360618312</v>
      </c>
      <c r="S11" s="44">
        <f t="shared" si="15"/>
        <v>1.0930390979582321</v>
      </c>
      <c r="T11" s="44">
        <f t="shared" si="16"/>
        <v>0.69116966051187889</v>
      </c>
      <c r="U11" s="44">
        <f t="shared" si="17"/>
        <v>0.96502295565083984</v>
      </c>
      <c r="V11" s="44">
        <f t="shared" si="18"/>
        <v>0.87363684727048541</v>
      </c>
      <c r="W11" s="44">
        <f t="shared" si="7"/>
        <v>0.93548719904964062</v>
      </c>
      <c r="X11" s="57">
        <f t="shared" si="19"/>
        <v>0.97383740584925105</v>
      </c>
      <c r="Y11" s="44">
        <f t="shared" si="8"/>
        <v>13.842807675098747</v>
      </c>
      <c r="Z11" s="44">
        <f t="shared" si="8"/>
        <v>-0.82606918897193315</v>
      </c>
      <c r="AA11" s="44">
        <f t="shared" si="8"/>
        <v>5.1517288889137873</v>
      </c>
      <c r="AB11" s="44">
        <f t="shared" si="8"/>
        <v>24.144839875503099</v>
      </c>
      <c r="AC11" s="44">
        <f t="shared" si="8"/>
        <v>-1.8599158227645296</v>
      </c>
      <c r="AD11" s="44">
        <f t="shared" si="8"/>
        <v>11.698007177824072</v>
      </c>
      <c r="AE11" s="44">
        <f t="shared" si="9"/>
        <v>-59.776302555225882</v>
      </c>
      <c r="AF11" s="44">
        <f t="shared" si="10"/>
        <v>88.979928794075036</v>
      </c>
      <c r="AG11" s="44">
        <f t="shared" si="21"/>
        <v>27.023030815857911</v>
      </c>
      <c r="AH11" s="44">
        <f t="shared" si="12"/>
        <v>7.3801403700150026</v>
      </c>
      <c r="AI11" s="44">
        <f t="shared" si="12"/>
        <v>8.199278809437212</v>
      </c>
    </row>
    <row r="12" spans="1:35" s="18" customFormat="1" ht="19.5" customHeight="1" x14ac:dyDescent="0.25">
      <c r="A12" s="21" t="s">
        <v>11</v>
      </c>
      <c r="B12" s="3">
        <v>732746.62338000059</v>
      </c>
      <c r="C12" s="3">
        <v>819199.92440999998</v>
      </c>
      <c r="D12" s="3">
        <v>788818.82570000004</v>
      </c>
      <c r="E12" s="3">
        <v>813468.83641000255</v>
      </c>
      <c r="F12" s="3">
        <v>869114.13800999895</v>
      </c>
      <c r="G12" s="3">
        <v>987383.69959000021</v>
      </c>
      <c r="H12" s="3">
        <v>1086351.8534599992</v>
      </c>
      <c r="I12" s="3">
        <v>789446.62267999863</v>
      </c>
      <c r="J12" s="3">
        <v>1187216.072219999</v>
      </c>
      <c r="K12" s="3">
        <v>1351385.4637199997</v>
      </c>
      <c r="L12" s="66">
        <v>1480003.753310001</v>
      </c>
      <c r="M12" s="64">
        <v>1599328.5999100024</v>
      </c>
      <c r="N12" s="43">
        <f t="shared" si="5"/>
        <v>2.6728235456022231</v>
      </c>
      <c r="O12" s="44">
        <f t="shared" si="6"/>
        <v>2.7062741728112512</v>
      </c>
      <c r="P12" s="44">
        <f t="shared" si="13"/>
        <v>2.487245287090726</v>
      </c>
      <c r="Q12" s="44">
        <f t="shared" si="20"/>
        <v>2.3926767625915653</v>
      </c>
      <c r="R12" s="44">
        <f t="shared" si="14"/>
        <v>2.1666132126618467</v>
      </c>
      <c r="S12" s="44">
        <f t="shared" si="15"/>
        <v>2.4456829511231595</v>
      </c>
      <c r="T12" s="44">
        <f t="shared" si="16"/>
        <v>2.7939549386351894</v>
      </c>
      <c r="U12" s="44">
        <f t="shared" si="17"/>
        <v>3.1043000423569977</v>
      </c>
      <c r="V12" s="44">
        <f t="shared" si="18"/>
        <v>2.5183958454450313</v>
      </c>
      <c r="W12" s="44">
        <f t="shared" si="7"/>
        <v>2.750366102035342</v>
      </c>
      <c r="X12" s="57">
        <f t="shared" si="19"/>
        <v>2.8594969029080008</v>
      </c>
      <c r="Y12" s="44">
        <f t="shared" si="8"/>
        <v>11.798526021342703</v>
      </c>
      <c r="Z12" s="44">
        <f t="shared" si="8"/>
        <v>-3.7086305558293176</v>
      </c>
      <c r="AA12" s="44">
        <f t="shared" si="8"/>
        <v>3.1249267774673122</v>
      </c>
      <c r="AB12" s="44">
        <f t="shared" si="8"/>
        <v>6.8404958013597694</v>
      </c>
      <c r="AC12" s="44">
        <f t="shared" si="8"/>
        <v>13.608058643574914</v>
      </c>
      <c r="AD12" s="44">
        <f t="shared" si="8"/>
        <v>10.023271997612923</v>
      </c>
      <c r="AE12" s="44">
        <f t="shared" si="9"/>
        <v>-27.330485038927861</v>
      </c>
      <c r="AF12" s="44">
        <f t="shared" si="10"/>
        <v>50.385857398396375</v>
      </c>
      <c r="AG12" s="44">
        <f t="shared" si="21"/>
        <v>13.828097120772378</v>
      </c>
      <c r="AH12" s="44">
        <f t="shared" si="12"/>
        <v>9.5175131776206836</v>
      </c>
      <c r="AI12" s="44">
        <f t="shared" si="12"/>
        <v>8.0624691885499367</v>
      </c>
    </row>
    <row r="13" spans="1:35" s="18" customFormat="1" ht="19.5" customHeight="1" x14ac:dyDescent="0.25">
      <c r="A13" s="21" t="s">
        <v>12</v>
      </c>
      <c r="B13" s="3">
        <v>2534.8904699999994</v>
      </c>
      <c r="C13" s="3">
        <v>2991.4774400000001</v>
      </c>
      <c r="D13" s="3">
        <v>2629.4619600000001</v>
      </c>
      <c r="E13" s="3">
        <v>3122.6040299999995</v>
      </c>
      <c r="F13" s="3">
        <v>2799.3750299999992</v>
      </c>
      <c r="G13" s="3">
        <v>4730.2643399999997</v>
      </c>
      <c r="H13" s="3">
        <v>5320.2711800000006</v>
      </c>
      <c r="I13" s="3">
        <v>5195.9669199999989</v>
      </c>
      <c r="J13" s="3">
        <v>3782.9174800000005</v>
      </c>
      <c r="K13" s="3">
        <v>3300.6175200000007</v>
      </c>
      <c r="L13" s="66">
        <v>4861.6715699999977</v>
      </c>
      <c r="M13" s="64">
        <v>5817.4678100000001</v>
      </c>
      <c r="N13" s="43">
        <f t="shared" si="5"/>
        <v>9.7603663031688871E-3</v>
      </c>
      <c r="O13" s="44">
        <f t="shared" si="6"/>
        <v>9.0211399105781399E-3</v>
      </c>
      <c r="P13" s="44">
        <f t="shared" si="13"/>
        <v>9.5476087213665108E-3</v>
      </c>
      <c r="Q13" s="44">
        <f t="shared" si="20"/>
        <v>7.7066973037585142E-3</v>
      </c>
      <c r="R13" s="44">
        <f t="shared" si="14"/>
        <v>1.0379605438780087E-2</v>
      </c>
      <c r="S13" s="44">
        <f t="shared" si="15"/>
        <v>1.197742377742167E-2</v>
      </c>
      <c r="T13" s="44">
        <f t="shared" si="16"/>
        <v>1.8389207097797219E-2</v>
      </c>
      <c r="U13" s="44">
        <f t="shared" si="17"/>
        <v>9.8914689315467048E-3</v>
      </c>
      <c r="V13" s="44">
        <f t="shared" si="18"/>
        <v>6.150918204262514E-3</v>
      </c>
      <c r="W13" s="44">
        <f t="shared" si="7"/>
        <v>9.034691064432842E-3</v>
      </c>
      <c r="X13" s="57">
        <f t="shared" si="19"/>
        <v>1.0401259119856968E-2</v>
      </c>
      <c r="Y13" s="44">
        <f t="shared" si="8"/>
        <v>18.012098566136501</v>
      </c>
      <c r="Z13" s="44">
        <f t="shared" si="8"/>
        <v>-12.101561427787335</v>
      </c>
      <c r="AA13" s="44">
        <f t="shared" si="8"/>
        <v>18.754485803628032</v>
      </c>
      <c r="AB13" s="44">
        <f t="shared" si="8"/>
        <v>-10.351264422085574</v>
      </c>
      <c r="AC13" s="44">
        <f t="shared" si="8"/>
        <v>68.975728128860283</v>
      </c>
      <c r="AD13" s="44">
        <f t="shared" si="8"/>
        <v>12.473020482402914</v>
      </c>
      <c r="AE13" s="44">
        <f t="shared" si="9"/>
        <v>-2.336427144302101</v>
      </c>
      <c r="AF13" s="44">
        <f t="shared" si="10"/>
        <v>-27.195120018200551</v>
      </c>
      <c r="AG13" s="44">
        <f t="shared" si="21"/>
        <v>-12.749417943951549</v>
      </c>
      <c r="AH13" s="44">
        <f t="shared" si="12"/>
        <v>47.295817844413449</v>
      </c>
      <c r="AI13" s="44">
        <f t="shared" si="12"/>
        <v>19.659827411994492</v>
      </c>
    </row>
    <row r="14" spans="1:35" s="18" customFormat="1" ht="19.5" customHeight="1" x14ac:dyDescent="0.25">
      <c r="A14" s="19" t="s">
        <v>13</v>
      </c>
      <c r="B14" s="1"/>
      <c r="C14" s="1"/>
      <c r="D14" s="1"/>
      <c r="E14" s="3"/>
      <c r="F14" s="3"/>
      <c r="G14" s="3"/>
      <c r="H14" s="3"/>
      <c r="I14" s="3"/>
      <c r="J14" s="3"/>
      <c r="K14" s="3"/>
      <c r="L14" s="66"/>
      <c r="M14" s="64"/>
      <c r="N14" s="43"/>
      <c r="O14" s="44"/>
      <c r="P14" s="44"/>
      <c r="Q14" s="44"/>
      <c r="R14" s="44"/>
      <c r="S14" s="44"/>
      <c r="T14" s="44"/>
      <c r="U14" s="44"/>
      <c r="V14" s="44"/>
      <c r="W14" s="44"/>
      <c r="X14" s="57"/>
      <c r="Y14" s="2"/>
      <c r="Z14" s="2"/>
      <c r="AA14" s="44"/>
      <c r="AB14" s="44"/>
      <c r="AC14" s="44"/>
      <c r="AD14" s="2"/>
      <c r="AE14" s="44"/>
      <c r="AF14" s="2"/>
      <c r="AG14" s="2"/>
      <c r="AH14" s="2"/>
      <c r="AI14" s="2"/>
    </row>
    <row r="15" spans="1:35" s="18" customFormat="1" ht="19.5" customHeight="1" x14ac:dyDescent="0.25">
      <c r="A15" s="45" t="s">
        <v>14</v>
      </c>
      <c r="B15" s="20">
        <f t="shared" ref="B15:G15" si="22">SUM(B16:B24)</f>
        <v>1828228.9638200006</v>
      </c>
      <c r="C15" s="20">
        <f t="shared" si="22"/>
        <v>1946313.1851300001</v>
      </c>
      <c r="D15" s="20">
        <f t="shared" si="22"/>
        <v>2066082.1885500001</v>
      </c>
      <c r="E15" s="20">
        <f t="shared" si="22"/>
        <v>2201236.4511900046</v>
      </c>
      <c r="F15" s="20">
        <f t="shared" si="22"/>
        <v>2428930.532674694</v>
      </c>
      <c r="G15" s="20">
        <f t="shared" si="22"/>
        <v>2688480.3675899953</v>
      </c>
      <c r="H15" s="20">
        <f t="shared" ref="H15:I15" si="23">SUM(H16:H24)</f>
        <v>2940826.6718500056</v>
      </c>
      <c r="I15" s="20">
        <f t="shared" si="23"/>
        <v>2178534.8222399955</v>
      </c>
      <c r="J15" s="20">
        <f t="shared" ref="J15:M15" si="24">SUM(J16:J24)</f>
        <v>2821434.924889999</v>
      </c>
      <c r="K15" s="20">
        <f t="shared" si="24"/>
        <v>3334408.7723699976</v>
      </c>
      <c r="L15" s="20">
        <f t="shared" si="24"/>
        <v>3365705.1475900016</v>
      </c>
      <c r="M15" s="69">
        <f t="shared" si="24"/>
        <v>3798661.5364000024</v>
      </c>
      <c r="N15" s="53">
        <f t="shared" ref="N15:N24" si="25">C15/$C$6*100</f>
        <v>6.3502834330437601</v>
      </c>
      <c r="O15" s="2">
        <f t="shared" ref="O15:O24" si="26">D15/$D$6*100</f>
        <v>7.0883004862572863</v>
      </c>
      <c r="P15" s="2">
        <f t="shared" si="13"/>
        <v>6.7304544979952379</v>
      </c>
      <c r="Q15" s="2">
        <f>F15/$F$6*100</f>
        <v>6.6868612410180717</v>
      </c>
      <c r="R15" s="2">
        <f t="shared" si="14"/>
        <v>5.899324739532549</v>
      </c>
      <c r="S15" s="2">
        <f t="shared" ref="S15:S24" si="27">H15/$H$6*100</f>
        <v>6.6206263013630986</v>
      </c>
      <c r="T15" s="2">
        <f t="shared" si="16"/>
        <v>7.7101199127599775</v>
      </c>
      <c r="U15" s="2">
        <f t="shared" si="17"/>
        <v>7.3774107020516428</v>
      </c>
      <c r="V15" s="2">
        <f t="shared" si="18"/>
        <v>6.2138904293349428</v>
      </c>
      <c r="W15" s="2">
        <f t="shared" ref="W15:W24" si="28">L15/$L$6*100</f>
        <v>6.2546607241194252</v>
      </c>
      <c r="X15" s="61">
        <f t="shared" si="19"/>
        <v>6.7917630555364275</v>
      </c>
      <c r="Y15" s="2">
        <f t="shared" ref="Y15:Y24" si="29">((C15-B15)/B15)*100</f>
        <v>6.4589405182197694</v>
      </c>
      <c r="Z15" s="2">
        <f t="shared" ref="Z15:Z24" si="30">((D15-C15)/C15)*100</f>
        <v>6.1536346943053895</v>
      </c>
      <c r="AA15" s="2">
        <f t="shared" ref="AA15:AA24" si="31">((E15-D15)/D15)*100</f>
        <v>6.5415724209334236</v>
      </c>
      <c r="AB15" s="2">
        <f t="shared" ref="AB15:AB24" si="32">((F15-E15)/E15)*100</f>
        <v>10.343917454283309</v>
      </c>
      <c r="AC15" s="2">
        <f t="shared" ref="AC15:AC23" si="33">((G15-F15)/F15)*100</f>
        <v>10.685766077858544</v>
      </c>
      <c r="AD15" s="2">
        <f t="shared" ref="AD15:AD24" si="34">((H15-G15)/G15)*100</f>
        <v>9.386205951216164</v>
      </c>
      <c r="AE15" s="2">
        <f t="shared" ref="AE15:AE24" si="35">((I15-H15)/H15)*100</f>
        <v>-25.921005712671601</v>
      </c>
      <c r="AF15" s="2">
        <f t="shared" si="10"/>
        <v>29.510664511158279</v>
      </c>
      <c r="AG15" s="2">
        <f t="shared" ref="AG15:AG78" si="36">((K15-J15)/J15)*100</f>
        <v>18.181310614491604</v>
      </c>
      <c r="AH15" s="2">
        <f t="shared" ref="AH15:AI24" si="37">((L15-K15)/K15)*100</f>
        <v>0.9385884382063775</v>
      </c>
      <c r="AI15" s="2">
        <f t="shared" si="37"/>
        <v>12.863764644387146</v>
      </c>
    </row>
    <row r="16" spans="1:35" s="18" customFormat="1" ht="19.5" customHeight="1" x14ac:dyDescent="0.25">
      <c r="A16" s="21" t="s">
        <v>15</v>
      </c>
      <c r="B16" s="3">
        <v>23191.915790000014</v>
      </c>
      <c r="C16" s="3">
        <v>21055.316340000001</v>
      </c>
      <c r="D16" s="3">
        <v>19821.789670000002</v>
      </c>
      <c r="E16" s="3">
        <v>38449.231699999989</v>
      </c>
      <c r="F16" s="3">
        <v>25043.424599999995</v>
      </c>
      <c r="G16" s="3">
        <v>73225.987119999962</v>
      </c>
      <c r="H16" s="3">
        <v>64652.505540000035</v>
      </c>
      <c r="I16" s="3">
        <v>30223.360089999995</v>
      </c>
      <c r="J16" s="3">
        <v>37432.967809999987</v>
      </c>
      <c r="K16" s="3">
        <v>35582.806770000003</v>
      </c>
      <c r="L16" s="66">
        <v>43122.087870000025</v>
      </c>
      <c r="M16" s="64">
        <v>52884.987330000033</v>
      </c>
      <c r="N16" s="43">
        <f t="shared" si="25"/>
        <v>6.8697693440568711E-2</v>
      </c>
      <c r="O16" s="44">
        <f t="shared" si="26"/>
        <v>6.8004458939243409E-2</v>
      </c>
      <c r="P16" s="44">
        <f t="shared" si="13"/>
        <v>0.11756156604613158</v>
      </c>
      <c r="Q16" s="44">
        <f t="shared" ref="Q16:Q79" si="38">F16/$F$6*100</f>
        <v>6.8944707576997874E-2</v>
      </c>
      <c r="R16" s="44">
        <f t="shared" si="14"/>
        <v>0.16067957296669644</v>
      </c>
      <c r="S16" s="44">
        <f t="shared" si="27"/>
        <v>0.14555093733486768</v>
      </c>
      <c r="T16" s="44">
        <f t="shared" si="16"/>
        <v>0.10696442768852521</v>
      </c>
      <c r="U16" s="44">
        <f t="shared" si="17"/>
        <v>9.7878698138613024E-2</v>
      </c>
      <c r="V16" s="44">
        <f t="shared" si="18"/>
        <v>6.6310904730442197E-2</v>
      </c>
      <c r="W16" s="44">
        <f t="shared" si="28"/>
        <v>8.0135964832107581E-2</v>
      </c>
      <c r="X16" s="57">
        <f t="shared" si="19"/>
        <v>9.4554963557191229E-2</v>
      </c>
      <c r="Y16" s="44">
        <f t="shared" si="29"/>
        <v>-9.2126906174835295</v>
      </c>
      <c r="Z16" s="44">
        <f t="shared" si="30"/>
        <v>-5.8585045699674305</v>
      </c>
      <c r="AA16" s="44">
        <f t="shared" si="31"/>
        <v>93.974572125504679</v>
      </c>
      <c r="AB16" s="44">
        <f t="shared" si="32"/>
        <v>-34.866254817778319</v>
      </c>
      <c r="AC16" s="47" t="s">
        <v>147</v>
      </c>
      <c r="AD16" s="44">
        <f t="shared" si="34"/>
        <v>-11.708249922189552</v>
      </c>
      <c r="AE16" s="44">
        <f t="shared" si="35"/>
        <v>-53.252608174170412</v>
      </c>
      <c r="AF16" s="44">
        <f t="shared" si="10"/>
        <v>23.854421541916633</v>
      </c>
      <c r="AG16" s="44">
        <f t="shared" si="36"/>
        <v>-4.9425977907787617</v>
      </c>
      <c r="AH16" s="44">
        <f t="shared" si="37"/>
        <v>21.187988763034898</v>
      </c>
      <c r="AI16" s="44">
        <f t="shared" si="37"/>
        <v>22.640136278726068</v>
      </c>
    </row>
    <row r="17" spans="1:35" s="18" customFormat="1" ht="19.5" customHeight="1" x14ac:dyDescent="0.25">
      <c r="A17" s="21" t="s">
        <v>16</v>
      </c>
      <c r="B17" s="3">
        <v>593253.22146000003</v>
      </c>
      <c r="C17" s="3">
        <v>626590.59034</v>
      </c>
      <c r="D17" s="3">
        <v>674521.00497999997</v>
      </c>
      <c r="E17" s="3">
        <v>709548.98056000331</v>
      </c>
      <c r="F17" s="3">
        <v>773352.6762282952</v>
      </c>
      <c r="G17" s="3">
        <v>829480.21273999941</v>
      </c>
      <c r="H17" s="3">
        <v>962382.18322000012</v>
      </c>
      <c r="I17" s="3">
        <v>691918.16649000137</v>
      </c>
      <c r="J17" s="3">
        <v>928080.4846899996</v>
      </c>
      <c r="K17" s="3">
        <v>1095055.6846599986</v>
      </c>
      <c r="L17" s="66">
        <v>1095405.0290500016</v>
      </c>
      <c r="M17" s="64">
        <v>1284926.5069600006</v>
      </c>
      <c r="N17" s="43">
        <f t="shared" si="25"/>
        <v>2.0443923801869741</v>
      </c>
      <c r="O17" s="44">
        <f t="shared" si="26"/>
        <v>2.3141419998136628</v>
      </c>
      <c r="P17" s="44">
        <f t="shared" si="13"/>
        <v>2.1695021110414068</v>
      </c>
      <c r="Q17" s="44">
        <f t="shared" si="38"/>
        <v>2.1290448478219921</v>
      </c>
      <c r="R17" s="44">
        <f t="shared" si="14"/>
        <v>1.8201260455386226</v>
      </c>
      <c r="S17" s="44">
        <f t="shared" si="27"/>
        <v>2.166592426265423</v>
      </c>
      <c r="T17" s="44">
        <f t="shared" si="16"/>
        <v>2.4487889654064179</v>
      </c>
      <c r="U17" s="44">
        <f t="shared" si="17"/>
        <v>2.4267194113591755</v>
      </c>
      <c r="V17" s="44">
        <f t="shared" si="18"/>
        <v>2.0407084143019194</v>
      </c>
      <c r="W17" s="44">
        <f t="shared" si="28"/>
        <v>2.0356467699221512</v>
      </c>
      <c r="X17" s="57">
        <f t="shared" si="19"/>
        <v>2.2973661368422191</v>
      </c>
      <c r="Y17" s="44">
        <f t="shared" si="29"/>
        <v>5.6194164100713158</v>
      </c>
      <c r="Z17" s="44">
        <f t="shared" si="30"/>
        <v>7.649399046032916</v>
      </c>
      <c r="AA17" s="44">
        <f t="shared" si="31"/>
        <v>5.1930147944083593</v>
      </c>
      <c r="AB17" s="44">
        <f t="shared" si="32"/>
        <v>8.9921481696634338</v>
      </c>
      <c r="AC17" s="44">
        <f t="shared" si="33"/>
        <v>7.2576895686768461</v>
      </c>
      <c r="AD17" s="44">
        <f t="shared" si="34"/>
        <v>16.022319572999731</v>
      </c>
      <c r="AE17" s="44">
        <f t="shared" si="35"/>
        <v>-28.103597660657314</v>
      </c>
      <c r="AF17" s="44">
        <f t="shared" si="10"/>
        <v>34.131538906980111</v>
      </c>
      <c r="AG17" s="44">
        <f t="shared" si="36"/>
        <v>17.991456853634048</v>
      </c>
      <c r="AH17" s="44">
        <f t="shared" si="37"/>
        <v>3.1901974931208894E-2</v>
      </c>
      <c r="AI17" s="44">
        <f t="shared" si="37"/>
        <v>17.301497882875609</v>
      </c>
    </row>
    <row r="18" spans="1:35" s="18" customFormat="1" ht="19.5" customHeight="1" x14ac:dyDescent="0.25">
      <c r="A18" s="21" t="s">
        <v>17</v>
      </c>
      <c r="B18" s="3">
        <v>566868.97614000074</v>
      </c>
      <c r="C18" s="3">
        <v>630403.45322000002</v>
      </c>
      <c r="D18" s="3">
        <v>658510.01085000008</v>
      </c>
      <c r="E18" s="3">
        <v>710541.54240000038</v>
      </c>
      <c r="F18" s="3">
        <v>799745.8344613997</v>
      </c>
      <c r="G18" s="3">
        <v>875606.91040999675</v>
      </c>
      <c r="H18" s="3">
        <v>986228.02829000494</v>
      </c>
      <c r="I18" s="3">
        <v>619264.37756999477</v>
      </c>
      <c r="J18" s="3">
        <v>985942.34633999981</v>
      </c>
      <c r="K18" s="3">
        <v>1184662.8664799994</v>
      </c>
      <c r="L18" s="66">
        <v>1154666.0830700013</v>
      </c>
      <c r="M18" s="64">
        <v>1300880.2964800021</v>
      </c>
      <c r="N18" s="43">
        <f t="shared" si="25"/>
        <v>2.0568327007706904</v>
      </c>
      <c r="O18" s="44">
        <f t="shared" si="26"/>
        <v>2.2592115918627624</v>
      </c>
      <c r="P18" s="44">
        <f t="shared" si="13"/>
        <v>2.1725369473475817</v>
      </c>
      <c r="Q18" s="44">
        <f t="shared" si="38"/>
        <v>2.2017053806955524</v>
      </c>
      <c r="R18" s="44">
        <f t="shared" si="14"/>
        <v>1.9213417255926613</v>
      </c>
      <c r="S18" s="44">
        <f t="shared" si="27"/>
        <v>2.2202761168276379</v>
      </c>
      <c r="T18" s="44">
        <f t="shared" si="16"/>
        <v>2.1916576958159553</v>
      </c>
      <c r="U18" s="44">
        <f t="shared" si="17"/>
        <v>2.5780150211255379</v>
      </c>
      <c r="V18" s="44">
        <f t="shared" si="18"/>
        <v>2.207697301244901</v>
      </c>
      <c r="W18" s="44">
        <f t="shared" si="28"/>
        <v>2.145774594789466</v>
      </c>
      <c r="X18" s="57">
        <f t="shared" si="19"/>
        <v>2.3258904887012788</v>
      </c>
      <c r="Y18" s="44">
        <f t="shared" si="29"/>
        <v>11.207965112613264</v>
      </c>
      <c r="Z18" s="44">
        <f t="shared" si="30"/>
        <v>4.4585031199363288</v>
      </c>
      <c r="AA18" s="44">
        <f t="shared" si="31"/>
        <v>7.9014032729492412</v>
      </c>
      <c r="AB18" s="44">
        <f t="shared" si="32"/>
        <v>12.554409100429718</v>
      </c>
      <c r="AC18" s="44">
        <f t="shared" si="33"/>
        <v>9.4856481496632963</v>
      </c>
      <c r="AD18" s="44">
        <f t="shared" si="34"/>
        <v>12.633650621625476</v>
      </c>
      <c r="AE18" s="44">
        <f t="shared" si="35"/>
        <v>-37.208803663416347</v>
      </c>
      <c r="AF18" s="44">
        <f t="shared" si="10"/>
        <v>59.211862017456319</v>
      </c>
      <c r="AG18" s="44">
        <f t="shared" si="36"/>
        <v>20.155389498958723</v>
      </c>
      <c r="AH18" s="44">
        <f t="shared" si="37"/>
        <v>-2.5320945104937573</v>
      </c>
      <c r="AI18" s="44">
        <f t="shared" si="37"/>
        <v>12.662900171212232</v>
      </c>
    </row>
    <row r="19" spans="1:35" s="18" customFormat="1" ht="19.5" customHeight="1" x14ac:dyDescent="0.25">
      <c r="A19" s="21" t="s">
        <v>18</v>
      </c>
      <c r="B19" s="3">
        <v>127925.64007000008</v>
      </c>
      <c r="C19" s="3">
        <v>138195.11662000002</v>
      </c>
      <c r="D19" s="3">
        <v>180572.70681999999</v>
      </c>
      <c r="E19" s="3">
        <v>184619.41718999998</v>
      </c>
      <c r="F19" s="3">
        <v>243171.24464999986</v>
      </c>
      <c r="G19" s="3">
        <v>262106.20295999991</v>
      </c>
      <c r="H19" s="3">
        <v>289449.73965999973</v>
      </c>
      <c r="I19" s="3">
        <v>227669.01538999975</v>
      </c>
      <c r="J19" s="3">
        <v>274457.51908000017</v>
      </c>
      <c r="K19" s="3">
        <v>331125.70302999986</v>
      </c>
      <c r="L19" s="66">
        <v>357299.92114999925</v>
      </c>
      <c r="M19" s="64">
        <v>361832.2261999998</v>
      </c>
      <c r="N19" s="43">
        <f t="shared" si="25"/>
        <v>0.45089257284198092</v>
      </c>
      <c r="O19" s="44">
        <f t="shared" si="26"/>
        <v>0.61950759396231292</v>
      </c>
      <c r="P19" s="44">
        <f t="shared" si="13"/>
        <v>0.56448846564027721</v>
      </c>
      <c r="Q19" s="44">
        <f t="shared" si="38"/>
        <v>0.66945198675139872</v>
      </c>
      <c r="R19" s="44">
        <f t="shared" si="14"/>
        <v>0.57513888743511798</v>
      </c>
      <c r="S19" s="44">
        <f t="shared" si="27"/>
        <v>0.65163260985734051</v>
      </c>
      <c r="T19" s="44">
        <f t="shared" si="16"/>
        <v>0.80575044803370077</v>
      </c>
      <c r="U19" s="44">
        <f t="shared" si="17"/>
        <v>0.71764399761879238</v>
      </c>
      <c r="V19" s="44">
        <f t="shared" si="18"/>
        <v>0.61707456326731513</v>
      </c>
      <c r="W19" s="44">
        <f t="shared" si="28"/>
        <v>0.66398858056478283</v>
      </c>
      <c r="X19" s="57">
        <f t="shared" si="19"/>
        <v>0.64693280058233749</v>
      </c>
      <c r="Y19" s="44">
        <f t="shared" si="29"/>
        <v>8.0276921376985424</v>
      </c>
      <c r="Z19" s="44">
        <f t="shared" si="30"/>
        <v>30.665041744222503</v>
      </c>
      <c r="AA19" s="44">
        <f t="shared" si="31"/>
        <v>2.2410420939382951</v>
      </c>
      <c r="AB19" s="44">
        <f t="shared" si="32"/>
        <v>31.714880455798223</v>
      </c>
      <c r="AC19" s="44">
        <f t="shared" si="33"/>
        <v>7.7866765608957698</v>
      </c>
      <c r="AD19" s="44">
        <f t="shared" si="34"/>
        <v>10.432235632429014</v>
      </c>
      <c r="AE19" s="44">
        <f t="shared" si="35"/>
        <v>-21.344197560022099</v>
      </c>
      <c r="AF19" s="44">
        <f t="shared" si="10"/>
        <v>20.551107321236117</v>
      </c>
      <c r="AG19" s="44">
        <f t="shared" si="36"/>
        <v>20.64734248854074</v>
      </c>
      <c r="AH19" s="44">
        <f t="shared" si="37"/>
        <v>7.9046168510899379</v>
      </c>
      <c r="AI19" s="44">
        <f t="shared" si="37"/>
        <v>1.268487559530646</v>
      </c>
    </row>
    <row r="20" spans="1:35" s="18" customFormat="1" ht="19.5" customHeight="1" x14ac:dyDescent="0.25">
      <c r="A20" s="21" t="s">
        <v>19</v>
      </c>
      <c r="B20" s="3">
        <v>290189.89568999998</v>
      </c>
      <c r="C20" s="3">
        <v>293973.44345999998</v>
      </c>
      <c r="D20" s="3">
        <v>315517.59697000001</v>
      </c>
      <c r="E20" s="3">
        <v>357496.38314000034</v>
      </c>
      <c r="F20" s="3">
        <v>361564.74127999973</v>
      </c>
      <c r="G20" s="3">
        <v>394921.75075999979</v>
      </c>
      <c r="H20" s="3">
        <v>378018.5259200001</v>
      </c>
      <c r="I20" s="3">
        <v>387327.76334999973</v>
      </c>
      <c r="J20" s="3">
        <v>349426.11791999958</v>
      </c>
      <c r="K20" s="3">
        <v>374795.66226999956</v>
      </c>
      <c r="L20" s="66">
        <v>384180.37031999993</v>
      </c>
      <c r="M20" s="64">
        <v>480666.85453999985</v>
      </c>
      <c r="N20" s="43">
        <f t="shared" si="25"/>
        <v>0.95915431392105299</v>
      </c>
      <c r="O20" s="44">
        <f t="shared" si="26"/>
        <v>1.0824755899932379</v>
      </c>
      <c r="P20" s="44">
        <f t="shared" si="13"/>
        <v>1.0930734581561565</v>
      </c>
      <c r="Q20" s="44">
        <f t="shared" si="38"/>
        <v>0.99539003773878743</v>
      </c>
      <c r="R20" s="44">
        <f t="shared" si="14"/>
        <v>0.8665756620445122</v>
      </c>
      <c r="S20" s="44">
        <f t="shared" si="27"/>
        <v>0.85102580817320272</v>
      </c>
      <c r="T20" s="44">
        <f t="shared" si="16"/>
        <v>1.3708036568811983</v>
      </c>
      <c r="U20" s="44">
        <f t="shared" si="17"/>
        <v>0.9136698348695278</v>
      </c>
      <c r="V20" s="44">
        <f t="shared" si="18"/>
        <v>0.69845640943430631</v>
      </c>
      <c r="W20" s="44">
        <f t="shared" si="28"/>
        <v>0.71394188375020262</v>
      </c>
      <c r="X20" s="57">
        <f t="shared" si="19"/>
        <v>0.85940149007840172</v>
      </c>
      <c r="Y20" s="44">
        <f t="shared" si="29"/>
        <v>1.3038178882843805</v>
      </c>
      <c r="Z20" s="44">
        <f t="shared" si="30"/>
        <v>7.3286053517046605</v>
      </c>
      <c r="AA20" s="44">
        <f t="shared" si="31"/>
        <v>13.304736906319601</v>
      </c>
      <c r="AB20" s="44">
        <f t="shared" si="32"/>
        <v>1.1380137903118763</v>
      </c>
      <c r="AC20" s="44">
        <f t="shared" si="33"/>
        <v>9.2257362711614714</v>
      </c>
      <c r="AD20" s="44">
        <f t="shared" si="34"/>
        <v>-4.2801453218189662</v>
      </c>
      <c r="AE20" s="44">
        <f t="shared" si="35"/>
        <v>2.4626405299431648</v>
      </c>
      <c r="AF20" s="44">
        <f t="shared" si="10"/>
        <v>-9.7854192279398298</v>
      </c>
      <c r="AG20" s="44">
        <f t="shared" si="36"/>
        <v>7.2603457637955646</v>
      </c>
      <c r="AH20" s="44">
        <f t="shared" si="37"/>
        <v>2.5039532189782125</v>
      </c>
      <c r="AI20" s="44">
        <f t="shared" si="37"/>
        <v>25.114891773265846</v>
      </c>
    </row>
    <row r="21" spans="1:35" s="18" customFormat="1" ht="19.5" customHeight="1" x14ac:dyDescent="0.25">
      <c r="A21" s="21" t="s">
        <v>20</v>
      </c>
      <c r="B21" s="3">
        <v>204675.239</v>
      </c>
      <c r="C21" s="3">
        <v>190817.00481000001</v>
      </c>
      <c r="D21" s="3">
        <v>188762.95777000001</v>
      </c>
      <c r="E21" s="3">
        <v>165773.61656000005</v>
      </c>
      <c r="F21" s="3">
        <v>176334.26828999969</v>
      </c>
      <c r="G21" s="3">
        <v>198076.62495999993</v>
      </c>
      <c r="H21" s="3">
        <v>205126.35899000021</v>
      </c>
      <c r="I21" s="3">
        <v>184410.12513000015</v>
      </c>
      <c r="J21" s="3">
        <v>187930.99277999991</v>
      </c>
      <c r="K21" s="3">
        <v>243626.50458999985</v>
      </c>
      <c r="L21" s="66">
        <v>244671.12629999989</v>
      </c>
      <c r="M21" s="64">
        <v>230576.10829000003</v>
      </c>
      <c r="N21" s="43">
        <f t="shared" si="25"/>
        <v>0.62258328908512162</v>
      </c>
      <c r="O21" s="44">
        <f t="shared" si="26"/>
        <v>0.64760665028891429</v>
      </c>
      <c r="P21" s="44">
        <f t="shared" si="13"/>
        <v>0.50686594010471586</v>
      </c>
      <c r="Q21" s="44">
        <f t="shared" si="38"/>
        <v>0.48544936474294814</v>
      </c>
      <c r="R21" s="44">
        <f t="shared" si="14"/>
        <v>0.4346389685549833</v>
      </c>
      <c r="S21" s="44">
        <f t="shared" si="27"/>
        <v>0.46179701117091582</v>
      </c>
      <c r="T21" s="44">
        <f t="shared" si="16"/>
        <v>0.65265157268288998</v>
      </c>
      <c r="U21" s="44">
        <f t="shared" si="17"/>
        <v>0.49139680846490391</v>
      </c>
      <c r="V21" s="44">
        <f t="shared" si="18"/>
        <v>0.45401404223397401</v>
      </c>
      <c r="W21" s="44">
        <f t="shared" si="28"/>
        <v>0.45468477388474215</v>
      </c>
      <c r="X21" s="57">
        <f t="shared" si="19"/>
        <v>0.4122552848594947</v>
      </c>
      <c r="Y21" s="44">
        <f t="shared" si="29"/>
        <v>-6.7708406047103669</v>
      </c>
      <c r="Z21" s="44">
        <f t="shared" si="30"/>
        <v>-1.0764486331002088</v>
      </c>
      <c r="AA21" s="44">
        <f t="shared" si="31"/>
        <v>-12.178947332458909</v>
      </c>
      <c r="AB21" s="44">
        <f t="shared" si="32"/>
        <v>6.3705262327900751</v>
      </c>
      <c r="AC21" s="44">
        <f t="shared" si="33"/>
        <v>12.330193603799529</v>
      </c>
      <c r="AD21" s="44">
        <f t="shared" si="34"/>
        <v>3.5590943814919722</v>
      </c>
      <c r="AE21" s="44">
        <f t="shared" si="35"/>
        <v>-10.099254899274047</v>
      </c>
      <c r="AF21" s="44">
        <f t="shared" si="10"/>
        <v>1.9092594007610633</v>
      </c>
      <c r="AG21" s="44">
        <f t="shared" si="36"/>
        <v>29.636150475296802</v>
      </c>
      <c r="AH21" s="44">
        <f t="shared" si="37"/>
        <v>0.42877999327619726</v>
      </c>
      <c r="AI21" s="44">
        <f t="shared" si="37"/>
        <v>-5.7608015392537393</v>
      </c>
    </row>
    <row r="22" spans="1:35" s="18" customFormat="1" ht="19.5" customHeight="1" x14ac:dyDescent="0.25">
      <c r="A22" s="21" t="s">
        <v>21</v>
      </c>
      <c r="B22" s="3">
        <v>16523.300289999988</v>
      </c>
      <c r="C22" s="3">
        <v>37225.878799999999</v>
      </c>
      <c r="D22" s="3">
        <v>20705.727899999998</v>
      </c>
      <c r="E22" s="3">
        <v>26882.114129999984</v>
      </c>
      <c r="F22" s="3">
        <v>32239.872104999984</v>
      </c>
      <c r="G22" s="3">
        <v>32503.019920000068</v>
      </c>
      <c r="H22" s="3">
        <v>39397.833299999897</v>
      </c>
      <c r="I22" s="3">
        <v>28702.621459999948</v>
      </c>
      <c r="J22" s="3">
        <v>48275.411149999993</v>
      </c>
      <c r="K22" s="3">
        <v>56304.950020000026</v>
      </c>
      <c r="L22" s="66">
        <v>73972.571210000009</v>
      </c>
      <c r="M22" s="64">
        <v>70598.800269999963</v>
      </c>
      <c r="N22" s="43">
        <f t="shared" si="25"/>
        <v>0.12145778142501019</v>
      </c>
      <c r="O22" s="44">
        <f t="shared" si="26"/>
        <v>7.1037068106610396E-2</v>
      </c>
      <c r="P22" s="44">
        <f t="shared" si="13"/>
        <v>8.2194189481129248E-2</v>
      </c>
      <c r="Q22" s="44">
        <f t="shared" si="38"/>
        <v>8.8756573436008235E-2</v>
      </c>
      <c r="R22" s="44">
        <f t="shared" si="14"/>
        <v>7.1321283143852859E-2</v>
      </c>
      <c r="S22" s="44">
        <f t="shared" si="27"/>
        <v>8.8695581368150103E-2</v>
      </c>
      <c r="T22" s="44">
        <f t="shared" si="16"/>
        <v>0.10158233460763023</v>
      </c>
      <c r="U22" s="44">
        <f t="shared" si="17"/>
        <v>0.12622922177722687</v>
      </c>
      <c r="V22" s="44">
        <f t="shared" si="18"/>
        <v>0.10492798392105399</v>
      </c>
      <c r="W22" s="44">
        <f t="shared" si="28"/>
        <v>0.13746698404065774</v>
      </c>
      <c r="X22" s="57">
        <f t="shared" si="19"/>
        <v>0.12622612434520677</v>
      </c>
      <c r="Y22" s="44">
        <f t="shared" si="29"/>
        <v>125.29324134192095</v>
      </c>
      <c r="Z22" s="44">
        <f t="shared" si="30"/>
        <v>-44.378135406168035</v>
      </c>
      <c r="AA22" s="44">
        <f t="shared" si="31"/>
        <v>29.82936055099993</v>
      </c>
      <c r="AB22" s="44">
        <f t="shared" si="32"/>
        <v>19.930567771159165</v>
      </c>
      <c r="AC22" s="44">
        <f t="shared" si="33"/>
        <v>0.81621854498384672</v>
      </c>
      <c r="AD22" s="44">
        <f t="shared" si="34"/>
        <v>21.212839289918552</v>
      </c>
      <c r="AE22" s="44">
        <f t="shared" si="35"/>
        <v>-27.146700577566985</v>
      </c>
      <c r="AF22" s="44">
        <f t="shared" si="10"/>
        <v>68.19164485472777</v>
      </c>
      <c r="AG22" s="44">
        <f t="shared" si="36"/>
        <v>16.632771588523351</v>
      </c>
      <c r="AH22" s="44">
        <f t="shared" si="37"/>
        <v>31.378451066423619</v>
      </c>
      <c r="AI22" s="44">
        <f t="shared" si="37"/>
        <v>-4.5608404369536926</v>
      </c>
    </row>
    <row r="23" spans="1:35" s="18" customFormat="1" ht="19.5" customHeight="1" x14ac:dyDescent="0.25">
      <c r="A23" s="21" t="s">
        <v>22</v>
      </c>
      <c r="B23" s="3">
        <v>1756.5224200000002</v>
      </c>
      <c r="C23" s="3">
        <v>1935.2410300000001</v>
      </c>
      <c r="D23" s="3">
        <v>2507.4795899999999</v>
      </c>
      <c r="E23" s="3">
        <v>2223.9049700000005</v>
      </c>
      <c r="F23" s="3">
        <v>10447.163960000007</v>
      </c>
      <c r="G23" s="3">
        <v>2741.4319700000001</v>
      </c>
      <c r="H23" s="3">
        <v>3382.0880900000002</v>
      </c>
      <c r="I23" s="3">
        <v>1668.0979599999989</v>
      </c>
      <c r="J23" s="3">
        <v>2296.3244599999998</v>
      </c>
      <c r="K23" s="3">
        <v>3045.9394500000008</v>
      </c>
      <c r="L23" s="66">
        <v>3410.5651800000005</v>
      </c>
      <c r="M23" s="64">
        <v>3279.4624800000001</v>
      </c>
      <c r="N23" s="43">
        <f t="shared" si="25"/>
        <v>6.3141580428304513E-3</v>
      </c>
      <c r="O23" s="44">
        <f t="shared" si="26"/>
        <v>8.6026436390466404E-3</v>
      </c>
      <c r="P23" s="44">
        <f t="shared" si="13"/>
        <v>6.7997652866227595E-3</v>
      </c>
      <c r="Q23" s="44">
        <f t="shared" si="38"/>
        <v>2.8761108983120134E-2</v>
      </c>
      <c r="R23" s="44">
        <f t="shared" si="14"/>
        <v>6.0155162884316972E-3</v>
      </c>
      <c r="S23" s="44">
        <f t="shared" si="27"/>
        <v>7.6140296116448403E-3</v>
      </c>
      <c r="T23" s="44">
        <f t="shared" si="16"/>
        <v>5.9036170395505606E-3</v>
      </c>
      <c r="U23" s="44">
        <f t="shared" si="17"/>
        <v>6.0043662524831912E-3</v>
      </c>
      <c r="V23" s="44">
        <f t="shared" si="18"/>
        <v>5.6763088417728421E-3</v>
      </c>
      <c r="W23" s="44">
        <f t="shared" si="28"/>
        <v>6.3380263995109418E-3</v>
      </c>
      <c r="X23" s="57">
        <f t="shared" si="19"/>
        <v>5.8634684612597372E-3</v>
      </c>
      <c r="Y23" s="44">
        <f t="shared" si="29"/>
        <v>10.174570387777907</v>
      </c>
      <c r="Z23" s="44">
        <f t="shared" si="30"/>
        <v>29.569368937987001</v>
      </c>
      <c r="AA23" s="44">
        <f t="shared" si="31"/>
        <v>-11.309149678861372</v>
      </c>
      <c r="AB23" s="47" t="s">
        <v>147</v>
      </c>
      <c r="AC23" s="44">
        <f t="shared" si="33"/>
        <v>-73.759079684243829</v>
      </c>
      <c r="AD23" s="44">
        <f t="shared" si="34"/>
        <v>23.369396979783527</v>
      </c>
      <c r="AE23" s="44">
        <f t="shared" si="35"/>
        <v>-50.678459117249105</v>
      </c>
      <c r="AF23" s="44">
        <f t="shared" si="10"/>
        <v>37.661247424581781</v>
      </c>
      <c r="AG23" s="44">
        <f t="shared" si="36"/>
        <v>32.644123383156447</v>
      </c>
      <c r="AH23" s="44">
        <f t="shared" si="37"/>
        <v>11.970879132216487</v>
      </c>
      <c r="AI23" s="44">
        <f t="shared" si="37"/>
        <v>-3.8440168441525091</v>
      </c>
    </row>
    <row r="24" spans="1:35" s="18" customFormat="1" ht="36.75" customHeight="1" x14ac:dyDescent="0.25">
      <c r="A24" s="22" t="s">
        <v>23</v>
      </c>
      <c r="B24" s="3">
        <v>3844.2529600000007</v>
      </c>
      <c r="C24" s="3">
        <v>6117.1405100000002</v>
      </c>
      <c r="D24" s="3">
        <v>5162.9139999999998</v>
      </c>
      <c r="E24" s="3">
        <v>5701.2605400000002</v>
      </c>
      <c r="F24" s="3">
        <v>7031.3071000000036</v>
      </c>
      <c r="G24" s="3">
        <v>19818.226749999998</v>
      </c>
      <c r="H24" s="3">
        <v>12189.408839999995</v>
      </c>
      <c r="I24" s="3">
        <v>7351.2947999999997</v>
      </c>
      <c r="J24" s="3">
        <v>7592.7606599999972</v>
      </c>
      <c r="K24" s="3">
        <v>10208.6551</v>
      </c>
      <c r="L24" s="66">
        <v>8977.393439999998</v>
      </c>
      <c r="M24" s="64">
        <v>13016.293850000004</v>
      </c>
      <c r="N24" s="43">
        <f t="shared" si="25"/>
        <v>1.995854332953062E-2</v>
      </c>
      <c r="O24" s="44">
        <f t="shared" si="26"/>
        <v>1.7712889651494566E-2</v>
      </c>
      <c r="P24" s="44">
        <f t="shared" si="13"/>
        <v>1.7432054891214223E-2</v>
      </c>
      <c r="Q24" s="44">
        <f t="shared" si="38"/>
        <v>1.9357233271266316E-2</v>
      </c>
      <c r="R24" s="44">
        <f t="shared" si="14"/>
        <v>4.3487077967671678E-2</v>
      </c>
      <c r="S24" s="44">
        <f t="shared" si="27"/>
        <v>2.7441780753914465E-2</v>
      </c>
      <c r="T24" s="44">
        <f t="shared" si="16"/>
        <v>2.6017194604110332E-2</v>
      </c>
      <c r="U24" s="44">
        <f t="shared" si="17"/>
        <v>1.9853342445381603E-2</v>
      </c>
      <c r="V24" s="44">
        <f t="shared" si="18"/>
        <v>1.902450135925696E-2</v>
      </c>
      <c r="W24" s="44">
        <f t="shared" si="28"/>
        <v>1.6683145935805374E-2</v>
      </c>
      <c r="X24" s="57">
        <f t="shared" si="19"/>
        <v>2.3272298109037703E-2</v>
      </c>
      <c r="Y24" s="44">
        <f t="shared" si="29"/>
        <v>59.124297325116679</v>
      </c>
      <c r="Z24" s="44">
        <f t="shared" si="30"/>
        <v>-15.599224971865169</v>
      </c>
      <c r="AA24" s="44">
        <f t="shared" si="31"/>
        <v>10.427183950768896</v>
      </c>
      <c r="AB24" s="44">
        <f t="shared" si="32"/>
        <v>23.328991030464348</v>
      </c>
      <c r="AC24" s="47" t="s">
        <v>147</v>
      </c>
      <c r="AD24" s="44">
        <f t="shared" si="34"/>
        <v>-38.493948052138435</v>
      </c>
      <c r="AE24" s="47">
        <f t="shared" si="35"/>
        <v>-39.691129434624798</v>
      </c>
      <c r="AF24" s="44">
        <f t="shared" si="10"/>
        <v>3.284671157521768</v>
      </c>
      <c r="AG24" s="44">
        <f t="shared" si="36"/>
        <v>34.452481213861994</v>
      </c>
      <c r="AH24" s="44">
        <f t="shared" si="37"/>
        <v>-12.060958548790643</v>
      </c>
      <c r="AI24" s="44">
        <f t="shared" si="37"/>
        <v>44.989678095249062</v>
      </c>
    </row>
    <row r="25" spans="1:35" s="18" customFormat="1" ht="27" customHeight="1" x14ac:dyDescent="0.25">
      <c r="A25" s="19" t="s">
        <v>24</v>
      </c>
      <c r="B25" s="1"/>
      <c r="C25" s="1"/>
      <c r="D25" s="1"/>
      <c r="E25" s="3"/>
      <c r="F25" s="3"/>
      <c r="G25" s="3"/>
      <c r="H25" s="3"/>
      <c r="I25" s="3"/>
      <c r="J25" s="3"/>
      <c r="K25" s="3"/>
      <c r="L25" s="66"/>
      <c r="M25" s="64"/>
      <c r="N25" s="43"/>
      <c r="O25" s="44"/>
      <c r="P25" s="44"/>
      <c r="Q25" s="2"/>
      <c r="R25" s="2"/>
      <c r="S25" s="2"/>
      <c r="T25" s="2"/>
      <c r="U25" s="2"/>
      <c r="V25" s="2"/>
      <c r="W25" s="2"/>
      <c r="X25" s="61"/>
      <c r="Y25" s="2"/>
      <c r="Z25" s="2"/>
      <c r="AA25" s="44"/>
      <c r="AB25" s="44"/>
      <c r="AC25" s="44"/>
      <c r="AD25" s="44"/>
      <c r="AE25" s="44"/>
      <c r="AF25" s="44"/>
      <c r="AG25" s="2"/>
      <c r="AH25" s="2"/>
      <c r="AI25" s="2"/>
    </row>
    <row r="26" spans="1:35" s="18" customFormat="1" ht="19.5" customHeight="1" x14ac:dyDescent="0.25">
      <c r="A26" s="45" t="s">
        <v>25</v>
      </c>
      <c r="B26" s="20">
        <f t="shared" ref="B26:M26" si="39">B27</f>
        <v>155750.13008999996</v>
      </c>
      <c r="C26" s="20">
        <f t="shared" si="39"/>
        <v>201444.61388999998</v>
      </c>
      <c r="D26" s="20">
        <f t="shared" si="39"/>
        <v>158538.83133000002</v>
      </c>
      <c r="E26" s="20">
        <f t="shared" si="39"/>
        <v>182751.59895999977</v>
      </c>
      <c r="F26" s="20">
        <f t="shared" si="39"/>
        <v>218073.53435000018</v>
      </c>
      <c r="G26" s="20">
        <f t="shared" si="39"/>
        <v>235805.20949999994</v>
      </c>
      <c r="H26" s="20">
        <f t="shared" si="39"/>
        <v>224097.96992000018</v>
      </c>
      <c r="I26" s="20">
        <f t="shared" si="39"/>
        <v>210211.80439000003</v>
      </c>
      <c r="J26" s="20">
        <f t="shared" si="39"/>
        <v>343133.87659000012</v>
      </c>
      <c r="K26" s="20">
        <f t="shared" si="39"/>
        <v>435893.04565999977</v>
      </c>
      <c r="L26" s="20">
        <f t="shared" si="39"/>
        <v>359556.02153999964</v>
      </c>
      <c r="M26" s="69">
        <f t="shared" si="39"/>
        <v>367378.57198999985</v>
      </c>
      <c r="N26" s="53">
        <f>C26/$C$6*100</f>
        <v>0.65725824807384237</v>
      </c>
      <c r="O26" s="2">
        <f>D26/$D$6*100</f>
        <v>0.54391392628759661</v>
      </c>
      <c r="P26" s="2">
        <f t="shared" si="13"/>
        <v>0.55877746371645109</v>
      </c>
      <c r="Q26" s="2">
        <f t="shared" si="38"/>
        <v>0.60035783029622736</v>
      </c>
      <c r="R26" s="2">
        <f t="shared" si="14"/>
        <v>0.51742669311772072</v>
      </c>
      <c r="S26" s="2">
        <f>H26/$H$6*100</f>
        <v>0.50450743253123731</v>
      </c>
      <c r="T26" s="2">
        <f t="shared" si="16"/>
        <v>0.74396709310253828</v>
      </c>
      <c r="U26" s="2">
        <f t="shared" si="17"/>
        <v>0.89721705471914415</v>
      </c>
      <c r="V26" s="2">
        <f t="shared" si="18"/>
        <v>0.81231540868192531</v>
      </c>
      <c r="W26" s="2">
        <f>L26/$L$6*100</f>
        <v>0.6681812064426349</v>
      </c>
      <c r="X26" s="61">
        <f t="shared" si="19"/>
        <v>0.65684931092915078</v>
      </c>
      <c r="Y26" s="2">
        <f t="shared" ref="Y26:AE27" si="40">((C26-B26)/B26)*100</f>
        <v>29.338327854747558</v>
      </c>
      <c r="Z26" s="2">
        <f t="shared" si="40"/>
        <v>-21.299046785847011</v>
      </c>
      <c r="AA26" s="2">
        <f t="shared" si="40"/>
        <v>15.272452450214333</v>
      </c>
      <c r="AB26" s="2">
        <f t="shared" si="40"/>
        <v>19.327839313587393</v>
      </c>
      <c r="AC26" s="2">
        <f t="shared" si="40"/>
        <v>8.1310532260833916</v>
      </c>
      <c r="AD26" s="2">
        <f t="shared" si="40"/>
        <v>-4.9647925950506888</v>
      </c>
      <c r="AE26" s="2">
        <f t="shared" si="40"/>
        <v>-6.196470916250294</v>
      </c>
      <c r="AF26" s="2">
        <f t="shared" si="10"/>
        <v>63.23244909376902</v>
      </c>
      <c r="AG26" s="2">
        <f t="shared" si="36"/>
        <v>27.032938278150446</v>
      </c>
      <c r="AH26" s="2">
        <f>((L26-K26)/K26)*100</f>
        <v>-17.512787799680488</v>
      </c>
      <c r="AI26" s="2">
        <f>((M26-L26)/L26)*100</f>
        <v>2.1756138074105307</v>
      </c>
    </row>
    <row r="27" spans="1:35" s="18" customFormat="1" ht="19.5" customHeight="1" x14ac:dyDescent="0.25">
      <c r="A27" s="21" t="s">
        <v>26</v>
      </c>
      <c r="B27" s="3">
        <v>155750.13008999996</v>
      </c>
      <c r="C27" s="3">
        <v>201444.61388999998</v>
      </c>
      <c r="D27" s="3">
        <v>158538.83133000002</v>
      </c>
      <c r="E27" s="3">
        <v>182751.59895999977</v>
      </c>
      <c r="F27" s="3">
        <v>218073.53435000018</v>
      </c>
      <c r="G27" s="3">
        <v>235805.20949999994</v>
      </c>
      <c r="H27" s="3">
        <v>224097.96992000018</v>
      </c>
      <c r="I27" s="3">
        <v>210211.80439000003</v>
      </c>
      <c r="J27" s="3">
        <v>343133.87659000012</v>
      </c>
      <c r="K27" s="3">
        <v>435893.04565999977</v>
      </c>
      <c r="L27" s="66">
        <v>359556.02153999964</v>
      </c>
      <c r="M27" s="64">
        <v>367378.57198999985</v>
      </c>
      <c r="N27" s="43">
        <f>C27/$C$6*100</f>
        <v>0.65725824807384237</v>
      </c>
      <c r="O27" s="44">
        <f>D27/$D$6*100</f>
        <v>0.54391392628759661</v>
      </c>
      <c r="P27" s="44">
        <f t="shared" si="13"/>
        <v>0.55877746371645109</v>
      </c>
      <c r="Q27" s="44">
        <f t="shared" si="38"/>
        <v>0.60035783029622736</v>
      </c>
      <c r="R27" s="44">
        <f t="shared" si="14"/>
        <v>0.51742669311772072</v>
      </c>
      <c r="S27" s="44">
        <f>H27/$H$6*100</f>
        <v>0.50450743253123731</v>
      </c>
      <c r="T27" s="44">
        <f t="shared" si="16"/>
        <v>0.74396709310253828</v>
      </c>
      <c r="U27" s="44">
        <f t="shared" si="17"/>
        <v>0.89721705471914415</v>
      </c>
      <c r="V27" s="44">
        <f t="shared" si="18"/>
        <v>0.81231540868192531</v>
      </c>
      <c r="W27" s="44">
        <f>L27/$L$6*100</f>
        <v>0.6681812064426349</v>
      </c>
      <c r="X27" s="57">
        <f t="shared" si="19"/>
        <v>0.65684931092915078</v>
      </c>
      <c r="Y27" s="44">
        <f t="shared" si="40"/>
        <v>29.338327854747558</v>
      </c>
      <c r="Z27" s="44">
        <f t="shared" si="40"/>
        <v>-21.299046785847011</v>
      </c>
      <c r="AA27" s="44">
        <f t="shared" si="40"/>
        <v>15.272452450214333</v>
      </c>
      <c r="AB27" s="44">
        <f t="shared" si="40"/>
        <v>19.327839313587393</v>
      </c>
      <c r="AC27" s="44">
        <f t="shared" si="40"/>
        <v>8.1310532260833916</v>
      </c>
      <c r="AD27" s="2">
        <f t="shared" si="40"/>
        <v>-4.9647925950506888</v>
      </c>
      <c r="AE27" s="44">
        <f t="shared" si="40"/>
        <v>-6.196470916250294</v>
      </c>
      <c r="AF27" s="2">
        <f t="shared" si="10"/>
        <v>63.23244909376902</v>
      </c>
      <c r="AG27" s="44">
        <f t="shared" si="36"/>
        <v>27.032938278150446</v>
      </c>
      <c r="AH27" s="44">
        <f>((L27-K27)/K27)*100</f>
        <v>-17.512787799680488</v>
      </c>
      <c r="AI27" s="44">
        <f>((M27-L27)/L27)*100</f>
        <v>2.1756138074105307</v>
      </c>
    </row>
    <row r="28" spans="1:35" s="18" customFormat="1" ht="19.5" customHeight="1" x14ac:dyDescent="0.25">
      <c r="A28" s="19" t="s">
        <v>27</v>
      </c>
      <c r="B28" s="1"/>
      <c r="C28" s="1"/>
      <c r="D28" s="1"/>
      <c r="E28" s="3"/>
      <c r="F28" s="3"/>
      <c r="G28" s="3"/>
      <c r="H28" s="3"/>
      <c r="I28" s="3"/>
      <c r="J28" s="3"/>
      <c r="K28" s="3"/>
      <c r="L28" s="66"/>
      <c r="M28" s="64"/>
      <c r="N28" s="43"/>
      <c r="O28" s="44"/>
      <c r="P28" s="44"/>
      <c r="Q28" s="2"/>
      <c r="R28" s="2"/>
      <c r="S28" s="2"/>
      <c r="T28" s="2"/>
      <c r="U28" s="2"/>
      <c r="V28" s="2"/>
      <c r="W28" s="2"/>
      <c r="X28" s="61"/>
      <c r="Y28" s="2"/>
      <c r="Z28" s="2"/>
      <c r="AA28" s="44"/>
      <c r="AB28" s="44"/>
      <c r="AC28" s="44"/>
      <c r="AD28" s="44"/>
      <c r="AE28" s="44"/>
      <c r="AF28" s="44"/>
      <c r="AG28" s="2"/>
      <c r="AH28" s="2"/>
      <c r="AI28" s="2"/>
    </row>
    <row r="29" spans="1:35" s="18" customFormat="1" ht="19.5" customHeight="1" x14ac:dyDescent="0.25">
      <c r="A29" s="45" t="s">
        <v>28</v>
      </c>
      <c r="B29" s="23">
        <f t="shared" ref="B29:G29" si="41">SUM(B30:B38)</f>
        <v>2270255.4094999996</v>
      </c>
      <c r="C29" s="20">
        <f t="shared" si="41"/>
        <v>2441450.34913</v>
      </c>
      <c r="D29" s="20">
        <f t="shared" si="41"/>
        <v>2380707.0856900001</v>
      </c>
      <c r="E29" s="20">
        <f t="shared" si="41"/>
        <v>2570338.2835499994</v>
      </c>
      <c r="F29" s="20">
        <f t="shared" si="41"/>
        <v>2577125.4142599991</v>
      </c>
      <c r="G29" s="20">
        <f t="shared" si="41"/>
        <v>2694268.5785499997</v>
      </c>
      <c r="H29" s="20">
        <f t="shared" ref="H29:I29" si="42">SUM(H30:H38)</f>
        <v>2972782.9682599981</v>
      </c>
      <c r="I29" s="20">
        <f t="shared" si="42"/>
        <v>2159406.7399600004</v>
      </c>
      <c r="J29" s="20">
        <f t="shared" ref="J29:M29" si="43">SUM(J30:J38)</f>
        <v>3069285.5213800003</v>
      </c>
      <c r="K29" s="20">
        <f t="shared" si="43"/>
        <v>3650314.9982399996</v>
      </c>
      <c r="L29" s="20">
        <f t="shared" si="43"/>
        <v>3661408.9333100002</v>
      </c>
      <c r="M29" s="69">
        <f t="shared" si="43"/>
        <v>4042361.1240300005</v>
      </c>
      <c r="N29" s="53">
        <f t="shared" ref="N29:N38" si="44">C29/$C$6*100</f>
        <v>7.9657795174642416</v>
      </c>
      <c r="O29" s="2">
        <f t="shared" ref="O29:O38" si="45">D29/$D$6*100</f>
        <v>8.1677134078464597</v>
      </c>
      <c r="P29" s="2">
        <f t="shared" si="13"/>
        <v>7.8590125347670803</v>
      </c>
      <c r="Q29" s="2">
        <f t="shared" si="38"/>
        <v>7.0948426947728693</v>
      </c>
      <c r="R29" s="2">
        <f t="shared" si="14"/>
        <v>5.9120257941973442</v>
      </c>
      <c r="S29" s="2">
        <f t="shared" ref="S29:S38" si="46">H29/$H$6*100</f>
        <v>6.6925688944208046</v>
      </c>
      <c r="T29" s="2">
        <f t="shared" si="16"/>
        <v>7.642423125646765</v>
      </c>
      <c r="U29" s="2">
        <f t="shared" si="17"/>
        <v>8.0254836478157578</v>
      </c>
      <c r="V29" s="2">
        <f t="shared" si="18"/>
        <v>6.8026024942044465</v>
      </c>
      <c r="W29" s="2">
        <f t="shared" ref="W29:W38" si="47">L29/$L$6*100</f>
        <v>6.804182079500376</v>
      </c>
      <c r="X29" s="61">
        <f t="shared" si="19"/>
        <v>7.2274822792826612</v>
      </c>
      <c r="Y29" s="2">
        <f t="shared" ref="Y29:Y38" si="48">((C29-B29)/B29)*100</f>
        <v>7.5407788442492603</v>
      </c>
      <c r="Z29" s="2">
        <f t="shared" ref="Z29:Z38" si="49">((D29-C29)/C29)*100</f>
        <v>-2.4879991297650386</v>
      </c>
      <c r="AA29" s="2">
        <f t="shared" ref="AA29:AA38" si="50">((E29-D29)/D29)*100</f>
        <v>7.9653309304549946</v>
      </c>
      <c r="AB29" s="2">
        <f t="shared" ref="AB29:AB38" si="51">((F29-E29)/E29)*100</f>
        <v>0.26405593199295629</v>
      </c>
      <c r="AC29" s="2">
        <f>((G29-F29)/F29)*100</f>
        <v>4.5454972288819482</v>
      </c>
      <c r="AD29" s="2">
        <f>((H29-G29)/G29)*100</f>
        <v>10.337291238421715</v>
      </c>
      <c r="AE29" s="2">
        <f t="shared" ref="AE29:AE38" si="52">((I29-H29)/H29)*100</f>
        <v>-27.360767233407408</v>
      </c>
      <c r="AF29" s="2">
        <f t="shared" si="10"/>
        <v>42.135590511162988</v>
      </c>
      <c r="AG29" s="2">
        <f t="shared" si="36"/>
        <v>18.930447259229215</v>
      </c>
      <c r="AH29" s="2">
        <f t="shared" ref="AH29:AI38" si="53">((L29-K29)/K29)*100</f>
        <v>0.30391719825137098</v>
      </c>
      <c r="AI29" s="2">
        <f t="shared" si="53"/>
        <v>10.404524533008404</v>
      </c>
    </row>
    <row r="30" spans="1:35" s="18" customFormat="1" ht="19.5" customHeight="1" x14ac:dyDescent="0.25">
      <c r="A30" s="21" t="s">
        <v>29</v>
      </c>
      <c r="B30" s="3">
        <v>154938.36555999998</v>
      </c>
      <c r="C30" s="3">
        <v>186737.61909999998</v>
      </c>
      <c r="D30" s="3">
        <v>159177.68945999999</v>
      </c>
      <c r="E30" s="3">
        <v>155903.5790400003</v>
      </c>
      <c r="F30" s="3">
        <v>153783.01404999982</v>
      </c>
      <c r="G30" s="3">
        <v>145138.62293999997</v>
      </c>
      <c r="H30" s="3">
        <v>159710.02546999996</v>
      </c>
      <c r="I30" s="3">
        <v>83180.566279999883</v>
      </c>
      <c r="J30" s="3">
        <v>148725.35214999996</v>
      </c>
      <c r="K30" s="3">
        <v>189708.56569000005</v>
      </c>
      <c r="L30" s="66">
        <v>193571.50177999973</v>
      </c>
      <c r="M30" s="64">
        <v>237556.90589000008</v>
      </c>
      <c r="N30" s="43">
        <f t="shared" si="44"/>
        <v>0.60927337797260017</v>
      </c>
      <c r="O30" s="44">
        <f t="shared" si="45"/>
        <v>0.54610571634252481</v>
      </c>
      <c r="P30" s="44">
        <f t="shared" si="13"/>
        <v>0.47668751997817671</v>
      </c>
      <c r="Q30" s="44">
        <f t="shared" si="38"/>
        <v>0.42336561805475265</v>
      </c>
      <c r="R30" s="44">
        <f t="shared" si="14"/>
        <v>0.31847726295251316</v>
      </c>
      <c r="S30" s="44">
        <f t="shared" si="46"/>
        <v>0.35955209646982655</v>
      </c>
      <c r="T30" s="44">
        <f t="shared" si="16"/>
        <v>0.29438691265474143</v>
      </c>
      <c r="U30" s="44">
        <f t="shared" si="17"/>
        <v>0.38888297402804234</v>
      </c>
      <c r="V30" s="44">
        <f t="shared" si="18"/>
        <v>0.3535344107993319</v>
      </c>
      <c r="W30" s="44">
        <f t="shared" si="47"/>
        <v>0.35972374774394938</v>
      </c>
      <c r="X30" s="57">
        <f t="shared" si="19"/>
        <v>0.42473650298949689</v>
      </c>
      <c r="Y30" s="44">
        <f t="shared" si="48"/>
        <v>20.523808564177557</v>
      </c>
      <c r="Z30" s="44">
        <f t="shared" si="49"/>
        <v>-14.758638228776682</v>
      </c>
      <c r="AA30" s="44">
        <f t="shared" si="50"/>
        <v>-2.0568902784723786</v>
      </c>
      <c r="AB30" s="44">
        <f t="shared" si="51"/>
        <v>-1.3601772345818977</v>
      </c>
      <c r="AC30" s="44">
        <f t="shared" ref="AC30:AC38" si="54">((G30-F30)/F30)*100</f>
        <v>-5.6211611948178364</v>
      </c>
      <c r="AD30" s="44">
        <f t="shared" ref="AD30:AD38" si="55">((H30-G30)/G30)*100</f>
        <v>10.03964501993641</v>
      </c>
      <c r="AE30" s="44">
        <f t="shared" si="52"/>
        <v>-47.917755297318784</v>
      </c>
      <c r="AF30" s="44">
        <f t="shared" si="10"/>
        <v>78.798196263013196</v>
      </c>
      <c r="AG30" s="44">
        <f t="shared" si="36"/>
        <v>27.556306270275719</v>
      </c>
      <c r="AH30" s="44">
        <f t="shared" si="53"/>
        <v>2.036247586369953</v>
      </c>
      <c r="AI30" s="44">
        <f t="shared" si="53"/>
        <v>22.723078400244674</v>
      </c>
    </row>
    <row r="31" spans="1:35" s="18" customFormat="1" ht="19.5" customHeight="1" x14ac:dyDescent="0.25">
      <c r="A31" s="21" t="s">
        <v>30</v>
      </c>
      <c r="B31" s="3">
        <v>268055.96848999988</v>
      </c>
      <c r="C31" s="3">
        <v>165135.14481999999</v>
      </c>
      <c r="D31" s="3">
        <v>168858.00003</v>
      </c>
      <c r="E31" s="3">
        <v>161054.71281000011</v>
      </c>
      <c r="F31" s="3">
        <v>181245.23678000033</v>
      </c>
      <c r="G31" s="3">
        <v>175511.6798000001</v>
      </c>
      <c r="H31" s="3">
        <v>177051.95559000006</v>
      </c>
      <c r="I31" s="3">
        <v>138998.21277000039</v>
      </c>
      <c r="J31" s="3">
        <v>160603.96760000003</v>
      </c>
      <c r="K31" s="3">
        <v>177702.77276000005</v>
      </c>
      <c r="L31" s="66">
        <v>200223.3044299999</v>
      </c>
      <c r="M31" s="64">
        <v>221359.72335999986</v>
      </c>
      <c r="N31" s="43">
        <f t="shared" si="44"/>
        <v>0.53879045899475075</v>
      </c>
      <c r="O31" s="44">
        <f t="shared" si="45"/>
        <v>0.57931685891019236</v>
      </c>
      <c r="P31" s="44">
        <f t="shared" si="13"/>
        <v>0.49243751877241243</v>
      </c>
      <c r="Q31" s="44">
        <f t="shared" si="38"/>
        <v>0.49896929230361192</v>
      </c>
      <c r="R31" s="44">
        <f t="shared" si="14"/>
        <v>0.38512477427879016</v>
      </c>
      <c r="S31" s="44">
        <f t="shared" si="46"/>
        <v>0.39859364889040705</v>
      </c>
      <c r="T31" s="44">
        <f t="shared" si="16"/>
        <v>0.4919328702830193</v>
      </c>
      <c r="U31" s="44">
        <f t="shared" si="17"/>
        <v>0.41994285209693066</v>
      </c>
      <c r="V31" s="44">
        <f t="shared" si="18"/>
        <v>0.33116082469240748</v>
      </c>
      <c r="W31" s="44">
        <f t="shared" si="47"/>
        <v>0.37208513026414447</v>
      </c>
      <c r="X31" s="57">
        <f t="shared" si="19"/>
        <v>0.39577698004782158</v>
      </c>
      <c r="Y31" s="44">
        <f t="shared" si="48"/>
        <v>-38.39527403540707</v>
      </c>
      <c r="Z31" s="44">
        <f t="shared" si="49"/>
        <v>2.2544293730192821</v>
      </c>
      <c r="AA31" s="44">
        <f t="shared" si="50"/>
        <v>-4.6212126275411993</v>
      </c>
      <c r="AB31" s="44">
        <f t="shared" si="51"/>
        <v>12.536437846323336</v>
      </c>
      <c r="AC31" s="44">
        <f t="shared" si="54"/>
        <v>-3.1634249163522852</v>
      </c>
      <c r="AD31" s="44">
        <f t="shared" si="55"/>
        <v>0.87759161769469607</v>
      </c>
      <c r="AE31" s="44">
        <f t="shared" si="52"/>
        <v>-21.492980799444471</v>
      </c>
      <c r="AF31" s="44">
        <f t="shared" si="10"/>
        <v>15.543908370786443</v>
      </c>
      <c r="AG31" s="44">
        <f t="shared" si="36"/>
        <v>10.646564599565979</v>
      </c>
      <c r="AH31" s="44">
        <f t="shared" si="53"/>
        <v>12.673145905503342</v>
      </c>
      <c r="AI31" s="44">
        <f t="shared" si="53"/>
        <v>10.55642298491256</v>
      </c>
    </row>
    <row r="32" spans="1:35" s="18" customFormat="1" ht="19.5" customHeight="1" x14ac:dyDescent="0.25">
      <c r="A32" s="21" t="s">
        <v>31</v>
      </c>
      <c r="B32" s="3">
        <v>145705.58549</v>
      </c>
      <c r="C32" s="3">
        <v>159789.99975999998</v>
      </c>
      <c r="D32" s="3">
        <v>155567.62783000001</v>
      </c>
      <c r="E32" s="3">
        <v>176036.08999999985</v>
      </c>
      <c r="F32" s="3">
        <v>192748.38200999965</v>
      </c>
      <c r="G32" s="3">
        <v>184283.30394999997</v>
      </c>
      <c r="H32" s="3">
        <v>207687.58897000024</v>
      </c>
      <c r="I32" s="3">
        <v>159475.6536299999</v>
      </c>
      <c r="J32" s="3">
        <v>252666.85902999996</v>
      </c>
      <c r="K32" s="3">
        <v>282421.12241000013</v>
      </c>
      <c r="L32" s="66">
        <v>306391.76515000017</v>
      </c>
      <c r="M32" s="64">
        <v>346921.83566999988</v>
      </c>
      <c r="N32" s="43">
        <f t="shared" si="44"/>
        <v>0.52135072402246441</v>
      </c>
      <c r="O32" s="44">
        <f t="shared" si="45"/>
        <v>0.53372034186460704</v>
      </c>
      <c r="P32" s="44">
        <f t="shared" si="13"/>
        <v>0.53824426408597792</v>
      </c>
      <c r="Q32" s="44">
        <f t="shared" si="38"/>
        <v>0.53063752445497836</v>
      </c>
      <c r="R32" s="44">
        <f t="shared" si="14"/>
        <v>0.4043723239272044</v>
      </c>
      <c r="S32" s="44">
        <f t="shared" si="46"/>
        <v>0.46756305876962068</v>
      </c>
      <c r="T32" s="44">
        <f t="shared" si="16"/>
        <v>0.56440521404602118</v>
      </c>
      <c r="U32" s="44">
        <f t="shared" si="17"/>
        <v>0.66066637703308695</v>
      </c>
      <c r="V32" s="44">
        <f t="shared" si="18"/>
        <v>0.52631036846096635</v>
      </c>
      <c r="W32" s="44">
        <f t="shared" si="47"/>
        <v>0.56938337009394357</v>
      </c>
      <c r="X32" s="57">
        <f t="shared" si="19"/>
        <v>0.62027397915934612</v>
      </c>
      <c r="Y32" s="44">
        <f t="shared" si="48"/>
        <v>9.6663516519527075</v>
      </c>
      <c r="Z32" s="44">
        <f t="shared" si="49"/>
        <v>-2.6424506767268583</v>
      </c>
      <c r="AA32" s="44">
        <f t="shared" si="50"/>
        <v>13.157276006269894</v>
      </c>
      <c r="AB32" s="44">
        <f t="shared" si="51"/>
        <v>9.4936737177017587</v>
      </c>
      <c r="AC32" s="44">
        <f t="shared" si="54"/>
        <v>-4.3917764557735781</v>
      </c>
      <c r="AD32" s="44">
        <f t="shared" si="55"/>
        <v>12.700165733055426</v>
      </c>
      <c r="AE32" s="44">
        <f t="shared" si="52"/>
        <v>-23.21368146219098</v>
      </c>
      <c r="AF32" s="44">
        <f t="shared" si="10"/>
        <v>58.436007803556869</v>
      </c>
      <c r="AG32" s="44">
        <f t="shared" si="36"/>
        <v>11.776084720500421</v>
      </c>
      <c r="AH32" s="44">
        <f t="shared" si="53"/>
        <v>8.4875531034824867</v>
      </c>
      <c r="AI32" s="44">
        <f t="shared" si="53"/>
        <v>13.22818532676863</v>
      </c>
    </row>
    <row r="33" spans="1:35" s="18" customFormat="1" ht="19.5" customHeight="1" x14ac:dyDescent="0.25">
      <c r="A33" s="21" t="s">
        <v>32</v>
      </c>
      <c r="B33" s="3">
        <v>347488.68813999969</v>
      </c>
      <c r="C33" s="3">
        <v>378290.77137999999</v>
      </c>
      <c r="D33" s="3">
        <v>405754.90587999998</v>
      </c>
      <c r="E33" s="3">
        <v>417982.14883999969</v>
      </c>
      <c r="F33" s="3">
        <v>444786.78798000002</v>
      </c>
      <c r="G33" s="3">
        <v>462828.62312000006</v>
      </c>
      <c r="H33" s="3">
        <v>489636.26147999929</v>
      </c>
      <c r="I33" s="3">
        <v>424503.66345999984</v>
      </c>
      <c r="J33" s="3">
        <v>559579.96146000072</v>
      </c>
      <c r="K33" s="3">
        <v>669121.12094000005</v>
      </c>
      <c r="L33" s="66">
        <v>721189.71555000043</v>
      </c>
      <c r="M33" s="64">
        <v>760550.84102000121</v>
      </c>
      <c r="N33" s="43">
        <f t="shared" si="44"/>
        <v>1.2342585133375157</v>
      </c>
      <c r="O33" s="44">
        <f t="shared" si="45"/>
        <v>1.3920611254429194</v>
      </c>
      <c r="P33" s="44">
        <f t="shared" si="13"/>
        <v>1.2780134693031495</v>
      </c>
      <c r="Q33" s="44">
        <f t="shared" si="38"/>
        <v>1.2245008628489755</v>
      </c>
      <c r="R33" s="44">
        <f t="shared" si="14"/>
        <v>1.0155835167891383</v>
      </c>
      <c r="S33" s="44">
        <f t="shared" si="46"/>
        <v>1.1023086609916748</v>
      </c>
      <c r="T33" s="44">
        <f t="shared" si="16"/>
        <v>1.5023740338091975</v>
      </c>
      <c r="U33" s="44">
        <f t="shared" si="17"/>
        <v>1.4631743443416847</v>
      </c>
      <c r="V33" s="44">
        <f t="shared" si="18"/>
        <v>1.2469512928133475</v>
      </c>
      <c r="W33" s="44">
        <f t="shared" si="47"/>
        <v>1.3402234571021125</v>
      </c>
      <c r="X33" s="57">
        <f t="shared" si="19"/>
        <v>1.3598160969066324</v>
      </c>
      <c r="Y33" s="44">
        <f t="shared" si="48"/>
        <v>8.8641973944171806</v>
      </c>
      <c r="Z33" s="44">
        <f t="shared" si="49"/>
        <v>7.2600593453049793</v>
      </c>
      <c r="AA33" s="44">
        <f t="shared" si="50"/>
        <v>3.0134553600729252</v>
      </c>
      <c r="AB33" s="44">
        <f t="shared" si="51"/>
        <v>6.4128669643882183</v>
      </c>
      <c r="AC33" s="44">
        <f t="shared" si="54"/>
        <v>4.0562884572037463</v>
      </c>
      <c r="AD33" s="44">
        <f t="shared" si="55"/>
        <v>5.7921306118201485</v>
      </c>
      <c r="AE33" s="44">
        <f t="shared" si="52"/>
        <v>-13.30224150946794</v>
      </c>
      <c r="AF33" s="44">
        <f t="shared" si="10"/>
        <v>31.819819150448598</v>
      </c>
      <c r="AG33" s="44">
        <f t="shared" si="36"/>
        <v>19.575604386224867</v>
      </c>
      <c r="AH33" s="44">
        <f t="shared" si="53"/>
        <v>7.7816396733752722</v>
      </c>
      <c r="AI33" s="44">
        <f t="shared" si="53"/>
        <v>5.4578045999980516</v>
      </c>
    </row>
    <row r="34" spans="1:35" s="18" customFormat="1" ht="19.5" customHeight="1" x14ac:dyDescent="0.25">
      <c r="A34" s="21" t="s">
        <v>33</v>
      </c>
      <c r="B34" s="3">
        <v>336304.47775999975</v>
      </c>
      <c r="C34" s="3">
        <v>371849.89636000001</v>
      </c>
      <c r="D34" s="3">
        <v>324869.62004000001</v>
      </c>
      <c r="E34" s="3">
        <v>357571.32382000075</v>
      </c>
      <c r="F34" s="3">
        <v>402853.98653999914</v>
      </c>
      <c r="G34" s="3">
        <v>383888.43776000023</v>
      </c>
      <c r="H34" s="3">
        <v>419559.57522999879</v>
      </c>
      <c r="I34" s="3">
        <v>289946.12726000021</v>
      </c>
      <c r="J34" s="3">
        <v>410289.18795000028</v>
      </c>
      <c r="K34" s="3">
        <v>511450.07368000021</v>
      </c>
      <c r="L34" s="66">
        <v>516618.94541000022</v>
      </c>
      <c r="M34" s="64">
        <v>585499.93620999996</v>
      </c>
      <c r="N34" s="43">
        <f t="shared" si="44"/>
        <v>1.2132437135374108</v>
      </c>
      <c r="O34" s="44">
        <f t="shared" si="45"/>
        <v>1.114560446075896</v>
      </c>
      <c r="P34" s="44">
        <f t="shared" si="13"/>
        <v>1.0933025952107056</v>
      </c>
      <c r="Q34" s="44">
        <f t="shared" si="38"/>
        <v>1.1090595931607565</v>
      </c>
      <c r="R34" s="44">
        <f t="shared" si="14"/>
        <v>0.84236529505632007</v>
      </c>
      <c r="S34" s="44">
        <f t="shared" si="46"/>
        <v>0.94454637036090383</v>
      </c>
      <c r="T34" s="44">
        <f t="shared" si="16"/>
        <v>1.0261572992055177</v>
      </c>
      <c r="U34" s="44">
        <f t="shared" si="17"/>
        <v>1.072812922040518</v>
      </c>
      <c r="V34" s="44">
        <f t="shared" si="18"/>
        <v>0.95312090834739216</v>
      </c>
      <c r="W34" s="44">
        <f t="shared" si="47"/>
        <v>0.96005921062505051</v>
      </c>
      <c r="X34" s="57">
        <f t="shared" si="19"/>
        <v>1.0468363126499081</v>
      </c>
      <c r="Y34" s="44">
        <f t="shared" si="48"/>
        <v>10.569415797480666</v>
      </c>
      <c r="Z34" s="44">
        <f t="shared" si="49"/>
        <v>-12.634204494847262</v>
      </c>
      <c r="AA34" s="44">
        <f t="shared" si="50"/>
        <v>10.066100910258797</v>
      </c>
      <c r="AB34" s="44">
        <f t="shared" si="51"/>
        <v>12.663952532947921</v>
      </c>
      <c r="AC34" s="44">
        <f t="shared" si="54"/>
        <v>-4.7077972202506251</v>
      </c>
      <c r="AD34" s="44">
        <f t="shared" si="55"/>
        <v>9.2920583068718212</v>
      </c>
      <c r="AE34" s="44">
        <f t="shared" si="52"/>
        <v>-30.892739821024378</v>
      </c>
      <c r="AF34" s="44">
        <f t="shared" si="10"/>
        <v>41.505317497165997</v>
      </c>
      <c r="AG34" s="44">
        <f t="shared" si="36"/>
        <v>24.655995990400765</v>
      </c>
      <c r="AH34" s="44">
        <f t="shared" si="53"/>
        <v>1.0106307528335658</v>
      </c>
      <c r="AI34" s="44">
        <f t="shared" si="53"/>
        <v>13.333036159820708</v>
      </c>
    </row>
    <row r="35" spans="1:35" s="18" customFormat="1" ht="19.5" customHeight="1" x14ac:dyDescent="0.25">
      <c r="A35" s="21" t="s">
        <v>34</v>
      </c>
      <c r="B35" s="3">
        <v>313675.37587999983</v>
      </c>
      <c r="C35" s="3">
        <v>345460.36193000001</v>
      </c>
      <c r="D35" s="3">
        <v>369172.13701999997</v>
      </c>
      <c r="E35" s="3">
        <v>382638.44556000014</v>
      </c>
      <c r="F35" s="3">
        <v>405486.59810999938</v>
      </c>
      <c r="G35" s="3">
        <v>450768.40821000037</v>
      </c>
      <c r="H35" s="3">
        <v>537297.93849999935</v>
      </c>
      <c r="I35" s="3">
        <v>374224.00030000025</v>
      </c>
      <c r="J35" s="3">
        <v>548980.15801000013</v>
      </c>
      <c r="K35" s="3">
        <v>672352.65419999952</v>
      </c>
      <c r="L35" s="66">
        <v>633341.90517000062</v>
      </c>
      <c r="M35" s="64">
        <v>706530.41625000059</v>
      </c>
      <c r="N35" s="43">
        <f t="shared" si="44"/>
        <v>1.1271419368157094</v>
      </c>
      <c r="O35" s="44">
        <f t="shared" si="45"/>
        <v>1.2665532149948058</v>
      </c>
      <c r="P35" s="44">
        <f t="shared" si="13"/>
        <v>1.1699473019506679</v>
      </c>
      <c r="Q35" s="44">
        <f t="shared" si="38"/>
        <v>1.1163071895960097</v>
      </c>
      <c r="R35" s="44">
        <f t="shared" si="14"/>
        <v>0.98911982189282111</v>
      </c>
      <c r="S35" s="44">
        <f t="shared" si="46"/>
        <v>1.2096084741585555</v>
      </c>
      <c r="T35" s="44">
        <f t="shared" si="16"/>
        <v>1.3244277241247013</v>
      </c>
      <c r="U35" s="44">
        <f t="shared" si="17"/>
        <v>1.4354582688363364</v>
      </c>
      <c r="V35" s="44">
        <f t="shared" si="18"/>
        <v>1.2529734679475963</v>
      </c>
      <c r="W35" s="44">
        <f t="shared" si="47"/>
        <v>1.1769714117834331</v>
      </c>
      <c r="X35" s="57">
        <f t="shared" si="19"/>
        <v>1.2632310440711589</v>
      </c>
      <c r="Y35" s="44">
        <f t="shared" si="48"/>
        <v>10.133082955851751</v>
      </c>
      <c r="Z35" s="44">
        <f t="shared" si="49"/>
        <v>6.8638193272097077</v>
      </c>
      <c r="AA35" s="44">
        <f t="shared" si="50"/>
        <v>3.6477044688967499</v>
      </c>
      <c r="AB35" s="44">
        <f t="shared" si="51"/>
        <v>5.9712119404416999</v>
      </c>
      <c r="AC35" s="44">
        <f t="shared" si="54"/>
        <v>11.167276627899071</v>
      </c>
      <c r="AD35" s="44">
        <f t="shared" si="55"/>
        <v>19.196005912128449</v>
      </c>
      <c r="AE35" s="44">
        <f t="shared" si="52"/>
        <v>-30.350747046463738</v>
      </c>
      <c r="AF35" s="44">
        <f t="shared" si="10"/>
        <v>46.698276318436264</v>
      </c>
      <c r="AG35" s="44">
        <f t="shared" si="36"/>
        <v>22.473033749928728</v>
      </c>
      <c r="AH35" s="44">
        <f t="shared" si="53"/>
        <v>-5.8021261292432822</v>
      </c>
      <c r="AI35" s="44">
        <f t="shared" si="53"/>
        <v>11.555924293428021</v>
      </c>
    </row>
    <row r="36" spans="1:35" s="18" customFormat="1" ht="19.5" customHeight="1" x14ac:dyDescent="0.25">
      <c r="A36" s="21" t="s">
        <v>35</v>
      </c>
      <c r="B36" s="3">
        <v>488662.58886000054</v>
      </c>
      <c r="C36" s="3">
        <v>591680.01944000006</v>
      </c>
      <c r="D36" s="3">
        <v>548396.47464999999</v>
      </c>
      <c r="E36" s="3">
        <v>622971.25811999862</v>
      </c>
      <c r="F36" s="3">
        <v>535302.25612000097</v>
      </c>
      <c r="G36" s="3">
        <v>600118.57508999959</v>
      </c>
      <c r="H36" s="3">
        <v>685315.43484000012</v>
      </c>
      <c r="I36" s="3">
        <v>422198.78253999993</v>
      </c>
      <c r="J36" s="3">
        <v>729282.35048999917</v>
      </c>
      <c r="K36" s="3">
        <v>847644.31469999941</v>
      </c>
      <c r="L36" s="66">
        <v>772002.92235999927</v>
      </c>
      <c r="M36" s="64">
        <v>845940.87063999847</v>
      </c>
      <c r="N36" s="43">
        <f t="shared" si="44"/>
        <v>1.9304888102383577</v>
      </c>
      <c r="O36" s="44">
        <f t="shared" si="45"/>
        <v>1.8814348332635578</v>
      </c>
      <c r="P36" s="44">
        <f t="shared" si="13"/>
        <v>1.9047838791097591</v>
      </c>
      <c r="Q36" s="44">
        <f t="shared" si="38"/>
        <v>1.4736905236794451</v>
      </c>
      <c r="R36" s="44">
        <f t="shared" si="14"/>
        <v>1.3168384636020396</v>
      </c>
      <c r="S36" s="44">
        <f t="shared" si="46"/>
        <v>1.542837405571249</v>
      </c>
      <c r="T36" s="44">
        <f t="shared" si="16"/>
        <v>1.4942167585173756</v>
      </c>
      <c r="U36" s="44">
        <f t="shared" si="17"/>
        <v>1.9069074993930821</v>
      </c>
      <c r="V36" s="44">
        <f t="shared" si="18"/>
        <v>1.5796410260913381</v>
      </c>
      <c r="W36" s="44">
        <f t="shared" si="47"/>
        <v>1.4346522186734079</v>
      </c>
      <c r="X36" s="57">
        <f t="shared" si="19"/>
        <v>1.5124879901319177</v>
      </c>
      <c r="Y36" s="44">
        <f t="shared" si="48"/>
        <v>21.081505506760518</v>
      </c>
      <c r="Z36" s="44">
        <f t="shared" si="49"/>
        <v>-7.3153636032810612</v>
      </c>
      <c r="AA36" s="44">
        <f t="shared" si="50"/>
        <v>13.598698554288497</v>
      </c>
      <c r="AB36" s="44">
        <f t="shared" si="51"/>
        <v>-14.07272018689353</v>
      </c>
      <c r="AC36" s="44">
        <f t="shared" si="54"/>
        <v>12.108359011935207</v>
      </c>
      <c r="AD36" s="44">
        <f t="shared" si="55"/>
        <v>14.196671005763084</v>
      </c>
      <c r="AE36" s="44">
        <f t="shared" si="52"/>
        <v>-38.393510334613985</v>
      </c>
      <c r="AF36" s="44">
        <f t="shared" si="10"/>
        <v>72.73435657548481</v>
      </c>
      <c r="AG36" s="44">
        <f t="shared" si="36"/>
        <v>16.22992303741805</v>
      </c>
      <c r="AH36" s="44">
        <f t="shared" si="53"/>
        <v>-8.9237184781651422</v>
      </c>
      <c r="AI36" s="44">
        <f t="shared" si="53"/>
        <v>9.5774181856685452</v>
      </c>
    </row>
    <row r="37" spans="1:35" s="18" customFormat="1" ht="19.5" customHeight="1" x14ac:dyDescent="0.25">
      <c r="A37" s="21" t="s">
        <v>36</v>
      </c>
      <c r="B37" s="3">
        <v>5595.8752800000011</v>
      </c>
      <c r="C37" s="3">
        <v>6407.2832900000003</v>
      </c>
      <c r="D37" s="3">
        <v>5413.5951599999999</v>
      </c>
      <c r="E37" s="3">
        <v>7333.9856100000015</v>
      </c>
      <c r="F37" s="3">
        <v>6149.230889999998</v>
      </c>
      <c r="G37" s="3">
        <v>7531.57294</v>
      </c>
      <c r="H37" s="3">
        <v>7107.3125699999991</v>
      </c>
      <c r="I37" s="3">
        <v>9493.1084099999971</v>
      </c>
      <c r="J37" s="3">
        <v>14993.665350000001</v>
      </c>
      <c r="K37" s="3">
        <v>19504.522279999994</v>
      </c>
      <c r="L37" s="66">
        <v>17386.245840000007</v>
      </c>
      <c r="M37" s="64">
        <v>22561.97964000002</v>
      </c>
      <c r="N37" s="43">
        <v>17386245.840000007</v>
      </c>
      <c r="O37" s="44">
        <f t="shared" si="45"/>
        <v>1.8572924841851926E-2</v>
      </c>
      <c r="P37" s="44">
        <f t="shared" si="13"/>
        <v>2.2424240889874374E-2</v>
      </c>
      <c r="Q37" s="44">
        <f t="shared" si="38"/>
        <v>1.6928871841852346E-2</v>
      </c>
      <c r="R37" s="44">
        <f t="shared" si="14"/>
        <v>1.6526508844237855E-2</v>
      </c>
      <c r="S37" s="44">
        <f t="shared" si="46"/>
        <v>1.6000555552411876E-2</v>
      </c>
      <c r="T37" s="44">
        <f t="shared" si="16"/>
        <v>3.3597353339834282E-2</v>
      </c>
      <c r="U37" s="44">
        <f t="shared" si="17"/>
        <v>3.9205025159452678E-2</v>
      </c>
      <c r="V37" s="44">
        <f t="shared" si="18"/>
        <v>3.6347962292067014E-2</v>
      </c>
      <c r="W37" s="44">
        <f t="shared" si="47"/>
        <v>3.2309743196964009E-2</v>
      </c>
      <c r="X37" s="57">
        <f t="shared" si="19"/>
        <v>4.0339371726163011E-2</v>
      </c>
      <c r="Y37" s="44">
        <f t="shared" si="48"/>
        <v>14.500108908788958</v>
      </c>
      <c r="Z37" s="44">
        <f t="shared" si="49"/>
        <v>-15.508727880830136</v>
      </c>
      <c r="AA37" s="44">
        <f t="shared" si="50"/>
        <v>35.473477296370305</v>
      </c>
      <c r="AB37" s="44">
        <f t="shared" si="51"/>
        <v>-16.154309307405409</v>
      </c>
      <c r="AC37" s="44">
        <f t="shared" si="54"/>
        <v>22.479917809688921</v>
      </c>
      <c r="AD37" s="44">
        <f t="shared" si="55"/>
        <v>-5.6330911667437276</v>
      </c>
      <c r="AE37" s="44">
        <f t="shared" si="52"/>
        <v>33.568185112196332</v>
      </c>
      <c r="AF37" s="44">
        <f t="shared" si="10"/>
        <v>57.942632722973464</v>
      </c>
      <c r="AG37" s="44">
        <f t="shared" si="36"/>
        <v>30.085084765480591</v>
      </c>
      <c r="AH37" s="44">
        <f t="shared" si="53"/>
        <v>-10.860437439024462</v>
      </c>
      <c r="AI37" s="44">
        <f t="shared" si="53"/>
        <v>29.769128123636442</v>
      </c>
    </row>
    <row r="38" spans="1:35" s="18" customFormat="1" ht="19.5" customHeight="1" x14ac:dyDescent="0.25">
      <c r="A38" s="21" t="s">
        <v>37</v>
      </c>
      <c r="B38" s="3">
        <v>209828.48404000007</v>
      </c>
      <c r="C38" s="3">
        <v>236099.25305</v>
      </c>
      <c r="D38" s="3">
        <v>243497.03562000001</v>
      </c>
      <c r="E38" s="3">
        <v>288846.73975000007</v>
      </c>
      <c r="F38" s="3">
        <v>254769.92177999989</v>
      </c>
      <c r="G38" s="3">
        <v>284199.35473999957</v>
      </c>
      <c r="H38" s="3">
        <v>289416.8756100001</v>
      </c>
      <c r="I38" s="3">
        <v>257386.62530999977</v>
      </c>
      <c r="J38" s="3">
        <v>244164.01933999997</v>
      </c>
      <c r="K38" s="3">
        <v>280409.85158000002</v>
      </c>
      <c r="L38" s="66">
        <v>300682.62761999998</v>
      </c>
      <c r="M38" s="64">
        <v>315438.61534999998</v>
      </c>
      <c r="N38" s="43">
        <f t="shared" si="44"/>
        <v>0.77032678330095106</v>
      </c>
      <c r="O38" s="44">
        <f t="shared" si="45"/>
        <v>0.83538794611010425</v>
      </c>
      <c r="P38" s="44">
        <f t="shared" si="13"/>
        <v>0.8831717454663579</v>
      </c>
      <c r="Q38" s="44">
        <f t="shared" si="38"/>
        <v>0.70138321883248822</v>
      </c>
      <c r="R38" s="44">
        <f t="shared" si="14"/>
        <v>0.62361782685427913</v>
      </c>
      <c r="S38" s="44">
        <f t="shared" si="46"/>
        <v>0.65155862365615436</v>
      </c>
      <c r="T38" s="44">
        <f t="shared" si="16"/>
        <v>0.91092495966635623</v>
      </c>
      <c r="U38" s="44">
        <f t="shared" si="17"/>
        <v>0.63843338488662404</v>
      </c>
      <c r="V38" s="44">
        <f t="shared" si="18"/>
        <v>0.52256223275999925</v>
      </c>
      <c r="W38" s="44">
        <f t="shared" si="47"/>
        <v>0.55877379001737115</v>
      </c>
      <c r="X38" s="57">
        <f t="shared" si="19"/>
        <v>0.56398400160021533</v>
      </c>
      <c r="Y38" s="44">
        <f t="shared" si="48"/>
        <v>12.52011571745992</v>
      </c>
      <c r="Z38" s="44">
        <f t="shared" si="49"/>
        <v>3.1333358638086595</v>
      </c>
      <c r="AA38" s="44">
        <f t="shared" si="50"/>
        <v>18.624335205777424</v>
      </c>
      <c r="AB38" s="44">
        <f t="shared" si="51"/>
        <v>-11.797542876715184</v>
      </c>
      <c r="AC38" s="44">
        <f t="shared" si="54"/>
        <v>11.551376533927238</v>
      </c>
      <c r="AD38" s="44">
        <f t="shared" si="55"/>
        <v>1.8358665433191403</v>
      </c>
      <c r="AE38" s="44">
        <f t="shared" si="52"/>
        <v>-11.067167466475686</v>
      </c>
      <c r="AF38" s="44">
        <f t="shared" si="10"/>
        <v>-5.137254491788112</v>
      </c>
      <c r="AG38" s="44">
        <f t="shared" si="36"/>
        <v>14.844870402271471</v>
      </c>
      <c r="AH38" s="44">
        <f t="shared" si="53"/>
        <v>7.2296946508016005</v>
      </c>
      <c r="AI38" s="44">
        <f t="shared" si="53"/>
        <v>4.9074959357640306</v>
      </c>
    </row>
    <row r="39" spans="1:35" s="18" customFormat="1" ht="19.5" customHeight="1" x14ac:dyDescent="0.25">
      <c r="A39" s="19" t="s">
        <v>38</v>
      </c>
      <c r="B39" s="1"/>
      <c r="C39" s="1"/>
      <c r="D39" s="1"/>
      <c r="E39" s="3"/>
      <c r="F39" s="3"/>
      <c r="G39" s="3"/>
      <c r="H39" s="3"/>
      <c r="I39" s="3"/>
      <c r="J39" s="3"/>
      <c r="K39" s="3"/>
      <c r="L39" s="66"/>
      <c r="M39" s="64"/>
      <c r="N39" s="43"/>
      <c r="O39" s="44"/>
      <c r="P39" s="44"/>
      <c r="Q39" s="2"/>
      <c r="R39" s="2"/>
      <c r="S39" s="2"/>
      <c r="T39" s="2"/>
      <c r="U39" s="2"/>
      <c r="V39" s="2"/>
      <c r="W39" s="2"/>
      <c r="X39" s="61"/>
      <c r="Y39" s="2"/>
      <c r="Z39" s="2"/>
      <c r="AA39" s="44"/>
      <c r="AB39" s="44"/>
      <c r="AC39" s="44"/>
      <c r="AD39" s="44"/>
      <c r="AE39" s="44"/>
      <c r="AF39" s="44"/>
      <c r="AG39" s="2"/>
      <c r="AH39" s="2"/>
      <c r="AI39" s="2"/>
    </row>
    <row r="40" spans="1:35" s="18" customFormat="1" ht="19.5" customHeight="1" x14ac:dyDescent="0.25">
      <c r="A40" s="45" t="s">
        <v>39</v>
      </c>
      <c r="B40" s="20">
        <f t="shared" ref="B40:G40" si="56">SUM(B41:B43)</f>
        <v>8389026.1906900015</v>
      </c>
      <c r="C40" s="20">
        <f t="shared" si="56"/>
        <v>9647042.2125500012</v>
      </c>
      <c r="D40" s="20">
        <f t="shared" si="56"/>
        <v>5717767.5734000001</v>
      </c>
      <c r="E40" s="20">
        <f t="shared" si="56"/>
        <v>5263630.4115100028</v>
      </c>
      <c r="F40" s="20">
        <f t="shared" si="56"/>
        <v>6723146.6145799952</v>
      </c>
      <c r="G40" s="20">
        <f t="shared" si="56"/>
        <v>9854282.6076300014</v>
      </c>
      <c r="H40" s="20">
        <f t="shared" ref="H40:I40" si="57">SUM(H41:H43)</f>
        <v>8813276.1820899975</v>
      </c>
      <c r="I40" s="20">
        <f t="shared" si="57"/>
        <v>5190653.5381400008</v>
      </c>
      <c r="J40" s="20">
        <f t="shared" ref="J40:M40" si="58">SUM(J41:J43)</f>
        <v>7987242.5962000014</v>
      </c>
      <c r="K40" s="20">
        <f t="shared" si="58"/>
        <v>14387905.749579996</v>
      </c>
      <c r="L40" s="20">
        <f t="shared" si="58"/>
        <v>14061172.384359997</v>
      </c>
      <c r="M40" s="69">
        <f t="shared" si="58"/>
        <v>13487367.475899998</v>
      </c>
      <c r="N40" s="53">
        <f>C40/$C$6*100</f>
        <v>31.475639587848892</v>
      </c>
      <c r="O40" s="2">
        <f>D40/$D$6*100</f>
        <v>19.616477454501098</v>
      </c>
      <c r="P40" s="2">
        <f t="shared" si="13"/>
        <v>16.093966170594769</v>
      </c>
      <c r="Q40" s="2">
        <f t="shared" si="38"/>
        <v>18.508865490365128</v>
      </c>
      <c r="R40" s="2">
        <f t="shared" si="14"/>
        <v>21.623223988668759</v>
      </c>
      <c r="S40" s="2">
        <f>H40/$H$6*100</f>
        <v>19.841158491539296</v>
      </c>
      <c r="T40" s="2">
        <f t="shared" si="16"/>
        <v>18.370402343856792</v>
      </c>
      <c r="U40" s="2">
        <f t="shared" si="17"/>
        <v>20.884822998845522</v>
      </c>
      <c r="V40" s="2">
        <f t="shared" si="18"/>
        <v>26.812810287786654</v>
      </c>
      <c r="W40" s="2">
        <f>L40/$L$6*100</f>
        <v>26.13059040852222</v>
      </c>
      <c r="X40" s="61">
        <f t="shared" si="19"/>
        <v>24.114547521934139</v>
      </c>
      <c r="Y40" s="2">
        <f t="shared" ref="Y40:AD41" si="59">((C40-B40)/B40)*100</f>
        <v>14.995972038520092</v>
      </c>
      <c r="Z40" s="2">
        <f t="shared" si="59"/>
        <v>-40.730356025998738</v>
      </c>
      <c r="AA40" s="2">
        <f t="shared" si="59"/>
        <v>-7.9425607295182559</v>
      </c>
      <c r="AB40" s="2">
        <f t="shared" si="59"/>
        <v>27.728318460172702</v>
      </c>
      <c r="AC40" s="2">
        <f t="shared" si="59"/>
        <v>46.57247822410627</v>
      </c>
      <c r="AD40" s="2">
        <f t="shared" si="59"/>
        <v>-10.564000110307072</v>
      </c>
      <c r="AE40" s="2">
        <f t="shared" ref="AE40:AE43" si="60">((I40-H40)/H40)*100</f>
        <v>-41.104154336065761</v>
      </c>
      <c r="AF40" s="2">
        <f t="shared" si="10"/>
        <v>53.877397855802947</v>
      </c>
      <c r="AG40" s="2">
        <f t="shared" si="36"/>
        <v>80.13608045942118</v>
      </c>
      <c r="AH40" s="2">
        <f>((L40-K40)/K40)*100</f>
        <v>-2.2708889737447504</v>
      </c>
      <c r="AI40" s="2">
        <f>((M40-L40)/L40)*100</f>
        <v>-4.0807757189452571</v>
      </c>
    </row>
    <row r="41" spans="1:35" s="18" customFormat="1" ht="19.5" customHeight="1" x14ac:dyDescent="0.25">
      <c r="A41" s="21" t="s">
        <v>40</v>
      </c>
      <c r="B41" s="3">
        <v>641915.21725000022</v>
      </c>
      <c r="C41" s="3">
        <v>855554.21826999995</v>
      </c>
      <c r="D41" s="3">
        <v>1263797.3763499998</v>
      </c>
      <c r="E41" s="3">
        <v>1455935.0923500019</v>
      </c>
      <c r="F41" s="3">
        <v>1864607.7501499956</v>
      </c>
      <c r="G41" s="3">
        <v>2650174.5140799982</v>
      </c>
      <c r="H41" s="3">
        <v>1628386.5577299986</v>
      </c>
      <c r="I41" s="3">
        <v>1117578.8246399995</v>
      </c>
      <c r="J41" s="3">
        <v>1256850.7748099996</v>
      </c>
      <c r="K41" s="3">
        <v>1620653.2828099993</v>
      </c>
      <c r="L41" s="66">
        <v>2327927.559760001</v>
      </c>
      <c r="M41" s="64">
        <v>1811498.5808400018</v>
      </c>
      <c r="N41" s="43">
        <f>C41/$C$6*100</f>
        <v>2.7914375856153897</v>
      </c>
      <c r="O41" s="44">
        <f>D41/$D$6*100</f>
        <v>4.3358273000743175</v>
      </c>
      <c r="P41" s="44">
        <f t="shared" si="13"/>
        <v>4.4516366634755267</v>
      </c>
      <c r="Q41" s="44">
        <f t="shared" si="38"/>
        <v>5.1332770231390557</v>
      </c>
      <c r="R41" s="44">
        <f t="shared" si="14"/>
        <v>5.8152703153289584</v>
      </c>
      <c r="S41" s="44">
        <f>H41/$H$6*100</f>
        <v>3.665955214596619</v>
      </c>
      <c r="T41" s="44">
        <f t="shared" si="16"/>
        <v>3.9552577548776529</v>
      </c>
      <c r="U41" s="44">
        <f t="shared" si="17"/>
        <v>3.2863789539029313</v>
      </c>
      <c r="V41" s="44">
        <f t="shared" si="18"/>
        <v>3.0201941665854779</v>
      </c>
      <c r="W41" s="44">
        <f>L41/$L$6*100</f>
        <v>4.326105953473661</v>
      </c>
      <c r="X41" s="57">
        <f t="shared" si="19"/>
        <v>3.2388432132244191</v>
      </c>
      <c r="Y41" s="44">
        <f t="shared" si="59"/>
        <v>33.281498129182992</v>
      </c>
      <c r="Z41" s="44">
        <f t="shared" si="59"/>
        <v>47.716807346879854</v>
      </c>
      <c r="AA41" s="44">
        <f t="shared" si="59"/>
        <v>15.203205798299656</v>
      </c>
      <c r="AB41" s="44">
        <f t="shared" si="59"/>
        <v>28.069428365818254</v>
      </c>
      <c r="AC41" s="44">
        <f t="shared" si="59"/>
        <v>42.130403237185355</v>
      </c>
      <c r="AD41" s="44">
        <f t="shared" si="59"/>
        <v>-38.555497040718876</v>
      </c>
      <c r="AE41" s="44">
        <f t="shared" si="60"/>
        <v>-31.368948034186346</v>
      </c>
      <c r="AF41" s="44">
        <f t="shared" si="10"/>
        <v>12.461935310456791</v>
      </c>
      <c r="AG41" s="44">
        <f t="shared" si="36"/>
        <v>28.945561023741767</v>
      </c>
      <c r="AH41" s="44">
        <f>((L41-K41)/K41)*100</f>
        <v>43.641307147675739</v>
      </c>
      <c r="AI41" s="44">
        <f>((M41-L41)/L41)*100</f>
        <v>-22.184065683437364</v>
      </c>
    </row>
    <row r="42" spans="1:35" s="18" customFormat="1" ht="19.5" customHeight="1" x14ac:dyDescent="0.25">
      <c r="A42" s="21" t="s">
        <v>41</v>
      </c>
      <c r="B42" s="3">
        <v>4603.2478000000001</v>
      </c>
      <c r="C42" s="3">
        <v>1029.1798799999999</v>
      </c>
      <c r="D42" s="3">
        <v>1092.7235900000001</v>
      </c>
      <c r="E42" s="3">
        <v>2568.48108</v>
      </c>
      <c r="F42" s="3">
        <v>22514.495210000001</v>
      </c>
      <c r="G42" s="3">
        <v>7149.842889999999</v>
      </c>
      <c r="H42" s="3">
        <v>15123.691989999998</v>
      </c>
      <c r="I42" s="3">
        <v>6453.0226600000024</v>
      </c>
      <c r="J42" s="3">
        <v>1650.8165499999998</v>
      </c>
      <c r="K42" s="3">
        <v>6385.153299999999</v>
      </c>
      <c r="L42" s="66">
        <v>26966.24152</v>
      </c>
      <c r="M42" s="64">
        <v>30653.268319999999</v>
      </c>
      <c r="N42" s="43">
        <f>C42/$C$6*100</f>
        <v>3.3579302609253164E-3</v>
      </c>
      <c r="O42" s="44">
        <f>D42/$D$6*100</f>
        <v>3.7489085367788414E-3</v>
      </c>
      <c r="P42" s="44">
        <f t="shared" si="13"/>
        <v>7.8533339880666447E-3</v>
      </c>
      <c r="Q42" s="44">
        <f t="shared" si="38"/>
        <v>6.1982548844265087E-2</v>
      </c>
      <c r="R42" s="44">
        <f t="shared" si="14"/>
        <v>1.5688879693236579E-2</v>
      </c>
      <c r="S42" s="44">
        <f>H42/$H$6*100</f>
        <v>3.4047675750886741E-2</v>
      </c>
      <c r="T42" s="44">
        <f t="shared" si="16"/>
        <v>2.283809191408754E-2</v>
      </c>
      <c r="U42" s="44">
        <f t="shared" si="17"/>
        <v>4.3165098637065998E-3</v>
      </c>
      <c r="V42" s="44">
        <f t="shared" si="18"/>
        <v>1.1899153849845906E-2</v>
      </c>
      <c r="W42" s="44">
        <f>L42/$L$6*100</f>
        <v>5.0112735464374857E-2</v>
      </c>
      <c r="X42" s="57">
        <f t="shared" si="19"/>
        <v>5.480607664364931E-2</v>
      </c>
      <c r="Y42" s="44">
        <f>((C42-B42)/B42)*100</f>
        <v>-77.642309849146088</v>
      </c>
      <c r="Z42" s="44">
        <f>((D42-C42)/C42)*100</f>
        <v>6.1742083415000444</v>
      </c>
      <c r="AA42" s="47" t="s">
        <v>147</v>
      </c>
      <c r="AB42" s="47" t="s">
        <v>147</v>
      </c>
      <c r="AC42" s="44">
        <f>((G42-F42)/F42)*100</f>
        <v>-68.243379106166515</v>
      </c>
      <c r="AD42" s="47" t="s">
        <v>147</v>
      </c>
      <c r="AE42" s="44">
        <f t="shared" si="60"/>
        <v>-57.33169741709343</v>
      </c>
      <c r="AF42" s="47">
        <f t="shared" si="10"/>
        <v>-74.41793347119598</v>
      </c>
      <c r="AG42" s="47" t="s">
        <v>147</v>
      </c>
      <c r="AH42" s="47" t="s">
        <v>147</v>
      </c>
      <c r="AI42" s="47" t="s">
        <v>147</v>
      </c>
    </row>
    <row r="43" spans="1:35" s="18" customFormat="1" ht="19.5" customHeight="1" x14ac:dyDescent="0.25">
      <c r="A43" s="21" t="s">
        <v>42</v>
      </c>
      <c r="B43" s="3">
        <v>7742507.7256400017</v>
      </c>
      <c r="C43" s="3">
        <v>8790458.8144000005</v>
      </c>
      <c r="D43" s="3">
        <v>4452877.47346</v>
      </c>
      <c r="E43" s="3">
        <v>3805126.8380800011</v>
      </c>
      <c r="F43" s="3">
        <v>4836024.3692199998</v>
      </c>
      <c r="G43" s="3">
        <v>7196958.2506600032</v>
      </c>
      <c r="H43" s="3">
        <v>7169765.9323699996</v>
      </c>
      <c r="I43" s="3">
        <v>4066621.6908400017</v>
      </c>
      <c r="J43" s="3">
        <v>6728741.0048400015</v>
      </c>
      <c r="K43" s="3">
        <v>12760867.313469997</v>
      </c>
      <c r="L43" s="66">
        <v>11706278.583079996</v>
      </c>
      <c r="M43" s="64">
        <v>11645215.626739996</v>
      </c>
      <c r="N43" s="43">
        <f>C43/$C$6*100</f>
        <v>28.680844071972572</v>
      </c>
      <c r="O43" s="44">
        <f>D43/$D$6*100</f>
        <v>15.276901245889999</v>
      </c>
      <c r="P43" s="44">
        <f t="shared" si="13"/>
        <v>11.634476173131178</v>
      </c>
      <c r="Q43" s="44">
        <f t="shared" si="38"/>
        <v>13.313605918381807</v>
      </c>
      <c r="R43" s="44">
        <f t="shared" si="14"/>
        <v>15.792264793646563</v>
      </c>
      <c r="S43" s="44">
        <f>H43/$H$6*100</f>
        <v>16.141155601191791</v>
      </c>
      <c r="T43" s="44">
        <f t="shared" si="16"/>
        <v>14.392306497065052</v>
      </c>
      <c r="U43" s="44">
        <f t="shared" si="17"/>
        <v>17.594127535078883</v>
      </c>
      <c r="V43" s="44">
        <f t="shared" si="18"/>
        <v>23.780716967351328</v>
      </c>
      <c r="W43" s="44">
        <f>L43/$L$6*100</f>
        <v>21.754371719584185</v>
      </c>
      <c r="X43" s="57">
        <f t="shared" si="19"/>
        <v>20.820898232066067</v>
      </c>
      <c r="Y43" s="44">
        <f>((C43-B43)/B43)*100</f>
        <v>13.53503446034178</v>
      </c>
      <c r="Z43" s="44">
        <f>((D43-C43)/C43)*100</f>
        <v>-49.344197299854656</v>
      </c>
      <c r="AA43" s="44">
        <f>((E43-D43)/D43)*100</f>
        <v>-14.54678776231137</v>
      </c>
      <c r="AB43" s="44">
        <f>((F43-E43)/E43)*100</f>
        <v>27.092330295622187</v>
      </c>
      <c r="AC43" s="44">
        <f>((G43-F43)/F43)*100</f>
        <v>48.819726725669859</v>
      </c>
      <c r="AD43" s="44">
        <f>((H43-G43)/G43)*100</f>
        <v>-0.3778307076813997</v>
      </c>
      <c r="AE43" s="44">
        <f t="shared" si="60"/>
        <v>-43.280969989828371</v>
      </c>
      <c r="AF43" s="44">
        <f t="shared" si="10"/>
        <v>65.462674337187039</v>
      </c>
      <c r="AG43" s="44">
        <f t="shared" si="36"/>
        <v>89.647176259140764</v>
      </c>
      <c r="AH43" s="44">
        <f>((L43-K43)/K43)*100</f>
        <v>-8.2642402313580074</v>
      </c>
      <c r="AI43" s="44">
        <f>((M43-L43)/L43)*100</f>
        <v>-0.52162568921142127</v>
      </c>
    </row>
    <row r="44" spans="1:35" s="18" customFormat="1" ht="19.5" customHeight="1" x14ac:dyDescent="0.25">
      <c r="A44" s="19" t="s">
        <v>43</v>
      </c>
      <c r="B44" s="1"/>
      <c r="C44" s="1"/>
      <c r="D44" s="1"/>
      <c r="E44" s="3"/>
      <c r="F44" s="3"/>
      <c r="G44" s="3"/>
      <c r="H44" s="3"/>
      <c r="I44" s="3"/>
      <c r="J44" s="3"/>
      <c r="K44" s="3"/>
      <c r="L44" s="66"/>
      <c r="M44" s="64"/>
      <c r="N44" s="43"/>
      <c r="O44" s="44"/>
      <c r="P44" s="44"/>
      <c r="Q44" s="2"/>
      <c r="R44" s="2"/>
      <c r="S44" s="2"/>
      <c r="T44" s="2"/>
      <c r="U44" s="2"/>
      <c r="V44" s="2"/>
      <c r="W44" s="2"/>
      <c r="X44" s="61"/>
      <c r="Y44" s="2"/>
      <c r="Z44" s="2"/>
      <c r="AA44" s="44"/>
      <c r="AB44" s="44"/>
      <c r="AC44" s="44"/>
      <c r="AD44" s="44"/>
      <c r="AE44" s="44"/>
      <c r="AF44" s="44"/>
      <c r="AG44" s="2"/>
      <c r="AH44" s="2"/>
      <c r="AI44" s="2"/>
    </row>
    <row r="45" spans="1:35" s="18" customFormat="1" ht="16.5" customHeight="1" x14ac:dyDescent="0.25">
      <c r="A45" s="45" t="s">
        <v>44</v>
      </c>
      <c r="B45" s="24">
        <f t="shared" ref="B45:G45" si="61">SUM(B46:B56)</f>
        <v>1189263.5340300004</v>
      </c>
      <c r="C45" s="20">
        <f t="shared" si="61"/>
        <v>1487217.2647800001</v>
      </c>
      <c r="D45" s="20">
        <f t="shared" si="61"/>
        <v>1536770.7530100001</v>
      </c>
      <c r="E45" s="20">
        <f t="shared" si="61"/>
        <v>1853999.7230299993</v>
      </c>
      <c r="F45" s="20">
        <f t="shared" si="61"/>
        <v>1915072.1585099993</v>
      </c>
      <c r="G45" s="20">
        <f t="shared" si="61"/>
        <v>2207909.9094800004</v>
      </c>
      <c r="H45" s="20">
        <f t="shared" ref="H45:I45" si="62">SUM(H46:H56)</f>
        <v>2553688.5901900018</v>
      </c>
      <c r="I45" s="20">
        <f t="shared" si="62"/>
        <v>2336053.343789997</v>
      </c>
      <c r="J45" s="20">
        <f t="shared" ref="J45:M45" si="63">SUM(J46:J56)</f>
        <v>2931155.4189899983</v>
      </c>
      <c r="K45" s="20">
        <f t="shared" si="63"/>
        <v>3034464.5007300032</v>
      </c>
      <c r="L45" s="20">
        <f t="shared" si="63"/>
        <v>2996682.5198900029</v>
      </c>
      <c r="M45" s="69">
        <f t="shared" si="63"/>
        <v>3077751.8690799982</v>
      </c>
      <c r="N45" s="53">
        <f t="shared" ref="N45:N56" si="64">C45/$C$6*100</f>
        <v>4.8523799920917039</v>
      </c>
      <c r="O45" s="2">
        <f t="shared" ref="O45:O56" si="65">D45/$D$6*100</f>
        <v>5.2723424732060904</v>
      </c>
      <c r="P45" s="2">
        <f t="shared" si="13"/>
        <v>5.6687507461560278</v>
      </c>
      <c r="Q45" s="2">
        <f t="shared" si="38"/>
        <v>5.2722058610675013</v>
      </c>
      <c r="R45" s="2">
        <f t="shared" si="14"/>
        <v>4.8448103652437871</v>
      </c>
      <c r="S45" s="2">
        <f t="shared" ref="S45:S56" si="66">H45/$H$6*100</f>
        <v>5.7490698134436347</v>
      </c>
      <c r="T45" s="2">
        <f t="shared" si="16"/>
        <v>8.2675985801803265</v>
      </c>
      <c r="U45" s="2">
        <f t="shared" si="17"/>
        <v>7.664304842429269</v>
      </c>
      <c r="V45" s="2">
        <f t="shared" si="18"/>
        <v>5.6549245178000911</v>
      </c>
      <c r="W45" s="2">
        <f t="shared" ref="W45:W60" si="67">L45/$L$6*100</f>
        <v>5.5688872429102236</v>
      </c>
      <c r="X45" s="61">
        <f t="shared" si="19"/>
        <v>5.5028228333119324</v>
      </c>
      <c r="Y45" s="2">
        <f t="shared" ref="Y45:Y56" si="68">((C45-B45)/B45)*100</f>
        <v>25.05363380144501</v>
      </c>
      <c r="Z45" s="2">
        <f t="shared" ref="Z45:Z56" si="69">((D45-C45)/C45)*100</f>
        <v>3.3319602591710318</v>
      </c>
      <c r="AA45" s="2">
        <f t="shared" ref="AA45:AA56" si="70">((E45-D45)/D45)*100</f>
        <v>20.642569452773476</v>
      </c>
      <c r="AB45" s="2">
        <f t="shared" ref="AB45:AB56" si="71">((F45-E45)/E45)*100</f>
        <v>3.2940908631954411</v>
      </c>
      <c r="AC45" s="2">
        <f t="shared" ref="AC45:AC56" si="72">((G45-F45)/F45)*100</f>
        <v>15.291212379059402</v>
      </c>
      <c r="AD45" s="2">
        <f t="shared" ref="AD45:AD56" si="73">((H45-G45)/G45)*100</f>
        <v>15.660905330663516</v>
      </c>
      <c r="AE45" s="2">
        <f t="shared" ref="AE45:AE56" si="74">((I45-H45)/H45)*100</f>
        <v>-8.5223878602916123</v>
      </c>
      <c r="AF45" s="2">
        <f t="shared" si="10"/>
        <v>25.474678340799862</v>
      </c>
      <c r="AG45" s="2">
        <f t="shared" si="36"/>
        <v>3.5245173650874722</v>
      </c>
      <c r="AH45" s="2">
        <f t="shared" ref="AH45:AI56" si="75">((L45-K45)/K45)*100</f>
        <v>-1.2450954964512218</v>
      </c>
      <c r="AI45" s="2">
        <f t="shared" si="75"/>
        <v>2.7053032362257405</v>
      </c>
    </row>
    <row r="46" spans="1:35" s="18" customFormat="1" ht="19.5" customHeight="1" x14ac:dyDescent="0.25">
      <c r="A46" s="21" t="s">
        <v>45</v>
      </c>
      <c r="B46" s="3">
        <v>15916.822659999998</v>
      </c>
      <c r="C46" s="3">
        <v>16299.150240000001</v>
      </c>
      <c r="D46" s="3">
        <v>16672.688320000001</v>
      </c>
      <c r="E46" s="3">
        <v>37654.014520000012</v>
      </c>
      <c r="F46" s="3">
        <v>33642.50612999998</v>
      </c>
      <c r="G46" s="3">
        <v>27510.400490000011</v>
      </c>
      <c r="H46" s="3">
        <v>28651.355850000065</v>
      </c>
      <c r="I46" s="3">
        <v>16404.835970000007</v>
      </c>
      <c r="J46" s="3">
        <v>24208.415930000003</v>
      </c>
      <c r="K46" s="3">
        <v>31563.091100000001</v>
      </c>
      <c r="L46" s="3">
        <v>37776.380220000006</v>
      </c>
      <c r="M46" s="70">
        <v>32210.272579999997</v>
      </c>
      <c r="N46" s="43">
        <f t="shared" si="64"/>
        <v>5.3179634466099489E-2</v>
      </c>
      <c r="O46" s="44">
        <f t="shared" si="65"/>
        <v>5.7200543802573972E-2</v>
      </c>
      <c r="P46" s="44">
        <f t="shared" si="13"/>
        <v>0.11513012664164575</v>
      </c>
      <c r="Q46" s="44">
        <f t="shared" si="38"/>
        <v>9.2618033848701653E-2</v>
      </c>
      <c r="R46" s="44">
        <f t="shared" si="14"/>
        <v>6.0365992685521355E-2</v>
      </c>
      <c r="S46" s="44">
        <f t="shared" si="66"/>
        <v>6.4502244190710628E-2</v>
      </c>
      <c r="T46" s="44">
        <f t="shared" si="16"/>
        <v>5.8058861940892284E-2</v>
      </c>
      <c r="U46" s="44">
        <f t="shared" si="17"/>
        <v>6.3299502386595888E-2</v>
      </c>
      <c r="V46" s="44">
        <f t="shared" si="18"/>
        <v>5.8819899747058875E-2</v>
      </c>
      <c r="W46" s="44">
        <f t="shared" si="67"/>
        <v>7.0201764949797255E-2</v>
      </c>
      <c r="X46" s="57">
        <f t="shared" si="19"/>
        <v>5.7589900342878531E-2</v>
      </c>
      <c r="Y46" s="44">
        <f t="shared" si="68"/>
        <v>2.4020345527931068</v>
      </c>
      <c r="Z46" s="44">
        <f t="shared" si="69"/>
        <v>2.291764138005763</v>
      </c>
      <c r="AA46" s="47" t="s">
        <v>147</v>
      </c>
      <c r="AB46" s="44">
        <f t="shared" si="71"/>
        <v>-10.653600794330471</v>
      </c>
      <c r="AC46" s="44">
        <f t="shared" si="72"/>
        <v>-18.227255770734025</v>
      </c>
      <c r="AD46" s="44">
        <f t="shared" si="73"/>
        <v>4.1473600517549354</v>
      </c>
      <c r="AE46" s="44">
        <f t="shared" si="74"/>
        <v>-42.743247279866623</v>
      </c>
      <c r="AF46" s="44">
        <f t="shared" si="10"/>
        <v>47.568777732801628</v>
      </c>
      <c r="AG46" s="44">
        <f t="shared" si="36"/>
        <v>30.380654361138109</v>
      </c>
      <c r="AH46" s="44">
        <f t="shared" si="75"/>
        <v>19.685299834273849</v>
      </c>
      <c r="AI46" s="44">
        <f t="shared" si="75"/>
        <v>-14.734359426669306</v>
      </c>
    </row>
    <row r="47" spans="1:35" s="18" customFormat="1" ht="19.5" customHeight="1" x14ac:dyDescent="0.25">
      <c r="A47" s="21" t="s">
        <v>46</v>
      </c>
      <c r="B47" s="3">
        <v>7594.373810000001</v>
      </c>
      <c r="C47" s="3">
        <v>13763.645189999999</v>
      </c>
      <c r="D47" s="3">
        <v>17069.611230000002</v>
      </c>
      <c r="E47" s="3">
        <v>114094.46549999998</v>
      </c>
      <c r="F47" s="3">
        <v>29515.595189999956</v>
      </c>
      <c r="G47" s="3">
        <v>19092.929239999987</v>
      </c>
      <c r="H47" s="3">
        <v>17331.96376999998</v>
      </c>
      <c r="I47" s="3">
        <v>15004.625680000005</v>
      </c>
      <c r="J47" s="3">
        <v>15776.698880000013</v>
      </c>
      <c r="K47" s="3">
        <v>23184.684530000006</v>
      </c>
      <c r="L47" s="3">
        <v>22495.679889999996</v>
      </c>
      <c r="M47" s="64">
        <v>24214.926099999993</v>
      </c>
      <c r="N47" s="43">
        <f t="shared" si="64"/>
        <v>4.4906980385333785E-2</v>
      </c>
      <c r="O47" s="44">
        <f t="shared" si="65"/>
        <v>5.8562304177621885E-2</v>
      </c>
      <c r="P47" s="44">
        <f t="shared" si="13"/>
        <v>0.34885284954540019</v>
      </c>
      <c r="Q47" s="44">
        <f t="shared" si="38"/>
        <v>8.1256621721599226E-2</v>
      </c>
      <c r="R47" s="44">
        <f t="shared" si="14"/>
        <v>4.1895559727164682E-2</v>
      </c>
      <c r="S47" s="44">
        <f t="shared" si="66"/>
        <v>3.901911536926745E-2</v>
      </c>
      <c r="T47" s="44">
        <f t="shared" si="16"/>
        <v>5.3103334432784748E-2</v>
      </c>
      <c r="U47" s="44">
        <f t="shared" si="17"/>
        <v>4.1252479769632137E-2</v>
      </c>
      <c r="V47" s="44">
        <f t="shared" si="18"/>
        <v>4.3206187106363203E-2</v>
      </c>
      <c r="W47" s="44">
        <f t="shared" si="67"/>
        <v>4.1804863854784137E-2</v>
      </c>
      <c r="X47" s="57">
        <f t="shared" si="19"/>
        <v>4.3294733922092377E-2</v>
      </c>
      <c r="Y47" s="44">
        <f t="shared" si="68"/>
        <v>81.23476055229888</v>
      </c>
      <c r="Z47" s="44">
        <f t="shared" si="69"/>
        <v>24.019552919033092</v>
      </c>
      <c r="AA47" s="47" t="s">
        <v>147</v>
      </c>
      <c r="AB47" s="44">
        <f t="shared" si="71"/>
        <v>-74.130563598634893</v>
      </c>
      <c r="AC47" s="44">
        <f t="shared" si="72"/>
        <v>-35.312403097096364</v>
      </c>
      <c r="AD47" s="44">
        <f t="shared" si="73"/>
        <v>-9.22312887595454</v>
      </c>
      <c r="AE47" s="44">
        <f t="shared" si="74"/>
        <v>-13.428011510319344</v>
      </c>
      <c r="AF47" s="44">
        <f t="shared" si="10"/>
        <v>5.145567883303622</v>
      </c>
      <c r="AG47" s="44">
        <f t="shared" si="36"/>
        <v>46.955232563835224</v>
      </c>
      <c r="AH47" s="44">
        <f t="shared" si="75"/>
        <v>-2.9718094249178466</v>
      </c>
      <c r="AI47" s="44">
        <f t="shared" si="75"/>
        <v>7.6425616758720585</v>
      </c>
    </row>
    <row r="48" spans="1:35" s="18" customFormat="1" ht="19.5" customHeight="1" x14ac:dyDescent="0.25">
      <c r="A48" s="21" t="s">
        <v>47</v>
      </c>
      <c r="B48" s="3">
        <v>185673.36588000003</v>
      </c>
      <c r="C48" s="3">
        <v>259484.1176</v>
      </c>
      <c r="D48" s="3">
        <v>311593.90243999998</v>
      </c>
      <c r="E48" s="3">
        <v>311557.30252000003</v>
      </c>
      <c r="F48" s="3">
        <v>403597.56512999994</v>
      </c>
      <c r="G48" s="3">
        <v>490620.20334000047</v>
      </c>
      <c r="H48" s="3">
        <v>555684.16395000019</v>
      </c>
      <c r="I48" s="3">
        <v>650425.8227099994</v>
      </c>
      <c r="J48" s="3">
        <v>839063.22376999981</v>
      </c>
      <c r="K48" s="3">
        <v>829293.21707000071</v>
      </c>
      <c r="L48" s="3">
        <v>809032.70434000122</v>
      </c>
      <c r="M48" s="64">
        <v>738947.94491000043</v>
      </c>
      <c r="N48" s="43">
        <f t="shared" si="64"/>
        <v>0.84662515042418385</v>
      </c>
      <c r="O48" s="44">
        <f t="shared" si="65"/>
        <v>1.0690142059306593</v>
      </c>
      <c r="P48" s="44">
        <f t="shared" si="13"/>
        <v>0.95261108682594531</v>
      </c>
      <c r="Q48" s="44">
        <f t="shared" si="38"/>
        <v>1.111106669759383</v>
      </c>
      <c r="R48" s="44">
        <f t="shared" si="14"/>
        <v>1.0765665013476311</v>
      </c>
      <c r="S48" s="44">
        <f t="shared" si="66"/>
        <v>1.2510010284910726</v>
      </c>
      <c r="T48" s="44">
        <f t="shared" si="16"/>
        <v>2.3019421292946407</v>
      </c>
      <c r="U48" s="44">
        <f t="shared" si="17"/>
        <v>2.1939595175954967</v>
      </c>
      <c r="V48" s="44">
        <f t="shared" si="18"/>
        <v>1.5454425466260298</v>
      </c>
      <c r="W48" s="44">
        <f t="shared" si="67"/>
        <v>1.5034665422153455</v>
      </c>
      <c r="X48" s="57">
        <f t="shared" si="19"/>
        <v>1.3211915049848306</v>
      </c>
      <c r="Y48" s="44">
        <f t="shared" si="68"/>
        <v>39.753010007748543</v>
      </c>
      <c r="Z48" s="44">
        <f t="shared" si="69"/>
        <v>20.082071042331872</v>
      </c>
      <c r="AA48" s="44">
        <f t="shared" si="70"/>
        <v>-1.1746032163449429E-2</v>
      </c>
      <c r="AB48" s="44">
        <f t="shared" si="71"/>
        <v>29.542001380016288</v>
      </c>
      <c r="AC48" s="44">
        <f t="shared" si="72"/>
        <v>21.561735185882572</v>
      </c>
      <c r="AD48" s="44">
        <f t="shared" si="73"/>
        <v>13.26157385428955</v>
      </c>
      <c r="AE48" s="44">
        <f t="shared" si="74"/>
        <v>17.049551688956164</v>
      </c>
      <c r="AF48" s="44">
        <f t="shared" si="10"/>
        <v>29.002138979360108</v>
      </c>
      <c r="AG48" s="44">
        <f t="shared" si="36"/>
        <v>-1.164394579958042</v>
      </c>
      <c r="AH48" s="44">
        <f t="shared" si="75"/>
        <v>-2.4431060465660726</v>
      </c>
      <c r="AI48" s="44">
        <f t="shared" si="75"/>
        <v>-8.662784465205899</v>
      </c>
    </row>
    <row r="49" spans="1:35" s="18" customFormat="1" ht="19.5" customHeight="1" x14ac:dyDescent="0.25">
      <c r="A49" s="21" t="s">
        <v>48</v>
      </c>
      <c r="B49" s="3">
        <v>19544.353959999997</v>
      </c>
      <c r="C49" s="3">
        <v>21080.435920000004</v>
      </c>
      <c r="D49" s="3">
        <v>22372.569359999998</v>
      </c>
      <c r="E49" s="3">
        <v>26171.275680000006</v>
      </c>
      <c r="F49" s="3">
        <v>31379.457379999993</v>
      </c>
      <c r="G49" s="3">
        <v>34662.660430000033</v>
      </c>
      <c r="H49" s="3">
        <v>36380.053140000004</v>
      </c>
      <c r="I49" s="3">
        <v>39473.263470000005</v>
      </c>
      <c r="J49" s="3">
        <v>29383.190939999989</v>
      </c>
      <c r="K49" s="3">
        <v>33660.465010000014</v>
      </c>
      <c r="L49" s="3">
        <v>33949.27766</v>
      </c>
      <c r="M49" s="64">
        <v>32587.785989999993</v>
      </c>
      <c r="N49" s="43">
        <f t="shared" si="64"/>
        <v>6.8779651706040959E-2</v>
      </c>
      <c r="O49" s="44">
        <f t="shared" si="65"/>
        <v>7.6755656261965316E-2</v>
      </c>
      <c r="P49" s="44">
        <f t="shared" si="13"/>
        <v>8.0020744715318684E-2</v>
      </c>
      <c r="Q49" s="44">
        <f t="shared" si="38"/>
        <v>8.6387846212892458E-2</v>
      </c>
      <c r="R49" s="44">
        <f t="shared" si="14"/>
        <v>7.6060176104622443E-2</v>
      </c>
      <c r="S49" s="44">
        <f t="shared" si="66"/>
        <v>8.1901711164824476E-2</v>
      </c>
      <c r="T49" s="44">
        <f t="shared" si="16"/>
        <v>0.13970104659090937</v>
      </c>
      <c r="U49" s="44">
        <f t="shared" si="17"/>
        <v>7.6830362234788813E-2</v>
      </c>
      <c r="V49" s="44">
        <f t="shared" si="18"/>
        <v>6.2728494210365346E-2</v>
      </c>
      <c r="W49" s="44">
        <f t="shared" si="67"/>
        <v>6.3089665992956345E-2</v>
      </c>
      <c r="X49" s="57">
        <f t="shared" si="19"/>
        <v>5.8264870093786489E-2</v>
      </c>
      <c r="Y49" s="44">
        <f t="shared" si="68"/>
        <v>7.8594665402795805</v>
      </c>
      <c r="Z49" s="44">
        <f t="shared" si="69"/>
        <v>6.1295385204728436</v>
      </c>
      <c r="AA49" s="44">
        <f t="shared" si="70"/>
        <v>16.979302908282541</v>
      </c>
      <c r="AB49" s="44">
        <f t="shared" si="71"/>
        <v>19.900373843755961</v>
      </c>
      <c r="AC49" s="44">
        <f t="shared" si="72"/>
        <v>10.462905748308517</v>
      </c>
      <c r="AD49" s="44">
        <f t="shared" si="73"/>
        <v>4.9545900075044225</v>
      </c>
      <c r="AE49" s="44">
        <f t="shared" si="74"/>
        <v>8.5024898619485665</v>
      </c>
      <c r="AF49" s="44">
        <f t="shared" si="10"/>
        <v>-25.561789532979841</v>
      </c>
      <c r="AG49" s="44">
        <f t="shared" si="36"/>
        <v>14.556873958087637</v>
      </c>
      <c r="AH49" s="44">
        <f t="shared" si="75"/>
        <v>0.85801740978380248</v>
      </c>
      <c r="AI49" s="44">
        <f t="shared" si="75"/>
        <v>-4.0103700692405448</v>
      </c>
    </row>
    <row r="50" spans="1:35" s="18" customFormat="1" ht="19.5" customHeight="1" x14ac:dyDescent="0.25">
      <c r="A50" s="21" t="s">
        <v>49</v>
      </c>
      <c r="B50" s="3">
        <v>177428.71477999983</v>
      </c>
      <c r="C50" s="3">
        <v>223281.14489</v>
      </c>
      <c r="D50" s="3">
        <v>254064.58553000001</v>
      </c>
      <c r="E50" s="3">
        <v>395575.89450999966</v>
      </c>
      <c r="F50" s="3">
        <v>375282.90543000016</v>
      </c>
      <c r="G50" s="3">
        <v>475796.57062000042</v>
      </c>
      <c r="H50" s="3">
        <v>622518.15157000103</v>
      </c>
      <c r="I50" s="3">
        <v>349781.7543099997</v>
      </c>
      <c r="J50" s="3">
        <v>455707.1198800006</v>
      </c>
      <c r="K50" s="3">
        <v>515772.34062999993</v>
      </c>
      <c r="L50" s="3">
        <v>468688.46876000002</v>
      </c>
      <c r="M50" s="64">
        <v>518389.69857000001</v>
      </c>
      <c r="N50" s="43">
        <f t="shared" si="64"/>
        <v>0.72850482961266316</v>
      </c>
      <c r="O50" s="44">
        <f t="shared" si="65"/>
        <v>0.87164302327050069</v>
      </c>
      <c r="P50" s="44">
        <f t="shared" si="13"/>
        <v>1.2095045750600764</v>
      </c>
      <c r="Q50" s="44">
        <f t="shared" si="38"/>
        <v>1.0331562310977835</v>
      </c>
      <c r="R50" s="44">
        <f t="shared" si="14"/>
        <v>1.0440390466973926</v>
      </c>
      <c r="S50" s="44">
        <f t="shared" si="66"/>
        <v>1.4014630943100004</v>
      </c>
      <c r="T50" s="44">
        <f t="shared" si="16"/>
        <v>1.2379234160015418</v>
      </c>
      <c r="U50" s="44">
        <f t="shared" si="17"/>
        <v>1.191570485480866</v>
      </c>
      <c r="V50" s="44">
        <f t="shared" si="18"/>
        <v>0.96117573757414709</v>
      </c>
      <c r="W50" s="44">
        <f t="shared" si="67"/>
        <v>0.87098757284188277</v>
      </c>
      <c r="X50" s="57">
        <f t="shared" si="19"/>
        <v>0.92684751441557478</v>
      </c>
      <c r="Y50" s="44">
        <f t="shared" si="68"/>
        <v>25.84273361099088</v>
      </c>
      <c r="Z50" s="44">
        <f t="shared" si="69"/>
        <v>13.786851843296285</v>
      </c>
      <c r="AA50" s="44">
        <f t="shared" si="70"/>
        <v>55.698950991062055</v>
      </c>
      <c r="AB50" s="44">
        <f t="shared" si="71"/>
        <v>-5.1299862710634718</v>
      </c>
      <c r="AC50" s="44">
        <f t="shared" si="72"/>
        <v>26.783438237036517</v>
      </c>
      <c r="AD50" s="44">
        <f t="shared" si="73"/>
        <v>30.837040451723063</v>
      </c>
      <c r="AE50" s="44">
        <f t="shared" si="74"/>
        <v>-43.8117983503221</v>
      </c>
      <c r="AF50" s="44">
        <f t="shared" si="10"/>
        <v>30.283273574104967</v>
      </c>
      <c r="AG50" s="44">
        <f t="shared" si="36"/>
        <v>13.180663221986977</v>
      </c>
      <c r="AH50" s="44">
        <f t="shared" si="75"/>
        <v>-9.1288090036950074</v>
      </c>
      <c r="AI50" s="44">
        <f t="shared" si="75"/>
        <v>10.604321019779634</v>
      </c>
    </row>
    <row r="51" spans="1:35" s="18" customFormat="1" ht="19.5" customHeight="1" x14ac:dyDescent="0.25">
      <c r="A51" s="21" t="s">
        <v>50</v>
      </c>
      <c r="B51" s="3">
        <v>388848.08592000022</v>
      </c>
      <c r="C51" s="3">
        <v>471770.21500000003</v>
      </c>
      <c r="D51" s="3">
        <v>419178.79554000002</v>
      </c>
      <c r="E51" s="3">
        <v>410226.86712999979</v>
      </c>
      <c r="F51" s="3">
        <v>429145.18425999978</v>
      </c>
      <c r="G51" s="3">
        <v>445670.27586999949</v>
      </c>
      <c r="H51" s="3">
        <v>495714.81984000024</v>
      </c>
      <c r="I51" s="3">
        <v>358210.71859999932</v>
      </c>
      <c r="J51" s="3">
        <v>540245.89426999819</v>
      </c>
      <c r="K51" s="3">
        <v>622979.32191000169</v>
      </c>
      <c r="L51" s="3">
        <v>653352.48773000145</v>
      </c>
      <c r="M51" s="64">
        <v>716113.02740999823</v>
      </c>
      <c r="N51" s="43">
        <f t="shared" si="64"/>
        <v>1.5392561707985808</v>
      </c>
      <c r="O51" s="44">
        <f t="shared" si="65"/>
        <v>1.4381157132670472</v>
      </c>
      <c r="P51" s="44">
        <f t="shared" si="13"/>
        <v>1.2543010822762717</v>
      </c>
      <c r="Q51" s="44">
        <f t="shared" si="38"/>
        <v>1.181439428091738</v>
      </c>
      <c r="R51" s="44">
        <f t="shared" si="14"/>
        <v>0.97793300475949063</v>
      </c>
      <c r="S51" s="44">
        <f t="shared" si="66"/>
        <v>1.1159932020555234</v>
      </c>
      <c r="T51" s="44">
        <f t="shared" si="16"/>
        <v>1.267754624000984</v>
      </c>
      <c r="U51" s="44">
        <f t="shared" si="17"/>
        <v>1.4126201554275912</v>
      </c>
      <c r="V51" s="44">
        <f t="shared" si="18"/>
        <v>1.1609630103446054</v>
      </c>
      <c r="W51" s="44">
        <f t="shared" si="67"/>
        <v>1.2141580931225298</v>
      </c>
      <c r="X51" s="57">
        <f t="shared" si="19"/>
        <v>1.280364137880228</v>
      </c>
      <c r="Y51" s="44">
        <f t="shared" si="68"/>
        <v>21.325070659357653</v>
      </c>
      <c r="Z51" s="44">
        <f t="shared" si="69"/>
        <v>-11.147676938443434</v>
      </c>
      <c r="AA51" s="44">
        <f t="shared" si="70"/>
        <v>-2.1355871301810616</v>
      </c>
      <c r="AB51" s="44">
        <f t="shared" si="71"/>
        <v>4.6116718932514029</v>
      </c>
      <c r="AC51" s="44">
        <f t="shared" si="72"/>
        <v>3.8506995338873242</v>
      </c>
      <c r="AD51" s="44">
        <f t="shared" si="73"/>
        <v>11.229051314294647</v>
      </c>
      <c r="AE51" s="44">
        <f t="shared" si="74"/>
        <v>-27.738549612937241</v>
      </c>
      <c r="AF51" s="44">
        <f t="shared" si="10"/>
        <v>50.817903043619083</v>
      </c>
      <c r="AG51" s="44">
        <f t="shared" si="36"/>
        <v>15.314031724719761</v>
      </c>
      <c r="AH51" s="44">
        <f t="shared" si="75"/>
        <v>4.8754693377106344</v>
      </c>
      <c r="AI51" s="44">
        <f t="shared" si="75"/>
        <v>9.6059234270387641</v>
      </c>
    </row>
    <row r="52" spans="1:35" s="18" customFormat="1" ht="19.5" customHeight="1" x14ac:dyDescent="0.25">
      <c r="A52" s="21" t="s">
        <v>51</v>
      </c>
      <c r="B52" s="3">
        <v>220608.15775000025</v>
      </c>
      <c r="C52" s="3">
        <v>248389.17712000001</v>
      </c>
      <c r="D52" s="3">
        <v>226375.67588</v>
      </c>
      <c r="E52" s="3">
        <v>253480.21352999992</v>
      </c>
      <c r="F52" s="3">
        <v>282219.70577999967</v>
      </c>
      <c r="G52" s="3">
        <v>303202.18161999981</v>
      </c>
      <c r="H52" s="3">
        <v>360800.73533999937</v>
      </c>
      <c r="I52" s="3">
        <v>303357.97526999877</v>
      </c>
      <c r="J52" s="3">
        <v>358199.15239000024</v>
      </c>
      <c r="K52" s="3">
        <v>407719.6674500003</v>
      </c>
      <c r="L52" s="3">
        <v>421843.31340999936</v>
      </c>
      <c r="M52" s="64">
        <v>435764.26684000011</v>
      </c>
      <c r="N52" s="43">
        <f t="shared" si="64"/>
        <v>0.81042541789447564</v>
      </c>
      <c r="O52" s="44">
        <f t="shared" si="65"/>
        <v>0.77664810350219671</v>
      </c>
      <c r="P52" s="44">
        <f t="shared" si="13"/>
        <v>0.77503579517024856</v>
      </c>
      <c r="Q52" s="44">
        <f t="shared" si="38"/>
        <v>0.77695264917835793</v>
      </c>
      <c r="R52" s="44">
        <f t="shared" si="14"/>
        <v>0.66531567523199731</v>
      </c>
      <c r="S52" s="44">
        <f t="shared" si="66"/>
        <v>0.81226372870198904</v>
      </c>
      <c r="T52" s="44">
        <f t="shared" si="16"/>
        <v>1.0736235849647124</v>
      </c>
      <c r="U52" s="44">
        <f t="shared" si="17"/>
        <v>0.93660932492031257</v>
      </c>
      <c r="V52" s="44">
        <f t="shared" si="18"/>
        <v>0.7598124622310265</v>
      </c>
      <c r="W52" s="44">
        <f t="shared" si="67"/>
        <v>0.78393284272307728</v>
      </c>
      <c r="X52" s="57">
        <f t="shared" si="19"/>
        <v>0.77911854480503551</v>
      </c>
      <c r="Y52" s="44">
        <f t="shared" si="68"/>
        <v>12.59292478271907</v>
      </c>
      <c r="Z52" s="44">
        <f t="shared" si="69"/>
        <v>-8.8625041941199427</v>
      </c>
      <c r="AA52" s="44">
        <f t="shared" si="70"/>
        <v>11.973255317575655</v>
      </c>
      <c r="AB52" s="44">
        <f t="shared" si="71"/>
        <v>11.337962774202243</v>
      </c>
      <c r="AC52" s="44">
        <f t="shared" si="72"/>
        <v>7.4348018264737092</v>
      </c>
      <c r="AD52" s="44">
        <f t="shared" si="73"/>
        <v>18.996747784680267</v>
      </c>
      <c r="AE52" s="44">
        <f t="shared" si="74"/>
        <v>-15.92090992161355</v>
      </c>
      <c r="AF52" s="44">
        <f t="shared" si="10"/>
        <v>18.078040332116199</v>
      </c>
      <c r="AG52" s="44">
        <f t="shared" si="36"/>
        <v>13.824855455292395</v>
      </c>
      <c r="AH52" s="44">
        <f t="shared" si="75"/>
        <v>3.4640580495742408</v>
      </c>
      <c r="AI52" s="44">
        <f t="shared" si="75"/>
        <v>3.3000294155357754</v>
      </c>
    </row>
    <row r="53" spans="1:35" s="18" customFormat="1" ht="19.5" customHeight="1" x14ac:dyDescent="0.25">
      <c r="A53" s="21" t="s">
        <v>52</v>
      </c>
      <c r="B53" s="3">
        <v>38543.577389999984</v>
      </c>
      <c r="C53" s="3">
        <v>40018.76485</v>
      </c>
      <c r="D53" s="3">
        <v>50393.118889999998</v>
      </c>
      <c r="E53" s="3">
        <v>53934.969939999981</v>
      </c>
      <c r="F53" s="3">
        <v>51978.41562</v>
      </c>
      <c r="G53" s="3">
        <v>66255.342839999968</v>
      </c>
      <c r="H53" s="3">
        <v>45567.81331999995</v>
      </c>
      <c r="I53" s="3">
        <v>33909.190839999959</v>
      </c>
      <c r="J53" s="3">
        <v>34824.974909999975</v>
      </c>
      <c r="K53" s="3">
        <v>40278.66480000002</v>
      </c>
      <c r="L53" s="3">
        <v>47942.722859999994</v>
      </c>
      <c r="M53" s="64">
        <v>49380.199719999982</v>
      </c>
      <c r="N53" s="43">
        <f t="shared" si="64"/>
        <v>0.13057019876318354</v>
      </c>
      <c r="O53" s="44">
        <f t="shared" si="65"/>
        <v>0.172888363837402</v>
      </c>
      <c r="P53" s="44">
        <f t="shared" si="13"/>
        <v>0.16491043514914838</v>
      </c>
      <c r="Q53" s="44">
        <f t="shared" si="38"/>
        <v>0.14309690956709489</v>
      </c>
      <c r="R53" s="44">
        <f t="shared" si="14"/>
        <v>0.14538390826807432</v>
      </c>
      <c r="S53" s="44">
        <f t="shared" si="66"/>
        <v>0.1025859382498768</v>
      </c>
      <c r="T53" s="44">
        <f t="shared" si="16"/>
        <v>0.12000906519926183</v>
      </c>
      <c r="U53" s="44">
        <f t="shared" si="17"/>
        <v>9.1059389792493756E-2</v>
      </c>
      <c r="V53" s="44">
        <f t="shared" si="18"/>
        <v>7.5061945548209968E-2</v>
      </c>
      <c r="W53" s="44">
        <f t="shared" si="67"/>
        <v>8.9094395536846671E-2</v>
      </c>
      <c r="X53" s="57">
        <f t="shared" si="19"/>
        <v>8.8288628223283344E-2</v>
      </c>
      <c r="Y53" s="44">
        <f t="shared" si="68"/>
        <v>3.8273236681521641</v>
      </c>
      <c r="Z53" s="44">
        <f t="shared" si="69"/>
        <v>25.923723730318976</v>
      </c>
      <c r="AA53" s="44">
        <f t="shared" si="70"/>
        <v>7.0284418349482776</v>
      </c>
      <c r="AB53" s="44">
        <f t="shared" si="71"/>
        <v>-3.627617336537968</v>
      </c>
      <c r="AC53" s="44">
        <f t="shared" si="72"/>
        <v>27.467030400415982</v>
      </c>
      <c r="AD53" s="44">
        <f t="shared" si="73"/>
        <v>-31.22394154680979</v>
      </c>
      <c r="AE53" s="44">
        <f t="shared" si="74"/>
        <v>-25.585213839705933</v>
      </c>
      <c r="AF53" s="44">
        <f t="shared" si="10"/>
        <v>2.7006957326735703</v>
      </c>
      <c r="AG53" s="44">
        <f t="shared" si="36"/>
        <v>15.660283759268466</v>
      </c>
      <c r="AH53" s="44">
        <f t="shared" si="75"/>
        <v>19.027587180595841</v>
      </c>
      <c r="AI53" s="44">
        <f t="shared" si="75"/>
        <v>2.9983212764065108</v>
      </c>
    </row>
    <row r="54" spans="1:35" s="18" customFormat="1" ht="19.5" customHeight="1" x14ac:dyDescent="0.25">
      <c r="A54" s="21" t="s">
        <v>53</v>
      </c>
      <c r="B54" s="3">
        <v>4321.9939900000008</v>
      </c>
      <c r="C54" s="3">
        <v>6195.6500800000003</v>
      </c>
      <c r="D54" s="3">
        <v>12489.639140000001</v>
      </c>
      <c r="E54" s="3">
        <v>7193.6188499999989</v>
      </c>
      <c r="F54" s="3">
        <v>10622.204799999998</v>
      </c>
      <c r="G54" s="3">
        <v>15706.00628</v>
      </c>
      <c r="H54" s="3">
        <v>11229.044649999998</v>
      </c>
      <c r="I54" s="3">
        <v>6493.3444800000007</v>
      </c>
      <c r="J54" s="3">
        <v>10731.014600000002</v>
      </c>
      <c r="K54" s="3">
        <v>9477.1106199999995</v>
      </c>
      <c r="L54" s="3">
        <v>18879.103440000003</v>
      </c>
      <c r="M54" s="64">
        <v>11045.76758</v>
      </c>
      <c r="N54" s="43">
        <f t="shared" si="64"/>
        <v>2.0214698415729194E-2</v>
      </c>
      <c r="O54" s="44">
        <f t="shared" si="65"/>
        <v>4.2849367600120307E-2</v>
      </c>
      <c r="P54" s="44">
        <f t="shared" si="13"/>
        <v>2.1995058422584091E-2</v>
      </c>
      <c r="Q54" s="44">
        <f t="shared" si="38"/>
        <v>2.924299753153501E-2</v>
      </c>
      <c r="R54" s="44">
        <f t="shared" si="14"/>
        <v>3.4463644415568158E-2</v>
      </c>
      <c r="S54" s="44">
        <f t="shared" si="66"/>
        <v>2.5279731396819431E-2</v>
      </c>
      <c r="T54" s="44">
        <f t="shared" si="16"/>
        <v>2.2980796113316753E-2</v>
      </c>
      <c r="U54" s="44">
        <f t="shared" si="17"/>
        <v>2.8059162823682343E-2</v>
      </c>
      <c r="V54" s="44">
        <f t="shared" si="18"/>
        <v>1.766122002417523E-2</v>
      </c>
      <c r="W54" s="44">
        <f t="shared" si="67"/>
        <v>3.5083996254784325E-2</v>
      </c>
      <c r="X54" s="57">
        <f t="shared" si="19"/>
        <v>1.9749123592880773E-2</v>
      </c>
      <c r="Y54" s="44">
        <f t="shared" si="68"/>
        <v>43.351658848558444</v>
      </c>
      <c r="Z54" s="47" t="s">
        <v>147</v>
      </c>
      <c r="AA54" s="44">
        <f t="shared" si="70"/>
        <v>-42.4033090999297</v>
      </c>
      <c r="AB54" s="44">
        <f t="shared" si="71"/>
        <v>47.661490294276568</v>
      </c>
      <c r="AC54" s="44">
        <f t="shared" si="72"/>
        <v>47.860134272688875</v>
      </c>
      <c r="AD54" s="44">
        <f t="shared" si="73"/>
        <v>-28.504774225774739</v>
      </c>
      <c r="AE54" s="44">
        <f t="shared" si="74"/>
        <v>-42.1736694225363</v>
      </c>
      <c r="AF54" s="44">
        <f t="shared" si="10"/>
        <v>65.261748133836889</v>
      </c>
      <c r="AG54" s="44">
        <f t="shared" si="36"/>
        <v>-11.684859509929309</v>
      </c>
      <c r="AH54" s="44">
        <f t="shared" si="75"/>
        <v>99.207376562203763</v>
      </c>
      <c r="AI54" s="44">
        <f t="shared" si="75"/>
        <v>-41.49209672427115</v>
      </c>
    </row>
    <row r="55" spans="1:35" s="18" customFormat="1" ht="19.5" customHeight="1" x14ac:dyDescent="0.25">
      <c r="A55" s="21" t="s">
        <v>54</v>
      </c>
      <c r="B55" s="3">
        <v>4449.4799799999992</v>
      </c>
      <c r="C55" s="3">
        <v>6159.7465199999997</v>
      </c>
      <c r="D55" s="3">
        <v>6274.4639200000001</v>
      </c>
      <c r="E55" s="3">
        <v>6400.3510299999998</v>
      </c>
      <c r="F55" s="3">
        <v>4784.5159099999983</v>
      </c>
      <c r="G55" s="3">
        <v>5307.8126200000006</v>
      </c>
      <c r="H55" s="3">
        <v>4485.3122400000002</v>
      </c>
      <c r="I55" s="3">
        <v>4371.1367299999993</v>
      </c>
      <c r="J55" s="3">
        <v>3832.97129</v>
      </c>
      <c r="K55" s="3">
        <v>4820.7054900000003</v>
      </c>
      <c r="L55" s="3">
        <v>4312.6679800000002</v>
      </c>
      <c r="M55" s="64">
        <v>4530.1872500000009</v>
      </c>
      <c r="N55" s="43">
        <f t="shared" si="64"/>
        <v>2.009755499605901E-2</v>
      </c>
      <c r="O55" s="44">
        <f t="shared" si="65"/>
        <v>2.1526387431060067E-2</v>
      </c>
      <c r="P55" s="44">
        <f t="shared" si="13"/>
        <v>1.9569579340431176E-2</v>
      </c>
      <c r="Q55" s="44">
        <f t="shared" si="38"/>
        <v>1.3171802801779906E-2</v>
      </c>
      <c r="R55" s="44">
        <f t="shared" si="14"/>
        <v>1.1646917968769922E-2</v>
      </c>
      <c r="S55" s="44">
        <f t="shared" si="66"/>
        <v>1.0097696838178171E-2</v>
      </c>
      <c r="T55" s="44">
        <f t="shared" si="16"/>
        <v>1.5470025082599663E-2</v>
      </c>
      <c r="U55" s="44">
        <f t="shared" si="17"/>
        <v>1.0022348261888464E-2</v>
      </c>
      <c r="V55" s="44">
        <f t="shared" si="18"/>
        <v>8.983702284846757E-3</v>
      </c>
      <c r="W55" s="44">
        <f t="shared" si="67"/>
        <v>8.0144498248719952E-3</v>
      </c>
      <c r="X55" s="57">
        <f t="shared" si="19"/>
        <v>8.0996840872459026E-3</v>
      </c>
      <c r="Y55" s="44">
        <f t="shared" si="68"/>
        <v>38.437447694730402</v>
      </c>
      <c r="Z55" s="44">
        <f t="shared" si="69"/>
        <v>1.8623720899476308</v>
      </c>
      <c r="AA55" s="44">
        <f t="shared" si="70"/>
        <v>2.0063404874913946</v>
      </c>
      <c r="AB55" s="44">
        <f t="shared" si="71"/>
        <v>-25.246039044205386</v>
      </c>
      <c r="AC55" s="44">
        <f t="shared" si="72"/>
        <v>10.937296893637093</v>
      </c>
      <c r="AD55" s="44">
        <f t="shared" si="73"/>
        <v>-15.4960327141315</v>
      </c>
      <c r="AE55" s="44">
        <f t="shared" si="74"/>
        <v>-2.5455420691068977</v>
      </c>
      <c r="AF55" s="44">
        <f t="shared" si="10"/>
        <v>-12.31179606683224</v>
      </c>
      <c r="AG55" s="44">
        <f t="shared" si="36"/>
        <v>25.769412950651148</v>
      </c>
      <c r="AH55" s="44">
        <f t="shared" si="75"/>
        <v>-10.538654789301392</v>
      </c>
      <c r="AI55" s="44">
        <f t="shared" si="75"/>
        <v>5.0437286387161357</v>
      </c>
    </row>
    <row r="56" spans="1:35" s="18" customFormat="1" ht="19.5" customHeight="1" x14ac:dyDescent="0.25">
      <c r="A56" s="21" t="s">
        <v>55</v>
      </c>
      <c r="B56" s="3">
        <v>126334.60790999992</v>
      </c>
      <c r="C56" s="3">
        <v>180775.21737</v>
      </c>
      <c r="D56" s="3">
        <v>200285.70275999999</v>
      </c>
      <c r="E56" s="3">
        <v>237710.74981999979</v>
      </c>
      <c r="F56" s="3">
        <v>262904.10287999973</v>
      </c>
      <c r="G56" s="3">
        <v>324085.52612999978</v>
      </c>
      <c r="H56" s="3">
        <v>375325.17652000097</v>
      </c>
      <c r="I56" s="3">
        <v>558620.67573000002</v>
      </c>
      <c r="J56" s="3">
        <v>619182.76212999993</v>
      </c>
      <c r="K56" s="3">
        <v>515715.23212000012</v>
      </c>
      <c r="L56" s="3">
        <v>478409.71360000031</v>
      </c>
      <c r="M56" s="64">
        <v>514567.79212999955</v>
      </c>
      <c r="N56" s="43">
        <f t="shared" si="64"/>
        <v>0.58981970462935485</v>
      </c>
      <c r="O56" s="44">
        <f t="shared" si="65"/>
        <v>0.6871388041249421</v>
      </c>
      <c r="P56" s="44">
        <f t="shared" si="13"/>
        <v>0.72681941300895681</v>
      </c>
      <c r="Q56" s="44">
        <f t="shared" si="38"/>
        <v>0.72377667125663603</v>
      </c>
      <c r="R56" s="44">
        <f t="shared" si="14"/>
        <v>0.71113993803755415</v>
      </c>
      <c r="S56" s="44">
        <f t="shared" si="66"/>
        <v>0.84496232267537252</v>
      </c>
      <c r="T56" s="44">
        <f t="shared" si="16"/>
        <v>1.9770316965586832</v>
      </c>
      <c r="U56" s="44">
        <f t="shared" si="17"/>
        <v>1.619022113735922</v>
      </c>
      <c r="V56" s="44">
        <f t="shared" si="18"/>
        <v>0.9610693121032623</v>
      </c>
      <c r="W56" s="44">
        <f t="shared" si="67"/>
        <v>0.88905305559334613</v>
      </c>
      <c r="X56" s="57">
        <f t="shared" si="19"/>
        <v>0.9200141909640962</v>
      </c>
      <c r="Y56" s="44">
        <f t="shared" si="68"/>
        <v>43.092395948055085</v>
      </c>
      <c r="Z56" s="44">
        <f t="shared" si="69"/>
        <v>10.792677046028428</v>
      </c>
      <c r="AA56" s="44">
        <f t="shared" si="70"/>
        <v>18.685830563175948</v>
      </c>
      <c r="AB56" s="44">
        <f t="shared" si="71"/>
        <v>10.598322995100954</v>
      </c>
      <c r="AC56" s="44">
        <f t="shared" si="72"/>
        <v>23.271383968444866</v>
      </c>
      <c r="AD56" s="44">
        <f t="shared" si="73"/>
        <v>15.810533411309313</v>
      </c>
      <c r="AE56" s="44">
        <f t="shared" si="74"/>
        <v>48.836451876079053</v>
      </c>
      <c r="AF56" s="44">
        <f t="shared" si="10"/>
        <v>10.841361415930043</v>
      </c>
      <c r="AG56" s="44">
        <f t="shared" si="36"/>
        <v>-16.710337615677417</v>
      </c>
      <c r="AH56" s="44">
        <f t="shared" si="75"/>
        <v>-7.2337437788378738</v>
      </c>
      <c r="AI56" s="44">
        <f t="shared" si="75"/>
        <v>7.557973323307376</v>
      </c>
    </row>
    <row r="57" spans="1:35" s="18" customFormat="1" ht="19.5" customHeight="1" x14ac:dyDescent="0.25">
      <c r="A57" s="19" t="s">
        <v>56</v>
      </c>
      <c r="B57" s="1"/>
      <c r="C57" s="1"/>
      <c r="D57" s="1"/>
      <c r="E57" s="3"/>
      <c r="F57" s="3"/>
      <c r="G57" s="3"/>
      <c r="H57" s="3"/>
      <c r="I57" s="3"/>
      <c r="J57" s="3"/>
      <c r="K57" s="3"/>
      <c r="L57" s="66"/>
      <c r="M57" s="64"/>
      <c r="N57" s="43"/>
      <c r="O57" s="44"/>
      <c r="P57" s="44"/>
      <c r="Q57" s="2"/>
      <c r="R57" s="2"/>
      <c r="S57" s="2"/>
      <c r="T57" s="2"/>
      <c r="U57" s="2"/>
      <c r="V57" s="2"/>
      <c r="W57" s="2"/>
      <c r="X57" s="61"/>
      <c r="Y57" s="2"/>
      <c r="Z57" s="2"/>
      <c r="AA57" s="44"/>
      <c r="AB57" s="44"/>
      <c r="AC57" s="44"/>
      <c r="AD57" s="44"/>
      <c r="AE57" s="44"/>
      <c r="AF57" s="44"/>
      <c r="AG57" s="2"/>
      <c r="AH57" s="2"/>
      <c r="AI57" s="2"/>
    </row>
    <row r="58" spans="1:35" s="18" customFormat="1" ht="19.5" customHeight="1" x14ac:dyDescent="0.25">
      <c r="A58" s="25" t="s">
        <v>57</v>
      </c>
      <c r="B58" s="24">
        <f t="shared" ref="B58:G58" si="76">SUM(B59:B60)</f>
        <v>662339.02911999857</v>
      </c>
      <c r="C58" s="20">
        <f t="shared" si="76"/>
        <v>903678.81544999988</v>
      </c>
      <c r="D58" s="20">
        <f t="shared" si="76"/>
        <v>995929.29975000001</v>
      </c>
      <c r="E58" s="20">
        <f t="shared" si="76"/>
        <v>1160778.6281799979</v>
      </c>
      <c r="F58" s="20">
        <f t="shared" si="76"/>
        <v>1366985.4138200032</v>
      </c>
      <c r="G58" s="20">
        <f t="shared" si="76"/>
        <v>1681104.4467199969</v>
      </c>
      <c r="H58" s="20">
        <f t="shared" ref="H58:I58" si="77">SUM(H59:H60)</f>
        <v>1509322.4911999991</v>
      </c>
      <c r="I58" s="20">
        <f t="shared" si="77"/>
        <v>1121103.261980006</v>
      </c>
      <c r="J58" s="20">
        <f t="shared" ref="J58:M58" si="78">SUM(J59:J60)</f>
        <v>1299027.5234100018</v>
      </c>
      <c r="K58" s="20">
        <f t="shared" si="78"/>
        <v>1798781.4736599987</v>
      </c>
      <c r="L58" s="20">
        <f t="shared" si="78"/>
        <v>1639632.4940799996</v>
      </c>
      <c r="M58" s="69">
        <f t="shared" si="78"/>
        <v>1597518.1688099974</v>
      </c>
      <c r="N58" s="53">
        <f>C58/$C$6*100</f>
        <v>2.9484548809453011</v>
      </c>
      <c r="O58" s="2">
        <f>D58/$D$6*100</f>
        <v>3.41682735508707</v>
      </c>
      <c r="P58" s="2">
        <f t="shared" si="13"/>
        <v>3.5491724366945117</v>
      </c>
      <c r="Q58" s="2">
        <f t="shared" si="38"/>
        <v>3.7633195588530475</v>
      </c>
      <c r="R58" s="2">
        <f t="shared" si="14"/>
        <v>3.6888426532061986</v>
      </c>
      <c r="S58" s="2">
        <f t="shared" ref="S58:S65" si="79">H58/$H$6*100</f>
        <v>3.3979085806479841</v>
      </c>
      <c r="T58" s="2">
        <f t="shared" si="16"/>
        <v>3.9677311999835334</v>
      </c>
      <c r="U58" s="2">
        <f t="shared" si="17"/>
        <v>3.3966615600174528</v>
      </c>
      <c r="V58" s="2">
        <f t="shared" si="18"/>
        <v>3.3521477859165683</v>
      </c>
      <c r="W58" s="2">
        <f t="shared" si="67"/>
        <v>3.0470122940078235</v>
      </c>
      <c r="X58" s="61">
        <f t="shared" si="19"/>
        <v>2.8562599682820058</v>
      </c>
      <c r="Y58" s="2">
        <f t="shared" ref="Y58:AD60" si="80">((C58-B58)/B58)*100</f>
        <v>36.437500391702997</v>
      </c>
      <c r="Z58" s="2">
        <f t="shared" si="80"/>
        <v>10.208326534031084</v>
      </c>
      <c r="AA58" s="2">
        <f t="shared" si="80"/>
        <v>16.552312345000662</v>
      </c>
      <c r="AB58" s="2">
        <f t="shared" si="80"/>
        <v>17.764522936067486</v>
      </c>
      <c r="AC58" s="2">
        <f t="shared" si="80"/>
        <v>22.978960106252831</v>
      </c>
      <c r="AD58" s="2">
        <f t="shared" si="80"/>
        <v>-10.218398735138768</v>
      </c>
      <c r="AE58" s="2">
        <f t="shared" ref="AE58:AE60" si="81">((I58-H58)/H58)*100</f>
        <v>-25.721423452143497</v>
      </c>
      <c r="AF58" s="2">
        <f t="shared" si="10"/>
        <v>15.870461487709855</v>
      </c>
      <c r="AG58" s="2">
        <f t="shared" si="36"/>
        <v>38.471390424286149</v>
      </c>
      <c r="AH58" s="2">
        <f t="shared" ref="AH58:AI60" si="82">((L58-K58)/K58)*100</f>
        <v>-8.8475994394236821</v>
      </c>
      <c r="AI58" s="2">
        <f t="shared" si="82"/>
        <v>-2.5685222403226802</v>
      </c>
    </row>
    <row r="59" spans="1:35" s="18" customFormat="1" ht="25.5" customHeight="1" x14ac:dyDescent="0.25">
      <c r="A59" s="21" t="s">
        <v>58</v>
      </c>
      <c r="B59" s="3">
        <v>548669.94985999865</v>
      </c>
      <c r="C59" s="3">
        <v>765060.59614999988</v>
      </c>
      <c r="D59" s="3">
        <v>868954.19128000003</v>
      </c>
      <c r="E59" s="3">
        <v>1007629.3635499978</v>
      </c>
      <c r="F59" s="3">
        <v>1169981.9072400031</v>
      </c>
      <c r="G59" s="3">
        <v>1484829.5120699964</v>
      </c>
      <c r="H59" s="3">
        <v>1303940.8642799996</v>
      </c>
      <c r="I59" s="3">
        <v>955504.15838000609</v>
      </c>
      <c r="J59" s="3">
        <v>1075754.0898700017</v>
      </c>
      <c r="K59" s="3">
        <v>1525652.7213799986</v>
      </c>
      <c r="L59" s="66">
        <v>1316757.6779700001</v>
      </c>
      <c r="M59" s="64">
        <v>1337835.8485299975</v>
      </c>
      <c r="N59" s="43">
        <f>C59/$C$6*100</f>
        <v>2.4961818406843004</v>
      </c>
      <c r="O59" s="44">
        <f>D59/$D$6*100</f>
        <v>2.9812020309356972</v>
      </c>
      <c r="P59" s="44">
        <f t="shared" si="13"/>
        <v>3.0809064508044415</v>
      </c>
      <c r="Q59" s="44">
        <f t="shared" si="38"/>
        <v>3.2209676493302073</v>
      </c>
      <c r="R59" s="44">
        <f t="shared" si="14"/>
        <v>3.258157128517456</v>
      </c>
      <c r="S59" s="44">
        <f t="shared" si="79"/>
        <v>2.9355368897152774</v>
      </c>
      <c r="T59" s="44">
        <f t="shared" si="16"/>
        <v>3.3816542949154047</v>
      </c>
      <c r="U59" s="44">
        <f t="shared" si="17"/>
        <v>2.8128523062399502</v>
      </c>
      <c r="V59" s="44">
        <f t="shared" si="18"/>
        <v>2.8431543614053401</v>
      </c>
      <c r="W59" s="44">
        <f t="shared" si="67"/>
        <v>2.4469976336099775</v>
      </c>
      <c r="X59" s="57">
        <f t="shared" si="19"/>
        <v>2.3919646442176399</v>
      </c>
      <c r="Y59" s="44">
        <f t="shared" si="80"/>
        <v>39.439128449665695</v>
      </c>
      <c r="Z59" s="44">
        <f t="shared" si="80"/>
        <v>13.579786444736788</v>
      </c>
      <c r="AA59" s="44">
        <f t="shared" si="80"/>
        <v>15.958858782385798</v>
      </c>
      <c r="AB59" s="44">
        <f t="shared" si="80"/>
        <v>16.112327564375263</v>
      </c>
      <c r="AC59" s="44">
        <f t="shared" si="80"/>
        <v>26.910467835585717</v>
      </c>
      <c r="AD59" s="44">
        <f t="shared" si="80"/>
        <v>-12.182452350224402</v>
      </c>
      <c r="AE59" s="44">
        <f t="shared" si="81"/>
        <v>-26.721818101190557</v>
      </c>
      <c r="AF59" s="44">
        <f t="shared" si="10"/>
        <v>12.584972073158882</v>
      </c>
      <c r="AG59" s="44">
        <f t="shared" si="36"/>
        <v>41.821698448235921</v>
      </c>
      <c r="AH59" s="44">
        <f t="shared" si="82"/>
        <v>-13.692175190501196</v>
      </c>
      <c r="AI59" s="44">
        <f t="shared" si="82"/>
        <v>1.6007630646584059</v>
      </c>
    </row>
    <row r="60" spans="1:35" s="18" customFormat="1" ht="19.5" customHeight="1" x14ac:dyDescent="0.25">
      <c r="A60" s="21" t="s">
        <v>59</v>
      </c>
      <c r="B60" s="3">
        <v>113669.07925999994</v>
      </c>
      <c r="C60" s="3">
        <v>138618.21930000003</v>
      </c>
      <c r="D60" s="3">
        <v>126975.10846999999</v>
      </c>
      <c r="E60" s="3">
        <v>153149.26463000019</v>
      </c>
      <c r="F60" s="3">
        <v>197003.50657999996</v>
      </c>
      <c r="G60" s="3">
        <v>196274.93465000039</v>
      </c>
      <c r="H60" s="3">
        <v>205381.62691999937</v>
      </c>
      <c r="I60" s="3">
        <v>165599.1036</v>
      </c>
      <c r="J60" s="3">
        <v>223273.4335400002</v>
      </c>
      <c r="K60" s="3">
        <v>273128.75228000007</v>
      </c>
      <c r="L60" s="66">
        <v>322874.81610999961</v>
      </c>
      <c r="M60" s="64">
        <v>259682.3202799999</v>
      </c>
      <c r="N60" s="43">
        <f>C60/$C$6*100</f>
        <v>0.45227304026100068</v>
      </c>
      <c r="O60" s="44">
        <f>D60/$D$6*100</f>
        <v>0.43562532415137328</v>
      </c>
      <c r="P60" s="44">
        <f t="shared" si="13"/>
        <v>0.46826598589007062</v>
      </c>
      <c r="Q60" s="44">
        <f t="shared" si="38"/>
        <v>0.5423519095228404</v>
      </c>
      <c r="R60" s="44">
        <f t="shared" si="14"/>
        <v>0.43068552468874299</v>
      </c>
      <c r="S60" s="44">
        <f t="shared" si="79"/>
        <v>0.46237169093270669</v>
      </c>
      <c r="T60" s="44">
        <f t="shared" si="16"/>
        <v>0.58607690506812871</v>
      </c>
      <c r="U60" s="44">
        <f t="shared" si="17"/>
        <v>0.58380925377750226</v>
      </c>
      <c r="V60" s="44">
        <f t="shared" si="18"/>
        <v>0.50899342451122864</v>
      </c>
      <c r="W60" s="44">
        <f t="shared" si="67"/>
        <v>0.60001466039784579</v>
      </c>
      <c r="X60" s="57">
        <f t="shared" si="19"/>
        <v>0.46429532406436597</v>
      </c>
      <c r="Y60" s="44">
        <f t="shared" si="80"/>
        <v>21.948924195060027</v>
      </c>
      <c r="Z60" s="44">
        <f t="shared" si="80"/>
        <v>-8.3994087420801478</v>
      </c>
      <c r="AA60" s="44">
        <f t="shared" si="80"/>
        <v>20.613611971187478</v>
      </c>
      <c r="AB60" s="44">
        <f t="shared" si="80"/>
        <v>28.634967367260355</v>
      </c>
      <c r="AC60" s="44">
        <f t="shared" si="80"/>
        <v>-0.36982688412386588</v>
      </c>
      <c r="AD60" s="44">
        <f t="shared" si="80"/>
        <v>4.639763241413446</v>
      </c>
      <c r="AE60" s="44">
        <f t="shared" si="81"/>
        <v>-19.370049754010143</v>
      </c>
      <c r="AF60" s="44">
        <f t="shared" si="10"/>
        <v>34.827682448880239</v>
      </c>
      <c r="AG60" s="44">
        <f t="shared" si="36"/>
        <v>22.329265936185873</v>
      </c>
      <c r="AH60" s="44">
        <f t="shared" si="82"/>
        <v>18.213411592420695</v>
      </c>
      <c r="AI60" s="44">
        <f t="shared" si="82"/>
        <v>-19.571825573559376</v>
      </c>
    </row>
    <row r="61" spans="1:35" s="18" customFormat="1" ht="19.5" customHeight="1" x14ac:dyDescent="0.25">
      <c r="A61" s="19" t="s">
        <v>60</v>
      </c>
      <c r="B61" s="1"/>
      <c r="C61" s="1"/>
      <c r="D61" s="1"/>
      <c r="E61" s="3"/>
      <c r="F61" s="3"/>
      <c r="G61" s="3"/>
      <c r="H61" s="3"/>
      <c r="I61" s="3"/>
      <c r="J61" s="3"/>
      <c r="K61" s="3"/>
      <c r="L61" s="66"/>
      <c r="M61" s="64"/>
      <c r="N61" s="43"/>
      <c r="O61" s="44"/>
      <c r="P61" s="44"/>
      <c r="Q61" s="2"/>
      <c r="R61" s="2"/>
      <c r="S61" s="2"/>
      <c r="T61" s="2"/>
      <c r="U61" s="2"/>
      <c r="V61" s="2"/>
      <c r="W61" s="2"/>
      <c r="X61" s="61"/>
      <c r="Y61" s="2"/>
      <c r="Z61" s="2"/>
      <c r="AA61" s="44"/>
      <c r="AB61" s="44"/>
      <c r="AC61" s="44"/>
      <c r="AD61" s="44"/>
      <c r="AE61" s="44"/>
      <c r="AF61" s="44"/>
      <c r="AG61" s="2"/>
      <c r="AH61" s="2"/>
      <c r="AI61" s="2"/>
    </row>
    <row r="62" spans="1:35" s="18" customFormat="1" ht="19.5" customHeight="1" x14ac:dyDescent="0.25">
      <c r="A62" s="45" t="s">
        <v>61</v>
      </c>
      <c r="B62" s="24">
        <f t="shared" ref="B62:G62" si="83">SUM(B63:B65)</f>
        <v>47826.017059999947</v>
      </c>
      <c r="C62" s="20">
        <f t="shared" si="83"/>
        <v>57626.670429999998</v>
      </c>
      <c r="D62" s="20">
        <f t="shared" si="83"/>
        <v>53386.486340000003</v>
      </c>
      <c r="E62" s="20">
        <f t="shared" si="83"/>
        <v>53811.012350000026</v>
      </c>
      <c r="F62" s="20">
        <f t="shared" si="83"/>
        <v>61743.707270000072</v>
      </c>
      <c r="G62" s="20">
        <f t="shared" si="83"/>
        <v>65750.86480000001</v>
      </c>
      <c r="H62" s="20">
        <f>SUM(H63:H65)</f>
        <v>79632.210600000079</v>
      </c>
      <c r="I62" s="20">
        <f>SUM(I63:I65)</f>
        <v>35701.211559999996</v>
      </c>
      <c r="J62" s="20">
        <f t="shared" ref="J62:M62" si="84">SUM(J63:J65)</f>
        <v>69221.757690000028</v>
      </c>
      <c r="K62" s="20">
        <f t="shared" si="84"/>
        <v>103160.21446000006</v>
      </c>
      <c r="L62" s="20">
        <f t="shared" si="84"/>
        <v>128629.19989000013</v>
      </c>
      <c r="M62" s="69">
        <f t="shared" si="84"/>
        <v>111482.49444999993</v>
      </c>
      <c r="N62" s="53">
        <f>C62/$C$6*100</f>
        <v>0.18801994115282075</v>
      </c>
      <c r="O62" s="2">
        <f>D62/$D$6*100</f>
        <v>0.18315798818679571</v>
      </c>
      <c r="P62" s="2">
        <f t="shared" si="13"/>
        <v>0.16453142501658186</v>
      </c>
      <c r="Q62" s="2">
        <f t="shared" si="38"/>
        <v>0.16998081973381204</v>
      </c>
      <c r="R62" s="2">
        <f t="shared" si="14"/>
        <v>0.14427693355559373</v>
      </c>
      <c r="S62" s="2">
        <f t="shared" si="79"/>
        <v>0.17927445809051612</v>
      </c>
      <c r="T62" s="2">
        <f t="shared" si="16"/>
        <v>0.12635126110831979</v>
      </c>
      <c r="U62" s="2">
        <f t="shared" si="17"/>
        <v>0.18099915454082</v>
      </c>
      <c r="V62" s="2">
        <f t="shared" si="18"/>
        <v>0.1922458561868263</v>
      </c>
      <c r="W62" s="2">
        <f>L62/$L$6*100</f>
        <v>0.23903817157096252</v>
      </c>
      <c r="X62" s="61">
        <f t="shared" si="19"/>
        <v>0.19932354590930959</v>
      </c>
      <c r="Y62" s="2">
        <f t="shared" ref="Y62:AD62" si="85">((C62-B62)/B62)*100</f>
        <v>20.492305177127083</v>
      </c>
      <c r="Z62" s="2">
        <f t="shared" si="85"/>
        <v>-7.3580237385927267</v>
      </c>
      <c r="AA62" s="2">
        <f t="shared" si="85"/>
        <v>0.79519376363592165</v>
      </c>
      <c r="AB62" s="2">
        <f t="shared" si="85"/>
        <v>14.741768596368065</v>
      </c>
      <c r="AC62" s="2">
        <f t="shared" si="85"/>
        <v>6.4899853072912741</v>
      </c>
      <c r="AD62" s="2">
        <f t="shared" si="85"/>
        <v>21.112035320332495</v>
      </c>
      <c r="AE62" s="2">
        <f t="shared" ref="AE62:AE65" si="86">((I62-H62)/H62)*100</f>
        <v>-55.167373489943074</v>
      </c>
      <c r="AF62" s="2">
        <f t="shared" si="10"/>
        <v>93.891900765510144</v>
      </c>
      <c r="AG62" s="2">
        <f t="shared" si="36"/>
        <v>49.028597225150897</v>
      </c>
      <c r="AH62" s="2">
        <f t="shared" ref="AH62:AI65" si="87">((L62-K62)/K62)*100</f>
        <v>24.68876743162992</v>
      </c>
      <c r="AI62" s="2">
        <f t="shared" si="87"/>
        <v>-13.330336700114406</v>
      </c>
    </row>
    <row r="63" spans="1:35" s="18" customFormat="1" ht="19.5" customHeight="1" x14ac:dyDescent="0.25">
      <c r="A63" s="21" t="s">
        <v>62</v>
      </c>
      <c r="B63" s="3">
        <v>71.362460000000013</v>
      </c>
      <c r="C63" s="3">
        <v>90.166809999999998</v>
      </c>
      <c r="D63" s="3">
        <v>259.11998</v>
      </c>
      <c r="E63" s="3">
        <v>437.48683</v>
      </c>
      <c r="F63" s="3">
        <v>472.37806999999998</v>
      </c>
      <c r="G63" s="3">
        <v>792.62509</v>
      </c>
      <c r="H63" s="3">
        <v>969.04140000000007</v>
      </c>
      <c r="I63" s="3">
        <v>303.40924999999999</v>
      </c>
      <c r="J63" s="3">
        <v>1145.8590200000001</v>
      </c>
      <c r="K63" s="3">
        <v>976.69888000000014</v>
      </c>
      <c r="L63" s="66">
        <v>1400.6703400000001</v>
      </c>
      <c r="M63" s="64">
        <v>1736.6786299999999</v>
      </c>
      <c r="N63" s="43">
        <f>C63/$C$6*100</f>
        <v>2.941894470674101E-4</v>
      </c>
      <c r="O63" s="44">
        <f>D63/$D$6*100</f>
        <v>8.8898703566193049E-4</v>
      </c>
      <c r="P63" s="44">
        <f t="shared" si="13"/>
        <v>1.3376505741558875E-3</v>
      </c>
      <c r="Q63" s="44">
        <f t="shared" si="38"/>
        <v>1.3004598381459633E-3</v>
      </c>
      <c r="R63" s="44">
        <f t="shared" si="14"/>
        <v>1.739254955691875E-3</v>
      </c>
      <c r="S63" s="44">
        <f t="shared" si="79"/>
        <v>2.1815841924181737E-3</v>
      </c>
      <c r="T63" s="44">
        <f t="shared" si="16"/>
        <v>1.0738050529462053E-3</v>
      </c>
      <c r="U63" s="44">
        <f t="shared" si="17"/>
        <v>2.9961607558678634E-3</v>
      </c>
      <c r="V63" s="44">
        <f t="shared" si="18"/>
        <v>1.8201427110751105E-3</v>
      </c>
      <c r="W63" s="44">
        <f>L63/$L$6*100</f>
        <v>2.6029367929956897E-3</v>
      </c>
      <c r="X63" s="57">
        <f t="shared" si="19"/>
        <v>3.1050699425439888E-3</v>
      </c>
      <c r="Y63" s="44">
        <f>((C63-B63)/B63)*100</f>
        <v>26.350478949296285</v>
      </c>
      <c r="Z63" s="47" t="s">
        <v>147</v>
      </c>
      <c r="AA63" s="44">
        <f>((E63-D63)/D63)*100</f>
        <v>68.835622015716424</v>
      </c>
      <c r="AB63" s="44">
        <f>((F63-E63)/E63)*100</f>
        <v>7.9753806531730298</v>
      </c>
      <c r="AC63" s="44">
        <f>((G63-F63)/F63)*100</f>
        <v>67.794641694522369</v>
      </c>
      <c r="AD63" s="44">
        <f>((H63-G63)/G63)*100</f>
        <v>22.257219992872049</v>
      </c>
      <c r="AE63" s="44">
        <f>((I63-H63)/H63)*100</f>
        <v>-68.689753605986297</v>
      </c>
      <c r="AF63" s="47" t="s">
        <v>147</v>
      </c>
      <c r="AG63" s="44">
        <f t="shared" si="36"/>
        <v>-14.762735820677131</v>
      </c>
      <c r="AH63" s="44">
        <f t="shared" si="87"/>
        <v>43.408615355430726</v>
      </c>
      <c r="AI63" s="44">
        <f t="shared" si="87"/>
        <v>23.989105816290774</v>
      </c>
    </row>
    <row r="64" spans="1:35" s="18" customFormat="1" ht="19.5" customHeight="1" x14ac:dyDescent="0.25">
      <c r="A64" s="21" t="s">
        <v>63</v>
      </c>
      <c r="B64" s="3">
        <v>47754.654599999951</v>
      </c>
      <c r="C64" s="3">
        <v>57536.503619999996</v>
      </c>
      <c r="D64" s="3">
        <v>53127.36636</v>
      </c>
      <c r="E64" s="3">
        <v>53373.525520000025</v>
      </c>
      <c r="F64" s="3">
        <v>61271.329200000073</v>
      </c>
      <c r="G64" s="3">
        <v>64958.239710000016</v>
      </c>
      <c r="H64" s="3">
        <v>78653.788670000082</v>
      </c>
      <c r="I64" s="3">
        <v>35392.494070000001</v>
      </c>
      <c r="J64" s="3">
        <v>68068.716630000024</v>
      </c>
      <c r="K64" s="3">
        <v>102088.49804000006</v>
      </c>
      <c r="L64" s="66">
        <v>127213.21985000014</v>
      </c>
      <c r="M64" s="64">
        <v>109741.90787999993</v>
      </c>
      <c r="N64" s="43">
        <f>C64/$C$6*100</f>
        <v>0.18772575170575334</v>
      </c>
      <c r="O64" s="44">
        <f>D64/$D$6*100</f>
        <v>0.18226900115113379</v>
      </c>
      <c r="P64" s="44">
        <f t="shared" si="13"/>
        <v>0.16319377444242597</v>
      </c>
      <c r="Q64" s="44">
        <f t="shared" si="38"/>
        <v>0.16868035989566607</v>
      </c>
      <c r="R64" s="44">
        <f t="shared" si="14"/>
        <v>0.14253767859990185</v>
      </c>
      <c r="S64" s="44">
        <f t="shared" si="79"/>
        <v>0.17707175569203937</v>
      </c>
      <c r="T64" s="44">
        <f t="shared" si="16"/>
        <v>0.12525866949914877</v>
      </c>
      <c r="U64" s="44">
        <f t="shared" si="17"/>
        <v>0.17798421438363007</v>
      </c>
      <c r="V64" s="44">
        <f t="shared" si="18"/>
        <v>0.19024864202988725</v>
      </c>
      <c r="W64" s="44">
        <f>L64/$L$6*100</f>
        <v>0.23640678398531298</v>
      </c>
      <c r="X64" s="57">
        <f t="shared" si="19"/>
        <v>0.19621148882082987</v>
      </c>
      <c r="Y64" s="44">
        <f>((C64-B64)/B64)*100</f>
        <v>20.483550979342766</v>
      </c>
      <c r="Z64" s="44">
        <f>((D64-C64)/C64)*100</f>
        <v>-7.6631998515588569</v>
      </c>
      <c r="AA64" s="44">
        <f>((E64-D64)/D64)*100</f>
        <v>0.4633377802543584</v>
      </c>
      <c r="AB64" s="44">
        <f>((F64-E64)/E64)*100</f>
        <v>14.797230655188025</v>
      </c>
      <c r="AC64" s="44">
        <f>((G64-F64)/F64)*100</f>
        <v>6.0173502976657129</v>
      </c>
      <c r="AD64" s="44">
        <f>((H64-G64)/G64)*100</f>
        <v>21.08362083261887</v>
      </c>
      <c r="AE64" s="44">
        <f t="shared" si="86"/>
        <v>-55.002175141883136</v>
      </c>
      <c r="AF64" s="44">
        <f t="shared" si="10"/>
        <v>92.325289354777652</v>
      </c>
      <c r="AG64" s="44">
        <f t="shared" si="36"/>
        <v>49.978585015669964</v>
      </c>
      <c r="AH64" s="44">
        <f t="shared" si="87"/>
        <v>24.610727253677265</v>
      </c>
      <c r="AI64" s="44">
        <f t="shared" si="87"/>
        <v>-13.73388079525148</v>
      </c>
    </row>
    <row r="65" spans="1:35" s="18" customFormat="1" ht="19.5" customHeight="1" x14ac:dyDescent="0.25">
      <c r="A65" s="21" t="s">
        <v>64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9.3805299999999985</v>
      </c>
      <c r="I65" s="3">
        <v>5.3082399999999996</v>
      </c>
      <c r="J65" s="3">
        <v>7.1820399999999998</v>
      </c>
      <c r="K65" s="3">
        <v>95.017539999999997</v>
      </c>
      <c r="L65" s="66">
        <v>15.309699999999999</v>
      </c>
      <c r="M65" s="64">
        <v>3.90794</v>
      </c>
      <c r="N65" s="43">
        <f>C65/$C$6*100</f>
        <v>0</v>
      </c>
      <c r="O65" s="44">
        <f>D65/$D$6*100</f>
        <v>0</v>
      </c>
      <c r="P65" s="44">
        <f t="shared" si="13"/>
        <v>0</v>
      </c>
      <c r="Q65" s="44">
        <f t="shared" si="38"/>
        <v>0</v>
      </c>
      <c r="R65" s="44">
        <f t="shared" si="14"/>
        <v>0</v>
      </c>
      <c r="S65" s="44">
        <f t="shared" si="79"/>
        <v>2.1118206058589903E-5</v>
      </c>
      <c r="T65" s="44">
        <f t="shared" si="16"/>
        <v>1.8786556224805817E-5</v>
      </c>
      <c r="U65" s="44">
        <f t="shared" si="17"/>
        <v>1.8779401322052014E-5</v>
      </c>
      <c r="V65" s="44">
        <f t="shared" si="18"/>
        <v>1.7707144586393681E-4</v>
      </c>
      <c r="W65" s="44">
        <f>L65/$L$6*100</f>
        <v>2.8450792653841802E-5</v>
      </c>
      <c r="X65" s="57">
        <f t="shared" si="19"/>
        <v>6.9871459357252278E-6</v>
      </c>
      <c r="Y65" s="44">
        <v>1</v>
      </c>
      <c r="Z65" s="44">
        <v>0</v>
      </c>
      <c r="AA65" s="44">
        <v>0</v>
      </c>
      <c r="AB65" s="44">
        <v>1</v>
      </c>
      <c r="AC65" s="44">
        <v>2</v>
      </c>
      <c r="AD65" s="44">
        <v>0</v>
      </c>
      <c r="AE65" s="44">
        <f t="shared" si="86"/>
        <v>-43.412152618242253</v>
      </c>
      <c r="AF65" s="44">
        <f t="shared" si="10"/>
        <v>35.299835727095989</v>
      </c>
      <c r="AG65" s="47" t="s">
        <v>147</v>
      </c>
      <c r="AH65" s="44">
        <f t="shared" si="87"/>
        <v>-83.887501191885221</v>
      </c>
      <c r="AI65" s="44">
        <f t="shared" si="87"/>
        <v>-74.474091588992593</v>
      </c>
    </row>
    <row r="66" spans="1:35" s="18" customFormat="1" ht="19.5" customHeight="1" x14ac:dyDescent="0.25">
      <c r="A66" s="19" t="s">
        <v>65</v>
      </c>
      <c r="B66" s="1"/>
      <c r="C66" s="1"/>
      <c r="D66" s="1"/>
      <c r="E66" s="3"/>
      <c r="F66" s="3"/>
      <c r="G66" s="3"/>
      <c r="H66" s="3"/>
      <c r="I66" s="3"/>
      <c r="J66" s="3"/>
      <c r="K66" s="3"/>
      <c r="L66" s="66"/>
      <c r="M66" s="64"/>
      <c r="N66" s="43"/>
      <c r="O66" s="44"/>
      <c r="P66" s="44"/>
      <c r="Q66" s="2"/>
      <c r="R66" s="2"/>
      <c r="S66" s="2"/>
      <c r="T66" s="2"/>
      <c r="U66" s="2"/>
      <c r="V66" s="2"/>
      <c r="W66" s="2"/>
      <c r="X66" s="61"/>
      <c r="Y66" s="2"/>
      <c r="AA66" s="44"/>
      <c r="AB66" s="44"/>
      <c r="AC66" s="44"/>
      <c r="AD66" s="44"/>
      <c r="AE66" s="44"/>
      <c r="AF66" s="44"/>
      <c r="AG66" s="2"/>
      <c r="AH66" s="2"/>
      <c r="AI66" s="2"/>
    </row>
    <row r="67" spans="1:35" s="18" customFormat="1" ht="19.5" customHeight="1" x14ac:dyDescent="0.25">
      <c r="A67" s="25" t="s">
        <v>66</v>
      </c>
      <c r="B67" s="24">
        <f t="shared" ref="B67:G67" si="88">SUM(B68:B70)</f>
        <v>821659.25729000103</v>
      </c>
      <c r="C67" s="20">
        <f t="shared" si="88"/>
        <v>1014268.9285400001</v>
      </c>
      <c r="D67" s="20">
        <f t="shared" si="88"/>
        <v>1393444.5176699997</v>
      </c>
      <c r="E67" s="20">
        <f t="shared" si="88"/>
        <v>1312707.0845699986</v>
      </c>
      <c r="F67" s="20">
        <f t="shared" si="88"/>
        <v>1751019.8070699989</v>
      </c>
      <c r="G67" s="20">
        <f t="shared" si="88"/>
        <v>2145220.6940100025</v>
      </c>
      <c r="H67" s="20">
        <f t="shared" ref="H67:I67" si="89">SUM(H68:H70)</f>
        <v>1944782.7540599951</v>
      </c>
      <c r="I67" s="20">
        <f t="shared" si="89"/>
        <v>1102367.8219099985</v>
      </c>
      <c r="J67" s="20">
        <f t="shared" ref="J67:M67" si="90">SUM(J68:J70)</f>
        <v>940219.97756999999</v>
      </c>
      <c r="K67" s="20">
        <f t="shared" si="90"/>
        <v>1459436.938730001</v>
      </c>
      <c r="L67" s="20">
        <f t="shared" si="90"/>
        <v>1144630.2451700012</v>
      </c>
      <c r="M67" s="69">
        <f t="shared" si="90"/>
        <v>1387499.0569900004</v>
      </c>
      <c r="N67" s="53">
        <f>C67/$C$6*100</f>
        <v>3.3092799364293475</v>
      </c>
      <c r="O67" s="2">
        <f>D67/$D$6*100</f>
        <v>4.7806198160513187</v>
      </c>
      <c r="P67" s="2">
        <f t="shared" si="13"/>
        <v>4.0137057048632974</v>
      </c>
      <c r="Q67" s="2">
        <f t="shared" si="38"/>
        <v>4.8205686917104913</v>
      </c>
      <c r="R67" s="2">
        <f t="shared" si="14"/>
        <v>4.7072516000088518</v>
      </c>
      <c r="S67" s="2">
        <f t="shared" ref="S67:S75" si="91">H67/$H$6*100</f>
        <v>4.3782518620409459</v>
      </c>
      <c r="T67" s="2">
        <f t="shared" si="16"/>
        <v>3.9014240250495296</v>
      </c>
      <c r="U67" s="2">
        <f t="shared" si="17"/>
        <v>2.4584614245810066</v>
      </c>
      <c r="V67" s="2">
        <f t="shared" si="18"/>
        <v>2.7197568879194205</v>
      </c>
      <c r="W67" s="2">
        <f>L67/$L$6*100</f>
        <v>2.127124487785379</v>
      </c>
      <c r="X67" s="61">
        <f t="shared" si="19"/>
        <v>2.4807592739065258</v>
      </c>
      <c r="Y67" s="2">
        <f t="shared" ref="Y67:AD69" si="92">((C67-B67)/B67)*100</f>
        <v>23.44155068431467</v>
      </c>
      <c r="Z67" s="2">
        <f t="shared" si="92"/>
        <v>37.3841274696059</v>
      </c>
      <c r="AA67" s="2">
        <f t="shared" si="92"/>
        <v>-5.7940902616634853</v>
      </c>
      <c r="AB67" s="2">
        <f t="shared" si="92"/>
        <v>33.389986818238114</v>
      </c>
      <c r="AC67" s="2">
        <f t="shared" si="92"/>
        <v>22.512645793517571</v>
      </c>
      <c r="AD67" s="2">
        <f t="shared" si="92"/>
        <v>-9.3434647777583333</v>
      </c>
      <c r="AE67" s="2">
        <f t="shared" ref="AE67:AE70" si="93">((I67-H67)/H67)*100</f>
        <v>-43.316659940106021</v>
      </c>
      <c r="AF67" s="2">
        <f t="shared" si="10"/>
        <v>-14.709050928124507</v>
      </c>
      <c r="AG67" s="2">
        <f t="shared" si="36"/>
        <v>55.22292373556219</v>
      </c>
      <c r="AH67" s="2">
        <f t="shared" ref="AH67:AI70" si="94">((L67-K67)/K67)*100</f>
        <v>-21.570421112812451</v>
      </c>
      <c r="AI67" s="2">
        <f t="shared" si="94"/>
        <v>21.21810190188782</v>
      </c>
    </row>
    <row r="68" spans="1:35" s="18" customFormat="1" ht="19.5" customHeight="1" x14ac:dyDescent="0.25">
      <c r="A68" s="21" t="s">
        <v>67</v>
      </c>
      <c r="B68" s="3">
        <v>802815.11661000096</v>
      </c>
      <c r="C68" s="3">
        <v>997495.49270000006</v>
      </c>
      <c r="D68" s="3">
        <v>1366569.9826099998</v>
      </c>
      <c r="E68" s="3">
        <v>1289523.2155799984</v>
      </c>
      <c r="F68" s="3">
        <v>1688429.7073299987</v>
      </c>
      <c r="G68" s="3">
        <v>2003128.3630200026</v>
      </c>
      <c r="H68" s="3">
        <v>1868595.2128299952</v>
      </c>
      <c r="I68" s="3">
        <v>1067232.2336899985</v>
      </c>
      <c r="J68" s="3">
        <v>892193.74230000004</v>
      </c>
      <c r="K68" s="3">
        <v>1375593.469100001</v>
      </c>
      <c r="L68" s="66">
        <v>1073267.1090900013</v>
      </c>
      <c r="M68" s="64">
        <v>1316007.9809200005</v>
      </c>
      <c r="N68" s="43">
        <f>C68/$C$6*100</f>
        <v>3.2545528387845462</v>
      </c>
      <c r="O68" s="44">
        <f>D68/$D$6*100</f>
        <v>4.6884188469952779</v>
      </c>
      <c r="P68" s="44">
        <f t="shared" si="13"/>
        <v>3.9428191923124434</v>
      </c>
      <c r="Q68" s="44">
        <f t="shared" si="38"/>
        <v>4.6482577481109715</v>
      </c>
      <c r="R68" s="44">
        <f t="shared" si="14"/>
        <v>4.3954588067222211</v>
      </c>
      <c r="S68" s="44">
        <f t="shared" si="91"/>
        <v>4.206732321589346</v>
      </c>
      <c r="T68" s="44">
        <f t="shared" si="16"/>
        <v>3.77707457898329</v>
      </c>
      <c r="U68" s="44">
        <f t="shared" si="17"/>
        <v>2.3328837410645384</v>
      </c>
      <c r="V68" s="44">
        <f t="shared" si="18"/>
        <v>2.5635090583751787</v>
      </c>
      <c r="W68" s="44">
        <f>L68/$L$6*100</f>
        <v>1.9945067495057276</v>
      </c>
      <c r="X68" s="57">
        <f t="shared" si="19"/>
        <v>2.3529378176909432</v>
      </c>
      <c r="Y68" s="44">
        <f t="shared" si="92"/>
        <v>24.24971479262426</v>
      </c>
      <c r="Z68" s="44">
        <f t="shared" si="92"/>
        <v>37.000116051752435</v>
      </c>
      <c r="AA68" s="44">
        <f t="shared" si="92"/>
        <v>-5.6379671740521076</v>
      </c>
      <c r="AB68" s="44">
        <f t="shared" si="92"/>
        <v>30.934417227268074</v>
      </c>
      <c r="AC68" s="44">
        <f t="shared" si="92"/>
        <v>18.638540551839327</v>
      </c>
      <c r="AD68" s="44">
        <f t="shared" si="92"/>
        <v>-6.716152228366405</v>
      </c>
      <c r="AE68" s="44">
        <f t="shared" si="93"/>
        <v>-42.885852090262453</v>
      </c>
      <c r="AF68" s="44">
        <f t="shared" si="10"/>
        <v>-16.401162358523958</v>
      </c>
      <c r="AG68" s="44">
        <f t="shared" si="36"/>
        <v>54.181026371451267</v>
      </c>
      <c r="AH68" s="44">
        <f t="shared" si="94"/>
        <v>-21.977885676340151</v>
      </c>
      <c r="AI68" s="44">
        <f t="shared" si="94"/>
        <v>22.617004636973697</v>
      </c>
    </row>
    <row r="69" spans="1:35" s="18" customFormat="1" ht="19.5" customHeight="1" x14ac:dyDescent="0.25">
      <c r="A69" s="21" t="s">
        <v>68</v>
      </c>
      <c r="B69" s="3">
        <v>164.90071999999998</v>
      </c>
      <c r="C69" s="3">
        <v>171.54738</v>
      </c>
      <c r="D69" s="3">
        <v>173.55362</v>
      </c>
      <c r="E69" s="3">
        <v>136.72572</v>
      </c>
      <c r="F69" s="3">
        <v>169.59913999999998</v>
      </c>
      <c r="G69" s="3">
        <v>244.55620000000002</v>
      </c>
      <c r="H69" s="3">
        <v>199.41657999999998</v>
      </c>
      <c r="I69" s="3">
        <v>79.187510000000003</v>
      </c>
      <c r="J69" s="3">
        <v>142.64757999999998</v>
      </c>
      <c r="K69" s="3">
        <v>281.95098999999993</v>
      </c>
      <c r="L69" s="66">
        <v>467.16853000000009</v>
      </c>
      <c r="M69" s="64">
        <v>414.86754000000008</v>
      </c>
      <c r="N69" s="43">
        <f>C69/$C$6*100</f>
        <v>5.5971181489134283E-4</v>
      </c>
      <c r="O69" s="44">
        <f>D69/$D$6*100</f>
        <v>5.9542655943473413E-4</v>
      </c>
      <c r="P69" s="44">
        <f t="shared" si="13"/>
        <v>4.1804969959867617E-4</v>
      </c>
      <c r="Q69" s="44">
        <f t="shared" si="38"/>
        <v>4.669075136237687E-4</v>
      </c>
      <c r="R69" s="44">
        <f t="shared" si="14"/>
        <v>5.3662896640727499E-4</v>
      </c>
      <c r="S69" s="44">
        <f t="shared" si="91"/>
        <v>4.4894269598191985E-4</v>
      </c>
      <c r="T69" s="44">
        <f t="shared" si="16"/>
        <v>2.8025496377657625E-4</v>
      </c>
      <c r="U69" s="44">
        <f t="shared" si="17"/>
        <v>3.7299098201061542E-4</v>
      </c>
      <c r="V69" s="44">
        <f t="shared" si="18"/>
        <v>5.2543424574103253E-4</v>
      </c>
      <c r="W69" s="44">
        <f>L69/$L$6*100</f>
        <v>8.6816299348975348E-4</v>
      </c>
      <c r="X69" s="57">
        <f t="shared" si="19"/>
        <v>7.4175653822098698E-4</v>
      </c>
      <c r="Y69" s="44">
        <f t="shared" si="92"/>
        <v>4.0307040502916101</v>
      </c>
      <c r="Z69" s="44">
        <f t="shared" si="92"/>
        <v>1.1694961473617325</v>
      </c>
      <c r="AA69" s="44">
        <f t="shared" si="92"/>
        <v>-21.21989734354144</v>
      </c>
      <c r="AB69" s="44">
        <f t="shared" si="92"/>
        <v>24.043332885721856</v>
      </c>
      <c r="AC69" s="44">
        <f t="shared" si="92"/>
        <v>44.196603827118494</v>
      </c>
      <c r="AD69" s="44">
        <f t="shared" si="92"/>
        <v>-18.457769625141392</v>
      </c>
      <c r="AE69" s="44">
        <f t="shared" si="93"/>
        <v>-60.290408149613228</v>
      </c>
      <c r="AF69" s="44">
        <f t="shared" si="10"/>
        <v>80.13898909057751</v>
      </c>
      <c r="AG69" s="44">
        <f t="shared" si="36"/>
        <v>97.655641967427684</v>
      </c>
      <c r="AH69" s="44">
        <f t="shared" si="94"/>
        <v>65.69139551522774</v>
      </c>
      <c r="AI69" s="44">
        <f t="shared" si="94"/>
        <v>-11.195315318007401</v>
      </c>
    </row>
    <row r="70" spans="1:35" s="18" customFormat="1" ht="19.5" customHeight="1" x14ac:dyDescent="0.25">
      <c r="A70" s="21" t="s">
        <v>69</v>
      </c>
      <c r="B70" s="3">
        <v>18679.239960000003</v>
      </c>
      <c r="C70" s="3">
        <v>16601.888460000002</v>
      </c>
      <c r="D70" s="3">
        <v>26700.98144</v>
      </c>
      <c r="E70" s="3">
        <v>23047.14327</v>
      </c>
      <c r="F70" s="3">
        <v>62420.500600000036</v>
      </c>
      <c r="G70" s="3">
        <v>141847.77479000008</v>
      </c>
      <c r="H70" s="3">
        <v>75988.124649999911</v>
      </c>
      <c r="I70" s="3">
        <v>35056.40070999998</v>
      </c>
      <c r="J70" s="3">
        <v>47883.587689999993</v>
      </c>
      <c r="K70" s="3">
        <v>83561.51863999998</v>
      </c>
      <c r="L70" s="66">
        <v>70895.967549999972</v>
      </c>
      <c r="M70" s="64">
        <v>71076.208530000018</v>
      </c>
      <c r="N70" s="43">
        <f>C70/$C$6*100</f>
        <v>5.4167385829910326E-2</v>
      </c>
      <c r="O70" s="44">
        <f>D70/$D$6*100</f>
        <v>9.1605542496606476E-2</v>
      </c>
      <c r="P70" s="44">
        <f t="shared" si="13"/>
        <v>7.0468462851255437E-2</v>
      </c>
      <c r="Q70" s="44">
        <f t="shared" si="38"/>
        <v>0.17184403608589632</v>
      </c>
      <c r="R70" s="44">
        <f t="shared" si="14"/>
        <v>0.3112561643202244</v>
      </c>
      <c r="S70" s="44">
        <f t="shared" si="91"/>
        <v>0.17107059775561861</v>
      </c>
      <c r="T70" s="44">
        <f t="shared" si="16"/>
        <v>0.12406919110246283</v>
      </c>
      <c r="U70" s="44">
        <f t="shared" si="17"/>
        <v>0.1252046925344581</v>
      </c>
      <c r="V70" s="44">
        <f t="shared" si="18"/>
        <v>0.15572239529850074</v>
      </c>
      <c r="W70" s="44">
        <f>L70/$L$6*100</f>
        <v>0.13174957528616146</v>
      </c>
      <c r="X70" s="57">
        <f t="shared" si="19"/>
        <v>0.12707969967736157</v>
      </c>
      <c r="Y70" s="44">
        <f>((C70-B70)/B70)*100</f>
        <v>-11.121177866168386</v>
      </c>
      <c r="Z70" s="44">
        <f>((D70-C70)/C70)*100</f>
        <v>60.830989223499429</v>
      </c>
      <c r="AA70" s="44">
        <f>((E70-D70)/D70)*100</f>
        <v>-13.684284145923886</v>
      </c>
      <c r="AB70" s="47" t="s">
        <v>147</v>
      </c>
      <c r="AC70" s="47" t="s">
        <v>147</v>
      </c>
      <c r="AD70" s="44">
        <f>((H70-G70)/G70)*100</f>
        <v>-46.429808460162825</v>
      </c>
      <c r="AE70" s="47">
        <f t="shared" si="93"/>
        <v>-53.865948302489109</v>
      </c>
      <c r="AF70" s="44">
        <f t="shared" si="10"/>
        <v>36.590142513806349</v>
      </c>
      <c r="AG70" s="44">
        <f t="shared" si="36"/>
        <v>74.509728011568697</v>
      </c>
      <c r="AH70" s="44">
        <f t="shared" si="94"/>
        <v>-15.157157620083209</v>
      </c>
      <c r="AI70" s="44">
        <f t="shared" si="94"/>
        <v>0.25423304911232014</v>
      </c>
    </row>
    <row r="71" spans="1:35" s="18" customFormat="1" ht="19.5" customHeight="1" x14ac:dyDescent="0.25">
      <c r="A71" s="19" t="s">
        <v>70</v>
      </c>
      <c r="B71" s="1"/>
      <c r="C71" s="1"/>
      <c r="D71" s="1"/>
      <c r="E71" s="3"/>
      <c r="F71" s="3"/>
      <c r="G71" s="3"/>
      <c r="H71" s="3"/>
      <c r="I71" s="3"/>
      <c r="J71" s="3"/>
      <c r="K71" s="3"/>
      <c r="L71" s="66"/>
      <c r="M71" s="64"/>
      <c r="N71" s="43"/>
      <c r="O71" s="44"/>
      <c r="P71" s="44"/>
      <c r="Q71" s="44"/>
      <c r="R71" s="44"/>
      <c r="S71" s="44"/>
      <c r="T71" s="44"/>
      <c r="U71" s="44"/>
      <c r="V71" s="44"/>
      <c r="W71" s="44"/>
      <c r="X71" s="57">
        <f t="shared" si="19"/>
        <v>0</v>
      </c>
      <c r="Y71" s="2"/>
      <c r="Z71" s="2"/>
      <c r="AA71" s="44"/>
      <c r="AB71" s="44"/>
      <c r="AC71" s="44"/>
      <c r="AD71" s="44"/>
      <c r="AE71" s="44"/>
      <c r="AF71" s="44"/>
      <c r="AG71" s="2"/>
      <c r="AH71" s="2"/>
      <c r="AI71" s="2"/>
    </row>
    <row r="72" spans="1:35" s="18" customFormat="1" ht="19.5" customHeight="1" x14ac:dyDescent="0.25">
      <c r="A72" s="25" t="s">
        <v>71</v>
      </c>
      <c r="B72" s="24">
        <f t="shared" ref="B72:G72" si="95">SUM(B73:B75)</f>
        <v>362537.66139999998</v>
      </c>
      <c r="C72" s="20">
        <f t="shared" si="95"/>
        <v>367690.94305</v>
      </c>
      <c r="D72" s="20">
        <f t="shared" si="95"/>
        <v>370744.87017000001</v>
      </c>
      <c r="E72" s="20">
        <f t="shared" si="95"/>
        <v>431307.89349000045</v>
      </c>
      <c r="F72" s="20">
        <f t="shared" si="95"/>
        <v>462322.00358000008</v>
      </c>
      <c r="G72" s="20">
        <f t="shared" si="95"/>
        <v>480319.25514000031</v>
      </c>
      <c r="H72" s="20">
        <f t="shared" ref="H72:I72" si="96">SUM(H73:H75)</f>
        <v>570319.70002999867</v>
      </c>
      <c r="I72" s="20">
        <f t="shared" si="96"/>
        <v>286693.42520000023</v>
      </c>
      <c r="J72" s="20">
        <f t="shared" ref="J72:M72" si="97">SUM(J73:J75)</f>
        <v>500843.52226999972</v>
      </c>
      <c r="K72" s="20">
        <f t="shared" si="97"/>
        <v>552528.07875000092</v>
      </c>
      <c r="L72" s="20">
        <f t="shared" si="97"/>
        <v>613070.70119000063</v>
      </c>
      <c r="M72" s="69">
        <f t="shared" si="97"/>
        <v>557112.50421999919</v>
      </c>
      <c r="N72" s="53">
        <f>C72/$C$6*100</f>
        <v>1.1996741952784409</v>
      </c>
      <c r="O72" s="2">
        <f>D72/$D$6*100</f>
        <v>1.271948937010938</v>
      </c>
      <c r="P72" s="2">
        <f t="shared" si="13"/>
        <v>1.3187579872172734</v>
      </c>
      <c r="Q72" s="44">
        <f t="shared" si="38"/>
        <v>1.2727754231837318</v>
      </c>
      <c r="R72" s="44">
        <f t="shared" si="14"/>
        <v>1.0539631603340687</v>
      </c>
      <c r="S72" s="44">
        <f t="shared" si="91"/>
        <v>1.2839497282676668</v>
      </c>
      <c r="T72" s="44">
        <f t="shared" si="16"/>
        <v>1.0146455608265574</v>
      </c>
      <c r="U72" s="44">
        <f t="shared" si="17"/>
        <v>1.3095919131971447</v>
      </c>
      <c r="V72" s="44">
        <f t="shared" si="18"/>
        <v>1.0296724771519639</v>
      </c>
      <c r="W72" s="44">
        <f>L72/$L$6*100</f>
        <v>1.1393004044300092</v>
      </c>
      <c r="X72" s="57">
        <f t="shared" si="19"/>
        <v>0.99608140595875871</v>
      </c>
      <c r="Y72" s="2">
        <f t="shared" ref="Y72:AD75" si="98">((C72-B72)/B72)*100</f>
        <v>1.4214472587757523</v>
      </c>
      <c r="Z72" s="2">
        <f t="shared" si="98"/>
        <v>0.83056903568732265</v>
      </c>
      <c r="AA72" s="2">
        <f t="shared" si="98"/>
        <v>16.33549866576174</v>
      </c>
      <c r="AB72" s="2">
        <f t="shared" si="98"/>
        <v>7.1907123792805479</v>
      </c>
      <c r="AC72" s="2">
        <f t="shared" si="98"/>
        <v>3.8927958047936597</v>
      </c>
      <c r="AD72" s="2">
        <f t="shared" si="98"/>
        <v>18.737630008975096</v>
      </c>
      <c r="AE72" s="2">
        <f t="shared" ref="AE72:AE75" si="99">((I72-H72)/H72)*100</f>
        <v>-49.731102540396158</v>
      </c>
      <c r="AF72" s="2">
        <f t="shared" ref="AF72:AF133" si="100">((J72-I72)/I72)*100</f>
        <v>74.696549779823599</v>
      </c>
      <c r="AG72" s="2">
        <f t="shared" si="36"/>
        <v>10.319501836771</v>
      </c>
      <c r="AH72" s="2">
        <f t="shared" ref="AH72:AI75" si="101">((L72-K72)/K72)*100</f>
        <v>10.957383844992441</v>
      </c>
      <c r="AI72" s="2">
        <f t="shared" si="101"/>
        <v>-9.1275275202980364</v>
      </c>
    </row>
    <row r="73" spans="1:35" s="8" customFormat="1" ht="26.25" customHeight="1" x14ac:dyDescent="0.25">
      <c r="A73" s="22" t="s">
        <v>72</v>
      </c>
      <c r="B73" s="3">
        <v>63.627110000000002</v>
      </c>
      <c r="C73" s="3">
        <v>64.016589999999994</v>
      </c>
      <c r="D73" s="3">
        <v>48.185749999999999</v>
      </c>
      <c r="E73" s="3">
        <v>33.417070000000002</v>
      </c>
      <c r="F73" s="3">
        <v>64.190049999999985</v>
      </c>
      <c r="G73" s="3">
        <v>62.705839999999995</v>
      </c>
      <c r="H73" s="3">
        <v>89.669120000000007</v>
      </c>
      <c r="I73" s="3">
        <v>68.010639999999981</v>
      </c>
      <c r="J73" s="3">
        <v>73.176709999999986</v>
      </c>
      <c r="K73" s="3">
        <v>136.98570000000001</v>
      </c>
      <c r="L73" s="66">
        <v>50.675380000000004</v>
      </c>
      <c r="M73" s="64">
        <v>100.26253999999999</v>
      </c>
      <c r="N73" s="43">
        <f>C73/$C$6*100</f>
        <v>2.0886848736515235E-4</v>
      </c>
      <c r="O73" s="44">
        <f>D73/$D$6*100</f>
        <v>1.653153379127571E-4</v>
      </c>
      <c r="P73" s="44">
        <f t="shared" ref="P73:P136" si="102">E73/$E$6*100</f>
        <v>1.0217533376286433E-4</v>
      </c>
      <c r="Q73" s="44">
        <f t="shared" si="38"/>
        <v>1.7671561686507012E-4</v>
      </c>
      <c r="R73" s="44">
        <f t="shared" ref="R73:R136" si="103">G73/$G$6*100</f>
        <v>1.3759524439331311E-4</v>
      </c>
      <c r="S73" s="44">
        <f t="shared" si="91"/>
        <v>2.0187035841817314E-4</v>
      </c>
      <c r="T73" s="44">
        <f t="shared" ref="T73:T136" si="104">I73/$I$6*100</f>
        <v>2.4069855776020436E-4</v>
      </c>
      <c r="U73" s="44">
        <f t="shared" ref="U73:U136" si="105">J73/$J$6*100</f>
        <v>1.9134045543013083E-4</v>
      </c>
      <c r="V73" s="44">
        <f t="shared" ref="V73:V136" si="106">K73/$K$6*100</f>
        <v>2.5528187702695198E-4</v>
      </c>
      <c r="W73" s="44">
        <f>L73/$L$6*100</f>
        <v>9.4172631013974287E-5</v>
      </c>
      <c r="X73" s="57">
        <f t="shared" ref="X73:X136" si="107">M73/$M$6*100</f>
        <v>1.7926298737096474E-4</v>
      </c>
      <c r="Y73" s="44">
        <f t="shared" si="98"/>
        <v>0.61212901230307615</v>
      </c>
      <c r="Z73" s="44">
        <f t="shared" si="98"/>
        <v>-24.729277207673817</v>
      </c>
      <c r="AA73" s="44">
        <f t="shared" si="98"/>
        <v>-30.649476245570519</v>
      </c>
      <c r="AB73" s="44">
        <f t="shared" si="98"/>
        <v>92.087606723150714</v>
      </c>
      <c r="AC73" s="44">
        <f t="shared" si="98"/>
        <v>-2.3122119393893454</v>
      </c>
      <c r="AD73" s="44">
        <f t="shared" si="98"/>
        <v>42.999631294310092</v>
      </c>
      <c r="AE73" s="44">
        <f t="shared" si="99"/>
        <v>-24.153777799982898</v>
      </c>
      <c r="AF73" s="44">
        <f t="shared" si="100"/>
        <v>7.5959732183082034</v>
      </c>
      <c r="AG73" s="44">
        <f t="shared" si="36"/>
        <v>87.198495258942415</v>
      </c>
      <c r="AH73" s="44">
        <f t="shared" si="101"/>
        <v>-63.006810199896776</v>
      </c>
      <c r="AI73" s="44">
        <f t="shared" si="101"/>
        <v>97.852566670442286</v>
      </c>
    </row>
    <row r="74" spans="1:35" s="8" customFormat="1" ht="31.5" customHeight="1" x14ac:dyDescent="0.25">
      <c r="A74" s="21" t="s">
        <v>73</v>
      </c>
      <c r="B74" s="3">
        <v>233262.83769000001</v>
      </c>
      <c r="C74" s="3">
        <v>246892.78259000002</v>
      </c>
      <c r="D74" s="3">
        <v>227745.31716999999</v>
      </c>
      <c r="E74" s="3">
        <v>245423.28568999964</v>
      </c>
      <c r="F74" s="3">
        <v>269761.29278000037</v>
      </c>
      <c r="G74" s="3">
        <v>308797.33977000049</v>
      </c>
      <c r="H74" s="3">
        <v>337672.78063999891</v>
      </c>
      <c r="I74" s="3">
        <v>216811.42031000022</v>
      </c>
      <c r="J74" s="3">
        <v>324103.76238999981</v>
      </c>
      <c r="K74" s="3">
        <v>396451.38710000052</v>
      </c>
      <c r="L74" s="66">
        <v>389764.57553000015</v>
      </c>
      <c r="M74" s="64">
        <v>366758.51842999994</v>
      </c>
      <c r="N74" s="43">
        <f>C74/$C$6*100</f>
        <v>0.80554309501563148</v>
      </c>
      <c r="O74" s="44">
        <f>D74/$D$6*100</f>
        <v>0.78134705936934856</v>
      </c>
      <c r="P74" s="44">
        <f t="shared" si="102"/>
        <v>0.75040110125018489</v>
      </c>
      <c r="Q74" s="44">
        <f t="shared" si="38"/>
        <v>0.74265455876629738</v>
      </c>
      <c r="R74" s="44">
        <f t="shared" si="103"/>
        <v>0.67759311467094874</v>
      </c>
      <c r="S74" s="44">
        <f t="shared" si="91"/>
        <v>0.76019621086788558</v>
      </c>
      <c r="T74" s="44">
        <f t="shared" si="104"/>
        <v>0.76732399775327143</v>
      </c>
      <c r="U74" s="44">
        <f t="shared" si="105"/>
        <v>0.84745763375152394</v>
      </c>
      <c r="V74" s="44">
        <f t="shared" si="106"/>
        <v>0.7388132794067328</v>
      </c>
      <c r="W74" s="44">
        <f>L74/$L$6*100</f>
        <v>0.72431929575476317</v>
      </c>
      <c r="X74" s="57">
        <f t="shared" si="107"/>
        <v>0.65574069495457454</v>
      </c>
      <c r="Y74" s="44">
        <f t="shared" si="98"/>
        <v>5.8431703202178431</v>
      </c>
      <c r="Z74" s="44">
        <f t="shared" si="98"/>
        <v>-7.7553767344414704</v>
      </c>
      <c r="AA74" s="44">
        <f t="shared" si="98"/>
        <v>7.7621655363407385</v>
      </c>
      <c r="AB74" s="44">
        <f t="shared" si="98"/>
        <v>9.9167473133509745</v>
      </c>
      <c r="AC74" s="44">
        <f t="shared" si="98"/>
        <v>14.470588640689588</v>
      </c>
      <c r="AD74" s="44">
        <f t="shared" si="98"/>
        <v>9.3509357598435034</v>
      </c>
      <c r="AE74" s="44">
        <f t="shared" si="99"/>
        <v>-35.792449749999804</v>
      </c>
      <c r="AF74" s="44">
        <f t="shared" si="100"/>
        <v>49.486480890439907</v>
      </c>
      <c r="AG74" s="44">
        <f t="shared" si="36"/>
        <v>22.322364966236808</v>
      </c>
      <c r="AH74" s="44">
        <f t="shared" si="101"/>
        <v>-1.6866662061428717</v>
      </c>
      <c r="AI74" s="44">
        <f t="shared" si="101"/>
        <v>-5.9025520902500368</v>
      </c>
    </row>
    <row r="75" spans="1:35" s="8" customFormat="1" ht="19.5" customHeight="1" x14ac:dyDescent="0.25">
      <c r="A75" s="21" t="s">
        <v>74</v>
      </c>
      <c r="B75" s="3">
        <v>129211.19659999995</v>
      </c>
      <c r="C75" s="3">
        <v>120734.14387</v>
      </c>
      <c r="D75" s="3">
        <v>142951.36725000001</v>
      </c>
      <c r="E75" s="3">
        <v>185851.19073000082</v>
      </c>
      <c r="F75" s="3">
        <v>192496.52074999973</v>
      </c>
      <c r="G75" s="3">
        <v>171459.20952999982</v>
      </c>
      <c r="H75" s="3">
        <v>232557.25026999979</v>
      </c>
      <c r="I75" s="3">
        <v>69813.994250000032</v>
      </c>
      <c r="J75" s="3">
        <v>176666.58316999991</v>
      </c>
      <c r="K75" s="3">
        <v>155939.70595000038</v>
      </c>
      <c r="L75" s="66">
        <v>223255.45028000048</v>
      </c>
      <c r="M75" s="64">
        <v>190253.7232499992</v>
      </c>
      <c r="N75" s="43">
        <f>C75/$C$6*100</f>
        <v>0.39392223177544416</v>
      </c>
      <c r="O75" s="44">
        <f>D75/$D$6*100</f>
        <v>0.49043656230367672</v>
      </c>
      <c r="P75" s="44">
        <f t="shared" si="102"/>
        <v>0.56825471063332567</v>
      </c>
      <c r="Q75" s="44">
        <f t="shared" si="38"/>
        <v>0.52994414880056939</v>
      </c>
      <c r="R75" s="44">
        <f t="shared" si="103"/>
        <v>0.37623245041872666</v>
      </c>
      <c r="S75" s="44">
        <f t="shared" si="91"/>
        <v>0.52355164704136326</v>
      </c>
      <c r="T75" s="44">
        <f t="shared" si="104"/>
        <v>0.24708086451552599</v>
      </c>
      <c r="U75" s="44">
        <f t="shared" si="105"/>
        <v>0.46194293899019062</v>
      </c>
      <c r="V75" s="44">
        <f t="shared" si="106"/>
        <v>0.29060391586820417</v>
      </c>
      <c r="W75" s="44">
        <f>L75/$L$6*100</f>
        <v>0.41488693604423221</v>
      </c>
      <c r="X75" s="57">
        <f t="shared" si="107"/>
        <v>0.34016144801681297</v>
      </c>
      <c r="Y75" s="44">
        <f t="shared" si="98"/>
        <v>-6.5606177738934086</v>
      </c>
      <c r="Z75" s="44">
        <f t="shared" si="98"/>
        <v>18.401773241480317</v>
      </c>
      <c r="AA75" s="44">
        <f t="shared" si="98"/>
        <v>30.010082663270786</v>
      </c>
      <c r="AB75" s="44">
        <f t="shared" si="98"/>
        <v>3.575618748471221</v>
      </c>
      <c r="AC75" s="44">
        <f t="shared" si="98"/>
        <v>-10.92867088612039</v>
      </c>
      <c r="AD75" s="44">
        <f t="shared" si="98"/>
        <v>35.634155148318108</v>
      </c>
      <c r="AE75" s="44">
        <f t="shared" si="99"/>
        <v>-69.979867680347212</v>
      </c>
      <c r="AF75" s="47" t="s">
        <v>147</v>
      </c>
      <c r="AG75" s="44">
        <f t="shared" si="36"/>
        <v>-11.732200197733377</v>
      </c>
      <c r="AH75" s="44">
        <f t="shared" si="101"/>
        <v>43.167802529769958</v>
      </c>
      <c r="AI75" s="44">
        <f t="shared" si="101"/>
        <v>-14.782047644799482</v>
      </c>
    </row>
    <row r="76" spans="1:35" s="18" customFormat="1" ht="19.5" customHeight="1" x14ac:dyDescent="0.25">
      <c r="A76" s="19" t="s">
        <v>75</v>
      </c>
      <c r="B76" s="1"/>
      <c r="C76" s="1"/>
      <c r="D76" s="1"/>
      <c r="E76" s="3"/>
      <c r="F76" s="3"/>
      <c r="G76" s="3"/>
      <c r="H76" s="3"/>
      <c r="I76" s="3"/>
      <c r="J76" s="3"/>
      <c r="K76" s="3"/>
      <c r="L76" s="66"/>
      <c r="M76" s="64"/>
      <c r="N76" s="43"/>
      <c r="O76" s="44"/>
      <c r="P76" s="44"/>
      <c r="Q76" s="2"/>
      <c r="R76" s="2"/>
      <c r="S76" s="2"/>
      <c r="T76" s="2"/>
      <c r="U76" s="2"/>
      <c r="V76" s="2"/>
      <c r="W76" s="2"/>
      <c r="X76" s="61"/>
      <c r="Y76" s="2"/>
      <c r="Z76" s="2"/>
      <c r="AA76" s="44"/>
      <c r="AB76" s="44"/>
      <c r="AC76" s="44"/>
      <c r="AD76" s="44"/>
      <c r="AE76" s="44"/>
      <c r="AF76" s="44"/>
      <c r="AG76" s="2"/>
      <c r="AH76" s="2"/>
      <c r="AI76" s="2"/>
    </row>
    <row r="77" spans="1:35" s="18" customFormat="1" ht="19.5" customHeight="1" x14ac:dyDescent="0.25">
      <c r="A77" s="45" t="s">
        <v>76</v>
      </c>
      <c r="B77" s="24">
        <f t="shared" ref="B77:M77" si="108">SUM(B78:B91)</f>
        <v>690583.77870000002</v>
      </c>
      <c r="C77" s="20">
        <f t="shared" si="108"/>
        <v>721937.74872999999</v>
      </c>
      <c r="D77" s="20">
        <f t="shared" si="108"/>
        <v>726293.07285999996</v>
      </c>
      <c r="E77" s="20">
        <f t="shared" si="108"/>
        <v>803431.40315999964</v>
      </c>
      <c r="F77" s="20">
        <f t="shared" si="108"/>
        <v>836940.1044500001</v>
      </c>
      <c r="G77" s="20">
        <f t="shared" si="108"/>
        <v>1026687.9543200012</v>
      </c>
      <c r="H77" s="20">
        <f t="shared" si="108"/>
        <v>1027103.022559999</v>
      </c>
      <c r="I77" s="20">
        <f t="shared" si="108"/>
        <v>717999.87025999953</v>
      </c>
      <c r="J77" s="20">
        <f t="shared" si="108"/>
        <v>1068058.8184200004</v>
      </c>
      <c r="K77" s="20">
        <f t="shared" si="108"/>
        <v>1269790.3624500008</v>
      </c>
      <c r="L77" s="20">
        <f t="shared" si="108"/>
        <v>1362607.7017900001</v>
      </c>
      <c r="M77" s="69">
        <f t="shared" si="108"/>
        <v>1197133.1857699999</v>
      </c>
      <c r="N77" s="53">
        <f t="shared" ref="N77:N91" si="109">C77/$C$6*100</f>
        <v>2.3554838761177148</v>
      </c>
      <c r="O77" s="2">
        <f t="shared" ref="O77:O91" si="110">D77/$D$6*100</f>
        <v>2.4917612523110177</v>
      </c>
      <c r="P77" s="2">
        <f t="shared" si="102"/>
        <v>2.4565550412839716</v>
      </c>
      <c r="Q77" s="2">
        <f t="shared" si="38"/>
        <v>2.3041014430896696</v>
      </c>
      <c r="R77" s="2">
        <f t="shared" si="103"/>
        <v>2.2528584257914614</v>
      </c>
      <c r="S77" s="2">
        <f t="shared" ref="S77:S91" si="111">H77/$H$6*100</f>
        <v>2.3122972021647583</v>
      </c>
      <c r="T77" s="2">
        <f t="shared" si="104"/>
        <v>2.5410955292230124</v>
      </c>
      <c r="U77" s="2">
        <f t="shared" si="105"/>
        <v>2.7927309213908402</v>
      </c>
      <c r="V77" s="2">
        <f t="shared" si="106"/>
        <v>2.3663379984696937</v>
      </c>
      <c r="W77" s="2">
        <f t="shared" ref="W77:W91" si="112">L77/$L$6*100</f>
        <v>2.532203060292181</v>
      </c>
      <c r="X77" s="61">
        <f t="shared" si="107"/>
        <v>2.1403973125162232</v>
      </c>
      <c r="Y77" s="2">
        <f t="shared" ref="Y77:Y91" si="113">((C77-B77)/B77)*100</f>
        <v>4.5402123532386947</v>
      </c>
      <c r="Z77" s="2">
        <f t="shared" ref="Z77:Z91" si="114">((D77-C77)/C77)*100</f>
        <v>0.60328250429647878</v>
      </c>
      <c r="AA77" s="2">
        <f t="shared" ref="AA77:AA91" si="115">((E77-D77)/D77)*100</f>
        <v>10.62082693371204</v>
      </c>
      <c r="AB77" s="2">
        <f t="shared" ref="AB77:AB91" si="116">((F77-E77)/E77)*100</f>
        <v>4.1706984763361756</v>
      </c>
      <c r="AC77" s="2">
        <f t="shared" ref="AC77:AC91" si="117">((G77-F77)/F77)*100</f>
        <v>22.671616387016723</v>
      </c>
      <c r="AD77" s="2">
        <f t="shared" ref="AD77:AD91" si="118">((H77-G77)/G77)*100</f>
        <v>4.042788641391519E-2</v>
      </c>
      <c r="AE77" s="2">
        <f t="shared" ref="AE77:AE91" si="119">((I77-H77)/H77)*100</f>
        <v>-30.094659007971419</v>
      </c>
      <c r="AF77" s="2">
        <f t="shared" si="100"/>
        <v>48.754736965793427</v>
      </c>
      <c r="AG77" s="2">
        <f t="shared" si="36"/>
        <v>18.887681141795706</v>
      </c>
      <c r="AH77" s="2">
        <f t="shared" ref="AH77:AI91" si="120">((L77-K77)/K77)*100</f>
        <v>7.3096585140961814</v>
      </c>
      <c r="AI77" s="2">
        <f t="shared" si="120"/>
        <v>-12.143958661221667</v>
      </c>
    </row>
    <row r="78" spans="1:35" s="18" customFormat="1" ht="19.5" customHeight="1" x14ac:dyDescent="0.25">
      <c r="A78" s="21" t="s">
        <v>77</v>
      </c>
      <c r="B78" s="3">
        <v>1686.2309700000001</v>
      </c>
      <c r="C78" s="3">
        <v>2900.3989500000002</v>
      </c>
      <c r="D78" s="3">
        <v>1837.9686000000002</v>
      </c>
      <c r="E78" s="3">
        <v>1386.0233700000001</v>
      </c>
      <c r="F78" s="3">
        <v>2333.1932599999986</v>
      </c>
      <c r="G78" s="3">
        <v>4711.5979899999984</v>
      </c>
      <c r="H78" s="3">
        <v>7012.4340400000001</v>
      </c>
      <c r="I78" s="3">
        <v>11007.237509999999</v>
      </c>
      <c r="J78" s="3">
        <v>6636.5010399999992</v>
      </c>
      <c r="K78" s="3">
        <v>9273.422419999999</v>
      </c>
      <c r="L78" s="66">
        <v>6572.1641500000005</v>
      </c>
      <c r="M78" s="64">
        <v>5381.6379700000016</v>
      </c>
      <c r="N78" s="43">
        <f t="shared" si="109"/>
        <v>9.4632022955608262E-3</v>
      </c>
      <c r="O78" s="44">
        <f t="shared" si="110"/>
        <v>6.3056899639838985E-3</v>
      </c>
      <c r="P78" s="44">
        <f t="shared" si="102"/>
        <v>4.2378760445748237E-3</v>
      </c>
      <c r="Q78" s="44">
        <f t="shared" si="38"/>
        <v>6.4232959190142994E-3</v>
      </c>
      <c r="R78" s="44">
        <f t="shared" si="103"/>
        <v>1.0338645920652569E-2</v>
      </c>
      <c r="S78" s="44">
        <f t="shared" si="111"/>
        <v>1.5786957349850181E-2</v>
      </c>
      <c r="T78" s="44">
        <f t="shared" si="104"/>
        <v>3.8956054428851479E-2</v>
      </c>
      <c r="U78" s="44">
        <f t="shared" si="105"/>
        <v>1.7352941003444089E-2</v>
      </c>
      <c r="V78" s="44">
        <f t="shared" si="106"/>
        <v>1.7281633643814055E-2</v>
      </c>
      <c r="W78" s="44">
        <f t="shared" si="112"/>
        <v>1.2213386253072398E-2</v>
      </c>
      <c r="X78" s="57">
        <f t="shared" si="107"/>
        <v>9.6220233344498831E-3</v>
      </c>
      <c r="Y78" s="44">
        <f t="shared" si="113"/>
        <v>72.004844033910729</v>
      </c>
      <c r="Z78" s="44">
        <f t="shared" si="114"/>
        <v>-36.630490091716524</v>
      </c>
      <c r="AA78" s="44">
        <f t="shared" si="115"/>
        <v>-24.589387979751123</v>
      </c>
      <c r="AB78" s="44">
        <f t="shared" si="116"/>
        <v>68.337223635702372</v>
      </c>
      <c r="AC78" s="47" t="s">
        <v>147</v>
      </c>
      <c r="AD78" s="44">
        <f t="shared" si="118"/>
        <v>48.833454273546849</v>
      </c>
      <c r="AE78" s="44">
        <f t="shared" si="119"/>
        <v>56.967430241953465</v>
      </c>
      <c r="AF78" s="44">
        <f t="shared" si="100"/>
        <v>-39.707841917912788</v>
      </c>
      <c r="AG78" s="44">
        <f t="shared" si="36"/>
        <v>39.733609082656002</v>
      </c>
      <c r="AH78" s="44">
        <f t="shared" si="120"/>
        <v>-29.129032925041699</v>
      </c>
      <c r="AI78" s="44">
        <f t="shared" si="120"/>
        <v>-18.114675057225995</v>
      </c>
    </row>
    <row r="79" spans="1:35" s="18" customFormat="1" ht="19.5" customHeight="1" x14ac:dyDescent="0.25">
      <c r="A79" s="21" t="s">
        <v>78</v>
      </c>
      <c r="B79" s="3">
        <v>202.26059000000004</v>
      </c>
      <c r="C79" s="3">
        <v>337.22800000000001</v>
      </c>
      <c r="D79" s="3">
        <v>1027.4890699999999</v>
      </c>
      <c r="E79" s="3">
        <v>1366.9774199999995</v>
      </c>
      <c r="F79" s="3">
        <v>1573.2471599999999</v>
      </c>
      <c r="G79" s="3">
        <v>2631.3972900000012</v>
      </c>
      <c r="H79" s="3">
        <v>3066.2075600000012</v>
      </c>
      <c r="I79" s="3">
        <v>1184.4059199999999</v>
      </c>
      <c r="J79" s="3">
        <v>3366.2979899999987</v>
      </c>
      <c r="K79" s="3">
        <v>6344.1697199999999</v>
      </c>
      <c r="L79" s="66">
        <v>4778.6726200000012</v>
      </c>
      <c r="M79" s="64">
        <v>3308.1100699999997</v>
      </c>
      <c r="N79" s="43">
        <f t="shared" si="109"/>
        <v>1.1002820090413377E-3</v>
      </c>
      <c r="O79" s="44">
        <f t="shared" si="110"/>
        <v>3.525102396636236E-3</v>
      </c>
      <c r="P79" s="44">
        <f t="shared" si="102"/>
        <v>4.1796415465149726E-3</v>
      </c>
      <c r="Q79" s="44">
        <f t="shared" si="38"/>
        <v>4.3311594610164622E-3</v>
      </c>
      <c r="R79" s="44">
        <f t="shared" si="103"/>
        <v>5.7740675065265368E-3</v>
      </c>
      <c r="S79" s="44">
        <f t="shared" si="111"/>
        <v>6.9028938738521393E-3</v>
      </c>
      <c r="T79" s="44">
        <f t="shared" si="104"/>
        <v>4.1917675932272962E-3</v>
      </c>
      <c r="U79" s="44">
        <f t="shared" si="105"/>
        <v>8.8021037092284385E-3</v>
      </c>
      <c r="V79" s="44">
        <f t="shared" si="106"/>
        <v>1.1822778248380324E-2</v>
      </c>
      <c r="W79" s="44">
        <f t="shared" si="112"/>
        <v>8.8804499024939098E-3</v>
      </c>
      <c r="X79" s="57">
        <f t="shared" si="107"/>
        <v>5.9146885137776415E-3</v>
      </c>
      <c r="Y79" s="44">
        <f t="shared" si="113"/>
        <v>66.729465191414675</v>
      </c>
      <c r="Z79" s="47" t="s">
        <v>147</v>
      </c>
      <c r="AA79" s="44">
        <f t="shared" si="115"/>
        <v>33.040580178629021</v>
      </c>
      <c r="AB79" s="44">
        <f t="shared" si="116"/>
        <v>15.089476752293427</v>
      </c>
      <c r="AC79" s="44">
        <f t="shared" si="117"/>
        <v>67.258988727492849</v>
      </c>
      <c r="AD79" s="44">
        <f t="shared" si="118"/>
        <v>16.523930903645482</v>
      </c>
      <c r="AE79" s="44">
        <f t="shared" si="119"/>
        <v>-61.372284921246511</v>
      </c>
      <c r="AF79" s="47" t="s">
        <v>147</v>
      </c>
      <c r="AG79" s="44">
        <f t="shared" ref="AG79:AG141" si="121">((K79-J79)/J79)*100</f>
        <v>88.461322760080492</v>
      </c>
      <c r="AH79" s="44">
        <f t="shared" si="120"/>
        <v>-24.676154155598454</v>
      </c>
      <c r="AI79" s="44">
        <f t="shared" si="120"/>
        <v>-30.773452524144691</v>
      </c>
    </row>
    <row r="80" spans="1:35" s="18" customFormat="1" ht="19.5" customHeight="1" x14ac:dyDescent="0.25">
      <c r="A80" s="21" t="s">
        <v>79</v>
      </c>
      <c r="B80" s="3">
        <v>37810.79639000001</v>
      </c>
      <c r="C80" s="3">
        <v>38862.495780000005</v>
      </c>
      <c r="D80" s="3">
        <v>35077.59663</v>
      </c>
      <c r="E80" s="3">
        <v>34190.684360000036</v>
      </c>
      <c r="F80" s="3">
        <v>33366.156129999988</v>
      </c>
      <c r="G80" s="3">
        <v>34891.330259999981</v>
      </c>
      <c r="H80" s="3">
        <v>34403.913680000012</v>
      </c>
      <c r="I80" s="3">
        <v>18849.543119999998</v>
      </c>
      <c r="J80" s="3">
        <v>28103.430259999994</v>
      </c>
      <c r="K80" s="3">
        <v>30176.673150000002</v>
      </c>
      <c r="L80" s="66">
        <v>32685.077450000001</v>
      </c>
      <c r="M80" s="64">
        <v>26893.243180000005</v>
      </c>
      <c r="N80" s="43">
        <f t="shared" si="109"/>
        <v>0.12679761150669253</v>
      </c>
      <c r="O80" s="44">
        <f t="shared" si="110"/>
        <v>0.12034397596915768</v>
      </c>
      <c r="P80" s="44">
        <f t="shared" si="102"/>
        <v>0.1045407208370976</v>
      </c>
      <c r="Q80" s="44">
        <f t="shared" ref="Q80:Q143" si="122">F80/$F$6*100</f>
        <v>9.1857240536955348E-2</v>
      </c>
      <c r="R80" s="44">
        <f t="shared" si="103"/>
        <v>7.6561945655021904E-2</v>
      </c>
      <c r="S80" s="44">
        <f t="shared" si="111"/>
        <v>7.7452866556173311E-2</v>
      </c>
      <c r="T80" s="44">
        <f t="shared" si="104"/>
        <v>6.6711000564364395E-2</v>
      </c>
      <c r="U80" s="44">
        <f t="shared" si="105"/>
        <v>7.3484079088788221E-2</v>
      </c>
      <c r="V80" s="44">
        <f t="shared" si="106"/>
        <v>5.6236218555373474E-2</v>
      </c>
      <c r="W80" s="44">
        <f t="shared" si="112"/>
        <v>6.0740338569972657E-2</v>
      </c>
      <c r="X80" s="57">
        <f t="shared" si="107"/>
        <v>4.8083392985462221E-2</v>
      </c>
      <c r="Y80" s="44">
        <f t="shared" si="113"/>
        <v>2.781479075849727</v>
      </c>
      <c r="Z80" s="44">
        <f t="shared" si="114"/>
        <v>-9.7392076191561685</v>
      </c>
      <c r="AA80" s="44">
        <f t="shared" si="115"/>
        <v>-2.5284294113851447</v>
      </c>
      <c r="AB80" s="44">
        <f t="shared" si="116"/>
        <v>-2.4115581347200807</v>
      </c>
      <c r="AC80" s="44">
        <f t="shared" si="117"/>
        <v>4.5710213788416771</v>
      </c>
      <c r="AD80" s="44">
        <f t="shared" si="118"/>
        <v>-1.3969561388685456</v>
      </c>
      <c r="AE80" s="44">
        <f t="shared" si="119"/>
        <v>-45.211049837746273</v>
      </c>
      <c r="AF80" s="44">
        <f t="shared" si="100"/>
        <v>49.09342937962942</v>
      </c>
      <c r="AG80" s="44">
        <f t="shared" si="121"/>
        <v>7.3771880187554348</v>
      </c>
      <c r="AH80" s="44">
        <f t="shared" si="120"/>
        <v>8.3123950991264195</v>
      </c>
      <c r="AI80" s="44">
        <f t="shared" si="120"/>
        <v>-17.72011793106519</v>
      </c>
    </row>
    <row r="81" spans="1:35" s="18" customFormat="1" ht="19.5" customHeight="1" x14ac:dyDescent="0.25">
      <c r="A81" s="21" t="s">
        <v>80</v>
      </c>
      <c r="B81" s="3">
        <v>3480.3827699999997</v>
      </c>
      <c r="C81" s="3">
        <v>6441.4242300000005</v>
      </c>
      <c r="D81" s="3">
        <v>6865.2870000000003</v>
      </c>
      <c r="E81" s="3">
        <v>6158.5534500000022</v>
      </c>
      <c r="F81" s="3">
        <v>5558.5612100000008</v>
      </c>
      <c r="G81" s="3">
        <v>6931.407729999999</v>
      </c>
      <c r="H81" s="3">
        <v>6947.4182700000001</v>
      </c>
      <c r="I81" s="3">
        <v>3355.6512900000002</v>
      </c>
      <c r="J81" s="3">
        <v>5038.8642199999986</v>
      </c>
      <c r="K81" s="3">
        <v>7438.0109700000012</v>
      </c>
      <c r="L81" s="66">
        <v>7346.4366899999986</v>
      </c>
      <c r="M81" s="64">
        <v>7650.5032899999997</v>
      </c>
      <c r="N81" s="43">
        <f t="shared" si="109"/>
        <v>2.1016591720948292E-2</v>
      </c>
      <c r="O81" s="44">
        <f t="shared" si="110"/>
        <v>2.355337916859359E-2</v>
      </c>
      <c r="P81" s="44">
        <f t="shared" si="102"/>
        <v>1.8830264121007311E-2</v>
      </c>
      <c r="Q81" s="44">
        <f t="shared" si="122"/>
        <v>1.5302754447260923E-2</v>
      </c>
      <c r="R81" s="44">
        <f t="shared" si="103"/>
        <v>1.5209568049786903E-2</v>
      </c>
      <c r="S81" s="44">
        <f t="shared" si="111"/>
        <v>1.5640588602250857E-2</v>
      </c>
      <c r="T81" s="44">
        <f t="shared" si="104"/>
        <v>1.1876089180298401E-2</v>
      </c>
      <c r="U81" s="44">
        <f t="shared" si="105"/>
        <v>1.3175484040009325E-2</v>
      </c>
      <c r="V81" s="44">
        <f t="shared" si="106"/>
        <v>1.3861223483682312E-2</v>
      </c>
      <c r="W81" s="44">
        <f t="shared" si="112"/>
        <v>1.3652256217415486E-2</v>
      </c>
      <c r="X81" s="57">
        <f t="shared" si="107"/>
        <v>1.3678608926691807E-2</v>
      </c>
      <c r="Y81" s="44">
        <f t="shared" si="113"/>
        <v>85.078040424846748</v>
      </c>
      <c r="Z81" s="44">
        <f t="shared" si="114"/>
        <v>6.5802647809768562</v>
      </c>
      <c r="AA81" s="44">
        <f t="shared" si="115"/>
        <v>-10.294304520699542</v>
      </c>
      <c r="AB81" s="44">
        <f t="shared" si="116"/>
        <v>-9.7424215746637906</v>
      </c>
      <c r="AC81" s="44">
        <f t="shared" si="117"/>
        <v>24.69787536980272</v>
      </c>
      <c r="AD81" s="44">
        <f t="shared" si="118"/>
        <v>0.23098540186440786</v>
      </c>
      <c r="AE81" s="44">
        <f t="shared" si="119"/>
        <v>-51.699305273007546</v>
      </c>
      <c r="AF81" s="44">
        <f t="shared" si="100"/>
        <v>50.160543648145214</v>
      </c>
      <c r="AG81" s="44">
        <f t="shared" si="121"/>
        <v>47.612847761950675</v>
      </c>
      <c r="AH81" s="44">
        <f t="shared" si="120"/>
        <v>-1.2311662401326429</v>
      </c>
      <c r="AI81" s="44">
        <f t="shared" si="120"/>
        <v>4.1389671323772212</v>
      </c>
    </row>
    <row r="82" spans="1:35" s="18" customFormat="1" ht="19.5" customHeight="1" x14ac:dyDescent="0.25">
      <c r="A82" s="21" t="s">
        <v>81</v>
      </c>
      <c r="B82" s="3">
        <v>46134.655310000009</v>
      </c>
      <c r="C82" s="3">
        <v>51650.50765</v>
      </c>
      <c r="D82" s="3">
        <v>43894.470240000002</v>
      </c>
      <c r="E82" s="3">
        <v>45565.611170000033</v>
      </c>
      <c r="F82" s="3">
        <v>54624.88858999998</v>
      </c>
      <c r="G82" s="3">
        <v>48902.594350000036</v>
      </c>
      <c r="H82" s="3">
        <v>52539.264419999985</v>
      </c>
      <c r="I82" s="3">
        <v>31360.103269999963</v>
      </c>
      <c r="J82" s="3">
        <v>46334.430690000001</v>
      </c>
      <c r="K82" s="3">
        <v>64427.579610000008</v>
      </c>
      <c r="L82" s="66">
        <v>60019.22928</v>
      </c>
      <c r="M82" s="64">
        <v>61051.827459999986</v>
      </c>
      <c r="N82" s="43">
        <f t="shared" si="109"/>
        <v>0.16852136929657968</v>
      </c>
      <c r="O82" s="44">
        <f t="shared" si="110"/>
        <v>0.15059284498481523</v>
      </c>
      <c r="P82" s="44">
        <f t="shared" si="102"/>
        <v>0.13932045895716327</v>
      </c>
      <c r="Q82" s="44">
        <f t="shared" si="122"/>
        <v>0.15038266652491439</v>
      </c>
      <c r="R82" s="44">
        <f t="shared" si="103"/>
        <v>0.10730682215652175</v>
      </c>
      <c r="S82" s="44">
        <f t="shared" si="111"/>
        <v>0.11828063149825234</v>
      </c>
      <c r="T82" s="44">
        <f t="shared" si="104"/>
        <v>0.11098751060569438</v>
      </c>
      <c r="U82" s="44">
        <f t="shared" si="105"/>
        <v>0.12115399927545845</v>
      </c>
      <c r="V82" s="44">
        <f t="shared" si="106"/>
        <v>0.12006503930807508</v>
      </c>
      <c r="W82" s="44">
        <f t="shared" si="112"/>
        <v>0.11153678043911187</v>
      </c>
      <c r="X82" s="57">
        <f t="shared" si="107"/>
        <v>0.10915674961891347</v>
      </c>
      <c r="Y82" s="44">
        <f t="shared" si="113"/>
        <v>11.955984721109189</v>
      </c>
      <c r="Z82" s="44">
        <f t="shared" si="114"/>
        <v>-15.016381760576941</v>
      </c>
      <c r="AA82" s="44">
        <f t="shared" si="115"/>
        <v>3.8071787194669429</v>
      </c>
      <c r="AB82" s="44">
        <f t="shared" si="116"/>
        <v>19.881830150814459</v>
      </c>
      <c r="AC82" s="44">
        <f t="shared" si="117"/>
        <v>-10.475617228164943</v>
      </c>
      <c r="AD82" s="44">
        <f t="shared" si="118"/>
        <v>7.4365585677765713</v>
      </c>
      <c r="AE82" s="44">
        <f t="shared" si="119"/>
        <v>-40.311110906870262</v>
      </c>
      <c r="AF82" s="44">
        <f t="shared" si="100"/>
        <v>47.749611316889187</v>
      </c>
      <c r="AG82" s="44">
        <f t="shared" si="121"/>
        <v>39.049036862138273</v>
      </c>
      <c r="AH82" s="44">
        <f t="shared" si="120"/>
        <v>-6.8423342250090906</v>
      </c>
      <c r="AI82" s="44">
        <f t="shared" si="120"/>
        <v>1.720445584502158</v>
      </c>
    </row>
    <row r="83" spans="1:35" s="18" customFormat="1" ht="19.5" customHeight="1" x14ac:dyDescent="0.25">
      <c r="A83" s="21" t="s">
        <v>82</v>
      </c>
      <c r="B83" s="3">
        <v>10360.56748</v>
      </c>
      <c r="C83" s="3">
        <v>10663.894539999999</v>
      </c>
      <c r="D83" s="3">
        <v>9605.6126999999997</v>
      </c>
      <c r="E83" s="3">
        <v>12116.985750000003</v>
      </c>
      <c r="F83" s="3">
        <v>9070.3105099999975</v>
      </c>
      <c r="G83" s="3">
        <v>9925.9497800000008</v>
      </c>
      <c r="H83" s="3">
        <v>13215.747079999996</v>
      </c>
      <c r="I83" s="3">
        <v>8240.7655900000009</v>
      </c>
      <c r="J83" s="3">
        <v>8115.8022099999989</v>
      </c>
      <c r="K83" s="3">
        <v>13039.96141</v>
      </c>
      <c r="L83" s="66">
        <v>16925.690300000002</v>
      </c>
      <c r="M83" s="64">
        <v>17698.73198</v>
      </c>
      <c r="N83" s="43">
        <f t="shared" si="109"/>
        <v>3.479334844282251E-2</v>
      </c>
      <c r="O83" s="44">
        <f t="shared" si="110"/>
        <v>3.2954869631780584E-2</v>
      </c>
      <c r="P83" s="44">
        <f t="shared" si="102"/>
        <v>3.7048642002608885E-2</v>
      </c>
      <c r="Q83" s="44">
        <f t="shared" si="122"/>
        <v>2.4970622657754259E-2</v>
      </c>
      <c r="R83" s="44">
        <f t="shared" si="103"/>
        <v>2.1780483058912101E-2</v>
      </c>
      <c r="S83" s="44">
        <f t="shared" si="111"/>
        <v>2.9752356215869233E-2</v>
      </c>
      <c r="T83" s="44">
        <f t="shared" si="104"/>
        <v>2.916514816435958E-2</v>
      </c>
      <c r="U83" s="44">
        <f t="shared" si="105"/>
        <v>2.1220977153007591E-2</v>
      </c>
      <c r="V83" s="44">
        <f t="shared" si="106"/>
        <v>2.4300827203889309E-2</v>
      </c>
      <c r="W83" s="44">
        <f t="shared" si="112"/>
        <v>3.1453869458476752E-2</v>
      </c>
      <c r="X83" s="57">
        <f t="shared" si="107"/>
        <v>3.1644196999326274E-2</v>
      </c>
      <c r="Y83" s="44">
        <f t="shared" si="113"/>
        <v>2.9277070062575339</v>
      </c>
      <c r="Z83" s="44">
        <f t="shared" si="114"/>
        <v>-9.9239713599043125</v>
      </c>
      <c r="AA83" s="44">
        <f t="shared" si="115"/>
        <v>26.144850187432645</v>
      </c>
      <c r="AB83" s="44">
        <f t="shared" si="116"/>
        <v>-25.143837773350562</v>
      </c>
      <c r="AC83" s="44">
        <f t="shared" si="117"/>
        <v>9.4334065967936027</v>
      </c>
      <c r="AD83" s="44">
        <f t="shared" si="118"/>
        <v>33.143400610676821</v>
      </c>
      <c r="AE83" s="44">
        <f t="shared" si="119"/>
        <v>-37.644345490909593</v>
      </c>
      <c r="AF83" s="44">
        <f t="shared" si="100"/>
        <v>-1.5164049824647658</v>
      </c>
      <c r="AG83" s="44">
        <f t="shared" si="121"/>
        <v>60.673721125591619</v>
      </c>
      <c r="AH83" s="44">
        <f t="shared" si="120"/>
        <v>29.79862261724287</v>
      </c>
      <c r="AI83" s="44">
        <f t="shared" si="120"/>
        <v>4.5672682549319621</v>
      </c>
    </row>
    <row r="84" spans="1:35" s="18" customFormat="1" ht="19.5" customHeight="1" x14ac:dyDescent="0.25">
      <c r="A84" s="21" t="s">
        <v>83</v>
      </c>
      <c r="B84" s="3">
        <v>16140.155560000007</v>
      </c>
      <c r="C84" s="3">
        <v>24955.615730000001</v>
      </c>
      <c r="D84" s="3">
        <v>29685.033370000001</v>
      </c>
      <c r="E84" s="3">
        <v>30523.380199999978</v>
      </c>
      <c r="F84" s="3">
        <v>32651.087799999954</v>
      </c>
      <c r="G84" s="3">
        <v>34080.64548000005</v>
      </c>
      <c r="H84" s="3">
        <v>39613.313969999952</v>
      </c>
      <c r="I84" s="3">
        <v>29377.560989999998</v>
      </c>
      <c r="J84" s="3">
        <v>39355.658379999993</v>
      </c>
      <c r="K84" s="3">
        <v>50833.682830000005</v>
      </c>
      <c r="L84" s="66">
        <v>92580.188319999957</v>
      </c>
      <c r="M84" s="64">
        <v>55851.305099999969</v>
      </c>
      <c r="N84" s="43">
        <f t="shared" si="109"/>
        <v>8.142329525504409E-2</v>
      </c>
      <c r="O84" s="44">
        <f t="shared" si="110"/>
        <v>0.1018432072243977</v>
      </c>
      <c r="P84" s="44">
        <f t="shared" si="102"/>
        <v>9.3327648399629343E-2</v>
      </c>
      <c r="Q84" s="44">
        <f t="shared" si="122"/>
        <v>8.9888652865865643E-2</v>
      </c>
      <c r="R84" s="44">
        <f t="shared" si="103"/>
        <v>7.4783062373496134E-2</v>
      </c>
      <c r="S84" s="44">
        <f t="shared" si="111"/>
        <v>8.9180688839764627E-2</v>
      </c>
      <c r="T84" s="44">
        <f t="shared" si="104"/>
        <v>0.10397103395594341</v>
      </c>
      <c r="U84" s="44">
        <f t="shared" si="105"/>
        <v>0.10290609673736144</v>
      </c>
      <c r="V84" s="44">
        <f t="shared" si="106"/>
        <v>9.4731917047072373E-2</v>
      </c>
      <c r="W84" s="44">
        <f t="shared" si="112"/>
        <v>0.17204646346734068</v>
      </c>
      <c r="X84" s="57">
        <f t="shared" si="107"/>
        <v>9.9858549372409636E-2</v>
      </c>
      <c r="Y84" s="44">
        <f t="shared" si="113"/>
        <v>54.618185910470807</v>
      </c>
      <c r="Z84" s="44">
        <f t="shared" si="114"/>
        <v>18.951316173355742</v>
      </c>
      <c r="AA84" s="44">
        <f t="shared" si="115"/>
        <v>2.8241397594223985</v>
      </c>
      <c r="AB84" s="44">
        <f t="shared" si="116"/>
        <v>6.9707469685810803</v>
      </c>
      <c r="AC84" s="44">
        <f t="shared" si="117"/>
        <v>4.3782850015799424</v>
      </c>
      <c r="AD84" s="44">
        <f t="shared" si="118"/>
        <v>16.234048422723397</v>
      </c>
      <c r="AE84" s="44">
        <f t="shared" si="119"/>
        <v>-25.839173636802311</v>
      </c>
      <c r="AF84" s="44">
        <f t="shared" si="100"/>
        <v>33.965029953972348</v>
      </c>
      <c r="AG84" s="44">
        <f t="shared" si="121"/>
        <v>29.164864526400571</v>
      </c>
      <c r="AH84" s="44">
        <f t="shared" si="120"/>
        <v>82.123708466314056</v>
      </c>
      <c r="AI84" s="44">
        <f t="shared" si="120"/>
        <v>-39.672508650606737</v>
      </c>
    </row>
    <row r="85" spans="1:35" s="18" customFormat="1" ht="19.5" customHeight="1" x14ac:dyDescent="0.25">
      <c r="A85" s="21" t="s">
        <v>84</v>
      </c>
      <c r="B85" s="3">
        <v>28967.540230000006</v>
      </c>
      <c r="C85" s="3">
        <v>30704.60673</v>
      </c>
      <c r="D85" s="3">
        <v>28086.981629999998</v>
      </c>
      <c r="E85" s="3">
        <v>39679.72194000001</v>
      </c>
      <c r="F85" s="3">
        <v>48214.317429999996</v>
      </c>
      <c r="G85" s="3">
        <v>98948.075499999904</v>
      </c>
      <c r="H85" s="3">
        <v>55929.532229999997</v>
      </c>
      <c r="I85" s="3">
        <v>36379.489729999979</v>
      </c>
      <c r="J85" s="3">
        <v>62090.326509999999</v>
      </c>
      <c r="K85" s="3">
        <v>64108.53765000002</v>
      </c>
      <c r="L85" s="66">
        <v>64468.194519999961</v>
      </c>
      <c r="M85" s="64">
        <v>67305.359180000043</v>
      </c>
      <c r="N85" s="43">
        <f t="shared" si="109"/>
        <v>0.10018066821173975</v>
      </c>
      <c r="O85" s="44">
        <f t="shared" si="110"/>
        <v>9.6360622364762422E-2</v>
      </c>
      <c r="P85" s="44">
        <f t="shared" si="102"/>
        <v>0.12132388724795894</v>
      </c>
      <c r="Q85" s="44">
        <f t="shared" si="122"/>
        <v>0.13273432325369358</v>
      </c>
      <c r="R85" s="44">
        <f t="shared" si="103"/>
        <v>0.21712147753176556</v>
      </c>
      <c r="S85" s="44">
        <f t="shared" si="111"/>
        <v>0.12591307595558945</v>
      </c>
      <c r="T85" s="44">
        <f t="shared" si="104"/>
        <v>0.1287517763406309</v>
      </c>
      <c r="U85" s="44">
        <f t="shared" si="105"/>
        <v>0.16235208377404403</v>
      </c>
      <c r="V85" s="44">
        <f t="shared" si="106"/>
        <v>0.11947048359606169</v>
      </c>
      <c r="W85" s="44">
        <f t="shared" si="112"/>
        <v>0.11980451838089964</v>
      </c>
      <c r="X85" s="57">
        <f t="shared" si="107"/>
        <v>0.12033766302631667</v>
      </c>
      <c r="Y85" s="44">
        <f t="shared" si="113"/>
        <v>5.9965964876818028</v>
      </c>
      <c r="Z85" s="44">
        <f t="shared" si="114"/>
        <v>-8.5251868653391512</v>
      </c>
      <c r="AA85" s="44">
        <f t="shared" si="115"/>
        <v>41.274425506860744</v>
      </c>
      <c r="AB85" s="44">
        <f t="shared" si="116"/>
        <v>21.508707906031216</v>
      </c>
      <c r="AC85" s="47" t="s">
        <v>147</v>
      </c>
      <c r="AD85" s="44">
        <f t="shared" si="118"/>
        <v>-43.47587666826319</v>
      </c>
      <c r="AE85" s="47">
        <f t="shared" si="119"/>
        <v>-34.9547756265939</v>
      </c>
      <c r="AF85" s="44">
        <f t="shared" si="100"/>
        <v>70.673989577148561</v>
      </c>
      <c r="AG85" s="44">
        <f t="shared" si="121"/>
        <v>3.250443754189273</v>
      </c>
      <c r="AH85" s="44">
        <f t="shared" si="120"/>
        <v>0.56101243794310851</v>
      </c>
      <c r="AI85" s="44">
        <f t="shared" si="120"/>
        <v>4.4008750068530444</v>
      </c>
    </row>
    <row r="86" spans="1:35" s="18" customFormat="1" ht="19.5" customHeight="1" x14ac:dyDescent="0.25">
      <c r="A86" s="21" t="s">
        <v>85</v>
      </c>
      <c r="B86" s="3">
        <v>19646.050119999982</v>
      </c>
      <c r="C86" s="3">
        <v>15981.601960000002</v>
      </c>
      <c r="D86" s="3">
        <v>17172.674230000001</v>
      </c>
      <c r="E86" s="3">
        <v>21849.194219999998</v>
      </c>
      <c r="F86" s="3">
        <v>14693.486159999995</v>
      </c>
      <c r="G86" s="3">
        <v>17469.822559999997</v>
      </c>
      <c r="H86" s="3">
        <v>15237.512030000005</v>
      </c>
      <c r="I86" s="3">
        <v>9778.9010099999941</v>
      </c>
      <c r="J86" s="3">
        <v>16776.057269999998</v>
      </c>
      <c r="K86" s="3">
        <v>25286.479820000004</v>
      </c>
      <c r="L86" s="66">
        <v>19575.911510000009</v>
      </c>
      <c r="M86" s="64">
        <v>14022.667160000001</v>
      </c>
      <c r="N86" s="43">
        <f t="shared" si="109"/>
        <v>5.2143561958816531E-2</v>
      </c>
      <c r="O86" s="44">
        <f t="shared" si="110"/>
        <v>5.8915892005378064E-2</v>
      </c>
      <c r="P86" s="44">
        <f t="shared" si="102"/>
        <v>6.6805638910836448E-2</v>
      </c>
      <c r="Q86" s="44">
        <f t="shared" si="122"/>
        <v>4.0451261070255755E-2</v>
      </c>
      <c r="R86" s="44">
        <f t="shared" si="103"/>
        <v>3.8333981406692176E-2</v>
      </c>
      <c r="S86" s="44">
        <f t="shared" si="111"/>
        <v>3.4303916609166298E-2</v>
      </c>
      <c r="T86" s="44">
        <f t="shared" si="104"/>
        <v>3.4608810762357257E-2</v>
      </c>
      <c r="U86" s="44">
        <f t="shared" si="105"/>
        <v>4.386557469396693E-2</v>
      </c>
      <c r="V86" s="44">
        <f t="shared" si="106"/>
        <v>4.7123021102594975E-2</v>
      </c>
      <c r="W86" s="44">
        <f t="shared" si="112"/>
        <v>3.6378910062311184E-2</v>
      </c>
      <c r="X86" s="57">
        <f t="shared" si="107"/>
        <v>2.5071629005312675E-2</v>
      </c>
      <c r="Y86" s="44">
        <f t="shared" si="113"/>
        <v>-18.652340483797886</v>
      </c>
      <c r="Z86" s="44">
        <f t="shared" si="114"/>
        <v>7.4527714617164609</v>
      </c>
      <c r="AA86" s="44">
        <f t="shared" si="115"/>
        <v>27.232333924033199</v>
      </c>
      <c r="AB86" s="44">
        <f t="shared" si="116"/>
        <v>-32.750443736959028</v>
      </c>
      <c r="AC86" s="44">
        <f t="shared" si="117"/>
        <v>18.895014905026482</v>
      </c>
      <c r="AD86" s="44">
        <f t="shared" si="118"/>
        <v>-12.778095039792964</v>
      </c>
      <c r="AE86" s="44">
        <f t="shared" si="119"/>
        <v>-35.823505892910582</v>
      </c>
      <c r="AF86" s="44">
        <f t="shared" si="100"/>
        <v>71.55360559274142</v>
      </c>
      <c r="AG86" s="44">
        <f t="shared" si="121"/>
        <v>50.7295749712233</v>
      </c>
      <c r="AH86" s="44">
        <f t="shared" si="120"/>
        <v>-22.583484734333393</v>
      </c>
      <c r="AI86" s="44">
        <f t="shared" si="120"/>
        <v>-28.36774342366245</v>
      </c>
    </row>
    <row r="87" spans="1:35" s="18" customFormat="1" ht="19.5" customHeight="1" x14ac:dyDescent="0.25">
      <c r="A87" s="21" t="s">
        <v>86</v>
      </c>
      <c r="B87" s="3">
        <v>14873.881859999998</v>
      </c>
      <c r="C87" s="3">
        <v>9838.7861400000002</v>
      </c>
      <c r="D87" s="3">
        <v>8941.9608499999995</v>
      </c>
      <c r="E87" s="3">
        <v>12508.415930000001</v>
      </c>
      <c r="F87" s="3">
        <v>10689.208229999989</v>
      </c>
      <c r="G87" s="3">
        <v>18126.752820000002</v>
      </c>
      <c r="H87" s="3">
        <v>14455.74958999999</v>
      </c>
      <c r="I87" s="3">
        <v>8425.3294199999964</v>
      </c>
      <c r="J87" s="3">
        <v>14422.49548</v>
      </c>
      <c r="K87" s="3">
        <v>16810.651010000001</v>
      </c>
      <c r="L87" s="66">
        <v>19821.385250000007</v>
      </c>
      <c r="M87" s="64">
        <v>19675.406059999998</v>
      </c>
      <c r="N87" s="43">
        <f t="shared" si="109"/>
        <v>3.2101247170007431E-2</v>
      </c>
      <c r="O87" s="44">
        <f t="shared" si="110"/>
        <v>3.0678017453715976E-2</v>
      </c>
      <c r="P87" s="44">
        <f t="shared" si="102"/>
        <v>3.8245470727759162E-2</v>
      </c>
      <c r="Q87" s="44">
        <f t="shared" si="122"/>
        <v>2.9427458401475509E-2</v>
      </c>
      <c r="R87" s="44">
        <f t="shared" si="103"/>
        <v>3.9775481587122949E-2</v>
      </c>
      <c r="S87" s="44">
        <f t="shared" si="111"/>
        <v>3.2543949923191588E-2</v>
      </c>
      <c r="T87" s="44">
        <f t="shared" si="104"/>
        <v>2.9818343718697824E-2</v>
      </c>
      <c r="U87" s="44">
        <f t="shared" si="105"/>
        <v>3.7711545839956506E-2</v>
      </c>
      <c r="V87" s="44">
        <f t="shared" si="106"/>
        <v>3.1327755699155656E-2</v>
      </c>
      <c r="W87" s="44">
        <f t="shared" si="112"/>
        <v>3.6835086373976526E-2</v>
      </c>
      <c r="X87" s="57">
        <f t="shared" si="107"/>
        <v>3.5178363405239714E-2</v>
      </c>
      <c r="Y87" s="44">
        <f t="shared" si="113"/>
        <v>-33.851927609703353</v>
      </c>
      <c r="Z87" s="44">
        <f t="shared" si="114"/>
        <v>-9.1152025995759747</v>
      </c>
      <c r="AA87" s="44">
        <f t="shared" si="115"/>
        <v>39.884485515277127</v>
      </c>
      <c r="AB87" s="44">
        <f t="shared" si="116"/>
        <v>-14.54386958493162</v>
      </c>
      <c r="AC87" s="44">
        <f t="shared" si="117"/>
        <v>69.579939224366854</v>
      </c>
      <c r="AD87" s="44">
        <f t="shared" si="118"/>
        <v>-20.251852421960763</v>
      </c>
      <c r="AE87" s="44">
        <f t="shared" si="119"/>
        <v>-41.716412784098303</v>
      </c>
      <c r="AF87" s="44">
        <f t="shared" si="100"/>
        <v>71.180196773837309</v>
      </c>
      <c r="AG87" s="44">
        <f t="shared" si="121"/>
        <v>16.55854587239574</v>
      </c>
      <c r="AH87" s="44">
        <f t="shared" si="120"/>
        <v>17.909682606634547</v>
      </c>
      <c r="AI87" s="44">
        <f t="shared" si="120"/>
        <v>-0.7364731988144424</v>
      </c>
    </row>
    <row r="88" spans="1:35" s="18" customFormat="1" ht="19.5" customHeight="1" x14ac:dyDescent="0.25">
      <c r="A88" s="21" t="s">
        <v>151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66"/>
      <c r="M88" s="64">
        <v>242.16938000000002</v>
      </c>
      <c r="N88" s="43"/>
      <c r="O88" s="44"/>
      <c r="P88" s="44"/>
      <c r="Q88" s="44"/>
      <c r="R88" s="44"/>
      <c r="S88" s="44"/>
      <c r="T88" s="44"/>
      <c r="U88" s="44"/>
      <c r="V88" s="44"/>
      <c r="W88" s="44"/>
      <c r="X88" s="57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</row>
    <row r="89" spans="1:35" s="18" customFormat="1" ht="19.5" customHeight="1" x14ac:dyDescent="0.25">
      <c r="A89" s="21" t="s">
        <v>87</v>
      </c>
      <c r="B89" s="3">
        <v>264672.62392000004</v>
      </c>
      <c r="C89" s="3">
        <v>252284.81041000001</v>
      </c>
      <c r="D89" s="3">
        <v>268266.42884999997</v>
      </c>
      <c r="E89" s="3">
        <v>270836.74887999997</v>
      </c>
      <c r="F89" s="3">
        <v>301971.92396000132</v>
      </c>
      <c r="G89" s="3">
        <v>345860.78993999964</v>
      </c>
      <c r="H89" s="3">
        <v>364959.21075000043</v>
      </c>
      <c r="I89" s="3">
        <v>180705.39165000047</v>
      </c>
      <c r="J89" s="3">
        <v>361105.82580000011</v>
      </c>
      <c r="K89" s="3">
        <v>432512.22095000034</v>
      </c>
      <c r="L89" s="66">
        <v>422165.3984699999</v>
      </c>
      <c r="M89" s="64">
        <v>381934.05984999973</v>
      </c>
      <c r="N89" s="43">
        <f t="shared" si="109"/>
        <v>0.8231357955108346</v>
      </c>
      <c r="O89" s="44">
        <f t="shared" si="110"/>
        <v>0.92036660913208479</v>
      </c>
      <c r="P89" s="44">
        <f t="shared" si="102"/>
        <v>0.82810477435822671</v>
      </c>
      <c r="Q89" s="44">
        <f t="shared" si="122"/>
        <v>0.83133063174937083</v>
      </c>
      <c r="R89" s="44">
        <f t="shared" si="103"/>
        <v>0.75892133679827245</v>
      </c>
      <c r="S89" s="44">
        <f t="shared" si="111"/>
        <v>0.82162562409574413</v>
      </c>
      <c r="T89" s="44">
        <f t="shared" si="104"/>
        <v>0.63954003593625941</v>
      </c>
      <c r="U89" s="44">
        <f t="shared" si="105"/>
        <v>0.94420961487672128</v>
      </c>
      <c r="V89" s="44">
        <f t="shared" si="106"/>
        <v>0.80601501909478046</v>
      </c>
      <c r="W89" s="44">
        <f t="shared" si="112"/>
        <v>0.78453138973960768</v>
      </c>
      <c r="X89" s="57">
        <f t="shared" si="107"/>
        <v>0.68287358915335483</v>
      </c>
      <c r="Y89" s="44">
        <f t="shared" si="113"/>
        <v>-4.680428722293688</v>
      </c>
      <c r="Z89" s="44">
        <f t="shared" si="114"/>
        <v>6.3347525417909525</v>
      </c>
      <c r="AA89" s="44">
        <f t="shared" si="115"/>
        <v>0.95812213291778903</v>
      </c>
      <c r="AB89" s="44">
        <f t="shared" si="116"/>
        <v>11.495919667015521</v>
      </c>
      <c r="AC89" s="44">
        <f t="shared" si="117"/>
        <v>14.534088270342563</v>
      </c>
      <c r="AD89" s="44">
        <f t="shared" si="118"/>
        <v>5.5219965273640916</v>
      </c>
      <c r="AE89" s="44">
        <f t="shared" si="119"/>
        <v>-50.486140278896841</v>
      </c>
      <c r="AF89" s="44">
        <f t="shared" si="100"/>
        <v>99.831240508533639</v>
      </c>
      <c r="AG89" s="44">
        <f t="shared" si="121"/>
        <v>19.774368079441881</v>
      </c>
      <c r="AH89" s="44">
        <f t="shared" si="120"/>
        <v>-2.3922613001024455</v>
      </c>
      <c r="AI89" s="44">
        <f t="shared" si="120"/>
        <v>-9.5297574755784034</v>
      </c>
    </row>
    <row r="90" spans="1:35" s="18" customFormat="1" ht="19.5" customHeight="1" x14ac:dyDescent="0.25">
      <c r="A90" s="21" t="s">
        <v>88</v>
      </c>
      <c r="B90" s="3">
        <v>63100.041209999996</v>
      </c>
      <c r="C90" s="3">
        <v>64382.723890000001</v>
      </c>
      <c r="D90" s="3">
        <v>60340.715149999996</v>
      </c>
      <c r="E90" s="3">
        <v>58259.492159999951</v>
      </c>
      <c r="F90" s="3">
        <v>67856.33664999975</v>
      </c>
      <c r="G90" s="3">
        <v>82107.419649999836</v>
      </c>
      <c r="H90" s="3">
        <v>111387.94080999975</v>
      </c>
      <c r="I90" s="3">
        <v>101246.57129999979</v>
      </c>
      <c r="J90" s="3">
        <v>156290.54160999996</v>
      </c>
      <c r="K90" s="3">
        <v>189209.69382000004</v>
      </c>
      <c r="L90" s="66">
        <v>185718.46345000036</v>
      </c>
      <c r="M90" s="64">
        <v>162565.1072599999</v>
      </c>
      <c r="N90" s="43">
        <f t="shared" si="109"/>
        <v>0.21006308132552137</v>
      </c>
      <c r="O90" s="44">
        <f t="shared" si="110"/>
        <v>0.20701650830213647</v>
      </c>
      <c r="P90" s="44">
        <f t="shared" si="102"/>
        <v>0.17813300377031774</v>
      </c>
      <c r="Q90" s="44">
        <f t="shared" si="122"/>
        <v>0.18680892738529686</v>
      </c>
      <c r="R90" s="44">
        <f t="shared" si="103"/>
        <v>0.18016807482757663</v>
      </c>
      <c r="S90" s="44">
        <f t="shared" si="111"/>
        <v>0.25076552033494809</v>
      </c>
      <c r="T90" s="44">
        <f t="shared" si="104"/>
        <v>0.35832486931567847</v>
      </c>
      <c r="U90" s="44">
        <f t="shared" si="105"/>
        <v>0.40866422405542974</v>
      </c>
      <c r="V90" s="44">
        <f t="shared" si="106"/>
        <v>0.35260473020223637</v>
      </c>
      <c r="W90" s="44">
        <f t="shared" si="112"/>
        <v>0.34513004798304725</v>
      </c>
      <c r="X90" s="57">
        <f t="shared" si="107"/>
        <v>0.29065597948853977</v>
      </c>
      <c r="Y90" s="44">
        <f t="shared" si="113"/>
        <v>2.0327762952343806</v>
      </c>
      <c r="Z90" s="44">
        <f t="shared" si="114"/>
        <v>-6.2780952649749793</v>
      </c>
      <c r="AA90" s="44">
        <f t="shared" si="115"/>
        <v>-3.4491188658045693</v>
      </c>
      <c r="AB90" s="44">
        <f t="shared" si="116"/>
        <v>16.472585211768877</v>
      </c>
      <c r="AC90" s="44">
        <f t="shared" si="117"/>
        <v>21.001845521821487</v>
      </c>
      <c r="AD90" s="44">
        <f t="shared" si="118"/>
        <v>35.66123656645685</v>
      </c>
      <c r="AE90" s="44">
        <f t="shared" si="119"/>
        <v>-9.1045488732919715</v>
      </c>
      <c r="AF90" s="44">
        <f t="shared" si="100"/>
        <v>54.366256163778139</v>
      </c>
      <c r="AG90" s="44">
        <f t="shared" si="121"/>
        <v>21.062792329522402</v>
      </c>
      <c r="AH90" s="44">
        <f t="shared" si="120"/>
        <v>-1.8451646422096006</v>
      </c>
      <c r="AI90" s="44">
        <f t="shared" si="120"/>
        <v>-12.46691134521144</v>
      </c>
    </row>
    <row r="91" spans="1:35" s="18" customFormat="1" ht="19.5" customHeight="1" x14ac:dyDescent="0.25">
      <c r="A91" s="21" t="s">
        <v>89</v>
      </c>
      <c r="B91" s="3">
        <v>183508.59228999997</v>
      </c>
      <c r="C91" s="3">
        <v>212933.65471999999</v>
      </c>
      <c r="D91" s="3">
        <v>215490.85454</v>
      </c>
      <c r="E91" s="3">
        <v>268989.61430999974</v>
      </c>
      <c r="F91" s="3">
        <v>254337.38735999912</v>
      </c>
      <c r="G91" s="3">
        <v>322100.17097000172</v>
      </c>
      <c r="H91" s="3">
        <v>308334.77812999894</v>
      </c>
      <c r="I91" s="3">
        <v>278088.91945999931</v>
      </c>
      <c r="J91" s="3">
        <v>320422.58696000022</v>
      </c>
      <c r="K91" s="3">
        <v>360329.27909000055</v>
      </c>
      <c r="L91" s="66">
        <v>429950.88977999979</v>
      </c>
      <c r="M91" s="64">
        <v>373553.05783000018</v>
      </c>
      <c r="N91" s="43">
        <f t="shared" si="109"/>
        <v>0.69474382141410584</v>
      </c>
      <c r="O91" s="44">
        <f t="shared" si="110"/>
        <v>0.73930453371357485</v>
      </c>
      <c r="P91" s="44">
        <f t="shared" si="102"/>
        <v>0.82245701436027652</v>
      </c>
      <c r="Q91" s="44">
        <f t="shared" si="122"/>
        <v>0.70019244881679554</v>
      </c>
      <c r="R91" s="44">
        <f t="shared" si="103"/>
        <v>0.70678347891911386</v>
      </c>
      <c r="S91" s="44">
        <f t="shared" si="111"/>
        <v>0.69414813231010597</v>
      </c>
      <c r="T91" s="44">
        <f t="shared" si="104"/>
        <v>0.98419308865664956</v>
      </c>
      <c r="U91" s="44">
        <f t="shared" si="105"/>
        <v>0.83783219714342383</v>
      </c>
      <c r="V91" s="44">
        <f t="shared" si="106"/>
        <v>0.67149735128457777</v>
      </c>
      <c r="W91" s="44">
        <f t="shared" si="112"/>
        <v>0.79899956344445455</v>
      </c>
      <c r="X91" s="57">
        <f t="shared" si="107"/>
        <v>0.66788889537572649</v>
      </c>
      <c r="Y91" s="44">
        <f t="shared" si="113"/>
        <v>16.03470554855512</v>
      </c>
      <c r="Z91" s="44">
        <f t="shared" si="114"/>
        <v>1.2009373639703098</v>
      </c>
      <c r="AA91" s="44">
        <f t="shared" si="115"/>
        <v>24.826464159790667</v>
      </c>
      <c r="AB91" s="44">
        <f t="shared" si="116"/>
        <v>-5.4471348225045286</v>
      </c>
      <c r="AC91" s="44">
        <f t="shared" si="117"/>
        <v>26.642871625510761</v>
      </c>
      <c r="AD91" s="44">
        <f t="shared" si="118"/>
        <v>-4.2736372348230756</v>
      </c>
      <c r="AE91" s="44">
        <f t="shared" si="119"/>
        <v>-9.8094217115032976</v>
      </c>
      <c r="AF91" s="44">
        <f t="shared" si="100"/>
        <v>15.223068787568231</v>
      </c>
      <c r="AG91" s="44">
        <f t="shared" si="121"/>
        <v>12.454394213783083</v>
      </c>
      <c r="AH91" s="44">
        <f t="shared" si="120"/>
        <v>19.321663470097761</v>
      </c>
      <c r="AI91" s="44">
        <f t="shared" si="120"/>
        <v>-13.117272993401095</v>
      </c>
    </row>
    <row r="92" spans="1:35" s="18" customFormat="1" ht="19.5" customHeight="1" x14ac:dyDescent="0.25">
      <c r="A92" s="19" t="s">
        <v>90</v>
      </c>
      <c r="B92" s="1"/>
      <c r="C92" s="1"/>
      <c r="D92" s="1"/>
      <c r="E92" s="3"/>
      <c r="F92" s="3"/>
      <c r="G92" s="3"/>
      <c r="H92" s="3"/>
      <c r="I92" s="3"/>
      <c r="J92" s="3"/>
      <c r="K92" s="3"/>
      <c r="L92" s="66"/>
      <c r="M92" s="64"/>
      <c r="N92" s="43"/>
      <c r="O92" s="44"/>
      <c r="P92" s="44"/>
      <c r="Q92" s="2"/>
      <c r="R92" s="2"/>
      <c r="S92" s="2"/>
      <c r="T92" s="2"/>
      <c r="U92" s="2"/>
      <c r="V92" s="2"/>
      <c r="W92" s="2"/>
      <c r="X92" s="61"/>
      <c r="Y92" s="2"/>
      <c r="Z92" s="2"/>
      <c r="AA92" s="44"/>
      <c r="AB92" s="44"/>
      <c r="AC92" s="44"/>
      <c r="AD92" s="44"/>
      <c r="AE92" s="44"/>
      <c r="AF92" s="44"/>
      <c r="AG92" s="2"/>
      <c r="AH92" s="2"/>
      <c r="AI92" s="2"/>
    </row>
    <row r="93" spans="1:35" s="18" customFormat="1" ht="19.5" customHeight="1" x14ac:dyDescent="0.25">
      <c r="A93" s="45" t="s">
        <v>91</v>
      </c>
      <c r="B93" s="24">
        <f t="shared" ref="B93:G93" si="123">SUM(B94:B97)</f>
        <v>156574.00139999995</v>
      </c>
      <c r="C93" s="20">
        <f t="shared" si="123"/>
        <v>168301.21888999999</v>
      </c>
      <c r="D93" s="20">
        <f t="shared" si="123"/>
        <v>177903.88394999996</v>
      </c>
      <c r="E93" s="20">
        <f t="shared" si="123"/>
        <v>174245.40175000008</v>
      </c>
      <c r="F93" s="20">
        <f t="shared" si="123"/>
        <v>197339.36859999999</v>
      </c>
      <c r="G93" s="20">
        <f t="shared" si="123"/>
        <v>223891.15717000005</v>
      </c>
      <c r="H93" s="20">
        <f t="shared" ref="H93:I93" si="124">SUM(H94:H97)</f>
        <v>264569.16437000013</v>
      </c>
      <c r="I93" s="20">
        <f t="shared" si="124"/>
        <v>116120.74980999996</v>
      </c>
      <c r="J93" s="20">
        <f t="shared" ref="J93:M93" si="125">SUM(J94:J97)</f>
        <v>207320.0302500001</v>
      </c>
      <c r="K93" s="20">
        <f t="shared" si="125"/>
        <v>273479.83019999985</v>
      </c>
      <c r="L93" s="20">
        <f t="shared" si="125"/>
        <v>289507.96074000007</v>
      </c>
      <c r="M93" s="69">
        <f t="shared" si="125"/>
        <v>246624.06207999997</v>
      </c>
      <c r="N93" s="53">
        <f>C93/$C$6*100</f>
        <v>0.54912048597505281</v>
      </c>
      <c r="O93" s="2">
        <f>D93/$D$6*100</f>
        <v>0.61035141491387324</v>
      </c>
      <c r="P93" s="2">
        <f t="shared" si="102"/>
        <v>0.53276909317455545</v>
      </c>
      <c r="Q93" s="2">
        <f t="shared" si="122"/>
        <v>0.5432765398050392</v>
      </c>
      <c r="R93" s="2">
        <f t="shared" si="103"/>
        <v>0.49128372235038775</v>
      </c>
      <c r="S93" s="2">
        <f>H93/$H$6*100</f>
        <v>0.59561945113065107</v>
      </c>
      <c r="T93" s="2">
        <f t="shared" si="104"/>
        <v>0.41096653413790146</v>
      </c>
      <c r="U93" s="2">
        <f t="shared" si="105"/>
        <v>0.54209473216032156</v>
      </c>
      <c r="V93" s="2">
        <f t="shared" si="106"/>
        <v>0.509647681345338</v>
      </c>
      <c r="W93" s="2">
        <f>L93/$L$6*100</f>
        <v>0.53800733931104561</v>
      </c>
      <c r="X93" s="61">
        <f t="shared" si="107"/>
        <v>0.44094799639050702</v>
      </c>
      <c r="Y93" s="2">
        <f t="shared" ref="Y93:AD96" si="126">((C93-B93)/B93)*100</f>
        <v>7.4898880945377968</v>
      </c>
      <c r="Z93" s="2">
        <f t="shared" si="126"/>
        <v>5.7056420169340409</v>
      </c>
      <c r="AA93" s="2">
        <f t="shared" si="126"/>
        <v>-2.0564375092721989</v>
      </c>
      <c r="AB93" s="2">
        <f t="shared" si="126"/>
        <v>13.253702317570571</v>
      </c>
      <c r="AC93" s="2">
        <f t="shared" si="126"/>
        <v>13.454886755931408</v>
      </c>
      <c r="AD93" s="2">
        <f t="shared" si="126"/>
        <v>18.168652891062312</v>
      </c>
      <c r="AE93" s="2">
        <f t="shared" ref="AE93:AE97" si="127">((I93-H93)/H93)*100</f>
        <v>-56.109492167573613</v>
      </c>
      <c r="AF93" s="2">
        <f t="shared" si="100"/>
        <v>78.538315149723843</v>
      </c>
      <c r="AG93" s="2">
        <f t="shared" si="121"/>
        <v>31.911918915996644</v>
      </c>
      <c r="AH93" s="2">
        <f t="shared" ref="AH93:AI97" si="128">((L93-K93)/K93)*100</f>
        <v>5.8608090140609663</v>
      </c>
      <c r="AI93" s="2">
        <f t="shared" si="128"/>
        <v>-14.812683751557721</v>
      </c>
    </row>
    <row r="94" spans="1:35" s="18" customFormat="1" ht="19.5" customHeight="1" x14ac:dyDescent="0.25">
      <c r="A94" s="21" t="s">
        <v>92</v>
      </c>
      <c r="B94" s="3">
        <v>124328.46214999998</v>
      </c>
      <c r="C94" s="3">
        <v>133735.14673000001</v>
      </c>
      <c r="D94" s="3">
        <v>143861.48173</v>
      </c>
      <c r="E94" s="3">
        <v>140460.30351000009</v>
      </c>
      <c r="F94" s="3">
        <v>158190.58504000001</v>
      </c>
      <c r="G94" s="3">
        <v>179367.17069000009</v>
      </c>
      <c r="H94" s="3">
        <v>208858.05723000012</v>
      </c>
      <c r="I94" s="3">
        <v>88155.878939999981</v>
      </c>
      <c r="J94" s="3">
        <v>163539.58236000009</v>
      </c>
      <c r="K94" s="3">
        <v>207993.13332999981</v>
      </c>
      <c r="L94" s="66">
        <v>217154.96582000007</v>
      </c>
      <c r="M94" s="64">
        <v>180990.86917999992</v>
      </c>
      <c r="N94" s="43">
        <f>C94/$C$6*100</f>
        <v>0.43634092045595996</v>
      </c>
      <c r="O94" s="44">
        <f>D94/$D$6*100</f>
        <v>0.49355897676854427</v>
      </c>
      <c r="P94" s="44">
        <f t="shared" si="102"/>
        <v>0.42946848396844728</v>
      </c>
      <c r="Q94" s="44">
        <f t="shared" si="122"/>
        <v>0.43549968908872855</v>
      </c>
      <c r="R94" s="44">
        <f t="shared" si="103"/>
        <v>0.39358486685175847</v>
      </c>
      <c r="S94" s="44">
        <f>H94/$H$6*100</f>
        <v>0.47019811136256767</v>
      </c>
      <c r="T94" s="44">
        <f t="shared" si="104"/>
        <v>0.31199519544208343</v>
      </c>
      <c r="U94" s="44">
        <f t="shared" si="105"/>
        <v>0.42761881710199612</v>
      </c>
      <c r="V94" s="44">
        <f t="shared" si="106"/>
        <v>0.38760890724505875</v>
      </c>
      <c r="W94" s="44">
        <f>L94/$L$6*100</f>
        <v>0.40355009610227022</v>
      </c>
      <c r="X94" s="57">
        <f t="shared" si="107"/>
        <v>0.32360005936488606</v>
      </c>
      <c r="Y94" s="44">
        <f t="shared" si="126"/>
        <v>7.5659944773152912</v>
      </c>
      <c r="Z94" s="44">
        <f t="shared" si="126"/>
        <v>7.5719324707095952</v>
      </c>
      <c r="AA94" s="44">
        <f t="shared" si="126"/>
        <v>-2.3642035234860597</v>
      </c>
      <c r="AB94" s="44">
        <f t="shared" si="126"/>
        <v>12.622983922811764</v>
      </c>
      <c r="AC94" s="44">
        <f t="shared" si="126"/>
        <v>13.38675474564139</v>
      </c>
      <c r="AD94" s="44">
        <f t="shared" si="126"/>
        <v>16.441629996477491</v>
      </c>
      <c r="AE94" s="44">
        <f t="shared" si="127"/>
        <v>-57.79148762122194</v>
      </c>
      <c r="AF94" s="44">
        <f t="shared" si="100"/>
        <v>85.511827828643419</v>
      </c>
      <c r="AG94" s="44">
        <f t="shared" si="121"/>
        <v>27.182135559172458</v>
      </c>
      <c r="AH94" s="44">
        <f t="shared" si="128"/>
        <v>4.4048725759923002</v>
      </c>
      <c r="AI94" s="44">
        <f t="shared" si="128"/>
        <v>-16.653589524623904</v>
      </c>
    </row>
    <row r="95" spans="1:35" s="18" customFormat="1" ht="19.5" customHeight="1" x14ac:dyDescent="0.25">
      <c r="A95" s="21" t="s">
        <v>93</v>
      </c>
      <c r="B95" s="3">
        <v>12589.657270000007</v>
      </c>
      <c r="C95" s="3">
        <v>14950.194579999999</v>
      </c>
      <c r="D95" s="3">
        <v>12631.948249999999</v>
      </c>
      <c r="E95" s="3">
        <v>13718.871339999989</v>
      </c>
      <c r="F95" s="3">
        <v>14779.341189999985</v>
      </c>
      <c r="G95" s="3">
        <v>16965.064590000002</v>
      </c>
      <c r="H95" s="3">
        <v>27240.503040000014</v>
      </c>
      <c r="I95" s="3">
        <v>11935.66995999999</v>
      </c>
      <c r="J95" s="3">
        <v>21625.625590000007</v>
      </c>
      <c r="K95" s="3">
        <v>30636.15681</v>
      </c>
      <c r="L95" s="66">
        <v>31664.846799999996</v>
      </c>
      <c r="M95" s="64">
        <v>26584.498789999994</v>
      </c>
      <c r="N95" s="43">
        <f>C95/$C$6*100</f>
        <v>4.877836397938877E-2</v>
      </c>
      <c r="O95" s="44">
        <f>D95/$D$6*100</f>
        <v>4.3337600710691655E-2</v>
      </c>
      <c r="P95" s="44">
        <f t="shared" si="102"/>
        <v>4.1946533852737319E-2</v>
      </c>
      <c r="Q95" s="44">
        <f t="shared" si="122"/>
        <v>4.0687620515176222E-2</v>
      </c>
      <c r="R95" s="44">
        <f t="shared" si="103"/>
        <v>3.7226392444617486E-2</v>
      </c>
      <c r="S95" s="44">
        <f>H95/$H$6*100</f>
        <v>6.1326018501978573E-2</v>
      </c>
      <c r="T95" s="44">
        <f t="shared" si="104"/>
        <v>4.2241898404040815E-2</v>
      </c>
      <c r="U95" s="44">
        <f t="shared" si="105"/>
        <v>5.6546093003526574E-2</v>
      </c>
      <c r="V95" s="44">
        <f t="shared" si="106"/>
        <v>5.7092496628106712E-2</v>
      </c>
      <c r="W95" s="44">
        <f>L95/$L$6*100</f>
        <v>5.8844392164605845E-2</v>
      </c>
      <c r="X95" s="57">
        <f t="shared" si="107"/>
        <v>4.7531377829199195E-2</v>
      </c>
      <c r="Y95" s="44">
        <f t="shared" si="126"/>
        <v>18.749813909747452</v>
      </c>
      <c r="Z95" s="44">
        <f t="shared" si="126"/>
        <v>-15.506462592141061</v>
      </c>
      <c r="AA95" s="44">
        <f t="shared" si="126"/>
        <v>8.6045562290835811</v>
      </c>
      <c r="AB95" s="44">
        <f t="shared" si="126"/>
        <v>7.7300079847530432</v>
      </c>
      <c r="AC95" s="44">
        <f t="shared" si="126"/>
        <v>14.789044869462273</v>
      </c>
      <c r="AD95" s="44">
        <f t="shared" si="126"/>
        <v>60.568224750861447</v>
      </c>
      <c r="AE95" s="44">
        <f t="shared" si="127"/>
        <v>-56.184105915835602</v>
      </c>
      <c r="AF95" s="44">
        <f t="shared" si="100"/>
        <v>81.184848965110163</v>
      </c>
      <c r="AG95" s="44">
        <f t="shared" si="121"/>
        <v>41.665991036886304</v>
      </c>
      <c r="AH95" s="44">
        <f t="shared" si="128"/>
        <v>3.3577644754195113</v>
      </c>
      <c r="AI95" s="44">
        <f t="shared" si="128"/>
        <v>-16.044126289598857</v>
      </c>
    </row>
    <row r="96" spans="1:35" s="18" customFormat="1" ht="19.5" customHeight="1" x14ac:dyDescent="0.25">
      <c r="A96" s="21" t="s">
        <v>94</v>
      </c>
      <c r="B96" s="3">
        <v>17940.391639999998</v>
      </c>
      <c r="C96" s="3">
        <v>18524.773209999999</v>
      </c>
      <c r="D96" s="3">
        <v>19023.13682</v>
      </c>
      <c r="E96" s="3">
        <v>18347.930580000004</v>
      </c>
      <c r="F96" s="3">
        <v>21776.772339999992</v>
      </c>
      <c r="G96" s="3">
        <v>25433.84055999999</v>
      </c>
      <c r="H96" s="3">
        <v>25857.680980000016</v>
      </c>
      <c r="I96" s="3">
        <v>14263.884560000002</v>
      </c>
      <c r="J96" s="3">
        <v>17833.345019999997</v>
      </c>
      <c r="K96" s="3">
        <v>28500.514410000011</v>
      </c>
      <c r="L96" s="66">
        <v>33887.232739999999</v>
      </c>
      <c r="M96" s="64">
        <v>31087.269950000009</v>
      </c>
      <c r="N96" s="43">
        <f>C96/$C$6*100</f>
        <v>6.0441228737038284E-2</v>
      </c>
      <c r="O96" s="44">
        <f>D96/$D$6*100</f>
        <v>6.5264446263862491E-2</v>
      </c>
      <c r="P96" s="44">
        <f t="shared" si="102"/>
        <v>5.6100248491844591E-2</v>
      </c>
      <c r="Q96" s="44">
        <f t="shared" si="122"/>
        <v>5.9951593080131524E-2</v>
      </c>
      <c r="R96" s="44">
        <f t="shared" si="103"/>
        <v>5.5809403202536766E-2</v>
      </c>
      <c r="S96" s="44">
        <f>H96/$H$6*100</f>
        <v>5.821289789947065E-2</v>
      </c>
      <c r="T96" s="44">
        <f t="shared" si="104"/>
        <v>5.0481754643832921E-2</v>
      </c>
      <c r="U96" s="44">
        <f t="shared" si="105"/>
        <v>4.663014172090349E-2</v>
      </c>
      <c r="V96" s="44">
        <f t="shared" si="106"/>
        <v>5.3112586312428926E-2</v>
      </c>
      <c r="W96" s="44">
        <f>L96/$L$6*100</f>
        <v>6.2974364768625085E-2</v>
      </c>
      <c r="X96" s="57">
        <f t="shared" si="107"/>
        <v>5.5582043706898156E-2</v>
      </c>
      <c r="Y96" s="44">
        <f t="shared" si="126"/>
        <v>3.2573512425284017</v>
      </c>
      <c r="Z96" s="44">
        <f t="shared" si="126"/>
        <v>2.6902548514384774</v>
      </c>
      <c r="AA96" s="44">
        <f t="shared" si="126"/>
        <v>-3.5493948573724019</v>
      </c>
      <c r="AB96" s="44">
        <f t="shared" si="126"/>
        <v>18.687893683975272</v>
      </c>
      <c r="AC96" s="44">
        <f t="shared" si="126"/>
        <v>16.793435514236535</v>
      </c>
      <c r="AD96" s="44">
        <f t="shared" si="126"/>
        <v>1.6664428598589365</v>
      </c>
      <c r="AE96" s="44">
        <f t="shared" si="127"/>
        <v>-44.836953588248676</v>
      </c>
      <c r="AF96" s="44">
        <f t="shared" si="100"/>
        <v>25.024462620861215</v>
      </c>
      <c r="AG96" s="44">
        <f t="shared" si="121"/>
        <v>59.815863922538604</v>
      </c>
      <c r="AH96" s="44">
        <f t="shared" si="128"/>
        <v>18.900424927453045</v>
      </c>
      <c r="AI96" s="44">
        <f t="shared" si="128"/>
        <v>-8.2625890744243478</v>
      </c>
    </row>
    <row r="97" spans="1:35" s="18" customFormat="1" ht="19.5" customHeight="1" x14ac:dyDescent="0.25">
      <c r="A97" s="21" t="s">
        <v>95</v>
      </c>
      <c r="B97" s="3">
        <v>1715.4903400000003</v>
      </c>
      <c r="C97" s="3">
        <v>1091.10437</v>
      </c>
      <c r="D97" s="3">
        <v>2387.3171499999999</v>
      </c>
      <c r="E97" s="3">
        <v>1718.2963199999999</v>
      </c>
      <c r="F97" s="3">
        <v>2592.6700300000007</v>
      </c>
      <c r="G97" s="3">
        <v>2125.0813299999991</v>
      </c>
      <c r="H97" s="3">
        <v>2612.9231200000022</v>
      </c>
      <c r="I97" s="3">
        <v>1765.3163499999994</v>
      </c>
      <c r="J97" s="3">
        <v>4321.4772799999982</v>
      </c>
      <c r="K97" s="3">
        <v>6350.0256500000032</v>
      </c>
      <c r="L97" s="66">
        <v>6800.915380000004</v>
      </c>
      <c r="M97" s="64">
        <v>7961.4241600000605</v>
      </c>
      <c r="N97" s="43">
        <f>C97/$C$6*100</f>
        <v>3.5599728026658017E-3</v>
      </c>
      <c r="O97" s="44">
        <f>D97/$D$6*100</f>
        <v>8.190391170774974E-3</v>
      </c>
      <c r="P97" s="44">
        <f t="shared" si="102"/>
        <v>5.253826861526205E-3</v>
      </c>
      <c r="Q97" s="44">
        <f t="shared" si="122"/>
        <v>7.1376371210028671E-3</v>
      </c>
      <c r="R97" s="44">
        <f t="shared" si="103"/>
        <v>4.6630598514750266E-3</v>
      </c>
      <c r="S97" s="44">
        <f>H97/$H$6*100</f>
        <v>5.8824233666342624E-3</v>
      </c>
      <c r="T97" s="44">
        <f t="shared" si="104"/>
        <v>6.2476856479443234E-3</v>
      </c>
      <c r="U97" s="44">
        <f t="shared" si="105"/>
        <v>1.1299680333895343E-2</v>
      </c>
      <c r="V97" s="44">
        <f t="shared" si="106"/>
        <v>1.1833691159743621E-2</v>
      </c>
      <c r="W97" s="44">
        <f>L97/$L$6*100</f>
        <v>1.2638486275544515E-2</v>
      </c>
      <c r="X97" s="57">
        <f t="shared" si="107"/>
        <v>1.4234515489523652E-2</v>
      </c>
      <c r="Y97" s="44">
        <f>((C97-B97)/B97)*100</f>
        <v>-36.396938848399465</v>
      </c>
      <c r="Z97" s="47" t="s">
        <v>147</v>
      </c>
      <c r="AA97" s="44">
        <f>((E97-D97)/D97)*100</f>
        <v>-28.023961123053969</v>
      </c>
      <c r="AB97" s="44">
        <f>((F97-E97)/E97)*100</f>
        <v>50.886084071925431</v>
      </c>
      <c r="AC97" s="44">
        <f>((G97-F97)/F97)*100</f>
        <v>-18.035025459834607</v>
      </c>
      <c r="AD97" s="44">
        <f>((H97-G97)/G97)*100</f>
        <v>22.956382097620864</v>
      </c>
      <c r="AE97" s="44">
        <f t="shared" si="127"/>
        <v>-32.439024459319036</v>
      </c>
      <c r="AF97" s="47" t="s">
        <v>147</v>
      </c>
      <c r="AG97" s="44">
        <f t="shared" si="121"/>
        <v>46.941086081563427</v>
      </c>
      <c r="AH97" s="44">
        <f t="shared" si="128"/>
        <v>7.1005969873523354</v>
      </c>
      <c r="AI97" s="44">
        <f t="shared" si="128"/>
        <v>17.064008521747787</v>
      </c>
    </row>
    <row r="98" spans="1:35" s="18" customFormat="1" ht="19.5" customHeight="1" x14ac:dyDescent="0.25">
      <c r="A98" s="19" t="s">
        <v>96</v>
      </c>
      <c r="B98" s="1"/>
      <c r="C98" s="1"/>
      <c r="D98" s="1"/>
      <c r="E98" s="3"/>
      <c r="F98" s="3"/>
      <c r="G98" s="3"/>
      <c r="H98" s="3"/>
      <c r="I98" s="3"/>
      <c r="J98" s="3"/>
      <c r="K98" s="3"/>
      <c r="L98" s="66"/>
      <c r="M98" s="64"/>
      <c r="N98" s="43"/>
      <c r="O98" s="44"/>
      <c r="P98" s="44"/>
      <c r="Q98" s="2"/>
      <c r="R98" s="2"/>
      <c r="S98" s="2"/>
      <c r="T98" s="2"/>
      <c r="U98" s="2"/>
      <c r="V98" s="2"/>
      <c r="W98" s="2"/>
      <c r="X98" s="61"/>
      <c r="Y98" s="2"/>
      <c r="Z98" s="2"/>
      <c r="AA98" s="44"/>
      <c r="AB98" s="44"/>
      <c r="AC98" s="44"/>
      <c r="AD98" s="44"/>
      <c r="AE98" s="44"/>
      <c r="AF98" s="44"/>
      <c r="AG98" s="2"/>
      <c r="AH98" s="2"/>
      <c r="AI98" s="2"/>
    </row>
    <row r="99" spans="1:35" s="18" customFormat="1" ht="19.5" customHeight="1" x14ac:dyDescent="0.25">
      <c r="A99" s="45" t="s">
        <v>97</v>
      </c>
      <c r="B99" s="24">
        <f t="shared" ref="B99:G99" si="129">SUM(B100:B102)</f>
        <v>498897.52130000014</v>
      </c>
      <c r="C99" s="20">
        <f t="shared" si="129"/>
        <v>542021.17069000006</v>
      </c>
      <c r="D99" s="20">
        <f t="shared" si="129"/>
        <v>777898.15535999998</v>
      </c>
      <c r="E99" s="20">
        <f t="shared" si="129"/>
        <v>932485.53124000074</v>
      </c>
      <c r="F99" s="20">
        <f t="shared" si="129"/>
        <v>1130688.7164900005</v>
      </c>
      <c r="G99" s="20">
        <f t="shared" si="129"/>
        <v>1371509.1904800015</v>
      </c>
      <c r="H99" s="20">
        <f t="shared" ref="H99:I99" si="130">SUM(H100:H102)</f>
        <v>1280780.8174599996</v>
      </c>
      <c r="I99" s="20">
        <f t="shared" si="130"/>
        <v>672569.20977999922</v>
      </c>
      <c r="J99" s="20">
        <f t="shared" ref="J99:M99" si="131">SUM(J100:J102)</f>
        <v>797100.0133400003</v>
      </c>
      <c r="K99" s="20">
        <f t="shared" si="131"/>
        <v>996535.82268999983</v>
      </c>
      <c r="L99" s="20">
        <f t="shared" si="131"/>
        <v>1037619.1441599999</v>
      </c>
      <c r="M99" s="69">
        <f t="shared" si="131"/>
        <v>994275.84350999992</v>
      </c>
      <c r="N99" s="53">
        <f>C99/$C$6*100</f>
        <v>1.7684656749431573</v>
      </c>
      <c r="O99" s="2">
        <f>D99/$D$6*100</f>
        <v>2.668807612521312</v>
      </c>
      <c r="P99" s="2">
        <f t="shared" si="102"/>
        <v>2.8511482420059244</v>
      </c>
      <c r="Q99" s="2">
        <f t="shared" si="122"/>
        <v>3.1127932446992155</v>
      </c>
      <c r="R99" s="2">
        <f t="shared" si="103"/>
        <v>3.0094986727196513</v>
      </c>
      <c r="S99" s="2">
        <f t="shared" ref="S99:S105" si="132">H99/$H$6*100</f>
        <v>2.8833971235110911</v>
      </c>
      <c r="T99" s="2">
        <f t="shared" si="104"/>
        <v>2.3803104747722741</v>
      </c>
      <c r="U99" s="2">
        <f t="shared" si="105"/>
        <v>2.0842352652345131</v>
      </c>
      <c r="V99" s="2">
        <f t="shared" si="106"/>
        <v>1.8571101607021825</v>
      </c>
      <c r="W99" s="2">
        <f t="shared" ref="W99:W105" si="133">L99/$L$6*100</f>
        <v>1.9282603267309579</v>
      </c>
      <c r="X99" s="61">
        <f t="shared" si="107"/>
        <v>1.7777014025217042</v>
      </c>
      <c r="Y99" s="2">
        <f t="shared" ref="Y99:AD102" si="134">((C99-B99)/B99)*100</f>
        <v>8.6437890646621476</v>
      </c>
      <c r="Z99" s="2">
        <f t="shared" si="134"/>
        <v>43.518039040749166</v>
      </c>
      <c r="AA99" s="2">
        <f t="shared" si="134"/>
        <v>19.872444074437993</v>
      </c>
      <c r="AB99" s="2">
        <f t="shared" si="134"/>
        <v>21.255363071042304</v>
      </c>
      <c r="AC99" s="2">
        <f t="shared" si="134"/>
        <v>21.298565244162031</v>
      </c>
      <c r="AD99" s="2">
        <f t="shared" si="134"/>
        <v>-6.6152216587224437</v>
      </c>
      <c r="AE99" s="2">
        <f t="shared" ref="AE99:AE102" si="135">((I99-H99)/H99)*100</f>
        <v>-47.487563788329112</v>
      </c>
      <c r="AF99" s="2">
        <f t="shared" si="100"/>
        <v>18.515686080951539</v>
      </c>
      <c r="AG99" s="2">
        <f t="shared" si="121"/>
        <v>25.020173881860273</v>
      </c>
      <c r="AH99" s="2">
        <f t="shared" ref="AH99:AI102" si="136">((L99-K99)/K99)*100</f>
        <v>4.1226136115309719</v>
      </c>
      <c r="AI99" s="2">
        <f t="shared" si="136"/>
        <v>-4.1771878337006179</v>
      </c>
    </row>
    <row r="100" spans="1:35" s="18" customFormat="1" ht="19.5" customHeight="1" x14ac:dyDescent="0.25">
      <c r="A100" s="21" t="s">
        <v>98</v>
      </c>
      <c r="B100" s="3">
        <v>165372.65342000002</v>
      </c>
      <c r="C100" s="3">
        <v>153868.86822999999</v>
      </c>
      <c r="D100" s="3">
        <v>207774.77755</v>
      </c>
      <c r="E100" s="3">
        <v>373401.62319999997</v>
      </c>
      <c r="F100" s="3">
        <v>579304.51050000079</v>
      </c>
      <c r="G100" s="3">
        <v>667468.66891000082</v>
      </c>
      <c r="H100" s="3">
        <v>455740.62652999919</v>
      </c>
      <c r="I100" s="3">
        <v>280884.2338899998</v>
      </c>
      <c r="J100" s="3">
        <v>225462.85106999998</v>
      </c>
      <c r="K100" s="3">
        <v>297922.08869999996</v>
      </c>
      <c r="L100" s="66">
        <v>459469.41517000017</v>
      </c>
      <c r="M100" s="64">
        <v>371421.75103000039</v>
      </c>
      <c r="N100" s="43">
        <f>C100/$C$6*100</f>
        <v>0.50203170396592589</v>
      </c>
      <c r="O100" s="44">
        <f>D100/$D$6*100</f>
        <v>0.71283227013019801</v>
      </c>
      <c r="P100" s="44">
        <f t="shared" si="102"/>
        <v>1.1417049872432055</v>
      </c>
      <c r="Q100" s="44">
        <f t="shared" si="122"/>
        <v>1.5948290105043565</v>
      </c>
      <c r="R100" s="44">
        <f t="shared" si="103"/>
        <v>1.4646245807974339</v>
      </c>
      <c r="S100" s="44">
        <f t="shared" si="132"/>
        <v>1.0260000725259009</v>
      </c>
      <c r="T100" s="44">
        <f t="shared" si="104"/>
        <v>0.99408607233960578</v>
      </c>
      <c r="U100" s="44">
        <f t="shared" si="105"/>
        <v>0.58953408271989216</v>
      </c>
      <c r="V100" s="44">
        <f t="shared" si="106"/>
        <v>0.55519744039798369</v>
      </c>
      <c r="W100" s="44">
        <f t="shared" si="133"/>
        <v>0.85385533758229293</v>
      </c>
      <c r="X100" s="57">
        <f t="shared" si="107"/>
        <v>0.66407825558970057</v>
      </c>
      <c r="Y100" s="44">
        <f t="shared" si="134"/>
        <v>-6.9562802265642114</v>
      </c>
      <c r="Z100" s="44">
        <f t="shared" si="134"/>
        <v>35.033668564730434</v>
      </c>
      <c r="AA100" s="44">
        <f t="shared" si="134"/>
        <v>79.714606172610473</v>
      </c>
      <c r="AB100" s="44">
        <f t="shared" si="134"/>
        <v>55.142472476536582</v>
      </c>
      <c r="AC100" s="44">
        <f t="shared" si="134"/>
        <v>15.218966331524864</v>
      </c>
      <c r="AD100" s="44">
        <f t="shared" si="134"/>
        <v>-31.72104583212284</v>
      </c>
      <c r="AE100" s="44">
        <f t="shared" si="135"/>
        <v>-38.367523644172948</v>
      </c>
      <c r="AF100" s="44">
        <f t="shared" si="100"/>
        <v>-19.731040810821732</v>
      </c>
      <c r="AG100" s="44">
        <f t="shared" si="121"/>
        <v>32.137994035879288</v>
      </c>
      <c r="AH100" s="44">
        <f t="shared" si="136"/>
        <v>54.224689137660519</v>
      </c>
      <c r="AI100" s="44">
        <f t="shared" si="136"/>
        <v>-19.162899908674621</v>
      </c>
    </row>
    <row r="101" spans="1:35" s="18" customFormat="1" ht="19.5" customHeight="1" x14ac:dyDescent="0.25">
      <c r="A101" s="21" t="s">
        <v>99</v>
      </c>
      <c r="B101" s="3">
        <v>201809.1649700001</v>
      </c>
      <c r="C101" s="3">
        <v>230066.36960000001</v>
      </c>
      <c r="D101" s="3">
        <v>375243.68664999999</v>
      </c>
      <c r="E101" s="3">
        <v>349073.10449000087</v>
      </c>
      <c r="F101" s="3">
        <v>358321.02651999978</v>
      </c>
      <c r="G101" s="3">
        <v>451458.33103000035</v>
      </c>
      <c r="H101" s="3">
        <v>575252.35700000089</v>
      </c>
      <c r="I101" s="3">
        <v>236288.22097999958</v>
      </c>
      <c r="J101" s="3">
        <v>393730.70393000013</v>
      </c>
      <c r="K101" s="3">
        <v>425866.27293999994</v>
      </c>
      <c r="L101" s="66">
        <v>344051.91427999974</v>
      </c>
      <c r="M101" s="64">
        <v>377783.46574999962</v>
      </c>
      <c r="N101" s="43">
        <f>C101/$C$6*100</f>
        <v>0.75064314753322647</v>
      </c>
      <c r="O101" s="44">
        <f>D101/$D$6*100</f>
        <v>1.2873834454828137</v>
      </c>
      <c r="P101" s="44">
        <f t="shared" si="102"/>
        <v>1.0673186176677085</v>
      </c>
      <c r="Q101" s="44">
        <f t="shared" si="122"/>
        <v>0.98646007032564909</v>
      </c>
      <c r="R101" s="44">
        <f t="shared" si="103"/>
        <v>0.9906337175527854</v>
      </c>
      <c r="S101" s="44">
        <f t="shared" si="132"/>
        <v>1.2950545236586359</v>
      </c>
      <c r="T101" s="44">
        <f t="shared" si="104"/>
        <v>0.83625494489700991</v>
      </c>
      <c r="U101" s="44">
        <f t="shared" si="105"/>
        <v>1.0295162519166581</v>
      </c>
      <c r="V101" s="44">
        <f t="shared" si="106"/>
        <v>0.79362985712081946</v>
      </c>
      <c r="W101" s="44">
        <f t="shared" si="133"/>
        <v>0.63936913690912467</v>
      </c>
      <c r="X101" s="57">
        <f t="shared" si="107"/>
        <v>0.67545259325867357</v>
      </c>
      <c r="Y101" s="44">
        <f t="shared" si="134"/>
        <v>14.001943189349442</v>
      </c>
      <c r="Z101" s="44">
        <f t="shared" si="134"/>
        <v>63.102363592909924</v>
      </c>
      <c r="AA101" s="44">
        <f t="shared" si="134"/>
        <v>-6.974289799153671</v>
      </c>
      <c r="AB101" s="44">
        <f t="shared" si="134"/>
        <v>2.6492794520821685</v>
      </c>
      <c r="AC101" s="44">
        <f t="shared" si="134"/>
        <v>25.992698618483693</v>
      </c>
      <c r="AD101" s="44">
        <f t="shared" si="134"/>
        <v>27.420919597953809</v>
      </c>
      <c r="AE101" s="44">
        <f t="shared" si="135"/>
        <v>-58.924423671679236</v>
      </c>
      <c r="AF101" s="44">
        <f t="shared" si="100"/>
        <v>66.631541046359288</v>
      </c>
      <c r="AG101" s="44">
        <f t="shared" si="121"/>
        <v>8.1618143287380143</v>
      </c>
      <c r="AH101" s="44">
        <f t="shared" si="136"/>
        <v>-19.211279187522553</v>
      </c>
      <c r="AI101" s="44">
        <f t="shared" si="136"/>
        <v>9.8042039790972204</v>
      </c>
    </row>
    <row r="102" spans="1:35" s="18" customFormat="1" ht="19.5" customHeight="1" x14ac:dyDescent="0.25">
      <c r="A102" s="21" t="s">
        <v>100</v>
      </c>
      <c r="B102" s="3">
        <v>131715.70291000002</v>
      </c>
      <c r="C102" s="3">
        <v>158085.93286</v>
      </c>
      <c r="D102" s="3">
        <v>194879.69115999999</v>
      </c>
      <c r="E102" s="3">
        <v>210010.80354999992</v>
      </c>
      <c r="F102" s="3">
        <v>193063.17946999986</v>
      </c>
      <c r="G102" s="3">
        <v>252582.19054000033</v>
      </c>
      <c r="H102" s="3">
        <v>249787.83392999956</v>
      </c>
      <c r="I102" s="3">
        <v>155396.75490999984</v>
      </c>
      <c r="J102" s="3">
        <v>177906.4583400001</v>
      </c>
      <c r="K102" s="3">
        <v>272747.46104999998</v>
      </c>
      <c r="L102" s="66">
        <v>234097.81471000009</v>
      </c>
      <c r="M102" s="64">
        <v>245070.62672999993</v>
      </c>
      <c r="N102" s="43">
        <f>C102/$C$6*100</f>
        <v>0.51579082344400462</v>
      </c>
      <c r="O102" s="44">
        <f>D102/$D$6*100</f>
        <v>0.66859189690830045</v>
      </c>
      <c r="P102" s="44">
        <f t="shared" si="102"/>
        <v>0.64212463709501089</v>
      </c>
      <c r="Q102" s="44">
        <f t="shared" si="122"/>
        <v>0.53150416386920984</v>
      </c>
      <c r="R102" s="44">
        <f t="shared" si="103"/>
        <v>0.55424037436943241</v>
      </c>
      <c r="S102" s="44">
        <f t="shared" si="132"/>
        <v>0.56234252732655476</v>
      </c>
      <c r="T102" s="44">
        <f t="shared" si="104"/>
        <v>0.54996945753565818</v>
      </c>
      <c r="U102" s="44">
        <f t="shared" si="105"/>
        <v>0.4651849305979624</v>
      </c>
      <c r="V102" s="44">
        <f t="shared" si="106"/>
        <v>0.50828286318337956</v>
      </c>
      <c r="W102" s="44">
        <f t="shared" si="133"/>
        <v>0.43503585223954033</v>
      </c>
      <c r="X102" s="57">
        <f t="shared" si="107"/>
        <v>0.43817055367333008</v>
      </c>
      <c r="Y102" s="44">
        <f t="shared" si="134"/>
        <v>20.020566544004616</v>
      </c>
      <c r="Z102" s="44">
        <f t="shared" si="134"/>
        <v>23.274530272459049</v>
      </c>
      <c r="AA102" s="44">
        <f t="shared" si="134"/>
        <v>7.7643351649079744</v>
      </c>
      <c r="AB102" s="44">
        <f t="shared" si="134"/>
        <v>-8.0698820220289917</v>
      </c>
      <c r="AC102" s="44">
        <f t="shared" si="134"/>
        <v>30.828773893288723</v>
      </c>
      <c r="AD102" s="44">
        <f t="shared" si="134"/>
        <v>-1.1063157715223964</v>
      </c>
      <c r="AE102" s="44">
        <f t="shared" si="135"/>
        <v>-37.788501359298323</v>
      </c>
      <c r="AF102" s="44">
        <f t="shared" si="100"/>
        <v>14.485311127016171</v>
      </c>
      <c r="AG102" s="44">
        <f t="shared" si="121"/>
        <v>53.30947712350477</v>
      </c>
      <c r="AH102" s="44">
        <f t="shared" si="136"/>
        <v>-14.170488037252399</v>
      </c>
      <c r="AI102" s="44">
        <f t="shared" si="136"/>
        <v>4.6872765700922647</v>
      </c>
    </row>
    <row r="103" spans="1:35" s="18" customFormat="1" ht="19.5" customHeight="1" x14ac:dyDescent="0.25">
      <c r="A103" s="19" t="s">
        <v>101</v>
      </c>
      <c r="B103" s="1"/>
      <c r="C103" s="1"/>
      <c r="D103" s="1"/>
      <c r="E103" s="3"/>
      <c r="F103" s="3"/>
      <c r="G103" s="3"/>
      <c r="H103" s="3"/>
      <c r="I103" s="3"/>
      <c r="J103" s="3"/>
      <c r="K103" s="3"/>
      <c r="L103" s="66"/>
      <c r="M103" s="64"/>
      <c r="N103" s="43"/>
      <c r="O103" s="44"/>
      <c r="P103" s="44"/>
      <c r="Q103" s="44"/>
      <c r="R103" s="44"/>
      <c r="S103" s="44">
        <f t="shared" si="132"/>
        <v>0</v>
      </c>
      <c r="T103" s="44">
        <f t="shared" si="104"/>
        <v>0</v>
      </c>
      <c r="U103" s="44">
        <f t="shared" si="105"/>
        <v>0</v>
      </c>
      <c r="V103" s="44">
        <f t="shared" si="106"/>
        <v>0</v>
      </c>
      <c r="W103" s="44">
        <f t="shared" si="133"/>
        <v>0</v>
      </c>
      <c r="X103" s="57">
        <f t="shared" si="107"/>
        <v>0</v>
      </c>
      <c r="Y103" s="2"/>
      <c r="Z103" s="2"/>
      <c r="AA103" s="44"/>
      <c r="AB103" s="44"/>
      <c r="AC103" s="44"/>
      <c r="AD103" s="44"/>
      <c r="AE103" s="44"/>
      <c r="AF103" s="44"/>
      <c r="AG103" s="2"/>
      <c r="AH103" s="2"/>
      <c r="AI103" s="2"/>
    </row>
    <row r="104" spans="1:35" s="18" customFormat="1" ht="19.5" customHeight="1" x14ac:dyDescent="0.25">
      <c r="A104" s="45" t="s">
        <v>102</v>
      </c>
      <c r="B104" s="24">
        <f t="shared" ref="B104:M104" si="137">SUM(B105)</f>
        <v>27457.815149999991</v>
      </c>
      <c r="C104" s="20">
        <f t="shared" si="137"/>
        <v>23261.95406</v>
      </c>
      <c r="D104" s="20">
        <f t="shared" si="137"/>
        <v>18708.022800000002</v>
      </c>
      <c r="E104" s="20">
        <f t="shared" si="137"/>
        <v>16050.887490000005</v>
      </c>
      <c r="F104" s="20">
        <f t="shared" si="137"/>
        <v>10434.367360000002</v>
      </c>
      <c r="G104" s="20">
        <f t="shared" si="137"/>
        <v>13897.489099999979</v>
      </c>
      <c r="H104" s="20">
        <f t="shared" si="137"/>
        <v>18651.156210000005</v>
      </c>
      <c r="I104" s="20">
        <f t="shared" si="137"/>
        <v>12176.756660000017</v>
      </c>
      <c r="J104" s="20">
        <f t="shared" si="137"/>
        <v>21920.566869999999</v>
      </c>
      <c r="K104" s="20">
        <f t="shared" si="137"/>
        <v>26141.622799999986</v>
      </c>
      <c r="L104" s="20">
        <f t="shared" si="137"/>
        <v>36029.549309999988</v>
      </c>
      <c r="M104" s="69">
        <f t="shared" si="137"/>
        <v>33186.262229999986</v>
      </c>
      <c r="N104" s="53">
        <f>C104/$C$6*100</f>
        <v>7.5897344073932477E-2</v>
      </c>
      <c r="O104" s="2">
        <f>D104/$D$6*100</f>
        <v>6.4183355262947342E-2</v>
      </c>
      <c r="P104" s="2">
        <f t="shared" si="102"/>
        <v>4.9076857620399816E-2</v>
      </c>
      <c r="Q104" s="44">
        <f t="shared" si="122"/>
        <v>2.8725879861741094E-2</v>
      </c>
      <c r="R104" s="44">
        <f t="shared" si="103"/>
        <v>3.0495220368117266E-2</v>
      </c>
      <c r="S104" s="44">
        <f t="shared" si="132"/>
        <v>4.1988987836905689E-2</v>
      </c>
      <c r="T104" s="44">
        <f t="shared" si="104"/>
        <v>4.3095135794325244E-2</v>
      </c>
      <c r="U104" s="44">
        <f t="shared" si="105"/>
        <v>5.7317297377709894E-2</v>
      </c>
      <c r="V104" s="44">
        <f t="shared" si="106"/>
        <v>4.8716636385510027E-2</v>
      </c>
      <c r="W104" s="44">
        <f t="shared" si="133"/>
        <v>6.6955540397929336E-2</v>
      </c>
      <c r="X104" s="57">
        <f t="shared" si="107"/>
        <v>5.9334907204884428E-2</v>
      </c>
      <c r="Y104" s="2">
        <f t="shared" ref="Y104:AD105" si="138">((C104-B104)/B104)*100</f>
        <v>-15.281117842327644</v>
      </c>
      <c r="Z104" s="2">
        <f t="shared" si="138"/>
        <v>-19.576735678584679</v>
      </c>
      <c r="AA104" s="2">
        <f t="shared" si="138"/>
        <v>-14.203186185982183</v>
      </c>
      <c r="AB104" s="2">
        <f t="shared" si="138"/>
        <v>-34.99195999909162</v>
      </c>
      <c r="AC104" s="2">
        <f t="shared" si="138"/>
        <v>33.189570776238959</v>
      </c>
      <c r="AD104" s="2">
        <f t="shared" si="138"/>
        <v>34.205222798124254</v>
      </c>
      <c r="AE104" s="2">
        <f t="shared" ref="AE104:AE105" si="139">((I104-H104)/H104)*100</f>
        <v>-34.713127042111594</v>
      </c>
      <c r="AF104" s="2">
        <f t="shared" si="100"/>
        <v>80.019749774649497</v>
      </c>
      <c r="AG104" s="2">
        <f t="shared" si="121"/>
        <v>19.256144036023226</v>
      </c>
      <c r="AH104" s="2">
        <f>((L104-K104)/K104)*100</f>
        <v>37.82445560342186</v>
      </c>
      <c r="AI104" s="2">
        <f>((M104-L104)/L104)*100</f>
        <v>-7.8915421770509031</v>
      </c>
    </row>
    <row r="105" spans="1:35" s="18" customFormat="1" ht="19.5" customHeight="1" x14ac:dyDescent="0.25">
      <c r="A105" s="22" t="s">
        <v>103</v>
      </c>
      <c r="B105" s="3">
        <v>27457.815149999991</v>
      </c>
      <c r="C105" s="3">
        <v>23261.95406</v>
      </c>
      <c r="D105" s="3">
        <v>18708.022800000002</v>
      </c>
      <c r="E105" s="3">
        <v>16050.887490000005</v>
      </c>
      <c r="F105" s="3">
        <v>10434.367360000002</v>
      </c>
      <c r="G105" s="3">
        <v>13897.489099999979</v>
      </c>
      <c r="H105" s="3">
        <v>18651.156210000005</v>
      </c>
      <c r="I105" s="3">
        <v>12176.756660000017</v>
      </c>
      <c r="J105" s="3">
        <v>21920.566869999999</v>
      </c>
      <c r="K105" s="3">
        <v>26141.622799999986</v>
      </c>
      <c r="L105" s="66">
        <v>36029.549309999988</v>
      </c>
      <c r="M105" s="64">
        <v>33186.262229999986</v>
      </c>
      <c r="N105" s="43">
        <f>C105/$C$6*100</f>
        <v>7.5897344073932477E-2</v>
      </c>
      <c r="O105" s="44">
        <f>D105/$D$6*100</f>
        <v>6.4183355262947342E-2</v>
      </c>
      <c r="P105" s="44">
        <f t="shared" si="102"/>
        <v>4.9076857620399816E-2</v>
      </c>
      <c r="Q105" s="44">
        <f t="shared" si="122"/>
        <v>2.8725879861741094E-2</v>
      </c>
      <c r="R105" s="44">
        <f t="shared" si="103"/>
        <v>3.0495220368117266E-2</v>
      </c>
      <c r="S105" s="44">
        <f t="shared" si="132"/>
        <v>4.1988987836905689E-2</v>
      </c>
      <c r="T105" s="44">
        <f t="shared" si="104"/>
        <v>4.3095135794325244E-2</v>
      </c>
      <c r="U105" s="44">
        <f t="shared" si="105"/>
        <v>5.7317297377709894E-2</v>
      </c>
      <c r="V105" s="44">
        <f t="shared" si="106"/>
        <v>4.8716636385510027E-2</v>
      </c>
      <c r="W105" s="44">
        <f t="shared" si="133"/>
        <v>6.6955540397929336E-2</v>
      </c>
      <c r="X105" s="57">
        <f t="shared" si="107"/>
        <v>5.9334907204884428E-2</v>
      </c>
      <c r="Y105" s="44">
        <f t="shared" si="138"/>
        <v>-15.281117842327644</v>
      </c>
      <c r="Z105" s="44">
        <f t="shared" si="138"/>
        <v>-19.576735678584679</v>
      </c>
      <c r="AA105" s="44">
        <f t="shared" si="138"/>
        <v>-14.203186185982183</v>
      </c>
      <c r="AB105" s="44">
        <f t="shared" si="138"/>
        <v>-34.99195999909162</v>
      </c>
      <c r="AC105" s="44">
        <f t="shared" si="138"/>
        <v>33.189570776238959</v>
      </c>
      <c r="AD105" s="44">
        <f t="shared" si="138"/>
        <v>34.205222798124254</v>
      </c>
      <c r="AE105" s="44">
        <f t="shared" si="139"/>
        <v>-34.713127042111594</v>
      </c>
      <c r="AF105" s="44">
        <f t="shared" si="100"/>
        <v>80.019749774649497</v>
      </c>
      <c r="AG105" s="44">
        <f t="shared" si="121"/>
        <v>19.256144036023226</v>
      </c>
      <c r="AH105" s="44">
        <f>((L105-K105)/K105)*100</f>
        <v>37.82445560342186</v>
      </c>
      <c r="AI105" s="44">
        <f>((M105-L105)/L105)*100</f>
        <v>-7.8915421770509031</v>
      </c>
    </row>
    <row r="106" spans="1:35" s="18" customFormat="1" ht="24.75" customHeight="1" x14ac:dyDescent="0.25">
      <c r="A106" s="19" t="s">
        <v>104</v>
      </c>
      <c r="B106" s="1"/>
      <c r="C106" s="1"/>
      <c r="D106" s="1"/>
      <c r="E106" s="3"/>
      <c r="F106" s="3"/>
      <c r="G106" s="3"/>
      <c r="H106" s="3"/>
      <c r="I106" s="3"/>
      <c r="J106" s="3"/>
      <c r="K106" s="3"/>
      <c r="L106" s="66"/>
      <c r="M106" s="64"/>
      <c r="N106" s="43"/>
      <c r="O106" s="44"/>
      <c r="P106" s="44"/>
      <c r="Q106" s="2"/>
      <c r="R106" s="2"/>
      <c r="S106" s="2"/>
      <c r="T106" s="2"/>
      <c r="U106" s="2"/>
      <c r="V106" s="2"/>
      <c r="W106" s="2"/>
      <c r="X106" s="61"/>
      <c r="Y106" s="2"/>
      <c r="Z106" s="2"/>
      <c r="AA106" s="44"/>
      <c r="AB106" s="44"/>
      <c r="AC106" s="44"/>
      <c r="AD106" s="44"/>
      <c r="AE106" s="44"/>
      <c r="AF106" s="44"/>
      <c r="AG106" s="2"/>
      <c r="AH106" s="2"/>
      <c r="AI106" s="2"/>
    </row>
    <row r="107" spans="1:35" s="18" customFormat="1" ht="19.5" customHeight="1" x14ac:dyDescent="0.25">
      <c r="A107" s="45" t="s">
        <v>105</v>
      </c>
      <c r="B107" s="24">
        <f t="shared" ref="B107:G107" si="140">SUM(B108:B118)</f>
        <v>1016470.82361</v>
      </c>
      <c r="C107" s="20">
        <f t="shared" si="140"/>
        <v>1254563.8052400001</v>
      </c>
      <c r="D107" s="20">
        <f t="shared" si="140"/>
        <v>1767102.4527499997</v>
      </c>
      <c r="E107" s="20">
        <f t="shared" si="140"/>
        <v>2550159.9829199947</v>
      </c>
      <c r="F107" s="20">
        <f t="shared" si="140"/>
        <v>2868827.1141699986</v>
      </c>
      <c r="G107" s="20">
        <f t="shared" si="140"/>
        <v>4039401.2743100077</v>
      </c>
      <c r="H107" s="20">
        <f t="shared" ref="H107:I107" si="141">SUM(H108:H118)</f>
        <v>3759745.2674399982</v>
      </c>
      <c r="I107" s="20">
        <f t="shared" si="141"/>
        <v>1843482.5763799991</v>
      </c>
      <c r="J107" s="20">
        <f t="shared" ref="J107:M107" si="142">SUM(J108:J118)</f>
        <v>2175451.7305300008</v>
      </c>
      <c r="K107" s="20">
        <f t="shared" si="142"/>
        <v>3710365.895560002</v>
      </c>
      <c r="L107" s="20">
        <f t="shared" si="142"/>
        <v>3917038.6300099972</v>
      </c>
      <c r="M107" s="69">
        <f t="shared" si="142"/>
        <v>3563966.6860799976</v>
      </c>
      <c r="N107" s="53">
        <f t="shared" ref="N107:N118" si="143">C107/$C$6*100</f>
        <v>4.0932958832007209</v>
      </c>
      <c r="O107" s="2">
        <f t="shared" ref="O107:O118" si="144">D107/$D$6*100</f>
        <v>6.0625628760126826</v>
      </c>
      <c r="P107" s="2">
        <f t="shared" si="102"/>
        <v>7.7973157851227191</v>
      </c>
      <c r="Q107" s="2">
        <f t="shared" si="122"/>
        <v>7.8978993342393471</v>
      </c>
      <c r="R107" s="2">
        <f t="shared" si="103"/>
        <v>8.863646600401907</v>
      </c>
      <c r="S107" s="2">
        <f t="shared" ref="S107:S118" si="145">H107/$H$6*100</f>
        <v>8.4642419229623602</v>
      </c>
      <c r="T107" s="2">
        <f t="shared" si="104"/>
        <v>6.524326155300578</v>
      </c>
      <c r="U107" s="2">
        <f t="shared" si="105"/>
        <v>5.6883115527587487</v>
      </c>
      <c r="V107" s="2">
        <f t="shared" si="106"/>
        <v>6.9145112977146148</v>
      </c>
      <c r="W107" s="2">
        <f t="shared" ref="W107:W118" si="146">L107/$L$6*100</f>
        <v>7.2792317210332662</v>
      </c>
      <c r="X107" s="61">
        <f t="shared" si="107"/>
        <v>6.3721437242393595</v>
      </c>
      <c r="Y107" s="2">
        <f t="shared" ref="Y107:Y118" si="147">((C107-B107)/B107)*100</f>
        <v>23.423493926211485</v>
      </c>
      <c r="Z107" s="2">
        <f t="shared" ref="Z107:Z118" si="148">((D107-C107)/C107)*100</f>
        <v>40.853932288597314</v>
      </c>
      <c r="AA107" s="2">
        <f t="shared" ref="AA107:AA118" si="149">((E107-D107)/D107)*100</f>
        <v>44.313080373545148</v>
      </c>
      <c r="AB107" s="2">
        <f t="shared" ref="AB107:AB118" si="150">((F107-E107)/E107)*100</f>
        <v>12.495966268168097</v>
      </c>
      <c r="AC107" s="2">
        <f t="shared" ref="AC107:AC118" si="151">((G107-F107)/F107)*100</f>
        <v>40.803231200590368</v>
      </c>
      <c r="AD107" s="2">
        <f t="shared" ref="AD107:AD118" si="152">((H107-G107)/G107)*100</f>
        <v>-6.9232044028054398</v>
      </c>
      <c r="AE107" s="2">
        <f t="shared" ref="AE107:AE118" si="153">((I107-H107)/H107)*100</f>
        <v>-50.967886246314173</v>
      </c>
      <c r="AF107" s="2">
        <f t="shared" si="100"/>
        <v>18.007718565036903</v>
      </c>
      <c r="AG107" s="2">
        <f t="shared" si="121"/>
        <v>70.556112254260555</v>
      </c>
      <c r="AH107" s="2">
        <f t="shared" ref="AH107:AI114" si="154">((L107-K107)/K107)*100</f>
        <v>5.5701443002510755</v>
      </c>
      <c r="AI107" s="2">
        <f t="shared" si="154"/>
        <v>-9.013746793942099</v>
      </c>
    </row>
    <row r="108" spans="1:35" s="18" customFormat="1" ht="19.5" customHeight="1" x14ac:dyDescent="0.25">
      <c r="A108" s="21" t="s">
        <v>106</v>
      </c>
      <c r="B108" s="3">
        <v>301593.73049000045</v>
      </c>
      <c r="C108" s="3">
        <v>390070.72378</v>
      </c>
      <c r="D108" s="3">
        <v>605642.39387999999</v>
      </c>
      <c r="E108" s="3">
        <v>856587.35369999858</v>
      </c>
      <c r="F108" s="3">
        <v>1067062.4173099999</v>
      </c>
      <c r="G108" s="3">
        <v>1351449.9675500039</v>
      </c>
      <c r="H108" s="3">
        <v>964691.34237999853</v>
      </c>
      <c r="I108" s="3">
        <v>472118.20646999998</v>
      </c>
      <c r="J108" s="3">
        <v>584199.14794000005</v>
      </c>
      <c r="K108" s="3">
        <v>1276849.7488099998</v>
      </c>
      <c r="L108" s="66">
        <v>1237086.9330599988</v>
      </c>
      <c r="M108" s="64">
        <v>1235539.8555500002</v>
      </c>
      <c r="N108" s="43">
        <f t="shared" si="143"/>
        <v>1.2726932509425879</v>
      </c>
      <c r="O108" s="44">
        <f t="shared" si="144"/>
        <v>2.077833737122766</v>
      </c>
      <c r="P108" s="44">
        <f t="shared" si="102"/>
        <v>2.6190835630217153</v>
      </c>
      <c r="Q108" s="44">
        <f t="shared" si="122"/>
        <v>2.9376296374355459</v>
      </c>
      <c r="R108" s="44">
        <f t="shared" si="103"/>
        <v>2.9654827775272263</v>
      </c>
      <c r="S108" s="44">
        <f t="shared" si="145"/>
        <v>2.171790991694341</v>
      </c>
      <c r="T108" s="44">
        <f t="shared" si="104"/>
        <v>1.6708881344104896</v>
      </c>
      <c r="U108" s="44">
        <f t="shared" si="105"/>
        <v>1.5275479183026128</v>
      </c>
      <c r="V108" s="44">
        <f t="shared" si="106"/>
        <v>2.3794936300475809</v>
      </c>
      <c r="W108" s="44">
        <f t="shared" si="146"/>
        <v>2.2989414441345746</v>
      </c>
      <c r="X108" s="57">
        <f t="shared" si="107"/>
        <v>2.2090659734112394</v>
      </c>
      <c r="Y108" s="44">
        <f t="shared" si="147"/>
        <v>29.336482938902826</v>
      </c>
      <c r="Z108" s="44">
        <f t="shared" si="148"/>
        <v>55.264765325372757</v>
      </c>
      <c r="AA108" s="44">
        <f t="shared" si="149"/>
        <v>41.434510258163996</v>
      </c>
      <c r="AB108" s="44">
        <f t="shared" si="150"/>
        <v>24.571348467948052</v>
      </c>
      <c r="AC108" s="44">
        <f t="shared" si="151"/>
        <v>26.651444716507573</v>
      </c>
      <c r="AD108" s="44">
        <f t="shared" si="152"/>
        <v>-28.618049832147797</v>
      </c>
      <c r="AE108" s="44">
        <f t="shared" si="153"/>
        <v>-51.060180004805169</v>
      </c>
      <c r="AF108" s="44">
        <f t="shared" si="100"/>
        <v>23.740016786902306</v>
      </c>
      <c r="AG108" s="44">
        <f t="shared" si="121"/>
        <v>118.56412377738322</v>
      </c>
      <c r="AH108" s="44">
        <f t="shared" si="154"/>
        <v>-3.11413428142655</v>
      </c>
      <c r="AI108" s="44">
        <f t="shared" si="154"/>
        <v>-0.12505810777354184</v>
      </c>
    </row>
    <row r="109" spans="1:35" s="18" customFormat="1" ht="19.5" customHeight="1" x14ac:dyDescent="0.25">
      <c r="A109" s="21" t="s">
        <v>107</v>
      </c>
      <c r="B109" s="3">
        <v>417458.59562999988</v>
      </c>
      <c r="C109" s="3">
        <v>521902.26562000002</v>
      </c>
      <c r="D109" s="3">
        <v>744782.99715999991</v>
      </c>
      <c r="E109" s="3">
        <v>1076227.8836699962</v>
      </c>
      <c r="F109" s="3">
        <v>1145467.6923199981</v>
      </c>
      <c r="G109" s="3">
        <v>1781485.3661200025</v>
      </c>
      <c r="H109" s="3">
        <v>1733508.3731599981</v>
      </c>
      <c r="I109" s="3">
        <v>846358.36160999897</v>
      </c>
      <c r="J109" s="3">
        <v>924873.48837000004</v>
      </c>
      <c r="K109" s="3">
        <v>1655769.062340002</v>
      </c>
      <c r="L109" s="66">
        <v>1723659.7030699989</v>
      </c>
      <c r="M109" s="64">
        <v>1302620.164209998</v>
      </c>
      <c r="N109" s="43">
        <f t="shared" si="143"/>
        <v>1.7028232333602173</v>
      </c>
      <c r="O109" s="44">
        <f t="shared" si="144"/>
        <v>2.5551963567482376</v>
      </c>
      <c r="P109" s="44">
        <f t="shared" si="102"/>
        <v>3.290651850053969</v>
      </c>
      <c r="Q109" s="44">
        <f t="shared" si="122"/>
        <v>3.1534798593759761</v>
      </c>
      <c r="R109" s="44">
        <f t="shared" si="103"/>
        <v>3.9091082159874202</v>
      </c>
      <c r="S109" s="44">
        <f t="shared" si="145"/>
        <v>3.9026139278573608</v>
      </c>
      <c r="T109" s="44">
        <f t="shared" si="104"/>
        <v>2.9953730326286641</v>
      </c>
      <c r="U109" s="44">
        <f t="shared" si="105"/>
        <v>2.4183338452899785</v>
      </c>
      <c r="V109" s="44">
        <f t="shared" si="106"/>
        <v>3.0856347352848656</v>
      </c>
      <c r="W109" s="44">
        <f t="shared" si="146"/>
        <v>3.2031643218238806</v>
      </c>
      <c r="X109" s="57">
        <f t="shared" si="107"/>
        <v>2.3290012605499615</v>
      </c>
      <c r="Y109" s="44">
        <f t="shared" si="147"/>
        <v>25.018929082626968</v>
      </c>
      <c r="Z109" s="44">
        <f t="shared" si="148"/>
        <v>42.70545391774187</v>
      </c>
      <c r="AA109" s="44">
        <f t="shared" si="149"/>
        <v>44.502209069468428</v>
      </c>
      <c r="AB109" s="44">
        <f t="shared" si="150"/>
        <v>6.4335639041324901</v>
      </c>
      <c r="AC109" s="44">
        <f t="shared" si="151"/>
        <v>55.524715194003605</v>
      </c>
      <c r="AD109" s="44">
        <f t="shared" si="152"/>
        <v>-2.6930893664591906</v>
      </c>
      <c r="AE109" s="44">
        <f t="shared" si="153"/>
        <v>-51.176563395123424</v>
      </c>
      <c r="AF109" s="44">
        <f t="shared" si="100"/>
        <v>9.2768182275229591</v>
      </c>
      <c r="AG109" s="44">
        <f t="shared" si="121"/>
        <v>79.026546134232333</v>
      </c>
      <c r="AH109" s="44">
        <f t="shared" si="154"/>
        <v>4.1002481731390095</v>
      </c>
      <c r="AI109" s="44">
        <f t="shared" si="154"/>
        <v>-24.427068644123327</v>
      </c>
    </row>
    <row r="110" spans="1:35" s="18" customFormat="1" ht="19.5" customHeight="1" x14ac:dyDescent="0.25">
      <c r="A110" s="21" t="s">
        <v>108</v>
      </c>
      <c r="B110" s="3">
        <v>34541.81412999997</v>
      </c>
      <c r="C110" s="3">
        <v>33140.830300000001</v>
      </c>
      <c r="D110" s="3">
        <v>43922.940729999995</v>
      </c>
      <c r="E110" s="3">
        <v>47011.576639999985</v>
      </c>
      <c r="F110" s="3">
        <v>54456.692569999985</v>
      </c>
      <c r="G110" s="3">
        <v>69677.33632000006</v>
      </c>
      <c r="H110" s="3">
        <v>55759.681729999989</v>
      </c>
      <c r="I110" s="3">
        <v>44984.479639999969</v>
      </c>
      <c r="J110" s="3">
        <v>37285.88905000002</v>
      </c>
      <c r="K110" s="3">
        <v>55031.36899000001</v>
      </c>
      <c r="L110" s="66">
        <v>52467.174789999983</v>
      </c>
      <c r="M110" s="64">
        <v>68483.548479999998</v>
      </c>
      <c r="N110" s="43">
        <f t="shared" si="143"/>
        <v>0.10812939418963442</v>
      </c>
      <c r="O110" s="44">
        <f t="shared" si="144"/>
        <v>0.15069052134504393</v>
      </c>
      <c r="P110" s="44">
        <f t="shared" si="102"/>
        <v>0.14374161271202035</v>
      </c>
      <c r="Q110" s="44">
        <f t="shared" si="122"/>
        <v>0.14991962180959556</v>
      </c>
      <c r="R110" s="44">
        <f t="shared" si="103"/>
        <v>0.15289277872085727</v>
      </c>
      <c r="S110" s="44">
        <f t="shared" si="145"/>
        <v>0.12553069480461454</v>
      </c>
      <c r="T110" s="44">
        <f t="shared" si="104"/>
        <v>0.15920596205154477</v>
      </c>
      <c r="U110" s="44">
        <f t="shared" si="105"/>
        <v>9.7494120628603465E-2</v>
      </c>
      <c r="V110" s="44">
        <f t="shared" si="106"/>
        <v>0.10255458176386296</v>
      </c>
      <c r="W110" s="44">
        <f t="shared" si="146"/>
        <v>9.7502414226481607E-2</v>
      </c>
      <c r="X110" s="57">
        <f t="shared" si="107"/>
        <v>0.12244418988676221</v>
      </c>
      <c r="Y110" s="44">
        <f t="shared" si="147"/>
        <v>-4.0559069211804877</v>
      </c>
      <c r="Z110" s="44">
        <f t="shared" si="148"/>
        <v>32.534219367461027</v>
      </c>
      <c r="AA110" s="44">
        <f t="shared" si="149"/>
        <v>7.0319424397975423</v>
      </c>
      <c r="AB110" s="44">
        <f t="shared" si="150"/>
        <v>15.836771412736015</v>
      </c>
      <c r="AC110" s="44">
        <f t="shared" si="151"/>
        <v>27.949996651807457</v>
      </c>
      <c r="AD110" s="44">
        <f t="shared" si="152"/>
        <v>-19.974435483701424</v>
      </c>
      <c r="AE110" s="44">
        <f t="shared" si="153"/>
        <v>-19.324360820737457</v>
      </c>
      <c r="AF110" s="44">
        <f t="shared" si="100"/>
        <v>-17.113881613414065</v>
      </c>
      <c r="AG110" s="44">
        <f t="shared" si="121"/>
        <v>47.593018142073724</v>
      </c>
      <c r="AH110" s="44">
        <f t="shared" si="154"/>
        <v>-4.6595137410918817</v>
      </c>
      <c r="AI110" s="44">
        <f t="shared" si="154"/>
        <v>30.526464888009684</v>
      </c>
    </row>
    <row r="111" spans="1:35" s="18" customFormat="1" ht="19.5" customHeight="1" x14ac:dyDescent="0.25">
      <c r="A111" s="21" t="s">
        <v>109</v>
      </c>
      <c r="B111" s="3">
        <v>311.05829000000006</v>
      </c>
      <c r="C111" s="3">
        <v>252.93029000000001</v>
      </c>
      <c r="D111" s="3">
        <v>307.96226000000001</v>
      </c>
      <c r="E111" s="3">
        <v>68.243869999999987</v>
      </c>
      <c r="F111" s="3">
        <v>166.80698999999998</v>
      </c>
      <c r="G111" s="3">
        <v>384.23039999999997</v>
      </c>
      <c r="H111" s="3">
        <v>116.50547</v>
      </c>
      <c r="I111" s="3">
        <v>11.379250000000001</v>
      </c>
      <c r="J111" s="3">
        <v>188.07728</v>
      </c>
      <c r="K111" s="3">
        <v>592.79</v>
      </c>
      <c r="L111" s="66">
        <v>123.15951</v>
      </c>
      <c r="M111" s="64">
        <v>22.847030000000004</v>
      </c>
      <c r="N111" s="43">
        <f t="shared" si="143"/>
        <v>8.2524181749026818E-4</v>
      </c>
      <c r="O111" s="44">
        <f t="shared" si="144"/>
        <v>1.0565547921590173E-3</v>
      </c>
      <c r="P111" s="44">
        <f t="shared" si="102"/>
        <v>2.0866102846597631E-4</v>
      </c>
      <c r="Q111" s="44">
        <f t="shared" si="122"/>
        <v>4.5922070687366018E-4</v>
      </c>
      <c r="R111" s="44">
        <f t="shared" si="103"/>
        <v>8.4311566181619524E-4</v>
      </c>
      <c r="S111" s="44">
        <f t="shared" si="145"/>
        <v>2.6228651498506639E-4</v>
      </c>
      <c r="T111" s="44">
        <f t="shared" si="104"/>
        <v>4.0272655328531048E-5</v>
      </c>
      <c r="U111" s="44">
        <f t="shared" si="105"/>
        <v>4.9177931627781906E-4</v>
      </c>
      <c r="V111" s="44">
        <f t="shared" si="106"/>
        <v>1.1047032199916259E-3</v>
      </c>
      <c r="W111" s="44">
        <f t="shared" si="146"/>
        <v>2.2887356919853142E-4</v>
      </c>
      <c r="X111" s="57">
        <f t="shared" si="107"/>
        <v>4.0849023477303226E-5</v>
      </c>
      <c r="Y111" s="44">
        <f t="shared" si="147"/>
        <v>-18.687172748233145</v>
      </c>
      <c r="Z111" s="44">
        <f t="shared" si="148"/>
        <v>21.75776179278488</v>
      </c>
      <c r="AA111" s="44">
        <f t="shared" si="149"/>
        <v>-77.840184053721401</v>
      </c>
      <c r="AB111" s="47" t="s">
        <v>147</v>
      </c>
      <c r="AC111" s="47" t="s">
        <v>147</v>
      </c>
      <c r="AD111" s="44">
        <f t="shared" si="152"/>
        <v>-69.678226918015852</v>
      </c>
      <c r="AE111" s="47">
        <f t="shared" si="153"/>
        <v>-90.232862027851567</v>
      </c>
      <c r="AF111" s="47" t="s">
        <v>147</v>
      </c>
      <c r="AG111" s="47" t="s">
        <v>147</v>
      </c>
      <c r="AH111" s="44">
        <f t="shared" si="154"/>
        <v>-79.223753774523857</v>
      </c>
      <c r="AI111" s="44">
        <f t="shared" si="154"/>
        <v>-81.449236035447043</v>
      </c>
    </row>
    <row r="112" spans="1:35" s="18" customFormat="1" ht="19.5" customHeight="1" x14ac:dyDescent="0.25">
      <c r="A112" s="21" t="s">
        <v>110</v>
      </c>
      <c r="B112" s="3">
        <v>111221.53666999993</v>
      </c>
      <c r="C112" s="3">
        <v>130935.33167</v>
      </c>
      <c r="D112" s="3">
        <v>167453.43124999999</v>
      </c>
      <c r="E112" s="3">
        <v>309116.93504000013</v>
      </c>
      <c r="F112" s="3">
        <v>332788.92783000099</v>
      </c>
      <c r="G112" s="3">
        <v>484529.88132000132</v>
      </c>
      <c r="H112" s="3">
        <v>659848.04732000164</v>
      </c>
      <c r="I112" s="3">
        <v>256195.34781000004</v>
      </c>
      <c r="J112" s="3">
        <v>367066.86627000035</v>
      </c>
      <c r="K112" s="3">
        <v>380530.97257000022</v>
      </c>
      <c r="L112" s="66">
        <v>539292.35972999979</v>
      </c>
      <c r="M112" s="64">
        <v>572814.39627999964</v>
      </c>
      <c r="N112" s="43">
        <f t="shared" si="143"/>
        <v>0.4272058956680983</v>
      </c>
      <c r="O112" s="44">
        <f t="shared" si="144"/>
        <v>0.5744980740518596</v>
      </c>
      <c r="P112" s="44">
        <f t="shared" si="102"/>
        <v>0.94514947029963015</v>
      </c>
      <c r="Q112" s="44">
        <f t="shared" si="122"/>
        <v>0.9161700398635606</v>
      </c>
      <c r="R112" s="44">
        <f t="shared" si="103"/>
        <v>1.0632025252526494</v>
      </c>
      <c r="S112" s="44">
        <f t="shared" si="145"/>
        <v>1.4855031678020303</v>
      </c>
      <c r="T112" s="44">
        <f t="shared" si="104"/>
        <v>0.90670887265199906</v>
      </c>
      <c r="U112" s="44">
        <f t="shared" si="105"/>
        <v>0.95979638009706636</v>
      </c>
      <c r="V112" s="44">
        <f t="shared" si="106"/>
        <v>0.70914453803981903</v>
      </c>
      <c r="W112" s="44">
        <f t="shared" si="146"/>
        <v>1.0021943673931748</v>
      </c>
      <c r="X112" s="57">
        <f t="shared" si="107"/>
        <v>1.0241553813243549</v>
      </c>
      <c r="Y112" s="44">
        <f t="shared" si="147"/>
        <v>17.724800061423288</v>
      </c>
      <c r="Z112" s="44">
        <f t="shared" si="148"/>
        <v>27.890179918769054</v>
      </c>
      <c r="AA112" s="44">
        <f t="shared" si="149"/>
        <v>84.59874648880934</v>
      </c>
      <c r="AB112" s="44">
        <f t="shared" si="150"/>
        <v>7.6579410917547026</v>
      </c>
      <c r="AC112" s="44">
        <f t="shared" si="151"/>
        <v>45.596755420755578</v>
      </c>
      <c r="AD112" s="44">
        <f t="shared" si="152"/>
        <v>36.183148399925777</v>
      </c>
      <c r="AE112" s="44">
        <f t="shared" si="153"/>
        <v>-61.173584001567129</v>
      </c>
      <c r="AF112" s="44">
        <f t="shared" si="100"/>
        <v>43.276163836599018</v>
      </c>
      <c r="AG112" s="44">
        <f t="shared" si="121"/>
        <v>3.6680255117595353</v>
      </c>
      <c r="AH112" s="44">
        <f t="shared" si="154"/>
        <v>41.721015792162561</v>
      </c>
      <c r="AI112" s="44">
        <f t="shared" si="154"/>
        <v>6.215930180576426</v>
      </c>
    </row>
    <row r="113" spans="1:35" s="18" customFormat="1" ht="19.5" customHeight="1" x14ac:dyDescent="0.25">
      <c r="A113" s="21" t="s">
        <v>111</v>
      </c>
      <c r="B113" s="3">
        <v>600.3865199999999</v>
      </c>
      <c r="C113" s="3">
        <v>1465.3165300000001</v>
      </c>
      <c r="D113" s="3">
        <v>1311.59789</v>
      </c>
      <c r="E113" s="3">
        <v>2721.9556200000002</v>
      </c>
      <c r="F113" s="3">
        <v>2389.01577</v>
      </c>
      <c r="G113" s="3">
        <v>1063.2065000000002</v>
      </c>
      <c r="H113" s="3">
        <v>4797.1938399999999</v>
      </c>
      <c r="I113" s="3">
        <v>1997.8949100000002</v>
      </c>
      <c r="J113" s="3">
        <v>2650.3735999999999</v>
      </c>
      <c r="K113" s="3">
        <v>3015.0973300000001</v>
      </c>
      <c r="L113" s="66">
        <v>1797.0733500000003</v>
      </c>
      <c r="M113" s="64">
        <v>1318.5820800000001</v>
      </c>
      <c r="N113" s="43">
        <f t="shared" si="143"/>
        <v>4.7809239313161469E-3</v>
      </c>
      <c r="O113" s="44">
        <f t="shared" si="144"/>
        <v>4.4998209717812682E-3</v>
      </c>
      <c r="P113" s="44">
        <f t="shared" si="102"/>
        <v>8.3225945291195286E-3</v>
      </c>
      <c r="Q113" s="44">
        <f t="shared" si="122"/>
        <v>6.5769756449158496E-3</v>
      </c>
      <c r="R113" s="44">
        <f t="shared" si="103"/>
        <v>2.3329909655633208E-3</v>
      </c>
      <c r="S113" s="44">
        <f t="shared" si="145"/>
        <v>1.0799829862077963E-2</v>
      </c>
      <c r="T113" s="44">
        <f t="shared" si="104"/>
        <v>7.0708116170271808E-3</v>
      </c>
      <c r="U113" s="44">
        <f t="shared" si="105"/>
        <v>6.930124238763883E-3</v>
      </c>
      <c r="V113" s="44">
        <f t="shared" si="106"/>
        <v>5.6188325191706238E-3</v>
      </c>
      <c r="W113" s="44">
        <f t="shared" si="146"/>
        <v>3.3395926285031642E-3</v>
      </c>
      <c r="X113" s="57">
        <f t="shared" si="107"/>
        <v>2.3575401416582949E-3</v>
      </c>
      <c r="Y113" s="44">
        <f t="shared" si="147"/>
        <v>144.06219679948848</v>
      </c>
      <c r="Z113" s="44">
        <f t="shared" si="148"/>
        <v>-10.490473345032152</v>
      </c>
      <c r="AA113" s="44">
        <f t="shared" si="149"/>
        <v>107.52973458961574</v>
      </c>
      <c r="AB113" s="44">
        <f t="shared" si="150"/>
        <v>-12.231641381427085</v>
      </c>
      <c r="AC113" s="44">
        <f t="shared" si="151"/>
        <v>-55.496045134938555</v>
      </c>
      <c r="AD113" s="47" t="s">
        <v>147</v>
      </c>
      <c r="AE113" s="44">
        <f t="shared" si="153"/>
        <v>-58.352841752169013</v>
      </c>
      <c r="AF113" s="47">
        <f t="shared" si="100"/>
        <v>32.658308839677645</v>
      </c>
      <c r="AG113" s="44">
        <f t="shared" si="121"/>
        <v>13.761219550330573</v>
      </c>
      <c r="AH113" s="44">
        <f t="shared" si="154"/>
        <v>-40.397501197747395</v>
      </c>
      <c r="AI113" s="44">
        <f t="shared" si="154"/>
        <v>-26.626140218483574</v>
      </c>
    </row>
    <row r="114" spans="1:35" s="18" customFormat="1" ht="19.5" customHeight="1" x14ac:dyDescent="0.25">
      <c r="A114" s="21" t="s">
        <v>112</v>
      </c>
      <c r="B114" s="3">
        <v>2898.8743799999997</v>
      </c>
      <c r="C114" s="3">
        <v>7162.1310199999998</v>
      </c>
      <c r="D114" s="3">
        <v>5205.4546900000005</v>
      </c>
      <c r="E114" s="3">
        <v>15659.327050000002</v>
      </c>
      <c r="F114" s="3">
        <v>8086.9538899999998</v>
      </c>
      <c r="G114" s="3">
        <v>5826.4840899999999</v>
      </c>
      <c r="H114" s="3">
        <v>10457.172800000004</v>
      </c>
      <c r="I114" s="3">
        <v>5434.1904000000022</v>
      </c>
      <c r="J114" s="3">
        <v>4752.8268499999995</v>
      </c>
      <c r="K114" s="3">
        <v>9457.4016699999993</v>
      </c>
      <c r="L114" s="66">
        <v>6667.8993400000027</v>
      </c>
      <c r="M114" s="64">
        <v>25200.147680000009</v>
      </c>
      <c r="N114" s="43">
        <f t="shared" si="143"/>
        <v>2.3368059318036712E-2</v>
      </c>
      <c r="O114" s="44">
        <f t="shared" si="144"/>
        <v>1.7858837956592901E-2</v>
      </c>
      <c r="P114" s="44">
        <f t="shared" si="102"/>
        <v>4.787963061500005E-2</v>
      </c>
      <c r="Q114" s="44">
        <f t="shared" si="122"/>
        <v>2.2263435613942173E-2</v>
      </c>
      <c r="R114" s="44">
        <f t="shared" si="103"/>
        <v>1.2785037283884573E-2</v>
      </c>
      <c r="S114" s="44">
        <f t="shared" si="145"/>
        <v>2.3542031205132513E-2</v>
      </c>
      <c r="T114" s="44">
        <f t="shared" si="104"/>
        <v>1.9232311177697328E-2</v>
      </c>
      <c r="U114" s="44">
        <f t="shared" si="105"/>
        <v>1.2427561365625129E-2</v>
      </c>
      <c r="V114" s="44">
        <f t="shared" si="106"/>
        <v>1.7624491097358558E-2</v>
      </c>
      <c r="W114" s="44">
        <f t="shared" si="146"/>
        <v>1.2391295816314407E-2</v>
      </c>
      <c r="X114" s="57">
        <f t="shared" si="107"/>
        <v>4.5056246882497583E-2</v>
      </c>
      <c r="Y114" s="44">
        <f t="shared" si="147"/>
        <v>147.06593253620048</v>
      </c>
      <c r="Z114" s="44">
        <f t="shared" si="148"/>
        <v>-27.319750567757691</v>
      </c>
      <c r="AA114" s="47" t="s">
        <v>147</v>
      </c>
      <c r="AB114" s="44">
        <f t="shared" si="150"/>
        <v>-48.356951328888691</v>
      </c>
      <c r="AC114" s="44">
        <f t="shared" si="151"/>
        <v>-27.952055010418764</v>
      </c>
      <c r="AD114" s="44">
        <f t="shared" si="152"/>
        <v>79.476552900018376</v>
      </c>
      <c r="AE114" s="44">
        <f t="shared" si="153"/>
        <v>-48.033847159913051</v>
      </c>
      <c r="AF114" s="44">
        <f t="shared" si="100"/>
        <v>-12.538455590367287</v>
      </c>
      <c r="AG114" s="44">
        <f t="shared" si="121"/>
        <v>98.984771978385879</v>
      </c>
      <c r="AH114" s="44">
        <f t="shared" si="154"/>
        <v>-29.495441003088924</v>
      </c>
      <c r="AI114" s="44">
        <f t="shared" si="154"/>
        <v>277.93233513330148</v>
      </c>
    </row>
    <row r="115" spans="1:35" s="18" customFormat="1" ht="19.5" customHeight="1" x14ac:dyDescent="0.25">
      <c r="A115" s="21" t="s">
        <v>113</v>
      </c>
      <c r="B115" s="3">
        <v>2392.3635600000002</v>
      </c>
      <c r="C115" s="3">
        <v>5886.0623900000001</v>
      </c>
      <c r="D115" s="3">
        <v>5397.2950099999998</v>
      </c>
      <c r="E115" s="3">
        <v>4411.6242300000004</v>
      </c>
      <c r="F115" s="3">
        <v>10494.845800000003</v>
      </c>
      <c r="G115" s="3">
        <v>9084.5108700000001</v>
      </c>
      <c r="H115" s="3">
        <v>12283.600630000004</v>
      </c>
      <c r="I115" s="3">
        <v>12841.797680000001</v>
      </c>
      <c r="J115" s="3">
        <v>533.79108000000008</v>
      </c>
      <c r="K115" s="3">
        <v>7536.3630599999997</v>
      </c>
      <c r="L115" s="66">
        <v>17292.83281</v>
      </c>
      <c r="M115" s="64">
        <v>10583.805709999999</v>
      </c>
      <c r="N115" s="43">
        <f t="shared" si="143"/>
        <v>1.9204599119325372E-2</v>
      </c>
      <c r="O115" s="44">
        <f t="shared" si="144"/>
        <v>1.8517002399941637E-2</v>
      </c>
      <c r="P115" s="44">
        <f t="shared" si="102"/>
        <v>1.348888990377042E-2</v>
      </c>
      <c r="Q115" s="44">
        <f t="shared" si="122"/>
        <v>2.8892377392614455E-2</v>
      </c>
      <c r="R115" s="44">
        <f t="shared" si="103"/>
        <v>1.9934116078364622E-2</v>
      </c>
      <c r="S115" s="44">
        <f t="shared" si="145"/>
        <v>2.7653832911974579E-2</v>
      </c>
      <c r="T115" s="44">
        <f t="shared" si="104"/>
        <v>4.5448803020003044E-2</v>
      </c>
      <c r="U115" s="44">
        <f t="shared" si="105"/>
        <v>1.395742284010055E-3</v>
      </c>
      <c r="V115" s="44">
        <f t="shared" si="106"/>
        <v>1.4044509083162574E-2</v>
      </c>
      <c r="W115" s="44">
        <f t="shared" si="146"/>
        <v>3.2136149021526388E-2</v>
      </c>
      <c r="X115" s="57">
        <f t="shared" si="107"/>
        <v>1.8923165414804721E-2</v>
      </c>
      <c r="Y115" s="44">
        <f t="shared" si="147"/>
        <v>146.03544747187169</v>
      </c>
      <c r="Z115" s="44">
        <f t="shared" si="148"/>
        <v>-8.3038090257143917</v>
      </c>
      <c r="AA115" s="44">
        <f t="shared" si="149"/>
        <v>-18.262310623632182</v>
      </c>
      <c r="AB115" s="47" t="s">
        <v>147</v>
      </c>
      <c r="AC115" s="44">
        <f t="shared" si="151"/>
        <v>-13.438357807982298</v>
      </c>
      <c r="AD115" s="44">
        <f t="shared" si="152"/>
        <v>35.214771667723312</v>
      </c>
      <c r="AE115" s="44">
        <f t="shared" si="153"/>
        <v>4.5442461605005535</v>
      </c>
      <c r="AF115" s="44">
        <f t="shared" si="100"/>
        <v>-95.843330557751003</v>
      </c>
      <c r="AG115" s="47" t="s">
        <v>147</v>
      </c>
      <c r="AH115" s="47" t="s">
        <v>147</v>
      </c>
      <c r="AI115" s="47" t="s">
        <v>147</v>
      </c>
    </row>
    <row r="116" spans="1:35" s="18" customFormat="1" ht="19.5" customHeight="1" x14ac:dyDescent="0.25">
      <c r="A116" s="21" t="s">
        <v>114</v>
      </c>
      <c r="B116" s="3">
        <v>134.99922000000001</v>
      </c>
      <c r="C116" s="3">
        <v>50.168800000000005</v>
      </c>
      <c r="D116" s="3">
        <v>555.95740000000001</v>
      </c>
      <c r="E116" s="3">
        <v>2607.2859000000003</v>
      </c>
      <c r="F116" s="3">
        <v>3347.6352699999998</v>
      </c>
      <c r="G116" s="3">
        <v>5580.4575199999999</v>
      </c>
      <c r="H116" s="3">
        <v>2684.3155999999994</v>
      </c>
      <c r="I116" s="3">
        <v>530.28395000000012</v>
      </c>
      <c r="J116" s="3">
        <v>133.21698999999998</v>
      </c>
      <c r="K116" s="3">
        <v>375.22291999999993</v>
      </c>
      <c r="L116" s="66">
        <v>236.48887999999999</v>
      </c>
      <c r="M116" s="64">
        <v>436.74920999999995</v>
      </c>
      <c r="N116" s="43">
        <f t="shared" si="143"/>
        <v>1.6368696565882151E-4</v>
      </c>
      <c r="O116" s="44">
        <f t="shared" si="144"/>
        <v>1.9073748036732409E-3</v>
      </c>
      <c r="P116" s="44">
        <f t="shared" si="102"/>
        <v>7.9719827934558625E-3</v>
      </c>
      <c r="Q116" s="44">
        <f t="shared" si="122"/>
        <v>9.2160612396674519E-3</v>
      </c>
      <c r="R116" s="44">
        <f t="shared" si="103"/>
        <v>1.2245181888814535E-2</v>
      </c>
      <c r="S116" s="44">
        <f t="shared" si="145"/>
        <v>6.0431478783274928E-3</v>
      </c>
      <c r="T116" s="44">
        <f t="shared" si="104"/>
        <v>1.8767443148363903E-3</v>
      </c>
      <c r="U116" s="44">
        <f t="shared" si="105"/>
        <v>3.4833213378452222E-4</v>
      </c>
      <c r="V116" s="44">
        <f t="shared" si="106"/>
        <v>6.9925263236333306E-4</v>
      </c>
      <c r="W116" s="44">
        <f t="shared" si="146"/>
        <v>4.3947929024208676E-4</v>
      </c>
      <c r="X116" s="57">
        <f t="shared" si="107"/>
        <v>7.8087955996834736E-4</v>
      </c>
      <c r="Y116" s="44">
        <f t="shared" si="147"/>
        <v>-62.837711210479583</v>
      </c>
      <c r="Z116" s="47" t="s">
        <v>147</v>
      </c>
      <c r="AA116" s="47" t="s">
        <v>147</v>
      </c>
      <c r="AB116" s="44">
        <f t="shared" si="150"/>
        <v>28.395404201740948</v>
      </c>
      <c r="AC116" s="44">
        <f t="shared" si="151"/>
        <v>66.698492216566962</v>
      </c>
      <c r="AD116" s="44">
        <f t="shared" si="152"/>
        <v>-51.897929688030317</v>
      </c>
      <c r="AE116" s="44">
        <f t="shared" si="153"/>
        <v>-80.245096738997461</v>
      </c>
      <c r="AF116" s="44">
        <f t="shared" si="100"/>
        <v>-74.878178002558826</v>
      </c>
      <c r="AG116" s="47" t="s">
        <v>147</v>
      </c>
      <c r="AH116" s="44">
        <f t="shared" ref="AH116:AI118" si="155">((L116-K116)/K116)*100</f>
        <v>-36.973764822255518</v>
      </c>
      <c r="AI116" s="44">
        <f t="shared" si="155"/>
        <v>84.680653906433136</v>
      </c>
    </row>
    <row r="117" spans="1:35" s="18" customFormat="1" ht="19.5" customHeight="1" x14ac:dyDescent="0.25">
      <c r="A117" s="21" t="s">
        <v>115</v>
      </c>
      <c r="B117" s="3">
        <v>61362.390559999971</v>
      </c>
      <c r="C117" s="3">
        <v>72762.475219999993</v>
      </c>
      <c r="D117" s="3">
        <v>87037.789860000004</v>
      </c>
      <c r="E117" s="3">
        <v>101654.72065999999</v>
      </c>
      <c r="F117" s="3">
        <v>112687.2439100004</v>
      </c>
      <c r="G117" s="3">
        <v>135482.15784000044</v>
      </c>
      <c r="H117" s="3">
        <v>122588.34773999955</v>
      </c>
      <c r="I117" s="3">
        <v>76675.659139999989</v>
      </c>
      <c r="J117" s="3">
        <v>107156.70592999998</v>
      </c>
      <c r="K117" s="3">
        <v>136811.70408000008</v>
      </c>
      <c r="L117" s="66">
        <v>140356.18963000001</v>
      </c>
      <c r="M117" s="64">
        <v>138141.28018000003</v>
      </c>
      <c r="N117" s="43">
        <f t="shared" si="143"/>
        <v>0.23740390008505263</v>
      </c>
      <c r="O117" s="44">
        <f t="shared" si="144"/>
        <v>0.2986086476164726</v>
      </c>
      <c r="P117" s="44">
        <f t="shared" si="102"/>
        <v>0.3108173461050367</v>
      </c>
      <c r="Q117" s="44">
        <f t="shared" si="122"/>
        <v>0.31022870087155785</v>
      </c>
      <c r="R117" s="44">
        <f t="shared" si="103"/>
        <v>0.29728810935198829</v>
      </c>
      <c r="S117" s="44">
        <f t="shared" si="145"/>
        <v>0.27598078018570216</v>
      </c>
      <c r="T117" s="44">
        <f t="shared" si="104"/>
        <v>0.2713651947740976</v>
      </c>
      <c r="U117" s="44">
        <f t="shared" si="105"/>
        <v>0.28019041734779826</v>
      </c>
      <c r="V117" s="44">
        <f t="shared" si="106"/>
        <v>0.2549576241665979</v>
      </c>
      <c r="W117" s="44">
        <f t="shared" si="146"/>
        <v>0.26083103188478102</v>
      </c>
      <c r="X117" s="57">
        <f t="shared" si="107"/>
        <v>0.24698774402001239</v>
      </c>
      <c r="Y117" s="44">
        <f t="shared" si="147"/>
        <v>18.578292918449861</v>
      </c>
      <c r="Z117" s="44">
        <f t="shared" si="148"/>
        <v>19.619061331872064</v>
      </c>
      <c r="AA117" s="44">
        <f t="shared" si="149"/>
        <v>16.793775236608457</v>
      </c>
      <c r="AB117" s="44">
        <f t="shared" si="150"/>
        <v>10.852937451769105</v>
      </c>
      <c r="AC117" s="44">
        <f t="shared" si="151"/>
        <v>20.228477633374002</v>
      </c>
      <c r="AD117" s="44">
        <f t="shared" si="152"/>
        <v>-9.5169801733066706</v>
      </c>
      <c r="AE117" s="44">
        <f t="shared" si="153"/>
        <v>-37.452734657438107</v>
      </c>
      <c r="AF117" s="44">
        <f t="shared" si="100"/>
        <v>39.753224337263909</v>
      </c>
      <c r="AG117" s="44">
        <f t="shared" si="121"/>
        <v>27.674421206426597</v>
      </c>
      <c r="AH117" s="44">
        <f t="shared" si="155"/>
        <v>2.5907765522219512</v>
      </c>
      <c r="AI117" s="44">
        <f t="shared" si="155"/>
        <v>-1.5780632516733399</v>
      </c>
    </row>
    <row r="118" spans="1:35" s="18" customFormat="1" ht="19.5" customHeight="1" x14ac:dyDescent="0.25">
      <c r="A118" s="21" t="s">
        <v>116</v>
      </c>
      <c r="B118" s="3">
        <v>83955.074159999844</v>
      </c>
      <c r="C118" s="3">
        <v>90935.569620000009</v>
      </c>
      <c r="D118" s="3">
        <v>105484.63262</v>
      </c>
      <c r="E118" s="3">
        <v>134093.07653999975</v>
      </c>
      <c r="F118" s="3">
        <v>131878.88251000005</v>
      </c>
      <c r="G118" s="3">
        <v>194837.67578000008</v>
      </c>
      <c r="H118" s="3">
        <v>193010.68677000038</v>
      </c>
      <c r="I118" s="3">
        <v>126334.97552000007</v>
      </c>
      <c r="J118" s="3">
        <v>146611.34716999996</v>
      </c>
      <c r="K118" s="3">
        <v>184396.16378999996</v>
      </c>
      <c r="L118" s="66">
        <v>198058.81583999956</v>
      </c>
      <c r="M118" s="64">
        <v>208805.30967000005</v>
      </c>
      <c r="N118" s="43">
        <f t="shared" si="143"/>
        <v>0.2966976978033023</v>
      </c>
      <c r="O118" s="44">
        <f t="shared" si="144"/>
        <v>0.36189594820415455</v>
      </c>
      <c r="P118" s="44">
        <f t="shared" si="102"/>
        <v>0.41000018406053507</v>
      </c>
      <c r="Q118" s="44">
        <f t="shared" si="122"/>
        <v>0.36306340428509987</v>
      </c>
      <c r="R118" s="44">
        <f t="shared" si="103"/>
        <v>0.42753175168332347</v>
      </c>
      <c r="S118" s="44">
        <f t="shared" si="145"/>
        <v>0.43452123224581352</v>
      </c>
      <c r="T118" s="44">
        <f t="shared" si="104"/>
        <v>0.44711601599889</v>
      </c>
      <c r="U118" s="44">
        <f t="shared" si="105"/>
        <v>0.38335533175422648</v>
      </c>
      <c r="V118" s="44">
        <f t="shared" si="106"/>
        <v>0.34363439985984279</v>
      </c>
      <c r="W118" s="44">
        <f t="shared" si="146"/>
        <v>0.36806275124458782</v>
      </c>
      <c r="X118" s="57">
        <f t="shared" si="107"/>
        <v>0.37333049402462382</v>
      </c>
      <c r="Y118" s="44">
        <f t="shared" si="147"/>
        <v>8.3145605311441706</v>
      </c>
      <c r="Z118" s="44">
        <f t="shared" si="148"/>
        <v>15.999309248072418</v>
      </c>
      <c r="AA118" s="44">
        <f t="shared" si="149"/>
        <v>27.120958958125573</v>
      </c>
      <c r="AB118" s="44">
        <f t="shared" si="150"/>
        <v>-1.6512366537725032</v>
      </c>
      <c r="AC118" s="44">
        <f t="shared" si="151"/>
        <v>47.739859537576848</v>
      </c>
      <c r="AD118" s="44">
        <f t="shared" si="152"/>
        <v>-0.93769801075980508</v>
      </c>
      <c r="AE118" s="44">
        <f t="shared" si="153"/>
        <v>-34.545087821719363</v>
      </c>
      <c r="AF118" s="44">
        <f t="shared" si="100"/>
        <v>16.049689776359635</v>
      </c>
      <c r="AG118" s="44">
        <f t="shared" si="121"/>
        <v>25.77209564563065</v>
      </c>
      <c r="AH118" s="44">
        <f t="shared" si="155"/>
        <v>7.409401458893333</v>
      </c>
      <c r="AI118" s="44">
        <f t="shared" si="155"/>
        <v>5.4259103713323054</v>
      </c>
    </row>
    <row r="119" spans="1:35" s="18" customFormat="1" ht="19.5" customHeight="1" x14ac:dyDescent="0.25">
      <c r="A119" s="19" t="s">
        <v>117</v>
      </c>
      <c r="B119" s="1"/>
      <c r="C119" s="1"/>
      <c r="D119" s="1"/>
      <c r="E119" s="3"/>
      <c r="F119" s="3"/>
      <c r="G119" s="3"/>
      <c r="H119" s="3"/>
      <c r="I119" s="3"/>
      <c r="J119" s="3"/>
      <c r="K119" s="3"/>
      <c r="L119" s="66"/>
      <c r="M119" s="64"/>
      <c r="N119" s="43"/>
      <c r="O119" s="44"/>
      <c r="P119" s="44"/>
      <c r="Q119" s="2"/>
      <c r="R119" s="2"/>
      <c r="S119" s="2"/>
      <c r="T119" s="2"/>
      <c r="U119" s="2"/>
      <c r="V119" s="2"/>
      <c r="W119" s="2"/>
      <c r="X119" s="61"/>
      <c r="Y119" s="2"/>
      <c r="Z119" s="2"/>
      <c r="AA119" s="44"/>
      <c r="AB119" s="44"/>
      <c r="AC119" s="44"/>
      <c r="AD119" s="44"/>
      <c r="AE119" s="44"/>
      <c r="AF119" s="44"/>
      <c r="AG119" s="2"/>
      <c r="AH119" s="2"/>
      <c r="AI119" s="2"/>
    </row>
    <row r="120" spans="1:35" s="18" customFormat="1" ht="19.5" customHeight="1" x14ac:dyDescent="0.25">
      <c r="A120" s="45" t="s">
        <v>118</v>
      </c>
      <c r="B120" s="24">
        <f t="shared" ref="B120:G120" si="156">SUM(B121:B122)</f>
        <v>4075169.4017800018</v>
      </c>
      <c r="C120" s="20">
        <f t="shared" si="156"/>
        <v>4819881.6607600003</v>
      </c>
      <c r="D120" s="20">
        <f t="shared" si="156"/>
        <v>5230103.2882599998</v>
      </c>
      <c r="E120" s="20">
        <f t="shared" si="156"/>
        <v>6760823.6399200223</v>
      </c>
      <c r="F120" s="20">
        <f t="shared" si="156"/>
        <v>7309675.9209199604</v>
      </c>
      <c r="G120" s="20">
        <f t="shared" si="156"/>
        <v>8516076.0582299773</v>
      </c>
      <c r="H120" s="20">
        <f t="shared" ref="H120:I120" si="157">SUM(H121:H122)</f>
        <v>7613620.8815099793</v>
      </c>
      <c r="I120" s="20">
        <f t="shared" si="157"/>
        <v>5507974.3365500225</v>
      </c>
      <c r="J120" s="20">
        <f t="shared" ref="J120:M120" si="158">SUM(J121:J122)</f>
        <v>7313562.4776199972</v>
      </c>
      <c r="K120" s="20">
        <f t="shared" si="158"/>
        <v>9126045.7139999792</v>
      </c>
      <c r="L120" s="20">
        <f t="shared" si="158"/>
        <v>9353368.325400006</v>
      </c>
      <c r="M120" s="69">
        <f t="shared" si="158"/>
        <v>10237994.292660037</v>
      </c>
      <c r="N120" s="53">
        <f>C120/$C$6*100</f>
        <v>15.725945286401224</v>
      </c>
      <c r="O120" s="2">
        <f>D120/$D$6*100</f>
        <v>17.943402197067059</v>
      </c>
      <c r="P120" s="2">
        <f t="shared" si="102"/>
        <v>20.67175284729306</v>
      </c>
      <c r="Q120" s="2">
        <f t="shared" si="122"/>
        <v>20.123584409875374</v>
      </c>
      <c r="R120" s="2">
        <f t="shared" si="103"/>
        <v>18.686801205504882</v>
      </c>
      <c r="S120" s="2">
        <f>H120/$H$6*100</f>
        <v>17.140397677712311</v>
      </c>
      <c r="T120" s="2">
        <f t="shared" si="104"/>
        <v>19.493442187690178</v>
      </c>
      <c r="U120" s="2">
        <f t="shared" si="105"/>
        <v>19.123302691314308</v>
      </c>
      <c r="V120" s="2">
        <f t="shared" si="106"/>
        <v>17.006987442511772</v>
      </c>
      <c r="W120" s="2">
        <f>L120/$L$6*100</f>
        <v>17.381839150405764</v>
      </c>
      <c r="X120" s="61">
        <f t="shared" si="107"/>
        <v>18.304876792360592</v>
      </c>
      <c r="Y120" s="2">
        <f t="shared" ref="Y120:AD122" si="159">((C120-B120)/B120)*100</f>
        <v>18.274387775259456</v>
      </c>
      <c r="Z120" s="2">
        <f t="shared" si="159"/>
        <v>8.5110311076665646</v>
      </c>
      <c r="AA120" s="2">
        <f t="shared" si="159"/>
        <v>29.267497548203814</v>
      </c>
      <c r="AB120" s="2">
        <f t="shared" si="159"/>
        <v>8.1181274683631699</v>
      </c>
      <c r="AC120" s="2">
        <f t="shared" si="159"/>
        <v>16.504153540615317</v>
      </c>
      <c r="AD120" s="2">
        <f t="shared" si="159"/>
        <v>-10.59707746325094</v>
      </c>
      <c r="AE120" s="2">
        <f t="shared" ref="AE120:AE122" si="160">((I120-H120)/H120)*100</f>
        <v>-27.656309366199388</v>
      </c>
      <c r="AF120" s="2">
        <f t="shared" si="100"/>
        <v>32.781346294378778</v>
      </c>
      <c r="AG120" s="2">
        <f t="shared" si="121"/>
        <v>24.782494740782006</v>
      </c>
      <c r="AH120" s="2">
        <f t="shared" ref="AH120:AI122" si="161">((L120-K120)/K120)*100</f>
        <v>2.4909212437024983</v>
      </c>
      <c r="AI120" s="2">
        <f t="shared" si="161"/>
        <v>9.4578331194094094</v>
      </c>
    </row>
    <row r="121" spans="1:35" s="18" customFormat="1" ht="19.5" customHeight="1" x14ac:dyDescent="0.25">
      <c r="A121" s="22" t="s">
        <v>119</v>
      </c>
      <c r="B121" s="3">
        <v>2172275.9428900029</v>
      </c>
      <c r="C121" s="3">
        <v>2605504.6838699998</v>
      </c>
      <c r="D121" s="3">
        <v>2854229.7156700003</v>
      </c>
      <c r="E121" s="3">
        <v>4148404.1638100171</v>
      </c>
      <c r="F121" s="3">
        <v>4195174.7767999722</v>
      </c>
      <c r="G121" s="3">
        <v>4542115.3680599807</v>
      </c>
      <c r="H121" s="3">
        <v>4135286.3295899765</v>
      </c>
      <c r="I121" s="3">
        <v>2762980.9539400158</v>
      </c>
      <c r="J121" s="3">
        <v>4042123.6582299913</v>
      </c>
      <c r="K121" s="3">
        <v>4773061.4372399915</v>
      </c>
      <c r="L121" s="66">
        <v>5145919.0324200038</v>
      </c>
      <c r="M121" s="64">
        <v>5406394.1921500321</v>
      </c>
      <c r="N121" s="43">
        <f>C121/$C$6*100</f>
        <v>8.5010435910870346</v>
      </c>
      <c r="O121" s="44">
        <f>D121/$D$6*100</f>
        <v>9.792271572542063</v>
      </c>
      <c r="P121" s="44">
        <f t="shared" si="102"/>
        <v>12.684073738976654</v>
      </c>
      <c r="Q121" s="44">
        <f t="shared" si="122"/>
        <v>11.549342904998364</v>
      </c>
      <c r="R121" s="44">
        <f t="shared" si="103"/>
        <v>9.9667506906986088</v>
      </c>
      <c r="S121" s="44">
        <f>H121/$H$6*100</f>
        <v>9.3096902647879247</v>
      </c>
      <c r="T121" s="44">
        <f t="shared" si="104"/>
        <v>9.7785512786275142</v>
      </c>
      <c r="U121" s="44">
        <f t="shared" si="105"/>
        <v>10.569234141171872</v>
      </c>
      <c r="V121" s="44">
        <f t="shared" si="106"/>
        <v>8.8949144535786306</v>
      </c>
      <c r="W121" s="44">
        <f>L121/$L$6*100</f>
        <v>9.5629225526848849</v>
      </c>
      <c r="X121" s="57">
        <f t="shared" si="107"/>
        <v>9.6662858709728336</v>
      </c>
      <c r="Y121" s="44">
        <f t="shared" si="159"/>
        <v>19.943540893042716</v>
      </c>
      <c r="Z121" s="44">
        <f t="shared" si="159"/>
        <v>9.5461364295290778</v>
      </c>
      <c r="AA121" s="44">
        <f t="shared" si="159"/>
        <v>45.34233670944117</v>
      </c>
      <c r="AB121" s="44">
        <f t="shared" si="159"/>
        <v>1.127436265684383</v>
      </c>
      <c r="AC121" s="44">
        <f t="shared" si="159"/>
        <v>8.269991352413939</v>
      </c>
      <c r="AD121" s="44">
        <f t="shared" si="159"/>
        <v>-8.9568186957736433</v>
      </c>
      <c r="AE121" s="44">
        <f t="shared" si="160"/>
        <v>-33.185256504016451</v>
      </c>
      <c r="AF121" s="44">
        <f t="shared" si="100"/>
        <v>46.29574816525303</v>
      </c>
      <c r="AG121" s="44">
        <f t="shared" si="121"/>
        <v>18.083013801959517</v>
      </c>
      <c r="AH121" s="44">
        <f t="shared" si="161"/>
        <v>7.8117074352098861</v>
      </c>
      <c r="AI121" s="44">
        <f t="shared" si="161"/>
        <v>5.0617811529679875</v>
      </c>
    </row>
    <row r="122" spans="1:35" s="18" customFormat="1" ht="26.25" customHeight="1" x14ac:dyDescent="0.25">
      <c r="A122" s="21" t="s">
        <v>120</v>
      </c>
      <c r="B122" s="3">
        <v>1902893.458889999</v>
      </c>
      <c r="C122" s="3">
        <v>2214376.97689</v>
      </c>
      <c r="D122" s="3">
        <v>2375873.57259</v>
      </c>
      <c r="E122" s="3">
        <v>2612419.4761100058</v>
      </c>
      <c r="F122" s="3">
        <v>3114501.1441199887</v>
      </c>
      <c r="G122" s="3">
        <v>3973960.690169997</v>
      </c>
      <c r="H122" s="3">
        <v>3478334.5519200028</v>
      </c>
      <c r="I122" s="3">
        <v>2744993.3826100067</v>
      </c>
      <c r="J122" s="3">
        <v>3271438.8193900059</v>
      </c>
      <c r="K122" s="3">
        <v>4352984.2767599886</v>
      </c>
      <c r="L122" s="66">
        <v>4207449.2929800013</v>
      </c>
      <c r="M122" s="64">
        <v>4831600.1005100049</v>
      </c>
      <c r="N122" s="43">
        <f>C122/$C$6*100</f>
        <v>7.2249016953141867</v>
      </c>
      <c r="O122" s="44">
        <f>D122/$D$6*100</f>
        <v>8.1511306245249955</v>
      </c>
      <c r="P122" s="44">
        <f t="shared" si="102"/>
        <v>7.9876791083164074</v>
      </c>
      <c r="Q122" s="44">
        <f t="shared" si="122"/>
        <v>8.574241504877012</v>
      </c>
      <c r="R122" s="44">
        <f t="shared" si="103"/>
        <v>8.7200505148062764</v>
      </c>
      <c r="S122" s="44">
        <f>H122/$H$6*100</f>
        <v>7.8307074129243883</v>
      </c>
      <c r="T122" s="44">
        <f t="shared" si="104"/>
        <v>9.7148909090626656</v>
      </c>
      <c r="U122" s="44">
        <f t="shared" si="105"/>
        <v>8.5540685501424338</v>
      </c>
      <c r="V122" s="44">
        <f t="shared" si="106"/>
        <v>8.1120729889331447</v>
      </c>
      <c r="W122" s="44">
        <f>L122/$L$6*100</f>
        <v>7.8189165977208779</v>
      </c>
      <c r="X122" s="57">
        <f t="shared" si="107"/>
        <v>8.6385909213877596</v>
      </c>
      <c r="Y122" s="44">
        <f t="shared" si="159"/>
        <v>16.368941547662711</v>
      </c>
      <c r="Z122" s="44">
        <f t="shared" si="159"/>
        <v>7.2930940569484779</v>
      </c>
      <c r="AA122" s="44">
        <f t="shared" si="159"/>
        <v>9.9561654394825858</v>
      </c>
      <c r="AB122" s="44">
        <f t="shared" si="159"/>
        <v>19.219029432348364</v>
      </c>
      <c r="AC122" s="44">
        <f t="shared" si="159"/>
        <v>27.59541596806352</v>
      </c>
      <c r="AD122" s="44">
        <f t="shared" si="159"/>
        <v>-12.471843002271683</v>
      </c>
      <c r="AE122" s="44">
        <f t="shared" si="160"/>
        <v>-21.083111999827612</v>
      </c>
      <c r="AF122" s="44">
        <f t="shared" si="100"/>
        <v>19.17838637117012</v>
      </c>
      <c r="AG122" s="44">
        <f t="shared" si="121"/>
        <v>33.060237928326849</v>
      </c>
      <c r="AH122" s="44">
        <f t="shared" si="161"/>
        <v>-3.343338145211769</v>
      </c>
      <c r="AI122" s="44">
        <f t="shared" si="161"/>
        <v>14.834422569783071</v>
      </c>
    </row>
    <row r="123" spans="1:35" s="18" customFormat="1" ht="19.5" customHeight="1" x14ac:dyDescent="0.25">
      <c r="A123" s="19" t="s">
        <v>121</v>
      </c>
      <c r="B123" s="1"/>
      <c r="C123" s="1"/>
      <c r="D123" s="1"/>
      <c r="E123" s="3"/>
      <c r="F123" s="3"/>
      <c r="G123" s="3"/>
      <c r="H123" s="3"/>
      <c r="I123" s="3"/>
      <c r="J123" s="3"/>
      <c r="K123" s="3"/>
      <c r="L123" s="66"/>
      <c r="M123" s="64"/>
      <c r="N123" s="43"/>
      <c r="O123" s="44"/>
      <c r="P123" s="44"/>
      <c r="Q123" s="2"/>
      <c r="R123" s="2"/>
      <c r="S123" s="2"/>
      <c r="T123" s="2"/>
      <c r="U123" s="2"/>
      <c r="V123" s="2"/>
      <c r="W123" s="2"/>
      <c r="X123" s="61"/>
      <c r="Y123" s="2"/>
      <c r="Z123" s="2"/>
      <c r="AA123" s="44"/>
      <c r="AB123" s="44"/>
      <c r="AC123" s="44"/>
      <c r="AD123" s="44"/>
      <c r="AE123" s="44"/>
      <c r="AF123" s="44"/>
      <c r="AG123" s="2"/>
      <c r="AH123" s="2"/>
      <c r="AI123" s="2"/>
    </row>
    <row r="124" spans="1:35" s="18" customFormat="1" ht="19.5" customHeight="1" x14ac:dyDescent="0.25">
      <c r="A124" s="45" t="s">
        <v>122</v>
      </c>
      <c r="B124" s="24">
        <f t="shared" ref="B124:G124" si="162">SUM(B125:B128)</f>
        <v>1327174.2853500005</v>
      </c>
      <c r="C124" s="20">
        <f t="shared" si="162"/>
        <v>1768063.2817999998</v>
      </c>
      <c r="D124" s="20">
        <f t="shared" si="162"/>
        <v>2331155.3314</v>
      </c>
      <c r="E124" s="20">
        <f t="shared" si="162"/>
        <v>2353259.2868900029</v>
      </c>
      <c r="F124" s="20">
        <f t="shared" si="162"/>
        <v>1980260.7954800013</v>
      </c>
      <c r="G124" s="20">
        <f t="shared" si="162"/>
        <v>2645381.805339999</v>
      </c>
      <c r="H124" s="20">
        <f t="shared" ref="H124:I124" si="163">SUM(H125:H128)</f>
        <v>3122825.3144200002</v>
      </c>
      <c r="I124" s="20">
        <f t="shared" si="163"/>
        <v>856736.49488000001</v>
      </c>
      <c r="J124" s="20">
        <f t="shared" ref="J124:M124" si="164">SUM(J125:J128)</f>
        <v>1644144.2590400004</v>
      </c>
      <c r="K124" s="20">
        <f t="shared" si="164"/>
        <v>3382270.8452999983</v>
      </c>
      <c r="L124" s="20">
        <f t="shared" si="164"/>
        <v>3502485.5971300015</v>
      </c>
      <c r="M124" s="69">
        <f t="shared" si="164"/>
        <v>4327859.3115199972</v>
      </c>
      <c r="N124" s="53">
        <f>C124/$C$6*100</f>
        <v>5.7687031320386337</v>
      </c>
      <c r="O124" s="2">
        <f>D124/$D$6*100</f>
        <v>7.9977115918610027</v>
      </c>
      <c r="P124" s="2">
        <f t="shared" si="102"/>
        <v>7.1952763383667726</v>
      </c>
      <c r="Q124" s="2">
        <f t="shared" si="122"/>
        <v>5.4516705942270338</v>
      </c>
      <c r="R124" s="2">
        <f t="shared" si="103"/>
        <v>5.8047536883228261</v>
      </c>
      <c r="S124" s="2">
        <f>H124/$H$6*100</f>
        <v>7.0303563311350628</v>
      </c>
      <c r="T124" s="2">
        <f t="shared" si="104"/>
        <v>3.0321026048004955</v>
      </c>
      <c r="U124" s="2">
        <f t="shared" si="105"/>
        <v>4.2990633402013936</v>
      </c>
      <c r="V124" s="2">
        <f t="shared" si="106"/>
        <v>6.303084555553748</v>
      </c>
      <c r="W124" s="2">
        <f>L124/$L$6*100</f>
        <v>6.5088467766849112</v>
      </c>
      <c r="X124" s="61">
        <f t="shared" si="107"/>
        <v>7.7379347172365831</v>
      </c>
      <c r="Y124" s="2">
        <f t="shared" ref="Y124:AD124" si="165">((C124-B124)/B124)*100</f>
        <v>33.220128005548922</v>
      </c>
      <c r="Z124" s="2">
        <f t="shared" si="165"/>
        <v>31.847957898132307</v>
      </c>
      <c r="AA124" s="2">
        <f t="shared" si="165"/>
        <v>0.94819745352310392</v>
      </c>
      <c r="AB124" s="2">
        <f t="shared" si="165"/>
        <v>-15.850292974003102</v>
      </c>
      <c r="AC124" s="2">
        <f t="shared" si="165"/>
        <v>33.587546215031601</v>
      </c>
      <c r="AD124" s="2">
        <f t="shared" si="165"/>
        <v>18.048189040849529</v>
      </c>
      <c r="AE124" s="2">
        <f t="shared" ref="AE124:AE128" si="166">((I124-H124)/H124)*100</f>
        <v>-72.565340401080974</v>
      </c>
      <c r="AF124" s="2">
        <f t="shared" si="100"/>
        <v>91.907811662708454</v>
      </c>
      <c r="AG124" s="2">
        <f t="shared" si="121"/>
        <v>105.7161849821422</v>
      </c>
      <c r="AH124" s="2">
        <f t="shared" ref="AH124:AI128" si="167">((L124-K124)/K124)*100</f>
        <v>3.5542615399075319</v>
      </c>
      <c r="AI124" s="2">
        <f t="shared" si="167"/>
        <v>23.565370691783041</v>
      </c>
    </row>
    <row r="125" spans="1:35" s="18" customFormat="1" ht="19.5" customHeight="1" x14ac:dyDescent="0.25">
      <c r="A125" s="22" t="s">
        <v>123</v>
      </c>
      <c r="B125" s="3">
        <v>6555.6791000000003</v>
      </c>
      <c r="C125" s="3">
        <v>5159.0144600000003</v>
      </c>
      <c r="D125" s="3">
        <v>6794.3540300000004</v>
      </c>
      <c r="E125" s="3">
        <v>15055.367689999995</v>
      </c>
      <c r="F125" s="3">
        <v>8238.4915399999991</v>
      </c>
      <c r="G125" s="3">
        <v>14228.589479999999</v>
      </c>
      <c r="H125" s="3">
        <v>18996.247690000007</v>
      </c>
      <c r="I125" s="3">
        <v>11493.341470000001</v>
      </c>
      <c r="J125" s="3">
        <v>6865.0866800000003</v>
      </c>
      <c r="K125" s="3">
        <v>26230.472749999997</v>
      </c>
      <c r="L125" s="66">
        <v>40443.343189999985</v>
      </c>
      <c r="M125" s="64">
        <v>25324.17637999999</v>
      </c>
      <c r="N125" s="43">
        <f>C125/$C$6*100</f>
        <v>1.6832442130315727E-2</v>
      </c>
      <c r="O125" s="44">
        <f>D125/$D$6*100</f>
        <v>2.3310022825593728E-2</v>
      </c>
      <c r="P125" s="44">
        <f t="shared" si="102"/>
        <v>4.6032977117634585E-2</v>
      </c>
      <c r="Q125" s="44">
        <f t="shared" si="122"/>
        <v>2.2680619730452958E-2</v>
      </c>
      <c r="R125" s="44">
        <f t="shared" si="103"/>
        <v>3.1221752979829692E-2</v>
      </c>
      <c r="S125" s="44">
        <f>H125/$H$6*100</f>
        <v>4.2765885622393696E-2</v>
      </c>
      <c r="T125" s="44">
        <f t="shared" si="104"/>
        <v>4.0676439975782436E-2</v>
      </c>
      <c r="U125" s="44">
        <f t="shared" si="105"/>
        <v>1.795064046905805E-2</v>
      </c>
      <c r="V125" s="44">
        <f t="shared" si="106"/>
        <v>4.8882214121067483E-2</v>
      </c>
      <c r="W125" s="44">
        <f>L125/$L$6*100</f>
        <v>7.5157917616077041E-2</v>
      </c>
      <c r="X125" s="57">
        <f t="shared" si="107"/>
        <v>4.5278002238802469E-2</v>
      </c>
      <c r="Y125" s="44">
        <f t="shared" ref="Y125:Z128" si="168">((C125-B125)/B125)*100</f>
        <v>-21.304652328086039</v>
      </c>
      <c r="Z125" s="44">
        <f t="shared" si="168"/>
        <v>31.698681650913613</v>
      </c>
      <c r="AA125" s="47" t="s">
        <v>147</v>
      </c>
      <c r="AB125" s="44">
        <f t="shared" ref="AB125:AD128" si="169">((F125-E125)/E125)*100</f>
        <v>-45.278709164492007</v>
      </c>
      <c r="AC125" s="44">
        <f t="shared" si="169"/>
        <v>72.708673801709097</v>
      </c>
      <c r="AD125" s="44">
        <f t="shared" si="169"/>
        <v>33.507595511849772</v>
      </c>
      <c r="AE125" s="44">
        <f t="shared" si="166"/>
        <v>-39.496780324409443</v>
      </c>
      <c r="AF125" s="44">
        <f t="shared" si="100"/>
        <v>-40.269009687745758</v>
      </c>
      <c r="AG125" s="47" t="s">
        <v>147</v>
      </c>
      <c r="AH125" s="44">
        <f t="shared" si="167"/>
        <v>54.184575990914951</v>
      </c>
      <c r="AI125" s="44">
        <f t="shared" si="167"/>
        <v>-37.383573209987148</v>
      </c>
    </row>
    <row r="126" spans="1:35" s="18" customFormat="1" ht="25.5" customHeight="1" x14ac:dyDescent="0.25">
      <c r="A126" s="21" t="s">
        <v>124</v>
      </c>
      <c r="B126" s="3">
        <v>266185.83831000008</v>
      </c>
      <c r="C126" s="3">
        <v>466840.59477999998</v>
      </c>
      <c r="D126" s="3">
        <v>573675.81246000004</v>
      </c>
      <c r="E126" s="3">
        <v>637602.080100002</v>
      </c>
      <c r="F126" s="3">
        <v>562369.66915000067</v>
      </c>
      <c r="G126" s="3">
        <v>673442.56981999846</v>
      </c>
      <c r="H126" s="3">
        <v>644036.51146000042</v>
      </c>
      <c r="I126" s="3">
        <v>354230.6168299999</v>
      </c>
      <c r="J126" s="3">
        <v>645073.05950000056</v>
      </c>
      <c r="K126" s="3">
        <v>1007376.3906899989</v>
      </c>
      <c r="L126" s="66">
        <v>1040798.9286200019</v>
      </c>
      <c r="M126" s="64">
        <v>963780.09662999865</v>
      </c>
      <c r="N126" s="43">
        <f>C126/$C$6*100</f>
        <v>1.5231721788421819</v>
      </c>
      <c r="O126" s="44">
        <f>D126/$D$6*100</f>
        <v>1.968163010624518</v>
      </c>
      <c r="P126" s="44">
        <f t="shared" si="102"/>
        <v>1.9495187741508835</v>
      </c>
      <c r="Q126" s="44">
        <f t="shared" si="122"/>
        <v>1.5482072843072687</v>
      </c>
      <c r="R126" s="44">
        <f t="shared" si="103"/>
        <v>1.4777330943855234</v>
      </c>
      <c r="S126" s="44">
        <f>H126/$H$6*100</f>
        <v>1.4499069624283158</v>
      </c>
      <c r="T126" s="44">
        <f t="shared" si="104"/>
        <v>1.253668522829495</v>
      </c>
      <c r="U126" s="44">
        <f t="shared" si="105"/>
        <v>1.686719353609065</v>
      </c>
      <c r="V126" s="44">
        <f t="shared" si="106"/>
        <v>1.8773122733831269</v>
      </c>
      <c r="W126" s="44">
        <f>L126/$L$6*100</f>
        <v>1.9341694816037134</v>
      </c>
      <c r="X126" s="57">
        <f t="shared" si="107"/>
        <v>1.7231769641041474</v>
      </c>
      <c r="Y126" s="44">
        <f t="shared" si="168"/>
        <v>75.381454454506837</v>
      </c>
      <c r="Z126" s="44">
        <f t="shared" si="168"/>
        <v>22.884731720973509</v>
      </c>
      <c r="AA126" s="44">
        <f>((E126-D126)/D126)*100</f>
        <v>11.143273997534846</v>
      </c>
      <c r="AB126" s="44">
        <f t="shared" si="169"/>
        <v>-11.799273135715275</v>
      </c>
      <c r="AC126" s="44">
        <f t="shared" si="169"/>
        <v>19.750869714911911</v>
      </c>
      <c r="AD126" s="44">
        <f t="shared" si="169"/>
        <v>-4.3665279977560463</v>
      </c>
      <c r="AE126" s="44">
        <f t="shared" si="166"/>
        <v>-44.998364141347238</v>
      </c>
      <c r="AF126" s="44">
        <f t="shared" si="100"/>
        <v>82.105393732687972</v>
      </c>
      <c r="AG126" s="44">
        <f t="shared" si="121"/>
        <v>56.164697293485098</v>
      </c>
      <c r="AH126" s="44">
        <f t="shared" si="167"/>
        <v>3.3177805474585687</v>
      </c>
      <c r="AI126" s="44">
        <f t="shared" si="167"/>
        <v>-7.3999722590147847</v>
      </c>
    </row>
    <row r="127" spans="1:35" s="18" customFormat="1" ht="19.5" customHeight="1" x14ac:dyDescent="0.25">
      <c r="A127" s="21" t="s">
        <v>125</v>
      </c>
      <c r="B127" s="3">
        <v>870273.70785000036</v>
      </c>
      <c r="C127" s="3">
        <v>940117.98805999989</v>
      </c>
      <c r="D127" s="3">
        <v>1313757.4471400001</v>
      </c>
      <c r="E127" s="3">
        <v>845006.77248000039</v>
      </c>
      <c r="F127" s="3">
        <v>934980.5985400005</v>
      </c>
      <c r="G127" s="3">
        <v>1316831.4289600002</v>
      </c>
      <c r="H127" s="3">
        <v>1794772.5110700005</v>
      </c>
      <c r="I127" s="3">
        <v>259820.24260000006</v>
      </c>
      <c r="J127" s="3">
        <v>777349.91636999988</v>
      </c>
      <c r="K127" s="3">
        <v>1711554.83696</v>
      </c>
      <c r="L127" s="66">
        <v>1559113.7560799995</v>
      </c>
      <c r="M127" s="64">
        <v>2160743.8484599986</v>
      </c>
      <c r="N127" s="43">
        <f>C127/$C$6*100</f>
        <v>3.067345856923378</v>
      </c>
      <c r="O127" s="44">
        <f>D127/$D$6*100</f>
        <v>4.5072299654846137</v>
      </c>
      <c r="P127" s="44">
        <f t="shared" si="102"/>
        <v>2.5836750202822927</v>
      </c>
      <c r="Q127" s="44">
        <f t="shared" si="122"/>
        <v>2.5740075483329381</v>
      </c>
      <c r="R127" s="44">
        <f t="shared" si="103"/>
        <v>2.8895194178492298</v>
      </c>
      <c r="S127" s="44">
        <f>H127/$H$6*100</f>
        <v>4.0405366985734394</v>
      </c>
      <c r="T127" s="44">
        <f t="shared" si="104"/>
        <v>0.91953784982359288</v>
      </c>
      <c r="U127" s="44">
        <f t="shared" si="105"/>
        <v>2.0325932530556501</v>
      </c>
      <c r="V127" s="44">
        <f t="shared" si="106"/>
        <v>3.1895952016430007</v>
      </c>
      <c r="W127" s="44">
        <f>L127/$L$6*100</f>
        <v>2.8973802359278467</v>
      </c>
      <c r="X127" s="57">
        <f t="shared" si="107"/>
        <v>3.8632713396087368</v>
      </c>
      <c r="Y127" s="44">
        <f t="shared" si="168"/>
        <v>8.0255532920268156</v>
      </c>
      <c r="Z127" s="44">
        <f t="shared" si="168"/>
        <v>39.743890003746415</v>
      </c>
      <c r="AA127" s="44">
        <f>((E127-D127)/D127)*100</f>
        <v>-35.680153568716364</v>
      </c>
      <c r="AB127" s="44">
        <f t="shared" si="169"/>
        <v>10.64770472737597</v>
      </c>
      <c r="AC127" s="44">
        <f t="shared" si="169"/>
        <v>40.840508457209793</v>
      </c>
      <c r="AD127" s="44">
        <f t="shared" si="169"/>
        <v>36.294780911134993</v>
      </c>
      <c r="AE127" s="44">
        <f t="shared" si="166"/>
        <v>-85.5234999980526</v>
      </c>
      <c r="AF127" s="47" t="s">
        <v>147</v>
      </c>
      <c r="AG127" s="47" t="s">
        <v>147</v>
      </c>
      <c r="AH127" s="44">
        <f t="shared" si="167"/>
        <v>-8.9065846789204048</v>
      </c>
      <c r="AI127" s="44">
        <f t="shared" si="167"/>
        <v>38.587953575154586</v>
      </c>
    </row>
    <row r="128" spans="1:35" s="18" customFormat="1" ht="19.5" customHeight="1" x14ac:dyDescent="0.25">
      <c r="A128" s="21" t="s">
        <v>126</v>
      </c>
      <c r="B128" s="3">
        <v>184159.0600900001</v>
      </c>
      <c r="C128" s="3">
        <v>355945.68449999997</v>
      </c>
      <c r="D128" s="3">
        <v>436927.71776999999</v>
      </c>
      <c r="E128" s="3">
        <v>855595.06662000064</v>
      </c>
      <c r="F128" s="3">
        <v>474672.03625000024</v>
      </c>
      <c r="G128" s="3">
        <v>640879.21708000021</v>
      </c>
      <c r="H128" s="3">
        <v>665020.04419999942</v>
      </c>
      <c r="I128" s="3">
        <v>231192.29398000005</v>
      </c>
      <c r="J128" s="3">
        <v>214856.19649</v>
      </c>
      <c r="K128" s="3">
        <v>637109.14489999996</v>
      </c>
      <c r="L128" s="66">
        <v>862129.56923999998</v>
      </c>
      <c r="M128" s="64">
        <v>1178011.1900500003</v>
      </c>
      <c r="N128" s="43">
        <f>C128/$C$6*100</f>
        <v>1.1613526541427581</v>
      </c>
      <c r="O128" s="44">
        <f>D128/$D$6*100</f>
        <v>1.4990085929262762</v>
      </c>
      <c r="P128" s="44">
        <f t="shared" si="102"/>
        <v>2.6160495668159629</v>
      </c>
      <c r="Q128" s="44">
        <f t="shared" si="122"/>
        <v>1.306775141856374</v>
      </c>
      <c r="R128" s="44">
        <f t="shared" si="103"/>
        <v>1.4062794231082432</v>
      </c>
      <c r="S128" s="44">
        <f>H128/$H$6*100</f>
        <v>1.4971467845109132</v>
      </c>
      <c r="T128" s="44">
        <f t="shared" si="104"/>
        <v>0.8182197921716251</v>
      </c>
      <c r="U128" s="44">
        <f t="shared" si="105"/>
        <v>0.56180009306762058</v>
      </c>
      <c r="V128" s="44">
        <f t="shared" si="106"/>
        <v>1.1872948664065544</v>
      </c>
      <c r="W128" s="44">
        <f>L128/$L$6*100</f>
        <v>1.6021391415372732</v>
      </c>
      <c r="X128" s="57">
        <f t="shared" si="107"/>
        <v>2.1062084112848964</v>
      </c>
      <c r="Y128" s="44">
        <f t="shared" si="168"/>
        <v>93.281657891849733</v>
      </c>
      <c r="Z128" s="44">
        <f t="shared" si="168"/>
        <v>22.751233347232791</v>
      </c>
      <c r="AA128" s="44">
        <f>((E128-D128)/D128)*100</f>
        <v>95.820734602694245</v>
      </c>
      <c r="AB128" s="44">
        <f t="shared" si="169"/>
        <v>-44.521415004743297</v>
      </c>
      <c r="AC128" s="44">
        <f t="shared" si="169"/>
        <v>35.015161656260283</v>
      </c>
      <c r="AD128" s="44">
        <f t="shared" si="169"/>
        <v>3.7668294550087964</v>
      </c>
      <c r="AE128" s="44">
        <f t="shared" si="166"/>
        <v>-65.235289372650712</v>
      </c>
      <c r="AF128" s="44">
        <f t="shared" si="100"/>
        <v>-7.0660216258822377</v>
      </c>
      <c r="AG128" s="47" t="s">
        <v>147</v>
      </c>
      <c r="AH128" s="44">
        <f t="shared" si="167"/>
        <v>35.318975742424641</v>
      </c>
      <c r="AI128" s="44">
        <f t="shared" si="167"/>
        <v>36.639692231930063</v>
      </c>
    </row>
    <row r="129" spans="1:35" s="18" customFormat="1" ht="19.5" customHeight="1" x14ac:dyDescent="0.25">
      <c r="A129" s="19" t="s">
        <v>127</v>
      </c>
      <c r="B129" s="1"/>
      <c r="C129" s="1"/>
      <c r="D129" s="1"/>
      <c r="E129" s="3"/>
      <c r="F129" s="3"/>
      <c r="G129" s="3"/>
      <c r="H129" s="3"/>
      <c r="I129" s="3"/>
      <c r="J129" s="3"/>
      <c r="K129" s="3"/>
      <c r="L129" s="66"/>
      <c r="M129" s="64"/>
      <c r="N129" s="43"/>
      <c r="O129" s="44"/>
      <c r="P129" s="44"/>
      <c r="Q129" s="2"/>
      <c r="R129" s="2"/>
      <c r="S129" s="2"/>
      <c r="T129" s="2"/>
      <c r="U129" s="2"/>
      <c r="V129" s="2"/>
      <c r="W129" s="2"/>
      <c r="X129" s="61"/>
      <c r="Y129" s="2"/>
      <c r="Z129" s="2"/>
      <c r="AA129" s="44"/>
      <c r="AB129" s="44"/>
      <c r="AC129" s="44"/>
      <c r="AD129" s="44"/>
      <c r="AE129" s="44"/>
      <c r="AF129" s="44"/>
      <c r="AG129" s="2"/>
      <c r="AH129" s="2"/>
      <c r="AI129" s="2"/>
    </row>
    <row r="130" spans="1:35" s="18" customFormat="1" ht="19.5" customHeight="1" x14ac:dyDescent="0.25">
      <c r="A130" s="45" t="s">
        <v>128</v>
      </c>
      <c r="B130" s="24">
        <f t="shared" ref="B130:G130" si="170">SUM(B131:B133)</f>
        <v>237050.51012000002</v>
      </c>
      <c r="C130" s="20">
        <f t="shared" si="170"/>
        <v>270098.93417000002</v>
      </c>
      <c r="D130" s="20">
        <f t="shared" si="170"/>
        <v>387889.24714000005</v>
      </c>
      <c r="E130" s="20">
        <f t="shared" si="170"/>
        <v>456113.20961000049</v>
      </c>
      <c r="F130" s="20">
        <f t="shared" si="170"/>
        <v>717631.50783999916</v>
      </c>
      <c r="G130" s="20">
        <f t="shared" si="170"/>
        <v>927524.86933000223</v>
      </c>
      <c r="H130" s="20">
        <f t="shared" ref="H130:I130" si="171">SUM(H131:H133)</f>
        <v>536804.22122999863</v>
      </c>
      <c r="I130" s="20">
        <f t="shared" si="171"/>
        <v>805996.15995000105</v>
      </c>
      <c r="J130" s="20">
        <f t="shared" ref="J130:M130" si="172">SUM(J131:J133)</f>
        <v>806612.77253000112</v>
      </c>
      <c r="K130" s="20">
        <f t="shared" si="172"/>
        <v>776949.10154000029</v>
      </c>
      <c r="L130" s="20">
        <f t="shared" si="172"/>
        <v>1076520.3734699977</v>
      </c>
      <c r="M130" s="69">
        <f t="shared" si="172"/>
        <v>850665.53988000052</v>
      </c>
      <c r="N130" s="53">
        <f>C130/$C$6*100</f>
        <v>0.88125837097895665</v>
      </c>
      <c r="O130" s="2">
        <f>D130/$D$6*100</f>
        <v>1.3307677469723738</v>
      </c>
      <c r="P130" s="2">
        <f t="shared" si="102"/>
        <v>1.3946022025735079</v>
      </c>
      <c r="Q130" s="2">
        <f t="shared" si="122"/>
        <v>1.9756441160235254</v>
      </c>
      <c r="R130" s="2">
        <f t="shared" si="103"/>
        <v>2.0352651535540787</v>
      </c>
      <c r="S130" s="2">
        <f>H130/$H$6*100</f>
        <v>1.2084969780018822</v>
      </c>
      <c r="T130" s="2">
        <f t="shared" si="104"/>
        <v>2.8525259174186317</v>
      </c>
      <c r="U130" s="2">
        <f t="shared" si="105"/>
        <v>2.1091089672062457</v>
      </c>
      <c r="V130" s="2">
        <f t="shared" si="106"/>
        <v>1.4478958387301388</v>
      </c>
      <c r="W130" s="2">
        <f>L130/$L$6*100</f>
        <v>2.0005524558437622</v>
      </c>
      <c r="X130" s="61">
        <f t="shared" si="107"/>
        <v>1.5209353955367924</v>
      </c>
      <c r="Y130" s="2">
        <f t="shared" ref="Y130:AD133" si="173">((C130-B130)/B130)*100</f>
        <v>13.941511466594264</v>
      </c>
      <c r="Z130" s="2">
        <f t="shared" si="173"/>
        <v>43.610062117410244</v>
      </c>
      <c r="AA130" s="2">
        <f t="shared" si="173"/>
        <v>17.588516044987578</v>
      </c>
      <c r="AB130" s="2">
        <f t="shared" si="173"/>
        <v>57.336269312088071</v>
      </c>
      <c r="AC130" s="2">
        <f t="shared" si="173"/>
        <v>29.248069405670552</v>
      </c>
      <c r="AD130" s="2">
        <f t="shared" si="173"/>
        <v>-42.12508591626667</v>
      </c>
      <c r="AE130" s="2">
        <f t="shared" ref="AE130:AE133" si="174">((I130-H130)/H130)*100</f>
        <v>50.147135226171159</v>
      </c>
      <c r="AF130" s="2">
        <f t="shared" si="100"/>
        <v>7.650316597517344E-2</v>
      </c>
      <c r="AG130" s="2">
        <f t="shared" si="121"/>
        <v>-3.6775602866984753</v>
      </c>
      <c r="AH130" s="2">
        <f t="shared" ref="AH130:AI133" si="175">((L130-K130)/K130)*100</f>
        <v>38.557387007232968</v>
      </c>
      <c r="AI130" s="2">
        <f t="shared" si="175"/>
        <v>-20.980079816045549</v>
      </c>
    </row>
    <row r="131" spans="1:35" s="18" customFormat="1" ht="19.5" customHeight="1" x14ac:dyDescent="0.25">
      <c r="A131" s="21" t="s">
        <v>129</v>
      </c>
      <c r="B131" s="3">
        <v>203221.67176000003</v>
      </c>
      <c r="C131" s="3">
        <v>239809.24903000001</v>
      </c>
      <c r="D131" s="3">
        <v>357779.45092000003</v>
      </c>
      <c r="E131" s="3">
        <v>420824.73790000053</v>
      </c>
      <c r="F131" s="3">
        <v>683404.37583999918</v>
      </c>
      <c r="G131" s="3">
        <v>896316.59005000233</v>
      </c>
      <c r="H131" s="3">
        <v>501448.65194999863</v>
      </c>
      <c r="I131" s="3">
        <v>776300.05402000097</v>
      </c>
      <c r="J131" s="3">
        <v>757075.40875000111</v>
      </c>
      <c r="K131" s="3">
        <v>728587.50224000029</v>
      </c>
      <c r="L131" s="66">
        <v>1021587.7333999978</v>
      </c>
      <c r="M131" s="64">
        <v>810373.80777000054</v>
      </c>
      <c r="N131" s="43">
        <f>C131/$C$6*100</f>
        <v>0.78243147754463693</v>
      </c>
      <c r="O131" s="44">
        <f>D131/$D$6*100</f>
        <v>1.2274672662992794</v>
      </c>
      <c r="P131" s="44">
        <f t="shared" si="102"/>
        <v>1.2867049101133778</v>
      </c>
      <c r="Q131" s="44">
        <f t="shared" si="122"/>
        <v>1.8814166034276918</v>
      </c>
      <c r="R131" s="44">
        <f t="shared" si="103"/>
        <v>1.966784916073385</v>
      </c>
      <c r="S131" s="44">
        <f>H131/$H$6*100</f>
        <v>1.1289016675691248</v>
      </c>
      <c r="T131" s="44">
        <f t="shared" si="104"/>
        <v>2.7474275112215238</v>
      </c>
      <c r="U131" s="44">
        <f t="shared" si="105"/>
        <v>1.979580026284014</v>
      </c>
      <c r="V131" s="44">
        <f t="shared" si="106"/>
        <v>1.3577708122103684</v>
      </c>
      <c r="W131" s="44">
        <f>L131/$L$6*100</f>
        <v>1.8984683423366597</v>
      </c>
      <c r="X131" s="57">
        <f t="shared" si="107"/>
        <v>1.4488963641658614</v>
      </c>
      <c r="Y131" s="44">
        <f t="shared" si="173"/>
        <v>18.003777330012834</v>
      </c>
      <c r="Z131" s="44">
        <f t="shared" si="173"/>
        <v>49.193349450521829</v>
      </c>
      <c r="AA131" s="44">
        <f t="shared" si="173"/>
        <v>17.621271098126179</v>
      </c>
      <c r="AB131" s="44">
        <f t="shared" si="173"/>
        <v>62.396435924922919</v>
      </c>
      <c r="AC131" s="44">
        <f t="shared" si="173"/>
        <v>31.154646024662103</v>
      </c>
      <c r="AD131" s="44">
        <f t="shared" si="173"/>
        <v>-44.05451628179452</v>
      </c>
      <c r="AE131" s="44">
        <f t="shared" si="174"/>
        <v>54.811474913967629</v>
      </c>
      <c r="AF131" s="44">
        <f t="shared" si="100"/>
        <v>-2.4764451799850771</v>
      </c>
      <c r="AG131" s="44">
        <f t="shared" si="121"/>
        <v>-3.7628888986153819</v>
      </c>
      <c r="AH131" s="44">
        <f t="shared" si="175"/>
        <v>40.214830786856098</v>
      </c>
      <c r="AI131" s="44">
        <f t="shared" si="175"/>
        <v>-20.675064776575333</v>
      </c>
    </row>
    <row r="132" spans="1:35" s="18" customFormat="1" ht="19.5" customHeight="1" x14ac:dyDescent="0.25">
      <c r="A132" s="21" t="s">
        <v>130</v>
      </c>
      <c r="B132" s="3">
        <v>30426.596570000002</v>
      </c>
      <c r="C132" s="3">
        <v>24853.491120000002</v>
      </c>
      <c r="D132" s="3">
        <v>26338.437420000002</v>
      </c>
      <c r="E132" s="3">
        <v>31894.88651999996</v>
      </c>
      <c r="F132" s="3">
        <v>30517.557559999943</v>
      </c>
      <c r="G132" s="3">
        <v>25631.824829999969</v>
      </c>
      <c r="H132" s="3">
        <v>28832.937740000023</v>
      </c>
      <c r="I132" s="3">
        <v>26745.377410000019</v>
      </c>
      <c r="J132" s="3">
        <v>44099.265379999983</v>
      </c>
      <c r="K132" s="3">
        <v>39865.667179999997</v>
      </c>
      <c r="L132" s="66">
        <v>45723.856079999925</v>
      </c>
      <c r="M132" s="64">
        <v>34705.958770000019</v>
      </c>
      <c r="N132" s="43">
        <f>C132/$C$6*100</f>
        <v>8.1090090802675471E-2</v>
      </c>
      <c r="O132" s="44">
        <f>D132/$D$6*100</f>
        <v>9.0361728979652833E-2</v>
      </c>
      <c r="P132" s="44">
        <f t="shared" si="102"/>
        <v>9.7521137415987641E-2</v>
      </c>
      <c r="Q132" s="44">
        <f t="shared" si="122"/>
        <v>8.4015030513773958E-2</v>
      </c>
      <c r="R132" s="44">
        <f t="shared" si="103"/>
        <v>5.6243839516868559E-2</v>
      </c>
      <c r="S132" s="44">
        <f>H132/$H$6*100</f>
        <v>6.4911035993468827E-2</v>
      </c>
      <c r="T132" s="44">
        <f t="shared" si="104"/>
        <v>9.4655391705464859E-2</v>
      </c>
      <c r="U132" s="44">
        <f t="shared" si="105"/>
        <v>0.11530955029193576</v>
      </c>
      <c r="V132" s="44">
        <f t="shared" si="106"/>
        <v>7.4292297273672772E-2</v>
      </c>
      <c r="W132" s="44">
        <f>L132/$L$6*100</f>
        <v>8.4970962766493255E-2</v>
      </c>
      <c r="X132" s="57">
        <f t="shared" si="107"/>
        <v>6.2052027094902422E-2</v>
      </c>
      <c r="Y132" s="44">
        <f t="shared" si="173"/>
        <v>-18.31655879479786</v>
      </c>
      <c r="Z132" s="44">
        <f t="shared" si="173"/>
        <v>5.9747996481872105</v>
      </c>
      <c r="AA132" s="44">
        <f t="shared" si="173"/>
        <v>21.096350597399859</v>
      </c>
      <c r="AB132" s="44">
        <f t="shared" si="173"/>
        <v>-4.3183378600088487</v>
      </c>
      <c r="AC132" s="44">
        <f t="shared" si="173"/>
        <v>-16.009579798102241</v>
      </c>
      <c r="AD132" s="44">
        <f t="shared" si="173"/>
        <v>12.488821733259552</v>
      </c>
      <c r="AE132" s="44">
        <f t="shared" si="174"/>
        <v>-7.2401929655052975</v>
      </c>
      <c r="AF132" s="44">
        <f t="shared" si="100"/>
        <v>64.885560237080057</v>
      </c>
      <c r="AG132" s="44">
        <f t="shared" si="121"/>
        <v>-9.6001558382421912</v>
      </c>
      <c r="AH132" s="44">
        <f t="shared" si="175"/>
        <v>14.694822172545738</v>
      </c>
      <c r="AI132" s="44">
        <f t="shared" si="175"/>
        <v>-24.096605699052674</v>
      </c>
    </row>
    <row r="133" spans="1:35" s="18" customFormat="1" ht="19.5" customHeight="1" x14ac:dyDescent="0.25">
      <c r="A133" s="21" t="s">
        <v>131</v>
      </c>
      <c r="B133" s="3">
        <v>3402.2417900000009</v>
      </c>
      <c r="C133" s="3">
        <v>5436.1940199999999</v>
      </c>
      <c r="D133" s="3">
        <v>3771.3588</v>
      </c>
      <c r="E133" s="3">
        <v>3393.585189999998</v>
      </c>
      <c r="F133" s="3">
        <v>3709.5744399999985</v>
      </c>
      <c r="G133" s="3">
        <v>5576.4544499999993</v>
      </c>
      <c r="H133" s="3">
        <v>6522.6315400000021</v>
      </c>
      <c r="I133" s="3">
        <v>2950.7285200000001</v>
      </c>
      <c r="J133" s="3">
        <v>5438.0983999999989</v>
      </c>
      <c r="K133" s="3">
        <v>8495.9321200000031</v>
      </c>
      <c r="L133" s="66">
        <v>9208.7839899999944</v>
      </c>
      <c r="M133" s="64">
        <v>5585.7733399999997</v>
      </c>
      <c r="N133" s="43">
        <f>C133/$C$6*100</f>
        <v>1.7736802631644184E-2</v>
      </c>
      <c r="O133" s="44">
        <f>D133/$D$6*100</f>
        <v>1.2938751693441528E-2</v>
      </c>
      <c r="P133" s="44">
        <f t="shared" si="102"/>
        <v>1.0376155044142504E-2</v>
      </c>
      <c r="Q133" s="44">
        <f t="shared" si="122"/>
        <v>1.0212482082059401E-2</v>
      </c>
      <c r="R133" s="44">
        <f t="shared" si="103"/>
        <v>1.2236397963824875E-2</v>
      </c>
      <c r="S133" s="44">
        <f>H133/$H$6*100</f>
        <v>1.4684274439288363E-2</v>
      </c>
      <c r="T133" s="44">
        <f t="shared" si="104"/>
        <v>1.0443014491642815E-2</v>
      </c>
      <c r="U133" s="44">
        <f t="shared" si="105"/>
        <v>1.4219390630295701E-2</v>
      </c>
      <c r="V133" s="44">
        <f t="shared" si="106"/>
        <v>1.583272924609775E-2</v>
      </c>
      <c r="W133" s="44">
        <f>L133/$L$6*100</f>
        <v>1.7113150740609411E-2</v>
      </c>
      <c r="X133" s="57">
        <f t="shared" si="107"/>
        <v>9.9870042760286312E-3</v>
      </c>
      <c r="Y133" s="44">
        <f t="shared" si="173"/>
        <v>59.782706684112483</v>
      </c>
      <c r="Z133" s="44">
        <f t="shared" si="173"/>
        <v>-30.625014741471645</v>
      </c>
      <c r="AA133" s="44">
        <f t="shared" si="173"/>
        <v>-10.016909820407488</v>
      </c>
      <c r="AB133" s="44">
        <f t="shared" si="173"/>
        <v>9.3113693132306707</v>
      </c>
      <c r="AC133" s="44">
        <f t="shared" si="173"/>
        <v>50.325988605852089</v>
      </c>
      <c r="AD133" s="44">
        <f t="shared" si="173"/>
        <v>16.967359788978513</v>
      </c>
      <c r="AE133" s="44">
        <f t="shared" si="174"/>
        <v>-54.761686262597031</v>
      </c>
      <c r="AF133" s="44">
        <f t="shared" si="100"/>
        <v>84.296805454674583</v>
      </c>
      <c r="AG133" s="44">
        <f t="shared" si="121"/>
        <v>56.229834311199753</v>
      </c>
      <c r="AH133" s="44">
        <f t="shared" si="175"/>
        <v>8.3905080682305524</v>
      </c>
      <c r="AI133" s="44">
        <f t="shared" si="175"/>
        <v>-39.34298658687505</v>
      </c>
    </row>
    <row r="134" spans="1:35" s="18" customFormat="1" ht="19.5" customHeight="1" x14ac:dyDescent="0.25">
      <c r="A134" s="19" t="s">
        <v>132</v>
      </c>
      <c r="B134" s="1"/>
      <c r="C134" s="1"/>
      <c r="D134" s="1"/>
      <c r="E134" s="3"/>
      <c r="F134" s="3"/>
      <c r="G134" s="3"/>
      <c r="H134" s="3"/>
      <c r="I134" s="3"/>
      <c r="J134" s="3"/>
      <c r="K134" s="3"/>
      <c r="L134" s="66"/>
      <c r="M134" s="64"/>
      <c r="N134" s="43"/>
      <c r="O134" s="44"/>
      <c r="P134" s="44"/>
      <c r="Q134" s="2"/>
      <c r="R134" s="2"/>
      <c r="S134" s="2"/>
      <c r="T134" s="2"/>
      <c r="U134" s="2"/>
      <c r="V134" s="2"/>
      <c r="W134" s="2"/>
      <c r="X134" s="61"/>
      <c r="Y134" s="2"/>
      <c r="Z134" s="2"/>
      <c r="AA134" s="44"/>
      <c r="AB134" s="44"/>
      <c r="AC134" s="44"/>
      <c r="AD134" s="44"/>
      <c r="AE134" s="44"/>
      <c r="AF134" s="44"/>
      <c r="AG134" s="2"/>
      <c r="AH134" s="2"/>
      <c r="AI134" s="2"/>
    </row>
    <row r="135" spans="1:35" s="18" customFormat="1" ht="19.5" customHeight="1" x14ac:dyDescent="0.25">
      <c r="A135" s="45" t="s">
        <v>133</v>
      </c>
      <c r="B135" s="26">
        <f t="shared" ref="B135:M135" si="176">SUM(B136)</f>
        <v>36.522300000000001</v>
      </c>
      <c r="C135" s="20">
        <f t="shared" si="176"/>
        <v>259.80257999999998</v>
      </c>
      <c r="D135" s="20">
        <f t="shared" si="176"/>
        <v>6846.5144800000007</v>
      </c>
      <c r="E135" s="20">
        <f t="shared" si="176"/>
        <v>3126.7044499999997</v>
      </c>
      <c r="F135" s="20">
        <f t="shared" si="176"/>
        <v>4030.6557939426361</v>
      </c>
      <c r="G135" s="20">
        <f t="shared" si="176"/>
        <v>950.5609300000001</v>
      </c>
      <c r="H135" s="20">
        <f t="shared" si="176"/>
        <v>39264.400130000009</v>
      </c>
      <c r="I135" s="20">
        <f t="shared" si="176"/>
        <v>71.888890000000004</v>
      </c>
      <c r="J135" s="20">
        <f t="shared" si="176"/>
        <v>7499.2061399999993</v>
      </c>
      <c r="K135" s="20">
        <f t="shared" si="176"/>
        <v>22014.524320000004</v>
      </c>
      <c r="L135" s="20">
        <f t="shared" si="176"/>
        <v>6339.4885699999995</v>
      </c>
      <c r="M135" s="69">
        <f t="shared" si="176"/>
        <v>110489.81471999999</v>
      </c>
      <c r="N135" s="53">
        <f>C135/$C$6*100</f>
        <v>8.4766420545305489E-4</v>
      </c>
      <c r="O135" s="2">
        <f>D135/$D$6*100</f>
        <v>2.3488974536782857E-2</v>
      </c>
      <c r="P135" s="2">
        <f t="shared" si="102"/>
        <v>9.5601460797306009E-3</v>
      </c>
      <c r="Q135" s="2">
        <f t="shared" si="122"/>
        <v>1.1096421096374627E-2</v>
      </c>
      <c r="R135" s="2">
        <f t="shared" si="103"/>
        <v>2.085813115239107E-3</v>
      </c>
      <c r="S135" s="2">
        <f>H135/$H$6*100</f>
        <v>8.8395185849015415E-2</v>
      </c>
      <c r="T135" s="2">
        <f t="shared" si="104"/>
        <v>2.5442419218495789E-4</v>
      </c>
      <c r="U135" s="2">
        <f t="shared" si="105"/>
        <v>1.9608718650948282E-2</v>
      </c>
      <c r="V135" s="2">
        <f t="shared" si="106"/>
        <v>4.1025516460952378E-2</v>
      </c>
      <c r="W135" s="2">
        <f>L135/$L$6*100</f>
        <v>1.1780993411789262E-2</v>
      </c>
      <c r="X135" s="61">
        <f t="shared" si="107"/>
        <v>0.19754869825531646</v>
      </c>
      <c r="Y135" s="2">
        <v>0</v>
      </c>
      <c r="Z135" s="47" t="s">
        <v>147</v>
      </c>
      <c r="AA135" s="2">
        <f t="shared" ref="AA135:AC136" si="177">((E135-D135)/D135)*100</f>
        <v>-54.331441799565148</v>
      </c>
      <c r="AB135" s="2">
        <f t="shared" si="177"/>
        <v>28.910674430473797</v>
      </c>
      <c r="AC135" s="2">
        <f t="shared" si="177"/>
        <v>-76.416717809828242</v>
      </c>
      <c r="AD135" s="47" t="s">
        <v>147</v>
      </c>
      <c r="AE135" s="2">
        <f t="shared" ref="AE135:AE136" si="178">((I135-H135)/H135)*100</f>
        <v>-99.816910764555203</v>
      </c>
      <c r="AF135" s="47" t="s">
        <v>147</v>
      </c>
      <c r="AG135" s="47" t="s">
        <v>147</v>
      </c>
      <c r="AH135" s="2">
        <f>((L135-K135)/K135)*100</f>
        <v>-71.203154436361686</v>
      </c>
      <c r="AI135" s="47" t="s">
        <v>147</v>
      </c>
    </row>
    <row r="136" spans="1:35" s="18" customFormat="1" ht="19.5" customHeight="1" x14ac:dyDescent="0.25">
      <c r="A136" s="21" t="s">
        <v>134</v>
      </c>
      <c r="B136" s="3">
        <v>36.522300000000001</v>
      </c>
      <c r="C136" s="3">
        <v>259.80257999999998</v>
      </c>
      <c r="D136" s="3">
        <v>6846.5144800000007</v>
      </c>
      <c r="E136" s="3">
        <v>3126.7044499999997</v>
      </c>
      <c r="F136" s="3">
        <v>4030.6557939426361</v>
      </c>
      <c r="G136" s="3">
        <v>950.5609300000001</v>
      </c>
      <c r="H136" s="3">
        <v>39264.400130000009</v>
      </c>
      <c r="I136" s="3">
        <v>71.888890000000004</v>
      </c>
      <c r="J136" s="3">
        <v>7499.2061399999993</v>
      </c>
      <c r="K136" s="3">
        <v>22014.524320000004</v>
      </c>
      <c r="L136" s="66">
        <v>6339.4885699999995</v>
      </c>
      <c r="M136" s="64">
        <v>110489.81471999999</v>
      </c>
      <c r="N136" s="43">
        <f>C136/$C$6*100</f>
        <v>8.4766420545305489E-4</v>
      </c>
      <c r="O136" s="44">
        <f>D136/$D$6*100</f>
        <v>2.3488974536782857E-2</v>
      </c>
      <c r="P136" s="44">
        <f t="shared" si="102"/>
        <v>9.5601460797306009E-3</v>
      </c>
      <c r="Q136" s="44">
        <f t="shared" si="122"/>
        <v>1.1096421096374627E-2</v>
      </c>
      <c r="R136" s="44">
        <f t="shared" si="103"/>
        <v>2.085813115239107E-3</v>
      </c>
      <c r="S136" s="44">
        <f>H136/$H$6*100</f>
        <v>8.8395185849015415E-2</v>
      </c>
      <c r="T136" s="44">
        <f t="shared" si="104"/>
        <v>2.5442419218495789E-4</v>
      </c>
      <c r="U136" s="44">
        <f t="shared" si="105"/>
        <v>1.9608718650948282E-2</v>
      </c>
      <c r="V136" s="44">
        <f t="shared" si="106"/>
        <v>4.1025516460952378E-2</v>
      </c>
      <c r="W136" s="44">
        <f>L136/$L$6*100</f>
        <v>1.1780993411789262E-2</v>
      </c>
      <c r="X136" s="57">
        <f t="shared" si="107"/>
        <v>0.19754869825531646</v>
      </c>
      <c r="Y136" s="44">
        <v>0</v>
      </c>
      <c r="Z136" s="47" t="s">
        <v>147</v>
      </c>
      <c r="AA136" s="44">
        <f t="shared" si="177"/>
        <v>-54.331441799565148</v>
      </c>
      <c r="AB136" s="44">
        <f t="shared" si="177"/>
        <v>28.910674430473797</v>
      </c>
      <c r="AC136" s="44">
        <f t="shared" si="177"/>
        <v>-76.416717809828242</v>
      </c>
      <c r="AD136" s="47" t="s">
        <v>147</v>
      </c>
      <c r="AE136" s="44">
        <f t="shared" si="178"/>
        <v>-99.816910764555203</v>
      </c>
      <c r="AF136" s="47" t="s">
        <v>147</v>
      </c>
      <c r="AG136" s="47" t="s">
        <v>147</v>
      </c>
      <c r="AH136" s="44">
        <f>((L136-K136)/K136)*100</f>
        <v>-71.203154436361686</v>
      </c>
      <c r="AI136" s="47" t="s">
        <v>147</v>
      </c>
    </row>
    <row r="137" spans="1:35" s="18" customFormat="1" ht="19.5" customHeight="1" x14ac:dyDescent="0.25">
      <c r="A137" s="19" t="s">
        <v>135</v>
      </c>
      <c r="B137" s="1"/>
      <c r="C137" s="1"/>
      <c r="D137" s="1"/>
      <c r="E137" s="3"/>
      <c r="F137" s="3"/>
      <c r="G137" s="3"/>
      <c r="H137" s="3"/>
      <c r="I137" s="3"/>
      <c r="J137" s="3"/>
      <c r="K137" s="3"/>
      <c r="L137" s="66"/>
      <c r="M137" s="64"/>
      <c r="N137" s="43"/>
      <c r="O137" s="44"/>
      <c r="P137" s="44"/>
      <c r="Q137" s="2"/>
      <c r="R137" s="2"/>
      <c r="S137" s="2"/>
      <c r="T137" s="2"/>
      <c r="U137" s="2"/>
      <c r="V137" s="2"/>
      <c r="W137" s="2"/>
      <c r="X137" s="61">
        <f t="shared" ref="X137:X144" si="179">M137/$M$6*100</f>
        <v>0</v>
      </c>
      <c r="Y137" s="2"/>
      <c r="Z137" s="2"/>
      <c r="AA137" s="44"/>
      <c r="AB137" s="44"/>
      <c r="AC137" s="44"/>
      <c r="AD137" s="44"/>
      <c r="AE137" s="44"/>
      <c r="AF137" s="44"/>
      <c r="AG137" s="2"/>
      <c r="AH137" s="2"/>
      <c r="AI137" s="2"/>
    </row>
    <row r="138" spans="1:35" s="18" customFormat="1" ht="19.5" customHeight="1" x14ac:dyDescent="0.25">
      <c r="A138" s="45" t="s">
        <v>136</v>
      </c>
      <c r="B138" s="24">
        <f t="shared" ref="B138:G138" si="180">SUM(B139:B141)</f>
        <v>1093226.6955299987</v>
      </c>
      <c r="C138" s="20">
        <f t="shared" si="180"/>
        <v>1099490.8578199998</v>
      </c>
      <c r="D138" s="20">
        <f t="shared" si="180"/>
        <v>1172917.77248</v>
      </c>
      <c r="E138" s="20">
        <f t="shared" si="180"/>
        <v>1667661.18359</v>
      </c>
      <c r="F138" s="20">
        <f t="shared" si="180"/>
        <v>1618551.748250002</v>
      </c>
      <c r="G138" s="20">
        <f t="shared" si="180"/>
        <v>2396664.236949997</v>
      </c>
      <c r="H138" s="20">
        <f t="shared" ref="H138:I138" si="181">SUM(H139:H141)</f>
        <v>2540540.6909400043</v>
      </c>
      <c r="I138" s="20">
        <f t="shared" si="181"/>
        <v>1509539.1007399985</v>
      </c>
      <c r="J138" s="20">
        <f t="shared" ref="J138:M138" si="182">SUM(J139:J141)</f>
        <v>1620055.3521699994</v>
      </c>
      <c r="K138" s="20">
        <f t="shared" si="182"/>
        <v>1995299.6208499984</v>
      </c>
      <c r="L138" s="20">
        <f t="shared" si="182"/>
        <v>1943745.3621799988</v>
      </c>
      <c r="M138" s="69">
        <f t="shared" si="182"/>
        <v>2172484.9710000022</v>
      </c>
      <c r="N138" s="53">
        <f>C138/$C$6*100</f>
        <v>3.5873356007353272</v>
      </c>
      <c r="O138" s="2">
        <f>D138/$D$6*100</f>
        <v>4.02403818351711</v>
      </c>
      <c r="P138" s="2">
        <f t="shared" ref="P138:P144" si="183">E138/$E$6*100</f>
        <v>5.0990059283079461</v>
      </c>
      <c r="Q138" s="2">
        <f t="shared" si="122"/>
        <v>4.4558832812879388</v>
      </c>
      <c r="R138" s="2">
        <f t="shared" ref="R138:R144" si="184">G138/$G$6*100</f>
        <v>5.2589934432239183</v>
      </c>
      <c r="S138" s="2">
        <f>H138/$H$6*100</f>
        <v>5.719470201737364</v>
      </c>
      <c r="T138" s="2">
        <f t="shared" ref="T138:T144" si="185">I138/$I$6*100</f>
        <v>5.3424564807911468</v>
      </c>
      <c r="U138" s="2">
        <f t="shared" ref="U138:U144" si="186">J138/$J$6*100</f>
        <v>4.236076326828969</v>
      </c>
      <c r="V138" s="2">
        <f t="shared" ref="V138:V144" si="187">K138/$K$6*100</f>
        <v>3.7183723004791975</v>
      </c>
      <c r="W138" s="2">
        <f>L138/$L$6*100</f>
        <v>3.6121606740334418</v>
      </c>
      <c r="X138" s="61">
        <f t="shared" si="179"/>
        <v>3.8842637132470825</v>
      </c>
      <c r="Y138" s="2">
        <f t="shared" ref="Y138:AE141" si="188">((C138-B138)/B138)*100</f>
        <v>0.57299755994013435</v>
      </c>
      <c r="Z138" s="2">
        <f t="shared" si="188"/>
        <v>6.6782651386102874</v>
      </c>
      <c r="AA138" s="2">
        <f t="shared" si="188"/>
        <v>42.180570771293013</v>
      </c>
      <c r="AB138" s="2">
        <f t="shared" si="188"/>
        <v>-2.9448089230139267</v>
      </c>
      <c r="AC138" s="2">
        <f t="shared" si="188"/>
        <v>48.074612970595453</v>
      </c>
      <c r="AD138" s="2">
        <f t="shared" si="188"/>
        <v>6.0031960994713609</v>
      </c>
      <c r="AE138" s="2">
        <f t="shared" si="188"/>
        <v>-40.581975084151608</v>
      </c>
      <c r="AF138" s="2">
        <f t="shared" ref="AF138:AF144" si="189">((J138-I138)/I138)*100</f>
        <v>7.3211917051916151</v>
      </c>
      <c r="AG138" s="2">
        <f t="shared" si="121"/>
        <v>23.162435047504665</v>
      </c>
      <c r="AH138" s="2">
        <f t="shared" ref="AH138:AI141" si="190">((L138-K138)/K138)*100</f>
        <v>-2.5837853188203144</v>
      </c>
      <c r="AI138" s="2">
        <f t="shared" si="190"/>
        <v>11.767982230113804</v>
      </c>
    </row>
    <row r="139" spans="1:35" s="18" customFormat="1" ht="19.5" customHeight="1" x14ac:dyDescent="0.25">
      <c r="A139" s="21" t="s">
        <v>137</v>
      </c>
      <c r="B139" s="3">
        <v>800998.75025999884</v>
      </c>
      <c r="C139" s="3">
        <v>814865.41079999995</v>
      </c>
      <c r="D139" s="3">
        <v>860888.47532000009</v>
      </c>
      <c r="E139" s="3">
        <v>1336032.80159</v>
      </c>
      <c r="F139" s="3">
        <v>1265050.6527600016</v>
      </c>
      <c r="G139" s="3">
        <v>1986609.0903599965</v>
      </c>
      <c r="H139" s="3">
        <v>2065627.7484100037</v>
      </c>
      <c r="I139" s="3">
        <v>1187903.730049999</v>
      </c>
      <c r="J139" s="3">
        <v>1127624.0338699992</v>
      </c>
      <c r="K139" s="3">
        <v>1398297.9781799985</v>
      </c>
      <c r="L139" s="66">
        <v>1307467.0308999994</v>
      </c>
      <c r="M139" s="64">
        <v>1626386.9778400022</v>
      </c>
      <c r="N139" s="43">
        <f>C139/$C$6*100</f>
        <v>2.6586812224765404</v>
      </c>
      <c r="O139" s="44">
        <f>D139/$D$6*100</f>
        <v>2.9535302283916733</v>
      </c>
      <c r="P139" s="44">
        <f t="shared" si="183"/>
        <v>4.0850259289815938</v>
      </c>
      <c r="Q139" s="44">
        <f t="shared" si="122"/>
        <v>3.4826925118152019</v>
      </c>
      <c r="R139" s="44">
        <f t="shared" si="184"/>
        <v>4.3592106142276572</v>
      </c>
      <c r="S139" s="44">
        <f>H139/$H$6*100</f>
        <v>4.6503078644024987</v>
      </c>
      <c r="T139" s="44">
        <f t="shared" si="185"/>
        <v>4.2041468008682461</v>
      </c>
      <c r="U139" s="44">
        <f t="shared" si="186"/>
        <v>2.9484804139820846</v>
      </c>
      <c r="V139" s="44">
        <f t="shared" si="187"/>
        <v>2.6058204068948947</v>
      </c>
      <c r="W139" s="44">
        <f>L139/$L$6*100</f>
        <v>2.4297323525523074</v>
      </c>
      <c r="X139" s="57">
        <f t="shared" si="179"/>
        <v>2.9078755462292682</v>
      </c>
      <c r="Y139" s="44">
        <f t="shared" si="188"/>
        <v>1.7311713077579824</v>
      </c>
      <c r="Z139" s="44">
        <f t="shared" si="188"/>
        <v>5.6479344821884947</v>
      </c>
      <c r="AA139" s="44">
        <f t="shared" si="188"/>
        <v>55.19232047953534</v>
      </c>
      <c r="AB139" s="44">
        <f t="shared" si="188"/>
        <v>-5.3129046491615517</v>
      </c>
      <c r="AC139" s="44">
        <f t="shared" si="188"/>
        <v>57.037908800390547</v>
      </c>
      <c r="AD139" s="44">
        <f t="shared" si="188"/>
        <v>3.9775645059435467</v>
      </c>
      <c r="AE139" s="44">
        <f t="shared" si="188"/>
        <v>-42.491877785608949</v>
      </c>
      <c r="AF139" s="44">
        <f t="shared" si="189"/>
        <v>-5.0744597104230458</v>
      </c>
      <c r="AG139" s="44">
        <f t="shared" si="121"/>
        <v>24.003917633880842</v>
      </c>
      <c r="AH139" s="44">
        <f t="shared" si="190"/>
        <v>-6.49582197052327</v>
      </c>
      <c r="AI139" s="44">
        <f t="shared" si="190"/>
        <v>24.392197998329113</v>
      </c>
    </row>
    <row r="140" spans="1:35" s="18" customFormat="1" ht="19.5" customHeight="1" x14ac:dyDescent="0.25">
      <c r="A140" s="21" t="s">
        <v>138</v>
      </c>
      <c r="B140" s="3">
        <v>131307.17182000011</v>
      </c>
      <c r="C140" s="3">
        <v>138342.35905999999</v>
      </c>
      <c r="D140" s="3">
        <v>143439.18638</v>
      </c>
      <c r="E140" s="3">
        <v>179404.90843999982</v>
      </c>
      <c r="F140" s="3">
        <v>187865.37587000022</v>
      </c>
      <c r="G140" s="3">
        <v>249813.80367000037</v>
      </c>
      <c r="H140" s="3">
        <v>303396.24157000054</v>
      </c>
      <c r="I140" s="3">
        <v>184600.31278999962</v>
      </c>
      <c r="J140" s="3">
        <v>300857.22096000006</v>
      </c>
      <c r="K140" s="3">
        <v>356462.09050999995</v>
      </c>
      <c r="L140" s="66">
        <v>307575.93620999984</v>
      </c>
      <c r="M140" s="64">
        <v>319329.05361000029</v>
      </c>
      <c r="N140" s="43">
        <f>C140/$C$6*100</f>
        <v>0.4513729843371691</v>
      </c>
      <c r="O140" s="44">
        <f>D140/$D$6*100</f>
        <v>0.49211016880178571</v>
      </c>
      <c r="P140" s="44">
        <f t="shared" si="183"/>
        <v>0.54854469283372531</v>
      </c>
      <c r="Q140" s="44">
        <f t="shared" si="122"/>
        <v>0.51719457742212949</v>
      </c>
      <c r="R140" s="44">
        <f t="shared" si="184"/>
        <v>0.54816571102144307</v>
      </c>
      <c r="S140" s="44">
        <f>H140/$H$6*100</f>
        <v>0.68303010031170874</v>
      </c>
      <c r="T140" s="44">
        <f t="shared" si="185"/>
        <v>0.65332467170777286</v>
      </c>
      <c r="U140" s="44">
        <f t="shared" si="186"/>
        <v>0.78667321444117844</v>
      </c>
      <c r="V140" s="44">
        <f t="shared" si="187"/>
        <v>0.66429059058240414</v>
      </c>
      <c r="W140" s="44">
        <f>L140/$L$6*100</f>
        <v>0.57158397528507932</v>
      </c>
      <c r="X140" s="57">
        <f t="shared" si="179"/>
        <v>0.57093985554796056</v>
      </c>
      <c r="Y140" s="44">
        <f t="shared" si="188"/>
        <v>5.3578088252817855</v>
      </c>
      <c r="Z140" s="44">
        <f t="shared" si="188"/>
        <v>3.684213103370229</v>
      </c>
      <c r="AA140" s="44">
        <f t="shared" si="188"/>
        <v>25.073846950525226</v>
      </c>
      <c r="AB140" s="44">
        <f t="shared" si="188"/>
        <v>4.7158505882406869</v>
      </c>
      <c r="AC140" s="44">
        <f t="shared" si="188"/>
        <v>32.974904243593798</v>
      </c>
      <c r="AD140" s="44">
        <f t="shared" si="188"/>
        <v>21.448950023106658</v>
      </c>
      <c r="AE140" s="44">
        <f t="shared" si="188"/>
        <v>-39.1553725798518</v>
      </c>
      <c r="AF140" s="44">
        <f t="shared" si="189"/>
        <v>62.977633359838194</v>
      </c>
      <c r="AG140" s="44">
        <f t="shared" si="121"/>
        <v>18.482145574758444</v>
      </c>
      <c r="AH140" s="44">
        <f t="shared" si="190"/>
        <v>-13.714264602459512</v>
      </c>
      <c r="AI140" s="44">
        <f t="shared" si="190"/>
        <v>3.8212083639650931</v>
      </c>
    </row>
    <row r="141" spans="1:35" s="18" customFormat="1" ht="19.5" customHeight="1" x14ac:dyDescent="0.25">
      <c r="A141" s="21" t="s">
        <v>139</v>
      </c>
      <c r="B141" s="3">
        <v>160920.7734499998</v>
      </c>
      <c r="C141" s="3">
        <v>146283.08796</v>
      </c>
      <c r="D141" s="3">
        <v>168590.11077999999</v>
      </c>
      <c r="E141" s="3">
        <v>152223.47356000013</v>
      </c>
      <c r="F141" s="3">
        <v>165635.71962000011</v>
      </c>
      <c r="G141" s="3">
        <v>160241.34292000026</v>
      </c>
      <c r="H141" s="3">
        <v>171516.70096000005</v>
      </c>
      <c r="I141" s="3">
        <v>137035.05789999981</v>
      </c>
      <c r="J141" s="3">
        <v>191574.09734000004</v>
      </c>
      <c r="K141" s="3">
        <v>240539.55216000002</v>
      </c>
      <c r="L141" s="66">
        <v>328702.39506999962</v>
      </c>
      <c r="M141" s="64">
        <v>226768.93954999995</v>
      </c>
      <c r="N141" s="43">
        <f>C141/$C$6*100</f>
        <v>0.47728139392161828</v>
      </c>
      <c r="O141" s="44">
        <f>D141/$D$6*100</f>
        <v>0.5783977863236508</v>
      </c>
      <c r="P141" s="44">
        <f t="shared" si="183"/>
        <v>0.46543530649262682</v>
      </c>
      <c r="Q141" s="44">
        <f t="shared" si="122"/>
        <v>0.45599619205060787</v>
      </c>
      <c r="R141" s="44">
        <f t="shared" si="184"/>
        <v>0.35161711797481909</v>
      </c>
      <c r="S141" s="44">
        <f>H141/$H$6*100</f>
        <v>0.38613223702315613</v>
      </c>
      <c r="T141" s="44">
        <f t="shared" si="185"/>
        <v>0.4849850082151273</v>
      </c>
      <c r="U141" s="44">
        <f t="shared" si="186"/>
        <v>0.50092269840570613</v>
      </c>
      <c r="V141" s="44">
        <f t="shared" si="187"/>
        <v>0.44826130300189898</v>
      </c>
      <c r="W141" s="44">
        <f>L141/$L$6*100</f>
        <v>0.61084434619605554</v>
      </c>
      <c r="X141" s="57">
        <f t="shared" si="179"/>
        <v>0.40544831146985416</v>
      </c>
      <c r="Y141" s="44">
        <f t="shared" si="188"/>
        <v>-9.0962062735473506</v>
      </c>
      <c r="Z141" s="44">
        <f t="shared" si="188"/>
        <v>15.24921515609492</v>
      </c>
      <c r="AA141" s="44">
        <f t="shared" si="188"/>
        <v>-9.7079461804004268</v>
      </c>
      <c r="AB141" s="44">
        <f t="shared" si="188"/>
        <v>8.8108921353140914</v>
      </c>
      <c r="AC141" s="44">
        <f t="shared" si="188"/>
        <v>-3.2567713729717092</v>
      </c>
      <c r="AD141" s="44">
        <f t="shared" si="188"/>
        <v>7.0364849885394172</v>
      </c>
      <c r="AE141" s="44">
        <f t="shared" si="188"/>
        <v>-20.103956563414666</v>
      </c>
      <c r="AF141" s="44">
        <f t="shared" si="189"/>
        <v>39.799333306225648</v>
      </c>
      <c r="AG141" s="44">
        <f t="shared" si="121"/>
        <v>25.55953831957644</v>
      </c>
      <c r="AH141" s="44">
        <f t="shared" si="190"/>
        <v>36.652119004260967</v>
      </c>
      <c r="AI141" s="44">
        <f t="shared" si="190"/>
        <v>-31.010864857949144</v>
      </c>
    </row>
    <row r="142" spans="1:35" s="18" customFormat="1" ht="19.5" customHeight="1" x14ac:dyDescent="0.25">
      <c r="A142" s="19" t="s">
        <v>140</v>
      </c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66"/>
      <c r="M142" s="64"/>
      <c r="N142" s="43"/>
      <c r="O142" s="44"/>
      <c r="P142" s="44"/>
      <c r="Q142" s="2"/>
      <c r="R142" s="2"/>
      <c r="S142" s="2"/>
      <c r="T142" s="2"/>
      <c r="U142" s="2"/>
      <c r="V142" s="2"/>
      <c r="W142" s="2"/>
      <c r="X142" s="61"/>
      <c r="Y142" s="2"/>
      <c r="Z142" s="2"/>
      <c r="AA142" s="44"/>
      <c r="AB142" s="44"/>
      <c r="AC142" s="44"/>
      <c r="AD142" s="44"/>
      <c r="AE142" s="44"/>
      <c r="AF142" s="44"/>
      <c r="AG142" s="2"/>
      <c r="AH142" s="2"/>
      <c r="AI142" s="2"/>
    </row>
    <row r="143" spans="1:35" s="18" customFormat="1" ht="19.5" customHeight="1" x14ac:dyDescent="0.25">
      <c r="A143" s="45" t="s">
        <v>141</v>
      </c>
      <c r="B143" s="24">
        <f t="shared" ref="B143:M143" si="191">SUM(B144)</f>
        <v>501.64834000000002</v>
      </c>
      <c r="C143" s="20">
        <f t="shared" si="191"/>
        <v>1493.7953500000001</v>
      </c>
      <c r="D143" s="20">
        <f t="shared" si="191"/>
        <v>836.83505000000002</v>
      </c>
      <c r="E143" s="20">
        <f t="shared" si="191"/>
        <v>1297.1593599999999</v>
      </c>
      <c r="F143" s="20">
        <f t="shared" si="191"/>
        <v>1630.1147400000002</v>
      </c>
      <c r="G143" s="20">
        <f t="shared" si="191"/>
        <v>1382.3535399999998</v>
      </c>
      <c r="H143" s="20">
        <f t="shared" si="191"/>
        <v>3462.9129199999988</v>
      </c>
      <c r="I143" s="20">
        <f t="shared" si="191"/>
        <v>958.44248000000005</v>
      </c>
      <c r="J143" s="20">
        <f t="shared" si="191"/>
        <v>1022.8801099999998</v>
      </c>
      <c r="K143" s="20">
        <f t="shared" si="191"/>
        <v>1876.2670500000002</v>
      </c>
      <c r="L143" s="20">
        <f t="shared" si="191"/>
        <v>1735.9457399999999</v>
      </c>
      <c r="M143" s="69">
        <f t="shared" si="191"/>
        <v>4635.0838700000013</v>
      </c>
      <c r="N143" s="53">
        <f>C143/$C$6*100</f>
        <v>4.8738424709532067E-3</v>
      </c>
      <c r="O143" s="2">
        <f>D143/$D$6*100</f>
        <v>2.871007903124658E-3</v>
      </c>
      <c r="P143" s="2">
        <f t="shared" si="183"/>
        <v>3.9661673076551432E-3</v>
      </c>
      <c r="Q143" s="2">
        <f t="shared" si="122"/>
        <v>4.487716271290387E-3</v>
      </c>
      <c r="R143" s="2">
        <f>G143/$G$6*100</f>
        <v>3.0332943976870658E-3</v>
      </c>
      <c r="S143" s="2">
        <f>H143/$G$6*100</f>
        <v>7.5986598623056711E-3</v>
      </c>
      <c r="T143" s="2">
        <f>I143/$G$6*100</f>
        <v>2.1031075777396989E-3</v>
      </c>
      <c r="U143" s="2">
        <f>J143/$G$6*100</f>
        <v>2.2445028839500271E-3</v>
      </c>
      <c r="V143" s="2">
        <f>K143/$G$6*100</f>
        <v>4.1170873923684088E-3</v>
      </c>
      <c r="W143" s="2">
        <f>L143/$L$6*100</f>
        <v>3.2259960879089714E-3</v>
      </c>
      <c r="X143" s="61">
        <f t="shared" si="179"/>
        <v>8.287232512274003E-3</v>
      </c>
      <c r="Y143" s="2">
        <f t="shared" ref="Y143:AC144" si="192">((C143-B143)/B143)*100</f>
        <v>197.77739322330859</v>
      </c>
      <c r="Z143" s="2">
        <f t="shared" si="192"/>
        <v>-43.979270654444065</v>
      </c>
      <c r="AA143" s="2">
        <f t="shared" si="192"/>
        <v>55.007771244763212</v>
      </c>
      <c r="AB143" s="2">
        <f t="shared" si="192"/>
        <v>25.668039738771988</v>
      </c>
      <c r="AC143" s="2">
        <f t="shared" si="192"/>
        <v>-15.199003721664422</v>
      </c>
      <c r="AD143" s="47" t="s">
        <v>147</v>
      </c>
      <c r="AE143" s="2">
        <f t="shared" ref="AE143" si="193">((I143-H143)/H143)*100</f>
        <v>-72.32265141683088</v>
      </c>
      <c r="AF143" s="47">
        <f t="shared" si="189"/>
        <v>6.7231608932859261</v>
      </c>
      <c r="AG143" s="2">
        <f>((K143-J143)/J143)*100</f>
        <v>83.429810752699112</v>
      </c>
      <c r="AH143" s="2">
        <f>((L143-K143)/K143)*100</f>
        <v>-7.4787493603322748</v>
      </c>
      <c r="AI143" s="47" t="s">
        <v>147</v>
      </c>
    </row>
    <row r="144" spans="1:35" s="18" customFormat="1" ht="19.5" customHeight="1" x14ac:dyDescent="0.25">
      <c r="A144" s="27" t="s">
        <v>142</v>
      </c>
      <c r="B144" s="4">
        <v>501.64834000000002</v>
      </c>
      <c r="C144" s="4">
        <v>1493.7953500000001</v>
      </c>
      <c r="D144" s="4">
        <v>836.83505000000002</v>
      </c>
      <c r="E144" s="4">
        <v>1297.1593599999999</v>
      </c>
      <c r="F144" s="4">
        <v>1630.1147400000002</v>
      </c>
      <c r="G144" s="4">
        <v>1382.3535399999998</v>
      </c>
      <c r="H144" s="4">
        <v>3462.9129199999988</v>
      </c>
      <c r="I144" s="4">
        <v>958.44248000000005</v>
      </c>
      <c r="J144" s="4">
        <v>1022.8801099999998</v>
      </c>
      <c r="K144" s="4">
        <v>1876.2670500000002</v>
      </c>
      <c r="L144" s="67">
        <v>1735.9457399999999</v>
      </c>
      <c r="M144" s="71">
        <v>4635.0838700000013</v>
      </c>
      <c r="N144" s="9">
        <f>C144/$C$6*100</f>
        <v>4.8738424709532067E-3</v>
      </c>
      <c r="O144" s="5">
        <f>D144/$D$6*100</f>
        <v>2.871007903124658E-3</v>
      </c>
      <c r="P144" s="5">
        <f t="shared" si="183"/>
        <v>3.9661673076551432E-3</v>
      </c>
      <c r="Q144" s="5">
        <f>F144/$F$6*100</f>
        <v>4.487716271290387E-3</v>
      </c>
      <c r="R144" s="5">
        <f t="shared" si="184"/>
        <v>3.0332943976870658E-3</v>
      </c>
      <c r="S144" s="5">
        <f>H144/$H$6*100</f>
        <v>7.795988990762062E-3</v>
      </c>
      <c r="T144" s="5">
        <f t="shared" si="185"/>
        <v>3.3920533997638248E-3</v>
      </c>
      <c r="U144" s="5">
        <f t="shared" si="186"/>
        <v>2.6745988730269821E-3</v>
      </c>
      <c r="V144" s="5">
        <f t="shared" si="187"/>
        <v>3.4965472624355833E-3</v>
      </c>
      <c r="W144" s="5">
        <f>L144/$L$6*100</f>
        <v>3.2259960879089714E-3</v>
      </c>
      <c r="X144" s="58">
        <f t="shared" si="179"/>
        <v>8.287232512274003E-3</v>
      </c>
      <c r="Y144" s="5">
        <f t="shared" si="192"/>
        <v>197.77739322330859</v>
      </c>
      <c r="Z144" s="5">
        <f t="shared" si="192"/>
        <v>-43.979270654444065</v>
      </c>
      <c r="AA144" s="5">
        <f t="shared" si="192"/>
        <v>55.007771244763212</v>
      </c>
      <c r="AB144" s="5">
        <f t="shared" si="192"/>
        <v>25.668039738771988</v>
      </c>
      <c r="AC144" s="5">
        <f t="shared" si="192"/>
        <v>-15.199003721664422</v>
      </c>
      <c r="AD144" s="48" t="s">
        <v>147</v>
      </c>
      <c r="AE144" s="5">
        <f>((I144-H144)/H144)*100</f>
        <v>-72.32265141683088</v>
      </c>
      <c r="AF144" s="48">
        <f t="shared" si="189"/>
        <v>6.7231608932859261</v>
      </c>
      <c r="AG144" s="62">
        <f t="shared" ref="AG144" si="194">((K144-J144)/J144)*100</f>
        <v>83.429810752699112</v>
      </c>
      <c r="AH144" s="5">
        <f>((L144-K144)/K144)*100</f>
        <v>-7.4787493603322748</v>
      </c>
      <c r="AI144" s="48" t="s">
        <v>147</v>
      </c>
    </row>
    <row r="145" spans="1:35" s="8" customFormat="1" ht="19.5" customHeight="1" x14ac:dyDescent="0.5">
      <c r="A145" s="49" t="s">
        <v>148</v>
      </c>
      <c r="B145" s="28"/>
      <c r="C145" s="28"/>
      <c r="D145" s="28"/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Z145" s="12"/>
      <c r="AC145" s="12"/>
      <c r="AD145" s="41"/>
      <c r="AF145" s="11"/>
      <c r="AG145" s="50"/>
      <c r="AH145" s="50"/>
      <c r="AI145" s="42" t="s">
        <v>1</v>
      </c>
    </row>
    <row r="146" spans="1:35" s="8" customFormat="1" ht="19.5" customHeight="1" x14ac:dyDescent="0.35">
      <c r="A146" s="6" t="s">
        <v>0</v>
      </c>
      <c r="B146" s="28"/>
      <c r="C146" s="28"/>
      <c r="D146" s="28"/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AG146" s="42"/>
    </row>
    <row r="147" spans="1:35" s="8" customFormat="1" ht="19.5" customHeight="1" x14ac:dyDescent="0.25">
      <c r="B147" s="30"/>
      <c r="C147" s="30"/>
      <c r="D147" s="30"/>
      <c r="E147" s="30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AF147" s="11"/>
    </row>
    <row r="148" spans="1:35" s="8" customFormat="1" ht="19.5" customHeight="1" x14ac:dyDescent="0.25">
      <c r="B148" s="30"/>
      <c r="C148" s="30"/>
      <c r="D148" s="30"/>
      <c r="E148" s="30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AF148" s="11"/>
    </row>
    <row r="149" spans="1:35" s="8" customFormat="1" ht="19.5" customHeight="1" x14ac:dyDescent="0.25"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AF149" s="11"/>
    </row>
    <row r="150" spans="1:35" s="8" customFormat="1" ht="19.5" customHeight="1" x14ac:dyDescent="0.25"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AF150" s="11"/>
    </row>
    <row r="151" spans="1:35" s="8" customFormat="1" ht="19.5" customHeight="1" x14ac:dyDescent="0.25"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AF151" s="11"/>
    </row>
    <row r="152" spans="1:35" s="8" customFormat="1" ht="19.5" customHeight="1" x14ac:dyDescent="0.25"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AF152" s="11"/>
    </row>
    <row r="153" spans="1:35" s="8" customFormat="1" ht="19.5" customHeight="1" x14ac:dyDescent="0.25"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AF153" s="11"/>
    </row>
    <row r="154" spans="1:35" s="8" customFormat="1" ht="19.5" customHeight="1" x14ac:dyDescent="0.25">
      <c r="A154" s="46"/>
      <c r="B154" s="46"/>
      <c r="C154" s="46"/>
      <c r="D154" s="46"/>
      <c r="E154" s="46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AF154" s="11"/>
    </row>
    <row r="155" spans="1:35" s="8" customFormat="1" ht="19.5" customHeight="1" x14ac:dyDescent="0.25">
      <c r="A155" s="76"/>
      <c r="B155" s="33"/>
      <c r="C155" s="33"/>
      <c r="D155" s="33"/>
      <c r="E155" s="33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AF155" s="11"/>
    </row>
    <row r="156" spans="1:35" s="8" customFormat="1" ht="19.5" customHeight="1" x14ac:dyDescent="0.25">
      <c r="A156" s="76"/>
      <c r="B156" s="46"/>
      <c r="C156" s="46"/>
      <c r="D156" s="46"/>
      <c r="E156" s="46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AF156" s="11"/>
    </row>
    <row r="157" spans="1:35" s="8" customFormat="1" ht="19.5" customHeight="1" x14ac:dyDescent="0.25">
      <c r="A157" s="76"/>
      <c r="B157" s="46"/>
      <c r="C157" s="46"/>
      <c r="D157" s="46"/>
      <c r="E157" s="46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AF157" s="11"/>
    </row>
    <row r="158" spans="1:35" s="8" customFormat="1" ht="19.5" customHeight="1" x14ac:dyDescent="0.25">
      <c r="A158" s="76"/>
      <c r="B158" s="34"/>
      <c r="C158" s="34"/>
      <c r="D158" s="34"/>
      <c r="E158" s="34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AF158" s="11"/>
    </row>
    <row r="159" spans="1:35" s="8" customFormat="1" ht="19.5" customHeight="1" x14ac:dyDescent="0.25">
      <c r="A159" s="76"/>
      <c r="B159" s="46"/>
      <c r="C159" s="46"/>
      <c r="D159" s="46"/>
      <c r="E159" s="46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AF159" s="11"/>
    </row>
    <row r="160" spans="1:35" s="8" customFormat="1" ht="19.5" customHeight="1" x14ac:dyDescent="0.25">
      <c r="A160" s="76"/>
      <c r="B160" s="35"/>
      <c r="C160" s="35"/>
      <c r="D160" s="35"/>
      <c r="E160" s="35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AF160" s="11"/>
    </row>
    <row r="161" spans="1:32" s="8" customFormat="1" ht="19.5" customHeight="1" x14ac:dyDescent="0.25">
      <c r="A161" s="76"/>
      <c r="B161" s="46"/>
      <c r="C161" s="46"/>
      <c r="D161" s="46"/>
      <c r="E161" s="46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AF161" s="11"/>
    </row>
    <row r="162" spans="1:32" s="8" customFormat="1" ht="19.5" customHeight="1" x14ac:dyDescent="0.25">
      <c r="A162" s="76"/>
      <c r="B162" s="36"/>
      <c r="C162" s="36"/>
      <c r="D162" s="36"/>
      <c r="E162" s="36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AF162" s="11"/>
    </row>
    <row r="163" spans="1:32" s="8" customFormat="1" ht="19.5" customHeight="1" x14ac:dyDescent="0.25">
      <c r="A163" s="76"/>
      <c r="B163" s="37"/>
      <c r="C163" s="37"/>
      <c r="D163" s="37"/>
      <c r="E163" s="37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AF163" s="11"/>
    </row>
    <row r="164" spans="1:32" s="8" customFormat="1" ht="19.5" customHeight="1" x14ac:dyDescent="0.25">
      <c r="A164" s="76"/>
      <c r="B164" s="38"/>
      <c r="C164" s="38"/>
      <c r="D164" s="38"/>
      <c r="E164" s="38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AF164" s="11"/>
    </row>
    <row r="165" spans="1:32" s="8" customFormat="1" ht="19.5" customHeight="1" x14ac:dyDescent="0.25">
      <c r="A165" s="76"/>
      <c r="B165" s="39"/>
      <c r="C165" s="39"/>
      <c r="D165" s="39"/>
      <c r="E165" s="39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AF165" s="11"/>
    </row>
    <row r="166" spans="1:32" s="8" customFormat="1" ht="19.5" customHeight="1" x14ac:dyDescent="0.25"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AF166" s="11"/>
    </row>
    <row r="167" spans="1:32" s="8" customFormat="1" ht="19.5" customHeight="1" x14ac:dyDescent="0.25"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AF167" s="11"/>
    </row>
    <row r="168" spans="1:32" s="8" customFormat="1" ht="19.5" customHeight="1" x14ac:dyDescent="0.25"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AF168" s="11"/>
    </row>
    <row r="169" spans="1:32" s="8" customFormat="1" ht="19.5" customHeight="1" x14ac:dyDescent="0.25"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AF169" s="11"/>
    </row>
    <row r="170" spans="1:32" s="8" customFormat="1" ht="19.5" customHeight="1" x14ac:dyDescent="0.25"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AF170" s="11"/>
    </row>
    <row r="171" spans="1:32" s="8" customFormat="1" ht="19.5" customHeight="1" x14ac:dyDescent="0.25"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AF171" s="11"/>
    </row>
    <row r="172" spans="1:32" s="8" customFormat="1" ht="19.5" customHeight="1" x14ac:dyDescent="0.25"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AF172" s="11"/>
    </row>
    <row r="173" spans="1:32" s="8" customFormat="1" ht="19.5" customHeight="1" x14ac:dyDescent="0.25"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AF173" s="11"/>
    </row>
    <row r="174" spans="1:32" s="8" customFormat="1" ht="19.5" customHeight="1" x14ac:dyDescent="0.25"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AF174" s="11"/>
    </row>
    <row r="175" spans="1:32" s="8" customFormat="1" ht="19.5" customHeight="1" x14ac:dyDescent="0.25"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AF175" s="11"/>
    </row>
    <row r="176" spans="1:32" s="8" customFormat="1" ht="19.5" customHeight="1" x14ac:dyDescent="0.25"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AF176" s="11"/>
    </row>
    <row r="177" spans="6:32" s="8" customFormat="1" ht="19.5" customHeight="1" x14ac:dyDescent="0.25"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AF177" s="11"/>
    </row>
    <row r="178" spans="6:32" s="8" customFormat="1" ht="19.5" customHeight="1" x14ac:dyDescent="0.25"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AF178" s="11"/>
    </row>
    <row r="179" spans="6:32" s="8" customFormat="1" ht="19.5" customHeight="1" x14ac:dyDescent="0.25"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AF179" s="11"/>
    </row>
    <row r="180" spans="6:32" s="8" customFormat="1" ht="19.5" customHeight="1" x14ac:dyDescent="0.25"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AF180" s="11"/>
    </row>
    <row r="181" spans="6:32" s="8" customFormat="1" ht="19.5" customHeight="1" x14ac:dyDescent="0.25"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AF181" s="11"/>
    </row>
    <row r="182" spans="6:32" s="8" customFormat="1" ht="19.5" customHeight="1" x14ac:dyDescent="0.25"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AF182" s="11"/>
    </row>
    <row r="183" spans="6:32" s="8" customFormat="1" ht="19.5" customHeight="1" x14ac:dyDescent="0.25"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AF183" s="11"/>
    </row>
    <row r="184" spans="6:32" s="8" customFormat="1" ht="19.5" customHeight="1" x14ac:dyDescent="0.25"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AF184" s="11"/>
    </row>
    <row r="185" spans="6:32" s="8" customFormat="1" ht="19.5" customHeight="1" x14ac:dyDescent="0.25"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AF185" s="11"/>
    </row>
    <row r="186" spans="6:32" s="8" customFormat="1" ht="19.5" customHeight="1" x14ac:dyDescent="0.25"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AF186" s="11"/>
    </row>
    <row r="187" spans="6:32" s="8" customFormat="1" ht="19.5" customHeight="1" x14ac:dyDescent="0.25"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AF187" s="11"/>
    </row>
    <row r="188" spans="6:32" s="8" customFormat="1" ht="19.5" customHeight="1" x14ac:dyDescent="0.25"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AF188" s="11"/>
    </row>
    <row r="189" spans="6:32" s="8" customFormat="1" ht="19.5" customHeight="1" x14ac:dyDescent="0.25"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AF189" s="11"/>
    </row>
    <row r="190" spans="6:32" s="8" customFormat="1" ht="19.5" customHeight="1" x14ac:dyDescent="0.25"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AF190" s="11"/>
    </row>
    <row r="191" spans="6:32" s="8" customFormat="1" ht="19.5" customHeight="1" x14ac:dyDescent="0.25"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AF191" s="11"/>
    </row>
    <row r="192" spans="6:32" s="8" customFormat="1" ht="19.5" customHeight="1" x14ac:dyDescent="0.25"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AF192" s="11"/>
    </row>
    <row r="193" spans="2:32" s="8" customFormat="1" ht="19.5" customHeight="1" x14ac:dyDescent="0.25"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AF193" s="11"/>
    </row>
    <row r="194" spans="2:32" s="8" customFormat="1" ht="19.5" customHeight="1" x14ac:dyDescent="0.25"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AF194" s="11"/>
    </row>
    <row r="195" spans="2:32" s="8" customFormat="1" ht="19.5" customHeight="1" x14ac:dyDescent="0.25"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AF195" s="11"/>
    </row>
    <row r="196" spans="2:32" s="8" customFormat="1" ht="19.5" customHeight="1" x14ac:dyDescent="0.25"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AF196" s="11"/>
    </row>
    <row r="197" spans="2:32" s="8" customFormat="1" ht="19.5" customHeight="1" x14ac:dyDescent="0.25"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AF197" s="11"/>
    </row>
    <row r="198" spans="2:32" ht="19.5" customHeight="1" x14ac:dyDescent="0.25">
      <c r="B198" s="8"/>
      <c r="C198" s="8"/>
      <c r="D198" s="8"/>
      <c r="E198" s="8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2:32" ht="19.5" customHeight="1" x14ac:dyDescent="0.25">
      <c r="B199" s="8"/>
      <c r="C199" s="8"/>
      <c r="D199" s="8"/>
      <c r="E199" s="8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2:32" ht="19.5" customHeight="1" x14ac:dyDescent="0.25">
      <c r="B200" s="8"/>
      <c r="C200" s="8"/>
      <c r="D200" s="8"/>
      <c r="E200" s="8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2:32" ht="19.5" customHeight="1" x14ac:dyDescent="0.25">
      <c r="B201" s="8"/>
      <c r="C201" s="8"/>
      <c r="D201" s="8"/>
      <c r="E201" s="8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2:32" ht="19.5" customHeight="1" x14ac:dyDescent="0.25">
      <c r="B202" s="8"/>
      <c r="C202" s="8"/>
      <c r="D202" s="8"/>
      <c r="E202" s="8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2:32" ht="19.5" customHeight="1" x14ac:dyDescent="0.25">
      <c r="B203" s="8"/>
      <c r="C203" s="8"/>
      <c r="D203" s="8"/>
      <c r="E203" s="8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2:32" ht="19.5" customHeight="1" x14ac:dyDescent="0.25">
      <c r="B204" s="8"/>
      <c r="C204" s="8"/>
      <c r="D204" s="8"/>
      <c r="E204" s="8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2:32" ht="19.5" customHeight="1" x14ac:dyDescent="0.25">
      <c r="B205" s="8"/>
      <c r="C205" s="8"/>
      <c r="D205" s="8"/>
      <c r="E205" s="8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2:32" ht="19.5" customHeight="1" x14ac:dyDescent="0.25">
      <c r="B206" s="8"/>
      <c r="C206" s="8"/>
      <c r="D206" s="8"/>
      <c r="E206" s="8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2:32" ht="19.5" customHeight="1" x14ac:dyDescent="0.25">
      <c r="B207" s="8"/>
      <c r="C207" s="8"/>
      <c r="D207" s="8"/>
      <c r="E207" s="8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2:32" ht="19.5" customHeight="1" x14ac:dyDescent="0.25">
      <c r="B208" s="8"/>
      <c r="C208" s="8"/>
      <c r="D208" s="8"/>
      <c r="E208" s="8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2:24" ht="19.5" customHeight="1" x14ac:dyDescent="0.25">
      <c r="B209" s="8"/>
      <c r="C209" s="8"/>
      <c r="D209" s="8"/>
      <c r="E209" s="8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2:24" ht="19.5" customHeight="1" x14ac:dyDescent="0.25">
      <c r="B210" s="8"/>
      <c r="C210" s="8"/>
      <c r="D210" s="8"/>
      <c r="E210" s="8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2:24" ht="19.5" customHeight="1" x14ac:dyDescent="0.25">
      <c r="B211" s="8"/>
      <c r="C211" s="8"/>
      <c r="D211" s="8"/>
      <c r="E211" s="8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2:24" ht="19.5" customHeight="1" x14ac:dyDescent="0.25">
      <c r="B212" s="8"/>
      <c r="C212" s="8"/>
      <c r="D212" s="8"/>
      <c r="E212" s="8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2:24" ht="19.5" customHeight="1" x14ac:dyDescent="0.25">
      <c r="B213" s="8"/>
      <c r="C213" s="8"/>
      <c r="D213" s="8"/>
      <c r="E213" s="8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2:24" ht="19.5" customHeight="1" x14ac:dyDescent="0.25">
      <c r="B214" s="8"/>
      <c r="C214" s="8"/>
      <c r="D214" s="8"/>
      <c r="E214" s="8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2:24" ht="19.5" customHeight="1" x14ac:dyDescent="0.25">
      <c r="B215" s="8"/>
      <c r="C215" s="8"/>
      <c r="D215" s="8"/>
      <c r="E215" s="8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2:24" ht="19.5" customHeight="1" x14ac:dyDescent="0.25">
      <c r="B216" s="8"/>
      <c r="C216" s="8"/>
      <c r="D216" s="8"/>
      <c r="E216" s="8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2:24" ht="19.5" customHeight="1" x14ac:dyDescent="0.25">
      <c r="B217" s="8"/>
      <c r="C217" s="8"/>
      <c r="D217" s="8"/>
      <c r="E217" s="8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2:24" ht="19.5" customHeight="1" x14ac:dyDescent="0.25">
      <c r="B218" s="8"/>
      <c r="C218" s="8"/>
      <c r="D218" s="8"/>
      <c r="E218" s="8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2:24" ht="19.5" customHeight="1" x14ac:dyDescent="0.25">
      <c r="B219" s="8"/>
      <c r="C219" s="8"/>
      <c r="D219" s="8"/>
      <c r="E219" s="8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2:24" ht="19.5" customHeight="1" x14ac:dyDescent="0.25">
      <c r="B220" s="8"/>
      <c r="C220" s="8"/>
      <c r="D220" s="8"/>
      <c r="E220" s="8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2:24" ht="19.5" customHeight="1" x14ac:dyDescent="0.25">
      <c r="B221" s="8"/>
      <c r="C221" s="8"/>
      <c r="D221" s="8"/>
      <c r="E221" s="8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2:24" ht="19.5" customHeight="1" x14ac:dyDescent="0.25">
      <c r="B222" s="8"/>
      <c r="C222" s="8"/>
      <c r="D222" s="8"/>
      <c r="E222" s="8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2:24" ht="19.5" customHeight="1" x14ac:dyDescent="0.25">
      <c r="B223" s="8"/>
      <c r="C223" s="8"/>
      <c r="D223" s="8"/>
      <c r="E223" s="8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2:24" ht="19.5" customHeight="1" x14ac:dyDescent="0.25">
      <c r="B224" s="8"/>
      <c r="C224" s="8"/>
      <c r="D224" s="8"/>
      <c r="E224" s="8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2:24" ht="19.5" customHeight="1" x14ac:dyDescent="0.25">
      <c r="B225" s="8"/>
      <c r="C225" s="8"/>
      <c r="D225" s="8"/>
      <c r="E225" s="8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2:24" ht="19.5" customHeight="1" x14ac:dyDescent="0.25">
      <c r="B226" s="8"/>
      <c r="C226" s="8"/>
      <c r="D226" s="8"/>
      <c r="E226" s="8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2:24" ht="19.5" customHeight="1" x14ac:dyDescent="0.25">
      <c r="B227" s="8"/>
      <c r="C227" s="8"/>
      <c r="D227" s="8"/>
      <c r="E227" s="8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2:24" ht="19.5" customHeight="1" x14ac:dyDescent="0.25">
      <c r="B228" s="8"/>
      <c r="C228" s="8"/>
      <c r="D228" s="8"/>
      <c r="E228" s="8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2:24" ht="19.5" customHeight="1" x14ac:dyDescent="0.25">
      <c r="B229" s="8"/>
      <c r="C229" s="8"/>
      <c r="D229" s="8"/>
      <c r="E229" s="8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2:24" ht="19.5" customHeight="1" x14ac:dyDescent="0.25">
      <c r="B230" s="8"/>
      <c r="C230" s="8"/>
      <c r="D230" s="8"/>
      <c r="E230" s="8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2:24" ht="19.5" customHeight="1" x14ac:dyDescent="0.25">
      <c r="B231" s="8"/>
      <c r="C231" s="8"/>
      <c r="D231" s="8"/>
      <c r="E231" s="8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2:24" x14ac:dyDescent="0.25">
      <c r="B232" s="8"/>
      <c r="C232" s="8"/>
      <c r="D232" s="8"/>
      <c r="E232" s="8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2:24" x14ac:dyDescent="0.25">
      <c r="B233" s="8"/>
      <c r="C233" s="8"/>
      <c r="D233" s="8"/>
      <c r="E233" s="8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2:24" x14ac:dyDescent="0.25">
      <c r="B234" s="8"/>
      <c r="C234" s="8"/>
      <c r="D234" s="8"/>
      <c r="E234" s="8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2:24" x14ac:dyDescent="0.25">
      <c r="B235" s="8"/>
      <c r="C235" s="8"/>
      <c r="D235" s="8"/>
      <c r="E235" s="8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2:24" x14ac:dyDescent="0.25">
      <c r="B236" s="8"/>
      <c r="C236" s="8"/>
      <c r="D236" s="8"/>
      <c r="E236" s="8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2:24" x14ac:dyDescent="0.25">
      <c r="B237" s="8"/>
      <c r="C237" s="8"/>
      <c r="D237" s="8"/>
      <c r="E237" s="8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2:24" x14ac:dyDescent="0.25">
      <c r="B238" s="8"/>
      <c r="C238" s="8"/>
      <c r="D238" s="8"/>
      <c r="E238" s="8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2:24" x14ac:dyDescent="0.25">
      <c r="B239" s="8"/>
      <c r="C239" s="8"/>
      <c r="D239" s="8"/>
      <c r="E239" s="8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2:24" x14ac:dyDescent="0.25">
      <c r="B240" s="8"/>
      <c r="C240" s="8"/>
      <c r="D240" s="8"/>
      <c r="E240" s="8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2:24" x14ac:dyDescent="0.25">
      <c r="B241" s="8"/>
      <c r="C241" s="8"/>
      <c r="D241" s="8"/>
      <c r="E241" s="8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2:24" x14ac:dyDescent="0.25">
      <c r="B242" s="8"/>
      <c r="C242" s="8"/>
      <c r="D242" s="8"/>
      <c r="E242" s="8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2:24" x14ac:dyDescent="0.25">
      <c r="B243" s="8"/>
      <c r="C243" s="8"/>
      <c r="D243" s="8"/>
      <c r="E243" s="8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2:24" x14ac:dyDescent="0.25">
      <c r="B244" s="8"/>
      <c r="C244" s="8"/>
      <c r="D244" s="8"/>
      <c r="E244" s="8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2:24" x14ac:dyDescent="0.25">
      <c r="B245" s="8"/>
      <c r="C245" s="8"/>
      <c r="D245" s="8"/>
      <c r="E245" s="8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</row>
    <row r="246" spans="2:24" x14ac:dyDescent="0.25">
      <c r="B246" s="8"/>
      <c r="C246" s="8"/>
      <c r="D246" s="8"/>
      <c r="E246" s="8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spans="2:24" x14ac:dyDescent="0.25">
      <c r="B247" s="8"/>
      <c r="C247" s="8"/>
      <c r="D247" s="8"/>
      <c r="E247" s="8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spans="2:24" x14ac:dyDescent="0.25">
      <c r="B248" s="8"/>
      <c r="C248" s="8"/>
      <c r="D248" s="8"/>
      <c r="E248" s="8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spans="2:24" x14ac:dyDescent="0.25">
      <c r="B249" s="8"/>
      <c r="C249" s="8"/>
      <c r="D249" s="8"/>
      <c r="E249" s="8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</sheetData>
  <mergeCells count="10">
    <mergeCell ref="A2:AH2"/>
    <mergeCell ref="A1:AH1"/>
    <mergeCell ref="A155:A165"/>
    <mergeCell ref="A3:A5"/>
    <mergeCell ref="Y3:AI3"/>
    <mergeCell ref="Y4:AI4"/>
    <mergeCell ref="N3:X3"/>
    <mergeCell ref="N4:X4"/>
    <mergeCell ref="C3:M3"/>
    <mergeCell ref="C4:M4"/>
  </mergeCells>
  <pageMargins left="0.7" right="0.7" top="0.75" bottom="0.75" header="0.3" footer="0.3"/>
  <pageSetup paperSize="9" scale="33" orientation="portrait" horizontalDpi="4294967295" verticalDpi="4294967295" r:id="rId1"/>
  <rowBreaks count="1" manualBreakCount="1">
    <brk id="105" max="34" man="1"/>
  </rowBreaks>
  <ignoredErrors>
    <ignoredError sqref="G15:K15 G26:K26 G29:K29 G40:K40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15.8</vt:lpstr>
      <vt:lpstr>'15.8'!Print_Area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2025-06-01T07:15:54Z</cp:lastPrinted>
  <dcterms:created xsi:type="dcterms:W3CDTF">2019-12-05T04:01:34Z</dcterms:created>
  <dcterms:modified xsi:type="dcterms:W3CDTF">2025-06-01T07:16:07Z</dcterms:modified>
</cp:coreProperties>
</file>