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15- FOREIGN TRADE AND BOP\"/>
    </mc:Choice>
  </mc:AlternateContent>
  <xr:revisionPtr revIDLastSave="0" documentId="13_ncr:1_{DF80D564-06E9-4512-B03A-F9C3188E089A}" xr6:coauthVersionLast="47" xr6:coauthVersionMax="47" xr10:uidLastSave="{00000000-0000-0000-0000-000000000000}"/>
  <bookViews>
    <workbookView xWindow="-120" yWindow="-120" windowWidth="29040" windowHeight="15720" tabRatio="579" xr2:uid="{00000000-000D-0000-FFFF-FFFF00000000}"/>
  </bookViews>
  <sheets>
    <sheet name="15.3" sheetId="3" r:id="rId1"/>
  </sheets>
  <definedNames>
    <definedName name="_xlnm.Print_Area" localSheetId="0">'15.3'!$A$1:$H$320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9" i="3" l="1"/>
  <c r="F138" i="3"/>
  <c r="F137" i="3"/>
  <c r="F136" i="3"/>
  <c r="F135" i="3"/>
  <c r="F134" i="3"/>
  <c r="F133" i="3"/>
  <c r="F132" i="3"/>
  <c r="D261" i="3"/>
  <c r="C302" i="3"/>
  <c r="E302" i="3"/>
  <c r="D302" i="3"/>
  <c r="E293" i="3"/>
  <c r="G261" i="3"/>
  <c r="H293" i="3"/>
  <c r="H261" i="3"/>
  <c r="F263" i="3"/>
  <c r="C141" i="3"/>
  <c r="C150" i="3"/>
  <c r="C132" i="3"/>
  <c r="C133" i="3"/>
  <c r="C134" i="3"/>
  <c r="C135" i="3"/>
  <c r="C136" i="3"/>
  <c r="C137" i="3"/>
  <c r="C138" i="3"/>
  <c r="C139" i="3"/>
  <c r="C35" i="3"/>
  <c r="F35" i="3"/>
  <c r="C36" i="3"/>
  <c r="F36" i="3"/>
  <c r="C37" i="3"/>
  <c r="F37" i="3"/>
  <c r="C38" i="3"/>
  <c r="F38" i="3"/>
  <c r="C39" i="3"/>
  <c r="F39" i="3"/>
  <c r="C40" i="3"/>
  <c r="F40" i="3"/>
  <c r="C41" i="3"/>
  <c r="F41" i="3"/>
  <c r="C42" i="3"/>
  <c r="F42" i="3"/>
  <c r="C43" i="3"/>
  <c r="F43" i="3"/>
  <c r="F96" i="3"/>
  <c r="C96" i="3"/>
  <c r="F78" i="3"/>
  <c r="C78" i="3"/>
  <c r="F69" i="3"/>
  <c r="C69" i="3"/>
  <c r="F131" i="3"/>
  <c r="E131" i="3" s="1"/>
  <c r="C131" i="3" s="1"/>
  <c r="F158" i="3"/>
  <c r="F159" i="3"/>
  <c r="F160" i="3"/>
  <c r="C159" i="3"/>
  <c r="C160" i="3"/>
  <c r="C158" i="3"/>
  <c r="F156" i="3"/>
  <c r="F157" i="3"/>
  <c r="C156" i="3"/>
  <c r="C157" i="3"/>
  <c r="C84" i="3"/>
  <c r="C85" i="3"/>
  <c r="C86" i="3"/>
  <c r="C87" i="3"/>
  <c r="C88" i="3"/>
  <c r="C89" i="3"/>
  <c r="C90" i="3"/>
  <c r="C91" i="3"/>
  <c r="C92" i="3"/>
  <c r="C93" i="3"/>
  <c r="C94" i="3"/>
  <c r="C95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40" i="3"/>
  <c r="C142" i="3"/>
  <c r="C143" i="3"/>
  <c r="C144" i="3"/>
  <c r="C145" i="3"/>
  <c r="C146" i="3"/>
  <c r="C148" i="3"/>
  <c r="C149" i="3"/>
  <c r="C151" i="3"/>
  <c r="C152" i="3"/>
  <c r="C153" i="3"/>
  <c r="C154" i="3"/>
  <c r="C155" i="3"/>
  <c r="F79" i="3"/>
  <c r="F80" i="3"/>
  <c r="F81" i="3"/>
  <c r="F82" i="3"/>
  <c r="C79" i="3"/>
  <c r="C80" i="3"/>
  <c r="C81" i="3"/>
  <c r="C82" i="3"/>
  <c r="C55" i="3"/>
  <c r="F32" i="3"/>
  <c r="C32" i="3"/>
  <c r="C25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3" i="3"/>
  <c r="F34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70" i="3"/>
  <c r="F71" i="3"/>
  <c r="F72" i="3"/>
  <c r="F73" i="3"/>
  <c r="F74" i="3"/>
  <c r="F75" i="3"/>
  <c r="F76" i="3"/>
  <c r="F77" i="3"/>
  <c r="F83" i="3"/>
  <c r="F84" i="3"/>
  <c r="F85" i="3"/>
  <c r="F86" i="3"/>
  <c r="F87" i="3"/>
  <c r="F88" i="3"/>
  <c r="F89" i="3"/>
  <c r="F90" i="3"/>
  <c r="F91" i="3"/>
  <c r="F93" i="3"/>
  <c r="F94" i="3"/>
  <c r="F95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30" i="3"/>
  <c r="E130" i="3" s="1"/>
  <c r="C130" i="3" s="1"/>
  <c r="F140" i="3"/>
  <c r="F142" i="3"/>
  <c r="F143" i="3"/>
  <c r="F144" i="3"/>
  <c r="F145" i="3"/>
  <c r="F146" i="3"/>
  <c r="F147" i="3"/>
  <c r="D147" i="3" s="1"/>
  <c r="C147" i="3" s="1"/>
  <c r="F148" i="3"/>
  <c r="F149" i="3"/>
  <c r="F150" i="3"/>
  <c r="F151" i="3"/>
  <c r="F152" i="3"/>
  <c r="F153" i="3"/>
  <c r="F154" i="3"/>
  <c r="F155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6" i="3"/>
  <c r="C27" i="3"/>
  <c r="C28" i="3"/>
  <c r="C29" i="3"/>
  <c r="C30" i="3"/>
  <c r="C31" i="3"/>
  <c r="C33" i="3"/>
  <c r="C34" i="3"/>
  <c r="C44" i="3"/>
  <c r="C45" i="3"/>
  <c r="C46" i="3"/>
  <c r="C48" i="3"/>
  <c r="C49" i="3"/>
  <c r="C51" i="3"/>
  <c r="C52" i="3"/>
  <c r="C53" i="3"/>
  <c r="C54" i="3"/>
  <c r="C57" i="3"/>
  <c r="C58" i="3"/>
  <c r="C59" i="3"/>
  <c r="C60" i="3"/>
  <c r="C61" i="3"/>
  <c r="C62" i="3"/>
  <c r="C63" i="3"/>
  <c r="C64" i="3"/>
  <c r="C65" i="3"/>
  <c r="C66" i="3"/>
  <c r="C67" i="3"/>
  <c r="C68" i="3"/>
  <c r="C70" i="3"/>
  <c r="C71" i="3"/>
  <c r="C72" i="3"/>
  <c r="C73" i="3"/>
  <c r="C74" i="3"/>
  <c r="C75" i="3"/>
  <c r="C76" i="3"/>
  <c r="C77" i="3"/>
  <c r="C83" i="3"/>
  <c r="H9" i="3"/>
  <c r="G9" i="3"/>
  <c r="E9" i="3"/>
  <c r="D9" i="3"/>
  <c r="F9" i="3" l="1"/>
  <c r="C9" i="3"/>
  <c r="G300" i="3"/>
  <c r="F300" i="3" s="1"/>
  <c r="G298" i="3"/>
  <c r="F298" i="3" s="1"/>
  <c r="G297" i="3"/>
  <c r="F297" i="3" s="1"/>
  <c r="F296" i="3"/>
  <c r="G295" i="3"/>
  <c r="F256" i="3"/>
  <c r="C256" i="3"/>
  <c r="F255" i="3"/>
  <c r="C255" i="3"/>
  <c r="F254" i="3"/>
  <c r="C254" i="3"/>
  <c r="F247" i="3"/>
  <c r="C247" i="3"/>
  <c r="H246" i="3"/>
  <c r="H244" i="3" s="1"/>
  <c r="F245" i="3"/>
  <c r="C245" i="3"/>
  <c r="F243" i="3"/>
  <c r="C243" i="3" s="1"/>
  <c r="C242" i="3"/>
  <c r="C241" i="3"/>
  <c r="F240" i="3"/>
  <c r="C240" i="3"/>
  <c r="F239" i="3"/>
  <c r="D239" i="3" s="1"/>
  <c r="F238" i="3"/>
  <c r="C238" i="3"/>
  <c r="G237" i="3"/>
  <c r="F237" i="3" s="1"/>
  <c r="F295" i="3" l="1"/>
  <c r="G293" i="3"/>
  <c r="G246" i="3"/>
  <c r="F246" i="3" s="1"/>
  <c r="E246" i="3" s="1"/>
  <c r="E244" i="3" s="1"/>
  <c r="F294" i="3"/>
  <c r="D237" i="3"/>
  <c r="C239" i="3"/>
  <c r="D300" i="3"/>
  <c r="C300" i="3" s="1"/>
  <c r="G244" i="3" l="1"/>
  <c r="F244" i="3" s="1"/>
  <c r="C246" i="3"/>
  <c r="C237" i="3"/>
  <c r="F290" i="3"/>
  <c r="D298" i="3"/>
  <c r="C298" i="3" s="1"/>
  <c r="D244" i="3" l="1"/>
  <c r="C244" i="3" s="1"/>
  <c r="F289" i="3"/>
  <c r="F293" i="3"/>
  <c r="D297" i="3"/>
  <c r="C297" i="3" s="1"/>
  <c r="C296" i="3" l="1"/>
  <c r="F288" i="3" l="1"/>
  <c r="D295" i="3"/>
  <c r="F287" i="3"/>
  <c r="D293" i="3" l="1"/>
  <c r="C295" i="3"/>
  <c r="F286" i="3"/>
  <c r="C294" i="3"/>
  <c r="C293" i="3" l="1"/>
  <c r="C290" i="3"/>
  <c r="F285" i="3"/>
  <c r="F284" i="3" l="1"/>
  <c r="C289" i="3"/>
  <c r="C288" i="3" l="1"/>
  <c r="F283" i="3"/>
  <c r="C287" i="3" l="1"/>
  <c r="F282" i="3"/>
  <c r="F281" i="3" l="1"/>
  <c r="C285" i="3"/>
  <c r="C284" i="3" l="1"/>
  <c r="F280" i="3"/>
  <c r="F279" i="3" l="1"/>
  <c r="C283" i="3"/>
  <c r="F278" i="3" l="1"/>
  <c r="C282" i="3"/>
  <c r="C281" i="3" l="1"/>
  <c r="F277" i="3"/>
  <c r="F276" i="3" l="1"/>
  <c r="C280" i="3"/>
  <c r="C279" i="3" l="1"/>
  <c r="F275" i="3"/>
  <c r="F274" i="3" l="1"/>
  <c r="C278" i="3"/>
  <c r="F273" i="3" l="1"/>
  <c r="C277" i="3"/>
  <c r="C276" i="3" l="1"/>
  <c r="F272" i="3"/>
  <c r="F271" i="3" l="1"/>
  <c r="C275" i="3"/>
  <c r="C274" i="3" l="1"/>
  <c r="F270" i="3"/>
  <c r="C273" i="3" l="1"/>
  <c r="F269" i="3"/>
  <c r="F268" i="3"/>
  <c r="C272" i="3" l="1"/>
  <c r="F267" i="3" l="1"/>
  <c r="C271" i="3"/>
  <c r="C270" i="3" l="1"/>
  <c r="F266" i="3"/>
  <c r="C269" i="3" l="1"/>
  <c r="F265" i="3"/>
  <c r="F264" i="3" l="1"/>
  <c r="C268" i="3"/>
  <c r="C267" i="3" l="1"/>
  <c r="F262" i="3" l="1"/>
  <c r="F261" i="3"/>
  <c r="C266" i="3"/>
  <c r="C265" i="3" l="1"/>
  <c r="C264" i="3" l="1"/>
  <c r="C263" i="3" l="1"/>
  <c r="C261" i="3"/>
</calcChain>
</file>

<file path=xl/sharedStrings.xml><?xml version="1.0" encoding="utf-8"?>
<sst xmlns="http://schemas.openxmlformats.org/spreadsheetml/2006/main" count="337" uniqueCount="204">
  <si>
    <t>Total</t>
  </si>
  <si>
    <t>Source:  Maldives Customs Services</t>
  </si>
  <si>
    <t>wlcmuj</t>
  </si>
  <si>
    <t>-</t>
  </si>
  <si>
    <t>Items</t>
  </si>
  <si>
    <r>
      <t xml:space="preserve">      Quantity  </t>
    </r>
    <r>
      <rPr>
        <b/>
        <sz val="10"/>
        <rFont val="A_Ilham"/>
      </rPr>
      <t>urwvcnim</t>
    </r>
  </si>
  <si>
    <t xml:space="preserve">        Value (in MVR. '000)</t>
  </si>
  <si>
    <t>(cniaWyifur '000) ugwa</t>
  </si>
  <si>
    <t>wlcaimwa</t>
  </si>
  <si>
    <t>urWkurws</t>
  </si>
  <si>
    <t>Private</t>
  </si>
  <si>
    <t>Government</t>
  </si>
  <si>
    <t>Metric tons</t>
  </si>
  <si>
    <t>Fresh or Chilled Tuna</t>
  </si>
  <si>
    <t xml:space="preserve">Fresh or Chilled Yellowfin Tuna </t>
  </si>
  <si>
    <t>Fresh or Chilled Yellowfin Tuna Loins</t>
  </si>
  <si>
    <t>Fresh or Chilled Skipjack Loins</t>
  </si>
  <si>
    <t>Fresh Or Chilled Skipjack Or Stripe-Bellied Bonito</t>
  </si>
  <si>
    <t>Belly Flap (Yellowfin Tuna) Fresh or Chilled</t>
  </si>
  <si>
    <t>Fresh Or Chilled Big eye Tunas (Thunnus Obesus)</t>
  </si>
  <si>
    <t>Fresh Or Chilled Albacore Or Longfinned Tunas</t>
  </si>
  <si>
    <t>Yellowfin Tuna Steak (Fresh Or Chilled)</t>
  </si>
  <si>
    <t>Yellowfin Tuna Fillet (Fresh Or Chilled)</t>
  </si>
  <si>
    <t>Yellowfin Tuna Chunk (Fresh Or Chilled)</t>
  </si>
  <si>
    <t>Minced Yellowfin Tuna Minced (Fresh Or Chilled)</t>
  </si>
  <si>
    <t>Tuna Belly Flap (Fresh Or Chilled)</t>
  </si>
  <si>
    <t>Fresh or Chilled Reef Fish</t>
  </si>
  <si>
    <t>Grouper (Fresh or Chilled)</t>
  </si>
  <si>
    <t>Grouper Fillet( Fresh Or Chilled ).</t>
  </si>
  <si>
    <t>Fresh Or Chilled Swordfish (Xiphias Gladius).</t>
  </si>
  <si>
    <t>Fillet Of Swordfish (Xiphias Gladius) , Fresh Or Chilled</t>
  </si>
  <si>
    <t>Marlin ( Fresh Or Chilled )</t>
  </si>
  <si>
    <t>Bigeye Tuna Loins (Fresh Or Chilled)</t>
  </si>
  <si>
    <t>Marlin Loin (Fresh Or Chilled)</t>
  </si>
  <si>
    <t>Reef Fish Loin (Fresh Or Chilled)</t>
  </si>
  <si>
    <t>Reef Fish (Fresh or Chilled)</t>
  </si>
  <si>
    <t>Fresh Or Chilled Meat And Loins Of Swordfish(Xiphias Gladius)</t>
  </si>
  <si>
    <t>Frozen Fish</t>
  </si>
  <si>
    <t>Yellowfin Tuna (Frozen)</t>
  </si>
  <si>
    <t>Yellowfin Tuna Loins (Frozen)</t>
  </si>
  <si>
    <t>Frozen Albacore Or Longfinned Tunas</t>
  </si>
  <si>
    <t>Belly Flap (Yellowfin Tuna) Frozen</t>
  </si>
  <si>
    <t>Yellowfin Tuna Steak (Frozen)</t>
  </si>
  <si>
    <t>Yellowfin Tuna Chunk (Frozen)</t>
  </si>
  <si>
    <t>Yellowfin Tuna Fillet (Frozen)</t>
  </si>
  <si>
    <t>Skipjack (Frozen)</t>
  </si>
  <si>
    <t>Skipjack Fillet (Frozen)</t>
  </si>
  <si>
    <t>Frozen Bigeye Tuna</t>
  </si>
  <si>
    <t>Other Frozen Fish Fillets Of Tuna Nes</t>
  </si>
  <si>
    <t>Frozen Swordfish (Xiphias Gladius)</t>
  </si>
  <si>
    <t>Marlin (Frozen)</t>
  </si>
  <si>
    <t>Reef Fish ( Frozen ) Not Specified</t>
  </si>
  <si>
    <t>Yellowfin Tuna Head (Frozen)</t>
  </si>
  <si>
    <t>Frozen Fish Nes</t>
  </si>
  <si>
    <t>Marlin Lion(Frozen)</t>
  </si>
  <si>
    <t>Dried Fish</t>
  </si>
  <si>
    <t>Skipjack (Dried)</t>
  </si>
  <si>
    <t xml:space="preserve">Fish Chips ( Skipjack , Tuna ) Dried </t>
  </si>
  <si>
    <t>Salted Dried Fish</t>
  </si>
  <si>
    <t>Skipjack (Salted Dried)</t>
  </si>
  <si>
    <t>Reef Fish (Salted Dried)</t>
  </si>
  <si>
    <t>Vahoo (Salted Dried)</t>
  </si>
  <si>
    <t>Rainbow Runner (Salted Dried)</t>
  </si>
  <si>
    <t>Jack (Salted Dried)</t>
  </si>
  <si>
    <t>Marlin (Salted Dried)</t>
  </si>
  <si>
    <t>Dolphin Fish (Salted Dried)</t>
  </si>
  <si>
    <t>Green Job Fish  (Salted Dried)</t>
  </si>
  <si>
    <t>Barracuda (Salted Dried)</t>
  </si>
  <si>
    <t>Dog Tooth Tuna (Salted) Kerawalla (Voshimas)</t>
  </si>
  <si>
    <t>Yellowfin Tuna (Salted, Dried)</t>
  </si>
  <si>
    <t>Bigeye Tuna(Salted,Dried)</t>
  </si>
  <si>
    <t>Sea Cucumber</t>
  </si>
  <si>
    <t>Sea Cucumber (Fresh Or Chilled)</t>
  </si>
  <si>
    <t>Sea Cucumber ( Dried )</t>
  </si>
  <si>
    <t>Canned Fish</t>
  </si>
  <si>
    <t>Yellowfin Tuna (Canned, Prepared &amp; Preserved)</t>
  </si>
  <si>
    <t>Skipjack (Prepared, Preserved)</t>
  </si>
  <si>
    <t>Numbers</t>
  </si>
  <si>
    <t>Live Reef Fish</t>
  </si>
  <si>
    <t>Live Ornamental Fish</t>
  </si>
  <si>
    <t>Reef Fish ( Live ) Edible</t>
  </si>
  <si>
    <t>Grouper (Live)</t>
  </si>
  <si>
    <t>Live Turtle</t>
  </si>
  <si>
    <t>Fish Meal</t>
  </si>
  <si>
    <t>Fish Meal ( Frozen &amp; Cooked Fit For Human Consumption )</t>
  </si>
  <si>
    <t>Fish Meal ( Fit For Human Consumption )</t>
  </si>
  <si>
    <t>Flours, Meals And Pellets Of Fish, Etc, Unfit For Human Consumption</t>
  </si>
  <si>
    <t>Other Marine Products</t>
  </si>
  <si>
    <t>Skipjack (Smoked)</t>
  </si>
  <si>
    <t>Fish Chips (Skipjack,Tuna) Smoked</t>
  </si>
  <si>
    <t>Food Preparations, Nes</t>
  </si>
  <si>
    <t>Yellowfin Tuna Loins (Steamed)</t>
  </si>
  <si>
    <t>Yellowfin Tuna Fillet (Smoked)</t>
  </si>
  <si>
    <t>Skipjack Loins (Steamed)</t>
  </si>
  <si>
    <t xml:space="preserve">Reef Fish dried (whether or not salted) </t>
  </si>
  <si>
    <t>Fish Paste</t>
  </si>
  <si>
    <t>Other products</t>
  </si>
  <si>
    <t>Nuts (Fresh Or Dried) Not Specified</t>
  </si>
  <si>
    <t>Dates, Fresh Or Dried</t>
  </si>
  <si>
    <t>Natural Sand  (Excl, River Sand)</t>
  </si>
  <si>
    <t>Limestone flux; Limestone and other calcareous stone</t>
  </si>
  <si>
    <t xml:space="preserve">Rubber band </t>
  </si>
  <si>
    <t>Liters</t>
  </si>
  <si>
    <t>Coconut (Copra) Oil (Excl.Crude) &amp;Its Fractions,Refined/Not, Not Chemical</t>
  </si>
  <si>
    <t>Waste</t>
  </si>
  <si>
    <t>Waste Oil, Nes</t>
  </si>
  <si>
    <t>Waste Paper</t>
  </si>
  <si>
    <t>Cartons, Boxes And Cases, Of Corrugated Paper Or Paperboard</t>
  </si>
  <si>
    <t>Plastic waste &amp; Scrap</t>
  </si>
  <si>
    <t>Household And Toilet Articles Of Plastics, Nes</t>
  </si>
  <si>
    <t>Waste And Scrap of Alloy Steel (Excl. Stainless)</t>
  </si>
  <si>
    <t>Waste And Scrap Of Cast Iron</t>
  </si>
  <si>
    <t>Battery Waste</t>
  </si>
  <si>
    <t>Copper Waste And Scrap</t>
  </si>
  <si>
    <t>Aluminium Waste And Scrap</t>
  </si>
  <si>
    <t>Articles Of hard rubber, Nes</t>
  </si>
  <si>
    <t>Articles Of iron, steel or stainless steel</t>
  </si>
  <si>
    <t>Live Mammals (Other)</t>
  </si>
  <si>
    <t>Live Rabbits &amp; Hares</t>
  </si>
  <si>
    <t xml:space="preserve">Tuna Fillets (Fresh Or Chilled) Nes </t>
  </si>
  <si>
    <t>Table  15.3 :  EXPORTS BY COMMODITY, 2023</t>
  </si>
  <si>
    <t>2023,cawtctwvWb unuverukurEb cnEjcaWr : 15.3 ulwvWt</t>
  </si>
  <si>
    <t>WASTE AND SCRAP OF STAINLESS STEEL</t>
  </si>
  <si>
    <t>RECOVERED (WASTE/SCRAP) PAPER OR PAPERBOARD MADE MAINLY OF MECHANICAL PULP</t>
  </si>
  <si>
    <t>LEAD WASTE AND SCRAP</t>
  </si>
  <si>
    <t>OTHER WASTE &amp; SCRAP OF PRIMARY CELLS, PRIMARY BATTERIES &amp; ELECTRIC ACCUMULATORS, NES</t>
  </si>
  <si>
    <t>BALL-POINT PENS</t>
  </si>
  <si>
    <t>BEEF (PREPARED,PRESERVED)</t>
  </si>
  <si>
    <t>CARBONDIOXIDE</t>
  </si>
  <si>
    <t>CONTAINERS FOR COMPRESSED OR LIQUEFIED GAS, OF IRON OR STEEL</t>
  </si>
  <si>
    <t>DRUM OF IRON OR STEEL 50-300LTRS</t>
  </si>
  <si>
    <t>INSTRUMENTS... AND MODELS, DESIGNED ONLY FOR DEMONSTRATION (OTHER THAN EDUCATIONAL)</t>
  </si>
  <si>
    <t>INSULATED CABLES FOR A VOLTAGE NOT EXCEEDING 1,000 V (NOT FITTED WITH CONNECTORS)</t>
  </si>
  <si>
    <t>LIGHT-EMITTING DIODE (LED) LAMPS</t>
  </si>
  <si>
    <t>MACHINES AND MECHANICAL APPLIANCES HAVING INDIVIDUAL FUNCTIONS, NES</t>
  </si>
  <si>
    <t>MINERAL WATERS IN PACKAGING OTHER THAN PLASTIC AND GLASS</t>
  </si>
  <si>
    <t>MOULD FOR PLASTIC</t>
  </si>
  <si>
    <t>OTHER BREAD,ETC,NES,COMMUNION WAFERS,RICE PAPER,ETC</t>
  </si>
  <si>
    <t>OTHER DRINKING WATER NOT CONTAINING SWEETENING MATTER OR FLAVOUR IN OTHER PACKAGING</t>
  </si>
  <si>
    <t>OTHER DRINKING WATER NOT CONTAINING SWEETENING MATTER OR FLAVOUR IN PLASTIC PACKAGING</t>
  </si>
  <si>
    <t>OTHER FLAT PANEL DISPLAY MODULES OF OLED WITH DRIVERS OR CONTROL CIRCUITS</t>
  </si>
  <si>
    <t>OTHER PARTS SUITABLE FOR USE SOLELY OR PRINCIPALLY WITH APPRATUS OF 85.24 TO 85.28</t>
  </si>
  <si>
    <t>OTHER UNSWEETENED WATERS;ICE AND SNOW</t>
  </si>
  <si>
    <t>OTHER VEGETABLES PREPARED OR PRESERVED OTHER THAN BY VINEGAR ..., NOT FROZEN, NES</t>
  </si>
  <si>
    <t>PAINTINGS, DRAWINGS AND PASTELS,OTHER THAN HAND-PAINTED...AGE NOT EXCEEDING 100 YEARS</t>
  </si>
  <si>
    <t>PIPES &amp; TUBES (FLEXIBLE) OF PVC</t>
  </si>
  <si>
    <t>PLUGS (EXCL. FOR VEHICLS) =&lt;1000V</t>
  </si>
  <si>
    <t>SNACKS</t>
  </si>
  <si>
    <t>SOLDERING GUN / HEATING GUN PARTS</t>
  </si>
  <si>
    <t>SPICE MIXTURES</t>
  </si>
  <si>
    <t>STATUETTES AND OTHER ORNAMENTS OF OTHER WOOD, NES</t>
  </si>
  <si>
    <t>STATUETTES AND OTHER ORNAMENTS OF TROPICAL WOOD</t>
  </si>
  <si>
    <t>SWEET BISCUITS</t>
  </si>
  <si>
    <t>SWIVEL CLAMP (FOR TUBES &amp; PIPES) OF IRON OR STEEL</t>
  </si>
  <si>
    <t>VEGETABLES ( DRIED ) NOT SPECIFIED</t>
  </si>
  <si>
    <r>
      <rPr>
        <b/>
        <sz val="11"/>
        <rFont val="Calibri"/>
        <family val="2"/>
        <scheme val="minor"/>
      </rPr>
      <t xml:space="preserve">Marine products                                                                                                        </t>
    </r>
    <r>
      <rPr>
        <b/>
        <i/>
        <sz val="11"/>
        <rFont val="Calibri"/>
        <family val="2"/>
        <scheme val="minor"/>
      </rPr>
      <t>Metric tons</t>
    </r>
  </si>
  <si>
    <t>Table  15.3 :  EXPORTS BY COMMODITY, 2024</t>
  </si>
  <si>
    <t>2024,cawtctwvWb unuverukurEb cnEjcaWr : 15.3 ulwvWt</t>
  </si>
  <si>
    <t>YELLOWFIN TUNA LOIN (FROZEN)</t>
  </si>
  <si>
    <r>
      <rPr>
        <b/>
        <sz val="11"/>
        <rFont val="Calibri"/>
        <family val="2"/>
        <scheme val="minor"/>
      </rPr>
      <t xml:space="preserve">Marine products                                                                                                   </t>
    </r>
    <r>
      <rPr>
        <b/>
        <i/>
        <sz val="11"/>
        <rFont val="Calibri"/>
        <family val="2"/>
        <scheme val="minor"/>
      </rPr>
      <t>kgs</t>
    </r>
  </si>
  <si>
    <t>Flours, Meals And Pellets Of Fish, Etc,  For Human Consumption</t>
  </si>
  <si>
    <t>OTHER WASTE AND SCRAP OF IRON OR STEEL NOT ELSEWHERE SPECIFIED</t>
  </si>
  <si>
    <t>WASTE AND SCRAP OF LEAD-ACID ACCUMULATORS; SPENT LEAD-ACID ACCUMULATORS</t>
  </si>
  <si>
    <t>ARTICLES OF PLASTIC,NES</t>
  </si>
  <si>
    <t>OTHER ORNAMENTAL CERAMIC ARTICLES NES</t>
  </si>
  <si>
    <t>ARTICLES OF GLASS FIBRES, NES (OTHER THAN FOR BOAT BUILDING INDUSTRY)</t>
  </si>
  <si>
    <t>ARECA NUTS (FRESH OR DRIED)</t>
  </si>
  <si>
    <t>BOAT</t>
  </si>
  <si>
    <t>BROCHURES, LEAFLETS AND SIMILAR PRINTED MATTER, ( EXCL. SINGLE SHEETS)</t>
  </si>
  <si>
    <t>CASES  &amp; CONTAINERS, WITH OUTER SURFACE OF PLASTIC...NES  (EXCL TEXTILE SHOPPING BAG)</t>
  </si>
  <si>
    <t>CHILLIE SAUCE</t>
  </si>
  <si>
    <t>EARTH</t>
  </si>
  <si>
    <t>EXERCISE BOOK, MONITOR BOOK, DRAWING BOOK AND OTHER SIMILAR BOOKS</t>
  </si>
  <si>
    <t>FLAG OF TEXTILE MATERIALS</t>
  </si>
  <si>
    <t>FLOWERS OF OTHER MATERIALS</t>
  </si>
  <si>
    <t>FOOD PREPARATIONS, NES</t>
  </si>
  <si>
    <t>GLASS STATUETTES AND OTHER ORNAMENTS OF LAMP-WORKED GLASS,  NES</t>
  </si>
  <si>
    <t>MATS, MATTING AND SCREENS OF VEGETABLE MATERIALS.</t>
  </si>
  <si>
    <t>MOTORBOATS, OTHER THAN INFLATABLE, EXCLUDING OUTBOARD MOTORBOATS &gt; 7.5M BUT &lt;=24M</t>
  </si>
  <si>
    <t>OTHER GLASSWARE FOR TOILET, OFFICE, INDOOR DECORATIONS, ETC, OF GLASS, NES</t>
  </si>
  <si>
    <t>OTHER PLYWOOD THICKNESS EXCEEDING 6MM WITH BOTH OUTER PLIES OF CONIFEROUS WOOD</t>
  </si>
  <si>
    <t>POLYETHYLENE HAVING A SPECIFIC GRAVITY &gt;=0.94, IN PRIMARY FORMS</t>
  </si>
  <si>
    <t>PVP IODINE SWAB</t>
  </si>
  <si>
    <t>SARONG (MUNDU) &amp; LUNGIES (ANNA FOTHIGAN'DU),NOT KNITTED OR CROCHETED</t>
  </si>
  <si>
    <t>SEA BED</t>
  </si>
  <si>
    <t>TANKS OF GLASS</t>
  </si>
  <si>
    <t>TEXTILE FABRIC IMPREGNATED, COATED,COVERED OR ....(OTHER THAN FOR SEWING INDUSTRY)</t>
  </si>
  <si>
    <t>WASTE, PARINGS AND SCRAP, OF OTHER PLASTICS, NES</t>
  </si>
  <si>
    <t>WATER SPORTS EQUIPMENT (NOT SPECIFIED)</t>
  </si>
  <si>
    <t>WOOD MARQUETRY,INLAID WOOD;CASKETS AND SIMILAR CASES OF WOOD, NES</t>
  </si>
  <si>
    <t>BIGEYE TUNA (CANNED) PROCESSED OR PRESERVED</t>
  </si>
  <si>
    <t>CRABS ( LIVE )</t>
  </si>
  <si>
    <t>OTHER SHRIMPS AND PRAWNS, NES (EXCL LIVE FRESH, CHILLED OR FROZEN)</t>
  </si>
  <si>
    <t>BIGEYE TUNA LOIN (FROZEN)</t>
  </si>
  <si>
    <t>FROZEN FISH MEAT OF TUNAS (CARBON MONOXIDE (CO) TREATED)</t>
  </si>
  <si>
    <t>FROZEN FISH MEAT OF TUNAS, NES</t>
  </si>
  <si>
    <t>FROZEN GROUPER</t>
  </si>
  <si>
    <t>FROZEN LOINS OF SKIPJACK TUNA (STRIPE-BELLIED BONITO) (KATSUWONUS PELAMIS)</t>
  </si>
  <si>
    <t>FROZEN SKIPJACK TUNA (STRIPE-BELLIED BONITO) (KATSUWONUS PELAMIS)</t>
  </si>
  <si>
    <t>OTHER FROZEN FISH FILLETS AND MEATS OF TUNAS, NES</t>
  </si>
  <si>
    <t>YELLOWFIN TUNA (FROZEN)</t>
  </si>
  <si>
    <t>YELLOWFIN TUNA CHUNK (FROZEN)</t>
  </si>
  <si>
    <t>YELLOWFIN TUNA FILLET (FROZEN)</t>
  </si>
  <si>
    <t>YELLOWFIN TUNA STEAK (FROZEN)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</si>
</sst>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5" formatCode="#,##0.0"/>
    <numFmt numFmtId="168" formatCode="_(* #,##0_);_(* \(#,##0\);_(* &quot;-&quot;??_);_(@_)"/>
    <numFmt numFmtId="172" formatCode="_-* #,##0.00\ _ރ_._-;_-* #,##0.00\ _ރ_.\-;_-* &quot;-&quot;??\ _ރ_._-;_-@_-"/>
    <numFmt numFmtId="173" formatCode="0.00_)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_Randhoo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sz val="10"/>
      <name val="A_Randhoo"/>
    </font>
    <font>
      <i/>
      <sz val="9"/>
      <name val="Calibri"/>
      <family val="2"/>
      <scheme val="minor"/>
    </font>
    <font>
      <b/>
      <sz val="12"/>
      <name val="Calibri"/>
      <family val="2"/>
    </font>
    <font>
      <sz val="11"/>
      <name val="Calibri"/>
      <family val="2"/>
    </font>
    <font>
      <b/>
      <sz val="10"/>
      <name val="A_Ilham"/>
    </font>
    <font>
      <b/>
      <sz val="10"/>
      <name val="A_Randhoo"/>
    </font>
    <font>
      <b/>
      <i/>
      <sz val="11"/>
      <name val="Calibri"/>
      <family val="2"/>
      <scheme val="minor"/>
    </font>
    <font>
      <sz val="10"/>
      <name val="Faruma"/>
      <charset val="1"/>
    </font>
    <font>
      <b/>
      <i/>
      <sz val="10"/>
      <name val="A_Randhoo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hair">
        <color indexed="64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/>
      <top style="thin">
        <color indexed="64"/>
      </top>
      <bottom style="hair">
        <color auto="1"/>
      </bottom>
      <diagonal/>
    </border>
  </borders>
  <cellStyleXfs count="70">
    <xf numFmtId="0" fontId="0" fillId="0" borderId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0" fontId="6" fillId="0" borderId="0"/>
    <xf numFmtId="9" fontId="6" fillId="0" borderId="0" applyFont="0" applyFill="0" applyBorder="0" applyAlignment="0" applyProtection="0"/>
    <xf numFmtId="0" fontId="20" fillId="0" borderId="8" applyNumberFormat="0" applyFill="0" applyAlignment="0" applyProtection="0"/>
    <xf numFmtId="0" fontId="21" fillId="0" borderId="9" applyNumberFormat="0" applyFill="0" applyAlignment="0" applyProtection="0"/>
    <xf numFmtId="0" fontId="22" fillId="0" borderId="10" applyNumberFormat="0" applyFill="0" applyAlignment="0" applyProtection="0"/>
    <xf numFmtId="0" fontId="22" fillId="0" borderId="0" applyNumberFormat="0" applyFill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0" applyNumberFormat="0" applyBorder="0" applyAlignment="0" applyProtection="0"/>
    <xf numFmtId="0" fontId="26" fillId="6" borderId="11" applyNumberFormat="0" applyAlignment="0" applyProtection="0"/>
    <xf numFmtId="0" fontId="27" fillId="7" borderId="12" applyNumberFormat="0" applyAlignment="0" applyProtection="0"/>
    <xf numFmtId="0" fontId="28" fillId="7" borderId="11" applyNumberFormat="0" applyAlignment="0" applyProtection="0"/>
    <xf numFmtId="0" fontId="29" fillId="0" borderId="13" applyNumberFormat="0" applyFill="0" applyAlignment="0" applyProtection="0"/>
    <xf numFmtId="0" fontId="30" fillId="8" borderId="14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2" fillId="0" borderId="16" applyNumberFormat="0" applyFill="0" applyAlignment="0" applyProtection="0"/>
    <xf numFmtId="0" fontId="33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3" fillId="21" borderId="0" applyNumberFormat="0" applyBorder="0" applyAlignment="0" applyProtection="0"/>
    <xf numFmtId="0" fontId="33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3" fillId="25" borderId="0" applyNumberFormat="0" applyBorder="0" applyAlignment="0" applyProtection="0"/>
    <xf numFmtId="0" fontId="33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3" fillId="29" borderId="0" applyNumberFormat="0" applyBorder="0" applyAlignment="0" applyProtection="0"/>
    <xf numFmtId="0" fontId="33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3" fillId="33" borderId="0" applyNumberFormat="0" applyBorder="0" applyAlignment="0" applyProtection="0"/>
    <xf numFmtId="0" fontId="34" fillId="0" borderId="0"/>
    <xf numFmtId="0" fontId="6" fillId="0" borderId="0"/>
    <xf numFmtId="172" fontId="6" fillId="0" borderId="0" applyFont="0" applyFill="0" applyBorder="0" applyAlignment="0" applyProtection="0"/>
    <xf numFmtId="173" fontId="35" fillId="0" borderId="0"/>
    <xf numFmtId="0" fontId="36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15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15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7" fillId="34" borderId="0" applyNumberFormat="0" applyBorder="0" applyAlignment="0" applyProtection="0"/>
  </cellStyleXfs>
  <cellXfs count="65">
    <xf numFmtId="0" fontId="0" fillId="0" borderId="0" xfId="0"/>
    <xf numFmtId="0" fontId="7" fillId="2" borderId="2" xfId="0" applyFont="1" applyFill="1" applyBorder="1" applyAlignment="1">
      <alignment horizontal="right" vertical="center"/>
    </xf>
    <xf numFmtId="0" fontId="12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horizontal="right" vertical="center"/>
    </xf>
    <xf numFmtId="0" fontId="7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165" fontId="4" fillId="2" borderId="0" xfId="2" applyNumberFormat="1" applyFont="1" applyFill="1" applyBorder="1" applyAlignment="1">
      <alignment vertical="center"/>
    </xf>
    <xf numFmtId="0" fontId="11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horizontal="right"/>
    </xf>
    <xf numFmtId="0" fontId="19" fillId="2" borderId="0" xfId="0" applyFont="1" applyFill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6" fillId="2" borderId="0" xfId="0" applyFont="1" applyFill="1" applyAlignment="1">
      <alignment horizontal="right" vertical="center" readingOrder="1"/>
    </xf>
    <xf numFmtId="0" fontId="16" fillId="2" borderId="0" xfId="0" applyFont="1" applyFill="1" applyAlignment="1">
      <alignment horizontal="right" vertical="top"/>
    </xf>
    <xf numFmtId="0" fontId="10" fillId="2" borderId="0" xfId="0" applyFont="1" applyFill="1"/>
    <xf numFmtId="3" fontId="3" fillId="2" borderId="0" xfId="0" applyNumberFormat="1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7" fillId="2" borderId="3" xfId="0" applyFont="1" applyFill="1" applyBorder="1" applyAlignment="1">
      <alignment horizontal="right" vertical="center"/>
    </xf>
    <xf numFmtId="43" fontId="5" fillId="2" borderId="0" xfId="1" applyFont="1" applyFill="1" applyBorder="1" applyAlignment="1">
      <alignment vertical="center"/>
    </xf>
    <xf numFmtId="43" fontId="5" fillId="2" borderId="5" xfId="1" applyFont="1" applyFill="1" applyBorder="1" applyAlignment="1">
      <alignment vertical="center"/>
    </xf>
    <xf numFmtId="1" fontId="6" fillId="2" borderId="0" xfId="0" applyNumberFormat="1" applyFont="1" applyFill="1"/>
    <xf numFmtId="43" fontId="4" fillId="2" borderId="0" xfId="1" applyFont="1" applyFill="1" applyBorder="1" applyAlignment="1">
      <alignment vertical="center"/>
    </xf>
    <xf numFmtId="0" fontId="17" fillId="2" borderId="0" xfId="0" applyFont="1" applyFill="1" applyAlignment="1">
      <alignment vertical="center"/>
    </xf>
    <xf numFmtId="1" fontId="5" fillId="2" borderId="0" xfId="0" applyNumberFormat="1" applyFont="1" applyFill="1" applyAlignment="1">
      <alignment vertical="center"/>
    </xf>
    <xf numFmtId="0" fontId="14" fillId="2" borderId="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right" vertical="center"/>
    </xf>
    <xf numFmtId="1" fontId="5" fillId="2" borderId="0" xfId="0" applyNumberFormat="1" applyFont="1" applyFill="1" applyAlignment="1">
      <alignment vertical="center" wrapText="1"/>
    </xf>
    <xf numFmtId="0" fontId="17" fillId="2" borderId="0" xfId="0" applyFont="1" applyFill="1" applyAlignment="1">
      <alignment horizontal="center" vertical="center"/>
    </xf>
    <xf numFmtId="168" fontId="17" fillId="2" borderId="0" xfId="2" applyNumberFormat="1" applyFont="1" applyFill="1" applyBorder="1" applyAlignment="1">
      <alignment horizontal="center" vertical="center"/>
    </xf>
    <xf numFmtId="1" fontId="10" fillId="2" borderId="0" xfId="0" applyNumberFormat="1" applyFont="1" applyFill="1" applyAlignment="1">
      <alignment vertical="center"/>
    </xf>
    <xf numFmtId="43" fontId="17" fillId="2" borderId="0" xfId="1" applyFont="1" applyFill="1" applyBorder="1" applyAlignment="1">
      <alignment vertical="center"/>
    </xf>
    <xf numFmtId="0" fontId="8" fillId="2" borderId="17" xfId="0" applyFont="1" applyFill="1" applyBorder="1" applyAlignment="1">
      <alignment horizontal="left" vertical="center"/>
    </xf>
    <xf numFmtId="0" fontId="16" fillId="2" borderId="17" xfId="0" applyFont="1" applyFill="1" applyBorder="1" applyAlignment="1">
      <alignment horizontal="right" vertical="center"/>
    </xf>
    <xf numFmtId="0" fontId="16" fillId="2" borderId="5" xfId="0" applyFont="1" applyFill="1" applyBorder="1" applyAlignment="1">
      <alignment horizontal="right" vertical="center"/>
    </xf>
    <xf numFmtId="165" fontId="4" fillId="2" borderId="5" xfId="2" applyNumberFormat="1" applyFont="1" applyFill="1" applyBorder="1" applyAlignment="1">
      <alignment vertical="center"/>
    </xf>
    <xf numFmtId="43" fontId="4" fillId="2" borderId="5" xfId="1" applyFont="1" applyFill="1" applyBorder="1" applyAlignment="1">
      <alignment vertical="center"/>
    </xf>
    <xf numFmtId="43" fontId="5" fillId="2" borderId="2" xfId="1" applyFont="1" applyFill="1" applyBorder="1" applyAlignment="1">
      <alignment vertical="center"/>
    </xf>
    <xf numFmtId="0" fontId="8" fillId="2" borderId="17" xfId="0" applyFont="1" applyFill="1" applyBorder="1" applyAlignment="1">
      <alignment vertical="center"/>
    </xf>
    <xf numFmtId="43" fontId="5" fillId="2" borderId="0" xfId="1" applyFont="1" applyFill="1" applyBorder="1" applyAlignment="1">
      <alignment horizontal="right" vertical="center"/>
    </xf>
    <xf numFmtId="43" fontId="4" fillId="2" borderId="2" xfId="1" applyFont="1" applyFill="1" applyBorder="1" applyAlignment="1">
      <alignment vertical="center"/>
    </xf>
    <xf numFmtId="0" fontId="14" fillId="2" borderId="7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left" vertical="center"/>
    </xf>
    <xf numFmtId="0" fontId="16" fillId="2" borderId="6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65" fontId="4" fillId="2" borderId="6" xfId="2" applyNumberFormat="1" applyFont="1" applyFill="1" applyBorder="1" applyAlignment="1">
      <alignment vertical="center"/>
    </xf>
    <xf numFmtId="43" fontId="4" fillId="2" borderId="6" xfId="1" applyFont="1" applyFill="1" applyBorder="1" applyAlignment="1">
      <alignment vertical="center"/>
    </xf>
    <xf numFmtId="43" fontId="4" fillId="2" borderId="4" xfId="1" applyFont="1" applyFill="1" applyBorder="1" applyAlignment="1">
      <alignment vertical="center"/>
    </xf>
    <xf numFmtId="43" fontId="5" fillId="2" borderId="3" xfId="1" applyFont="1" applyFill="1" applyBorder="1" applyAlignment="1">
      <alignment vertical="center"/>
    </xf>
    <xf numFmtId="0" fontId="7" fillId="2" borderId="0" xfId="0" applyFont="1" applyFill="1" applyAlignment="1">
      <alignment horizontal="left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5" fillId="2" borderId="0" xfId="0" applyFont="1" applyFill="1"/>
    <xf numFmtId="0" fontId="5" fillId="2" borderId="0" xfId="0" applyFont="1" applyFill="1" applyAlignment="1">
      <alignment horizontal="center" vertical="center"/>
    </xf>
    <xf numFmtId="0" fontId="5" fillId="2" borderId="2" xfId="0" applyFont="1" applyFill="1" applyBorder="1"/>
  </cellXfs>
  <cellStyles count="70">
    <cellStyle name="1" xfId="46" xr:uid="{00000000-0005-0000-0000-000000000000}"/>
    <cellStyle name="20% - Accent1" xfId="22" builtinId="30" customBuiltin="1"/>
    <cellStyle name="20% - Accent1 2" xfId="57" xr:uid="{00000000-0005-0000-0000-000002000000}"/>
    <cellStyle name="20% - Accent2" xfId="26" builtinId="34" customBuiltin="1"/>
    <cellStyle name="20% - Accent2 2" xfId="59" xr:uid="{00000000-0005-0000-0000-000004000000}"/>
    <cellStyle name="20% - Accent3" xfId="30" builtinId="38" customBuiltin="1"/>
    <cellStyle name="20% - Accent3 2" xfId="61" xr:uid="{00000000-0005-0000-0000-000006000000}"/>
    <cellStyle name="20% - Accent4" xfId="34" builtinId="42" customBuiltin="1"/>
    <cellStyle name="20% - Accent4 2" xfId="63" xr:uid="{00000000-0005-0000-0000-000008000000}"/>
    <cellStyle name="20% - Accent5" xfId="38" builtinId="46" customBuiltin="1"/>
    <cellStyle name="20% - Accent5 2" xfId="65" xr:uid="{00000000-0005-0000-0000-00000A000000}"/>
    <cellStyle name="20% - Accent6" xfId="42" builtinId="50" customBuiltin="1"/>
    <cellStyle name="20% - Accent6 2" xfId="67" xr:uid="{00000000-0005-0000-0000-00000C000000}"/>
    <cellStyle name="40% - Accent1" xfId="23" builtinId="31" customBuiltin="1"/>
    <cellStyle name="40% - Accent1 2" xfId="58" xr:uid="{00000000-0005-0000-0000-00000E000000}"/>
    <cellStyle name="40% - Accent2" xfId="27" builtinId="35" customBuiltin="1"/>
    <cellStyle name="40% - Accent2 2" xfId="60" xr:uid="{00000000-0005-0000-0000-000010000000}"/>
    <cellStyle name="40% - Accent3" xfId="31" builtinId="39" customBuiltin="1"/>
    <cellStyle name="40% - Accent3 2" xfId="62" xr:uid="{00000000-0005-0000-0000-000012000000}"/>
    <cellStyle name="40% - Accent4" xfId="35" builtinId="43" customBuiltin="1"/>
    <cellStyle name="40% - Accent4 2" xfId="64" xr:uid="{00000000-0005-0000-0000-000014000000}"/>
    <cellStyle name="40% - Accent5" xfId="39" builtinId="47" customBuiltin="1"/>
    <cellStyle name="40% - Accent5 2" xfId="66" xr:uid="{00000000-0005-0000-0000-000016000000}"/>
    <cellStyle name="40% - Accent6" xfId="43" builtinId="51" customBuiltin="1"/>
    <cellStyle name="40% - Accent6 2" xfId="68" xr:uid="{00000000-0005-0000-0000-000018000000}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1 - 20%" xfId="69" xr:uid="{00000000-0005-0000-0000-000020000000}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1" builtinId="27" customBuiltin="1"/>
    <cellStyle name="Calculation" xfId="15" builtinId="22" customBuiltin="1"/>
    <cellStyle name="Check Cell" xfId="17" builtinId="23" customBuiltin="1"/>
    <cellStyle name="Comma" xfId="1" builtinId="3"/>
    <cellStyle name="Comma 2" xfId="47" xr:uid="{00000000-0005-0000-0000-00002A000000}"/>
    <cellStyle name="Comma 3" xfId="2" xr:uid="{00000000-0005-0000-0000-00002B000000}"/>
    <cellStyle name="Comma 4" xfId="51" xr:uid="{00000000-0005-0000-0000-00002C000000}"/>
    <cellStyle name="Comma 5" xfId="54" xr:uid="{00000000-0005-0000-0000-00002D000000}"/>
    <cellStyle name="Explanatory Text" xfId="19" builtinId="53" customBuiltin="1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" xfId="13" builtinId="20" customBuiltin="1"/>
    <cellStyle name="Linked Cell" xfId="16" builtinId="24" customBuiltin="1"/>
    <cellStyle name="Neutral" xfId="12" builtinId="28" customBuiltin="1"/>
    <cellStyle name="Normal" xfId="0" builtinId="0"/>
    <cellStyle name="Normal - Style1" xfId="48" xr:uid="{00000000-0005-0000-0000-00003A000000}"/>
    <cellStyle name="Normal 2" xfId="4" xr:uid="{00000000-0005-0000-0000-00003B000000}"/>
    <cellStyle name="Normal 3" xfId="50" xr:uid="{00000000-0005-0000-0000-00003C000000}"/>
    <cellStyle name="Normal 4" xfId="53" xr:uid="{00000000-0005-0000-0000-00003D000000}"/>
    <cellStyle name="Normal 5" xfId="3" xr:uid="{00000000-0005-0000-0000-00003E000000}"/>
    <cellStyle name="Normal 6" xfId="56" xr:uid="{00000000-0005-0000-0000-00003F000000}"/>
    <cellStyle name="Normal 7" xfId="45" xr:uid="{00000000-0005-0000-0000-000040000000}"/>
    <cellStyle name="Note 2" xfId="52" xr:uid="{00000000-0005-0000-0000-000044000000}"/>
    <cellStyle name="Note 3" xfId="55" xr:uid="{00000000-0005-0000-0000-000045000000}"/>
    <cellStyle name="Output" xfId="14" builtinId="21" customBuiltin="1"/>
    <cellStyle name="Percent 2" xfId="5" xr:uid="{00000000-0005-0000-0000-000048000000}"/>
    <cellStyle name="Title 2" xfId="49" xr:uid="{00000000-0005-0000-0000-000049000000}"/>
    <cellStyle name="Total" xfId="20" builtinId="25" customBuiltin="1"/>
    <cellStyle name="Warning Text" xfId="18" builtinId="11" customBuiltin="1"/>
  </cellStyles>
  <dxfs count="0"/>
  <tableStyles count="0" defaultTableStyle="TableStyleMedium2" defaultPivotStyle="PivotStyleLight16"/>
  <colors>
    <mruColors>
      <color rgb="FF9BC2E6"/>
      <color rgb="FF003399"/>
      <color rgb="FF33CCCC"/>
      <color rgb="FF7E5400"/>
      <color rgb="FFFFDF9F"/>
      <color rgb="FFAEAAAA"/>
      <color rgb="FFEEEEEE"/>
      <color rgb="FF009999"/>
      <color rgb="FF00DFDA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2:I319"/>
  <sheetViews>
    <sheetView tabSelected="1" zoomScaleNormal="100" workbookViewId="0">
      <selection activeCell="I10" sqref="I10"/>
    </sheetView>
  </sheetViews>
  <sheetFormatPr defaultRowHeight="15" x14ac:dyDescent="0.25"/>
  <cols>
    <col min="1" max="1" width="4.85546875" style="63" customWidth="1"/>
    <col min="2" max="2" width="70.140625" style="62" customWidth="1"/>
    <col min="3" max="8" width="22.85546875" style="62" customWidth="1"/>
    <col min="9" max="9" width="61.140625" style="62" bestFit="1" customWidth="1"/>
    <col min="10" max="16384" width="9.140625" style="62"/>
  </cols>
  <sheetData>
    <row r="2" spans="1:9" ht="19.5" x14ac:dyDescent="0.25">
      <c r="A2" s="57" t="s">
        <v>157</v>
      </c>
      <c r="B2" s="57"/>
      <c r="C2" s="57"/>
      <c r="D2" s="57"/>
      <c r="E2" s="57"/>
      <c r="F2" s="57"/>
      <c r="G2" s="57"/>
      <c r="H2" s="57"/>
      <c r="I2" s="15"/>
    </row>
    <row r="3" spans="1:9" ht="15.75" x14ac:dyDescent="0.25">
      <c r="A3" s="55" t="s">
        <v>156</v>
      </c>
      <c r="B3" s="55"/>
      <c r="C3" s="56"/>
      <c r="D3" s="56"/>
      <c r="E3" s="56"/>
      <c r="F3" s="56"/>
      <c r="G3" s="56"/>
      <c r="H3" s="56"/>
      <c r="I3" s="16"/>
    </row>
    <row r="4" spans="1:9" ht="15.75" x14ac:dyDescent="0.25">
      <c r="A4" s="25"/>
      <c r="B4" s="58" t="s">
        <v>4</v>
      </c>
      <c r="C4" s="60" t="s">
        <v>5</v>
      </c>
      <c r="D4" s="60"/>
      <c r="E4" s="60"/>
      <c r="F4" s="47" t="s">
        <v>6</v>
      </c>
      <c r="G4" s="43"/>
      <c r="H4" s="38" t="s">
        <v>7</v>
      </c>
      <c r="I4" s="3"/>
    </row>
    <row r="5" spans="1:9" ht="15.75" x14ac:dyDescent="0.25">
      <c r="A5" s="27"/>
      <c r="B5" s="54"/>
      <c r="C5" s="28" t="s">
        <v>2</v>
      </c>
      <c r="D5" s="28" t="s">
        <v>8</v>
      </c>
      <c r="E5" s="4" t="s">
        <v>9</v>
      </c>
      <c r="F5" s="48" t="s">
        <v>2</v>
      </c>
      <c r="G5" s="28" t="s">
        <v>8</v>
      </c>
      <c r="H5" s="28" t="s">
        <v>9</v>
      </c>
      <c r="I5" s="3"/>
    </row>
    <row r="6" spans="1:9" x14ac:dyDescent="0.25">
      <c r="A6" s="26"/>
      <c r="B6" s="59"/>
      <c r="C6" s="5" t="s">
        <v>0</v>
      </c>
      <c r="D6" s="5" t="s">
        <v>10</v>
      </c>
      <c r="E6" s="1" t="s">
        <v>11</v>
      </c>
      <c r="F6" s="49" t="s">
        <v>0</v>
      </c>
      <c r="G6" s="6" t="s">
        <v>10</v>
      </c>
      <c r="H6" s="6" t="s">
        <v>11</v>
      </c>
      <c r="I6" s="3"/>
    </row>
    <row r="7" spans="1:9" x14ac:dyDescent="0.25">
      <c r="A7" s="29"/>
      <c r="B7" s="30" t="s">
        <v>0</v>
      </c>
      <c r="C7" s="7"/>
      <c r="D7" s="7"/>
      <c r="E7" s="7"/>
      <c r="F7" s="50"/>
      <c r="G7" s="7"/>
      <c r="H7" s="7"/>
      <c r="I7" s="3"/>
    </row>
    <row r="8" spans="1:9" x14ac:dyDescent="0.25">
      <c r="A8" s="29"/>
      <c r="B8" s="31" t="s">
        <v>159</v>
      </c>
      <c r="C8" s="7"/>
      <c r="D8" s="7"/>
      <c r="E8" s="7"/>
      <c r="F8" s="50"/>
      <c r="G8" s="7"/>
      <c r="H8" s="7"/>
      <c r="I8" s="3"/>
    </row>
    <row r="9" spans="1:9" x14ac:dyDescent="0.25">
      <c r="A9" s="29"/>
      <c r="B9" s="22" t="s">
        <v>13</v>
      </c>
      <c r="C9" s="21">
        <f>D9+E9</f>
        <v>1824793.05</v>
      </c>
      <c r="D9" s="21">
        <f>SUM(D10:D23)</f>
        <v>1763477.05</v>
      </c>
      <c r="E9" s="21">
        <f>SUM(E10:E23)</f>
        <v>61316</v>
      </c>
      <c r="F9" s="51">
        <f>G9+H9</f>
        <v>119111726.65999998</v>
      </c>
      <c r="G9" s="21">
        <f>SUM(G10:G23)</f>
        <v>117971111.06999998</v>
      </c>
      <c r="H9" s="21">
        <f>SUM(H10:H23)</f>
        <v>1140615.5900000001</v>
      </c>
      <c r="I9" s="3"/>
    </row>
    <row r="10" spans="1:9" x14ac:dyDescent="0.25">
      <c r="A10" s="29">
        <v>1</v>
      </c>
      <c r="B10" s="23" t="s">
        <v>14</v>
      </c>
      <c r="C10" s="21">
        <f t="shared" ref="C10:C69" si="0">D10+E10</f>
        <v>356146.01</v>
      </c>
      <c r="D10" s="18">
        <v>356146.01</v>
      </c>
      <c r="E10" s="18">
        <v>0</v>
      </c>
      <c r="F10" s="51">
        <f t="shared" ref="F10:F69" si="1">G10+H10</f>
        <v>21054791.879999999</v>
      </c>
      <c r="G10" s="18">
        <v>21054791.879999999</v>
      </c>
      <c r="H10" s="18">
        <v>0</v>
      </c>
      <c r="I10" s="3"/>
    </row>
    <row r="11" spans="1:9" x14ac:dyDescent="0.25">
      <c r="A11" s="29">
        <v>2</v>
      </c>
      <c r="B11" s="23" t="s">
        <v>15</v>
      </c>
      <c r="C11" s="21">
        <f t="shared" si="0"/>
        <v>636291.11</v>
      </c>
      <c r="D11" s="18">
        <v>636291.11</v>
      </c>
      <c r="E11" s="18">
        <v>0</v>
      </c>
      <c r="F11" s="51">
        <f t="shared" si="1"/>
        <v>47038947.469999999</v>
      </c>
      <c r="G11" s="18">
        <v>47038947.469999999</v>
      </c>
      <c r="H11" s="18">
        <v>0</v>
      </c>
    </row>
    <row r="12" spans="1:9" x14ac:dyDescent="0.25">
      <c r="A12" s="29">
        <v>3</v>
      </c>
      <c r="B12" s="23" t="s">
        <v>16</v>
      </c>
      <c r="C12" s="21">
        <f t="shared" si="0"/>
        <v>188.37</v>
      </c>
      <c r="D12" s="18">
        <v>188.37</v>
      </c>
      <c r="E12" s="18">
        <v>0</v>
      </c>
      <c r="F12" s="51">
        <f t="shared" si="1"/>
        <v>1449.35</v>
      </c>
      <c r="G12" s="18">
        <v>1449.35</v>
      </c>
      <c r="H12" s="18">
        <v>0</v>
      </c>
      <c r="I12" s="3"/>
    </row>
    <row r="13" spans="1:9" x14ac:dyDescent="0.25">
      <c r="A13" s="29">
        <v>4</v>
      </c>
      <c r="B13" s="23" t="s">
        <v>17</v>
      </c>
      <c r="C13" s="21">
        <f t="shared" si="0"/>
        <v>517.35</v>
      </c>
      <c r="D13" s="18">
        <v>517.35</v>
      </c>
      <c r="E13" s="18">
        <v>0</v>
      </c>
      <c r="F13" s="51">
        <f t="shared" si="1"/>
        <v>13412.6</v>
      </c>
      <c r="G13" s="18">
        <v>13412.6</v>
      </c>
      <c r="H13" s="18">
        <v>0</v>
      </c>
      <c r="I13" s="3"/>
    </row>
    <row r="14" spans="1:9" x14ac:dyDescent="0.25">
      <c r="A14" s="29">
        <v>5</v>
      </c>
      <c r="B14" s="23" t="s">
        <v>18</v>
      </c>
      <c r="C14" s="21">
        <f t="shared" si="0"/>
        <v>7622.5</v>
      </c>
      <c r="D14" s="18">
        <v>7622.5</v>
      </c>
      <c r="E14" s="18">
        <v>0</v>
      </c>
      <c r="F14" s="51">
        <f t="shared" si="1"/>
        <v>333659.68</v>
      </c>
      <c r="G14" s="18">
        <v>333659.68</v>
      </c>
      <c r="H14" s="18">
        <v>0</v>
      </c>
      <c r="I14" s="3"/>
    </row>
    <row r="15" spans="1:9" x14ac:dyDescent="0.25">
      <c r="A15" s="29">
        <v>6</v>
      </c>
      <c r="B15" s="23" t="s">
        <v>19</v>
      </c>
      <c r="C15" s="21">
        <f t="shared" si="0"/>
        <v>61316</v>
      </c>
      <c r="D15" s="18">
        <v>0</v>
      </c>
      <c r="E15" s="18">
        <v>61316</v>
      </c>
      <c r="F15" s="51">
        <f t="shared" si="1"/>
        <v>1140615.5900000001</v>
      </c>
      <c r="G15" s="18">
        <v>0</v>
      </c>
      <c r="H15" s="18">
        <v>1140615.5900000001</v>
      </c>
      <c r="I15" s="3"/>
    </row>
    <row r="16" spans="1:9" x14ac:dyDescent="0.25">
      <c r="A16" s="29">
        <v>7</v>
      </c>
      <c r="B16" s="23" t="s">
        <v>20</v>
      </c>
      <c r="C16" s="21">
        <f t="shared" si="0"/>
        <v>3</v>
      </c>
      <c r="D16" s="18">
        <v>3</v>
      </c>
      <c r="E16" s="18">
        <v>0</v>
      </c>
      <c r="F16" s="51">
        <f t="shared" si="1"/>
        <v>868</v>
      </c>
      <c r="G16" s="18">
        <v>868</v>
      </c>
      <c r="H16" s="18">
        <v>0</v>
      </c>
      <c r="I16" s="3"/>
    </row>
    <row r="17" spans="1:9" x14ac:dyDescent="0.25">
      <c r="A17" s="29">
        <v>8</v>
      </c>
      <c r="B17" s="23" t="s">
        <v>21</v>
      </c>
      <c r="C17" s="21">
        <f t="shared" si="0"/>
        <v>7299.54</v>
      </c>
      <c r="D17" s="18">
        <v>7299.54</v>
      </c>
      <c r="E17" s="18">
        <v>0</v>
      </c>
      <c r="F17" s="51">
        <f t="shared" si="1"/>
        <v>722953.35</v>
      </c>
      <c r="G17" s="18">
        <v>722953.35</v>
      </c>
      <c r="H17" s="18">
        <v>0</v>
      </c>
      <c r="I17" s="3"/>
    </row>
    <row r="18" spans="1:9" x14ac:dyDescent="0.25">
      <c r="A18" s="29">
        <v>9</v>
      </c>
      <c r="B18" s="23" t="s">
        <v>22</v>
      </c>
      <c r="C18" s="21">
        <f t="shared" si="0"/>
        <v>2275.4499999999998</v>
      </c>
      <c r="D18" s="18">
        <v>2275.4499999999998</v>
      </c>
      <c r="E18" s="18">
        <v>0</v>
      </c>
      <c r="F18" s="51">
        <f t="shared" si="1"/>
        <v>212833.16</v>
      </c>
      <c r="G18" s="18">
        <v>212833.16</v>
      </c>
      <c r="H18" s="18">
        <v>0</v>
      </c>
      <c r="I18" s="3"/>
    </row>
    <row r="19" spans="1:9" x14ac:dyDescent="0.25">
      <c r="A19" s="29">
        <v>10</v>
      </c>
      <c r="B19" s="23" t="s">
        <v>23</v>
      </c>
      <c r="C19" s="21">
        <f t="shared" si="0"/>
        <v>753113.50000000012</v>
      </c>
      <c r="D19" s="18">
        <v>753113.50000000012</v>
      </c>
      <c r="E19" s="18">
        <v>0</v>
      </c>
      <c r="F19" s="51">
        <f t="shared" si="1"/>
        <v>48590744.5</v>
      </c>
      <c r="G19" s="18">
        <v>48590744.5</v>
      </c>
      <c r="H19" s="18">
        <v>0</v>
      </c>
      <c r="I19" s="3"/>
    </row>
    <row r="20" spans="1:9" x14ac:dyDescent="0.25">
      <c r="A20" s="29">
        <v>11</v>
      </c>
      <c r="B20" s="62" t="s">
        <v>24</v>
      </c>
      <c r="C20" s="21">
        <f t="shared" si="0"/>
        <v>0</v>
      </c>
      <c r="D20" s="18">
        <v>0</v>
      </c>
      <c r="E20" s="18">
        <v>0</v>
      </c>
      <c r="F20" s="51">
        <f t="shared" si="1"/>
        <v>0</v>
      </c>
      <c r="G20" s="18">
        <v>0</v>
      </c>
      <c r="H20" s="18">
        <v>0</v>
      </c>
      <c r="I20" s="3"/>
    </row>
    <row r="21" spans="1:9" x14ac:dyDescent="0.25">
      <c r="A21" s="29">
        <v>12</v>
      </c>
      <c r="B21" s="62" t="s">
        <v>25</v>
      </c>
      <c r="C21" s="21">
        <f t="shared" si="0"/>
        <v>0</v>
      </c>
      <c r="D21" s="18">
        <v>0</v>
      </c>
      <c r="E21" s="18">
        <v>0</v>
      </c>
      <c r="F21" s="51">
        <f t="shared" si="1"/>
        <v>0</v>
      </c>
      <c r="G21" s="18">
        <v>0</v>
      </c>
      <c r="H21" s="18">
        <v>0</v>
      </c>
      <c r="I21" s="3"/>
    </row>
    <row r="22" spans="1:9" ht="15.75" x14ac:dyDescent="0.25">
      <c r="A22" s="29">
        <v>17</v>
      </c>
      <c r="B22" s="23" t="s">
        <v>119</v>
      </c>
      <c r="C22" s="21">
        <f t="shared" si="0"/>
        <v>20.22</v>
      </c>
      <c r="D22" s="18">
        <v>20.22</v>
      </c>
      <c r="E22" s="18"/>
      <c r="F22" s="51">
        <f t="shared" si="1"/>
        <v>1451.08</v>
      </c>
      <c r="G22" s="18">
        <v>1451.08</v>
      </c>
      <c r="H22" s="18">
        <v>0</v>
      </c>
      <c r="I22" s="8"/>
    </row>
    <row r="23" spans="1:9" ht="15.75" x14ac:dyDescent="0.25">
      <c r="A23" s="29">
        <v>19</v>
      </c>
      <c r="B23" s="32" t="s">
        <v>32</v>
      </c>
      <c r="C23" s="21">
        <f t="shared" si="0"/>
        <v>0</v>
      </c>
      <c r="D23" s="21">
        <v>0</v>
      </c>
      <c r="E23" s="21">
        <v>0</v>
      </c>
      <c r="F23" s="51">
        <f t="shared" si="1"/>
        <v>0</v>
      </c>
      <c r="G23" s="18"/>
      <c r="H23" s="18"/>
      <c r="I23" s="8"/>
    </row>
    <row r="24" spans="1:9" x14ac:dyDescent="0.25">
      <c r="A24" s="29"/>
      <c r="B24" s="22" t="s">
        <v>26</v>
      </c>
      <c r="C24" s="21">
        <f t="shared" si="0"/>
        <v>0</v>
      </c>
      <c r="D24" s="21">
        <v>0</v>
      </c>
      <c r="E24" s="21">
        <v>0</v>
      </c>
      <c r="F24" s="51">
        <f t="shared" si="1"/>
        <v>0</v>
      </c>
      <c r="G24" s="21"/>
      <c r="H24" s="21"/>
      <c r="I24" s="3"/>
    </row>
    <row r="25" spans="1:9" ht="15.75" x14ac:dyDescent="0.25">
      <c r="A25" s="29">
        <v>13</v>
      </c>
      <c r="B25" s="23" t="s">
        <v>27</v>
      </c>
      <c r="C25" s="21">
        <f t="shared" si="0"/>
        <v>682414.05999999994</v>
      </c>
      <c r="D25" s="18">
        <v>682414.05999999994</v>
      </c>
      <c r="E25" s="18"/>
      <c r="F25" s="51">
        <f t="shared" si="1"/>
        <v>22125724.510000002</v>
      </c>
      <c r="G25" s="18">
        <v>22125724.510000002</v>
      </c>
      <c r="H25" s="18">
        <v>0</v>
      </c>
      <c r="I25" s="8"/>
    </row>
    <row r="26" spans="1:9" ht="15.75" x14ac:dyDescent="0.25">
      <c r="A26" s="29">
        <v>14</v>
      </c>
      <c r="B26" s="23" t="s">
        <v>28</v>
      </c>
      <c r="C26" s="21">
        <f t="shared" si="0"/>
        <v>0</v>
      </c>
      <c r="D26" s="21">
        <v>0</v>
      </c>
      <c r="E26" s="21">
        <v>0</v>
      </c>
      <c r="F26" s="51">
        <f t="shared" si="1"/>
        <v>0</v>
      </c>
      <c r="G26" s="18">
        <v>0</v>
      </c>
      <c r="H26" s="18">
        <v>0</v>
      </c>
      <c r="I26" s="8"/>
    </row>
    <row r="27" spans="1:9" ht="15.75" x14ac:dyDescent="0.25">
      <c r="A27" s="29">
        <v>15</v>
      </c>
      <c r="B27" s="23" t="s">
        <v>29</v>
      </c>
      <c r="C27" s="21">
        <f t="shared" si="0"/>
        <v>0</v>
      </c>
      <c r="D27" s="21">
        <v>0</v>
      </c>
      <c r="E27" s="21">
        <v>0</v>
      </c>
      <c r="F27" s="51">
        <f t="shared" si="1"/>
        <v>0</v>
      </c>
      <c r="G27" s="18">
        <v>0</v>
      </c>
      <c r="H27" s="18">
        <v>0</v>
      </c>
      <c r="I27" s="8"/>
    </row>
    <row r="28" spans="1:9" ht="15.75" x14ac:dyDescent="0.25">
      <c r="A28" s="29">
        <v>16</v>
      </c>
      <c r="B28" s="23" t="s">
        <v>30</v>
      </c>
      <c r="C28" s="21">
        <f t="shared" si="0"/>
        <v>0</v>
      </c>
      <c r="D28" s="21">
        <v>0</v>
      </c>
      <c r="E28" s="21">
        <v>0</v>
      </c>
      <c r="F28" s="51">
        <f t="shared" si="1"/>
        <v>0</v>
      </c>
      <c r="G28" s="18">
        <v>0</v>
      </c>
      <c r="H28" s="18">
        <v>0</v>
      </c>
      <c r="I28" s="8"/>
    </row>
    <row r="29" spans="1:9" ht="15.75" x14ac:dyDescent="0.25">
      <c r="A29" s="29">
        <v>18</v>
      </c>
      <c r="B29" s="23" t="s">
        <v>31</v>
      </c>
      <c r="C29" s="21">
        <f t="shared" si="0"/>
        <v>0</v>
      </c>
      <c r="D29" s="21">
        <v>0</v>
      </c>
      <c r="E29" s="21">
        <v>0</v>
      </c>
      <c r="F29" s="51">
        <f t="shared" si="1"/>
        <v>0</v>
      </c>
      <c r="G29" s="18">
        <v>0</v>
      </c>
      <c r="H29" s="18">
        <v>0</v>
      </c>
      <c r="I29" s="8"/>
    </row>
    <row r="30" spans="1:9" ht="15.75" x14ac:dyDescent="0.25">
      <c r="A30" s="29">
        <v>20</v>
      </c>
      <c r="B30" s="23" t="s">
        <v>33</v>
      </c>
      <c r="C30" s="21">
        <f t="shared" si="0"/>
        <v>0</v>
      </c>
      <c r="D30" s="21">
        <v>0</v>
      </c>
      <c r="E30" s="21">
        <v>0</v>
      </c>
      <c r="F30" s="51">
        <f t="shared" si="1"/>
        <v>0</v>
      </c>
      <c r="G30" s="18">
        <v>0</v>
      </c>
      <c r="H30" s="18">
        <v>0</v>
      </c>
      <c r="I30" s="8"/>
    </row>
    <row r="31" spans="1:9" ht="15.75" x14ac:dyDescent="0.25">
      <c r="A31" s="29">
        <v>21</v>
      </c>
      <c r="B31" s="23" t="s">
        <v>34</v>
      </c>
      <c r="C31" s="21">
        <f>D31+E31</f>
        <v>9.1999999999999993</v>
      </c>
      <c r="D31" s="18">
        <v>9.1999999999999993</v>
      </c>
      <c r="E31" s="18"/>
      <c r="F31" s="51">
        <f>G31+H31</f>
        <v>106.2</v>
      </c>
      <c r="G31" s="18">
        <v>106.2</v>
      </c>
      <c r="H31" s="18">
        <v>0</v>
      </c>
      <c r="I31" s="8"/>
    </row>
    <row r="32" spans="1:9" ht="15.75" x14ac:dyDescent="0.25">
      <c r="A32" s="29">
        <v>22</v>
      </c>
      <c r="B32" s="23" t="s">
        <v>35</v>
      </c>
      <c r="C32" s="21">
        <f>D32+E32</f>
        <v>1182.3699999999999</v>
      </c>
      <c r="D32" s="18">
        <v>1182.3699999999999</v>
      </c>
      <c r="E32" s="18"/>
      <c r="F32" s="51">
        <f>G32+H32</f>
        <v>10077.69</v>
      </c>
      <c r="G32" s="18">
        <v>10077.69</v>
      </c>
      <c r="H32" s="18">
        <v>0</v>
      </c>
      <c r="I32" s="8"/>
    </row>
    <row r="33" spans="1:9" ht="15.75" x14ac:dyDescent="0.25">
      <c r="A33" s="29">
        <v>23</v>
      </c>
      <c r="B33" s="23" t="s">
        <v>36</v>
      </c>
      <c r="C33" s="21">
        <f t="shared" si="0"/>
        <v>0</v>
      </c>
      <c r="D33" s="21">
        <v>0</v>
      </c>
      <c r="E33" s="21">
        <v>0</v>
      </c>
      <c r="F33" s="51">
        <f t="shared" si="1"/>
        <v>0</v>
      </c>
      <c r="G33" s="18">
        <v>0</v>
      </c>
      <c r="H33" s="18">
        <v>0</v>
      </c>
      <c r="I33" s="8"/>
    </row>
    <row r="34" spans="1:9" ht="15.75" x14ac:dyDescent="0.25">
      <c r="A34" s="29"/>
      <c r="B34" s="22" t="s">
        <v>37</v>
      </c>
      <c r="C34" s="21">
        <f t="shared" si="0"/>
        <v>0</v>
      </c>
      <c r="D34" s="21">
        <v>0</v>
      </c>
      <c r="E34" s="21">
        <v>0</v>
      </c>
      <c r="F34" s="51">
        <f t="shared" si="1"/>
        <v>0</v>
      </c>
      <c r="G34" s="18">
        <v>0</v>
      </c>
      <c r="H34" s="18">
        <v>0</v>
      </c>
      <c r="I34" s="4"/>
    </row>
    <row r="35" spans="1:9" ht="15.75" x14ac:dyDescent="0.25">
      <c r="A35" s="29">
        <v>24</v>
      </c>
      <c r="B35" s="23" t="s">
        <v>193</v>
      </c>
      <c r="C35" s="21">
        <f t="shared" si="0"/>
        <v>120000</v>
      </c>
      <c r="D35" s="18">
        <v>0</v>
      </c>
      <c r="E35" s="18">
        <v>120000</v>
      </c>
      <c r="F35" s="51">
        <f t="shared" si="1"/>
        <v>2412689.2200000002</v>
      </c>
      <c r="G35" s="18"/>
      <c r="H35" s="18">
        <v>2412689.2200000002</v>
      </c>
      <c r="I35" s="8"/>
    </row>
    <row r="36" spans="1:9" ht="15.75" x14ac:dyDescent="0.25">
      <c r="A36" s="29">
        <v>25</v>
      </c>
      <c r="B36" s="23" t="s">
        <v>194</v>
      </c>
      <c r="C36" s="21">
        <f t="shared" si="0"/>
        <v>38555.060000000005</v>
      </c>
      <c r="D36" s="18">
        <v>38555.060000000005</v>
      </c>
      <c r="E36" s="18">
        <v>0</v>
      </c>
      <c r="F36" s="51">
        <f t="shared" si="1"/>
        <v>426853.66000000003</v>
      </c>
      <c r="G36" s="18">
        <v>426853.66000000003</v>
      </c>
      <c r="H36" s="18">
        <v>0</v>
      </c>
      <c r="I36" s="8"/>
    </row>
    <row r="37" spans="1:9" ht="15.75" x14ac:dyDescent="0.25">
      <c r="A37" s="29">
        <v>26</v>
      </c>
      <c r="B37" s="23" t="s">
        <v>195</v>
      </c>
      <c r="C37" s="21">
        <f t="shared" si="0"/>
        <v>76186.14</v>
      </c>
      <c r="D37" s="18">
        <v>76186.14</v>
      </c>
      <c r="E37" s="18">
        <v>0</v>
      </c>
      <c r="F37" s="51">
        <f t="shared" si="1"/>
        <v>2542595.0099999998</v>
      </c>
      <c r="G37" s="18">
        <v>2542595.0099999998</v>
      </c>
      <c r="H37" s="18">
        <v>0</v>
      </c>
      <c r="I37" s="8"/>
    </row>
    <row r="38" spans="1:9" ht="15.75" x14ac:dyDescent="0.25">
      <c r="A38" s="29">
        <v>27</v>
      </c>
      <c r="B38" s="23" t="s">
        <v>196</v>
      </c>
      <c r="C38" s="21">
        <f t="shared" si="0"/>
        <v>18764.310000000001</v>
      </c>
      <c r="D38" s="18">
        <v>18764.310000000001</v>
      </c>
      <c r="E38" s="18">
        <v>0</v>
      </c>
      <c r="F38" s="51">
        <f t="shared" si="1"/>
        <v>554916.56000000006</v>
      </c>
      <c r="G38" s="18">
        <v>554916.56000000006</v>
      </c>
      <c r="H38" s="18">
        <v>0</v>
      </c>
      <c r="I38" s="8"/>
    </row>
    <row r="39" spans="1:9" ht="15.75" x14ac:dyDescent="0.25">
      <c r="A39" s="29">
        <v>28</v>
      </c>
      <c r="B39" s="23" t="s">
        <v>197</v>
      </c>
      <c r="C39" s="21">
        <f t="shared" si="0"/>
        <v>188.37</v>
      </c>
      <c r="D39" s="18">
        <v>188.37</v>
      </c>
      <c r="E39" s="18">
        <v>0</v>
      </c>
      <c r="F39" s="51">
        <f t="shared" si="1"/>
        <v>1449.35</v>
      </c>
      <c r="G39" s="18">
        <v>1449.35</v>
      </c>
      <c r="H39" s="18">
        <v>0</v>
      </c>
      <c r="I39" s="8"/>
    </row>
    <row r="40" spans="1:9" ht="15.75" x14ac:dyDescent="0.25">
      <c r="A40" s="29">
        <v>29</v>
      </c>
      <c r="B40" s="23" t="s">
        <v>198</v>
      </c>
      <c r="C40" s="21">
        <f t="shared" si="0"/>
        <v>22226118.57</v>
      </c>
      <c r="D40" s="18">
        <v>3604980.04</v>
      </c>
      <c r="E40" s="18">
        <v>18621138.530000001</v>
      </c>
      <c r="F40" s="51">
        <f t="shared" si="1"/>
        <v>427002933.13</v>
      </c>
      <c r="G40" s="18">
        <v>74345219.829999983</v>
      </c>
      <c r="H40" s="18">
        <v>352657713.30000001</v>
      </c>
      <c r="I40" s="8"/>
    </row>
    <row r="41" spans="1:9" ht="15.75" x14ac:dyDescent="0.25">
      <c r="A41" s="29">
        <v>30</v>
      </c>
      <c r="B41" s="23" t="s">
        <v>199</v>
      </c>
      <c r="C41" s="21">
        <f t="shared" si="0"/>
        <v>4.0599999999999996</v>
      </c>
      <c r="D41" s="18">
        <v>4.0599999999999996</v>
      </c>
      <c r="E41" s="18">
        <v>0</v>
      </c>
      <c r="F41" s="51">
        <f t="shared" si="1"/>
        <v>210.95</v>
      </c>
      <c r="G41" s="18">
        <v>210.95</v>
      </c>
      <c r="H41" s="18">
        <v>0</v>
      </c>
      <c r="I41" s="8"/>
    </row>
    <row r="42" spans="1:9" ht="15.75" x14ac:dyDescent="0.25">
      <c r="A42" s="29">
        <v>33</v>
      </c>
      <c r="B42" s="23" t="s">
        <v>200</v>
      </c>
      <c r="C42" s="21">
        <f t="shared" si="0"/>
        <v>6835256.0199999996</v>
      </c>
      <c r="D42" s="18">
        <v>2694023.02</v>
      </c>
      <c r="E42" s="18">
        <v>4141233</v>
      </c>
      <c r="F42" s="51">
        <f t="shared" si="1"/>
        <v>163145619.09999999</v>
      </c>
      <c r="G42" s="18">
        <v>61144990.25</v>
      </c>
      <c r="H42" s="18">
        <v>102000628.84999999</v>
      </c>
      <c r="I42" s="8"/>
    </row>
    <row r="43" spans="1:9" ht="15.75" x14ac:dyDescent="0.25">
      <c r="A43" s="29">
        <v>34</v>
      </c>
      <c r="B43" s="23" t="s">
        <v>201</v>
      </c>
      <c r="C43" s="21">
        <f t="shared" si="0"/>
        <v>18149.88</v>
      </c>
      <c r="D43" s="18">
        <v>18149.88</v>
      </c>
      <c r="E43" s="18">
        <v>0</v>
      </c>
      <c r="F43" s="51">
        <f t="shared" si="1"/>
        <v>139651.76</v>
      </c>
      <c r="G43" s="18">
        <v>139651.76</v>
      </c>
      <c r="H43" s="18">
        <v>0</v>
      </c>
      <c r="I43" s="8"/>
    </row>
    <row r="44" spans="1:9" ht="15.75" x14ac:dyDescent="0.25">
      <c r="A44" s="29">
        <v>35</v>
      </c>
      <c r="B44" s="23" t="s">
        <v>202</v>
      </c>
      <c r="C44" s="21">
        <f t="shared" si="0"/>
        <v>45466.64</v>
      </c>
      <c r="D44" s="18">
        <v>45466.64</v>
      </c>
      <c r="E44" s="18">
        <v>0</v>
      </c>
      <c r="F44" s="51">
        <f t="shared" si="1"/>
        <v>892524.65</v>
      </c>
      <c r="G44" s="18">
        <v>892524.65</v>
      </c>
      <c r="H44" s="18">
        <v>0</v>
      </c>
      <c r="I44" s="8"/>
    </row>
    <row r="45" spans="1:9" ht="15.75" x14ac:dyDescent="0.25">
      <c r="A45" s="29">
        <v>36</v>
      </c>
      <c r="B45" s="23" t="s">
        <v>158</v>
      </c>
      <c r="C45" s="21">
        <f t="shared" si="0"/>
        <v>576128.74</v>
      </c>
      <c r="D45" s="18">
        <v>576128.74</v>
      </c>
      <c r="E45" s="18">
        <v>0</v>
      </c>
      <c r="F45" s="51">
        <f t="shared" si="1"/>
        <v>16436391.08</v>
      </c>
      <c r="G45" s="18">
        <v>16436391.08</v>
      </c>
      <c r="H45" s="18">
        <v>0</v>
      </c>
      <c r="I45" s="8"/>
    </row>
    <row r="46" spans="1:9" ht="15.75" x14ac:dyDescent="0.25">
      <c r="A46" s="29">
        <v>37</v>
      </c>
      <c r="B46" s="23" t="s">
        <v>203</v>
      </c>
      <c r="C46" s="21">
        <f t="shared" si="0"/>
        <v>22209.120000000003</v>
      </c>
      <c r="D46" s="18">
        <v>22209.120000000003</v>
      </c>
      <c r="E46" s="18">
        <v>0</v>
      </c>
      <c r="F46" s="51">
        <f t="shared" si="1"/>
        <v>170994.49999999997</v>
      </c>
      <c r="G46" s="18">
        <v>170994.49999999997</v>
      </c>
      <c r="H46" s="18">
        <v>0</v>
      </c>
      <c r="I46" s="8"/>
    </row>
    <row r="47" spans="1:9" ht="18.75" x14ac:dyDescent="0.5">
      <c r="A47" s="29"/>
      <c r="B47" s="22" t="s">
        <v>55</v>
      </c>
      <c r="C47" s="21"/>
      <c r="D47" s="21"/>
      <c r="E47" s="21"/>
      <c r="F47" s="51">
        <f t="shared" si="1"/>
        <v>0</v>
      </c>
      <c r="G47" s="21"/>
      <c r="H47" s="21"/>
      <c r="I47" s="9"/>
    </row>
    <row r="48" spans="1:9" ht="15.75" x14ac:dyDescent="0.25">
      <c r="A48" s="29">
        <v>41</v>
      </c>
      <c r="B48" s="23" t="s">
        <v>56</v>
      </c>
      <c r="C48" s="21">
        <f t="shared" si="0"/>
        <v>987502.97</v>
      </c>
      <c r="D48" s="18">
        <v>987490.97</v>
      </c>
      <c r="E48" s="18">
        <v>12</v>
      </c>
      <c r="F48" s="51">
        <f t="shared" si="1"/>
        <v>12835340.5</v>
      </c>
      <c r="G48" s="18">
        <v>12833434.300000001</v>
      </c>
      <c r="H48" s="18">
        <v>1906.2</v>
      </c>
      <c r="I48" s="8"/>
    </row>
    <row r="49" spans="1:9" ht="15.75" x14ac:dyDescent="0.25">
      <c r="A49" s="29">
        <v>42</v>
      </c>
      <c r="B49" s="23" t="s">
        <v>57</v>
      </c>
      <c r="C49" s="21">
        <f t="shared" si="0"/>
        <v>165875.46</v>
      </c>
      <c r="D49" s="18">
        <v>165875.46</v>
      </c>
      <c r="E49" s="18">
        <v>0</v>
      </c>
      <c r="F49" s="51">
        <f t="shared" si="1"/>
        <v>25368804.449999999</v>
      </c>
      <c r="G49" s="18">
        <v>25368804.449999999</v>
      </c>
      <c r="H49" s="18">
        <v>0</v>
      </c>
      <c r="I49" s="8"/>
    </row>
    <row r="50" spans="1:9" ht="15.75" x14ac:dyDescent="0.25">
      <c r="A50" s="29"/>
      <c r="B50" s="22" t="s">
        <v>58</v>
      </c>
      <c r="C50" s="21"/>
      <c r="D50" s="21"/>
      <c r="E50" s="21"/>
      <c r="F50" s="51">
        <f t="shared" si="1"/>
        <v>0</v>
      </c>
      <c r="G50" s="18">
        <v>0</v>
      </c>
      <c r="H50" s="18">
        <v>0</v>
      </c>
      <c r="I50" s="4"/>
    </row>
    <row r="51" spans="1:9" ht="15.75" x14ac:dyDescent="0.25">
      <c r="A51" s="29">
        <v>43</v>
      </c>
      <c r="B51" s="23" t="s">
        <v>59</v>
      </c>
      <c r="C51" s="21">
        <f t="shared" si="0"/>
        <v>26183.4</v>
      </c>
      <c r="D51" s="18">
        <v>26183.4</v>
      </c>
      <c r="E51" s="18">
        <v>0</v>
      </c>
      <c r="F51" s="51">
        <f t="shared" si="1"/>
        <v>246574.98</v>
      </c>
      <c r="G51" s="18">
        <v>246574.98</v>
      </c>
      <c r="H51" s="18">
        <v>0</v>
      </c>
      <c r="I51" s="8"/>
    </row>
    <row r="52" spans="1:9" ht="15.75" x14ac:dyDescent="0.25">
      <c r="A52" s="29">
        <v>44</v>
      </c>
      <c r="B52" s="23" t="s">
        <v>60</v>
      </c>
      <c r="C52" s="21">
        <f t="shared" si="0"/>
        <v>6013</v>
      </c>
      <c r="D52" s="18">
        <v>6013</v>
      </c>
      <c r="E52" s="18">
        <v>0</v>
      </c>
      <c r="F52" s="51">
        <f t="shared" si="1"/>
        <v>58124.53</v>
      </c>
      <c r="G52" s="18">
        <v>58124.53</v>
      </c>
      <c r="H52" s="18">
        <v>0</v>
      </c>
      <c r="I52" s="8"/>
    </row>
    <row r="53" spans="1:9" ht="15.75" x14ac:dyDescent="0.25">
      <c r="A53" s="29">
        <v>45</v>
      </c>
      <c r="B53" s="23" t="s">
        <v>61</v>
      </c>
      <c r="C53" s="21">
        <f t="shared" si="0"/>
        <v>9257</v>
      </c>
      <c r="D53" s="18">
        <v>9257</v>
      </c>
      <c r="E53" s="18">
        <v>0</v>
      </c>
      <c r="F53" s="51">
        <f t="shared" si="1"/>
        <v>136108.85</v>
      </c>
      <c r="G53" s="18">
        <v>136108.85</v>
      </c>
      <c r="H53" s="18">
        <v>0</v>
      </c>
      <c r="I53" s="8"/>
    </row>
    <row r="54" spans="1:9" ht="15.75" x14ac:dyDescent="0.25">
      <c r="A54" s="29">
        <v>46</v>
      </c>
      <c r="B54" s="23" t="s">
        <v>62</v>
      </c>
      <c r="C54" s="21">
        <f t="shared" si="0"/>
        <v>40486</v>
      </c>
      <c r="D54" s="18">
        <v>40486</v>
      </c>
      <c r="E54" s="18">
        <v>0</v>
      </c>
      <c r="F54" s="51">
        <f t="shared" si="1"/>
        <v>429207.74</v>
      </c>
      <c r="G54" s="18">
        <v>429207.74</v>
      </c>
      <c r="H54" s="18">
        <v>0</v>
      </c>
      <c r="I54" s="8"/>
    </row>
    <row r="55" spans="1:9" ht="15.75" x14ac:dyDescent="0.25">
      <c r="A55" s="29">
        <v>47</v>
      </c>
      <c r="B55" s="23" t="s">
        <v>63</v>
      </c>
      <c r="C55" s="21">
        <f t="shared" si="0"/>
        <v>2416</v>
      </c>
      <c r="D55" s="18">
        <v>2416</v>
      </c>
      <c r="E55" s="18">
        <v>0</v>
      </c>
      <c r="F55" s="51">
        <f t="shared" si="1"/>
        <v>56394.2</v>
      </c>
      <c r="G55" s="18">
        <v>56394.2</v>
      </c>
      <c r="H55" s="18">
        <v>0</v>
      </c>
      <c r="I55" s="8"/>
    </row>
    <row r="56" spans="1:9" ht="15.75" x14ac:dyDescent="0.25">
      <c r="A56" s="29">
        <v>48</v>
      </c>
      <c r="B56" s="23" t="s">
        <v>64</v>
      </c>
      <c r="C56" s="18">
        <v>0</v>
      </c>
      <c r="D56" s="18">
        <v>0</v>
      </c>
      <c r="E56" s="18">
        <v>0</v>
      </c>
      <c r="F56" s="51">
        <f t="shared" si="1"/>
        <v>0</v>
      </c>
      <c r="G56" s="18">
        <v>0</v>
      </c>
      <c r="H56" s="18">
        <v>0</v>
      </c>
      <c r="I56" s="8"/>
    </row>
    <row r="57" spans="1:9" ht="15.75" x14ac:dyDescent="0.25">
      <c r="A57" s="29">
        <v>49</v>
      </c>
      <c r="B57" s="23" t="s">
        <v>65</v>
      </c>
      <c r="C57" s="21">
        <f t="shared" si="0"/>
        <v>1507</v>
      </c>
      <c r="D57" s="18">
        <v>1507</v>
      </c>
      <c r="E57" s="18">
        <v>0</v>
      </c>
      <c r="F57" s="51">
        <f t="shared" si="1"/>
        <v>16187.33</v>
      </c>
      <c r="G57" s="18">
        <v>16187.33</v>
      </c>
      <c r="H57" s="18">
        <v>0</v>
      </c>
      <c r="I57" s="8"/>
    </row>
    <row r="58" spans="1:9" ht="15.75" x14ac:dyDescent="0.25">
      <c r="A58" s="29">
        <v>50</v>
      </c>
      <c r="B58" s="23" t="s">
        <v>66</v>
      </c>
      <c r="C58" s="21">
        <f t="shared" si="0"/>
        <v>0</v>
      </c>
      <c r="D58" s="18">
        <v>0</v>
      </c>
      <c r="E58" s="18">
        <v>0</v>
      </c>
      <c r="F58" s="51">
        <f t="shared" si="1"/>
        <v>0</v>
      </c>
      <c r="G58" s="18">
        <v>0</v>
      </c>
      <c r="H58" s="18">
        <v>0</v>
      </c>
      <c r="I58" s="8"/>
    </row>
    <row r="59" spans="1:9" ht="15.75" x14ac:dyDescent="0.25">
      <c r="A59" s="29">
        <v>51</v>
      </c>
      <c r="B59" s="23" t="s">
        <v>67</v>
      </c>
      <c r="C59" s="21">
        <f t="shared" si="0"/>
        <v>0</v>
      </c>
      <c r="D59" s="18">
        <v>0</v>
      </c>
      <c r="E59" s="18">
        <v>0</v>
      </c>
      <c r="F59" s="51">
        <f t="shared" si="1"/>
        <v>0</v>
      </c>
      <c r="G59" s="18">
        <v>0</v>
      </c>
      <c r="H59" s="18">
        <v>0</v>
      </c>
      <c r="I59" s="8"/>
    </row>
    <row r="60" spans="1:9" ht="15.75" x14ac:dyDescent="0.25">
      <c r="A60" s="29">
        <v>52</v>
      </c>
      <c r="B60" s="23" t="s">
        <v>68</v>
      </c>
      <c r="C60" s="21">
        <f t="shared" si="0"/>
        <v>0</v>
      </c>
      <c r="D60" s="18">
        <v>0</v>
      </c>
      <c r="E60" s="18">
        <v>0</v>
      </c>
      <c r="F60" s="51">
        <f t="shared" si="1"/>
        <v>0</v>
      </c>
      <c r="G60" s="18">
        <v>0</v>
      </c>
      <c r="H60" s="18">
        <v>0</v>
      </c>
      <c r="I60" s="8"/>
    </row>
    <row r="61" spans="1:9" ht="15.75" x14ac:dyDescent="0.25">
      <c r="A61" s="29">
        <v>53</v>
      </c>
      <c r="B61" s="23" t="s">
        <v>69</v>
      </c>
      <c r="C61" s="21">
        <f t="shared" si="0"/>
        <v>34507</v>
      </c>
      <c r="D61" s="18">
        <v>34507</v>
      </c>
      <c r="E61" s="21">
        <v>0</v>
      </c>
      <c r="F61" s="51">
        <f t="shared" si="1"/>
        <v>402939.27</v>
      </c>
      <c r="G61" s="18">
        <v>402939.27</v>
      </c>
      <c r="H61" s="18">
        <v>0</v>
      </c>
      <c r="I61" s="8"/>
    </row>
    <row r="62" spans="1:9" ht="15.75" x14ac:dyDescent="0.25">
      <c r="A62" s="29">
        <v>54</v>
      </c>
      <c r="B62" s="23" t="s">
        <v>70</v>
      </c>
      <c r="C62" s="21">
        <f t="shared" si="0"/>
        <v>0</v>
      </c>
      <c r="D62" s="21">
        <v>0</v>
      </c>
      <c r="E62" s="21">
        <v>0</v>
      </c>
      <c r="F62" s="51">
        <f t="shared" si="1"/>
        <v>0</v>
      </c>
      <c r="G62" s="18"/>
      <c r="H62" s="18"/>
      <c r="I62" s="8"/>
    </row>
    <row r="63" spans="1:9" ht="15.75" x14ac:dyDescent="0.25">
      <c r="A63" s="29"/>
      <c r="B63" s="22" t="s">
        <v>71</v>
      </c>
      <c r="C63" s="21">
        <f t="shared" si="0"/>
        <v>0</v>
      </c>
      <c r="D63" s="21">
        <v>0</v>
      </c>
      <c r="E63" s="21">
        <v>0</v>
      </c>
      <c r="F63" s="51">
        <f t="shared" si="1"/>
        <v>0</v>
      </c>
      <c r="G63" s="21"/>
      <c r="H63" s="21"/>
      <c r="I63" s="10"/>
    </row>
    <row r="64" spans="1:9" ht="15.75" x14ac:dyDescent="0.25">
      <c r="A64" s="29">
        <v>55</v>
      </c>
      <c r="B64" s="11" t="s">
        <v>72</v>
      </c>
      <c r="C64" s="21">
        <f t="shared" si="0"/>
        <v>291</v>
      </c>
      <c r="D64" s="18">
        <v>291</v>
      </c>
      <c r="E64" s="21">
        <v>0</v>
      </c>
      <c r="F64" s="51">
        <f t="shared" si="1"/>
        <v>26622.78</v>
      </c>
      <c r="G64" s="18">
        <v>26622.78</v>
      </c>
      <c r="H64" s="18">
        <v>0</v>
      </c>
      <c r="I64" s="8"/>
    </row>
    <row r="65" spans="1:9" ht="15.75" x14ac:dyDescent="0.25">
      <c r="A65" s="29">
        <v>56</v>
      </c>
      <c r="B65" s="11" t="s">
        <v>73</v>
      </c>
      <c r="C65" s="21">
        <f t="shared" si="0"/>
        <v>121097.22</v>
      </c>
      <c r="D65" s="18">
        <v>121097.22</v>
      </c>
      <c r="E65" s="21">
        <v>0</v>
      </c>
      <c r="F65" s="51">
        <f t="shared" si="1"/>
        <v>4323904.96</v>
      </c>
      <c r="G65" s="18">
        <v>4323904.96</v>
      </c>
      <c r="H65" s="18">
        <v>0</v>
      </c>
      <c r="I65" s="8"/>
    </row>
    <row r="66" spans="1:9" ht="15.75" x14ac:dyDescent="0.25">
      <c r="A66" s="29"/>
      <c r="B66" s="22" t="s">
        <v>74</v>
      </c>
      <c r="C66" s="21">
        <f t="shared" si="0"/>
        <v>0</v>
      </c>
      <c r="D66" s="21">
        <v>0</v>
      </c>
      <c r="E66" s="21">
        <v>0</v>
      </c>
      <c r="F66" s="51">
        <f t="shared" si="1"/>
        <v>0</v>
      </c>
      <c r="G66" s="18">
        <v>0</v>
      </c>
      <c r="H66" s="18">
        <v>0</v>
      </c>
      <c r="I66" s="4"/>
    </row>
    <row r="67" spans="1:9" ht="15.75" x14ac:dyDescent="0.25">
      <c r="A67" s="29">
        <v>57</v>
      </c>
      <c r="B67" s="23" t="s">
        <v>75</v>
      </c>
      <c r="C67" s="21">
        <f t="shared" si="0"/>
        <v>311616.72000000003</v>
      </c>
      <c r="D67" s="18">
        <v>719.52</v>
      </c>
      <c r="E67" s="18">
        <v>310897.2</v>
      </c>
      <c r="F67" s="51">
        <f t="shared" si="1"/>
        <v>22279154.620000001</v>
      </c>
      <c r="G67" s="18">
        <v>60562.09</v>
      </c>
      <c r="H67" s="18">
        <v>22218592.530000001</v>
      </c>
      <c r="I67" s="8"/>
    </row>
    <row r="68" spans="1:9" ht="15.75" x14ac:dyDescent="0.25">
      <c r="A68" s="29">
        <v>58</v>
      </c>
      <c r="B68" s="23" t="s">
        <v>76</v>
      </c>
      <c r="C68" s="21">
        <f t="shared" si="0"/>
        <v>5484777.6399999997</v>
      </c>
      <c r="D68" s="18">
        <v>4079923.28</v>
      </c>
      <c r="E68" s="18">
        <v>1404854.3599999999</v>
      </c>
      <c r="F68" s="51">
        <f t="shared" si="1"/>
        <v>447126438.25</v>
      </c>
      <c r="G68" s="18">
        <v>348761038.36000001</v>
      </c>
      <c r="H68" s="18">
        <v>98365399.890000015</v>
      </c>
      <c r="I68" s="8"/>
    </row>
    <row r="69" spans="1:9" ht="15.75" x14ac:dyDescent="0.25">
      <c r="A69" s="29"/>
      <c r="B69" s="23" t="s">
        <v>190</v>
      </c>
      <c r="C69" s="21">
        <f t="shared" si="0"/>
        <v>15360</v>
      </c>
      <c r="D69" s="18">
        <v>0</v>
      </c>
      <c r="E69" s="18">
        <v>15360</v>
      </c>
      <c r="F69" s="51">
        <f t="shared" si="1"/>
        <v>1062450.3999999999</v>
      </c>
      <c r="G69" s="18">
        <v>0</v>
      </c>
      <c r="H69" s="18">
        <v>1062450.3999999999</v>
      </c>
      <c r="I69" s="8"/>
    </row>
    <row r="70" spans="1:9" ht="15.75" x14ac:dyDescent="0.25">
      <c r="A70" s="29"/>
      <c r="B70" s="33" t="s">
        <v>77</v>
      </c>
      <c r="C70" s="21">
        <f t="shared" ref="C70:C135" si="2">D70+E70</f>
        <v>0</v>
      </c>
      <c r="D70" s="21">
        <v>0</v>
      </c>
      <c r="E70" s="36"/>
      <c r="F70" s="51">
        <f t="shared" ref="F70:F135" si="3">G70+H70</f>
        <v>0</v>
      </c>
      <c r="G70" s="18">
        <v>0</v>
      </c>
      <c r="H70" s="18">
        <v>0</v>
      </c>
      <c r="I70" s="4"/>
    </row>
    <row r="71" spans="1:9" ht="15.75" x14ac:dyDescent="0.25">
      <c r="A71" s="29"/>
      <c r="B71" s="22" t="s">
        <v>78</v>
      </c>
      <c r="C71" s="21">
        <f t="shared" si="2"/>
        <v>0</v>
      </c>
      <c r="D71" s="21">
        <v>0</v>
      </c>
      <c r="E71" s="21"/>
      <c r="F71" s="51">
        <f t="shared" si="3"/>
        <v>0</v>
      </c>
      <c r="G71" s="18">
        <v>0</v>
      </c>
      <c r="H71" s="18">
        <v>0</v>
      </c>
      <c r="I71" s="4"/>
    </row>
    <row r="72" spans="1:9" ht="15.75" x14ac:dyDescent="0.25">
      <c r="A72" s="29">
        <v>59</v>
      </c>
      <c r="B72" s="23" t="s">
        <v>79</v>
      </c>
      <c r="C72" s="21">
        <f t="shared" si="2"/>
        <v>269018</v>
      </c>
      <c r="D72" s="18">
        <v>269018</v>
      </c>
      <c r="E72" s="21">
        <v>0</v>
      </c>
      <c r="F72" s="51">
        <f t="shared" si="3"/>
        <v>6174766.4400000004</v>
      </c>
      <c r="G72" s="18">
        <v>6174766.4400000004</v>
      </c>
      <c r="H72" s="21">
        <v>0</v>
      </c>
      <c r="I72" s="8"/>
    </row>
    <row r="73" spans="1:9" ht="15.75" x14ac:dyDescent="0.25">
      <c r="A73" s="29">
        <v>60</v>
      </c>
      <c r="B73" s="23" t="s">
        <v>80</v>
      </c>
      <c r="C73" s="21">
        <f t="shared" si="2"/>
        <v>0</v>
      </c>
      <c r="D73" s="21">
        <v>0</v>
      </c>
      <c r="E73" s="21">
        <v>0</v>
      </c>
      <c r="F73" s="51">
        <f t="shared" si="3"/>
        <v>0</v>
      </c>
      <c r="G73" s="18"/>
      <c r="H73" s="21"/>
      <c r="I73" s="8"/>
    </row>
    <row r="74" spans="1:9" ht="15.75" x14ac:dyDescent="0.25">
      <c r="A74" s="29">
        <v>61</v>
      </c>
      <c r="B74" s="23" t="s">
        <v>81</v>
      </c>
      <c r="C74" s="21">
        <f t="shared" si="2"/>
        <v>104676.3</v>
      </c>
      <c r="D74" s="18">
        <v>104676.3</v>
      </c>
      <c r="E74" s="18">
        <v>0</v>
      </c>
      <c r="F74" s="51">
        <f t="shared" si="3"/>
        <v>4191915.7899999996</v>
      </c>
      <c r="G74" s="18">
        <v>4191915.7899999996</v>
      </c>
      <c r="H74" s="21">
        <v>0</v>
      </c>
      <c r="I74" s="8"/>
    </row>
    <row r="75" spans="1:9" ht="15.75" x14ac:dyDescent="0.25">
      <c r="A75" s="29"/>
      <c r="B75" s="23" t="s">
        <v>118</v>
      </c>
      <c r="C75" s="21">
        <f t="shared" si="2"/>
        <v>0</v>
      </c>
      <c r="D75" s="21">
        <v>0</v>
      </c>
      <c r="E75" s="21">
        <v>0</v>
      </c>
      <c r="F75" s="51">
        <f t="shared" si="3"/>
        <v>0</v>
      </c>
      <c r="G75" s="18">
        <v>0</v>
      </c>
      <c r="H75" s="18">
        <v>0</v>
      </c>
      <c r="I75" s="8"/>
    </row>
    <row r="76" spans="1:9" ht="15.75" x14ac:dyDescent="0.25">
      <c r="A76" s="29"/>
      <c r="B76" s="23" t="s">
        <v>117</v>
      </c>
      <c r="C76" s="21">
        <f t="shared" si="2"/>
        <v>0</v>
      </c>
      <c r="D76" s="21">
        <v>0</v>
      </c>
      <c r="E76" s="21">
        <v>0</v>
      </c>
      <c r="F76" s="51">
        <f t="shared" si="3"/>
        <v>0</v>
      </c>
      <c r="G76" s="18">
        <v>0</v>
      </c>
      <c r="H76" s="18">
        <v>0</v>
      </c>
      <c r="I76" s="8"/>
    </row>
    <row r="77" spans="1:9" ht="15.75" x14ac:dyDescent="0.25">
      <c r="A77" s="29">
        <v>62</v>
      </c>
      <c r="B77" s="23" t="s">
        <v>82</v>
      </c>
      <c r="C77" s="21">
        <f t="shared" si="2"/>
        <v>1</v>
      </c>
      <c r="D77" s="18">
        <v>1</v>
      </c>
      <c r="E77" s="21">
        <v>0</v>
      </c>
      <c r="F77" s="51">
        <f t="shared" si="3"/>
        <v>1539.25</v>
      </c>
      <c r="G77" s="18">
        <v>1539.25</v>
      </c>
      <c r="H77" s="21"/>
      <c r="I77" s="8"/>
    </row>
    <row r="78" spans="1:9" ht="15.75" x14ac:dyDescent="0.25">
      <c r="A78" s="29"/>
      <c r="B78" s="23" t="s">
        <v>191</v>
      </c>
      <c r="C78" s="21">
        <f t="shared" si="2"/>
        <v>9018</v>
      </c>
      <c r="D78" s="18">
        <v>9018</v>
      </c>
      <c r="E78" s="21">
        <v>0</v>
      </c>
      <c r="F78" s="51">
        <f t="shared" si="3"/>
        <v>111795.57</v>
      </c>
      <c r="G78" s="18">
        <v>111795.57</v>
      </c>
      <c r="H78" s="21">
        <v>0</v>
      </c>
      <c r="I78" s="8"/>
    </row>
    <row r="79" spans="1:9" ht="15.75" x14ac:dyDescent="0.25">
      <c r="A79" s="29"/>
      <c r="B79" s="22" t="s">
        <v>83</v>
      </c>
      <c r="C79" s="21">
        <f t="shared" si="2"/>
        <v>0</v>
      </c>
      <c r="D79" s="21">
        <v>0</v>
      </c>
      <c r="E79" s="21">
        <v>0</v>
      </c>
      <c r="F79" s="51">
        <f t="shared" si="3"/>
        <v>0</v>
      </c>
      <c r="G79" s="18">
        <v>0</v>
      </c>
      <c r="H79" s="18">
        <v>0</v>
      </c>
      <c r="I79" s="10"/>
    </row>
    <row r="80" spans="1:9" ht="15.75" x14ac:dyDescent="0.25">
      <c r="A80" s="29">
        <v>63</v>
      </c>
      <c r="B80" s="20" t="s">
        <v>84</v>
      </c>
      <c r="C80" s="21">
        <f t="shared" si="2"/>
        <v>0</v>
      </c>
      <c r="D80" s="21">
        <v>0</v>
      </c>
      <c r="E80" s="18">
        <v>0</v>
      </c>
      <c r="F80" s="51">
        <f t="shared" si="3"/>
        <v>0</v>
      </c>
      <c r="G80" s="18">
        <v>0</v>
      </c>
      <c r="H80" s="18">
        <v>0</v>
      </c>
      <c r="I80" s="8"/>
    </row>
    <row r="81" spans="1:9" ht="15.75" x14ac:dyDescent="0.25">
      <c r="A81" s="29">
        <v>64</v>
      </c>
      <c r="B81" s="20" t="s">
        <v>85</v>
      </c>
      <c r="C81" s="21">
        <f t="shared" si="2"/>
        <v>0</v>
      </c>
      <c r="D81" s="21">
        <v>0</v>
      </c>
      <c r="E81" s="21">
        <v>0</v>
      </c>
      <c r="F81" s="51">
        <f t="shared" si="3"/>
        <v>0</v>
      </c>
      <c r="G81" s="21">
        <v>0</v>
      </c>
      <c r="H81" s="21">
        <v>0</v>
      </c>
      <c r="I81" s="8"/>
    </row>
    <row r="82" spans="1:9" ht="15.75" x14ac:dyDescent="0.25">
      <c r="A82" s="29"/>
      <c r="B82" s="20" t="s">
        <v>160</v>
      </c>
      <c r="C82" s="21">
        <f t="shared" si="2"/>
        <v>5</v>
      </c>
      <c r="D82" s="18">
        <v>5</v>
      </c>
      <c r="E82" s="21">
        <v>0</v>
      </c>
      <c r="F82" s="51">
        <f t="shared" si="3"/>
        <v>292.56</v>
      </c>
      <c r="G82" s="21">
        <v>292.56</v>
      </c>
      <c r="H82" s="21"/>
      <c r="I82" s="8"/>
    </row>
    <row r="83" spans="1:9" ht="15.75" x14ac:dyDescent="0.25">
      <c r="A83" s="29">
        <v>65</v>
      </c>
      <c r="B83" s="20" t="s">
        <v>86</v>
      </c>
      <c r="C83" s="21">
        <f t="shared" si="2"/>
        <v>3442775</v>
      </c>
      <c r="D83" s="18">
        <v>1272230</v>
      </c>
      <c r="E83" s="18">
        <v>2170545</v>
      </c>
      <c r="F83" s="51">
        <f t="shared" si="3"/>
        <v>58626176.260000005</v>
      </c>
      <c r="G83" s="18">
        <v>23207982.91</v>
      </c>
      <c r="H83" s="18">
        <v>35418193.350000001</v>
      </c>
      <c r="I83" s="8"/>
    </row>
    <row r="84" spans="1:9" ht="15.75" x14ac:dyDescent="0.25">
      <c r="A84" s="29"/>
      <c r="B84" s="20"/>
      <c r="C84" s="21">
        <f t="shared" si="2"/>
        <v>0</v>
      </c>
      <c r="D84" s="18">
        <v>0</v>
      </c>
      <c r="E84" s="18">
        <v>0</v>
      </c>
      <c r="F84" s="51">
        <f t="shared" si="3"/>
        <v>0</v>
      </c>
      <c r="G84" s="18">
        <v>0</v>
      </c>
      <c r="H84" s="18">
        <v>0</v>
      </c>
      <c r="I84" s="8"/>
    </row>
    <row r="85" spans="1:9" ht="15.75" x14ac:dyDescent="0.25">
      <c r="A85" s="29"/>
      <c r="B85" s="34" t="s">
        <v>12</v>
      </c>
      <c r="C85" s="21">
        <f t="shared" si="2"/>
        <v>0</v>
      </c>
      <c r="D85" s="18">
        <v>0</v>
      </c>
      <c r="E85" s="18">
        <v>0</v>
      </c>
      <c r="F85" s="51">
        <f t="shared" si="3"/>
        <v>0</v>
      </c>
      <c r="G85" s="18">
        <v>0</v>
      </c>
      <c r="H85" s="18">
        <v>0</v>
      </c>
      <c r="I85" s="4"/>
    </row>
    <row r="86" spans="1:9" ht="15.75" x14ac:dyDescent="0.25">
      <c r="A86" s="29"/>
      <c r="B86" s="22" t="s">
        <v>87</v>
      </c>
      <c r="C86" s="21">
        <f t="shared" si="2"/>
        <v>0</v>
      </c>
      <c r="D86" s="18">
        <v>0</v>
      </c>
      <c r="E86" s="21">
        <v>0</v>
      </c>
      <c r="F86" s="51">
        <f t="shared" si="3"/>
        <v>0</v>
      </c>
      <c r="G86" s="18">
        <v>0</v>
      </c>
      <c r="H86" s="18">
        <v>0</v>
      </c>
      <c r="I86" s="12"/>
    </row>
    <row r="87" spans="1:9" ht="15.75" x14ac:dyDescent="0.25">
      <c r="A87" s="29">
        <v>66</v>
      </c>
      <c r="B87" s="23" t="s">
        <v>88</v>
      </c>
      <c r="C87" s="21">
        <f t="shared" si="2"/>
        <v>3154.65</v>
      </c>
      <c r="D87" s="18">
        <v>3154.65</v>
      </c>
      <c r="E87" s="18">
        <v>0</v>
      </c>
      <c r="F87" s="51">
        <f t="shared" si="3"/>
        <v>28103.91</v>
      </c>
      <c r="G87" s="18">
        <v>28103.91</v>
      </c>
      <c r="H87" s="18">
        <v>0</v>
      </c>
      <c r="I87" s="8"/>
    </row>
    <row r="88" spans="1:9" ht="15.75" x14ac:dyDescent="0.25">
      <c r="A88" s="29">
        <v>67</v>
      </c>
      <c r="B88" s="23" t="s">
        <v>89</v>
      </c>
      <c r="C88" s="21">
        <f t="shared" si="2"/>
        <v>716.6</v>
      </c>
      <c r="D88" s="18">
        <v>716.1</v>
      </c>
      <c r="E88" s="18">
        <v>0.5</v>
      </c>
      <c r="F88" s="51">
        <f t="shared" si="3"/>
        <v>801.89</v>
      </c>
      <c r="G88" s="18">
        <v>494.14</v>
      </c>
      <c r="H88" s="18">
        <v>307.75</v>
      </c>
      <c r="I88" s="8"/>
    </row>
    <row r="89" spans="1:9" ht="15.75" x14ac:dyDescent="0.25">
      <c r="A89" s="29">
        <v>68</v>
      </c>
      <c r="B89" s="23" t="s">
        <v>90</v>
      </c>
      <c r="C89" s="21">
        <f t="shared" si="2"/>
        <v>0</v>
      </c>
      <c r="D89" s="18"/>
      <c r="E89" s="18">
        <v>0</v>
      </c>
      <c r="F89" s="51">
        <f t="shared" si="3"/>
        <v>0</v>
      </c>
      <c r="G89" s="18">
        <v>0</v>
      </c>
      <c r="H89" s="18">
        <v>0</v>
      </c>
      <c r="I89" s="8"/>
    </row>
    <row r="90" spans="1:9" ht="15.75" x14ac:dyDescent="0.25">
      <c r="A90" s="29">
        <v>69</v>
      </c>
      <c r="B90" s="23" t="s">
        <v>91</v>
      </c>
      <c r="C90" s="21">
        <f t="shared" si="2"/>
        <v>2</v>
      </c>
      <c r="D90" s="18">
        <v>2</v>
      </c>
      <c r="E90" s="18">
        <v>0</v>
      </c>
      <c r="F90" s="51">
        <f t="shared" si="3"/>
        <v>39.86</v>
      </c>
      <c r="G90" s="18">
        <v>39.86</v>
      </c>
      <c r="H90" s="18">
        <v>0</v>
      </c>
      <c r="I90" s="8"/>
    </row>
    <row r="91" spans="1:9" ht="15.75" x14ac:dyDescent="0.25">
      <c r="A91" s="29">
        <v>70</v>
      </c>
      <c r="B91" s="23" t="s">
        <v>92</v>
      </c>
      <c r="C91" s="21">
        <f t="shared" si="2"/>
        <v>3.72</v>
      </c>
      <c r="D91" s="18">
        <v>3.72</v>
      </c>
      <c r="E91" s="18">
        <v>0</v>
      </c>
      <c r="F91" s="51">
        <f t="shared" si="3"/>
        <v>208.03</v>
      </c>
      <c r="G91" s="18">
        <v>208.03</v>
      </c>
      <c r="H91" s="18">
        <v>0</v>
      </c>
      <c r="I91" s="8"/>
    </row>
    <row r="92" spans="1:9" ht="15.75" x14ac:dyDescent="0.25">
      <c r="A92" s="29">
        <v>71</v>
      </c>
      <c r="B92" s="23" t="s">
        <v>93</v>
      </c>
      <c r="C92" s="21">
        <f t="shared" si="2"/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8"/>
    </row>
    <row r="93" spans="1:9" ht="15.75" x14ac:dyDescent="0.25">
      <c r="A93" s="29">
        <v>72</v>
      </c>
      <c r="B93" s="23" t="s">
        <v>56</v>
      </c>
      <c r="C93" s="21">
        <f t="shared" si="2"/>
        <v>987502.97</v>
      </c>
      <c r="D93" s="18">
        <v>987490.97</v>
      </c>
      <c r="E93" s="18">
        <v>12</v>
      </c>
      <c r="F93" s="51">
        <f t="shared" si="3"/>
        <v>12835340.5</v>
      </c>
      <c r="G93" s="18">
        <v>12833434.300000001</v>
      </c>
      <c r="H93" s="18">
        <v>1906.2</v>
      </c>
      <c r="I93" s="8"/>
    </row>
    <row r="94" spans="1:9" ht="15.75" x14ac:dyDescent="0.25">
      <c r="A94" s="29">
        <v>73</v>
      </c>
      <c r="B94" s="23" t="s">
        <v>94</v>
      </c>
      <c r="C94" s="21">
        <f t="shared" si="2"/>
        <v>6681</v>
      </c>
      <c r="D94" s="18">
        <v>6681</v>
      </c>
      <c r="E94" s="18"/>
      <c r="F94" s="51">
        <f t="shared" si="3"/>
        <v>55818.82</v>
      </c>
      <c r="G94" s="18">
        <v>55818.82</v>
      </c>
      <c r="H94" s="18"/>
      <c r="I94" s="8"/>
    </row>
    <row r="95" spans="1:9" ht="15.75" x14ac:dyDescent="0.25">
      <c r="A95" s="29">
        <v>74</v>
      </c>
      <c r="B95" s="23" t="s">
        <v>95</v>
      </c>
      <c r="C95" s="21">
        <f t="shared" si="2"/>
        <v>8.85</v>
      </c>
      <c r="D95" s="18">
        <v>3.8</v>
      </c>
      <c r="E95" s="18">
        <v>5.05</v>
      </c>
      <c r="F95" s="51">
        <f t="shared" si="3"/>
        <v>2785.36</v>
      </c>
      <c r="G95" s="18">
        <v>890.23</v>
      </c>
      <c r="H95" s="18">
        <v>1895.13</v>
      </c>
      <c r="I95" s="8"/>
    </row>
    <row r="96" spans="1:9" ht="15.75" x14ac:dyDescent="0.25">
      <c r="A96" s="29"/>
      <c r="B96" s="23" t="s">
        <v>192</v>
      </c>
      <c r="C96" s="21">
        <f t="shared" si="2"/>
        <v>0.3</v>
      </c>
      <c r="D96" s="18">
        <v>0.3</v>
      </c>
      <c r="E96" s="18"/>
      <c r="F96" s="51">
        <f t="shared" si="3"/>
        <v>59.89</v>
      </c>
      <c r="G96" s="18">
        <v>59.89</v>
      </c>
      <c r="H96" s="18">
        <v>0</v>
      </c>
      <c r="I96" s="8"/>
    </row>
    <row r="97" spans="1:9" ht="15.75" x14ac:dyDescent="0.25">
      <c r="B97" s="34" t="s">
        <v>77</v>
      </c>
      <c r="C97" s="21">
        <f t="shared" si="2"/>
        <v>0</v>
      </c>
      <c r="D97" s="18">
        <v>0</v>
      </c>
      <c r="E97" s="18">
        <v>0</v>
      </c>
      <c r="F97" s="51">
        <f t="shared" si="3"/>
        <v>0</v>
      </c>
      <c r="G97" s="18">
        <v>0</v>
      </c>
      <c r="H97" s="18">
        <v>0</v>
      </c>
      <c r="I97" s="4"/>
    </row>
    <row r="98" spans="1:9" ht="15.75" x14ac:dyDescent="0.25">
      <c r="B98" s="22" t="s">
        <v>96</v>
      </c>
      <c r="C98" s="21">
        <f t="shared" si="2"/>
        <v>0</v>
      </c>
      <c r="D98" s="18">
        <v>0</v>
      </c>
      <c r="E98" s="18">
        <v>0</v>
      </c>
      <c r="F98" s="51">
        <f t="shared" si="3"/>
        <v>0</v>
      </c>
      <c r="G98" s="18">
        <v>0</v>
      </c>
      <c r="H98" s="18">
        <v>0</v>
      </c>
      <c r="I98" s="13"/>
    </row>
    <row r="99" spans="1:9" ht="15.75" x14ac:dyDescent="0.25">
      <c r="A99" s="29">
        <v>75</v>
      </c>
      <c r="B99" s="35" t="s">
        <v>167</v>
      </c>
      <c r="C99" s="21">
        <f t="shared" si="2"/>
        <v>1</v>
      </c>
      <c r="D99" s="18">
        <v>1</v>
      </c>
      <c r="E99" s="18">
        <v>0</v>
      </c>
      <c r="F99" s="51">
        <f t="shared" si="3"/>
        <v>9049420.0700000003</v>
      </c>
      <c r="G99" s="18">
        <v>9049420.0700000003</v>
      </c>
      <c r="H99" s="18">
        <v>0</v>
      </c>
      <c r="I99" s="8"/>
    </row>
    <row r="100" spans="1:9" ht="15.75" x14ac:dyDescent="0.25">
      <c r="A100" s="29">
        <v>76</v>
      </c>
      <c r="B100" s="35" t="s">
        <v>168</v>
      </c>
      <c r="C100" s="21">
        <f t="shared" si="2"/>
        <v>301</v>
      </c>
      <c r="D100" s="18">
        <v>301</v>
      </c>
      <c r="E100" s="18">
        <v>0</v>
      </c>
      <c r="F100" s="51">
        <f t="shared" si="3"/>
        <v>846.44</v>
      </c>
      <c r="G100" s="18">
        <v>846.44</v>
      </c>
      <c r="H100" s="18">
        <v>0</v>
      </c>
      <c r="I100" s="8"/>
    </row>
    <row r="101" spans="1:9" ht="15.75" x14ac:dyDescent="0.25">
      <c r="A101" s="29">
        <v>77</v>
      </c>
      <c r="B101" s="35" t="s">
        <v>169</v>
      </c>
      <c r="C101" s="21">
        <f t="shared" si="2"/>
        <v>1</v>
      </c>
      <c r="D101" s="18">
        <v>1</v>
      </c>
      <c r="E101" s="18">
        <v>0</v>
      </c>
      <c r="F101" s="51">
        <f t="shared" si="3"/>
        <v>299.49</v>
      </c>
      <c r="G101" s="18">
        <v>299.49</v>
      </c>
      <c r="H101" s="18">
        <v>0</v>
      </c>
      <c r="I101" s="8"/>
    </row>
    <row r="102" spans="1:9" ht="15.75" x14ac:dyDescent="0.25">
      <c r="A102" s="29">
        <v>78</v>
      </c>
      <c r="B102" s="35" t="s">
        <v>170</v>
      </c>
      <c r="C102" s="21">
        <f t="shared" si="2"/>
        <v>1</v>
      </c>
      <c r="D102" s="18">
        <v>0</v>
      </c>
      <c r="E102" s="21">
        <v>1</v>
      </c>
      <c r="F102" s="51">
        <f t="shared" si="3"/>
        <v>34.78</v>
      </c>
      <c r="G102" s="18">
        <v>0</v>
      </c>
      <c r="H102" s="18">
        <v>34.78</v>
      </c>
      <c r="I102" s="8"/>
    </row>
    <row r="103" spans="1:9" ht="15.75" x14ac:dyDescent="0.25">
      <c r="A103" s="29">
        <v>79</v>
      </c>
      <c r="B103" s="14" t="s">
        <v>171</v>
      </c>
      <c r="C103" s="21">
        <f t="shared" si="2"/>
        <v>3</v>
      </c>
      <c r="D103" s="18">
        <v>3</v>
      </c>
      <c r="E103" s="18">
        <v>0</v>
      </c>
      <c r="F103" s="51">
        <f t="shared" si="3"/>
        <v>8.4700000000000006</v>
      </c>
      <c r="G103" s="18">
        <v>8.4700000000000006</v>
      </c>
      <c r="H103" s="18">
        <v>0</v>
      </c>
      <c r="I103" s="8"/>
    </row>
    <row r="104" spans="1:9" ht="15.75" x14ac:dyDescent="0.25">
      <c r="A104" s="29">
        <v>80</v>
      </c>
      <c r="B104" s="14" t="s">
        <v>172</v>
      </c>
      <c r="C104" s="21">
        <f t="shared" si="2"/>
        <v>1</v>
      </c>
      <c r="D104" s="18">
        <v>1</v>
      </c>
      <c r="E104" s="18">
        <v>0</v>
      </c>
      <c r="F104" s="51">
        <f t="shared" si="3"/>
        <v>323.24</v>
      </c>
      <c r="G104" s="18">
        <v>323.24</v>
      </c>
      <c r="H104" s="18">
        <v>0</v>
      </c>
      <c r="I104" s="8"/>
    </row>
    <row r="105" spans="1:9" ht="15.75" x14ac:dyDescent="0.25">
      <c r="A105" s="29">
        <v>81</v>
      </c>
      <c r="B105" s="14" t="s">
        <v>173</v>
      </c>
      <c r="C105" s="21">
        <f t="shared" si="2"/>
        <v>6</v>
      </c>
      <c r="D105" s="18">
        <v>6</v>
      </c>
      <c r="E105" s="18">
        <v>0</v>
      </c>
      <c r="F105" s="51">
        <f t="shared" si="3"/>
        <v>4126.0200000000004</v>
      </c>
      <c r="G105" s="18">
        <v>4126.0200000000004</v>
      </c>
      <c r="H105" s="18">
        <v>0</v>
      </c>
      <c r="I105" s="8"/>
    </row>
    <row r="106" spans="1:9" ht="15.75" x14ac:dyDescent="0.25">
      <c r="A106" s="29">
        <v>82</v>
      </c>
      <c r="B106" s="14" t="s">
        <v>174</v>
      </c>
      <c r="C106" s="21">
        <f t="shared" si="2"/>
        <v>1</v>
      </c>
      <c r="D106" s="18">
        <v>1</v>
      </c>
      <c r="E106" s="18">
        <v>0</v>
      </c>
      <c r="F106" s="51">
        <f t="shared" si="3"/>
        <v>7859.08</v>
      </c>
      <c r="G106" s="18">
        <v>7859.08</v>
      </c>
      <c r="H106" s="18">
        <v>0</v>
      </c>
      <c r="I106" s="8"/>
    </row>
    <row r="107" spans="1:9" ht="15.75" x14ac:dyDescent="0.25">
      <c r="A107" s="29">
        <v>83</v>
      </c>
      <c r="B107" s="14" t="s">
        <v>175</v>
      </c>
      <c r="C107" s="21">
        <f t="shared" si="2"/>
        <v>4693.97</v>
      </c>
      <c r="D107" s="18">
        <v>4690.97</v>
      </c>
      <c r="E107" s="21">
        <v>3</v>
      </c>
      <c r="F107" s="51">
        <f t="shared" si="3"/>
        <v>844.03</v>
      </c>
      <c r="G107" s="18">
        <v>580.28</v>
      </c>
      <c r="H107" s="18">
        <v>263.75</v>
      </c>
      <c r="I107" s="8"/>
    </row>
    <row r="108" spans="1:9" ht="15.75" x14ac:dyDescent="0.25">
      <c r="A108" s="29">
        <v>84</v>
      </c>
      <c r="B108" s="14" t="s">
        <v>176</v>
      </c>
      <c r="C108" s="21">
        <f t="shared" si="2"/>
        <v>14</v>
      </c>
      <c r="D108" s="18">
        <v>14</v>
      </c>
      <c r="E108" s="18">
        <v>0</v>
      </c>
      <c r="F108" s="51">
        <f t="shared" si="3"/>
        <v>107744</v>
      </c>
      <c r="G108" s="18">
        <v>107744</v>
      </c>
      <c r="H108" s="18">
        <v>0</v>
      </c>
      <c r="I108" s="8"/>
    </row>
    <row r="109" spans="1:9" ht="15.75" x14ac:dyDescent="0.25">
      <c r="A109" s="29">
        <v>85</v>
      </c>
      <c r="B109" s="14" t="s">
        <v>177</v>
      </c>
      <c r="C109" s="21">
        <f t="shared" si="2"/>
        <v>3.96</v>
      </c>
      <c r="D109" s="18">
        <v>3.96</v>
      </c>
      <c r="E109" s="18">
        <v>0</v>
      </c>
      <c r="F109" s="51">
        <f t="shared" si="3"/>
        <v>184.7</v>
      </c>
      <c r="G109" s="18">
        <v>184.7</v>
      </c>
      <c r="H109" s="18">
        <v>0</v>
      </c>
      <c r="I109" s="8"/>
    </row>
    <row r="110" spans="1:9" ht="15.75" x14ac:dyDescent="0.25">
      <c r="A110" s="29">
        <v>86</v>
      </c>
      <c r="B110" s="14" t="s">
        <v>178</v>
      </c>
      <c r="C110" s="21">
        <f t="shared" si="2"/>
        <v>2</v>
      </c>
      <c r="D110" s="18">
        <v>2</v>
      </c>
      <c r="E110" s="18">
        <v>0</v>
      </c>
      <c r="F110" s="51">
        <f t="shared" si="3"/>
        <v>3594459.8</v>
      </c>
      <c r="G110" s="18">
        <v>3594459.8</v>
      </c>
      <c r="H110" s="18">
        <v>0</v>
      </c>
      <c r="I110" s="8"/>
    </row>
    <row r="111" spans="1:9" ht="15.75" x14ac:dyDescent="0.25">
      <c r="A111" s="29">
        <v>87</v>
      </c>
      <c r="B111" s="14" t="s">
        <v>139</v>
      </c>
      <c r="C111" s="21">
        <f t="shared" si="2"/>
        <v>1226.54</v>
      </c>
      <c r="D111" s="18">
        <v>1226.54</v>
      </c>
      <c r="E111" s="18">
        <v>0</v>
      </c>
      <c r="F111" s="51">
        <f t="shared" si="3"/>
        <v>3298.16</v>
      </c>
      <c r="G111" s="18">
        <v>3298.16</v>
      </c>
      <c r="H111" s="18">
        <v>0</v>
      </c>
      <c r="I111" s="8"/>
    </row>
    <row r="112" spans="1:9" ht="15.75" x14ac:dyDescent="0.25">
      <c r="A112" s="29">
        <v>88</v>
      </c>
      <c r="B112" s="14" t="s">
        <v>179</v>
      </c>
      <c r="C112" s="21">
        <f t="shared" si="2"/>
        <v>14</v>
      </c>
      <c r="D112" s="18">
        <v>14</v>
      </c>
      <c r="E112" s="18">
        <v>0</v>
      </c>
      <c r="F112" s="51">
        <f t="shared" si="3"/>
        <v>181963.36</v>
      </c>
      <c r="G112" s="18">
        <v>181963.36</v>
      </c>
      <c r="H112" s="18">
        <v>0</v>
      </c>
      <c r="I112" s="8"/>
    </row>
    <row r="113" spans="1:9" ht="15.75" x14ac:dyDescent="0.25">
      <c r="A113" s="29">
        <v>89</v>
      </c>
      <c r="B113" s="14" t="s">
        <v>180</v>
      </c>
      <c r="C113" s="21">
        <f t="shared" si="2"/>
        <v>1.96</v>
      </c>
      <c r="D113" s="18">
        <v>1.96</v>
      </c>
      <c r="E113" s="18">
        <v>0</v>
      </c>
      <c r="F113" s="51">
        <f t="shared" si="3"/>
        <v>1169.26</v>
      </c>
      <c r="G113" s="18">
        <v>1169.26</v>
      </c>
      <c r="H113" s="18">
        <v>0</v>
      </c>
      <c r="I113" s="8"/>
    </row>
    <row r="114" spans="1:9" ht="15.75" x14ac:dyDescent="0.25">
      <c r="A114" s="29">
        <v>90</v>
      </c>
      <c r="B114" s="14" t="s">
        <v>143</v>
      </c>
      <c r="C114" s="21">
        <f t="shared" si="2"/>
        <v>4682.6499999999996</v>
      </c>
      <c r="D114" s="18">
        <v>4682.6499999999996</v>
      </c>
      <c r="E114" s="18">
        <v>0</v>
      </c>
      <c r="F114" s="51">
        <f t="shared" si="3"/>
        <v>141.58000000000001</v>
      </c>
      <c r="G114" s="18">
        <v>141.58000000000001</v>
      </c>
      <c r="H114" s="18">
        <v>0</v>
      </c>
      <c r="I114" s="8"/>
    </row>
    <row r="115" spans="1:9" ht="15.75" x14ac:dyDescent="0.25">
      <c r="A115" s="29">
        <v>91</v>
      </c>
      <c r="B115" s="14" t="s">
        <v>144</v>
      </c>
      <c r="C115" s="21">
        <f t="shared" si="2"/>
        <v>25</v>
      </c>
      <c r="D115" s="18">
        <v>25</v>
      </c>
      <c r="E115" s="18">
        <v>0</v>
      </c>
      <c r="F115" s="51">
        <f t="shared" si="3"/>
        <v>37695.550000000003</v>
      </c>
      <c r="G115" s="18">
        <v>37695.550000000003</v>
      </c>
      <c r="H115" s="18">
        <v>0</v>
      </c>
      <c r="I115" s="8"/>
    </row>
    <row r="116" spans="1:9" ht="15.75" x14ac:dyDescent="0.25">
      <c r="A116" s="29">
        <v>92</v>
      </c>
      <c r="B116" s="14" t="s">
        <v>181</v>
      </c>
      <c r="C116" s="21">
        <f t="shared" si="2"/>
        <v>25000</v>
      </c>
      <c r="D116" s="18">
        <v>25000</v>
      </c>
      <c r="E116" s="18">
        <v>0</v>
      </c>
      <c r="F116" s="51">
        <f t="shared" si="3"/>
        <v>76920</v>
      </c>
      <c r="G116" s="18">
        <v>76920</v>
      </c>
      <c r="H116" s="18">
        <v>0</v>
      </c>
      <c r="I116" s="8"/>
    </row>
    <row r="117" spans="1:9" ht="15.75" x14ac:dyDescent="0.25">
      <c r="A117" s="29">
        <v>93</v>
      </c>
      <c r="B117" s="14" t="s">
        <v>182</v>
      </c>
      <c r="C117" s="21">
        <f t="shared" si="2"/>
        <v>104.95</v>
      </c>
      <c r="D117" s="18">
        <v>104.95</v>
      </c>
      <c r="E117" s="18">
        <v>0</v>
      </c>
      <c r="F117" s="51">
        <f t="shared" si="3"/>
        <v>401.63</v>
      </c>
      <c r="G117" s="18">
        <v>401.63</v>
      </c>
      <c r="H117" s="18">
        <v>0</v>
      </c>
      <c r="I117" s="8"/>
    </row>
    <row r="118" spans="1:9" ht="15.75" x14ac:dyDescent="0.25">
      <c r="A118" s="29">
        <v>94</v>
      </c>
      <c r="B118" s="14" t="s">
        <v>183</v>
      </c>
      <c r="C118" s="21">
        <f t="shared" si="2"/>
        <v>1</v>
      </c>
      <c r="D118" s="18">
        <v>1</v>
      </c>
      <c r="E118" s="18">
        <v>0</v>
      </c>
      <c r="F118" s="51">
        <f t="shared" si="3"/>
        <v>784.89</v>
      </c>
      <c r="G118" s="18">
        <v>784.89</v>
      </c>
      <c r="H118" s="18">
        <v>0</v>
      </c>
      <c r="I118" s="8"/>
    </row>
    <row r="119" spans="1:9" ht="15.75" x14ac:dyDescent="0.25">
      <c r="A119" s="29">
        <v>95</v>
      </c>
      <c r="B119" s="14" t="s">
        <v>184</v>
      </c>
      <c r="C119" s="21">
        <f t="shared" si="2"/>
        <v>2</v>
      </c>
      <c r="D119" s="18">
        <v>2</v>
      </c>
      <c r="E119" s="18">
        <v>0</v>
      </c>
      <c r="F119" s="51">
        <f t="shared" si="3"/>
        <v>785.91</v>
      </c>
      <c r="G119" s="18">
        <v>785.91</v>
      </c>
      <c r="H119" s="18">
        <v>0</v>
      </c>
      <c r="I119" s="8"/>
    </row>
    <row r="120" spans="1:9" ht="15.75" x14ac:dyDescent="0.25">
      <c r="A120" s="29">
        <v>96</v>
      </c>
      <c r="B120" s="14" t="s">
        <v>147</v>
      </c>
      <c r="C120" s="21">
        <f t="shared" si="2"/>
        <v>4</v>
      </c>
      <c r="D120" s="18">
        <v>0</v>
      </c>
      <c r="E120" s="21">
        <v>4</v>
      </c>
      <c r="F120" s="51">
        <f t="shared" si="3"/>
        <v>1077.1199999999999</v>
      </c>
      <c r="G120" s="18">
        <v>0</v>
      </c>
      <c r="H120" s="18">
        <v>1077.1199999999999</v>
      </c>
      <c r="I120" s="8"/>
    </row>
    <row r="121" spans="1:9" ht="15.75" x14ac:dyDescent="0.25">
      <c r="A121" s="29">
        <v>97</v>
      </c>
      <c r="B121" s="14" t="s">
        <v>149</v>
      </c>
      <c r="C121" s="21">
        <f t="shared" si="2"/>
        <v>0.5</v>
      </c>
      <c r="D121" s="18">
        <v>0.5</v>
      </c>
      <c r="E121" s="18">
        <v>0</v>
      </c>
      <c r="F121" s="51">
        <f t="shared" si="3"/>
        <v>138.58000000000001</v>
      </c>
      <c r="G121" s="18">
        <v>138.58000000000001</v>
      </c>
      <c r="H121" s="18">
        <v>0</v>
      </c>
      <c r="I121" s="8"/>
    </row>
    <row r="122" spans="1:9" ht="15.75" x14ac:dyDescent="0.25">
      <c r="A122" s="29">
        <v>98</v>
      </c>
      <c r="B122" s="14" t="s">
        <v>185</v>
      </c>
      <c r="C122" s="21">
        <f t="shared" si="2"/>
        <v>1</v>
      </c>
      <c r="D122" s="18">
        <v>1</v>
      </c>
      <c r="E122" s="18">
        <v>0</v>
      </c>
      <c r="F122" s="51">
        <f t="shared" si="3"/>
        <v>7.7</v>
      </c>
      <c r="G122" s="18">
        <v>7.7</v>
      </c>
      <c r="H122" s="18">
        <v>0</v>
      </c>
      <c r="I122" s="8"/>
    </row>
    <row r="123" spans="1:9" ht="15.75" x14ac:dyDescent="0.25">
      <c r="A123" s="29">
        <v>99</v>
      </c>
      <c r="B123" s="14" t="s">
        <v>186</v>
      </c>
      <c r="C123" s="21">
        <f t="shared" si="2"/>
        <v>781.85</v>
      </c>
      <c r="D123" s="18">
        <v>781.85</v>
      </c>
      <c r="E123" s="18">
        <v>0</v>
      </c>
      <c r="F123" s="51">
        <f t="shared" si="3"/>
        <v>7010.08</v>
      </c>
      <c r="G123" s="18">
        <v>7010.08</v>
      </c>
      <c r="H123" s="18">
        <v>0</v>
      </c>
      <c r="I123" s="8"/>
    </row>
    <row r="124" spans="1:9" ht="15.75" x14ac:dyDescent="0.25">
      <c r="A124" s="29">
        <v>100</v>
      </c>
      <c r="B124" s="14" t="s">
        <v>187</v>
      </c>
      <c r="C124" s="21">
        <f t="shared" si="2"/>
        <v>812880</v>
      </c>
      <c r="D124" s="18">
        <v>812880</v>
      </c>
      <c r="E124" s="18">
        <v>0</v>
      </c>
      <c r="F124" s="51">
        <f t="shared" si="3"/>
        <v>2470727.54</v>
      </c>
      <c r="G124" s="18">
        <v>2470727.54</v>
      </c>
      <c r="H124" s="18">
        <v>0</v>
      </c>
      <c r="I124" s="8"/>
    </row>
    <row r="125" spans="1:9" ht="15.75" x14ac:dyDescent="0.25">
      <c r="A125" s="29">
        <v>101</v>
      </c>
      <c r="B125" s="14" t="s">
        <v>188</v>
      </c>
      <c r="C125" s="21">
        <f t="shared" si="2"/>
        <v>5</v>
      </c>
      <c r="D125" s="18">
        <v>5</v>
      </c>
      <c r="E125" s="18">
        <v>0</v>
      </c>
      <c r="F125" s="51">
        <f t="shared" si="3"/>
        <v>12279.81</v>
      </c>
      <c r="G125" s="18">
        <v>12279.81</v>
      </c>
      <c r="H125" s="18">
        <v>0</v>
      </c>
      <c r="I125" s="8"/>
    </row>
    <row r="126" spans="1:9" ht="15.75" x14ac:dyDescent="0.25">
      <c r="A126" s="29">
        <v>102</v>
      </c>
      <c r="B126" s="14" t="s">
        <v>189</v>
      </c>
      <c r="C126" s="21">
        <f t="shared" si="2"/>
        <v>5</v>
      </c>
      <c r="D126" s="18">
        <v>5</v>
      </c>
      <c r="E126" s="18">
        <v>0</v>
      </c>
      <c r="F126" s="51">
        <f t="shared" si="3"/>
        <v>1473.58</v>
      </c>
      <c r="G126" s="18">
        <v>1473.58</v>
      </c>
      <c r="H126" s="18">
        <v>0</v>
      </c>
      <c r="I126" s="8"/>
    </row>
    <row r="127" spans="1:9" ht="15.75" x14ac:dyDescent="0.25">
      <c r="A127" s="29">
        <v>103</v>
      </c>
      <c r="B127" s="14"/>
      <c r="C127" s="21"/>
      <c r="D127" s="18"/>
      <c r="E127" s="21"/>
      <c r="F127" s="51"/>
      <c r="G127" s="18"/>
      <c r="H127" s="18"/>
      <c r="I127" s="8"/>
    </row>
    <row r="128" spans="1:9" ht="15.75" x14ac:dyDescent="0.25">
      <c r="A128" s="29"/>
      <c r="B128" s="33" t="s">
        <v>12</v>
      </c>
      <c r="C128" s="21"/>
      <c r="D128" s="18"/>
      <c r="E128" s="18"/>
      <c r="F128" s="51"/>
      <c r="G128" s="18"/>
      <c r="H128" s="18"/>
      <c r="I128" s="8"/>
    </row>
    <row r="129" spans="1:9" ht="15.75" x14ac:dyDescent="0.25">
      <c r="A129" s="29"/>
      <c r="B129" s="33"/>
      <c r="C129" s="21"/>
      <c r="D129" s="18"/>
      <c r="E129" s="21"/>
      <c r="F129" s="51"/>
      <c r="G129" s="18"/>
      <c r="H129" s="18"/>
      <c r="I129" s="8"/>
    </row>
    <row r="130" spans="1:9" ht="15.75" x14ac:dyDescent="0.25">
      <c r="A130" s="29">
        <v>104</v>
      </c>
      <c r="B130" s="23" t="s">
        <v>97</v>
      </c>
      <c r="C130" s="21">
        <f t="shared" si="2"/>
        <v>378509.26</v>
      </c>
      <c r="D130" s="18">
        <v>1226</v>
      </c>
      <c r="E130" s="21">
        <f t="shared" ref="E130:E131" si="4">F130+G130</f>
        <v>377283.26</v>
      </c>
      <c r="F130" s="51">
        <f t="shared" si="3"/>
        <v>188641.63</v>
      </c>
      <c r="G130" s="18">
        <v>188641.63</v>
      </c>
      <c r="H130" s="18">
        <v>0</v>
      </c>
      <c r="I130" s="8"/>
    </row>
    <row r="131" spans="1:9" ht="15.75" x14ac:dyDescent="0.25">
      <c r="A131" s="29"/>
      <c r="B131" s="23" t="s">
        <v>166</v>
      </c>
      <c r="C131" s="21">
        <f t="shared" si="2"/>
        <v>121.12</v>
      </c>
      <c r="D131" s="18">
        <v>1</v>
      </c>
      <c r="E131" s="21">
        <f t="shared" si="4"/>
        <v>120.12</v>
      </c>
      <c r="F131" s="51">
        <f t="shared" si="3"/>
        <v>60.06</v>
      </c>
      <c r="G131" s="18">
        <v>60.06</v>
      </c>
      <c r="H131" s="18">
        <v>0</v>
      </c>
      <c r="I131" s="8"/>
    </row>
    <row r="132" spans="1:9" ht="15.75" x14ac:dyDescent="0.25">
      <c r="A132" s="29">
        <v>105</v>
      </c>
      <c r="B132" s="23" t="s">
        <v>98</v>
      </c>
      <c r="C132" s="21">
        <f t="shared" si="2"/>
        <v>0</v>
      </c>
      <c r="D132" s="18">
        <v>0</v>
      </c>
      <c r="E132" s="19">
        <v>0</v>
      </c>
      <c r="F132" s="21">
        <f t="shared" si="3"/>
        <v>0</v>
      </c>
      <c r="G132" s="18">
        <v>0</v>
      </c>
      <c r="H132" s="18">
        <v>0</v>
      </c>
      <c r="I132" s="8"/>
    </row>
    <row r="133" spans="1:9" ht="15.75" x14ac:dyDescent="0.25">
      <c r="A133" s="29">
        <v>106</v>
      </c>
      <c r="B133" s="62" t="s">
        <v>99</v>
      </c>
      <c r="C133" s="21">
        <f t="shared" si="2"/>
        <v>0</v>
      </c>
      <c r="D133" s="18">
        <v>0</v>
      </c>
      <c r="E133" s="19">
        <v>0</v>
      </c>
      <c r="F133" s="21">
        <f t="shared" si="3"/>
        <v>0</v>
      </c>
      <c r="G133" s="18">
        <v>0</v>
      </c>
      <c r="H133" s="18">
        <v>0</v>
      </c>
      <c r="I133" s="8"/>
    </row>
    <row r="134" spans="1:9" ht="15.75" x14ac:dyDescent="0.25">
      <c r="A134" s="29">
        <v>107</v>
      </c>
      <c r="B134" s="62" t="s">
        <v>100</v>
      </c>
      <c r="C134" s="21">
        <f t="shared" si="2"/>
        <v>0</v>
      </c>
      <c r="D134" s="18">
        <v>0</v>
      </c>
      <c r="E134" s="19">
        <v>0</v>
      </c>
      <c r="F134" s="21">
        <f t="shared" si="3"/>
        <v>0</v>
      </c>
      <c r="G134" s="18">
        <v>0</v>
      </c>
      <c r="H134" s="18">
        <v>0</v>
      </c>
      <c r="I134" s="8"/>
    </row>
    <row r="135" spans="1:9" ht="15.75" x14ac:dyDescent="0.25">
      <c r="A135" s="29">
        <v>108</v>
      </c>
      <c r="B135" s="62" t="s">
        <v>101</v>
      </c>
      <c r="C135" s="21">
        <f t="shared" si="2"/>
        <v>0</v>
      </c>
      <c r="D135" s="18">
        <v>0</v>
      </c>
      <c r="E135" s="19">
        <v>0</v>
      </c>
      <c r="F135" s="21">
        <f t="shared" si="3"/>
        <v>0</v>
      </c>
      <c r="G135" s="18">
        <v>0</v>
      </c>
      <c r="H135" s="18">
        <v>0</v>
      </c>
      <c r="I135" s="8"/>
    </row>
    <row r="136" spans="1:9" ht="15.75" x14ac:dyDescent="0.25">
      <c r="A136" s="29"/>
      <c r="B136" s="33" t="s">
        <v>102</v>
      </c>
      <c r="C136" s="21">
        <f t="shared" ref="C136:F160" si="5">D136+E136</f>
        <v>0</v>
      </c>
      <c r="D136" s="18">
        <v>0</v>
      </c>
      <c r="E136" s="19">
        <v>0</v>
      </c>
      <c r="F136" s="21">
        <f t="shared" si="5"/>
        <v>0</v>
      </c>
      <c r="G136" s="18">
        <v>0</v>
      </c>
      <c r="H136" s="18">
        <v>0</v>
      </c>
      <c r="I136" s="8"/>
    </row>
    <row r="137" spans="1:9" ht="15.75" x14ac:dyDescent="0.25">
      <c r="A137" s="29">
        <v>109</v>
      </c>
      <c r="B137" s="23" t="s">
        <v>103</v>
      </c>
      <c r="C137" s="21">
        <f t="shared" si="5"/>
        <v>0</v>
      </c>
      <c r="D137" s="18">
        <v>0</v>
      </c>
      <c r="E137" s="19">
        <v>0</v>
      </c>
      <c r="F137" s="21">
        <f t="shared" si="5"/>
        <v>0</v>
      </c>
      <c r="G137" s="18">
        <v>0</v>
      </c>
      <c r="H137" s="18">
        <v>0</v>
      </c>
      <c r="I137" s="8"/>
    </row>
    <row r="138" spans="1:9" ht="15.75" x14ac:dyDescent="0.25">
      <c r="A138" s="29"/>
      <c r="B138" s="33" t="s">
        <v>12</v>
      </c>
      <c r="C138" s="21">
        <f t="shared" si="5"/>
        <v>0</v>
      </c>
      <c r="D138" s="18">
        <v>0</v>
      </c>
      <c r="E138" s="19">
        <v>0</v>
      </c>
      <c r="F138" s="21">
        <f t="shared" si="5"/>
        <v>0</v>
      </c>
      <c r="G138" s="18">
        <v>0</v>
      </c>
      <c r="H138" s="18">
        <v>0</v>
      </c>
      <c r="I138" s="4"/>
    </row>
    <row r="139" spans="1:9" ht="15.75" x14ac:dyDescent="0.25">
      <c r="B139" s="22" t="s">
        <v>104</v>
      </c>
      <c r="C139" s="21">
        <f t="shared" si="5"/>
        <v>0</v>
      </c>
      <c r="D139" s="18">
        <v>0</v>
      </c>
      <c r="E139" s="19">
        <v>0</v>
      </c>
      <c r="F139" s="21">
        <f t="shared" si="5"/>
        <v>0</v>
      </c>
      <c r="G139" s="18">
        <v>0</v>
      </c>
      <c r="H139" s="18">
        <v>0</v>
      </c>
      <c r="I139" s="4"/>
    </row>
    <row r="140" spans="1:9" ht="15.75" x14ac:dyDescent="0.25">
      <c r="A140" s="29">
        <v>110</v>
      </c>
      <c r="B140" s="23" t="s">
        <v>105</v>
      </c>
      <c r="C140" s="21">
        <f t="shared" si="5"/>
        <v>189</v>
      </c>
      <c r="D140" s="18">
        <v>184</v>
      </c>
      <c r="E140" s="19">
        <v>5</v>
      </c>
      <c r="F140" s="21">
        <f t="shared" ref="F140:F160" si="6">G140+H140</f>
        <v>680990.42999999993</v>
      </c>
      <c r="G140" s="18">
        <v>680863.22</v>
      </c>
      <c r="H140" s="18">
        <v>127.21</v>
      </c>
      <c r="I140" s="8"/>
    </row>
    <row r="141" spans="1:9" ht="15.75" x14ac:dyDescent="0.25">
      <c r="A141" s="29">
        <v>111</v>
      </c>
      <c r="B141" s="23" t="s">
        <v>106</v>
      </c>
      <c r="C141" s="21">
        <f t="shared" si="5"/>
        <v>0</v>
      </c>
      <c r="D141" s="18">
        <v>0</v>
      </c>
      <c r="E141" s="18">
        <v>0</v>
      </c>
      <c r="F141" s="51"/>
      <c r="G141" s="18"/>
      <c r="H141" s="18"/>
      <c r="I141" s="8"/>
    </row>
    <row r="142" spans="1:9" ht="15.75" x14ac:dyDescent="0.25">
      <c r="A142" s="29">
        <v>112</v>
      </c>
      <c r="B142" s="23" t="s">
        <v>107</v>
      </c>
      <c r="C142" s="21">
        <f t="shared" si="5"/>
        <v>0</v>
      </c>
      <c r="D142" s="18">
        <v>0</v>
      </c>
      <c r="E142" s="18">
        <v>0</v>
      </c>
      <c r="F142" s="51">
        <f t="shared" si="6"/>
        <v>0</v>
      </c>
      <c r="G142" s="18"/>
      <c r="H142" s="18"/>
      <c r="I142" s="8"/>
    </row>
    <row r="143" spans="1:9" ht="15.75" x14ac:dyDescent="0.25">
      <c r="A143" s="29">
        <v>113</v>
      </c>
      <c r="B143" s="23" t="s">
        <v>108</v>
      </c>
      <c r="C143" s="21">
        <f t="shared" si="5"/>
        <v>812880</v>
      </c>
      <c r="D143" s="18">
        <v>812880</v>
      </c>
      <c r="E143" s="18">
        <v>0</v>
      </c>
      <c r="F143" s="51">
        <f t="shared" si="6"/>
        <v>2470727.54</v>
      </c>
      <c r="G143" s="18">
        <v>2470727.54</v>
      </c>
      <c r="H143" s="18">
        <v>0</v>
      </c>
      <c r="I143" s="8"/>
    </row>
    <row r="144" spans="1:9" ht="15.75" x14ac:dyDescent="0.25">
      <c r="A144" s="29">
        <v>114</v>
      </c>
      <c r="B144" s="23" t="s">
        <v>109</v>
      </c>
      <c r="C144" s="21">
        <f t="shared" si="5"/>
        <v>50</v>
      </c>
      <c r="D144" s="18">
        <v>50</v>
      </c>
      <c r="E144" s="18">
        <v>0</v>
      </c>
      <c r="F144" s="51">
        <f t="shared" si="6"/>
        <v>1077.6500000000001</v>
      </c>
      <c r="G144" s="18">
        <v>1077.6500000000001</v>
      </c>
      <c r="H144" s="18">
        <v>0</v>
      </c>
      <c r="I144" s="8"/>
    </row>
    <row r="145" spans="1:9" ht="15.75" x14ac:dyDescent="0.25">
      <c r="A145" s="29">
        <v>115</v>
      </c>
      <c r="B145" s="23" t="s">
        <v>110</v>
      </c>
      <c r="C145" s="21">
        <f t="shared" si="5"/>
        <v>12948213</v>
      </c>
      <c r="D145" s="18">
        <v>12929213</v>
      </c>
      <c r="E145" s="18">
        <v>19000</v>
      </c>
      <c r="F145" s="51">
        <f t="shared" si="6"/>
        <v>29856018.949999999</v>
      </c>
      <c r="G145" s="18">
        <v>29855535.57</v>
      </c>
      <c r="H145" s="18">
        <v>483.38</v>
      </c>
      <c r="I145" s="8"/>
    </row>
    <row r="146" spans="1:9" ht="15.75" x14ac:dyDescent="0.25">
      <c r="A146" s="29">
        <v>116</v>
      </c>
      <c r="B146" s="23" t="s">
        <v>111</v>
      </c>
      <c r="C146" s="21">
        <f t="shared" si="5"/>
        <v>6195000</v>
      </c>
      <c r="D146" s="18">
        <v>6195000</v>
      </c>
      <c r="E146" s="18">
        <v>0</v>
      </c>
      <c r="F146" s="51">
        <f t="shared" si="6"/>
        <v>13333330.51</v>
      </c>
      <c r="G146" s="18">
        <v>13333330.51</v>
      </c>
      <c r="H146" s="18">
        <v>0</v>
      </c>
      <c r="I146" s="8"/>
    </row>
    <row r="147" spans="1:9" ht="15.75" x14ac:dyDescent="0.25">
      <c r="A147" s="29">
        <v>117</v>
      </c>
      <c r="B147" s="23" t="s">
        <v>112</v>
      </c>
      <c r="C147" s="21">
        <f t="shared" si="5"/>
        <v>0</v>
      </c>
      <c r="D147" s="21">
        <f t="shared" si="5"/>
        <v>0</v>
      </c>
      <c r="E147" s="19">
        <v>0</v>
      </c>
      <c r="F147" s="51">
        <f t="shared" si="6"/>
        <v>0</v>
      </c>
      <c r="G147" s="18">
        <v>0</v>
      </c>
      <c r="H147" s="18">
        <v>0</v>
      </c>
      <c r="I147" s="8"/>
    </row>
    <row r="148" spans="1:9" ht="15.75" x14ac:dyDescent="0.25">
      <c r="A148" s="29">
        <v>118</v>
      </c>
      <c r="B148" s="23" t="s">
        <v>113</v>
      </c>
      <c r="C148" s="21">
        <f t="shared" si="5"/>
        <v>376500</v>
      </c>
      <c r="D148" s="18">
        <v>376500</v>
      </c>
      <c r="E148" s="19">
        <v>0</v>
      </c>
      <c r="F148" s="51">
        <f t="shared" si="6"/>
        <v>12452419.869999999</v>
      </c>
      <c r="G148" s="18">
        <v>12452419.869999999</v>
      </c>
      <c r="H148" s="18">
        <v>0</v>
      </c>
      <c r="I148" s="8"/>
    </row>
    <row r="149" spans="1:9" ht="15.75" x14ac:dyDescent="0.25">
      <c r="A149" s="29">
        <v>119</v>
      </c>
      <c r="B149" s="23" t="s">
        <v>114</v>
      </c>
      <c r="C149" s="21">
        <f t="shared" si="5"/>
        <v>383607</v>
      </c>
      <c r="D149" s="18">
        <v>383607</v>
      </c>
      <c r="E149" s="19">
        <v>0</v>
      </c>
      <c r="F149" s="51">
        <f t="shared" si="6"/>
        <v>1877258.44</v>
      </c>
      <c r="G149" s="18">
        <v>1877258.44</v>
      </c>
      <c r="H149" s="18">
        <v>0</v>
      </c>
      <c r="I149" s="8"/>
    </row>
    <row r="150" spans="1:9" ht="15.75" x14ac:dyDescent="0.25">
      <c r="A150" s="29">
        <v>120</v>
      </c>
      <c r="B150" s="23" t="s">
        <v>115</v>
      </c>
      <c r="C150" s="21">
        <f t="shared" si="5"/>
        <v>0</v>
      </c>
      <c r="D150" s="18">
        <v>0</v>
      </c>
      <c r="E150" s="19">
        <v>0</v>
      </c>
      <c r="F150" s="51">
        <f t="shared" si="6"/>
        <v>0</v>
      </c>
      <c r="G150" s="18">
        <v>0</v>
      </c>
      <c r="H150" s="18">
        <v>0</v>
      </c>
      <c r="I150" s="8"/>
    </row>
    <row r="151" spans="1:9" ht="15.75" x14ac:dyDescent="0.25">
      <c r="A151" s="29">
        <v>121</v>
      </c>
      <c r="B151" s="62" t="s">
        <v>116</v>
      </c>
      <c r="C151" s="21">
        <f t="shared" si="5"/>
        <v>1</v>
      </c>
      <c r="D151" s="18">
        <v>1</v>
      </c>
      <c r="E151" s="19">
        <v>0</v>
      </c>
      <c r="F151" s="51">
        <f t="shared" si="6"/>
        <v>746.61</v>
      </c>
      <c r="G151" s="18">
        <v>746.61</v>
      </c>
      <c r="H151" s="18">
        <v>0</v>
      </c>
      <c r="I151" s="8"/>
    </row>
    <row r="152" spans="1:9" ht="15.75" x14ac:dyDescent="0.25">
      <c r="A152" s="29">
        <v>122</v>
      </c>
      <c r="B152" s="62" t="s">
        <v>122</v>
      </c>
      <c r="C152" s="21">
        <f t="shared" si="5"/>
        <v>44000</v>
      </c>
      <c r="D152" s="18">
        <v>44000</v>
      </c>
      <c r="E152" s="19">
        <v>0</v>
      </c>
      <c r="F152" s="51">
        <f t="shared" si="6"/>
        <v>94201.08</v>
      </c>
      <c r="G152" s="18">
        <v>94201.08</v>
      </c>
      <c r="H152" s="18">
        <v>0</v>
      </c>
      <c r="I152" s="8"/>
    </row>
    <row r="153" spans="1:9" ht="15.75" x14ac:dyDescent="0.25">
      <c r="A153" s="29">
        <v>123</v>
      </c>
      <c r="B153" s="62" t="s">
        <v>123</v>
      </c>
      <c r="C153" s="21">
        <f t="shared" si="5"/>
        <v>300000</v>
      </c>
      <c r="D153" s="18">
        <v>300000</v>
      </c>
      <c r="E153" s="19">
        <v>0</v>
      </c>
      <c r="F153" s="51">
        <f t="shared" si="6"/>
        <v>261721.5</v>
      </c>
      <c r="G153" s="18">
        <v>261721.5</v>
      </c>
      <c r="H153" s="18">
        <v>0</v>
      </c>
      <c r="I153" s="8"/>
    </row>
    <row r="154" spans="1:9" ht="15.75" x14ac:dyDescent="0.25">
      <c r="A154" s="29">
        <v>124</v>
      </c>
      <c r="B154" s="62" t="s">
        <v>124</v>
      </c>
      <c r="C154" s="21">
        <f t="shared" si="5"/>
        <v>110000</v>
      </c>
      <c r="D154" s="18">
        <v>110000</v>
      </c>
      <c r="E154" s="19">
        <v>0</v>
      </c>
      <c r="F154" s="51">
        <f t="shared" si="6"/>
        <v>253907.63</v>
      </c>
      <c r="G154" s="18">
        <v>253907.63</v>
      </c>
      <c r="H154" s="18">
        <v>0</v>
      </c>
      <c r="I154" s="8"/>
    </row>
    <row r="155" spans="1:9" x14ac:dyDescent="0.25">
      <c r="A155" s="29">
        <v>125</v>
      </c>
      <c r="B155" s="62" t="s">
        <v>125</v>
      </c>
      <c r="C155" s="21">
        <f t="shared" si="5"/>
        <v>25</v>
      </c>
      <c r="D155" s="18">
        <v>25</v>
      </c>
      <c r="E155" s="19">
        <v>0</v>
      </c>
      <c r="F155" s="51">
        <f t="shared" si="6"/>
        <v>57712.5</v>
      </c>
      <c r="G155" s="18">
        <v>57712.5</v>
      </c>
      <c r="H155" s="18">
        <v>0</v>
      </c>
    </row>
    <row r="156" spans="1:9" ht="15.75" x14ac:dyDescent="0.25">
      <c r="A156" s="29">
        <v>126</v>
      </c>
      <c r="B156" s="62" t="s">
        <v>161</v>
      </c>
      <c r="C156" s="21">
        <f t="shared" si="5"/>
        <v>1575000</v>
      </c>
      <c r="D156" s="18">
        <v>1575000</v>
      </c>
      <c r="E156" s="19">
        <v>0</v>
      </c>
      <c r="F156" s="51">
        <f t="shared" si="6"/>
        <v>3100795.08</v>
      </c>
      <c r="G156" s="18">
        <v>3100795.08</v>
      </c>
      <c r="H156" s="18">
        <v>0</v>
      </c>
      <c r="I156" s="8"/>
    </row>
    <row r="157" spans="1:9" x14ac:dyDescent="0.25">
      <c r="A157" s="29">
        <v>127</v>
      </c>
      <c r="B157" s="62" t="s">
        <v>162</v>
      </c>
      <c r="C157" s="21">
        <f t="shared" si="5"/>
        <v>695</v>
      </c>
      <c r="D157" s="18">
        <v>695</v>
      </c>
      <c r="E157" s="19">
        <v>0</v>
      </c>
      <c r="F157" s="51">
        <f t="shared" si="6"/>
        <v>1932776.85</v>
      </c>
      <c r="G157" s="18">
        <v>1932776.85</v>
      </c>
      <c r="H157" s="18">
        <v>0</v>
      </c>
    </row>
    <row r="158" spans="1:9" x14ac:dyDescent="0.25">
      <c r="A158" s="29">
        <v>128</v>
      </c>
      <c r="B158" s="62" t="s">
        <v>163</v>
      </c>
      <c r="C158" s="21">
        <f t="shared" si="5"/>
        <v>1</v>
      </c>
      <c r="D158" s="18">
        <v>1</v>
      </c>
      <c r="E158" s="19">
        <v>0</v>
      </c>
      <c r="F158" s="51">
        <f t="shared" si="6"/>
        <v>4518.97</v>
      </c>
      <c r="G158" s="18">
        <v>4518.97</v>
      </c>
      <c r="H158" s="18">
        <v>0</v>
      </c>
    </row>
    <row r="159" spans="1:9" x14ac:dyDescent="0.25">
      <c r="A159" s="29">
        <v>129</v>
      </c>
      <c r="B159" s="62" t="s">
        <v>164</v>
      </c>
      <c r="C159" s="21">
        <f t="shared" si="5"/>
        <v>2</v>
      </c>
      <c r="D159" s="18">
        <v>2</v>
      </c>
      <c r="E159" s="19">
        <v>0</v>
      </c>
      <c r="F159" s="51">
        <f t="shared" si="6"/>
        <v>18456</v>
      </c>
      <c r="G159" s="18">
        <v>18456</v>
      </c>
      <c r="H159" s="18">
        <v>0</v>
      </c>
    </row>
    <row r="160" spans="1:9" x14ac:dyDescent="0.25">
      <c r="A160" s="46">
        <v>130</v>
      </c>
      <c r="B160" s="64" t="s">
        <v>165</v>
      </c>
      <c r="C160" s="45">
        <f t="shared" si="5"/>
        <v>4</v>
      </c>
      <c r="D160" s="42">
        <v>4</v>
      </c>
      <c r="E160" s="53">
        <v>0</v>
      </c>
      <c r="F160" s="52">
        <f t="shared" si="6"/>
        <v>615.4</v>
      </c>
      <c r="G160" s="42">
        <v>615.4</v>
      </c>
      <c r="H160" s="42">
        <v>0</v>
      </c>
    </row>
    <row r="161" spans="1:9" x14ac:dyDescent="0.25">
      <c r="A161" s="2" t="s">
        <v>1</v>
      </c>
    </row>
    <row r="164" spans="1:9" ht="19.5" x14ac:dyDescent="0.25">
      <c r="A164" s="57" t="s">
        <v>121</v>
      </c>
      <c r="B164" s="57"/>
      <c r="C164" s="57"/>
      <c r="D164" s="57"/>
      <c r="E164" s="57"/>
      <c r="F164" s="57"/>
      <c r="G164" s="57"/>
      <c r="H164" s="57"/>
      <c r="I164" s="15"/>
    </row>
    <row r="165" spans="1:9" ht="15.75" x14ac:dyDescent="0.25">
      <c r="A165" s="55" t="s">
        <v>120</v>
      </c>
      <c r="B165" s="55"/>
      <c r="C165" s="56"/>
      <c r="D165" s="56"/>
      <c r="E165" s="56"/>
      <c r="F165" s="56"/>
      <c r="G165" s="56"/>
      <c r="H165" s="56"/>
      <c r="I165" s="16"/>
    </row>
    <row r="166" spans="1:9" ht="15.75" x14ac:dyDescent="0.25">
      <c r="A166" s="25"/>
      <c r="B166" s="58" t="s">
        <v>4</v>
      </c>
      <c r="C166" s="60" t="s">
        <v>5</v>
      </c>
      <c r="D166" s="60"/>
      <c r="E166" s="61"/>
      <c r="F166" s="37" t="s">
        <v>6</v>
      </c>
      <c r="G166" s="43"/>
      <c r="H166" s="38" t="s">
        <v>7</v>
      </c>
      <c r="I166" s="3"/>
    </row>
    <row r="167" spans="1:9" ht="15.75" x14ac:dyDescent="0.25">
      <c r="A167" s="27"/>
      <c r="B167" s="54"/>
      <c r="C167" s="28" t="s">
        <v>2</v>
      </c>
      <c r="D167" s="28" t="s">
        <v>8</v>
      </c>
      <c r="E167" s="39" t="s">
        <v>9</v>
      </c>
      <c r="F167" s="28" t="s">
        <v>2</v>
      </c>
      <c r="G167" s="28" t="s">
        <v>8</v>
      </c>
      <c r="H167" s="28" t="s">
        <v>9</v>
      </c>
      <c r="I167" s="3"/>
    </row>
    <row r="168" spans="1:9" x14ac:dyDescent="0.25">
      <c r="A168" s="26"/>
      <c r="B168" s="59"/>
      <c r="C168" s="5" t="s">
        <v>0</v>
      </c>
      <c r="D168" s="5" t="s">
        <v>10</v>
      </c>
      <c r="E168" s="17" t="s">
        <v>11</v>
      </c>
      <c r="F168" s="6" t="s">
        <v>0</v>
      </c>
      <c r="G168" s="6" t="s">
        <v>10</v>
      </c>
      <c r="H168" s="6" t="s">
        <v>11</v>
      </c>
      <c r="I168" s="3"/>
    </row>
    <row r="169" spans="1:9" x14ac:dyDescent="0.25">
      <c r="A169" s="29"/>
      <c r="B169" s="30" t="s">
        <v>0</v>
      </c>
      <c r="C169" s="7"/>
      <c r="D169" s="7"/>
      <c r="E169" s="40"/>
      <c r="F169" s="7"/>
      <c r="G169" s="7"/>
      <c r="H169" s="7"/>
      <c r="I169" s="3"/>
    </row>
    <row r="170" spans="1:9" x14ac:dyDescent="0.25">
      <c r="A170" s="29"/>
      <c r="B170" s="31" t="s">
        <v>155</v>
      </c>
      <c r="C170" s="7"/>
      <c r="D170" s="7"/>
      <c r="E170" s="40"/>
      <c r="F170" s="7"/>
      <c r="G170" s="7"/>
      <c r="H170" s="7"/>
      <c r="I170" s="3"/>
    </row>
    <row r="171" spans="1:9" x14ac:dyDescent="0.25">
      <c r="A171" s="29"/>
      <c r="B171" s="22" t="s">
        <v>13</v>
      </c>
      <c r="C171" s="21">
        <v>197466.67384</v>
      </c>
      <c r="D171" s="21">
        <v>4963.5968400000002</v>
      </c>
      <c r="E171" s="41">
        <v>192503.07699999999</v>
      </c>
      <c r="F171" s="21">
        <v>1493953.6690399998</v>
      </c>
      <c r="G171" s="21">
        <v>250807.08137999993</v>
      </c>
      <c r="H171" s="21">
        <v>1243146.58766</v>
      </c>
      <c r="I171" s="3"/>
    </row>
    <row r="172" spans="1:9" x14ac:dyDescent="0.25">
      <c r="A172" s="29">
        <v>1</v>
      </c>
      <c r="B172" s="23" t="s">
        <v>14</v>
      </c>
      <c r="C172" s="21">
        <v>745.84825999999998</v>
      </c>
      <c r="D172" s="18">
        <v>745.84825999999998</v>
      </c>
      <c r="E172" s="19">
        <v>0</v>
      </c>
      <c r="F172" s="21">
        <v>53303.935259999998</v>
      </c>
      <c r="G172" s="18">
        <v>53303.935259999998</v>
      </c>
      <c r="H172" s="18">
        <v>0</v>
      </c>
      <c r="I172" s="3"/>
    </row>
    <row r="173" spans="1:9" x14ac:dyDescent="0.25">
      <c r="A173" s="29">
        <v>2</v>
      </c>
      <c r="B173" s="23" t="s">
        <v>15</v>
      </c>
      <c r="C173" s="21">
        <v>664.59044000000006</v>
      </c>
      <c r="D173" s="18">
        <v>664.59044000000006</v>
      </c>
      <c r="E173" s="19">
        <v>0</v>
      </c>
      <c r="F173" s="21">
        <v>63874.75110999999</v>
      </c>
      <c r="G173" s="18">
        <v>63874.75110999999</v>
      </c>
      <c r="H173" s="18">
        <v>0</v>
      </c>
    </row>
    <row r="174" spans="1:9" x14ac:dyDescent="0.25">
      <c r="A174" s="29">
        <v>3</v>
      </c>
      <c r="B174" s="23" t="s">
        <v>16</v>
      </c>
      <c r="C174" s="21">
        <v>0</v>
      </c>
      <c r="D174" s="18">
        <v>0</v>
      </c>
      <c r="E174" s="19">
        <v>0</v>
      </c>
      <c r="F174" s="21">
        <v>0</v>
      </c>
      <c r="G174" s="18">
        <v>0</v>
      </c>
      <c r="H174" s="18">
        <v>0</v>
      </c>
      <c r="I174" s="3"/>
    </row>
    <row r="175" spans="1:9" x14ac:dyDescent="0.25">
      <c r="A175" s="29">
        <v>4</v>
      </c>
      <c r="B175" s="23" t="s">
        <v>17</v>
      </c>
      <c r="C175" s="21">
        <v>194618.36352000001</v>
      </c>
      <c r="D175" s="18">
        <v>2115.2865199999997</v>
      </c>
      <c r="E175" s="19">
        <v>192503.07699999999</v>
      </c>
      <c r="F175" s="21">
        <v>1291924.8776699998</v>
      </c>
      <c r="G175" s="18">
        <v>48778.290009999982</v>
      </c>
      <c r="H175" s="18">
        <v>1243146.58766</v>
      </c>
      <c r="I175" s="3"/>
    </row>
    <row r="176" spans="1:9" x14ac:dyDescent="0.25">
      <c r="A176" s="29">
        <v>5</v>
      </c>
      <c r="B176" s="23" t="s">
        <v>18</v>
      </c>
      <c r="C176" s="21">
        <v>10.200130000000001</v>
      </c>
      <c r="D176" s="18">
        <v>10.200130000000001</v>
      </c>
      <c r="E176" s="19">
        <v>0</v>
      </c>
      <c r="F176" s="21">
        <v>496.68288999999999</v>
      </c>
      <c r="G176" s="18">
        <v>496.68288999999999</v>
      </c>
      <c r="H176" s="18">
        <v>0</v>
      </c>
      <c r="I176" s="3"/>
    </row>
    <row r="177" spans="1:9" x14ac:dyDescent="0.25">
      <c r="A177" s="29">
        <v>6</v>
      </c>
      <c r="B177" s="23" t="s">
        <v>19</v>
      </c>
      <c r="C177" s="21">
        <v>0</v>
      </c>
      <c r="D177" s="18">
        <v>0</v>
      </c>
      <c r="E177" s="19">
        <v>0</v>
      </c>
      <c r="F177" s="21">
        <v>0</v>
      </c>
      <c r="G177" s="18">
        <v>0</v>
      </c>
      <c r="H177" s="18">
        <v>0</v>
      </c>
      <c r="I177" s="3"/>
    </row>
    <row r="178" spans="1:9" x14ac:dyDescent="0.25">
      <c r="A178" s="29">
        <v>7</v>
      </c>
      <c r="B178" s="23" t="s">
        <v>20</v>
      </c>
      <c r="C178" s="21">
        <v>0</v>
      </c>
      <c r="D178" s="18">
        <v>0</v>
      </c>
      <c r="E178" s="19">
        <v>0</v>
      </c>
      <c r="F178" s="21">
        <v>0</v>
      </c>
      <c r="G178" s="18">
        <v>0</v>
      </c>
      <c r="H178" s="18">
        <v>0</v>
      </c>
      <c r="I178" s="3"/>
    </row>
    <row r="179" spans="1:9" x14ac:dyDescent="0.25">
      <c r="A179" s="29">
        <v>8</v>
      </c>
      <c r="B179" s="23" t="s">
        <v>21</v>
      </c>
      <c r="C179" s="21">
        <v>9.8378999999999994</v>
      </c>
      <c r="D179" s="18">
        <v>9.8378999999999994</v>
      </c>
      <c r="E179" s="19">
        <v>0</v>
      </c>
      <c r="F179" s="21">
        <v>827.95326</v>
      </c>
      <c r="G179" s="18">
        <v>827.95326</v>
      </c>
      <c r="H179" s="18">
        <v>0</v>
      </c>
      <c r="I179" s="3"/>
    </row>
    <row r="180" spans="1:9" x14ac:dyDescent="0.25">
      <c r="A180" s="29">
        <v>9</v>
      </c>
      <c r="B180" s="23" t="s">
        <v>22</v>
      </c>
      <c r="C180" s="21">
        <v>16.908510000000003</v>
      </c>
      <c r="D180" s="18">
        <v>16.908510000000003</v>
      </c>
      <c r="E180" s="19">
        <v>0</v>
      </c>
      <c r="F180" s="21">
        <v>523.85618999999997</v>
      </c>
      <c r="G180" s="18">
        <v>523.85618999999997</v>
      </c>
      <c r="H180" s="18">
        <v>0</v>
      </c>
      <c r="I180" s="3"/>
    </row>
    <row r="181" spans="1:9" x14ac:dyDescent="0.25">
      <c r="A181" s="29">
        <v>10</v>
      </c>
      <c r="B181" s="23" t="s">
        <v>23</v>
      </c>
      <c r="C181" s="21">
        <v>1360.3333499999999</v>
      </c>
      <c r="D181" s="18">
        <v>1360.3333499999999</v>
      </c>
      <c r="E181" s="19">
        <v>0</v>
      </c>
      <c r="F181" s="21">
        <v>82687.589470000021</v>
      </c>
      <c r="G181" s="18">
        <v>82687.589470000021</v>
      </c>
      <c r="H181" s="18">
        <v>0</v>
      </c>
      <c r="I181" s="3"/>
    </row>
    <row r="182" spans="1:9" x14ac:dyDescent="0.25">
      <c r="A182" s="29">
        <v>11</v>
      </c>
      <c r="B182" s="62" t="s">
        <v>24</v>
      </c>
      <c r="C182" s="21">
        <v>40.553620000000002</v>
      </c>
      <c r="D182" s="18">
        <v>40.553620000000002</v>
      </c>
      <c r="E182" s="19">
        <v>0</v>
      </c>
      <c r="F182" s="21">
        <v>312.04356999999999</v>
      </c>
      <c r="G182" s="18">
        <v>312.04356999999999</v>
      </c>
      <c r="H182" s="18">
        <v>0</v>
      </c>
      <c r="I182" s="3"/>
    </row>
    <row r="183" spans="1:9" x14ac:dyDescent="0.25">
      <c r="A183" s="29">
        <v>12</v>
      </c>
      <c r="B183" s="62" t="s">
        <v>25</v>
      </c>
      <c r="C183" s="21">
        <v>0</v>
      </c>
      <c r="D183" s="18">
        <v>0</v>
      </c>
      <c r="E183" s="19">
        <v>0</v>
      </c>
      <c r="F183" s="21">
        <v>0</v>
      </c>
      <c r="G183" s="18">
        <v>0</v>
      </c>
      <c r="H183" s="18">
        <v>0</v>
      </c>
      <c r="I183" s="3"/>
    </row>
    <row r="184" spans="1:9" ht="15.75" x14ac:dyDescent="0.25">
      <c r="A184" s="29">
        <v>17</v>
      </c>
      <c r="B184" s="23" t="s">
        <v>119</v>
      </c>
      <c r="C184" s="21">
        <v>3.8109999999999998E-2</v>
      </c>
      <c r="D184" s="18">
        <v>3.8109999999999998E-2</v>
      </c>
      <c r="E184" s="19">
        <v>0</v>
      </c>
      <c r="F184" s="21">
        <v>1.9796199999999999</v>
      </c>
      <c r="G184" s="18">
        <v>1.9796199999999999</v>
      </c>
      <c r="H184" s="18">
        <v>0</v>
      </c>
      <c r="I184" s="8"/>
    </row>
    <row r="185" spans="1:9" ht="15.75" x14ac:dyDescent="0.25">
      <c r="A185" s="29">
        <v>19</v>
      </c>
      <c r="B185" s="32" t="s">
        <v>32</v>
      </c>
      <c r="C185" s="21">
        <v>0</v>
      </c>
      <c r="D185" s="18">
        <v>0</v>
      </c>
      <c r="E185" s="19">
        <v>0</v>
      </c>
      <c r="F185" s="21">
        <v>0</v>
      </c>
      <c r="G185" s="18">
        <v>0</v>
      </c>
      <c r="H185" s="18">
        <v>0</v>
      </c>
      <c r="I185" s="8"/>
    </row>
    <row r="186" spans="1:9" x14ac:dyDescent="0.25">
      <c r="A186" s="29"/>
      <c r="B186" s="22" t="s">
        <v>26</v>
      </c>
      <c r="C186" s="21">
        <v>628.61464000000001</v>
      </c>
      <c r="D186" s="21">
        <v>628.60347000000002</v>
      </c>
      <c r="E186" s="41">
        <v>1.1169999999999999E-2</v>
      </c>
      <c r="F186" s="21">
        <v>17509.017849999997</v>
      </c>
      <c r="G186" s="21">
        <v>17507.833389999996</v>
      </c>
      <c r="H186" s="21">
        <v>1.1844600000000001</v>
      </c>
      <c r="I186" s="3"/>
    </row>
    <row r="187" spans="1:9" ht="15.75" x14ac:dyDescent="0.25">
      <c r="A187" s="29">
        <v>13</v>
      </c>
      <c r="B187" s="23" t="s">
        <v>27</v>
      </c>
      <c r="C187" s="21">
        <v>628.60019</v>
      </c>
      <c r="D187" s="18">
        <v>628.60019</v>
      </c>
      <c r="E187" s="19">
        <v>0</v>
      </c>
      <c r="F187" s="21">
        <v>17507.682049999996</v>
      </c>
      <c r="G187" s="18">
        <v>17507.682049999996</v>
      </c>
      <c r="H187" s="18">
        <v>0</v>
      </c>
      <c r="I187" s="8"/>
    </row>
    <row r="188" spans="1:9" ht="15.75" x14ac:dyDescent="0.25">
      <c r="A188" s="29">
        <v>14</v>
      </c>
      <c r="B188" s="23" t="s">
        <v>28</v>
      </c>
      <c r="C188" s="21">
        <v>3.2799999999999999E-3</v>
      </c>
      <c r="D188" s="18">
        <v>3.2799999999999999E-3</v>
      </c>
      <c r="E188" s="19">
        <v>0</v>
      </c>
      <c r="F188" s="21">
        <v>0.15134</v>
      </c>
      <c r="G188" s="18">
        <v>0.15134</v>
      </c>
      <c r="H188" s="18">
        <v>0</v>
      </c>
      <c r="I188" s="8"/>
    </row>
    <row r="189" spans="1:9" ht="15.75" x14ac:dyDescent="0.25">
      <c r="A189" s="29">
        <v>15</v>
      </c>
      <c r="B189" s="23" t="s">
        <v>29</v>
      </c>
      <c r="C189" s="21">
        <v>0</v>
      </c>
      <c r="D189" s="18">
        <v>0</v>
      </c>
      <c r="E189" s="19">
        <v>0</v>
      </c>
      <c r="F189" s="21">
        <v>0</v>
      </c>
      <c r="G189" s="18">
        <v>0</v>
      </c>
      <c r="H189" s="18">
        <v>0</v>
      </c>
      <c r="I189" s="8"/>
    </row>
    <row r="190" spans="1:9" ht="15.75" x14ac:dyDescent="0.25">
      <c r="A190" s="29">
        <v>16</v>
      </c>
      <c r="B190" s="23" t="s">
        <v>30</v>
      </c>
      <c r="C190" s="21">
        <v>0</v>
      </c>
      <c r="D190" s="18">
        <v>0</v>
      </c>
      <c r="E190" s="19">
        <v>0</v>
      </c>
      <c r="F190" s="21">
        <v>0</v>
      </c>
      <c r="G190" s="18">
        <v>0</v>
      </c>
      <c r="H190" s="18">
        <v>0</v>
      </c>
      <c r="I190" s="8"/>
    </row>
    <row r="191" spans="1:9" ht="15.75" x14ac:dyDescent="0.25">
      <c r="A191" s="29">
        <v>18</v>
      </c>
      <c r="B191" s="23" t="s">
        <v>31</v>
      </c>
      <c r="C191" s="21">
        <v>0</v>
      </c>
      <c r="D191" s="18">
        <v>0</v>
      </c>
      <c r="E191" s="19">
        <v>0</v>
      </c>
      <c r="F191" s="21">
        <v>0</v>
      </c>
      <c r="G191" s="18">
        <v>0</v>
      </c>
      <c r="H191" s="18">
        <v>0</v>
      </c>
      <c r="I191" s="8"/>
    </row>
    <row r="192" spans="1:9" ht="15.75" x14ac:dyDescent="0.25">
      <c r="A192" s="29">
        <v>20</v>
      </c>
      <c r="B192" s="23" t="s">
        <v>33</v>
      </c>
      <c r="C192" s="21">
        <v>0</v>
      </c>
      <c r="D192" s="18">
        <v>0</v>
      </c>
      <c r="E192" s="19">
        <v>0</v>
      </c>
      <c r="F192" s="21">
        <v>0</v>
      </c>
      <c r="G192" s="18">
        <v>0</v>
      </c>
      <c r="H192" s="18">
        <v>0</v>
      </c>
      <c r="I192" s="8"/>
    </row>
    <row r="193" spans="1:9" ht="15.75" x14ac:dyDescent="0.25">
      <c r="A193" s="29">
        <v>21</v>
      </c>
      <c r="B193" s="23" t="s">
        <v>34</v>
      </c>
      <c r="C193" s="21">
        <v>0</v>
      </c>
      <c r="D193" s="18">
        <v>0</v>
      </c>
      <c r="E193" s="19">
        <v>0</v>
      </c>
      <c r="F193" s="21">
        <v>0</v>
      </c>
      <c r="G193" s="18">
        <v>0</v>
      </c>
      <c r="H193" s="18">
        <v>0</v>
      </c>
      <c r="I193" s="8"/>
    </row>
    <row r="194" spans="1:9" ht="15.75" x14ac:dyDescent="0.25">
      <c r="A194" s="29">
        <v>22</v>
      </c>
      <c r="B194" s="23" t="s">
        <v>35</v>
      </c>
      <c r="C194" s="21">
        <v>1.1169999999999999E-2</v>
      </c>
      <c r="D194" s="18">
        <v>0</v>
      </c>
      <c r="E194" s="19">
        <v>1.1169999999999999E-2</v>
      </c>
      <c r="F194" s="21">
        <v>1.1844600000000001</v>
      </c>
      <c r="G194" s="18">
        <v>0</v>
      </c>
      <c r="H194" s="18">
        <v>1.1844600000000001</v>
      </c>
      <c r="I194" s="8"/>
    </row>
    <row r="195" spans="1:9" ht="15.75" x14ac:dyDescent="0.25">
      <c r="A195" s="29">
        <v>23</v>
      </c>
      <c r="B195" s="23" t="s">
        <v>36</v>
      </c>
      <c r="C195" s="21">
        <v>0</v>
      </c>
      <c r="D195" s="18">
        <v>0</v>
      </c>
      <c r="E195" s="19">
        <v>0</v>
      </c>
      <c r="F195" s="21">
        <v>0</v>
      </c>
      <c r="G195" s="18">
        <v>0</v>
      </c>
      <c r="H195" s="18">
        <v>0</v>
      </c>
      <c r="I195" s="8"/>
    </row>
    <row r="196" spans="1:9" ht="15.75" x14ac:dyDescent="0.25">
      <c r="A196" s="29"/>
      <c r="B196" s="22" t="s">
        <v>37</v>
      </c>
      <c r="C196" s="21">
        <v>201306.64671</v>
      </c>
      <c r="D196" s="21">
        <v>5391.55771</v>
      </c>
      <c r="E196" s="41">
        <v>195915.08900000001</v>
      </c>
      <c r="F196" s="21">
        <v>1506672.0800399997</v>
      </c>
      <c r="G196" s="21">
        <v>170281.19111999997</v>
      </c>
      <c r="H196" s="21">
        <v>1336390.8889199998</v>
      </c>
      <c r="I196" s="4"/>
    </row>
    <row r="197" spans="1:9" ht="15.75" x14ac:dyDescent="0.25">
      <c r="A197" s="29">
        <v>24</v>
      </c>
      <c r="B197" s="23" t="s">
        <v>38</v>
      </c>
      <c r="C197" s="21">
        <v>3168.4769999999999</v>
      </c>
      <c r="D197" s="18">
        <v>2343.5600700000005</v>
      </c>
      <c r="E197" s="19">
        <v>3168.4769999999999</v>
      </c>
      <c r="F197" s="21">
        <v>141860.97527</v>
      </c>
      <c r="G197" s="18">
        <v>54421.113230000003</v>
      </c>
      <c r="H197" s="18">
        <v>87439.862039999993</v>
      </c>
      <c r="I197" s="8"/>
    </row>
    <row r="198" spans="1:9" ht="15.75" x14ac:dyDescent="0.25">
      <c r="A198" s="29">
        <v>25</v>
      </c>
      <c r="B198" s="23" t="s">
        <v>39</v>
      </c>
      <c r="C198" s="21">
        <v>664.59044000000006</v>
      </c>
      <c r="D198" s="18">
        <v>664.59044000000006</v>
      </c>
      <c r="E198" s="19">
        <v>0</v>
      </c>
      <c r="F198" s="21">
        <v>63874.75110999999</v>
      </c>
      <c r="G198" s="18">
        <v>63874.75110999999</v>
      </c>
      <c r="H198" s="18">
        <v>0</v>
      </c>
      <c r="I198" s="8"/>
    </row>
    <row r="199" spans="1:9" ht="15.75" x14ac:dyDescent="0.25">
      <c r="A199" s="29">
        <v>26</v>
      </c>
      <c r="B199" s="23" t="s">
        <v>40</v>
      </c>
      <c r="C199" s="21">
        <v>0</v>
      </c>
      <c r="D199" s="18">
        <v>0</v>
      </c>
      <c r="E199" s="19">
        <v>0</v>
      </c>
      <c r="F199" s="21">
        <v>0</v>
      </c>
      <c r="G199" s="18">
        <v>0</v>
      </c>
      <c r="H199" s="18">
        <v>0</v>
      </c>
      <c r="I199" s="8"/>
    </row>
    <row r="200" spans="1:9" ht="15.75" x14ac:dyDescent="0.25">
      <c r="A200" s="29">
        <v>27</v>
      </c>
      <c r="B200" s="23" t="s">
        <v>41</v>
      </c>
      <c r="C200" s="21">
        <v>136.285</v>
      </c>
      <c r="D200" s="18">
        <v>136.285</v>
      </c>
      <c r="E200" s="19">
        <v>0</v>
      </c>
      <c r="F200" s="21">
        <v>2185.7314500000002</v>
      </c>
      <c r="G200" s="18">
        <v>2185.7314500000002</v>
      </c>
      <c r="H200" s="18">
        <v>0</v>
      </c>
      <c r="I200" s="8"/>
    </row>
    <row r="201" spans="1:9" ht="15.75" x14ac:dyDescent="0.25">
      <c r="A201" s="29">
        <v>28</v>
      </c>
      <c r="B201" s="23" t="s">
        <v>42</v>
      </c>
      <c r="C201" s="21">
        <v>0.06</v>
      </c>
      <c r="D201" s="18">
        <v>0.06</v>
      </c>
      <c r="E201" s="19">
        <v>0</v>
      </c>
      <c r="F201" s="21">
        <v>3.6926399999999999</v>
      </c>
      <c r="G201" s="18">
        <v>3.6926399999999999</v>
      </c>
      <c r="H201" s="18">
        <v>0</v>
      </c>
      <c r="I201" s="8"/>
    </row>
    <row r="202" spans="1:9" ht="15.75" x14ac:dyDescent="0.25">
      <c r="A202" s="29">
        <v>29</v>
      </c>
      <c r="B202" s="23" t="s">
        <v>43</v>
      </c>
      <c r="C202" s="21">
        <v>9.1616299999999988</v>
      </c>
      <c r="D202" s="18">
        <v>9.1616299999999988</v>
      </c>
      <c r="E202" s="19">
        <v>0</v>
      </c>
      <c r="F202" s="21">
        <v>72.703439999999986</v>
      </c>
      <c r="G202" s="18">
        <v>72.703439999999986</v>
      </c>
      <c r="H202" s="18">
        <v>0</v>
      </c>
      <c r="I202" s="8"/>
    </row>
    <row r="203" spans="1:9" ht="15.75" x14ac:dyDescent="0.25">
      <c r="A203" s="29">
        <v>30</v>
      </c>
      <c r="B203" s="23" t="s">
        <v>44</v>
      </c>
      <c r="C203" s="21">
        <v>33.996960000000001</v>
      </c>
      <c r="D203" s="18">
        <v>33.996960000000001</v>
      </c>
      <c r="E203" s="19">
        <v>0</v>
      </c>
      <c r="F203" s="21">
        <v>262.20404000000002</v>
      </c>
      <c r="G203" s="18">
        <v>262.20404000000002</v>
      </c>
      <c r="H203" s="18">
        <v>0</v>
      </c>
      <c r="I203" s="8"/>
    </row>
    <row r="204" spans="1:9" ht="15.75" x14ac:dyDescent="0.25">
      <c r="A204" s="29">
        <v>31</v>
      </c>
      <c r="B204" s="23" t="s">
        <v>45</v>
      </c>
      <c r="C204" s="21">
        <v>194618.33572</v>
      </c>
      <c r="D204" s="18">
        <v>2115.2587199999998</v>
      </c>
      <c r="E204" s="19">
        <v>192503.07699999999</v>
      </c>
      <c r="F204" s="21">
        <v>1291923.5951699999</v>
      </c>
      <c r="G204" s="18">
        <v>48777.007509999981</v>
      </c>
      <c r="H204" s="18">
        <v>1243146.58766</v>
      </c>
      <c r="I204" s="8"/>
    </row>
    <row r="205" spans="1:9" ht="15.75" x14ac:dyDescent="0.25">
      <c r="A205" s="29">
        <v>32</v>
      </c>
      <c r="B205" s="23" t="s">
        <v>46</v>
      </c>
      <c r="C205" s="21">
        <v>0</v>
      </c>
      <c r="D205" s="18">
        <v>0</v>
      </c>
      <c r="E205" s="19">
        <v>0</v>
      </c>
      <c r="F205" s="21">
        <v>0</v>
      </c>
      <c r="G205" s="18">
        <v>0</v>
      </c>
      <c r="H205" s="18">
        <v>0</v>
      </c>
      <c r="I205" s="8"/>
    </row>
    <row r="206" spans="1:9" ht="15.75" x14ac:dyDescent="0.25">
      <c r="A206" s="29">
        <v>33</v>
      </c>
      <c r="B206" s="23" t="s">
        <v>47</v>
      </c>
      <c r="C206" s="21">
        <v>243.535</v>
      </c>
      <c r="D206" s="18">
        <v>0</v>
      </c>
      <c r="E206" s="19">
        <v>243.535</v>
      </c>
      <c r="F206" s="21">
        <v>5804.4392199999993</v>
      </c>
      <c r="G206" s="18">
        <v>0</v>
      </c>
      <c r="H206" s="18">
        <v>5804.4392199999993</v>
      </c>
      <c r="I206" s="8"/>
    </row>
    <row r="207" spans="1:9" ht="15.75" x14ac:dyDescent="0.25">
      <c r="A207" s="29">
        <v>34</v>
      </c>
      <c r="B207" s="23" t="s">
        <v>48</v>
      </c>
      <c r="C207" s="21">
        <v>0</v>
      </c>
      <c r="D207" s="18">
        <v>3.0789999999999998E-2</v>
      </c>
      <c r="E207" s="19">
        <v>0</v>
      </c>
      <c r="F207" s="21">
        <v>0</v>
      </c>
      <c r="G207" s="18">
        <v>2.1300100000000004</v>
      </c>
      <c r="H207" s="18">
        <v>0</v>
      </c>
      <c r="I207" s="8"/>
    </row>
    <row r="208" spans="1:9" ht="15.75" x14ac:dyDescent="0.25">
      <c r="A208" s="29">
        <v>35</v>
      </c>
      <c r="B208" s="23" t="s">
        <v>49</v>
      </c>
      <c r="C208" s="21">
        <v>0</v>
      </c>
      <c r="D208" s="18">
        <v>0</v>
      </c>
      <c r="E208" s="19">
        <v>0</v>
      </c>
      <c r="F208" s="21">
        <v>0</v>
      </c>
      <c r="G208" s="18">
        <v>0</v>
      </c>
      <c r="H208" s="18">
        <v>0</v>
      </c>
      <c r="I208" s="8"/>
    </row>
    <row r="209" spans="1:9" ht="15.75" x14ac:dyDescent="0.25">
      <c r="A209" s="29">
        <v>36</v>
      </c>
      <c r="B209" s="23" t="s">
        <v>50</v>
      </c>
      <c r="C209" s="21">
        <v>0</v>
      </c>
      <c r="D209" s="18">
        <v>0</v>
      </c>
      <c r="E209" s="19">
        <v>0</v>
      </c>
      <c r="F209" s="21">
        <v>0</v>
      </c>
      <c r="G209" s="18">
        <v>0</v>
      </c>
      <c r="H209" s="18">
        <v>0</v>
      </c>
      <c r="I209" s="8"/>
    </row>
    <row r="210" spans="1:9" ht="15.75" x14ac:dyDescent="0.25">
      <c r="A210" s="29">
        <v>37</v>
      </c>
      <c r="B210" s="23" t="s">
        <v>51</v>
      </c>
      <c r="C210" s="21">
        <v>0</v>
      </c>
      <c r="D210" s="18">
        <v>0</v>
      </c>
      <c r="E210" s="19">
        <v>0</v>
      </c>
      <c r="F210" s="21">
        <v>0</v>
      </c>
      <c r="G210" s="18">
        <v>0</v>
      </c>
      <c r="H210" s="18">
        <v>0</v>
      </c>
      <c r="I210" s="8"/>
    </row>
    <row r="211" spans="1:9" ht="15.75" x14ac:dyDescent="0.25">
      <c r="A211" s="29">
        <v>38</v>
      </c>
      <c r="B211" s="23" t="s">
        <v>52</v>
      </c>
      <c r="C211" s="21">
        <v>0</v>
      </c>
      <c r="D211" s="18">
        <v>0</v>
      </c>
      <c r="E211" s="19">
        <v>0</v>
      </c>
      <c r="F211" s="21">
        <v>0</v>
      </c>
      <c r="G211" s="18">
        <v>0</v>
      </c>
      <c r="H211" s="18">
        <v>0</v>
      </c>
      <c r="I211" s="8"/>
    </row>
    <row r="212" spans="1:9" ht="15.75" x14ac:dyDescent="0.25">
      <c r="A212" s="29">
        <v>39</v>
      </c>
      <c r="B212" s="23" t="s">
        <v>53</v>
      </c>
      <c r="C212" s="21">
        <v>88.614100000000008</v>
      </c>
      <c r="D212" s="18">
        <v>88.614100000000008</v>
      </c>
      <c r="E212" s="19">
        <v>0</v>
      </c>
      <c r="F212" s="21">
        <v>681.85768999999993</v>
      </c>
      <c r="G212" s="18">
        <v>681.85768999999993</v>
      </c>
      <c r="H212" s="18">
        <v>0</v>
      </c>
      <c r="I212" s="8"/>
    </row>
    <row r="213" spans="1:9" ht="15.75" x14ac:dyDescent="0.25">
      <c r="A213" s="24">
        <v>40</v>
      </c>
      <c r="B213" s="23" t="s">
        <v>54</v>
      </c>
      <c r="C213" s="21">
        <v>0</v>
      </c>
      <c r="D213" s="18">
        <v>0</v>
      </c>
      <c r="E213" s="19">
        <v>0</v>
      </c>
      <c r="F213" s="21">
        <v>0</v>
      </c>
      <c r="G213" s="18">
        <v>0</v>
      </c>
      <c r="H213" s="18">
        <v>0</v>
      </c>
      <c r="I213" s="8"/>
    </row>
    <row r="214" spans="1:9" ht="18.75" x14ac:dyDescent="0.5">
      <c r="A214" s="29"/>
      <c r="B214" s="22" t="s">
        <v>55</v>
      </c>
      <c r="C214" s="21">
        <v>1069.4538799999998</v>
      </c>
      <c r="D214" s="21">
        <v>1069.4538799999998</v>
      </c>
      <c r="E214" s="41">
        <v>0</v>
      </c>
      <c r="F214" s="21">
        <v>41177.144690000001</v>
      </c>
      <c r="G214" s="21">
        <v>41177.144690000001</v>
      </c>
      <c r="H214" s="21">
        <v>0</v>
      </c>
      <c r="I214" s="9"/>
    </row>
    <row r="215" spans="1:9" ht="15.75" x14ac:dyDescent="0.25">
      <c r="A215" s="29">
        <v>41</v>
      </c>
      <c r="B215" s="23" t="s">
        <v>56</v>
      </c>
      <c r="C215" s="21">
        <v>867.57399999999996</v>
      </c>
      <c r="D215" s="18">
        <v>867.57399999999996</v>
      </c>
      <c r="E215" s="19">
        <v>0</v>
      </c>
      <c r="F215" s="21">
        <v>10109.186079999999</v>
      </c>
      <c r="G215" s="18">
        <v>10109.186079999999</v>
      </c>
      <c r="H215" s="18">
        <v>0</v>
      </c>
      <c r="I215" s="8"/>
    </row>
    <row r="216" spans="1:9" ht="15.75" x14ac:dyDescent="0.25">
      <c r="A216" s="29">
        <v>42</v>
      </c>
      <c r="B216" s="23" t="s">
        <v>57</v>
      </c>
      <c r="C216" s="21">
        <v>201.87988000000001</v>
      </c>
      <c r="D216" s="18">
        <v>201.87988000000001</v>
      </c>
      <c r="E216" s="19">
        <v>0</v>
      </c>
      <c r="F216" s="21">
        <v>31067.958609999998</v>
      </c>
      <c r="G216" s="18">
        <v>31067.958609999998</v>
      </c>
      <c r="H216" s="18">
        <v>0</v>
      </c>
      <c r="I216" s="8"/>
    </row>
    <row r="217" spans="1:9" ht="15.75" x14ac:dyDescent="0.25">
      <c r="A217" s="29"/>
      <c r="B217" s="22" t="s">
        <v>58</v>
      </c>
      <c r="C217" s="21">
        <v>117.6135</v>
      </c>
      <c r="D217" s="21">
        <v>117.6135</v>
      </c>
      <c r="E217" s="41">
        <v>0</v>
      </c>
      <c r="F217" s="21">
        <v>1112.8112200000003</v>
      </c>
      <c r="G217" s="21">
        <v>1112.8112200000003</v>
      </c>
      <c r="H217" s="21">
        <v>0</v>
      </c>
      <c r="I217" s="4"/>
    </row>
    <row r="218" spans="1:9" ht="15.75" x14ac:dyDescent="0.25">
      <c r="A218" s="29">
        <v>43</v>
      </c>
      <c r="B218" s="23" t="s">
        <v>59</v>
      </c>
      <c r="C218" s="21">
        <v>57.054499999999997</v>
      </c>
      <c r="D218" s="18">
        <v>57.054499999999997</v>
      </c>
      <c r="E218" s="19">
        <v>0</v>
      </c>
      <c r="F218" s="21">
        <v>484.96496999999999</v>
      </c>
      <c r="G218" s="18">
        <v>484.96496999999999</v>
      </c>
      <c r="H218" s="18">
        <v>0</v>
      </c>
      <c r="I218" s="8"/>
    </row>
    <row r="219" spans="1:9" ht="15.75" x14ac:dyDescent="0.25">
      <c r="A219" s="29">
        <v>44</v>
      </c>
      <c r="B219" s="23" t="s">
        <v>60</v>
      </c>
      <c r="C219" s="21">
        <v>29.983000000000001</v>
      </c>
      <c r="D219" s="18">
        <v>29.983000000000001</v>
      </c>
      <c r="E219" s="19">
        <v>0</v>
      </c>
      <c r="F219" s="21">
        <v>281.64355999999998</v>
      </c>
      <c r="G219" s="18">
        <v>281.64355999999998</v>
      </c>
      <c r="H219" s="18">
        <v>0</v>
      </c>
      <c r="I219" s="8"/>
    </row>
    <row r="220" spans="1:9" ht="15.75" x14ac:dyDescent="0.25">
      <c r="A220" s="29">
        <v>45</v>
      </c>
      <c r="B220" s="23" t="s">
        <v>61</v>
      </c>
      <c r="C220" s="21">
        <v>4.718</v>
      </c>
      <c r="D220" s="18">
        <v>4.718</v>
      </c>
      <c r="E220" s="19">
        <v>0</v>
      </c>
      <c r="F220" s="21">
        <v>52.667550000000006</v>
      </c>
      <c r="G220" s="18">
        <v>52.667550000000006</v>
      </c>
      <c r="H220" s="18">
        <v>0</v>
      </c>
      <c r="I220" s="8"/>
    </row>
    <row r="221" spans="1:9" ht="15.75" x14ac:dyDescent="0.25">
      <c r="A221" s="29">
        <v>46</v>
      </c>
      <c r="B221" s="23" t="s">
        <v>62</v>
      </c>
      <c r="C221" s="21">
        <v>12.896000000000001</v>
      </c>
      <c r="D221" s="18">
        <v>12.896000000000001</v>
      </c>
      <c r="E221" s="19">
        <v>0</v>
      </c>
      <c r="F221" s="21">
        <v>137.53992000000002</v>
      </c>
      <c r="G221" s="18">
        <v>137.53992000000002</v>
      </c>
      <c r="H221" s="18">
        <v>0</v>
      </c>
      <c r="I221" s="8"/>
    </row>
    <row r="222" spans="1:9" ht="15.75" x14ac:dyDescent="0.25">
      <c r="A222" s="29">
        <v>47</v>
      </c>
      <c r="B222" s="23" t="s">
        <v>63</v>
      </c>
      <c r="C222" s="21">
        <v>1.17</v>
      </c>
      <c r="D222" s="18">
        <v>1.17</v>
      </c>
      <c r="E222" s="19">
        <v>0</v>
      </c>
      <c r="F222" s="21">
        <v>18.00198</v>
      </c>
      <c r="G222" s="18">
        <v>18.00198</v>
      </c>
      <c r="H222" s="18">
        <v>0</v>
      </c>
      <c r="I222" s="8"/>
    </row>
    <row r="223" spans="1:9" ht="15.75" x14ac:dyDescent="0.25">
      <c r="A223" s="29">
        <v>48</v>
      </c>
      <c r="B223" s="23" t="s">
        <v>64</v>
      </c>
      <c r="C223" s="21">
        <v>0</v>
      </c>
      <c r="D223" s="18">
        <v>0</v>
      </c>
      <c r="E223" s="19">
        <v>0</v>
      </c>
      <c r="F223" s="21">
        <v>0</v>
      </c>
      <c r="G223" s="18">
        <v>0</v>
      </c>
      <c r="H223" s="18">
        <v>0</v>
      </c>
      <c r="I223" s="8"/>
    </row>
    <row r="224" spans="1:9" ht="15.75" x14ac:dyDescent="0.25">
      <c r="A224" s="29">
        <v>49</v>
      </c>
      <c r="B224" s="23" t="s">
        <v>65</v>
      </c>
      <c r="C224" s="21">
        <v>0.745</v>
      </c>
      <c r="D224" s="18">
        <v>0.745</v>
      </c>
      <c r="E224" s="19">
        <v>0</v>
      </c>
      <c r="F224" s="21">
        <v>5.3085399999999998</v>
      </c>
      <c r="G224" s="18">
        <v>5.3085399999999998</v>
      </c>
      <c r="H224" s="18">
        <v>0</v>
      </c>
      <c r="I224" s="8"/>
    </row>
    <row r="225" spans="1:9" ht="15.75" x14ac:dyDescent="0.25">
      <c r="A225" s="29">
        <v>50</v>
      </c>
      <c r="B225" s="23" t="s">
        <v>66</v>
      </c>
      <c r="C225" s="21">
        <v>0</v>
      </c>
      <c r="D225" s="18">
        <v>0</v>
      </c>
      <c r="E225" s="19">
        <v>0</v>
      </c>
      <c r="F225" s="21">
        <v>0</v>
      </c>
      <c r="G225" s="18">
        <v>0</v>
      </c>
      <c r="H225" s="18">
        <v>0</v>
      </c>
      <c r="I225" s="8"/>
    </row>
    <row r="226" spans="1:9" ht="15.75" x14ac:dyDescent="0.25">
      <c r="A226" s="29">
        <v>51</v>
      </c>
      <c r="B226" s="23" t="s">
        <v>67</v>
      </c>
      <c r="C226" s="21">
        <v>0</v>
      </c>
      <c r="D226" s="18">
        <v>0</v>
      </c>
      <c r="E226" s="19">
        <v>0</v>
      </c>
      <c r="F226" s="21">
        <v>0</v>
      </c>
      <c r="G226" s="18">
        <v>0</v>
      </c>
      <c r="H226" s="18">
        <v>0</v>
      </c>
      <c r="I226" s="8"/>
    </row>
    <row r="227" spans="1:9" ht="15.75" x14ac:dyDescent="0.25">
      <c r="A227" s="29">
        <v>52</v>
      </c>
      <c r="B227" s="23" t="s">
        <v>68</v>
      </c>
      <c r="C227" s="21">
        <v>1.117</v>
      </c>
      <c r="D227" s="18">
        <v>1.117</v>
      </c>
      <c r="E227" s="19">
        <v>0</v>
      </c>
      <c r="F227" s="21">
        <v>1.9540999999999999</v>
      </c>
      <c r="G227" s="18">
        <v>1.9540999999999999</v>
      </c>
      <c r="H227" s="18">
        <v>0</v>
      </c>
      <c r="I227" s="8"/>
    </row>
    <row r="228" spans="1:9" ht="15.75" x14ac:dyDescent="0.25">
      <c r="A228" s="29">
        <v>53</v>
      </c>
      <c r="B228" s="23" t="s">
        <v>69</v>
      </c>
      <c r="C228" s="21">
        <v>9.93</v>
      </c>
      <c r="D228" s="18">
        <v>9.93</v>
      </c>
      <c r="E228" s="19">
        <v>0</v>
      </c>
      <c r="F228" s="21">
        <v>130.73060000000001</v>
      </c>
      <c r="G228" s="18">
        <v>130.73060000000001</v>
      </c>
      <c r="H228" s="18">
        <v>0</v>
      </c>
      <c r="I228" s="8"/>
    </row>
    <row r="229" spans="1:9" ht="15.75" x14ac:dyDescent="0.25">
      <c r="A229" s="29">
        <v>54</v>
      </c>
      <c r="B229" s="23" t="s">
        <v>70</v>
      </c>
      <c r="C229" s="21">
        <v>0</v>
      </c>
      <c r="D229" s="18">
        <v>0</v>
      </c>
      <c r="E229" s="19">
        <v>0</v>
      </c>
      <c r="F229" s="21">
        <v>0</v>
      </c>
      <c r="G229" s="18">
        <v>0</v>
      </c>
      <c r="H229" s="18">
        <v>0</v>
      </c>
      <c r="I229" s="8"/>
    </row>
    <row r="230" spans="1:9" ht="15.75" x14ac:dyDescent="0.25">
      <c r="A230" s="29"/>
      <c r="B230" s="22" t="s">
        <v>71</v>
      </c>
      <c r="C230" s="21">
        <v>82.713539999999995</v>
      </c>
      <c r="D230" s="21">
        <v>82.713539999999995</v>
      </c>
      <c r="E230" s="41">
        <v>0</v>
      </c>
      <c r="F230" s="21">
        <v>2743.6200699999999</v>
      </c>
      <c r="G230" s="21">
        <v>2743.6200699999999</v>
      </c>
      <c r="H230" s="21">
        <v>0</v>
      </c>
      <c r="I230" s="10"/>
    </row>
    <row r="231" spans="1:9" ht="15.75" x14ac:dyDescent="0.25">
      <c r="A231" s="29">
        <v>55</v>
      </c>
      <c r="B231" s="11" t="s">
        <v>72</v>
      </c>
      <c r="C231" s="21">
        <v>1.96</v>
      </c>
      <c r="D231" s="18">
        <v>1.96</v>
      </c>
      <c r="E231" s="19">
        <v>0</v>
      </c>
      <c r="F231" s="21">
        <v>79.59178</v>
      </c>
      <c r="G231" s="18">
        <v>79.59178</v>
      </c>
      <c r="H231" s="18">
        <v>0</v>
      </c>
      <c r="I231" s="8"/>
    </row>
    <row r="232" spans="1:9" ht="15.75" x14ac:dyDescent="0.25">
      <c r="A232" s="29">
        <v>56</v>
      </c>
      <c r="B232" s="11" t="s">
        <v>73</v>
      </c>
      <c r="C232" s="21">
        <v>80.753539999999987</v>
      </c>
      <c r="D232" s="18">
        <v>80.753539999999987</v>
      </c>
      <c r="E232" s="19">
        <v>0</v>
      </c>
      <c r="F232" s="21">
        <v>2664.0282900000002</v>
      </c>
      <c r="G232" s="18">
        <v>2664.0282900000002</v>
      </c>
      <c r="H232" s="18">
        <v>0</v>
      </c>
      <c r="I232" s="8"/>
    </row>
    <row r="233" spans="1:9" ht="15.75" x14ac:dyDescent="0.25">
      <c r="A233" s="29"/>
      <c r="B233" s="22" t="s">
        <v>74</v>
      </c>
      <c r="C233" s="21">
        <v>12417.166929999999</v>
      </c>
      <c r="D233" s="21">
        <v>9167.4025299999994</v>
      </c>
      <c r="E233" s="41">
        <v>3249.7644</v>
      </c>
      <c r="F233" s="21">
        <v>594898.67588</v>
      </c>
      <c r="G233" s="21">
        <v>457643.10119999998</v>
      </c>
      <c r="H233" s="21">
        <v>137255.57468000002</v>
      </c>
      <c r="I233" s="4"/>
    </row>
    <row r="234" spans="1:9" ht="15.75" x14ac:dyDescent="0.25">
      <c r="A234" s="29">
        <v>57</v>
      </c>
      <c r="B234" s="23" t="s">
        <v>75</v>
      </c>
      <c r="C234" s="21">
        <v>845.58953000000008</v>
      </c>
      <c r="D234" s="18">
        <v>845.58953000000008</v>
      </c>
      <c r="E234" s="19">
        <v>0</v>
      </c>
      <c r="F234" s="21">
        <v>22333.964789999995</v>
      </c>
      <c r="G234" s="18">
        <v>22333.964789999995</v>
      </c>
      <c r="H234" s="18">
        <v>0</v>
      </c>
      <c r="I234" s="8"/>
    </row>
    <row r="235" spans="1:9" ht="15.75" x14ac:dyDescent="0.25">
      <c r="A235" s="29">
        <v>58</v>
      </c>
      <c r="B235" s="23" t="s">
        <v>76</v>
      </c>
      <c r="C235" s="21">
        <v>11571.5774</v>
      </c>
      <c r="D235" s="18">
        <v>8321.8130000000001</v>
      </c>
      <c r="E235" s="19">
        <v>3249.7644</v>
      </c>
      <c r="F235" s="21">
        <v>572564.71108999988</v>
      </c>
      <c r="G235" s="18">
        <v>435309.13640999998</v>
      </c>
      <c r="H235" s="18">
        <v>137255.57468000002</v>
      </c>
      <c r="I235" s="8"/>
    </row>
    <row r="236" spans="1:9" ht="15.75" x14ac:dyDescent="0.25">
      <c r="A236" s="29"/>
      <c r="B236" s="33" t="s">
        <v>77</v>
      </c>
      <c r="C236" s="18"/>
      <c r="D236" s="36"/>
      <c r="E236" s="19">
        <v>0</v>
      </c>
      <c r="F236" s="18"/>
      <c r="G236" s="36"/>
      <c r="H236" s="36"/>
      <c r="I236" s="4"/>
    </row>
    <row r="237" spans="1:9" ht="15.75" x14ac:dyDescent="0.25">
      <c r="A237" s="29"/>
      <c r="B237" s="22" t="s">
        <v>78</v>
      </c>
      <c r="C237" s="21">
        <f>SUM(D237:E237)</f>
        <v>382550.7</v>
      </c>
      <c r="D237" s="21">
        <f>SUM(D238:D243)</f>
        <v>382550.7</v>
      </c>
      <c r="E237" s="19">
        <v>0</v>
      </c>
      <c r="F237" s="21">
        <f>SUM(G237:H237)</f>
        <v>9549111.3100000005</v>
      </c>
      <c r="G237" s="21">
        <f>SUM(G238:G243)</f>
        <v>9549111.3100000005</v>
      </c>
      <c r="H237" s="21"/>
      <c r="I237" s="4"/>
    </row>
    <row r="238" spans="1:9" ht="15.75" x14ac:dyDescent="0.25">
      <c r="A238" s="29">
        <v>59</v>
      </c>
      <c r="B238" s="23" t="s">
        <v>79</v>
      </c>
      <c r="C238" s="21">
        <f t="shared" ref="C238:C243" si="7">SUM(D238:E238)</f>
        <v>315558.7</v>
      </c>
      <c r="D238" s="18">
        <v>315558.7</v>
      </c>
      <c r="E238" s="19">
        <v>0</v>
      </c>
      <c r="F238" s="21">
        <f t="shared" ref="F238:F240" si="8">SUM(G238:H238)</f>
        <v>7328301.4500000002</v>
      </c>
      <c r="G238" s="18">
        <v>7328301.4500000002</v>
      </c>
      <c r="H238" s="21"/>
      <c r="I238" s="8"/>
    </row>
    <row r="239" spans="1:9" ht="15.75" x14ac:dyDescent="0.25">
      <c r="A239" s="29">
        <v>60</v>
      </c>
      <c r="B239" s="23" t="s">
        <v>80</v>
      </c>
      <c r="C239" s="21">
        <f t="shared" si="7"/>
        <v>0</v>
      </c>
      <c r="D239" s="21">
        <f t="shared" ref="D239" si="9">SUM(E239:F239)</f>
        <v>0</v>
      </c>
      <c r="E239" s="19">
        <v>0</v>
      </c>
      <c r="F239" s="21">
        <f t="shared" si="8"/>
        <v>0</v>
      </c>
      <c r="G239" s="18"/>
      <c r="H239" s="21"/>
      <c r="I239" s="8"/>
    </row>
    <row r="240" spans="1:9" ht="15.75" x14ac:dyDescent="0.25">
      <c r="A240" s="29">
        <v>61</v>
      </c>
      <c r="B240" s="23" t="s">
        <v>81</v>
      </c>
      <c r="C240" s="21">
        <f t="shared" si="7"/>
        <v>66992</v>
      </c>
      <c r="D240" s="18">
        <v>66992</v>
      </c>
      <c r="E240" s="19">
        <v>0</v>
      </c>
      <c r="F240" s="21">
        <f t="shared" si="8"/>
        <v>2220809.86</v>
      </c>
      <c r="G240" s="18">
        <v>2220809.86</v>
      </c>
      <c r="H240" s="21"/>
      <c r="I240" s="8"/>
    </row>
    <row r="241" spans="1:9" ht="15.75" x14ac:dyDescent="0.25">
      <c r="A241" s="29"/>
      <c r="B241" s="23" t="s">
        <v>118</v>
      </c>
      <c r="C241" s="21">
        <f t="shared" si="7"/>
        <v>0</v>
      </c>
      <c r="D241" s="18">
        <v>0</v>
      </c>
      <c r="E241" s="19">
        <v>0</v>
      </c>
      <c r="F241" s="21"/>
      <c r="G241" s="18"/>
      <c r="H241" s="21"/>
      <c r="I241" s="8"/>
    </row>
    <row r="242" spans="1:9" ht="15.75" x14ac:dyDescent="0.25">
      <c r="A242" s="29"/>
      <c r="B242" s="23" t="s">
        <v>117</v>
      </c>
      <c r="C242" s="21">
        <f t="shared" si="7"/>
        <v>0</v>
      </c>
      <c r="D242" s="18">
        <v>0</v>
      </c>
      <c r="E242" s="19">
        <v>0</v>
      </c>
      <c r="F242" s="21"/>
      <c r="G242" s="18"/>
      <c r="H242" s="21"/>
      <c r="I242" s="8"/>
    </row>
    <row r="243" spans="1:9" ht="15.75" x14ac:dyDescent="0.25">
      <c r="A243" s="29">
        <v>62</v>
      </c>
      <c r="B243" s="23" t="s">
        <v>82</v>
      </c>
      <c r="C243" s="21">
        <f t="shared" si="7"/>
        <v>0</v>
      </c>
      <c r="D243" s="18">
        <v>0</v>
      </c>
      <c r="E243" s="19">
        <v>0</v>
      </c>
      <c r="F243" s="21">
        <f t="shared" ref="F243" si="10">SUM(G243:H243)</f>
        <v>0</v>
      </c>
      <c r="G243" s="18"/>
      <c r="H243" s="21"/>
      <c r="I243" s="8"/>
    </row>
    <row r="244" spans="1:9" ht="15.75" x14ac:dyDescent="0.25">
      <c r="A244" s="29"/>
      <c r="B244" s="22" t="s">
        <v>83</v>
      </c>
      <c r="C244" s="21">
        <f>SUM(D244:E244)</f>
        <v>4507321</v>
      </c>
      <c r="D244" s="21">
        <f>SUM(D245:D247)</f>
        <v>2297771</v>
      </c>
      <c r="E244" s="41">
        <f>SUM(E245:E247)</f>
        <v>2209550</v>
      </c>
      <c r="F244" s="21">
        <f>SUM(G244:H244)</f>
        <v>67062740.5</v>
      </c>
      <c r="G244" s="21">
        <f>SUM(G245:G247)</f>
        <v>35088907.409999996</v>
      </c>
      <c r="H244" s="21">
        <f>SUM(H245:H247)</f>
        <v>31973833.09</v>
      </c>
      <c r="I244" s="10"/>
    </row>
    <row r="245" spans="1:9" ht="15.75" x14ac:dyDescent="0.25">
      <c r="A245" s="29">
        <v>63</v>
      </c>
      <c r="B245" s="20" t="s">
        <v>84</v>
      </c>
      <c r="C245" s="21">
        <f t="shared" ref="C245:C247" si="11">SUM(D245:E245)</f>
        <v>1041325</v>
      </c>
      <c r="D245" s="18"/>
      <c r="E245" s="19">
        <v>1041325</v>
      </c>
      <c r="F245" s="21">
        <f t="shared" ref="F245:F247" si="12">SUM(G245:H245)</f>
        <v>14442046.890000001</v>
      </c>
      <c r="G245" s="44" t="s">
        <v>3</v>
      </c>
      <c r="H245" s="18">
        <v>14442046.890000001</v>
      </c>
      <c r="I245" s="8"/>
    </row>
    <row r="246" spans="1:9" ht="15.75" x14ac:dyDescent="0.25">
      <c r="A246" s="29">
        <v>64</v>
      </c>
      <c r="B246" s="20" t="s">
        <v>85</v>
      </c>
      <c r="C246" s="21">
        <f t="shared" si="11"/>
        <v>0</v>
      </c>
      <c r="D246" s="18">
        <v>0</v>
      </c>
      <c r="E246" s="41">
        <f t="shared" ref="E246" si="13">SUM(F246:G246)</f>
        <v>0</v>
      </c>
      <c r="F246" s="21">
        <f t="shared" si="12"/>
        <v>0</v>
      </c>
      <c r="G246" s="21">
        <f>SUM(H246:I246)</f>
        <v>0</v>
      </c>
      <c r="H246" s="21">
        <f>SUM(I246:I246)</f>
        <v>0</v>
      </c>
      <c r="I246" s="8"/>
    </row>
    <row r="247" spans="1:9" ht="15.75" x14ac:dyDescent="0.25">
      <c r="A247" s="29">
        <v>65</v>
      </c>
      <c r="B247" s="20" t="s">
        <v>86</v>
      </c>
      <c r="C247" s="21">
        <f t="shared" si="11"/>
        <v>3465996</v>
      </c>
      <c r="D247" s="18">
        <v>2297771</v>
      </c>
      <c r="E247" s="19">
        <v>1168225</v>
      </c>
      <c r="F247" s="21">
        <f t="shared" si="12"/>
        <v>52620693.609999999</v>
      </c>
      <c r="G247" s="18">
        <v>35088907.409999996</v>
      </c>
      <c r="H247" s="18">
        <v>17531786.199999999</v>
      </c>
      <c r="I247" s="8"/>
    </row>
    <row r="248" spans="1:9" ht="15.75" x14ac:dyDescent="0.25">
      <c r="A248" s="29"/>
      <c r="B248" s="20"/>
      <c r="C248" s="18"/>
      <c r="D248" s="18"/>
      <c r="E248" s="19"/>
      <c r="F248" s="18"/>
      <c r="G248" s="18"/>
      <c r="H248" s="18"/>
      <c r="I248" s="8"/>
    </row>
    <row r="249" spans="1:9" ht="15.75" x14ac:dyDescent="0.25">
      <c r="A249" s="29"/>
      <c r="B249" s="34" t="s">
        <v>12</v>
      </c>
      <c r="C249" s="18"/>
      <c r="D249" s="18"/>
      <c r="E249" s="19"/>
      <c r="F249" s="18"/>
      <c r="G249" s="18"/>
      <c r="H249" s="18"/>
      <c r="I249" s="4"/>
    </row>
    <row r="250" spans="1:9" ht="15.75" x14ac:dyDescent="0.25">
      <c r="A250" s="29"/>
      <c r="B250" s="22" t="s">
        <v>87</v>
      </c>
      <c r="C250" s="21">
        <v>876.23293000000001</v>
      </c>
      <c r="D250" s="21">
        <v>876.23293000000001</v>
      </c>
      <c r="E250" s="19">
        <v>0</v>
      </c>
      <c r="F250" s="21">
        <v>10199.73804</v>
      </c>
      <c r="G250" s="21">
        <v>10199.73804</v>
      </c>
      <c r="H250" s="21">
        <v>0</v>
      </c>
      <c r="I250" s="12"/>
    </row>
    <row r="251" spans="1:9" ht="15.75" x14ac:dyDescent="0.25">
      <c r="A251" s="29">
        <v>66</v>
      </c>
      <c r="B251" s="23" t="s">
        <v>88</v>
      </c>
      <c r="C251" s="21">
        <v>4.0250000000000001E-2</v>
      </c>
      <c r="D251" s="18">
        <v>4.0250000000000001E-2</v>
      </c>
      <c r="E251" s="19">
        <v>0</v>
      </c>
      <c r="F251" s="21">
        <v>2.13306</v>
      </c>
      <c r="G251" s="18">
        <v>2.13306</v>
      </c>
      <c r="H251" s="18">
        <v>0</v>
      </c>
      <c r="I251" s="8"/>
    </row>
    <row r="252" spans="1:9" ht="15.75" x14ac:dyDescent="0.25">
      <c r="A252" s="29">
        <v>67</v>
      </c>
      <c r="B252" s="23" t="s">
        <v>89</v>
      </c>
      <c r="C252" s="21">
        <v>1.5050000000000001E-2</v>
      </c>
      <c r="D252" s="18">
        <v>1.5050000000000001E-2</v>
      </c>
      <c r="E252" s="19">
        <v>0</v>
      </c>
      <c r="F252" s="21">
        <v>0.66160000000000008</v>
      </c>
      <c r="G252" s="18">
        <v>0.66160000000000008</v>
      </c>
      <c r="H252" s="18">
        <v>0</v>
      </c>
      <c r="I252" s="8"/>
    </row>
    <row r="253" spans="1:9" ht="15.75" x14ac:dyDescent="0.25">
      <c r="A253" s="29">
        <v>68</v>
      </c>
      <c r="B253" s="23" t="s">
        <v>90</v>
      </c>
      <c r="C253" s="21">
        <v>7.1999999999999998E-3</v>
      </c>
      <c r="D253" s="18">
        <v>7.1999999999999998E-3</v>
      </c>
      <c r="E253" s="19">
        <v>0</v>
      </c>
      <c r="F253" s="21">
        <v>0.43647000000000002</v>
      </c>
      <c r="G253" s="18">
        <v>0.43647000000000002</v>
      </c>
      <c r="H253" s="18">
        <v>0</v>
      </c>
      <c r="I253" s="8"/>
    </row>
    <row r="254" spans="1:9" ht="15.75" x14ac:dyDescent="0.25">
      <c r="A254" s="29">
        <v>69</v>
      </c>
      <c r="B254" s="23" t="s">
        <v>91</v>
      </c>
      <c r="C254" s="21">
        <f t="shared" ref="C254:C256" si="14">SUM(D254:E254)</f>
        <v>0</v>
      </c>
      <c r="D254" s="18">
        <v>0</v>
      </c>
      <c r="E254" s="19">
        <v>0</v>
      </c>
      <c r="F254" s="21">
        <f t="shared" ref="F254:F256" si="15">SUM(G254:H254)</f>
        <v>0</v>
      </c>
      <c r="G254" s="18"/>
      <c r="H254" s="18"/>
      <c r="I254" s="8"/>
    </row>
    <row r="255" spans="1:9" ht="15.75" x14ac:dyDescent="0.25">
      <c r="A255" s="29">
        <v>70</v>
      </c>
      <c r="B255" s="23" t="s">
        <v>92</v>
      </c>
      <c r="C255" s="21">
        <f t="shared" si="14"/>
        <v>0</v>
      </c>
      <c r="D255" s="18">
        <v>0</v>
      </c>
      <c r="E255" s="19">
        <v>0</v>
      </c>
      <c r="F255" s="21">
        <f t="shared" si="15"/>
        <v>0</v>
      </c>
      <c r="G255" s="18"/>
      <c r="H255" s="18"/>
      <c r="I255" s="8"/>
    </row>
    <row r="256" spans="1:9" ht="15.75" x14ac:dyDescent="0.25">
      <c r="A256" s="29">
        <v>71</v>
      </c>
      <c r="B256" s="23" t="s">
        <v>93</v>
      </c>
      <c r="C256" s="21">
        <f t="shared" si="14"/>
        <v>0</v>
      </c>
      <c r="D256" s="18"/>
      <c r="E256" s="19">
        <v>0</v>
      </c>
      <c r="F256" s="21">
        <f t="shared" si="15"/>
        <v>0</v>
      </c>
      <c r="G256" s="18"/>
      <c r="H256" s="18"/>
      <c r="I256" s="8"/>
    </row>
    <row r="257" spans="1:9" ht="15.75" x14ac:dyDescent="0.25">
      <c r="A257" s="29">
        <v>72</v>
      </c>
      <c r="B257" s="23" t="s">
        <v>56</v>
      </c>
      <c r="C257" s="21">
        <v>867.57399999999996</v>
      </c>
      <c r="D257" s="18">
        <v>867.57399999999996</v>
      </c>
      <c r="E257" s="19">
        <v>0</v>
      </c>
      <c r="F257" s="21">
        <v>10109.186079999999</v>
      </c>
      <c r="G257" s="18">
        <v>10109.186079999999</v>
      </c>
      <c r="H257" s="18">
        <v>0</v>
      </c>
      <c r="I257" s="8"/>
    </row>
    <row r="258" spans="1:9" ht="15.75" x14ac:dyDescent="0.25">
      <c r="A258" s="29">
        <v>73</v>
      </c>
      <c r="B258" s="23" t="s">
        <v>94</v>
      </c>
      <c r="C258" s="21">
        <v>8.5749999999999993</v>
      </c>
      <c r="D258" s="18">
        <v>8.5749999999999993</v>
      </c>
      <c r="E258" s="19">
        <v>0</v>
      </c>
      <c r="F258" s="21">
        <v>86.183610000000002</v>
      </c>
      <c r="G258" s="18">
        <v>86.183610000000002</v>
      </c>
      <c r="H258" s="18">
        <v>0</v>
      </c>
      <c r="I258" s="8"/>
    </row>
    <row r="259" spans="1:9" ht="15.75" x14ac:dyDescent="0.25">
      <c r="A259" s="29">
        <v>74</v>
      </c>
      <c r="B259" s="23" t="s">
        <v>95</v>
      </c>
      <c r="C259" s="21">
        <v>2.1430000000000001E-2</v>
      </c>
      <c r="D259" s="18">
        <v>2.1430000000000001E-2</v>
      </c>
      <c r="E259" s="19">
        <v>0</v>
      </c>
      <c r="F259" s="21">
        <v>1.1372200000000001</v>
      </c>
      <c r="G259" s="18">
        <v>1.1372200000000001</v>
      </c>
      <c r="H259" s="18">
        <v>0</v>
      </c>
      <c r="I259" s="8"/>
    </row>
    <row r="260" spans="1:9" ht="15.75" x14ac:dyDescent="0.25">
      <c r="B260" s="34" t="s">
        <v>77</v>
      </c>
      <c r="C260" s="21"/>
      <c r="D260" s="18"/>
      <c r="E260" s="19">
        <v>0</v>
      </c>
      <c r="F260" s="21"/>
      <c r="G260" s="18"/>
      <c r="H260" s="18"/>
      <c r="I260" s="4"/>
    </row>
    <row r="261" spans="1:9" ht="15.75" x14ac:dyDescent="0.25">
      <c r="B261" s="22" t="s">
        <v>96</v>
      </c>
      <c r="C261" s="21">
        <f>SUM(D261:E261)</f>
        <v>1531.8400000000001</v>
      </c>
      <c r="D261" s="21">
        <f>SUM(D262:D291)</f>
        <v>1531.8400000000001</v>
      </c>
      <c r="E261" s="19">
        <v>0</v>
      </c>
      <c r="F261" s="21">
        <f>SUM(G261:H261)</f>
        <v>381703.59</v>
      </c>
      <c r="G261" s="21">
        <f>SUM(G262:G291)</f>
        <v>381703.59</v>
      </c>
      <c r="H261" s="21">
        <f>SUM(H262:H291)</f>
        <v>0</v>
      </c>
      <c r="I261" s="13"/>
    </row>
    <row r="262" spans="1:9" ht="15.75" x14ac:dyDescent="0.25">
      <c r="A262" s="29">
        <v>75</v>
      </c>
      <c r="B262" s="35" t="s">
        <v>126</v>
      </c>
      <c r="C262" s="21">
        <v>100</v>
      </c>
      <c r="D262" s="18">
        <v>100</v>
      </c>
      <c r="E262" s="19">
        <v>0</v>
      </c>
      <c r="F262" s="21">
        <f t="shared" ref="F262:F290" si="16">SUM(G262:H262)</f>
        <v>1906.19</v>
      </c>
      <c r="G262" s="18">
        <v>1906.19</v>
      </c>
      <c r="H262" s="18">
        <v>0</v>
      </c>
      <c r="I262" s="8"/>
    </row>
    <row r="263" spans="1:9" ht="15.75" x14ac:dyDescent="0.25">
      <c r="A263" s="29">
        <v>76</v>
      </c>
      <c r="B263" s="35" t="s">
        <v>127</v>
      </c>
      <c r="C263" s="21">
        <f t="shared" ref="C263:C285" si="17">SUM(D263:E263)</f>
        <v>5.25</v>
      </c>
      <c r="D263" s="18">
        <v>5.25</v>
      </c>
      <c r="E263" s="19">
        <v>0</v>
      </c>
      <c r="F263" s="21">
        <f>SUM(G263:H263)</f>
        <v>11.85</v>
      </c>
      <c r="G263" s="18">
        <v>11.85</v>
      </c>
      <c r="H263" s="18">
        <v>0</v>
      </c>
      <c r="I263" s="8"/>
    </row>
    <row r="264" spans="1:9" ht="15.75" x14ac:dyDescent="0.25">
      <c r="A264" s="29">
        <v>77</v>
      </c>
      <c r="B264" s="35" t="s">
        <v>128</v>
      </c>
      <c r="C264" s="21">
        <f t="shared" si="17"/>
        <v>1.4</v>
      </c>
      <c r="D264" s="18">
        <v>1.4</v>
      </c>
      <c r="E264" s="19">
        <v>0</v>
      </c>
      <c r="F264" s="21">
        <f t="shared" si="16"/>
        <v>5417.28</v>
      </c>
      <c r="G264" s="18">
        <v>5417.28</v>
      </c>
      <c r="H264" s="18">
        <v>0</v>
      </c>
      <c r="I264" s="8"/>
    </row>
    <row r="265" spans="1:9" ht="15.75" x14ac:dyDescent="0.25">
      <c r="A265" s="29">
        <v>78</v>
      </c>
      <c r="B265" s="35" t="s">
        <v>129</v>
      </c>
      <c r="C265" s="21">
        <f t="shared" si="17"/>
        <v>4</v>
      </c>
      <c r="D265" s="18">
        <v>4</v>
      </c>
      <c r="E265" s="19">
        <v>0</v>
      </c>
      <c r="F265" s="21">
        <f t="shared" si="16"/>
        <v>37690.800000000003</v>
      </c>
      <c r="G265" s="18">
        <v>37690.800000000003</v>
      </c>
      <c r="H265" s="18">
        <v>0</v>
      </c>
      <c r="I265" s="8"/>
    </row>
    <row r="266" spans="1:9" ht="15.75" x14ac:dyDescent="0.25">
      <c r="A266" s="29">
        <v>79</v>
      </c>
      <c r="B266" s="14" t="s">
        <v>130</v>
      </c>
      <c r="C266" s="21">
        <f t="shared" si="17"/>
        <v>80</v>
      </c>
      <c r="D266" s="18">
        <v>80</v>
      </c>
      <c r="E266" s="19">
        <v>0</v>
      </c>
      <c r="F266" s="21">
        <f t="shared" si="16"/>
        <v>18465</v>
      </c>
      <c r="G266" s="18">
        <v>18465</v>
      </c>
      <c r="H266" s="18">
        <v>0</v>
      </c>
      <c r="I266" s="8"/>
    </row>
    <row r="267" spans="1:9" ht="15.75" x14ac:dyDescent="0.25">
      <c r="A267" s="29">
        <v>80</v>
      </c>
      <c r="B267" s="14" t="s">
        <v>131</v>
      </c>
      <c r="C267" s="21">
        <f t="shared" si="17"/>
        <v>48</v>
      </c>
      <c r="D267" s="18">
        <v>48</v>
      </c>
      <c r="E267" s="19">
        <v>0</v>
      </c>
      <c r="F267" s="21">
        <f t="shared" si="16"/>
        <v>738.84</v>
      </c>
      <c r="G267" s="18">
        <v>738.84</v>
      </c>
      <c r="H267" s="18">
        <v>0</v>
      </c>
      <c r="I267" s="8"/>
    </row>
    <row r="268" spans="1:9" ht="15.75" x14ac:dyDescent="0.25">
      <c r="A268" s="29">
        <v>81</v>
      </c>
      <c r="B268" s="14" t="s">
        <v>132</v>
      </c>
      <c r="C268" s="21">
        <f t="shared" si="17"/>
        <v>122.5</v>
      </c>
      <c r="D268" s="18">
        <v>122.5</v>
      </c>
      <c r="E268" s="19">
        <v>0</v>
      </c>
      <c r="F268" s="21">
        <f>SUM(G268:H268)</f>
        <v>7585.3</v>
      </c>
      <c r="G268" s="18">
        <v>7585.3</v>
      </c>
      <c r="H268" s="18">
        <v>0</v>
      </c>
      <c r="I268" s="8"/>
    </row>
    <row r="269" spans="1:9" ht="15.75" x14ac:dyDescent="0.25">
      <c r="A269" s="29">
        <v>82</v>
      </c>
      <c r="B269" s="14" t="s">
        <v>133</v>
      </c>
      <c r="C269" s="21">
        <f t="shared" si="17"/>
        <v>1</v>
      </c>
      <c r="D269" s="18">
        <v>1</v>
      </c>
      <c r="E269" s="19">
        <v>0</v>
      </c>
      <c r="F269" s="21">
        <f t="shared" si="16"/>
        <v>2307.9</v>
      </c>
      <c r="G269" s="18">
        <v>2307.9</v>
      </c>
      <c r="H269" s="18">
        <v>0</v>
      </c>
      <c r="I269" s="8"/>
    </row>
    <row r="270" spans="1:9" ht="15.75" x14ac:dyDescent="0.25">
      <c r="A270" s="29">
        <v>83</v>
      </c>
      <c r="B270" s="14" t="s">
        <v>134</v>
      </c>
      <c r="C270" s="21">
        <f t="shared" si="17"/>
        <v>1</v>
      </c>
      <c r="D270" s="18">
        <v>1</v>
      </c>
      <c r="E270" s="19">
        <v>0</v>
      </c>
      <c r="F270" s="21">
        <f t="shared" si="16"/>
        <v>124719.75</v>
      </c>
      <c r="G270" s="18">
        <v>124719.75</v>
      </c>
      <c r="H270" s="18">
        <v>0</v>
      </c>
      <c r="I270" s="8"/>
    </row>
    <row r="271" spans="1:9" ht="15.75" x14ac:dyDescent="0.25">
      <c r="A271" s="29">
        <v>84</v>
      </c>
      <c r="B271" s="14" t="s">
        <v>135</v>
      </c>
      <c r="C271" s="21">
        <f t="shared" si="17"/>
        <v>34</v>
      </c>
      <c r="D271" s="18">
        <v>34</v>
      </c>
      <c r="E271" s="19">
        <v>0</v>
      </c>
      <c r="F271" s="21">
        <f t="shared" si="16"/>
        <v>56.91</v>
      </c>
      <c r="G271" s="18">
        <v>56.91</v>
      </c>
      <c r="H271" s="18">
        <v>0</v>
      </c>
      <c r="I271" s="8"/>
    </row>
    <row r="272" spans="1:9" ht="15.75" x14ac:dyDescent="0.25">
      <c r="A272" s="29">
        <v>85</v>
      </c>
      <c r="B272" s="14" t="s">
        <v>136</v>
      </c>
      <c r="C272" s="21">
        <f t="shared" si="17"/>
        <v>213</v>
      </c>
      <c r="D272" s="18">
        <v>213</v>
      </c>
      <c r="E272" s="19">
        <v>0</v>
      </c>
      <c r="F272" s="21">
        <f t="shared" si="16"/>
        <v>1154.25</v>
      </c>
      <c r="G272" s="18">
        <v>1154.25</v>
      </c>
      <c r="H272" s="18">
        <v>0</v>
      </c>
      <c r="I272" s="8"/>
    </row>
    <row r="273" spans="1:9" ht="15.75" x14ac:dyDescent="0.25">
      <c r="A273" s="29">
        <v>86</v>
      </c>
      <c r="B273" s="14" t="s">
        <v>137</v>
      </c>
      <c r="C273" s="21">
        <f t="shared" si="17"/>
        <v>3.5500000000000003</v>
      </c>
      <c r="D273" s="18">
        <v>3.5500000000000003</v>
      </c>
      <c r="E273" s="19">
        <v>0</v>
      </c>
      <c r="F273" s="21">
        <f t="shared" si="16"/>
        <v>29.83</v>
      </c>
      <c r="G273" s="18">
        <v>29.83</v>
      </c>
      <c r="H273" s="18">
        <v>0</v>
      </c>
      <c r="I273" s="8"/>
    </row>
    <row r="274" spans="1:9" ht="15.75" x14ac:dyDescent="0.25">
      <c r="A274" s="29">
        <v>87</v>
      </c>
      <c r="B274" s="14" t="s">
        <v>138</v>
      </c>
      <c r="C274" s="21">
        <f t="shared" si="17"/>
        <v>120</v>
      </c>
      <c r="D274" s="18">
        <v>120</v>
      </c>
      <c r="E274" s="19">
        <v>0</v>
      </c>
      <c r="F274" s="21">
        <f t="shared" si="16"/>
        <v>218.48</v>
      </c>
      <c r="G274" s="18">
        <v>218.48</v>
      </c>
      <c r="H274" s="18">
        <v>0</v>
      </c>
      <c r="I274" s="8"/>
    </row>
    <row r="275" spans="1:9" ht="15.75" x14ac:dyDescent="0.25">
      <c r="A275" s="29">
        <v>88</v>
      </c>
      <c r="B275" s="14" t="s">
        <v>139</v>
      </c>
      <c r="C275" s="21">
        <f t="shared" si="17"/>
        <v>725.11</v>
      </c>
      <c r="D275" s="18">
        <v>725.11</v>
      </c>
      <c r="E275" s="19">
        <v>0</v>
      </c>
      <c r="F275" s="21">
        <f t="shared" si="16"/>
        <v>2068.12</v>
      </c>
      <c r="G275" s="18">
        <v>2068.12</v>
      </c>
      <c r="H275" s="18">
        <v>0</v>
      </c>
      <c r="I275" s="8"/>
    </row>
    <row r="276" spans="1:9" ht="15.75" x14ac:dyDescent="0.25">
      <c r="A276" s="29">
        <v>89</v>
      </c>
      <c r="B276" s="14" t="s">
        <v>140</v>
      </c>
      <c r="C276" s="21">
        <f t="shared" si="17"/>
        <v>20</v>
      </c>
      <c r="D276" s="18">
        <v>20</v>
      </c>
      <c r="E276" s="19">
        <v>0</v>
      </c>
      <c r="F276" s="21">
        <f t="shared" si="16"/>
        <v>6892.93</v>
      </c>
      <c r="G276" s="18">
        <v>6892.93</v>
      </c>
      <c r="H276" s="18">
        <v>0</v>
      </c>
      <c r="I276" s="8"/>
    </row>
    <row r="277" spans="1:9" ht="15.75" x14ac:dyDescent="0.25">
      <c r="A277" s="29">
        <v>90</v>
      </c>
      <c r="B277" s="14" t="s">
        <v>141</v>
      </c>
      <c r="C277" s="21">
        <f t="shared" si="17"/>
        <v>1</v>
      </c>
      <c r="D277" s="18">
        <v>1</v>
      </c>
      <c r="E277" s="19">
        <v>0</v>
      </c>
      <c r="F277" s="21">
        <f t="shared" si="16"/>
        <v>1538.6</v>
      </c>
      <c r="G277" s="18">
        <v>1538.6</v>
      </c>
      <c r="H277" s="18">
        <v>0</v>
      </c>
      <c r="I277" s="8"/>
    </row>
    <row r="278" spans="1:9" ht="15.75" x14ac:dyDescent="0.25">
      <c r="A278" s="29">
        <v>91</v>
      </c>
      <c r="B278" s="14" t="s">
        <v>142</v>
      </c>
      <c r="C278" s="21">
        <f t="shared" si="17"/>
        <v>0.19</v>
      </c>
      <c r="D278" s="18">
        <v>0.19</v>
      </c>
      <c r="E278" s="19">
        <v>0</v>
      </c>
      <c r="F278" s="21">
        <f t="shared" si="16"/>
        <v>339.9</v>
      </c>
      <c r="G278" s="18">
        <v>339.9</v>
      </c>
      <c r="H278" s="18">
        <v>0</v>
      </c>
      <c r="I278" s="8"/>
    </row>
    <row r="279" spans="1:9" ht="15.75" x14ac:dyDescent="0.25">
      <c r="A279" s="29">
        <v>92</v>
      </c>
      <c r="B279" s="14" t="s">
        <v>143</v>
      </c>
      <c r="C279" s="21">
        <f t="shared" si="17"/>
        <v>7.25</v>
      </c>
      <c r="D279" s="18">
        <v>7.25</v>
      </c>
      <c r="E279" s="19">
        <v>0</v>
      </c>
      <c r="F279" s="21">
        <f t="shared" si="16"/>
        <v>24.45</v>
      </c>
      <c r="G279" s="18">
        <v>24.45</v>
      </c>
      <c r="H279" s="18">
        <v>0</v>
      </c>
      <c r="I279" s="8"/>
    </row>
    <row r="280" spans="1:9" ht="15.75" x14ac:dyDescent="0.25">
      <c r="A280" s="29">
        <v>93</v>
      </c>
      <c r="B280" s="14" t="s">
        <v>144</v>
      </c>
      <c r="C280" s="21">
        <f t="shared" si="17"/>
        <v>4</v>
      </c>
      <c r="D280" s="18">
        <v>4</v>
      </c>
      <c r="E280" s="19">
        <v>0</v>
      </c>
      <c r="F280" s="21">
        <f t="shared" si="16"/>
        <v>149280.20000000001</v>
      </c>
      <c r="G280" s="18">
        <v>149280.20000000001</v>
      </c>
      <c r="H280" s="18">
        <v>0</v>
      </c>
      <c r="I280" s="8"/>
    </row>
    <row r="281" spans="1:9" ht="15.75" x14ac:dyDescent="0.25">
      <c r="A281" s="29">
        <v>94</v>
      </c>
      <c r="B281" s="14" t="s">
        <v>145</v>
      </c>
      <c r="C281" s="21">
        <f t="shared" si="17"/>
        <v>16</v>
      </c>
      <c r="D281" s="18">
        <v>16</v>
      </c>
      <c r="E281" s="19">
        <v>0</v>
      </c>
      <c r="F281" s="21">
        <f t="shared" si="16"/>
        <v>732.08</v>
      </c>
      <c r="G281" s="18">
        <v>732.08</v>
      </c>
      <c r="H281" s="18">
        <v>0</v>
      </c>
      <c r="I281" s="8"/>
    </row>
    <row r="282" spans="1:9" ht="15.75" x14ac:dyDescent="0.25">
      <c r="A282" s="29">
        <v>95</v>
      </c>
      <c r="B282" s="14" t="s">
        <v>146</v>
      </c>
      <c r="C282" s="21">
        <f t="shared" si="17"/>
        <v>1</v>
      </c>
      <c r="D282" s="18">
        <v>1</v>
      </c>
      <c r="E282" s="19">
        <v>0</v>
      </c>
      <c r="F282" s="21">
        <f t="shared" si="16"/>
        <v>2307.9</v>
      </c>
      <c r="G282" s="18">
        <v>2307.9</v>
      </c>
      <c r="H282" s="18">
        <v>0</v>
      </c>
      <c r="I282" s="8"/>
    </row>
    <row r="283" spans="1:9" ht="15.75" x14ac:dyDescent="0.25">
      <c r="A283" s="29">
        <v>96</v>
      </c>
      <c r="B283" s="14" t="s">
        <v>147</v>
      </c>
      <c r="C283" s="21">
        <f t="shared" si="17"/>
        <v>8.39</v>
      </c>
      <c r="D283" s="18">
        <v>8.39</v>
      </c>
      <c r="E283" s="19">
        <v>0</v>
      </c>
      <c r="F283" s="21">
        <f t="shared" si="16"/>
        <v>350.74</v>
      </c>
      <c r="G283" s="18">
        <v>350.74</v>
      </c>
      <c r="H283" s="18">
        <v>0</v>
      </c>
      <c r="I283" s="8"/>
    </row>
    <row r="284" spans="1:9" ht="15.75" x14ac:dyDescent="0.25">
      <c r="A284" s="29">
        <v>97</v>
      </c>
      <c r="B284" s="14" t="s">
        <v>148</v>
      </c>
      <c r="C284" s="21">
        <f t="shared" si="17"/>
        <v>1</v>
      </c>
      <c r="D284" s="18">
        <v>1</v>
      </c>
      <c r="E284" s="19">
        <v>0</v>
      </c>
      <c r="F284" s="21">
        <f t="shared" si="16"/>
        <v>15.39</v>
      </c>
      <c r="G284" s="18">
        <v>15.39</v>
      </c>
      <c r="H284" s="18">
        <v>0</v>
      </c>
      <c r="I284" s="8"/>
    </row>
    <row r="285" spans="1:9" ht="15.75" x14ac:dyDescent="0.25">
      <c r="A285" s="29">
        <v>98</v>
      </c>
      <c r="B285" s="14" t="s">
        <v>149</v>
      </c>
      <c r="C285" s="21">
        <f t="shared" si="17"/>
        <v>1.7</v>
      </c>
      <c r="D285" s="18">
        <v>1.7</v>
      </c>
      <c r="E285" s="19">
        <v>0</v>
      </c>
      <c r="F285" s="21">
        <f t="shared" si="16"/>
        <v>104</v>
      </c>
      <c r="G285" s="18">
        <v>104</v>
      </c>
      <c r="H285" s="18">
        <v>0</v>
      </c>
      <c r="I285" s="8"/>
    </row>
    <row r="286" spans="1:9" ht="15.75" x14ac:dyDescent="0.25">
      <c r="A286" s="29">
        <v>99</v>
      </c>
      <c r="B286" s="14" t="s">
        <v>150</v>
      </c>
      <c r="C286" s="21">
        <v>1</v>
      </c>
      <c r="D286" s="18">
        <v>1</v>
      </c>
      <c r="E286" s="19">
        <v>0</v>
      </c>
      <c r="F286" s="21">
        <f t="shared" si="16"/>
        <v>7693</v>
      </c>
      <c r="G286" s="18">
        <v>7693</v>
      </c>
      <c r="H286" s="18">
        <v>0</v>
      </c>
      <c r="I286" s="8"/>
    </row>
    <row r="287" spans="1:9" ht="15.75" x14ac:dyDescent="0.25">
      <c r="A287" s="29">
        <v>100</v>
      </c>
      <c r="B287" s="14" t="s">
        <v>151</v>
      </c>
      <c r="C287" s="21">
        <f t="shared" ref="C287:C290" si="18">SUM(D287:E287)</f>
        <v>1</v>
      </c>
      <c r="D287" s="18">
        <v>1</v>
      </c>
      <c r="E287" s="19">
        <v>0</v>
      </c>
      <c r="F287" s="21">
        <f t="shared" si="16"/>
        <v>8484.5300000000007</v>
      </c>
      <c r="G287" s="18">
        <v>8484.5300000000007</v>
      </c>
      <c r="H287" s="18">
        <v>0</v>
      </c>
      <c r="I287" s="8"/>
    </row>
    <row r="288" spans="1:9" ht="15.75" x14ac:dyDescent="0.25">
      <c r="A288" s="29">
        <v>101</v>
      </c>
      <c r="B288" s="14" t="s">
        <v>152</v>
      </c>
      <c r="C288" s="21">
        <f t="shared" si="18"/>
        <v>0.45</v>
      </c>
      <c r="D288" s="18">
        <v>0.45</v>
      </c>
      <c r="E288" s="19">
        <v>0</v>
      </c>
      <c r="F288" s="21">
        <f t="shared" si="16"/>
        <v>23.08</v>
      </c>
      <c r="G288" s="18">
        <v>23.08</v>
      </c>
      <c r="H288" s="18">
        <v>0</v>
      </c>
      <c r="I288" s="8"/>
    </row>
    <row r="289" spans="1:9" ht="15.75" x14ac:dyDescent="0.25">
      <c r="A289" s="29">
        <v>102</v>
      </c>
      <c r="B289" s="14" t="s">
        <v>153</v>
      </c>
      <c r="C289" s="21">
        <f t="shared" si="18"/>
        <v>10</v>
      </c>
      <c r="D289" s="18">
        <v>10</v>
      </c>
      <c r="E289" s="19">
        <v>0</v>
      </c>
      <c r="F289" s="21">
        <f t="shared" si="16"/>
        <v>1538.6</v>
      </c>
      <c r="G289" s="18">
        <v>1538.6</v>
      </c>
      <c r="H289" s="18">
        <v>0</v>
      </c>
      <c r="I289" s="8"/>
    </row>
    <row r="290" spans="1:9" ht="15.75" x14ac:dyDescent="0.25">
      <c r="A290" s="29">
        <v>103</v>
      </c>
      <c r="B290" s="14" t="s">
        <v>154</v>
      </c>
      <c r="C290" s="21">
        <f t="shared" si="18"/>
        <v>0.05</v>
      </c>
      <c r="D290" s="18">
        <v>0.05</v>
      </c>
      <c r="E290" s="19">
        <v>0</v>
      </c>
      <c r="F290" s="21">
        <f t="shared" si="16"/>
        <v>7.69</v>
      </c>
      <c r="G290" s="18">
        <v>7.69</v>
      </c>
      <c r="H290" s="18">
        <v>0</v>
      </c>
      <c r="I290" s="8"/>
    </row>
    <row r="291" spans="1:9" ht="15.75" x14ac:dyDescent="0.25">
      <c r="A291" s="29"/>
      <c r="C291" s="21"/>
      <c r="D291" s="18"/>
      <c r="E291" s="19">
        <v>0</v>
      </c>
      <c r="F291" s="21"/>
      <c r="G291" s="18"/>
      <c r="H291" s="18"/>
      <c r="I291" s="8"/>
    </row>
    <row r="292" spans="1:9" ht="15.75" x14ac:dyDescent="0.25">
      <c r="A292" s="29"/>
      <c r="B292" s="33" t="s">
        <v>12</v>
      </c>
      <c r="C292" s="18"/>
      <c r="D292" s="18"/>
      <c r="E292" s="19">
        <v>0</v>
      </c>
      <c r="F292" s="18"/>
      <c r="G292" s="18"/>
      <c r="H292" s="18"/>
      <c r="I292" s="8"/>
    </row>
    <row r="293" spans="1:9" ht="15.75" x14ac:dyDescent="0.25">
      <c r="A293" s="29"/>
      <c r="B293" s="33"/>
      <c r="C293" s="21">
        <f>SUM(D293:E293)</f>
        <v>1740</v>
      </c>
      <c r="D293" s="21">
        <f>SUM(D294:D300)</f>
        <v>1740</v>
      </c>
      <c r="E293" s="41">
        <f>SUM(E294:E300)</f>
        <v>0</v>
      </c>
      <c r="F293" s="21">
        <f>SUM(G293:H293)</f>
        <v>271267.03999999998</v>
      </c>
      <c r="G293" s="21">
        <f>SUM(G294:G300)</f>
        <v>271267.03999999998</v>
      </c>
      <c r="H293" s="21">
        <f>SUM(H294:H300)</f>
        <v>0</v>
      </c>
      <c r="I293" s="8"/>
    </row>
    <row r="294" spans="1:9" ht="15.75" x14ac:dyDescent="0.25">
      <c r="A294" s="29">
        <v>104</v>
      </c>
      <c r="B294" s="23" t="s">
        <v>97</v>
      </c>
      <c r="C294" s="18">
        <f t="shared" ref="C294:C298" si="19">SUM(D294:E294)</f>
        <v>1732</v>
      </c>
      <c r="D294" s="18">
        <v>1732</v>
      </c>
      <c r="E294" s="19">
        <v>0</v>
      </c>
      <c r="F294" s="18">
        <f t="shared" ref="F294:F298" si="20">SUM(G294:H294)</f>
        <v>271143.98</v>
      </c>
      <c r="G294" s="18">
        <v>271143.98</v>
      </c>
      <c r="H294" s="18">
        <v>0</v>
      </c>
      <c r="I294" s="8"/>
    </row>
    <row r="295" spans="1:9" ht="15.75" x14ac:dyDescent="0.25">
      <c r="A295" s="29">
        <v>105</v>
      </c>
      <c r="B295" s="23" t="s">
        <v>98</v>
      </c>
      <c r="C295" s="18">
        <f t="shared" si="19"/>
        <v>0</v>
      </c>
      <c r="D295" s="18">
        <f t="shared" ref="D295" si="21">SUM(E295:F295)</f>
        <v>0</v>
      </c>
      <c r="E295" s="19">
        <v>0</v>
      </c>
      <c r="F295" s="18">
        <f t="shared" si="20"/>
        <v>0</v>
      </c>
      <c r="G295" s="18">
        <f>SUM(H295:I295)</f>
        <v>0</v>
      </c>
      <c r="H295" s="18">
        <v>0</v>
      </c>
      <c r="I295" s="8"/>
    </row>
    <row r="296" spans="1:9" ht="15.75" x14ac:dyDescent="0.25">
      <c r="A296" s="29">
        <v>106</v>
      </c>
      <c r="B296" s="62" t="s">
        <v>99</v>
      </c>
      <c r="C296" s="18">
        <f t="shared" si="19"/>
        <v>8</v>
      </c>
      <c r="D296" s="18">
        <v>8</v>
      </c>
      <c r="E296" s="19">
        <v>0</v>
      </c>
      <c r="F296" s="18">
        <f t="shared" si="20"/>
        <v>123.06</v>
      </c>
      <c r="G296" s="18">
        <v>123.06</v>
      </c>
      <c r="H296" s="18">
        <v>0</v>
      </c>
      <c r="I296" s="8"/>
    </row>
    <row r="297" spans="1:9" ht="15.75" x14ac:dyDescent="0.25">
      <c r="A297" s="29">
        <v>107</v>
      </c>
      <c r="B297" s="62" t="s">
        <v>100</v>
      </c>
      <c r="C297" s="18">
        <f t="shared" si="19"/>
        <v>0</v>
      </c>
      <c r="D297" s="18">
        <f t="shared" ref="D297:D298" si="22">SUM(E297:F297)</f>
        <v>0</v>
      </c>
      <c r="E297" s="19">
        <v>0</v>
      </c>
      <c r="F297" s="18">
        <f t="shared" si="20"/>
        <v>0</v>
      </c>
      <c r="G297" s="18">
        <f>SUM(H297:I297)</f>
        <v>0</v>
      </c>
      <c r="H297" s="18">
        <v>0</v>
      </c>
      <c r="I297" s="8"/>
    </row>
    <row r="298" spans="1:9" ht="15.75" x14ac:dyDescent="0.25">
      <c r="A298" s="29">
        <v>108</v>
      </c>
      <c r="B298" s="62" t="s">
        <v>101</v>
      </c>
      <c r="C298" s="18">
        <f t="shared" si="19"/>
        <v>0</v>
      </c>
      <c r="D298" s="18">
        <f t="shared" si="22"/>
        <v>0</v>
      </c>
      <c r="E298" s="19">
        <v>0</v>
      </c>
      <c r="F298" s="18">
        <f t="shared" si="20"/>
        <v>0</v>
      </c>
      <c r="G298" s="18">
        <f>SUM(H298:I298)</f>
        <v>0</v>
      </c>
      <c r="H298" s="18">
        <v>0</v>
      </c>
      <c r="I298" s="8"/>
    </row>
    <row r="299" spans="1:9" ht="15.75" x14ac:dyDescent="0.25">
      <c r="A299" s="29"/>
      <c r="B299" s="33" t="s">
        <v>102</v>
      </c>
      <c r="C299" s="18"/>
      <c r="D299" s="18"/>
      <c r="E299" s="19">
        <v>0</v>
      </c>
      <c r="F299" s="18"/>
      <c r="G299" s="18"/>
      <c r="H299" s="18">
        <v>0</v>
      </c>
      <c r="I299" s="8"/>
    </row>
    <row r="300" spans="1:9" ht="15.75" x14ac:dyDescent="0.25">
      <c r="A300" s="29">
        <v>109</v>
      </c>
      <c r="B300" s="23" t="s">
        <v>103</v>
      </c>
      <c r="C300" s="18">
        <f>SUM(D300:E300)</f>
        <v>0</v>
      </c>
      <c r="D300" s="18">
        <f t="shared" ref="D300" si="23">SUM(E300:F300)</f>
        <v>0</v>
      </c>
      <c r="E300" s="19">
        <v>0</v>
      </c>
      <c r="F300" s="18">
        <f>SUM(G300:H300)</f>
        <v>0</v>
      </c>
      <c r="G300" s="18">
        <f>SUM(H300:I300)</f>
        <v>0</v>
      </c>
      <c r="H300" s="18">
        <v>0</v>
      </c>
      <c r="I300" s="8"/>
    </row>
    <row r="301" spans="1:9" ht="15.75" x14ac:dyDescent="0.25">
      <c r="A301" s="29"/>
      <c r="B301" s="33" t="s">
        <v>12</v>
      </c>
      <c r="C301" s="18"/>
      <c r="D301" s="18"/>
      <c r="E301" s="19">
        <v>0</v>
      </c>
      <c r="F301" s="18"/>
      <c r="G301" s="18"/>
      <c r="H301" s="18">
        <v>0</v>
      </c>
      <c r="I301" s="4"/>
    </row>
    <row r="302" spans="1:9" ht="15.75" x14ac:dyDescent="0.25">
      <c r="B302" s="22" t="s">
        <v>104</v>
      </c>
      <c r="C302" s="21">
        <f>SUM(C303:C318)</f>
        <v>22680.578750000001</v>
      </c>
      <c r="D302" s="21">
        <f>SUM(D303:D318)</f>
        <v>22680.578750000001</v>
      </c>
      <c r="E302" s="41">
        <f>SUM(E303:E318)</f>
        <v>0</v>
      </c>
      <c r="F302" s="21">
        <v>83833.462339999998</v>
      </c>
      <c r="G302" s="21">
        <v>83833.462339999998</v>
      </c>
      <c r="H302" s="18">
        <v>0</v>
      </c>
      <c r="I302" s="4"/>
    </row>
    <row r="303" spans="1:9" ht="15.75" x14ac:dyDescent="0.25">
      <c r="A303" s="29">
        <v>110</v>
      </c>
      <c r="B303" s="23" t="s">
        <v>105</v>
      </c>
      <c r="C303" s="18">
        <v>2.1266500000000002</v>
      </c>
      <c r="D303" s="18">
        <v>2.1266500000000002</v>
      </c>
      <c r="E303" s="19">
        <v>0</v>
      </c>
      <c r="F303" s="18">
        <v>3957.8297200000002</v>
      </c>
      <c r="G303" s="18">
        <v>3957.8297200000002</v>
      </c>
      <c r="H303" s="18">
        <v>0</v>
      </c>
      <c r="I303" s="8"/>
    </row>
    <row r="304" spans="1:9" ht="15.75" x14ac:dyDescent="0.25">
      <c r="A304" s="29">
        <v>111</v>
      </c>
      <c r="B304" s="23" t="s">
        <v>106</v>
      </c>
      <c r="C304" s="18">
        <v>1E-4</v>
      </c>
      <c r="D304" s="18">
        <v>1E-4</v>
      </c>
      <c r="E304" s="19">
        <v>0</v>
      </c>
      <c r="F304" s="18">
        <v>7.6939999999999995E-2</v>
      </c>
      <c r="G304" s="18">
        <v>7.6939999999999995E-2</v>
      </c>
      <c r="H304" s="18">
        <v>0</v>
      </c>
      <c r="I304" s="8"/>
    </row>
    <row r="305" spans="1:9" ht="15.75" x14ac:dyDescent="0.25">
      <c r="A305" s="29">
        <v>112</v>
      </c>
      <c r="B305" s="23" t="s">
        <v>107</v>
      </c>
      <c r="C305" s="18">
        <v>0</v>
      </c>
      <c r="D305" s="18">
        <v>0</v>
      </c>
      <c r="E305" s="19">
        <v>0</v>
      </c>
      <c r="F305" s="18">
        <v>0</v>
      </c>
      <c r="G305" s="18">
        <v>0</v>
      </c>
      <c r="H305" s="18">
        <v>0</v>
      </c>
      <c r="I305" s="8"/>
    </row>
    <row r="306" spans="1:9" ht="15.75" x14ac:dyDescent="0.25">
      <c r="A306" s="29">
        <v>113</v>
      </c>
      <c r="B306" s="23" t="s">
        <v>108</v>
      </c>
      <c r="C306" s="18">
        <v>456</v>
      </c>
      <c r="D306" s="18">
        <v>456</v>
      </c>
      <c r="E306" s="19">
        <v>0</v>
      </c>
      <c r="F306" s="18">
        <v>2377.7140399999998</v>
      </c>
      <c r="G306" s="18">
        <v>2377.7140399999998</v>
      </c>
      <c r="H306" s="18">
        <v>0</v>
      </c>
      <c r="I306" s="8"/>
    </row>
    <row r="307" spans="1:9" ht="15.75" x14ac:dyDescent="0.25">
      <c r="A307" s="29">
        <v>114</v>
      </c>
      <c r="B307" s="23" t="s">
        <v>109</v>
      </c>
      <c r="C307" s="18">
        <v>0</v>
      </c>
      <c r="D307" s="18">
        <v>0</v>
      </c>
      <c r="E307" s="19">
        <v>0</v>
      </c>
      <c r="F307" s="18">
        <v>0</v>
      </c>
      <c r="G307" s="18">
        <v>0</v>
      </c>
      <c r="H307" s="18">
        <v>0</v>
      </c>
      <c r="I307" s="8"/>
    </row>
    <row r="308" spans="1:9" ht="15.75" x14ac:dyDescent="0.25">
      <c r="A308" s="29">
        <v>115</v>
      </c>
      <c r="B308" s="23" t="s">
        <v>110</v>
      </c>
      <c r="C308" s="18">
        <v>8679.4509999999991</v>
      </c>
      <c r="D308" s="18">
        <v>8679.4509999999991</v>
      </c>
      <c r="E308" s="19">
        <v>0</v>
      </c>
      <c r="F308" s="18">
        <v>23015.761120000003</v>
      </c>
      <c r="G308" s="18">
        <v>23015.761120000003</v>
      </c>
      <c r="H308" s="18">
        <v>0</v>
      </c>
      <c r="I308" s="8"/>
    </row>
    <row r="309" spans="1:9" ht="15.75" x14ac:dyDescent="0.25">
      <c r="A309" s="29">
        <v>116</v>
      </c>
      <c r="B309" s="23" t="s">
        <v>111</v>
      </c>
      <c r="C309" s="18">
        <v>12385</v>
      </c>
      <c r="D309" s="18">
        <v>12385</v>
      </c>
      <c r="E309" s="19">
        <v>0</v>
      </c>
      <c r="F309" s="18">
        <v>30051.305110000001</v>
      </c>
      <c r="G309" s="18">
        <v>30051.305110000001</v>
      </c>
      <c r="H309" s="18">
        <v>0</v>
      </c>
      <c r="I309" s="8"/>
    </row>
    <row r="310" spans="1:9" ht="15.75" x14ac:dyDescent="0.25">
      <c r="A310" s="29">
        <v>117</v>
      </c>
      <c r="B310" s="23" t="s">
        <v>112</v>
      </c>
      <c r="C310" s="18">
        <v>2.5000000000000001E-2</v>
      </c>
      <c r="D310" s="18">
        <v>2.5000000000000001E-2</v>
      </c>
      <c r="E310" s="19">
        <v>0</v>
      </c>
      <c r="F310" s="18">
        <v>57.703129999999994</v>
      </c>
      <c r="G310" s="18">
        <v>57.703129999999994</v>
      </c>
      <c r="H310" s="18">
        <v>0</v>
      </c>
      <c r="I310" s="8"/>
    </row>
    <row r="311" spans="1:9" ht="15.75" x14ac:dyDescent="0.25">
      <c r="A311" s="29">
        <v>118</v>
      </c>
      <c r="B311" s="23" t="s">
        <v>113</v>
      </c>
      <c r="C311" s="18">
        <v>565.95000000000005</v>
      </c>
      <c r="D311" s="18">
        <v>565.95000000000005</v>
      </c>
      <c r="E311" s="19">
        <v>0</v>
      </c>
      <c r="F311" s="18">
        <v>20565.857609999999</v>
      </c>
      <c r="G311" s="18">
        <v>20565.857609999999</v>
      </c>
      <c r="H311" s="18">
        <v>0</v>
      </c>
      <c r="I311" s="8"/>
    </row>
    <row r="312" spans="1:9" ht="15.75" x14ac:dyDescent="0.25">
      <c r="A312" s="29">
        <v>119</v>
      </c>
      <c r="B312" s="23" t="s">
        <v>114</v>
      </c>
      <c r="C312" s="18">
        <v>192</v>
      </c>
      <c r="D312" s="18">
        <v>192</v>
      </c>
      <c r="E312" s="19">
        <v>0</v>
      </c>
      <c r="F312" s="18">
        <v>1980.15678</v>
      </c>
      <c r="G312" s="18">
        <v>1980.15678</v>
      </c>
      <c r="H312" s="18">
        <v>0</v>
      </c>
      <c r="I312" s="8"/>
    </row>
    <row r="313" spans="1:9" ht="15.75" x14ac:dyDescent="0.25">
      <c r="A313" s="29">
        <v>120</v>
      </c>
      <c r="B313" s="23" t="s">
        <v>115</v>
      </c>
      <c r="C313" s="18">
        <v>0</v>
      </c>
      <c r="D313" s="18">
        <v>0</v>
      </c>
      <c r="E313" s="19">
        <v>0</v>
      </c>
      <c r="F313" s="18">
        <v>0</v>
      </c>
      <c r="G313" s="18">
        <v>0</v>
      </c>
      <c r="H313" s="18">
        <v>0</v>
      </c>
      <c r="I313" s="8"/>
    </row>
    <row r="314" spans="1:9" ht="15.75" x14ac:dyDescent="0.25">
      <c r="A314" s="29">
        <v>121</v>
      </c>
      <c r="B314" s="62" t="s">
        <v>116</v>
      </c>
      <c r="C314" s="18">
        <v>1E-3</v>
      </c>
      <c r="D314" s="18">
        <v>1E-3</v>
      </c>
      <c r="E314" s="19">
        <v>0</v>
      </c>
      <c r="F314" s="18">
        <v>1.5390000000000001E-2</v>
      </c>
      <c r="G314" s="18">
        <v>1.5390000000000001E-2</v>
      </c>
      <c r="H314" s="18">
        <v>0</v>
      </c>
      <c r="I314" s="8"/>
    </row>
    <row r="315" spans="1:9" ht="15.75" x14ac:dyDescent="0.25">
      <c r="A315" s="29">
        <v>122</v>
      </c>
      <c r="B315" s="62" t="s">
        <v>122</v>
      </c>
      <c r="C315" s="18">
        <v>50</v>
      </c>
      <c r="D315" s="18">
        <v>50</v>
      </c>
      <c r="E315" s="19">
        <v>0</v>
      </c>
      <c r="F315" s="18">
        <v>307.75</v>
      </c>
      <c r="G315" s="18">
        <v>307.75</v>
      </c>
      <c r="H315" s="18">
        <v>0</v>
      </c>
      <c r="I315" s="8"/>
    </row>
    <row r="316" spans="1:9" ht="15.75" x14ac:dyDescent="0.25">
      <c r="A316" s="29">
        <v>123</v>
      </c>
      <c r="B316" s="62" t="s">
        <v>123</v>
      </c>
      <c r="C316" s="18">
        <v>250</v>
      </c>
      <c r="D316" s="18">
        <v>250</v>
      </c>
      <c r="E316" s="19">
        <v>0</v>
      </c>
      <c r="F316" s="18">
        <v>288.41250000000002</v>
      </c>
      <c r="G316" s="18">
        <v>288.41250000000002</v>
      </c>
      <c r="H316" s="18">
        <v>0</v>
      </c>
      <c r="I316" s="8"/>
    </row>
    <row r="317" spans="1:9" ht="15.75" x14ac:dyDescent="0.25">
      <c r="A317" s="29">
        <v>124</v>
      </c>
      <c r="B317" s="62" t="s">
        <v>124</v>
      </c>
      <c r="C317" s="18">
        <v>100</v>
      </c>
      <c r="D317" s="18">
        <v>100</v>
      </c>
      <c r="E317" s="19">
        <v>0</v>
      </c>
      <c r="F317" s="18">
        <v>1230.8800000000001</v>
      </c>
      <c r="G317" s="18">
        <v>1230.8800000000001</v>
      </c>
      <c r="H317" s="18">
        <v>0</v>
      </c>
      <c r="I317" s="8"/>
    </row>
    <row r="318" spans="1:9" x14ac:dyDescent="0.25">
      <c r="A318" s="24">
        <v>125</v>
      </c>
      <c r="B318" s="64" t="s">
        <v>125</v>
      </c>
      <c r="C318" s="42">
        <v>2.5000000000000001E-2</v>
      </c>
      <c r="D318" s="64">
        <v>2.5000000000000001E-2</v>
      </c>
      <c r="E318" s="42">
        <v>0</v>
      </c>
      <c r="F318" s="42">
        <v>57.703129999999994</v>
      </c>
      <c r="G318" s="64">
        <v>57.703129999999994</v>
      </c>
      <c r="H318" s="42">
        <v>0</v>
      </c>
    </row>
    <row r="319" spans="1:9" x14ac:dyDescent="0.25">
      <c r="A319" s="2" t="s">
        <v>1</v>
      </c>
    </row>
  </sheetData>
  <mergeCells count="8">
    <mergeCell ref="A3:H3"/>
    <mergeCell ref="A2:H2"/>
    <mergeCell ref="A164:H164"/>
    <mergeCell ref="A165:H165"/>
    <mergeCell ref="B166:B168"/>
    <mergeCell ref="C166:E166"/>
    <mergeCell ref="B4:B6"/>
    <mergeCell ref="C4:E4"/>
  </mergeCells>
  <pageMargins left="0.7" right="0.7" top="0.75" bottom="0.75" header="0.3" footer="0.3"/>
  <pageSetup scale="42" orientation="portrait" r:id="rId1"/>
  <rowBreaks count="3" manualBreakCount="3">
    <brk id="162" max="16383" man="1"/>
    <brk id="259" max="7" man="1"/>
    <brk id="320" max="16383" man="1"/>
  </rowBreaks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15.3</vt:lpstr>
      <vt:lpstr>'15.3'!Print_Area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2025-06-01T07:11:29Z</cp:lastPrinted>
  <dcterms:created xsi:type="dcterms:W3CDTF">2019-12-05T04:01:34Z</dcterms:created>
  <dcterms:modified xsi:type="dcterms:W3CDTF">2025-06-01T07:11:51Z</dcterms:modified>
</cp:coreProperties>
</file>