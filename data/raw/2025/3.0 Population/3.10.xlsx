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fileserver\ST4\Dissemination\Publications\Statistical Year Book\YEARBOOK 2025\Final\Population\"/>
    </mc:Choice>
  </mc:AlternateContent>
  <xr:revisionPtr revIDLastSave="0" documentId="13_ncr:1_{6434CA6B-8C78-42F3-9AC3-10CFDDABB817}" xr6:coauthVersionLast="47" xr6:coauthVersionMax="47" xr10:uidLastSave="{00000000-0000-0000-0000-000000000000}"/>
  <bookViews>
    <workbookView xWindow="-120" yWindow="-120" windowWidth="29040" windowHeight="15720" tabRatio="966" xr2:uid="{00000000-000D-0000-FFFF-FFFF00000000}"/>
  </bookViews>
  <sheets>
    <sheet name="3.10" sheetId="10" r:id="rId1"/>
  </sheets>
  <definedNames>
    <definedName name="_xlnm.Print_Area" localSheetId="0">'3.10'!$A$1:$X$49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4" i="10" l="1"/>
  <c r="S34" i="10"/>
  <c r="T23" i="10"/>
  <c r="S23" i="10"/>
  <c r="Q23" i="10"/>
  <c r="P23" i="10"/>
  <c r="O23" i="10"/>
  <c r="N23" i="10"/>
  <c r="N5" i="10" s="1"/>
  <c r="M23" i="10"/>
  <c r="L23" i="10"/>
  <c r="K23" i="10"/>
  <c r="J23" i="10"/>
  <c r="I23" i="10"/>
  <c r="H23" i="10"/>
  <c r="G23" i="10"/>
  <c r="F23" i="10"/>
  <c r="E23" i="10"/>
  <c r="D23" i="10"/>
  <c r="C23" i="10"/>
  <c r="B23" i="10"/>
  <c r="T14" i="10"/>
  <c r="S14" i="10"/>
  <c r="Q14" i="10"/>
  <c r="P14" i="10"/>
  <c r="O14" i="10"/>
  <c r="N14" i="10"/>
  <c r="M14" i="10"/>
  <c r="L14" i="10"/>
  <c r="K14" i="10"/>
  <c r="J14" i="10"/>
  <c r="I14" i="10"/>
  <c r="H14" i="10"/>
  <c r="G14" i="10"/>
  <c r="F14" i="10"/>
  <c r="E14" i="10"/>
  <c r="D14" i="10"/>
  <c r="C14" i="10"/>
  <c r="B14" i="10"/>
  <c r="T12" i="10"/>
  <c r="S12" i="10"/>
  <c r="Q12" i="10"/>
  <c r="O12" i="10"/>
  <c r="F12" i="10"/>
  <c r="D12" i="10"/>
  <c r="C12" i="10"/>
  <c r="B12" i="10"/>
  <c r="T11" i="10"/>
  <c r="S11" i="10"/>
  <c r="Q11" i="10"/>
  <c r="O11" i="10"/>
  <c r="F11" i="10"/>
  <c r="D11" i="10"/>
  <c r="C11" i="10"/>
  <c r="B11" i="10"/>
  <c r="T10" i="10"/>
  <c r="S10" i="10"/>
  <c r="Q10" i="10"/>
  <c r="O10" i="10"/>
  <c r="F10" i="10"/>
  <c r="D10" i="10"/>
  <c r="C10" i="10"/>
  <c r="B10" i="10"/>
  <c r="T9" i="10"/>
  <c r="S9" i="10"/>
  <c r="Q9" i="10"/>
  <c r="O9" i="10"/>
  <c r="F9" i="10"/>
  <c r="D9" i="10"/>
  <c r="C9" i="10"/>
  <c r="B9" i="10"/>
  <c r="T8" i="10"/>
  <c r="S8" i="10"/>
  <c r="Q8" i="10"/>
  <c r="O8" i="10"/>
  <c r="F8" i="10"/>
  <c r="D8" i="10"/>
  <c r="C8" i="10"/>
  <c r="B8" i="10"/>
  <c r="T7" i="10"/>
  <c r="S7" i="10"/>
  <c r="Q7" i="10"/>
  <c r="O7" i="10"/>
  <c r="F7" i="10"/>
  <c r="D7" i="10"/>
  <c r="C7" i="10"/>
  <c r="B7" i="10"/>
  <c r="T6" i="10"/>
  <c r="S6" i="10"/>
  <c r="Q6" i="10"/>
  <c r="O6" i="10"/>
  <c r="F6" i="10"/>
  <c r="D6" i="10"/>
  <c r="C6" i="10"/>
  <c r="B6" i="10"/>
  <c r="H5" i="10"/>
  <c r="G5" i="10"/>
  <c r="E5" i="10"/>
  <c r="P5" i="10" l="1"/>
  <c r="S5" i="10"/>
  <c r="L5" i="10"/>
  <c r="D5" i="10"/>
  <c r="F5" i="10"/>
  <c r="O5" i="10"/>
  <c r="C5" i="10"/>
  <c r="Q5" i="10"/>
  <c r="B5" i="10"/>
  <c r="M5" i="10"/>
  <c r="T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Nabeeh Abdul Sattar</author>
  </authors>
  <commentList>
    <comment ref="E24" authorId="0" shapeId="0" xr:uid="{00000000-0006-0000-0900-000001000000}">
      <text>
        <r>
          <rPr>
            <b/>
            <sz val="8"/>
            <color indexed="81"/>
            <rFont val="Tahoma"/>
            <family val="2"/>
          </rPr>
          <t>Nabeeh:</t>
        </r>
        <r>
          <rPr>
            <sz val="8"/>
            <color indexed="81"/>
            <rFont val="Tahoma"/>
            <family val="2"/>
          </rPr>
          <t xml:space="preserve">
not matching with the data from table 3.11</t>
        </r>
      </text>
    </comment>
  </commentList>
</comments>
</file>

<file path=xl/sharedStrings.xml><?xml version="1.0" encoding="utf-8"?>
<sst xmlns="http://schemas.openxmlformats.org/spreadsheetml/2006/main" count="224" uniqueCount="46">
  <si>
    <t>cnehirif</t>
  </si>
  <si>
    <t>cnehcnwa</t>
  </si>
  <si>
    <t>Both Sexes</t>
  </si>
  <si>
    <t>Male</t>
  </si>
  <si>
    <t>Female</t>
  </si>
  <si>
    <t>-</t>
  </si>
  <si>
    <r>
      <rPr>
        <b/>
        <i/>
        <sz val="9"/>
        <rFont val="Calibri"/>
        <family val="2"/>
      </rPr>
      <t>Source:</t>
    </r>
    <r>
      <rPr>
        <i/>
        <sz val="9"/>
        <rFont val="Calibri"/>
        <family val="2"/>
      </rPr>
      <t xml:space="preserve"> Ministry of Health </t>
    </r>
  </si>
  <si>
    <t>Age Group and Sex</t>
  </si>
  <si>
    <r>
      <t xml:space="preserve">2003 </t>
    </r>
    <r>
      <rPr>
        <b/>
        <vertAlign val="superscript"/>
        <sz val="10"/>
        <rFont val="Calibri"/>
        <family val="2"/>
      </rPr>
      <t>1_/</t>
    </r>
  </si>
  <si>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</si>
  <si>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</si>
  <si>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</si>
  <si>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</si>
  <si>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</si>
  <si>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</si>
  <si>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</si>
  <si>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</si>
  <si>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</si>
  <si>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</si>
  <si>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</si>
  <si>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</si>
  <si>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</si>
  <si>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</si>
  <si>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</si>
  <si>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</si>
  <si>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</si>
  <si>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</si>
  <si>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</si>
  <si>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</si>
  <si>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</si>
  <si>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</si>
  <si>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r>
      <t>1_/:</t>
    </r>
    <r>
      <rPr>
        <i/>
        <sz val="9"/>
        <rFont val="Calibri"/>
        <family val="2"/>
      </rPr>
      <t xml:space="preserve"> From 2007 - 2009  figures are revised. (taken from VRS database (1998- 2008) and E-Government birth and death registration (from Nov.2009 onwards)</t>
    </r>
  </si>
  <si>
    <t>Sex  Not Stated</t>
  </si>
  <si>
    <t>Age Not Stated</t>
  </si>
  <si>
    <t>ޖިންސު ބަޔާންނުކުރާ</t>
  </si>
  <si>
    <t>އުމުރު ބަޔާންނުކުރާ</t>
  </si>
  <si>
    <t>Sex Not Stated</t>
  </si>
  <si>
    <r>
      <rPr>
        <i/>
        <sz val="9"/>
        <rFont val="Arial"/>
        <family val="2"/>
      </rPr>
      <t xml:space="preserve">Source: Ministry of Health </t>
    </r>
  </si>
  <si>
    <r>
      <t xml:space="preserve"> </t>
    </r>
    <r>
      <rPr>
        <i/>
        <sz val="10"/>
        <rFont val="Calibri"/>
        <family val="2"/>
      </rPr>
      <t>Health Information Management &amp; Research Division / Health Statistics &amp; Publication Section</t>
    </r>
  </si>
  <si>
    <r>
      <t>2021</t>
    </r>
    <r>
      <rPr>
        <b/>
        <vertAlign val="superscript"/>
        <sz val="10"/>
        <rFont val="Calibri"/>
        <family val="2"/>
      </rPr>
      <t>1_/</t>
    </r>
  </si>
  <si>
    <t xml:space="preserve">Data includes Maldivians and foreigners, but excluded deaths occurred abroad </t>
  </si>
  <si>
    <t>2021 - 2007 ,cscnij iaWa wrufegurumua egcnuhImivurwm : 3.10 ulwvWt</t>
  </si>
  <si>
    <t xml:space="preserve">  Not Stated*</t>
  </si>
  <si>
    <t>* Includes 1 infant death 2021</t>
  </si>
  <si>
    <t>2_/: 2021 figures are revised and  tentative and is expected to change</t>
  </si>
  <si>
    <t>Table 3.10 : DEATHS BY AGE GROUP AND SEX, 2007 - 2024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</si>
</sst>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 #,##0.00_-;_-* &quot;-&quot;??_-;_-@_-"/>
    <numFmt numFmtId="166" formatCode="_-* #,##0.00\ _ރ_._-;_-* #,##0.00\ _ރ_.\-;_-* &quot;-&quot;??\ _ރ_._-;_-@_-"/>
    <numFmt numFmtId="167" formatCode="General_)"/>
    <numFmt numFmtId="173" formatCode="_(* #,##0_);_(* \(#,##0\);_(* &quot;-&quot;??_);_(@_)"/>
    <numFmt numFmtId="176" formatCode="_(* #,##0.0_);_(* \(#,##0.0\);_(*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name val="Courier"/>
      <family val="3"/>
    </font>
    <font>
      <sz val="10"/>
      <name val="Arial"/>
      <family val="2"/>
    </font>
    <font>
      <b/>
      <sz val="11"/>
      <name val="Calibri"/>
      <family val="2"/>
    </font>
    <font>
      <b/>
      <sz val="10"/>
      <name val="Arial"/>
      <family val="2"/>
    </font>
    <font>
      <b/>
      <sz val="11"/>
      <name val="Faruma"/>
    </font>
    <font>
      <b/>
      <i/>
      <sz val="9"/>
      <name val="Calibri"/>
      <family val="2"/>
    </font>
    <font>
      <sz val="11"/>
      <name val="Calibri"/>
      <family val="2"/>
    </font>
    <font>
      <i/>
      <sz val="9"/>
      <name val="Calibri"/>
      <family val="2"/>
    </font>
    <font>
      <i/>
      <sz val="9"/>
      <name val="Arial"/>
      <family val="2"/>
    </font>
    <font>
      <sz val="10"/>
      <name val="Arial"/>
      <family val="2"/>
    </font>
    <font>
      <i/>
      <sz val="10"/>
      <name val="Calibri"/>
      <family val="2"/>
    </font>
    <font>
      <b/>
      <sz val="10"/>
      <name val="Calibri"/>
      <family val="2"/>
    </font>
    <font>
      <sz val="11"/>
      <color theme="1"/>
      <name val="Calibri"/>
      <family val="2"/>
      <charset val="1"/>
      <scheme val="minor"/>
    </font>
    <font>
      <sz val="9"/>
      <name val="Calibri"/>
      <family val="2"/>
    </font>
    <font>
      <sz val="11"/>
      <name val="Faruma"/>
    </font>
    <font>
      <sz val="10"/>
      <name val="Faruma"/>
    </font>
    <font>
      <b/>
      <vertAlign val="superscript"/>
      <sz val="10"/>
      <name val="Calibri"/>
      <family val="2"/>
    </font>
    <font>
      <b/>
      <sz val="8"/>
      <color indexed="81"/>
      <name val="Tahoma"/>
      <family val="2"/>
    </font>
    <font>
      <sz val="8"/>
      <color indexed="81"/>
      <name val="Tahoma"/>
      <family val="2"/>
    </font>
    <font>
      <b/>
      <sz val="10"/>
      <name val="A_Faseyha"/>
    </font>
    <font>
      <sz val="10"/>
      <name val="A_Faseyha"/>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bottom style="hair">
        <color indexed="64"/>
      </bottom>
      <diagonal/>
    </border>
    <border>
      <left/>
      <right/>
      <top style="thin">
        <color indexed="64"/>
      </top>
      <bottom style="thin">
        <color indexed="64"/>
      </bottom>
      <diagonal/>
    </border>
  </borders>
  <cellStyleXfs count="25">
    <xf numFmtId="0" fontId="0" fillId="0" borderId="0"/>
    <xf numFmtId="0" fontId="12" fillId="0" borderId="0"/>
    <xf numFmtId="0" fontId="12" fillId="0" borderId="0"/>
    <xf numFmtId="166" fontId="12" fillId="0" borderId="0" applyFont="0" applyFill="0" applyBorder="0" applyAlignment="0" applyProtection="0"/>
    <xf numFmtId="0" fontId="12" fillId="0" borderId="0"/>
    <xf numFmtId="43" fontId="12" fillId="0" borderId="0" applyFont="0" applyFill="0" applyBorder="0" applyAlignment="0" applyProtection="0"/>
    <xf numFmtId="0" fontId="15" fillId="0" borderId="0"/>
    <xf numFmtId="0" fontId="12" fillId="0" borderId="0"/>
    <xf numFmtId="0" fontId="12" fillId="0" borderId="0"/>
    <xf numFmtId="0" fontId="1" fillId="0" borderId="0"/>
    <xf numFmtId="167" fontId="3" fillId="0" borderId="0"/>
    <xf numFmtId="0" fontId="4" fillId="0" borderId="0"/>
    <xf numFmtId="43" fontId="4" fillId="0" borderId="0" applyFont="0" applyFill="0" applyBorder="0" applyAlignment="0" applyProtection="0"/>
    <xf numFmtId="43" fontId="1"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cellStyleXfs>
  <cellXfs count="53">
    <xf numFmtId="0" fontId="0" fillId="0" borderId="0" xfId="0"/>
    <xf numFmtId="167" fontId="12" fillId="2" borderId="0" xfId="0" applyNumberFormat="1" applyFont="1" applyFill="1" applyAlignment="1">
      <alignment vertical="top"/>
    </xf>
    <xf numFmtId="167" fontId="6" fillId="2" borderId="0" xfId="0" applyNumberFormat="1" applyFont="1" applyFill="1" applyAlignment="1">
      <alignment vertical="center"/>
    </xf>
    <xf numFmtId="167" fontId="14" fillId="2" borderId="3" xfId="0" applyNumberFormat="1" applyFont="1" applyFill="1" applyBorder="1" applyAlignment="1">
      <alignment horizontal="center" vertical="center" wrapText="1"/>
    </xf>
    <xf numFmtId="167" fontId="14" fillId="2" borderId="3" xfId="0" applyNumberFormat="1" applyFont="1" applyFill="1" applyBorder="1" applyAlignment="1">
      <alignment horizontal="right" vertical="center"/>
    </xf>
    <xf numFmtId="167" fontId="14" fillId="2" borderId="3" xfId="0" applyNumberFormat="1" applyFont="1" applyFill="1" applyBorder="1" applyAlignment="1">
      <alignment vertical="center"/>
    </xf>
    <xf numFmtId="167" fontId="5" fillId="2" borderId="0" xfId="0" applyNumberFormat="1" applyFont="1" applyFill="1" applyAlignment="1">
      <alignment horizontal="left" vertical="center"/>
    </xf>
    <xf numFmtId="167" fontId="5" fillId="2" borderId="0" xfId="0" applyNumberFormat="1" applyFont="1" applyFill="1" applyAlignment="1">
      <alignment vertical="center"/>
    </xf>
    <xf numFmtId="3" fontId="5" fillId="2" borderId="0" xfId="0" applyNumberFormat="1" applyFont="1" applyFill="1" applyAlignment="1">
      <alignment vertical="center"/>
    </xf>
    <xf numFmtId="3" fontId="5" fillId="2" borderId="0" xfId="0" applyNumberFormat="1" applyFont="1" applyFill="1" applyAlignment="1">
      <alignment horizontal="right" vertical="center"/>
    </xf>
    <xf numFmtId="167" fontId="9" fillId="2" borderId="0" xfId="0" applyNumberFormat="1" applyFont="1" applyFill="1" applyAlignment="1">
      <alignment horizontal="left" vertical="center"/>
    </xf>
    <xf numFmtId="3" fontId="9" fillId="2" borderId="0" xfId="0" applyNumberFormat="1" applyFont="1" applyFill="1" applyAlignment="1" applyProtection="1">
      <alignment horizontal="right" vertical="center"/>
      <protection locked="0"/>
    </xf>
    <xf numFmtId="3" fontId="9" fillId="2" borderId="0" xfId="0" applyNumberFormat="1" applyFont="1" applyFill="1" applyAlignment="1">
      <alignment vertical="center"/>
    </xf>
    <xf numFmtId="3" fontId="9" fillId="2" borderId="0" xfId="0" applyNumberFormat="1" applyFont="1" applyFill="1" applyAlignment="1">
      <alignment horizontal="right" vertical="center"/>
    </xf>
    <xf numFmtId="167" fontId="12" fillId="2" borderId="0" xfId="0" applyNumberFormat="1" applyFont="1" applyFill="1" applyAlignment="1">
      <alignment vertical="center"/>
    </xf>
    <xf numFmtId="3" fontId="9" fillId="2" borderId="0" xfId="0" applyNumberFormat="1" applyFont="1" applyFill="1" applyAlignment="1" applyProtection="1">
      <alignment vertical="center"/>
      <protection locked="0"/>
    </xf>
    <xf numFmtId="3" fontId="9" fillId="2" borderId="0" xfId="0" applyNumberFormat="1" applyFont="1" applyFill="1" applyProtection="1">
      <protection locked="0"/>
    </xf>
    <xf numFmtId="3" fontId="9" fillId="2" borderId="0" xfId="0" applyNumberFormat="1" applyFont="1" applyFill="1" applyAlignment="1" applyProtection="1">
      <alignment horizontal="right"/>
      <protection locked="0"/>
    </xf>
    <xf numFmtId="167" fontId="12" fillId="2" borderId="0" xfId="0" applyNumberFormat="1" applyFont="1" applyFill="1"/>
    <xf numFmtId="3" fontId="9" fillId="2" borderId="0" xfId="0" applyNumberFormat="1" applyFont="1" applyFill="1"/>
    <xf numFmtId="3" fontId="9" fillId="2" borderId="0" xfId="0" applyNumberFormat="1" applyFont="1" applyFill="1" applyAlignment="1">
      <alignment horizontal="right"/>
    </xf>
    <xf numFmtId="3" fontId="16" fillId="2" borderId="1" xfId="0" applyNumberFormat="1" applyFont="1" applyFill="1" applyBorder="1" applyAlignment="1" applyProtection="1">
      <alignment horizontal="right"/>
      <protection locked="0"/>
    </xf>
    <xf numFmtId="3" fontId="16" fillId="2" borderId="1" xfId="0" applyNumberFormat="1" applyFont="1" applyFill="1" applyBorder="1" applyProtection="1">
      <protection locked="0"/>
    </xf>
    <xf numFmtId="167" fontId="22" fillId="2" borderId="3" xfId="0" applyNumberFormat="1" applyFont="1" applyFill="1" applyBorder="1" applyAlignment="1">
      <alignment horizontal="right" vertical="center"/>
    </xf>
    <xf numFmtId="167" fontId="22" fillId="2" borderId="0" xfId="0" applyNumberFormat="1" applyFont="1" applyFill="1" applyAlignment="1">
      <alignment horizontal="right" vertical="center"/>
    </xf>
    <xf numFmtId="167" fontId="23" fillId="2" borderId="0" xfId="0" applyNumberFormat="1" applyFont="1" applyFill="1" applyAlignment="1">
      <alignment horizontal="right" vertical="center"/>
    </xf>
    <xf numFmtId="167" fontId="18" fillId="2" borderId="0" xfId="0" quotePrefix="1" applyNumberFormat="1" applyFont="1" applyFill="1" applyAlignment="1">
      <alignment horizontal="right" vertical="center"/>
    </xf>
    <xf numFmtId="3" fontId="16" fillId="2" borderId="0" xfId="0" applyNumberFormat="1" applyFont="1" applyFill="1" applyAlignment="1" applyProtection="1">
      <alignment horizontal="right"/>
      <protection locked="0"/>
    </xf>
    <xf numFmtId="3" fontId="16" fillId="2" borderId="0" xfId="0" applyNumberFormat="1" applyFont="1" applyFill="1" applyProtection="1">
      <protection locked="0"/>
    </xf>
    <xf numFmtId="3" fontId="9" fillId="2" borderId="2" xfId="0" applyNumberFormat="1" applyFont="1" applyFill="1" applyBorder="1" applyAlignment="1" applyProtection="1">
      <alignment horizontal="right" vertical="center"/>
      <protection locked="0"/>
    </xf>
    <xf numFmtId="167" fontId="23" fillId="2" borderId="2" xfId="0" applyNumberFormat="1" applyFont="1" applyFill="1" applyBorder="1" applyAlignment="1">
      <alignment horizontal="right" vertical="center"/>
    </xf>
    <xf numFmtId="3" fontId="9" fillId="2" borderId="2" xfId="0" applyNumberFormat="1" applyFont="1" applyFill="1" applyBorder="1" applyProtection="1">
      <protection locked="0"/>
    </xf>
    <xf numFmtId="3" fontId="9" fillId="2" borderId="2" xfId="0" applyNumberFormat="1" applyFont="1" applyFill="1" applyBorder="1" applyAlignment="1" applyProtection="1">
      <alignment horizontal="right"/>
      <protection locked="0"/>
    </xf>
    <xf numFmtId="3" fontId="16" fillId="2" borderId="2" xfId="0" applyNumberFormat="1" applyFont="1" applyFill="1" applyBorder="1" applyAlignment="1" applyProtection="1">
      <alignment horizontal="right"/>
      <protection locked="0"/>
    </xf>
    <xf numFmtId="3" fontId="16" fillId="2" borderId="2" xfId="0" applyNumberFormat="1" applyFont="1" applyFill="1" applyBorder="1" applyProtection="1">
      <protection locked="0"/>
    </xf>
    <xf numFmtId="167" fontId="9" fillId="3" borderId="2" xfId="0" applyNumberFormat="1" applyFont="1" applyFill="1" applyBorder="1" applyAlignment="1">
      <alignment horizontal="left" vertical="center"/>
    </xf>
    <xf numFmtId="176" fontId="2" fillId="3" borderId="0" xfId="13" applyNumberFormat="1" applyFont="1" applyFill="1" applyBorder="1" applyAlignment="1">
      <alignment horizontal="right" vertical="center"/>
    </xf>
    <xf numFmtId="167" fontId="18" fillId="2" borderId="0" xfId="0" applyNumberFormat="1" applyFont="1" applyFill="1" applyAlignment="1">
      <alignment horizontal="right" vertical="center"/>
    </xf>
    <xf numFmtId="167" fontId="9" fillId="3" borderId="1" xfId="0" applyNumberFormat="1" applyFont="1" applyFill="1" applyBorder="1" applyAlignment="1">
      <alignment horizontal="left" vertical="center"/>
    </xf>
    <xf numFmtId="3" fontId="9" fillId="2" borderId="1" xfId="0" applyNumberFormat="1" applyFont="1" applyFill="1" applyBorder="1" applyAlignment="1" applyProtection="1">
      <alignment horizontal="right"/>
      <protection locked="0"/>
    </xf>
    <xf numFmtId="167" fontId="23" fillId="2" borderId="1" xfId="0" applyNumberFormat="1" applyFont="1" applyFill="1" applyBorder="1" applyAlignment="1">
      <alignment horizontal="right" vertical="center"/>
    </xf>
    <xf numFmtId="167" fontId="17" fillId="2" borderId="2" xfId="0" applyNumberFormat="1" applyFont="1" applyFill="1" applyBorder="1" applyAlignment="1">
      <alignment horizontal="right" vertical="center"/>
    </xf>
    <xf numFmtId="167" fontId="7" fillId="2" borderId="0" xfId="0" applyNumberFormat="1" applyFont="1" applyFill="1" applyAlignment="1">
      <alignment horizontal="right" vertical="center"/>
    </xf>
    <xf numFmtId="173" fontId="1" fillId="3" borderId="0" xfId="13" applyNumberFormat="1" applyFont="1" applyFill="1" applyBorder="1" applyAlignment="1">
      <alignment horizontal="right" vertical="center"/>
    </xf>
    <xf numFmtId="3" fontId="9" fillId="3" borderId="0" xfId="0" applyNumberFormat="1" applyFont="1" applyFill="1" applyAlignment="1" applyProtection="1">
      <alignment horizontal="right"/>
      <protection locked="0"/>
    </xf>
    <xf numFmtId="3" fontId="9" fillId="3" borderId="1" xfId="0" applyNumberFormat="1" applyFont="1" applyFill="1" applyBorder="1" applyAlignment="1" applyProtection="1">
      <alignment horizontal="right"/>
      <protection locked="0"/>
    </xf>
    <xf numFmtId="176" fontId="2" fillId="3" borderId="1" xfId="13" applyNumberFormat="1" applyFont="1" applyFill="1" applyBorder="1" applyAlignment="1">
      <alignment horizontal="right" vertical="center"/>
    </xf>
    <xf numFmtId="3" fontId="9" fillId="3" borderId="0" xfId="0" applyNumberFormat="1" applyFont="1" applyFill="1" applyAlignment="1" applyProtection="1">
      <alignment horizontal="right" vertical="center"/>
      <protection locked="0"/>
    </xf>
    <xf numFmtId="3" fontId="9" fillId="3" borderId="2" xfId="0" applyNumberFormat="1" applyFont="1" applyFill="1" applyBorder="1" applyAlignment="1" applyProtection="1">
      <alignment horizontal="right"/>
      <protection locked="0"/>
    </xf>
    <xf numFmtId="0" fontId="10" fillId="2" borderId="0" xfId="0" applyFont="1" applyFill="1" applyAlignment="1">
      <alignment horizontal="left" vertical="center" wrapText="1"/>
    </xf>
    <xf numFmtId="167" fontId="22" fillId="2" borderId="0" xfId="0" applyNumberFormat="1" applyFont="1" applyFill="1" applyAlignment="1">
      <alignment horizontal="center" vertical="center"/>
    </xf>
    <xf numFmtId="167" fontId="5" fillId="2" borderId="1" xfId="0" applyNumberFormat="1" applyFont="1" applyFill="1" applyBorder="1" applyAlignment="1">
      <alignment horizontal="center" vertical="center"/>
    </xf>
    <xf numFmtId="0" fontId="10" fillId="0" borderId="0" xfId="0" applyFont="1" applyAlignment="1">
      <alignment horizontal="left" vertical="center" wrapText="1"/>
    </xf>
  </cellXfs>
  <cellStyles count="25">
    <cellStyle name="1" xfId="14" xr:uid="{00000000-0005-0000-0000-000000000000}"/>
    <cellStyle name="Comma" xfId="13" builtinId="3"/>
    <cellStyle name="Comma 2" xfId="12" xr:uid="{00000000-0005-0000-0000-000002000000}"/>
    <cellStyle name="Comma 2 2" xfId="23" xr:uid="{00000000-0005-0000-0000-000003000000}"/>
    <cellStyle name="Comma 3" xfId="5" xr:uid="{00000000-0005-0000-0000-000004000000}"/>
    <cellStyle name="Comma 3 2" xfId="16" xr:uid="{00000000-0005-0000-0000-000005000000}"/>
    <cellStyle name="Comma 3 3" xfId="24" xr:uid="{00000000-0005-0000-0000-000006000000}"/>
    <cellStyle name="Comma 4" xfId="3" xr:uid="{00000000-0005-0000-0000-000007000000}"/>
    <cellStyle name="Comma 4 2" xfId="19" xr:uid="{00000000-0005-0000-0000-000008000000}"/>
    <cellStyle name="Comma 7" xfId="15" xr:uid="{00000000-0005-0000-0000-000009000000}"/>
    <cellStyle name="Normal" xfId="0" builtinId="0"/>
    <cellStyle name="Normal 11" xfId="6" xr:uid="{00000000-0005-0000-0000-00000E000000}"/>
    <cellStyle name="Normal 2" xfId="4" xr:uid="{00000000-0005-0000-0000-00000F000000}"/>
    <cellStyle name="Normal 2 2" xfId="20" xr:uid="{00000000-0005-0000-0000-000010000000}"/>
    <cellStyle name="Normal 20" xfId="2" xr:uid="{00000000-0005-0000-0000-000011000000}"/>
    <cellStyle name="Normal 20 2" xfId="18" xr:uid="{00000000-0005-0000-0000-000012000000}"/>
    <cellStyle name="Normal 3" xfId="11" xr:uid="{00000000-0005-0000-0000-000013000000}"/>
    <cellStyle name="Normal 32" xfId="7" xr:uid="{00000000-0005-0000-0000-000014000000}"/>
    <cellStyle name="Normal 32 2" xfId="21" xr:uid="{00000000-0005-0000-0000-000015000000}"/>
    <cellStyle name="Normal 4" xfId="10" xr:uid="{00000000-0005-0000-0000-000016000000}"/>
    <cellStyle name="Normal 44" xfId="8" xr:uid="{00000000-0005-0000-0000-000017000000}"/>
    <cellStyle name="Normal 44 2" xfId="22" xr:uid="{00000000-0005-0000-0000-000018000000}"/>
    <cellStyle name="Normal 48" xfId="9" xr:uid="{00000000-0005-0000-0000-000019000000}"/>
    <cellStyle name="Normal 5" xfId="1" xr:uid="{00000000-0005-0000-0000-00001A000000}"/>
    <cellStyle name="Normal 5 2" xfId="17" xr:uid="{00000000-0005-0000-0000-00001B000000}"/>
  </cellStyles>
  <dxfs count="0"/>
  <tableStyles count="0" defaultTableStyle="TableStyleMedium2" defaultPivotStyle="PivotStyleLight16"/>
  <colors>
    <mruColors>
      <color rgb="FF003399"/>
      <color rgb="FF9BC2E6"/>
      <color rgb="FFEFF5FB"/>
      <color rgb="FFEEEEEE"/>
      <color rgb="FFAEAAAA"/>
      <color rgb="FF7E5400"/>
      <color rgb="FF33CCCC"/>
      <color rgb="FF009999"/>
      <color rgb="FF00DFDA"/>
      <color rgb="FF006F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9"/>
  <sheetViews>
    <sheetView tabSelected="1" topLeftCell="O1" zoomScaleNormal="100" workbookViewId="0">
      <selection activeCell="AH27" sqref="AH27"/>
    </sheetView>
  </sheetViews>
  <sheetFormatPr defaultColWidth="11.140625" defaultRowHeight="12.75" x14ac:dyDescent="0.2"/>
  <cols>
    <col min="1" max="1" width="16.5703125" style="18" customWidth="1"/>
    <col min="2" max="3" width="10.42578125" style="18" hidden="1" customWidth="1"/>
    <col min="4" max="4" width="12" style="18" hidden="1" customWidth="1"/>
    <col min="5" max="5" width="9.140625" style="18" hidden="1" customWidth="1"/>
    <col min="6" max="21" width="9.140625" style="18" customWidth="1"/>
    <col min="22" max="22" width="20.28515625" style="18" customWidth="1"/>
    <col min="23" max="23" width="1.140625" style="18" customWidth="1"/>
    <col min="24" max="260" width="11.140625" style="18"/>
    <col min="261" max="261" width="16.5703125" style="18" customWidth="1"/>
    <col min="262" max="265" width="0" style="18" hidden="1" customWidth="1"/>
    <col min="266" max="276" width="9.140625" style="18" customWidth="1"/>
    <col min="277" max="277" width="0" style="18" hidden="1" customWidth="1"/>
    <col min="278" max="278" width="26.140625" style="18" customWidth="1"/>
    <col min="279" max="279" width="1.140625" style="18" customWidth="1"/>
    <col min="280" max="516" width="11.140625" style="18"/>
    <col min="517" max="517" width="16.5703125" style="18" customWidth="1"/>
    <col min="518" max="521" width="0" style="18" hidden="1" customWidth="1"/>
    <col min="522" max="532" width="9.140625" style="18" customWidth="1"/>
    <col min="533" max="533" width="0" style="18" hidden="1" customWidth="1"/>
    <col min="534" max="534" width="26.140625" style="18" customWidth="1"/>
    <col min="535" max="535" width="1.140625" style="18" customWidth="1"/>
    <col min="536" max="772" width="11.140625" style="18"/>
    <col min="773" max="773" width="16.5703125" style="18" customWidth="1"/>
    <col min="774" max="777" width="0" style="18" hidden="1" customWidth="1"/>
    <col min="778" max="788" width="9.140625" style="18" customWidth="1"/>
    <col min="789" max="789" width="0" style="18" hidden="1" customWidth="1"/>
    <col min="790" max="790" width="26.140625" style="18" customWidth="1"/>
    <col min="791" max="791" width="1.140625" style="18" customWidth="1"/>
    <col min="792" max="1028" width="11.140625" style="18"/>
    <col min="1029" max="1029" width="16.5703125" style="18" customWidth="1"/>
    <col min="1030" max="1033" width="0" style="18" hidden="1" customWidth="1"/>
    <col min="1034" max="1044" width="9.140625" style="18" customWidth="1"/>
    <col min="1045" max="1045" width="0" style="18" hidden="1" customWidth="1"/>
    <col min="1046" max="1046" width="26.140625" style="18" customWidth="1"/>
    <col min="1047" max="1047" width="1.140625" style="18" customWidth="1"/>
    <col min="1048" max="1284" width="11.140625" style="18"/>
    <col min="1285" max="1285" width="16.5703125" style="18" customWidth="1"/>
    <col min="1286" max="1289" width="0" style="18" hidden="1" customWidth="1"/>
    <col min="1290" max="1300" width="9.140625" style="18" customWidth="1"/>
    <col min="1301" max="1301" width="0" style="18" hidden="1" customWidth="1"/>
    <col min="1302" max="1302" width="26.140625" style="18" customWidth="1"/>
    <col min="1303" max="1303" width="1.140625" style="18" customWidth="1"/>
    <col min="1304" max="1540" width="11.140625" style="18"/>
    <col min="1541" max="1541" width="16.5703125" style="18" customWidth="1"/>
    <col min="1542" max="1545" width="0" style="18" hidden="1" customWidth="1"/>
    <col min="1546" max="1556" width="9.140625" style="18" customWidth="1"/>
    <col min="1557" max="1557" width="0" style="18" hidden="1" customWidth="1"/>
    <col min="1558" max="1558" width="26.140625" style="18" customWidth="1"/>
    <col min="1559" max="1559" width="1.140625" style="18" customWidth="1"/>
    <col min="1560" max="1796" width="11.140625" style="18"/>
    <col min="1797" max="1797" width="16.5703125" style="18" customWidth="1"/>
    <col min="1798" max="1801" width="0" style="18" hidden="1" customWidth="1"/>
    <col min="1802" max="1812" width="9.140625" style="18" customWidth="1"/>
    <col min="1813" max="1813" width="0" style="18" hidden="1" customWidth="1"/>
    <col min="1814" max="1814" width="26.140625" style="18" customWidth="1"/>
    <col min="1815" max="1815" width="1.140625" style="18" customWidth="1"/>
    <col min="1816" max="2052" width="11.140625" style="18"/>
    <col min="2053" max="2053" width="16.5703125" style="18" customWidth="1"/>
    <col min="2054" max="2057" width="0" style="18" hidden="1" customWidth="1"/>
    <col min="2058" max="2068" width="9.140625" style="18" customWidth="1"/>
    <col min="2069" max="2069" width="0" style="18" hidden="1" customWidth="1"/>
    <col min="2070" max="2070" width="26.140625" style="18" customWidth="1"/>
    <col min="2071" max="2071" width="1.140625" style="18" customWidth="1"/>
    <col min="2072" max="2308" width="11.140625" style="18"/>
    <col min="2309" max="2309" width="16.5703125" style="18" customWidth="1"/>
    <col min="2310" max="2313" width="0" style="18" hidden="1" customWidth="1"/>
    <col min="2314" max="2324" width="9.140625" style="18" customWidth="1"/>
    <col min="2325" max="2325" width="0" style="18" hidden="1" customWidth="1"/>
    <col min="2326" max="2326" width="26.140625" style="18" customWidth="1"/>
    <col min="2327" max="2327" width="1.140625" style="18" customWidth="1"/>
    <col min="2328" max="2564" width="11.140625" style="18"/>
    <col min="2565" max="2565" width="16.5703125" style="18" customWidth="1"/>
    <col min="2566" max="2569" width="0" style="18" hidden="1" customWidth="1"/>
    <col min="2570" max="2580" width="9.140625" style="18" customWidth="1"/>
    <col min="2581" max="2581" width="0" style="18" hidden="1" customWidth="1"/>
    <col min="2582" max="2582" width="26.140625" style="18" customWidth="1"/>
    <col min="2583" max="2583" width="1.140625" style="18" customWidth="1"/>
    <col min="2584" max="2820" width="11.140625" style="18"/>
    <col min="2821" max="2821" width="16.5703125" style="18" customWidth="1"/>
    <col min="2822" max="2825" width="0" style="18" hidden="1" customWidth="1"/>
    <col min="2826" max="2836" width="9.140625" style="18" customWidth="1"/>
    <col min="2837" max="2837" width="0" style="18" hidden="1" customWidth="1"/>
    <col min="2838" max="2838" width="26.140625" style="18" customWidth="1"/>
    <col min="2839" max="2839" width="1.140625" style="18" customWidth="1"/>
    <col min="2840" max="3076" width="11.140625" style="18"/>
    <col min="3077" max="3077" width="16.5703125" style="18" customWidth="1"/>
    <col min="3078" max="3081" width="0" style="18" hidden="1" customWidth="1"/>
    <col min="3082" max="3092" width="9.140625" style="18" customWidth="1"/>
    <col min="3093" max="3093" width="0" style="18" hidden="1" customWidth="1"/>
    <col min="3094" max="3094" width="26.140625" style="18" customWidth="1"/>
    <col min="3095" max="3095" width="1.140625" style="18" customWidth="1"/>
    <col min="3096" max="3332" width="11.140625" style="18"/>
    <col min="3333" max="3333" width="16.5703125" style="18" customWidth="1"/>
    <col min="3334" max="3337" width="0" style="18" hidden="1" customWidth="1"/>
    <col min="3338" max="3348" width="9.140625" style="18" customWidth="1"/>
    <col min="3349" max="3349" width="0" style="18" hidden="1" customWidth="1"/>
    <col min="3350" max="3350" width="26.140625" style="18" customWidth="1"/>
    <col min="3351" max="3351" width="1.140625" style="18" customWidth="1"/>
    <col min="3352" max="3588" width="11.140625" style="18"/>
    <col min="3589" max="3589" width="16.5703125" style="18" customWidth="1"/>
    <col min="3590" max="3593" width="0" style="18" hidden="1" customWidth="1"/>
    <col min="3594" max="3604" width="9.140625" style="18" customWidth="1"/>
    <col min="3605" max="3605" width="0" style="18" hidden="1" customWidth="1"/>
    <col min="3606" max="3606" width="26.140625" style="18" customWidth="1"/>
    <col min="3607" max="3607" width="1.140625" style="18" customWidth="1"/>
    <col min="3608" max="3844" width="11.140625" style="18"/>
    <col min="3845" max="3845" width="16.5703125" style="18" customWidth="1"/>
    <col min="3846" max="3849" width="0" style="18" hidden="1" customWidth="1"/>
    <col min="3850" max="3860" width="9.140625" style="18" customWidth="1"/>
    <col min="3861" max="3861" width="0" style="18" hidden="1" customWidth="1"/>
    <col min="3862" max="3862" width="26.140625" style="18" customWidth="1"/>
    <col min="3863" max="3863" width="1.140625" style="18" customWidth="1"/>
    <col min="3864" max="4100" width="11.140625" style="18"/>
    <col min="4101" max="4101" width="16.5703125" style="18" customWidth="1"/>
    <col min="4102" max="4105" width="0" style="18" hidden="1" customWidth="1"/>
    <col min="4106" max="4116" width="9.140625" style="18" customWidth="1"/>
    <col min="4117" max="4117" width="0" style="18" hidden="1" customWidth="1"/>
    <col min="4118" max="4118" width="26.140625" style="18" customWidth="1"/>
    <col min="4119" max="4119" width="1.140625" style="18" customWidth="1"/>
    <col min="4120" max="4356" width="11.140625" style="18"/>
    <col min="4357" max="4357" width="16.5703125" style="18" customWidth="1"/>
    <col min="4358" max="4361" width="0" style="18" hidden="1" customWidth="1"/>
    <col min="4362" max="4372" width="9.140625" style="18" customWidth="1"/>
    <col min="4373" max="4373" width="0" style="18" hidden="1" customWidth="1"/>
    <col min="4374" max="4374" width="26.140625" style="18" customWidth="1"/>
    <col min="4375" max="4375" width="1.140625" style="18" customWidth="1"/>
    <col min="4376" max="4612" width="11.140625" style="18"/>
    <col min="4613" max="4613" width="16.5703125" style="18" customWidth="1"/>
    <col min="4614" max="4617" width="0" style="18" hidden="1" customWidth="1"/>
    <col min="4618" max="4628" width="9.140625" style="18" customWidth="1"/>
    <col min="4629" max="4629" width="0" style="18" hidden="1" customWidth="1"/>
    <col min="4630" max="4630" width="26.140625" style="18" customWidth="1"/>
    <col min="4631" max="4631" width="1.140625" style="18" customWidth="1"/>
    <col min="4632" max="4868" width="11.140625" style="18"/>
    <col min="4869" max="4869" width="16.5703125" style="18" customWidth="1"/>
    <col min="4870" max="4873" width="0" style="18" hidden="1" customWidth="1"/>
    <col min="4874" max="4884" width="9.140625" style="18" customWidth="1"/>
    <col min="4885" max="4885" width="0" style="18" hidden="1" customWidth="1"/>
    <col min="4886" max="4886" width="26.140625" style="18" customWidth="1"/>
    <col min="4887" max="4887" width="1.140625" style="18" customWidth="1"/>
    <col min="4888" max="5124" width="11.140625" style="18"/>
    <col min="5125" max="5125" width="16.5703125" style="18" customWidth="1"/>
    <col min="5126" max="5129" width="0" style="18" hidden="1" customWidth="1"/>
    <col min="5130" max="5140" width="9.140625" style="18" customWidth="1"/>
    <col min="5141" max="5141" width="0" style="18" hidden="1" customWidth="1"/>
    <col min="5142" max="5142" width="26.140625" style="18" customWidth="1"/>
    <col min="5143" max="5143" width="1.140625" style="18" customWidth="1"/>
    <col min="5144" max="5380" width="11.140625" style="18"/>
    <col min="5381" max="5381" width="16.5703125" style="18" customWidth="1"/>
    <col min="5382" max="5385" width="0" style="18" hidden="1" customWidth="1"/>
    <col min="5386" max="5396" width="9.140625" style="18" customWidth="1"/>
    <col min="5397" max="5397" width="0" style="18" hidden="1" customWidth="1"/>
    <col min="5398" max="5398" width="26.140625" style="18" customWidth="1"/>
    <col min="5399" max="5399" width="1.140625" style="18" customWidth="1"/>
    <col min="5400" max="5636" width="11.140625" style="18"/>
    <col min="5637" max="5637" width="16.5703125" style="18" customWidth="1"/>
    <col min="5638" max="5641" width="0" style="18" hidden="1" customWidth="1"/>
    <col min="5642" max="5652" width="9.140625" style="18" customWidth="1"/>
    <col min="5653" max="5653" width="0" style="18" hidden="1" customWidth="1"/>
    <col min="5654" max="5654" width="26.140625" style="18" customWidth="1"/>
    <col min="5655" max="5655" width="1.140625" style="18" customWidth="1"/>
    <col min="5656" max="5892" width="11.140625" style="18"/>
    <col min="5893" max="5893" width="16.5703125" style="18" customWidth="1"/>
    <col min="5894" max="5897" width="0" style="18" hidden="1" customWidth="1"/>
    <col min="5898" max="5908" width="9.140625" style="18" customWidth="1"/>
    <col min="5909" max="5909" width="0" style="18" hidden="1" customWidth="1"/>
    <col min="5910" max="5910" width="26.140625" style="18" customWidth="1"/>
    <col min="5911" max="5911" width="1.140625" style="18" customWidth="1"/>
    <col min="5912" max="6148" width="11.140625" style="18"/>
    <col min="6149" max="6149" width="16.5703125" style="18" customWidth="1"/>
    <col min="6150" max="6153" width="0" style="18" hidden="1" customWidth="1"/>
    <col min="6154" max="6164" width="9.140625" style="18" customWidth="1"/>
    <col min="6165" max="6165" width="0" style="18" hidden="1" customWidth="1"/>
    <col min="6166" max="6166" width="26.140625" style="18" customWidth="1"/>
    <col min="6167" max="6167" width="1.140625" style="18" customWidth="1"/>
    <col min="6168" max="6404" width="11.140625" style="18"/>
    <col min="6405" max="6405" width="16.5703125" style="18" customWidth="1"/>
    <col min="6406" max="6409" width="0" style="18" hidden="1" customWidth="1"/>
    <col min="6410" max="6420" width="9.140625" style="18" customWidth="1"/>
    <col min="6421" max="6421" width="0" style="18" hidden="1" customWidth="1"/>
    <col min="6422" max="6422" width="26.140625" style="18" customWidth="1"/>
    <col min="6423" max="6423" width="1.140625" style="18" customWidth="1"/>
    <col min="6424" max="6660" width="11.140625" style="18"/>
    <col min="6661" max="6661" width="16.5703125" style="18" customWidth="1"/>
    <col min="6662" max="6665" width="0" style="18" hidden="1" customWidth="1"/>
    <col min="6666" max="6676" width="9.140625" style="18" customWidth="1"/>
    <col min="6677" max="6677" width="0" style="18" hidden="1" customWidth="1"/>
    <col min="6678" max="6678" width="26.140625" style="18" customWidth="1"/>
    <col min="6679" max="6679" width="1.140625" style="18" customWidth="1"/>
    <col min="6680" max="6916" width="11.140625" style="18"/>
    <col min="6917" max="6917" width="16.5703125" style="18" customWidth="1"/>
    <col min="6918" max="6921" width="0" style="18" hidden="1" customWidth="1"/>
    <col min="6922" max="6932" width="9.140625" style="18" customWidth="1"/>
    <col min="6933" max="6933" width="0" style="18" hidden="1" customWidth="1"/>
    <col min="6934" max="6934" width="26.140625" style="18" customWidth="1"/>
    <col min="6935" max="6935" width="1.140625" style="18" customWidth="1"/>
    <col min="6936" max="7172" width="11.140625" style="18"/>
    <col min="7173" max="7173" width="16.5703125" style="18" customWidth="1"/>
    <col min="7174" max="7177" width="0" style="18" hidden="1" customWidth="1"/>
    <col min="7178" max="7188" width="9.140625" style="18" customWidth="1"/>
    <col min="7189" max="7189" width="0" style="18" hidden="1" customWidth="1"/>
    <col min="7190" max="7190" width="26.140625" style="18" customWidth="1"/>
    <col min="7191" max="7191" width="1.140625" style="18" customWidth="1"/>
    <col min="7192" max="7428" width="11.140625" style="18"/>
    <col min="7429" max="7429" width="16.5703125" style="18" customWidth="1"/>
    <col min="7430" max="7433" width="0" style="18" hidden="1" customWidth="1"/>
    <col min="7434" max="7444" width="9.140625" style="18" customWidth="1"/>
    <col min="7445" max="7445" width="0" style="18" hidden="1" customWidth="1"/>
    <col min="7446" max="7446" width="26.140625" style="18" customWidth="1"/>
    <col min="7447" max="7447" width="1.140625" style="18" customWidth="1"/>
    <col min="7448" max="7684" width="11.140625" style="18"/>
    <col min="7685" max="7685" width="16.5703125" style="18" customWidth="1"/>
    <col min="7686" max="7689" width="0" style="18" hidden="1" customWidth="1"/>
    <col min="7690" max="7700" width="9.140625" style="18" customWidth="1"/>
    <col min="7701" max="7701" width="0" style="18" hidden="1" customWidth="1"/>
    <col min="7702" max="7702" width="26.140625" style="18" customWidth="1"/>
    <col min="7703" max="7703" width="1.140625" style="18" customWidth="1"/>
    <col min="7704" max="7940" width="11.140625" style="18"/>
    <col min="7941" max="7941" width="16.5703125" style="18" customWidth="1"/>
    <col min="7942" max="7945" width="0" style="18" hidden="1" customWidth="1"/>
    <col min="7946" max="7956" width="9.140625" style="18" customWidth="1"/>
    <col min="7957" max="7957" width="0" style="18" hidden="1" customWidth="1"/>
    <col min="7958" max="7958" width="26.140625" style="18" customWidth="1"/>
    <col min="7959" max="7959" width="1.140625" style="18" customWidth="1"/>
    <col min="7960" max="8196" width="11.140625" style="18"/>
    <col min="8197" max="8197" width="16.5703125" style="18" customWidth="1"/>
    <col min="8198" max="8201" width="0" style="18" hidden="1" customWidth="1"/>
    <col min="8202" max="8212" width="9.140625" style="18" customWidth="1"/>
    <col min="8213" max="8213" width="0" style="18" hidden="1" customWidth="1"/>
    <col min="8214" max="8214" width="26.140625" style="18" customWidth="1"/>
    <col min="8215" max="8215" width="1.140625" style="18" customWidth="1"/>
    <col min="8216" max="8452" width="11.140625" style="18"/>
    <col min="8453" max="8453" width="16.5703125" style="18" customWidth="1"/>
    <col min="8454" max="8457" width="0" style="18" hidden="1" customWidth="1"/>
    <col min="8458" max="8468" width="9.140625" style="18" customWidth="1"/>
    <col min="8469" max="8469" width="0" style="18" hidden="1" customWidth="1"/>
    <col min="8470" max="8470" width="26.140625" style="18" customWidth="1"/>
    <col min="8471" max="8471" width="1.140625" style="18" customWidth="1"/>
    <col min="8472" max="8708" width="11.140625" style="18"/>
    <col min="8709" max="8709" width="16.5703125" style="18" customWidth="1"/>
    <col min="8710" max="8713" width="0" style="18" hidden="1" customWidth="1"/>
    <col min="8714" max="8724" width="9.140625" style="18" customWidth="1"/>
    <col min="8725" max="8725" width="0" style="18" hidden="1" customWidth="1"/>
    <col min="8726" max="8726" width="26.140625" style="18" customWidth="1"/>
    <col min="8727" max="8727" width="1.140625" style="18" customWidth="1"/>
    <col min="8728" max="8964" width="11.140625" style="18"/>
    <col min="8965" max="8965" width="16.5703125" style="18" customWidth="1"/>
    <col min="8966" max="8969" width="0" style="18" hidden="1" customWidth="1"/>
    <col min="8970" max="8980" width="9.140625" style="18" customWidth="1"/>
    <col min="8981" max="8981" width="0" style="18" hidden="1" customWidth="1"/>
    <col min="8982" max="8982" width="26.140625" style="18" customWidth="1"/>
    <col min="8983" max="8983" width="1.140625" style="18" customWidth="1"/>
    <col min="8984" max="9220" width="11.140625" style="18"/>
    <col min="9221" max="9221" width="16.5703125" style="18" customWidth="1"/>
    <col min="9222" max="9225" width="0" style="18" hidden="1" customWidth="1"/>
    <col min="9226" max="9236" width="9.140625" style="18" customWidth="1"/>
    <col min="9237" max="9237" width="0" style="18" hidden="1" customWidth="1"/>
    <col min="9238" max="9238" width="26.140625" style="18" customWidth="1"/>
    <col min="9239" max="9239" width="1.140625" style="18" customWidth="1"/>
    <col min="9240" max="9476" width="11.140625" style="18"/>
    <col min="9477" max="9477" width="16.5703125" style="18" customWidth="1"/>
    <col min="9478" max="9481" width="0" style="18" hidden="1" customWidth="1"/>
    <col min="9482" max="9492" width="9.140625" style="18" customWidth="1"/>
    <col min="9493" max="9493" width="0" style="18" hidden="1" customWidth="1"/>
    <col min="9494" max="9494" width="26.140625" style="18" customWidth="1"/>
    <col min="9495" max="9495" width="1.140625" style="18" customWidth="1"/>
    <col min="9496" max="9732" width="11.140625" style="18"/>
    <col min="9733" max="9733" width="16.5703125" style="18" customWidth="1"/>
    <col min="9734" max="9737" width="0" style="18" hidden="1" customWidth="1"/>
    <col min="9738" max="9748" width="9.140625" style="18" customWidth="1"/>
    <col min="9749" max="9749" width="0" style="18" hidden="1" customWidth="1"/>
    <col min="9750" max="9750" width="26.140625" style="18" customWidth="1"/>
    <col min="9751" max="9751" width="1.140625" style="18" customWidth="1"/>
    <col min="9752" max="9988" width="11.140625" style="18"/>
    <col min="9989" max="9989" width="16.5703125" style="18" customWidth="1"/>
    <col min="9990" max="9993" width="0" style="18" hidden="1" customWidth="1"/>
    <col min="9994" max="10004" width="9.140625" style="18" customWidth="1"/>
    <col min="10005" max="10005" width="0" style="18" hidden="1" customWidth="1"/>
    <col min="10006" max="10006" width="26.140625" style="18" customWidth="1"/>
    <col min="10007" max="10007" width="1.140625" style="18" customWidth="1"/>
    <col min="10008" max="10244" width="11.140625" style="18"/>
    <col min="10245" max="10245" width="16.5703125" style="18" customWidth="1"/>
    <col min="10246" max="10249" width="0" style="18" hidden="1" customWidth="1"/>
    <col min="10250" max="10260" width="9.140625" style="18" customWidth="1"/>
    <col min="10261" max="10261" width="0" style="18" hidden="1" customWidth="1"/>
    <col min="10262" max="10262" width="26.140625" style="18" customWidth="1"/>
    <col min="10263" max="10263" width="1.140625" style="18" customWidth="1"/>
    <col min="10264" max="10500" width="11.140625" style="18"/>
    <col min="10501" max="10501" width="16.5703125" style="18" customWidth="1"/>
    <col min="10502" max="10505" width="0" style="18" hidden="1" customWidth="1"/>
    <col min="10506" max="10516" width="9.140625" style="18" customWidth="1"/>
    <col min="10517" max="10517" width="0" style="18" hidden="1" customWidth="1"/>
    <col min="10518" max="10518" width="26.140625" style="18" customWidth="1"/>
    <col min="10519" max="10519" width="1.140625" style="18" customWidth="1"/>
    <col min="10520" max="10756" width="11.140625" style="18"/>
    <col min="10757" max="10757" width="16.5703125" style="18" customWidth="1"/>
    <col min="10758" max="10761" width="0" style="18" hidden="1" customWidth="1"/>
    <col min="10762" max="10772" width="9.140625" style="18" customWidth="1"/>
    <col min="10773" max="10773" width="0" style="18" hidden="1" customWidth="1"/>
    <col min="10774" max="10774" width="26.140625" style="18" customWidth="1"/>
    <col min="10775" max="10775" width="1.140625" style="18" customWidth="1"/>
    <col min="10776" max="11012" width="11.140625" style="18"/>
    <col min="11013" max="11013" width="16.5703125" style="18" customWidth="1"/>
    <col min="11014" max="11017" width="0" style="18" hidden="1" customWidth="1"/>
    <col min="11018" max="11028" width="9.140625" style="18" customWidth="1"/>
    <col min="11029" max="11029" width="0" style="18" hidden="1" customWidth="1"/>
    <col min="11030" max="11030" width="26.140625" style="18" customWidth="1"/>
    <col min="11031" max="11031" width="1.140625" style="18" customWidth="1"/>
    <col min="11032" max="11268" width="11.140625" style="18"/>
    <col min="11269" max="11269" width="16.5703125" style="18" customWidth="1"/>
    <col min="11270" max="11273" width="0" style="18" hidden="1" customWidth="1"/>
    <col min="11274" max="11284" width="9.140625" style="18" customWidth="1"/>
    <col min="11285" max="11285" width="0" style="18" hidden="1" customWidth="1"/>
    <col min="11286" max="11286" width="26.140625" style="18" customWidth="1"/>
    <col min="11287" max="11287" width="1.140625" style="18" customWidth="1"/>
    <col min="11288" max="11524" width="11.140625" style="18"/>
    <col min="11525" max="11525" width="16.5703125" style="18" customWidth="1"/>
    <col min="11526" max="11529" width="0" style="18" hidden="1" customWidth="1"/>
    <col min="11530" max="11540" width="9.140625" style="18" customWidth="1"/>
    <col min="11541" max="11541" width="0" style="18" hidden="1" customWidth="1"/>
    <col min="11542" max="11542" width="26.140625" style="18" customWidth="1"/>
    <col min="11543" max="11543" width="1.140625" style="18" customWidth="1"/>
    <col min="11544" max="11780" width="11.140625" style="18"/>
    <col min="11781" max="11781" width="16.5703125" style="18" customWidth="1"/>
    <col min="11782" max="11785" width="0" style="18" hidden="1" customWidth="1"/>
    <col min="11786" max="11796" width="9.140625" style="18" customWidth="1"/>
    <col min="11797" max="11797" width="0" style="18" hidden="1" customWidth="1"/>
    <col min="11798" max="11798" width="26.140625" style="18" customWidth="1"/>
    <col min="11799" max="11799" width="1.140625" style="18" customWidth="1"/>
    <col min="11800" max="12036" width="11.140625" style="18"/>
    <col min="12037" max="12037" width="16.5703125" style="18" customWidth="1"/>
    <col min="12038" max="12041" width="0" style="18" hidden="1" customWidth="1"/>
    <col min="12042" max="12052" width="9.140625" style="18" customWidth="1"/>
    <col min="12053" max="12053" width="0" style="18" hidden="1" customWidth="1"/>
    <col min="12054" max="12054" width="26.140625" style="18" customWidth="1"/>
    <col min="12055" max="12055" width="1.140625" style="18" customWidth="1"/>
    <col min="12056" max="12292" width="11.140625" style="18"/>
    <col min="12293" max="12293" width="16.5703125" style="18" customWidth="1"/>
    <col min="12294" max="12297" width="0" style="18" hidden="1" customWidth="1"/>
    <col min="12298" max="12308" width="9.140625" style="18" customWidth="1"/>
    <col min="12309" max="12309" width="0" style="18" hidden="1" customWidth="1"/>
    <col min="12310" max="12310" width="26.140625" style="18" customWidth="1"/>
    <col min="12311" max="12311" width="1.140625" style="18" customWidth="1"/>
    <col min="12312" max="12548" width="11.140625" style="18"/>
    <col min="12549" max="12549" width="16.5703125" style="18" customWidth="1"/>
    <col min="12550" max="12553" width="0" style="18" hidden="1" customWidth="1"/>
    <col min="12554" max="12564" width="9.140625" style="18" customWidth="1"/>
    <col min="12565" max="12565" width="0" style="18" hidden="1" customWidth="1"/>
    <col min="12566" max="12566" width="26.140625" style="18" customWidth="1"/>
    <col min="12567" max="12567" width="1.140625" style="18" customWidth="1"/>
    <col min="12568" max="12804" width="11.140625" style="18"/>
    <col min="12805" max="12805" width="16.5703125" style="18" customWidth="1"/>
    <col min="12806" max="12809" width="0" style="18" hidden="1" customWidth="1"/>
    <col min="12810" max="12820" width="9.140625" style="18" customWidth="1"/>
    <col min="12821" max="12821" width="0" style="18" hidden="1" customWidth="1"/>
    <col min="12822" max="12822" width="26.140625" style="18" customWidth="1"/>
    <col min="12823" max="12823" width="1.140625" style="18" customWidth="1"/>
    <col min="12824" max="13060" width="11.140625" style="18"/>
    <col min="13061" max="13061" width="16.5703125" style="18" customWidth="1"/>
    <col min="13062" max="13065" width="0" style="18" hidden="1" customWidth="1"/>
    <col min="13066" max="13076" width="9.140625" style="18" customWidth="1"/>
    <col min="13077" max="13077" width="0" style="18" hidden="1" customWidth="1"/>
    <col min="13078" max="13078" width="26.140625" style="18" customWidth="1"/>
    <col min="13079" max="13079" width="1.140625" style="18" customWidth="1"/>
    <col min="13080" max="13316" width="11.140625" style="18"/>
    <col min="13317" max="13317" width="16.5703125" style="18" customWidth="1"/>
    <col min="13318" max="13321" width="0" style="18" hidden="1" customWidth="1"/>
    <col min="13322" max="13332" width="9.140625" style="18" customWidth="1"/>
    <col min="13333" max="13333" width="0" style="18" hidden="1" customWidth="1"/>
    <col min="13334" max="13334" width="26.140625" style="18" customWidth="1"/>
    <col min="13335" max="13335" width="1.140625" style="18" customWidth="1"/>
    <col min="13336" max="13572" width="11.140625" style="18"/>
    <col min="13573" max="13573" width="16.5703125" style="18" customWidth="1"/>
    <col min="13574" max="13577" width="0" style="18" hidden="1" customWidth="1"/>
    <col min="13578" max="13588" width="9.140625" style="18" customWidth="1"/>
    <col min="13589" max="13589" width="0" style="18" hidden="1" customWidth="1"/>
    <col min="13590" max="13590" width="26.140625" style="18" customWidth="1"/>
    <col min="13591" max="13591" width="1.140625" style="18" customWidth="1"/>
    <col min="13592" max="13828" width="11.140625" style="18"/>
    <col min="13829" max="13829" width="16.5703125" style="18" customWidth="1"/>
    <col min="13830" max="13833" width="0" style="18" hidden="1" customWidth="1"/>
    <col min="13834" max="13844" width="9.140625" style="18" customWidth="1"/>
    <col min="13845" max="13845" width="0" style="18" hidden="1" customWidth="1"/>
    <col min="13846" max="13846" width="26.140625" style="18" customWidth="1"/>
    <col min="13847" max="13847" width="1.140625" style="18" customWidth="1"/>
    <col min="13848" max="14084" width="11.140625" style="18"/>
    <col min="14085" max="14085" width="16.5703125" style="18" customWidth="1"/>
    <col min="14086" max="14089" width="0" style="18" hidden="1" customWidth="1"/>
    <col min="14090" max="14100" width="9.140625" style="18" customWidth="1"/>
    <col min="14101" max="14101" width="0" style="18" hidden="1" customWidth="1"/>
    <col min="14102" max="14102" width="26.140625" style="18" customWidth="1"/>
    <col min="14103" max="14103" width="1.140625" style="18" customWidth="1"/>
    <col min="14104" max="14340" width="11.140625" style="18"/>
    <col min="14341" max="14341" width="16.5703125" style="18" customWidth="1"/>
    <col min="14342" max="14345" width="0" style="18" hidden="1" customWidth="1"/>
    <col min="14346" max="14356" width="9.140625" style="18" customWidth="1"/>
    <col min="14357" max="14357" width="0" style="18" hidden="1" customWidth="1"/>
    <col min="14358" max="14358" width="26.140625" style="18" customWidth="1"/>
    <col min="14359" max="14359" width="1.140625" style="18" customWidth="1"/>
    <col min="14360" max="14596" width="11.140625" style="18"/>
    <col min="14597" max="14597" width="16.5703125" style="18" customWidth="1"/>
    <col min="14598" max="14601" width="0" style="18" hidden="1" customWidth="1"/>
    <col min="14602" max="14612" width="9.140625" style="18" customWidth="1"/>
    <col min="14613" max="14613" width="0" style="18" hidden="1" customWidth="1"/>
    <col min="14614" max="14614" width="26.140625" style="18" customWidth="1"/>
    <col min="14615" max="14615" width="1.140625" style="18" customWidth="1"/>
    <col min="14616" max="14852" width="11.140625" style="18"/>
    <col min="14853" max="14853" width="16.5703125" style="18" customWidth="1"/>
    <col min="14854" max="14857" width="0" style="18" hidden="1" customWidth="1"/>
    <col min="14858" max="14868" width="9.140625" style="18" customWidth="1"/>
    <col min="14869" max="14869" width="0" style="18" hidden="1" customWidth="1"/>
    <col min="14870" max="14870" width="26.140625" style="18" customWidth="1"/>
    <col min="14871" max="14871" width="1.140625" style="18" customWidth="1"/>
    <col min="14872" max="15108" width="11.140625" style="18"/>
    <col min="15109" max="15109" width="16.5703125" style="18" customWidth="1"/>
    <col min="15110" max="15113" width="0" style="18" hidden="1" customWidth="1"/>
    <col min="15114" max="15124" width="9.140625" style="18" customWidth="1"/>
    <col min="15125" max="15125" width="0" style="18" hidden="1" customWidth="1"/>
    <col min="15126" max="15126" width="26.140625" style="18" customWidth="1"/>
    <col min="15127" max="15127" width="1.140625" style="18" customWidth="1"/>
    <col min="15128" max="15364" width="11.140625" style="18"/>
    <col min="15365" max="15365" width="16.5703125" style="18" customWidth="1"/>
    <col min="15366" max="15369" width="0" style="18" hidden="1" customWidth="1"/>
    <col min="15370" max="15380" width="9.140625" style="18" customWidth="1"/>
    <col min="15381" max="15381" width="0" style="18" hidden="1" customWidth="1"/>
    <col min="15382" max="15382" width="26.140625" style="18" customWidth="1"/>
    <col min="15383" max="15383" width="1.140625" style="18" customWidth="1"/>
    <col min="15384" max="15620" width="11.140625" style="18"/>
    <col min="15621" max="15621" width="16.5703125" style="18" customWidth="1"/>
    <col min="15622" max="15625" width="0" style="18" hidden="1" customWidth="1"/>
    <col min="15626" max="15636" width="9.140625" style="18" customWidth="1"/>
    <col min="15637" max="15637" width="0" style="18" hidden="1" customWidth="1"/>
    <col min="15638" max="15638" width="26.140625" style="18" customWidth="1"/>
    <col min="15639" max="15639" width="1.140625" style="18" customWidth="1"/>
    <col min="15640" max="15876" width="11.140625" style="18"/>
    <col min="15877" max="15877" width="16.5703125" style="18" customWidth="1"/>
    <col min="15878" max="15881" width="0" style="18" hidden="1" customWidth="1"/>
    <col min="15882" max="15892" width="9.140625" style="18" customWidth="1"/>
    <col min="15893" max="15893" width="0" style="18" hidden="1" customWidth="1"/>
    <col min="15894" max="15894" width="26.140625" style="18" customWidth="1"/>
    <col min="15895" max="15895" width="1.140625" style="18" customWidth="1"/>
    <col min="15896" max="16132" width="11.140625" style="18"/>
    <col min="16133" max="16133" width="16.5703125" style="18" customWidth="1"/>
    <col min="16134" max="16137" width="0" style="18" hidden="1" customWidth="1"/>
    <col min="16138" max="16148" width="9.140625" style="18" customWidth="1"/>
    <col min="16149" max="16149" width="0" style="18" hidden="1" customWidth="1"/>
    <col min="16150" max="16150" width="26.140625" style="18" customWidth="1"/>
    <col min="16151" max="16151" width="1.140625" style="18" customWidth="1"/>
    <col min="16152" max="16384" width="11.140625" style="18"/>
  </cols>
  <sheetData>
    <row r="1" spans="1:32" s="1" customFormat="1" ht="15.75" x14ac:dyDescent="0.25">
      <c r="A1" s="50" t="s">
        <v>41</v>
      </c>
      <c r="B1" s="50"/>
      <c r="C1" s="50"/>
      <c r="D1" s="50"/>
      <c r="E1" s="50"/>
      <c r="F1" s="50"/>
      <c r="G1" s="50"/>
      <c r="H1" s="50"/>
      <c r="I1" s="50"/>
      <c r="J1" s="50"/>
      <c r="K1" s="50"/>
      <c r="L1" s="50"/>
      <c r="M1" s="50"/>
      <c r="N1" s="50"/>
      <c r="O1" s="50"/>
      <c r="P1" s="50"/>
      <c r="Q1" s="50"/>
      <c r="R1" s="50"/>
      <c r="S1" s="50"/>
      <c r="T1" s="50"/>
      <c r="U1" s="50"/>
      <c r="V1" s="50"/>
    </row>
    <row r="2" spans="1:32" s="2" customFormat="1" ht="15" x14ac:dyDescent="0.25">
      <c r="A2" s="51" t="s">
        <v>45</v>
      </c>
      <c r="B2" s="51"/>
      <c r="C2" s="51"/>
      <c r="D2" s="51"/>
      <c r="E2" s="51"/>
      <c r="F2" s="51"/>
      <c r="G2" s="51"/>
      <c r="H2" s="51"/>
      <c r="I2" s="51"/>
      <c r="J2" s="51"/>
      <c r="K2" s="51"/>
      <c r="L2" s="51"/>
      <c r="M2" s="51"/>
      <c r="N2" s="51"/>
      <c r="O2" s="51"/>
      <c r="P2" s="51"/>
      <c r="Q2" s="51"/>
      <c r="R2" s="51"/>
      <c r="S2" s="51"/>
      <c r="T2" s="51"/>
      <c r="U2" s="51"/>
      <c r="V2" s="51"/>
      <c r="X2" s="1"/>
      <c r="Y2" s="1"/>
      <c r="Z2" s="1"/>
      <c r="AA2" s="1"/>
      <c r="AB2" s="1"/>
      <c r="AC2" s="1"/>
      <c r="AD2" s="1"/>
      <c r="AE2" s="1"/>
    </row>
    <row r="3" spans="1:32" s="2" customFormat="1" ht="15.75" x14ac:dyDescent="0.25">
      <c r="A3" s="3" t="s">
        <v>7</v>
      </c>
      <c r="B3" s="4" t="s">
        <v>8</v>
      </c>
      <c r="C3" s="4">
        <v>2004</v>
      </c>
      <c r="D3" s="4">
        <v>2005</v>
      </c>
      <c r="E3" s="5">
        <v>2006</v>
      </c>
      <c r="F3" s="4" t="s">
        <v>9</v>
      </c>
      <c r="G3" s="4" t="s">
        <v>10</v>
      </c>
      <c r="H3" s="4" t="s">
        <v>11</v>
      </c>
      <c r="I3" s="5">
        <v>2010</v>
      </c>
      <c r="J3" s="5">
        <v>2011</v>
      </c>
      <c r="K3" s="5">
        <v>2012</v>
      </c>
      <c r="L3" s="5">
        <v>2013</v>
      </c>
      <c r="M3" s="5">
        <v>2014</v>
      </c>
      <c r="N3" s="5">
        <v>2015</v>
      </c>
      <c r="O3" s="5">
        <v>2016</v>
      </c>
      <c r="P3" s="5">
        <v>2017</v>
      </c>
      <c r="Q3" s="4">
        <v>2018</v>
      </c>
      <c r="R3" s="4">
        <v>2019</v>
      </c>
      <c r="S3" s="4">
        <v>2020</v>
      </c>
      <c r="T3" s="4" t="s">
        <v>39</v>
      </c>
      <c r="U3" s="4"/>
      <c r="V3" s="23" t="s">
        <v>12</v>
      </c>
      <c r="X3" s="1"/>
      <c r="Y3" s="1"/>
      <c r="Z3" s="1"/>
      <c r="AA3" s="1"/>
      <c r="AB3" s="1"/>
      <c r="AC3" s="1"/>
      <c r="AD3" s="1"/>
      <c r="AE3" s="1"/>
    </row>
    <row r="4" spans="1:32" s="2" customFormat="1" ht="15.75" x14ac:dyDescent="0.25">
      <c r="A4" s="6" t="s">
        <v>2</v>
      </c>
      <c r="B4" s="7"/>
      <c r="C4" s="7"/>
      <c r="D4" s="7"/>
      <c r="E4" s="7"/>
      <c r="F4" s="7"/>
      <c r="G4" s="7"/>
      <c r="H4" s="7"/>
      <c r="I4" s="7"/>
      <c r="J4" s="7"/>
      <c r="K4" s="7"/>
      <c r="L4" s="7"/>
      <c r="M4" s="7"/>
      <c r="N4" s="7"/>
      <c r="O4" s="7"/>
      <c r="P4" s="7"/>
      <c r="Q4" s="7"/>
      <c r="R4" s="7"/>
      <c r="S4" s="7"/>
      <c r="T4" s="7"/>
      <c r="U4" s="7"/>
      <c r="V4" s="24" t="s">
        <v>13</v>
      </c>
      <c r="X4" s="1"/>
      <c r="Y4" s="1"/>
      <c r="Z4" s="1"/>
      <c r="AA4" s="1"/>
      <c r="AB4" s="1"/>
      <c r="AC4" s="1"/>
      <c r="AD4" s="1"/>
      <c r="AE4" s="1"/>
    </row>
    <row r="5" spans="1:32" s="2" customFormat="1" ht="15.75" x14ac:dyDescent="0.25">
      <c r="A5" s="6" t="s">
        <v>14</v>
      </c>
      <c r="B5" s="8">
        <f t="shared" ref="B5:H5" si="0">SUM(B6:B12)</f>
        <v>1022</v>
      </c>
      <c r="C5" s="8">
        <f t="shared" si="0"/>
        <v>1007</v>
      </c>
      <c r="D5" s="8">
        <f t="shared" si="0"/>
        <v>1015</v>
      </c>
      <c r="E5" s="8">
        <f t="shared" si="0"/>
        <v>1083</v>
      </c>
      <c r="F5" s="8">
        <f>SUM(F6:F12)</f>
        <v>1126</v>
      </c>
      <c r="G5" s="8">
        <f t="shared" si="0"/>
        <v>1090</v>
      </c>
      <c r="H5" s="8">
        <f t="shared" si="0"/>
        <v>1164</v>
      </c>
      <c r="I5" s="8">
        <v>1105</v>
      </c>
      <c r="J5" s="8">
        <v>1137</v>
      </c>
      <c r="K5" s="9">
        <v>1135</v>
      </c>
      <c r="L5" s="9">
        <f>L14+L23</f>
        <v>1120</v>
      </c>
      <c r="M5" s="9">
        <f>M14+M23</f>
        <v>1143</v>
      </c>
      <c r="N5" s="9">
        <f>N14+N23</f>
        <v>1130</v>
      </c>
      <c r="O5" s="9">
        <f>SUM(O14+O23)</f>
        <v>1226</v>
      </c>
      <c r="P5" s="9">
        <f>SUM(P14+P23)</f>
        <v>1241</v>
      </c>
      <c r="Q5" s="9">
        <f>SUM(Q14+Q23)+Q31+Q32</f>
        <v>1216</v>
      </c>
      <c r="R5" s="9">
        <v>1041</v>
      </c>
      <c r="S5" s="9">
        <f>S14+S23+S34</f>
        <v>1275</v>
      </c>
      <c r="T5" s="9">
        <f>T14+T23+T34</f>
        <v>1513</v>
      </c>
      <c r="U5" s="9"/>
      <c r="V5" s="24" t="s">
        <v>15</v>
      </c>
      <c r="X5" s="1"/>
      <c r="Y5" s="1"/>
    </row>
    <row r="6" spans="1:32" s="2" customFormat="1" ht="15.75" x14ac:dyDescent="0.25">
      <c r="A6" s="10" t="s">
        <v>16</v>
      </c>
      <c r="B6" s="11">
        <f t="shared" ref="B6:D12" si="1">SUM(B15+B24)</f>
        <v>72</v>
      </c>
      <c r="C6" s="11">
        <f t="shared" si="1"/>
        <v>76</v>
      </c>
      <c r="D6" s="11">
        <f t="shared" si="1"/>
        <v>67</v>
      </c>
      <c r="E6" s="11">
        <v>93</v>
      </c>
      <c r="F6" s="11">
        <f>F15+F24</f>
        <v>66</v>
      </c>
      <c r="G6" s="11">
        <v>76</v>
      </c>
      <c r="H6" s="11">
        <v>81</v>
      </c>
      <c r="I6" s="11">
        <v>78</v>
      </c>
      <c r="J6" s="11">
        <v>65</v>
      </c>
      <c r="K6" s="11">
        <v>66</v>
      </c>
      <c r="L6" s="11">
        <v>46</v>
      </c>
      <c r="M6" s="11">
        <v>59</v>
      </c>
      <c r="N6" s="11">
        <v>63</v>
      </c>
      <c r="O6" s="11">
        <f t="shared" ref="O6:O11" si="2">O15+O24</f>
        <v>53</v>
      </c>
      <c r="P6" s="11">
        <v>64</v>
      </c>
      <c r="Q6" s="11">
        <f t="shared" ref="Q6:Q12" si="3">SUM(Q15+Q24)</f>
        <v>45</v>
      </c>
      <c r="R6" s="11">
        <v>43</v>
      </c>
      <c r="S6" s="11">
        <f t="shared" ref="S6:T12" si="4">S15+S24+S35</f>
        <v>45</v>
      </c>
      <c r="T6" s="11">
        <f t="shared" si="4"/>
        <v>58</v>
      </c>
      <c r="U6" s="11"/>
      <c r="V6" s="25" t="s">
        <v>17</v>
      </c>
      <c r="X6" s="1"/>
      <c r="Y6" s="1"/>
      <c r="Z6" s="1"/>
      <c r="AA6" s="1"/>
      <c r="AB6" s="1"/>
      <c r="AC6" s="1"/>
      <c r="AD6" s="1"/>
      <c r="AE6" s="1"/>
    </row>
    <row r="7" spans="1:32" s="2" customFormat="1" ht="18.75" x14ac:dyDescent="0.25">
      <c r="A7" s="10" t="s">
        <v>18</v>
      </c>
      <c r="B7" s="11">
        <f t="shared" si="1"/>
        <v>23</v>
      </c>
      <c r="C7" s="11">
        <f t="shared" si="1"/>
        <v>39</v>
      </c>
      <c r="D7" s="11">
        <f t="shared" si="1"/>
        <v>20</v>
      </c>
      <c r="E7" s="11">
        <v>15</v>
      </c>
      <c r="F7" s="11">
        <f t="shared" ref="F7:F12" si="5">F16+F25</f>
        <v>10</v>
      </c>
      <c r="G7" s="11">
        <v>20</v>
      </c>
      <c r="H7" s="11">
        <v>10</v>
      </c>
      <c r="I7" s="11">
        <v>11</v>
      </c>
      <c r="J7" s="11">
        <v>16</v>
      </c>
      <c r="K7" s="11">
        <v>18</v>
      </c>
      <c r="L7" s="11">
        <v>21</v>
      </c>
      <c r="M7" s="11">
        <v>15</v>
      </c>
      <c r="N7" s="11">
        <v>13</v>
      </c>
      <c r="O7" s="11">
        <f t="shared" si="2"/>
        <v>10</v>
      </c>
      <c r="P7" s="11">
        <v>8</v>
      </c>
      <c r="Q7" s="11">
        <f t="shared" si="3"/>
        <v>9</v>
      </c>
      <c r="R7" s="11">
        <v>7</v>
      </c>
      <c r="S7" s="11">
        <f t="shared" si="4"/>
        <v>4</v>
      </c>
      <c r="T7" s="11">
        <f t="shared" si="4"/>
        <v>7</v>
      </c>
      <c r="U7" s="11"/>
      <c r="V7" s="26" t="s">
        <v>19</v>
      </c>
      <c r="X7" s="1"/>
      <c r="Y7" s="1"/>
      <c r="Z7" s="1"/>
      <c r="AA7" s="1"/>
      <c r="AB7" s="1"/>
      <c r="AC7" s="1"/>
      <c r="AD7" s="1"/>
      <c r="AE7" s="1"/>
    </row>
    <row r="8" spans="1:32" s="2" customFormat="1" ht="18.75" x14ac:dyDescent="0.25">
      <c r="A8" s="10" t="s">
        <v>20</v>
      </c>
      <c r="B8" s="11">
        <f t="shared" si="1"/>
        <v>27</v>
      </c>
      <c r="C8" s="11">
        <f t="shared" si="1"/>
        <v>36</v>
      </c>
      <c r="D8" s="11">
        <f t="shared" si="1"/>
        <v>25</v>
      </c>
      <c r="E8" s="11">
        <v>30</v>
      </c>
      <c r="F8" s="11">
        <f t="shared" si="5"/>
        <v>22</v>
      </c>
      <c r="G8" s="11">
        <v>23</v>
      </c>
      <c r="H8" s="11">
        <v>24</v>
      </c>
      <c r="I8" s="11">
        <v>20</v>
      </c>
      <c r="J8" s="11">
        <v>19</v>
      </c>
      <c r="K8" s="11">
        <v>14</v>
      </c>
      <c r="L8" s="11">
        <v>13</v>
      </c>
      <c r="M8" s="11">
        <v>8</v>
      </c>
      <c r="N8" s="11">
        <v>19</v>
      </c>
      <c r="O8" s="11">
        <f t="shared" si="2"/>
        <v>15</v>
      </c>
      <c r="P8" s="11">
        <v>13</v>
      </c>
      <c r="Q8" s="11">
        <f t="shared" si="3"/>
        <v>7</v>
      </c>
      <c r="R8" s="11">
        <v>5</v>
      </c>
      <c r="S8" s="11">
        <f t="shared" si="4"/>
        <v>6</v>
      </c>
      <c r="T8" s="11">
        <f t="shared" si="4"/>
        <v>12</v>
      </c>
      <c r="U8" s="11"/>
      <c r="V8" s="26" t="s">
        <v>21</v>
      </c>
      <c r="X8" s="1"/>
      <c r="Y8" s="1"/>
    </row>
    <row r="9" spans="1:32" s="2" customFormat="1" ht="18.75" x14ac:dyDescent="0.25">
      <c r="A9" s="10" t="s">
        <v>22</v>
      </c>
      <c r="B9" s="11">
        <f t="shared" si="1"/>
        <v>102</v>
      </c>
      <c r="C9" s="11">
        <f t="shared" si="1"/>
        <v>107</v>
      </c>
      <c r="D9" s="11">
        <f t="shared" si="1"/>
        <v>72</v>
      </c>
      <c r="E9" s="11">
        <v>89</v>
      </c>
      <c r="F9" s="11">
        <f t="shared" si="5"/>
        <v>98</v>
      </c>
      <c r="G9" s="11">
        <v>104</v>
      </c>
      <c r="H9" s="11">
        <v>96</v>
      </c>
      <c r="I9" s="11">
        <v>100</v>
      </c>
      <c r="J9" s="11">
        <v>88</v>
      </c>
      <c r="K9" s="11">
        <v>85</v>
      </c>
      <c r="L9" s="11">
        <v>109</v>
      </c>
      <c r="M9" s="11">
        <v>102</v>
      </c>
      <c r="N9" s="11">
        <v>83</v>
      </c>
      <c r="O9" s="11">
        <f t="shared" si="2"/>
        <v>92</v>
      </c>
      <c r="P9" s="11">
        <v>121</v>
      </c>
      <c r="Q9" s="11">
        <f t="shared" si="3"/>
        <v>113</v>
      </c>
      <c r="R9" s="11">
        <v>101</v>
      </c>
      <c r="S9" s="11">
        <f t="shared" si="4"/>
        <v>136</v>
      </c>
      <c r="T9" s="11">
        <f t="shared" si="4"/>
        <v>144</v>
      </c>
      <c r="U9" s="11"/>
      <c r="V9" s="26" t="s">
        <v>23</v>
      </c>
      <c r="X9" s="1"/>
      <c r="Y9" s="1"/>
      <c r="Z9" s="1"/>
      <c r="AA9" s="1"/>
      <c r="AB9" s="1"/>
      <c r="AC9" s="1"/>
      <c r="AD9" s="1"/>
      <c r="AE9" s="1"/>
    </row>
    <row r="10" spans="1:32" s="2" customFormat="1" ht="18.75" x14ac:dyDescent="0.25">
      <c r="A10" s="10" t="s">
        <v>24</v>
      </c>
      <c r="B10" s="11">
        <f t="shared" si="1"/>
        <v>219</v>
      </c>
      <c r="C10" s="11">
        <f t="shared" si="1"/>
        <v>184</v>
      </c>
      <c r="D10" s="11">
        <f t="shared" si="1"/>
        <v>190</v>
      </c>
      <c r="E10" s="11">
        <v>213</v>
      </c>
      <c r="F10" s="11">
        <f t="shared" si="5"/>
        <v>179</v>
      </c>
      <c r="G10" s="11">
        <v>182</v>
      </c>
      <c r="H10" s="11">
        <v>163</v>
      </c>
      <c r="I10" s="11">
        <v>195</v>
      </c>
      <c r="J10" s="11">
        <v>157</v>
      </c>
      <c r="K10" s="11">
        <v>213</v>
      </c>
      <c r="L10" s="11">
        <v>190</v>
      </c>
      <c r="M10" s="11">
        <v>211</v>
      </c>
      <c r="N10" s="11">
        <v>181</v>
      </c>
      <c r="O10" s="11">
        <f t="shared" si="2"/>
        <v>197</v>
      </c>
      <c r="P10" s="11">
        <v>222</v>
      </c>
      <c r="Q10" s="11">
        <f t="shared" si="3"/>
        <v>226</v>
      </c>
      <c r="R10" s="11">
        <v>200</v>
      </c>
      <c r="S10" s="11">
        <f t="shared" si="4"/>
        <v>254</v>
      </c>
      <c r="T10" s="11">
        <f t="shared" si="4"/>
        <v>304</v>
      </c>
      <c r="U10" s="11"/>
      <c r="V10" s="26" t="s">
        <v>25</v>
      </c>
      <c r="X10" s="1"/>
      <c r="Y10" s="1"/>
      <c r="Z10" s="1"/>
      <c r="AA10" s="1"/>
      <c r="AB10" s="1"/>
      <c r="AC10" s="1"/>
      <c r="AD10" s="1"/>
      <c r="AE10" s="1"/>
    </row>
    <row r="11" spans="1:32" s="2" customFormat="1" ht="18" customHeight="1" x14ac:dyDescent="0.25">
      <c r="A11" s="10" t="s">
        <v>26</v>
      </c>
      <c r="B11" s="11">
        <f t="shared" si="1"/>
        <v>579</v>
      </c>
      <c r="C11" s="11">
        <f t="shared" si="1"/>
        <v>558</v>
      </c>
      <c r="D11" s="11">
        <f t="shared" si="1"/>
        <v>641</v>
      </c>
      <c r="E11" s="11">
        <v>643</v>
      </c>
      <c r="F11" s="11">
        <f t="shared" si="5"/>
        <v>751</v>
      </c>
      <c r="G11" s="11">
        <v>685</v>
      </c>
      <c r="H11" s="11">
        <v>790</v>
      </c>
      <c r="I11" s="11">
        <v>701</v>
      </c>
      <c r="J11" s="11">
        <v>792</v>
      </c>
      <c r="K11" s="11">
        <v>739</v>
      </c>
      <c r="L11" s="11">
        <v>741</v>
      </c>
      <c r="M11" s="11">
        <v>748</v>
      </c>
      <c r="N11" s="11">
        <v>771</v>
      </c>
      <c r="O11" s="11">
        <f t="shared" si="2"/>
        <v>859</v>
      </c>
      <c r="P11" s="11">
        <v>813</v>
      </c>
      <c r="Q11" s="11">
        <f t="shared" si="3"/>
        <v>812</v>
      </c>
      <c r="R11" s="11">
        <v>685</v>
      </c>
      <c r="S11" s="11">
        <f t="shared" si="4"/>
        <v>781</v>
      </c>
      <c r="T11" s="11">
        <f t="shared" si="4"/>
        <v>979</v>
      </c>
      <c r="U11" s="11"/>
      <c r="V11" s="25" t="s">
        <v>27</v>
      </c>
      <c r="X11" s="1"/>
      <c r="Y11" s="1"/>
    </row>
    <row r="12" spans="1:32" s="2" customFormat="1" ht="16.5" customHeight="1" x14ac:dyDescent="0.25">
      <c r="A12" s="35" t="s">
        <v>28</v>
      </c>
      <c r="B12" s="29">
        <f>B30</f>
        <v>0</v>
      </c>
      <c r="C12" s="29">
        <f>SUM(C21+C30)</f>
        <v>7</v>
      </c>
      <c r="D12" s="29">
        <f t="shared" si="1"/>
        <v>0</v>
      </c>
      <c r="E12" s="29">
        <v>0</v>
      </c>
      <c r="F12" s="29">
        <f t="shared" si="5"/>
        <v>0</v>
      </c>
      <c r="G12" s="29">
        <v>0</v>
      </c>
      <c r="H12" s="29">
        <v>0</v>
      </c>
      <c r="I12" s="29">
        <v>0</v>
      </c>
      <c r="J12" s="29">
        <v>0</v>
      </c>
      <c r="K12" s="29">
        <v>0</v>
      </c>
      <c r="L12" s="29">
        <v>0</v>
      </c>
      <c r="M12" s="29">
        <v>0</v>
      </c>
      <c r="N12" s="29">
        <v>0</v>
      </c>
      <c r="O12" s="29">
        <f>O21+O30</f>
        <v>0</v>
      </c>
      <c r="P12" s="29">
        <v>0</v>
      </c>
      <c r="Q12" s="29">
        <f t="shared" si="3"/>
        <v>2</v>
      </c>
      <c r="R12" s="29">
        <v>0</v>
      </c>
      <c r="S12" s="29">
        <f t="shared" si="4"/>
        <v>49</v>
      </c>
      <c r="T12" s="29">
        <f t="shared" si="4"/>
        <v>9</v>
      </c>
      <c r="U12" s="29"/>
      <c r="V12" s="30" t="s">
        <v>29</v>
      </c>
      <c r="X12" s="1"/>
      <c r="Y12" s="1"/>
      <c r="Z12" s="1"/>
      <c r="AA12" s="1"/>
      <c r="AB12" s="1"/>
      <c r="AC12" s="1"/>
      <c r="AD12" s="1"/>
      <c r="AE12" s="1"/>
    </row>
    <row r="13" spans="1:32" s="14" customFormat="1" ht="15.75" x14ac:dyDescent="0.25">
      <c r="A13" s="6" t="s">
        <v>3</v>
      </c>
      <c r="B13" s="12"/>
      <c r="C13" s="12"/>
      <c r="D13" s="12"/>
      <c r="E13" s="12"/>
      <c r="F13" s="12"/>
      <c r="G13" s="12"/>
      <c r="H13" s="12"/>
      <c r="I13" s="12"/>
      <c r="J13" s="12"/>
      <c r="K13" s="13"/>
      <c r="L13" s="13"/>
      <c r="M13" s="13"/>
      <c r="N13" s="13"/>
      <c r="O13" s="13"/>
      <c r="P13" s="13"/>
      <c r="Q13" s="13"/>
      <c r="R13" s="13"/>
      <c r="S13" s="13"/>
      <c r="T13" s="13"/>
      <c r="U13" s="13"/>
      <c r="V13" s="24" t="s">
        <v>0</v>
      </c>
      <c r="X13" s="1"/>
      <c r="Y13" s="1"/>
      <c r="Z13" s="1"/>
      <c r="AA13" s="1"/>
      <c r="AB13" s="1"/>
      <c r="AC13" s="1"/>
      <c r="AD13" s="1"/>
      <c r="AE13" s="1"/>
      <c r="AF13" s="2"/>
    </row>
    <row r="14" spans="1:32" s="14" customFormat="1" ht="15.75" x14ac:dyDescent="0.25">
      <c r="A14" s="6" t="s">
        <v>14</v>
      </c>
      <c r="B14" s="8">
        <f>SUM(B15:B20)</f>
        <v>590</v>
      </c>
      <c r="C14" s="8">
        <f t="shared" ref="C14:N14" si="6">SUM(C15:C21)</f>
        <v>577</v>
      </c>
      <c r="D14" s="8">
        <f t="shared" si="6"/>
        <v>606</v>
      </c>
      <c r="E14" s="8">
        <f t="shared" si="6"/>
        <v>648</v>
      </c>
      <c r="F14" s="8">
        <f t="shared" si="6"/>
        <v>690</v>
      </c>
      <c r="G14" s="8">
        <f t="shared" si="6"/>
        <v>643</v>
      </c>
      <c r="H14" s="8">
        <f t="shared" si="6"/>
        <v>676</v>
      </c>
      <c r="I14" s="8">
        <f t="shared" si="6"/>
        <v>660</v>
      </c>
      <c r="J14" s="8">
        <f t="shared" si="6"/>
        <v>686</v>
      </c>
      <c r="K14" s="8">
        <f>SUM(K15:K21)</f>
        <v>656</v>
      </c>
      <c r="L14" s="8">
        <f t="shared" si="6"/>
        <v>649</v>
      </c>
      <c r="M14" s="8">
        <f t="shared" si="6"/>
        <v>663</v>
      </c>
      <c r="N14" s="8">
        <f t="shared" si="6"/>
        <v>666</v>
      </c>
      <c r="O14" s="8">
        <f>SUM(O15:O21)</f>
        <v>658</v>
      </c>
      <c r="P14" s="8">
        <f>SUM(P15:P21)</f>
        <v>750</v>
      </c>
      <c r="Q14" s="8">
        <f>SUM(Q15:Q21)</f>
        <v>716</v>
      </c>
      <c r="R14" s="8">
        <v>633</v>
      </c>
      <c r="S14" s="8">
        <f>SUM(S15:S21)</f>
        <v>713</v>
      </c>
      <c r="T14" s="8">
        <f>SUM(T15:T21)</f>
        <v>902</v>
      </c>
      <c r="U14" s="8"/>
      <c r="V14" s="24" t="s">
        <v>15</v>
      </c>
      <c r="X14" s="1"/>
      <c r="Y14" s="1"/>
    </row>
    <row r="15" spans="1:32" s="14" customFormat="1" ht="15.75" x14ac:dyDescent="0.25">
      <c r="A15" s="10" t="s">
        <v>16</v>
      </c>
      <c r="B15" s="15">
        <v>41</v>
      </c>
      <c r="C15" s="15">
        <v>42</v>
      </c>
      <c r="D15" s="15">
        <v>32</v>
      </c>
      <c r="E15" s="15">
        <v>54</v>
      </c>
      <c r="F15" s="15">
        <v>47</v>
      </c>
      <c r="G15" s="15">
        <v>38</v>
      </c>
      <c r="H15" s="15">
        <v>42</v>
      </c>
      <c r="I15" s="15">
        <v>45</v>
      </c>
      <c r="J15" s="15">
        <v>37</v>
      </c>
      <c r="K15" s="11">
        <v>40</v>
      </c>
      <c r="L15" s="11">
        <v>29</v>
      </c>
      <c r="M15" s="11">
        <v>32</v>
      </c>
      <c r="N15" s="11">
        <v>34</v>
      </c>
      <c r="O15" s="11">
        <v>21</v>
      </c>
      <c r="P15" s="11">
        <v>42</v>
      </c>
      <c r="Q15" s="11">
        <v>24</v>
      </c>
      <c r="R15" s="11">
        <v>23</v>
      </c>
      <c r="S15" s="11">
        <v>12</v>
      </c>
      <c r="T15" s="47">
        <v>35</v>
      </c>
      <c r="U15" s="47"/>
      <c r="V15" s="25" t="s">
        <v>17</v>
      </c>
      <c r="X15" s="1"/>
      <c r="Y15" s="1"/>
    </row>
    <row r="16" spans="1:32" s="14" customFormat="1" ht="18.75" x14ac:dyDescent="0.25">
      <c r="A16" s="10" t="s">
        <v>18</v>
      </c>
      <c r="B16" s="15">
        <v>18</v>
      </c>
      <c r="C16" s="15">
        <v>20</v>
      </c>
      <c r="D16" s="15">
        <v>8</v>
      </c>
      <c r="E16" s="15">
        <v>9</v>
      </c>
      <c r="F16" s="15">
        <v>5</v>
      </c>
      <c r="G16" s="15">
        <v>10</v>
      </c>
      <c r="H16" s="15">
        <v>5</v>
      </c>
      <c r="I16" s="15">
        <v>5</v>
      </c>
      <c r="J16" s="15">
        <v>9</v>
      </c>
      <c r="K16" s="11">
        <v>15</v>
      </c>
      <c r="L16" s="11">
        <v>11</v>
      </c>
      <c r="M16" s="11">
        <v>6</v>
      </c>
      <c r="N16" s="11">
        <v>8</v>
      </c>
      <c r="O16" s="11">
        <v>5</v>
      </c>
      <c r="P16" s="11">
        <v>5</v>
      </c>
      <c r="Q16" s="11">
        <v>4</v>
      </c>
      <c r="R16" s="11">
        <v>6</v>
      </c>
      <c r="S16" s="11">
        <v>1</v>
      </c>
      <c r="T16" s="47">
        <v>3</v>
      </c>
      <c r="U16" s="47"/>
      <c r="V16" s="26" t="s">
        <v>19</v>
      </c>
      <c r="X16" s="1"/>
      <c r="Y16" s="1"/>
    </row>
    <row r="17" spans="1:22" s="14" customFormat="1" ht="18.75" x14ac:dyDescent="0.25">
      <c r="A17" s="10" t="s">
        <v>20</v>
      </c>
      <c r="B17" s="15">
        <v>18</v>
      </c>
      <c r="C17" s="15">
        <v>21</v>
      </c>
      <c r="D17" s="15">
        <v>16</v>
      </c>
      <c r="E17" s="15">
        <v>17</v>
      </c>
      <c r="F17" s="15">
        <v>12</v>
      </c>
      <c r="G17" s="15">
        <v>13</v>
      </c>
      <c r="H17" s="15">
        <v>14</v>
      </c>
      <c r="I17" s="15">
        <v>14</v>
      </c>
      <c r="J17" s="15">
        <v>10</v>
      </c>
      <c r="K17" s="11">
        <v>6</v>
      </c>
      <c r="L17" s="11">
        <v>7</v>
      </c>
      <c r="M17" s="11">
        <v>6</v>
      </c>
      <c r="N17" s="11">
        <v>10</v>
      </c>
      <c r="O17" s="11">
        <v>11</v>
      </c>
      <c r="P17" s="11">
        <v>4</v>
      </c>
      <c r="Q17" s="11">
        <v>3</v>
      </c>
      <c r="R17" s="11">
        <v>2</v>
      </c>
      <c r="S17" s="11">
        <v>3</v>
      </c>
      <c r="T17" s="47">
        <v>4</v>
      </c>
      <c r="U17" s="47"/>
      <c r="V17" s="26" t="s">
        <v>21</v>
      </c>
    </row>
    <row r="18" spans="1:22" s="14" customFormat="1" ht="18.75" x14ac:dyDescent="0.25">
      <c r="A18" s="10" t="s">
        <v>22</v>
      </c>
      <c r="B18" s="15">
        <v>62</v>
      </c>
      <c r="C18" s="15">
        <v>60</v>
      </c>
      <c r="D18" s="15">
        <v>42</v>
      </c>
      <c r="E18" s="15">
        <v>62</v>
      </c>
      <c r="F18" s="15">
        <v>65</v>
      </c>
      <c r="G18" s="15">
        <v>63</v>
      </c>
      <c r="H18" s="15">
        <v>61</v>
      </c>
      <c r="I18" s="15">
        <v>64</v>
      </c>
      <c r="J18" s="15">
        <v>56</v>
      </c>
      <c r="K18" s="11">
        <v>45</v>
      </c>
      <c r="L18" s="11">
        <v>66</v>
      </c>
      <c r="M18" s="11">
        <v>71</v>
      </c>
      <c r="N18" s="11">
        <v>52</v>
      </c>
      <c r="O18" s="11">
        <v>52</v>
      </c>
      <c r="P18" s="11">
        <v>81</v>
      </c>
      <c r="Q18" s="11">
        <v>76</v>
      </c>
      <c r="R18" s="11">
        <v>57</v>
      </c>
      <c r="S18" s="11">
        <v>100</v>
      </c>
      <c r="T18" s="47">
        <v>108</v>
      </c>
      <c r="U18" s="47"/>
      <c r="V18" s="26" t="s">
        <v>23</v>
      </c>
    </row>
    <row r="19" spans="1:22" s="14" customFormat="1" ht="18.75" x14ac:dyDescent="0.25">
      <c r="A19" s="10" t="s">
        <v>24</v>
      </c>
      <c r="B19" s="15">
        <v>117</v>
      </c>
      <c r="C19" s="15">
        <v>115</v>
      </c>
      <c r="D19" s="15">
        <v>116</v>
      </c>
      <c r="E19" s="15">
        <v>123</v>
      </c>
      <c r="F19" s="15">
        <v>98</v>
      </c>
      <c r="G19" s="15">
        <v>114</v>
      </c>
      <c r="H19" s="15">
        <v>94</v>
      </c>
      <c r="I19" s="15">
        <v>125</v>
      </c>
      <c r="J19" s="15">
        <v>99</v>
      </c>
      <c r="K19" s="11">
        <v>127</v>
      </c>
      <c r="L19" s="11">
        <v>121</v>
      </c>
      <c r="M19" s="11">
        <v>131</v>
      </c>
      <c r="N19" s="11">
        <v>129</v>
      </c>
      <c r="O19" s="11">
        <v>113</v>
      </c>
      <c r="P19" s="11">
        <v>143</v>
      </c>
      <c r="Q19" s="11">
        <v>136</v>
      </c>
      <c r="R19" s="11">
        <v>134</v>
      </c>
      <c r="S19" s="11">
        <v>154</v>
      </c>
      <c r="T19" s="47">
        <v>184</v>
      </c>
      <c r="U19" s="47"/>
      <c r="V19" s="26" t="s">
        <v>25</v>
      </c>
    </row>
    <row r="20" spans="1:22" ht="15.75" x14ac:dyDescent="0.25">
      <c r="A20" s="10" t="s">
        <v>26</v>
      </c>
      <c r="B20" s="16">
        <v>334</v>
      </c>
      <c r="C20" s="16">
        <v>318</v>
      </c>
      <c r="D20" s="16">
        <v>392</v>
      </c>
      <c r="E20" s="16">
        <v>383</v>
      </c>
      <c r="F20" s="16">
        <v>463</v>
      </c>
      <c r="G20" s="16">
        <v>405</v>
      </c>
      <c r="H20" s="16">
        <v>460</v>
      </c>
      <c r="I20" s="16">
        <v>407</v>
      </c>
      <c r="J20" s="16">
        <v>475</v>
      </c>
      <c r="K20" s="17">
        <v>423</v>
      </c>
      <c r="L20" s="17">
        <v>415</v>
      </c>
      <c r="M20" s="17">
        <v>417</v>
      </c>
      <c r="N20" s="17">
        <v>433</v>
      </c>
      <c r="O20" s="17">
        <v>456</v>
      </c>
      <c r="P20" s="17">
        <v>475</v>
      </c>
      <c r="Q20" s="17">
        <v>471</v>
      </c>
      <c r="R20" s="17">
        <v>411</v>
      </c>
      <c r="S20" s="17">
        <v>412</v>
      </c>
      <c r="T20" s="44">
        <v>559</v>
      </c>
      <c r="U20" s="44"/>
      <c r="V20" s="25" t="s">
        <v>27</v>
      </c>
    </row>
    <row r="21" spans="1:22" ht="18" customHeight="1" x14ac:dyDescent="0.25">
      <c r="A21" s="35" t="s">
        <v>42</v>
      </c>
      <c r="B21" s="31">
        <v>0</v>
      </c>
      <c r="C21" s="31">
        <v>1</v>
      </c>
      <c r="D21" s="31">
        <v>0</v>
      </c>
      <c r="E21" s="31">
        <v>0</v>
      </c>
      <c r="F21" s="31">
        <v>0</v>
      </c>
      <c r="G21" s="31">
        <v>0</v>
      </c>
      <c r="H21" s="31">
        <v>0</v>
      </c>
      <c r="I21" s="31">
        <v>0</v>
      </c>
      <c r="J21" s="31">
        <v>0</v>
      </c>
      <c r="K21" s="32">
        <v>0</v>
      </c>
      <c r="L21" s="32">
        <v>0</v>
      </c>
      <c r="M21" s="32">
        <v>0</v>
      </c>
      <c r="N21" s="32">
        <v>0</v>
      </c>
      <c r="O21" s="32">
        <v>0</v>
      </c>
      <c r="P21" s="32">
        <v>0</v>
      </c>
      <c r="Q21" s="32">
        <v>2</v>
      </c>
      <c r="R21" s="32">
        <v>0</v>
      </c>
      <c r="S21" s="32">
        <v>31</v>
      </c>
      <c r="T21" s="48">
        <v>9</v>
      </c>
      <c r="U21" s="48"/>
      <c r="V21" s="30" t="s">
        <v>29</v>
      </c>
    </row>
    <row r="22" spans="1:22" ht="15.75" x14ac:dyDescent="0.25">
      <c r="A22" s="6" t="s">
        <v>4</v>
      </c>
      <c r="B22" s="19"/>
      <c r="C22" s="19"/>
      <c r="D22" s="19"/>
      <c r="E22" s="19"/>
      <c r="F22" s="19"/>
      <c r="G22" s="19"/>
      <c r="H22" s="19"/>
      <c r="I22" s="19"/>
      <c r="J22" s="19"/>
      <c r="K22" s="20"/>
      <c r="L22" s="20"/>
      <c r="M22" s="20"/>
      <c r="N22" s="20"/>
      <c r="O22" s="20"/>
      <c r="P22" s="20"/>
      <c r="Q22" s="20"/>
      <c r="R22" s="20"/>
      <c r="S22" s="20"/>
      <c r="T22" s="20"/>
      <c r="U22" s="20"/>
      <c r="V22" s="24" t="s">
        <v>1</v>
      </c>
    </row>
    <row r="23" spans="1:22" ht="15.75" x14ac:dyDescent="0.2">
      <c r="A23" s="6" t="s">
        <v>14</v>
      </c>
      <c r="B23" s="8">
        <f>SUM(B24:B30)</f>
        <v>432</v>
      </c>
      <c r="C23" s="8">
        <f>SUM(C24:C30)</f>
        <v>430</v>
      </c>
      <c r="D23" s="8">
        <f>SUM(D24:D30)</f>
        <v>409</v>
      </c>
      <c r="E23" s="8">
        <f>SUM(E24:E30)</f>
        <v>435</v>
      </c>
      <c r="F23" s="8">
        <f>SUM(F24:F30)</f>
        <v>436</v>
      </c>
      <c r="G23" s="8">
        <f t="shared" ref="G23:N23" si="7">SUM(G24:G30)</f>
        <v>447</v>
      </c>
      <c r="H23" s="8">
        <f t="shared" si="7"/>
        <v>488</v>
      </c>
      <c r="I23" s="8">
        <f t="shared" si="7"/>
        <v>445</v>
      </c>
      <c r="J23" s="8">
        <f t="shared" si="7"/>
        <v>451</v>
      </c>
      <c r="K23" s="8">
        <f t="shared" si="7"/>
        <v>479</v>
      </c>
      <c r="L23" s="8">
        <f t="shared" si="7"/>
        <v>471</v>
      </c>
      <c r="M23" s="8">
        <f t="shared" si="7"/>
        <v>480</v>
      </c>
      <c r="N23" s="8">
        <f t="shared" si="7"/>
        <v>464</v>
      </c>
      <c r="O23" s="8">
        <f>SUM(O24:O30)</f>
        <v>568</v>
      </c>
      <c r="P23" s="8">
        <f>SUM(P24:P30)</f>
        <v>491</v>
      </c>
      <c r="Q23" s="8">
        <f>SUM(Q24:Q30)</f>
        <v>498</v>
      </c>
      <c r="R23" s="8">
        <v>408</v>
      </c>
      <c r="S23" s="8">
        <f>SUM(S24:S30)</f>
        <v>526</v>
      </c>
      <c r="T23" s="8">
        <f>SUM(T24:T30)</f>
        <v>611</v>
      </c>
      <c r="U23" s="8"/>
      <c r="V23" s="24" t="s">
        <v>15</v>
      </c>
    </row>
    <row r="24" spans="1:22" ht="15.75" x14ac:dyDescent="0.25">
      <c r="A24" s="10" t="s">
        <v>16</v>
      </c>
      <c r="B24" s="16">
        <v>31</v>
      </c>
      <c r="C24" s="16">
        <v>34</v>
      </c>
      <c r="D24" s="16">
        <v>35</v>
      </c>
      <c r="E24" s="16">
        <v>39</v>
      </c>
      <c r="F24" s="16">
        <v>19</v>
      </c>
      <c r="G24" s="16">
        <v>38</v>
      </c>
      <c r="H24" s="16">
        <v>39</v>
      </c>
      <c r="I24" s="16">
        <v>33</v>
      </c>
      <c r="J24" s="16">
        <v>28</v>
      </c>
      <c r="K24" s="17">
        <v>26</v>
      </c>
      <c r="L24" s="17">
        <v>17</v>
      </c>
      <c r="M24" s="17">
        <v>27</v>
      </c>
      <c r="N24" s="17">
        <v>29</v>
      </c>
      <c r="O24" s="17">
        <v>32</v>
      </c>
      <c r="P24" s="17">
        <v>22</v>
      </c>
      <c r="Q24" s="17">
        <v>21</v>
      </c>
      <c r="R24" s="17">
        <v>20</v>
      </c>
      <c r="S24" s="17">
        <v>11</v>
      </c>
      <c r="T24" s="44">
        <v>23</v>
      </c>
      <c r="U24" s="44"/>
      <c r="V24" s="25" t="s">
        <v>17</v>
      </c>
    </row>
    <row r="25" spans="1:22" ht="18.75" x14ac:dyDescent="0.25">
      <c r="A25" s="10" t="s">
        <v>18</v>
      </c>
      <c r="B25" s="16">
        <v>5</v>
      </c>
      <c r="C25" s="16">
        <v>19</v>
      </c>
      <c r="D25" s="16">
        <v>12</v>
      </c>
      <c r="E25" s="16">
        <v>6</v>
      </c>
      <c r="F25" s="16">
        <v>5</v>
      </c>
      <c r="G25" s="16">
        <v>10</v>
      </c>
      <c r="H25" s="16">
        <v>5</v>
      </c>
      <c r="I25" s="16">
        <v>6</v>
      </c>
      <c r="J25" s="16">
        <v>7</v>
      </c>
      <c r="K25" s="17">
        <v>3</v>
      </c>
      <c r="L25" s="17">
        <v>10</v>
      </c>
      <c r="M25" s="17">
        <v>9</v>
      </c>
      <c r="N25" s="17">
        <v>5</v>
      </c>
      <c r="O25" s="17">
        <v>5</v>
      </c>
      <c r="P25" s="17">
        <v>3</v>
      </c>
      <c r="Q25" s="17">
        <v>5</v>
      </c>
      <c r="R25" s="17">
        <v>1</v>
      </c>
      <c r="S25" s="17">
        <v>3</v>
      </c>
      <c r="T25" s="44">
        <v>4</v>
      </c>
      <c r="U25" s="44"/>
      <c r="V25" s="26" t="s">
        <v>19</v>
      </c>
    </row>
    <row r="26" spans="1:22" ht="18.75" x14ac:dyDescent="0.25">
      <c r="A26" s="10" t="s">
        <v>20</v>
      </c>
      <c r="B26" s="16">
        <v>9</v>
      </c>
      <c r="C26" s="16">
        <v>15</v>
      </c>
      <c r="D26" s="16">
        <v>9</v>
      </c>
      <c r="E26" s="16">
        <v>13</v>
      </c>
      <c r="F26" s="16">
        <v>10</v>
      </c>
      <c r="G26" s="16">
        <v>10</v>
      </c>
      <c r="H26" s="16">
        <v>10</v>
      </c>
      <c r="I26" s="16">
        <v>6</v>
      </c>
      <c r="J26" s="16">
        <v>9</v>
      </c>
      <c r="K26" s="17">
        <v>8</v>
      </c>
      <c r="L26" s="17">
        <v>6</v>
      </c>
      <c r="M26" s="17">
        <v>2</v>
      </c>
      <c r="N26" s="17">
        <v>9</v>
      </c>
      <c r="O26" s="17">
        <v>4</v>
      </c>
      <c r="P26" s="17">
        <v>9</v>
      </c>
      <c r="Q26" s="17">
        <v>4</v>
      </c>
      <c r="R26" s="17">
        <v>3</v>
      </c>
      <c r="S26" s="17">
        <v>3</v>
      </c>
      <c r="T26" s="44">
        <v>8</v>
      </c>
      <c r="U26" s="44"/>
      <c r="V26" s="26" t="s">
        <v>21</v>
      </c>
    </row>
    <row r="27" spans="1:22" ht="18.75" x14ac:dyDescent="0.25">
      <c r="A27" s="10" t="s">
        <v>22</v>
      </c>
      <c r="B27" s="16">
        <v>40</v>
      </c>
      <c r="C27" s="16">
        <v>47</v>
      </c>
      <c r="D27" s="16">
        <v>30</v>
      </c>
      <c r="E27" s="16">
        <v>27</v>
      </c>
      <c r="F27" s="16">
        <v>33</v>
      </c>
      <c r="G27" s="16">
        <v>41</v>
      </c>
      <c r="H27" s="16">
        <v>35</v>
      </c>
      <c r="I27" s="16">
        <v>36</v>
      </c>
      <c r="J27" s="16">
        <v>32</v>
      </c>
      <c r="K27" s="17">
        <v>40</v>
      </c>
      <c r="L27" s="17">
        <v>43</v>
      </c>
      <c r="M27" s="17">
        <v>31</v>
      </c>
      <c r="N27" s="17">
        <v>31</v>
      </c>
      <c r="O27" s="17">
        <v>40</v>
      </c>
      <c r="P27" s="17">
        <v>40</v>
      </c>
      <c r="Q27" s="17">
        <v>37</v>
      </c>
      <c r="R27" s="17">
        <v>44</v>
      </c>
      <c r="S27" s="17">
        <v>36</v>
      </c>
      <c r="T27" s="44">
        <v>36</v>
      </c>
      <c r="U27" s="44"/>
      <c r="V27" s="26" t="s">
        <v>23</v>
      </c>
    </row>
    <row r="28" spans="1:22" ht="18.75" x14ac:dyDescent="0.25">
      <c r="A28" s="10" t="s">
        <v>24</v>
      </c>
      <c r="B28" s="16">
        <v>102</v>
      </c>
      <c r="C28" s="16">
        <v>69</v>
      </c>
      <c r="D28" s="16">
        <v>74</v>
      </c>
      <c r="E28" s="16">
        <v>90</v>
      </c>
      <c r="F28" s="16">
        <v>81</v>
      </c>
      <c r="G28" s="16">
        <v>68</v>
      </c>
      <c r="H28" s="16">
        <v>69</v>
      </c>
      <c r="I28" s="16">
        <v>70</v>
      </c>
      <c r="J28" s="16">
        <v>58</v>
      </c>
      <c r="K28" s="17">
        <v>86</v>
      </c>
      <c r="L28" s="17">
        <v>69</v>
      </c>
      <c r="M28" s="17">
        <v>80</v>
      </c>
      <c r="N28" s="17">
        <v>52</v>
      </c>
      <c r="O28" s="17">
        <v>84</v>
      </c>
      <c r="P28" s="17">
        <v>79</v>
      </c>
      <c r="Q28" s="17">
        <v>90</v>
      </c>
      <c r="R28" s="17">
        <v>66</v>
      </c>
      <c r="S28" s="17">
        <v>100</v>
      </c>
      <c r="T28" s="44">
        <v>120</v>
      </c>
      <c r="U28" s="44"/>
      <c r="V28" s="26" t="s">
        <v>25</v>
      </c>
    </row>
    <row r="29" spans="1:22" ht="15.75" x14ac:dyDescent="0.25">
      <c r="A29" s="10" t="s">
        <v>26</v>
      </c>
      <c r="B29" s="16">
        <v>245</v>
      </c>
      <c r="C29" s="16">
        <v>240</v>
      </c>
      <c r="D29" s="16">
        <v>249</v>
      </c>
      <c r="E29" s="16">
        <v>260</v>
      </c>
      <c r="F29" s="16">
        <v>288</v>
      </c>
      <c r="G29" s="16">
        <v>280</v>
      </c>
      <c r="H29" s="16">
        <v>330</v>
      </c>
      <c r="I29" s="16">
        <v>294</v>
      </c>
      <c r="J29" s="16">
        <v>317</v>
      </c>
      <c r="K29" s="17">
        <v>316</v>
      </c>
      <c r="L29" s="17">
        <v>326</v>
      </c>
      <c r="M29" s="17">
        <v>331</v>
      </c>
      <c r="N29" s="17">
        <v>338</v>
      </c>
      <c r="O29" s="17">
        <v>403</v>
      </c>
      <c r="P29" s="17">
        <v>338</v>
      </c>
      <c r="Q29" s="17">
        <v>341</v>
      </c>
      <c r="R29" s="17">
        <v>274</v>
      </c>
      <c r="S29" s="17">
        <v>369</v>
      </c>
      <c r="T29" s="44">
        <v>420</v>
      </c>
      <c r="U29" s="44"/>
      <c r="V29" s="25" t="s">
        <v>27</v>
      </c>
    </row>
    <row r="30" spans="1:22" ht="15.75" customHeight="1" x14ac:dyDescent="0.25">
      <c r="A30" s="35" t="s">
        <v>28</v>
      </c>
      <c r="B30" s="33">
        <v>0</v>
      </c>
      <c r="C30" s="33">
        <v>6</v>
      </c>
      <c r="D30" s="34">
        <v>0</v>
      </c>
      <c r="E30" s="34">
        <v>0</v>
      </c>
      <c r="F30" s="31">
        <v>0</v>
      </c>
      <c r="G30" s="31">
        <v>0</v>
      </c>
      <c r="H30" s="31">
        <v>0</v>
      </c>
      <c r="I30" s="31">
        <v>0</v>
      </c>
      <c r="J30" s="31">
        <v>0</v>
      </c>
      <c r="K30" s="32">
        <v>0</v>
      </c>
      <c r="L30" s="32">
        <v>0</v>
      </c>
      <c r="M30" s="32">
        <v>0</v>
      </c>
      <c r="N30" s="32"/>
      <c r="O30" s="31">
        <v>0</v>
      </c>
      <c r="P30" s="32">
        <v>0</v>
      </c>
      <c r="Q30" s="32">
        <v>0</v>
      </c>
      <c r="R30" s="32">
        <v>0</v>
      </c>
      <c r="S30" s="32">
        <v>4</v>
      </c>
      <c r="T30" s="48">
        <v>0</v>
      </c>
      <c r="U30" s="48"/>
      <c r="V30" s="30" t="s">
        <v>29</v>
      </c>
    </row>
    <row r="31" spans="1:22" ht="12.75" customHeight="1" x14ac:dyDescent="0.25">
      <c r="A31" s="10" t="s">
        <v>32</v>
      </c>
      <c r="B31" s="27"/>
      <c r="C31" s="27"/>
      <c r="D31" s="28"/>
      <c r="E31" s="28"/>
      <c r="F31" s="36" t="s">
        <v>5</v>
      </c>
      <c r="G31" s="36" t="s">
        <v>5</v>
      </c>
      <c r="H31" s="36" t="s">
        <v>5</v>
      </c>
      <c r="I31" s="36" t="s">
        <v>5</v>
      </c>
      <c r="J31" s="36" t="s">
        <v>5</v>
      </c>
      <c r="K31" s="36" t="s">
        <v>5</v>
      </c>
      <c r="L31" s="36" t="s">
        <v>5</v>
      </c>
      <c r="M31" s="36" t="s">
        <v>5</v>
      </c>
      <c r="N31" s="36" t="s">
        <v>5</v>
      </c>
      <c r="O31" s="36" t="s">
        <v>5</v>
      </c>
      <c r="P31" s="36" t="s">
        <v>5</v>
      </c>
      <c r="Q31" s="17">
        <v>1</v>
      </c>
      <c r="R31" s="36" t="s">
        <v>5</v>
      </c>
      <c r="S31" s="36" t="s">
        <v>5</v>
      </c>
      <c r="T31" s="36" t="s">
        <v>5</v>
      </c>
      <c r="U31" s="36"/>
      <c r="V31" s="37" t="s">
        <v>34</v>
      </c>
    </row>
    <row r="32" spans="1:22" ht="18" customHeight="1" x14ac:dyDescent="0.25">
      <c r="A32" s="35" t="s">
        <v>33</v>
      </c>
      <c r="B32" s="31"/>
      <c r="C32" s="31"/>
      <c r="D32" s="31"/>
      <c r="E32" s="31"/>
      <c r="F32" s="32" t="s">
        <v>5</v>
      </c>
      <c r="G32" s="32" t="s">
        <v>5</v>
      </c>
      <c r="H32" s="32" t="s">
        <v>5</v>
      </c>
      <c r="I32" s="32" t="s">
        <v>5</v>
      </c>
      <c r="J32" s="32" t="s">
        <v>5</v>
      </c>
      <c r="K32" s="32" t="s">
        <v>5</v>
      </c>
      <c r="L32" s="32" t="s">
        <v>5</v>
      </c>
      <c r="M32" s="32" t="s">
        <v>5</v>
      </c>
      <c r="N32" s="32" t="s">
        <v>5</v>
      </c>
      <c r="O32" s="32" t="s">
        <v>5</v>
      </c>
      <c r="P32" s="32" t="s">
        <v>5</v>
      </c>
      <c r="Q32" s="32">
        <v>1</v>
      </c>
      <c r="R32" s="32" t="s">
        <v>5</v>
      </c>
      <c r="S32" s="32" t="s">
        <v>5</v>
      </c>
      <c r="T32" s="32" t="s">
        <v>5</v>
      </c>
      <c r="U32" s="32"/>
      <c r="V32" s="41" t="s">
        <v>35</v>
      </c>
    </row>
    <row r="33" spans="1:22" ht="21" x14ac:dyDescent="0.25">
      <c r="A33" s="6" t="s">
        <v>36</v>
      </c>
      <c r="B33" s="19"/>
      <c r="C33" s="19"/>
      <c r="D33" s="19"/>
      <c r="E33" s="19"/>
      <c r="F33" s="36"/>
      <c r="G33" s="36"/>
      <c r="H33" s="36"/>
      <c r="I33" s="36"/>
      <c r="J33" s="36"/>
      <c r="K33" s="36"/>
      <c r="L33" s="36"/>
      <c r="M33" s="36"/>
      <c r="N33" s="36"/>
      <c r="O33" s="36"/>
      <c r="P33" s="36"/>
      <c r="Q33" s="17"/>
      <c r="R33" s="36"/>
      <c r="S33" s="20"/>
      <c r="T33" s="20"/>
      <c r="U33" s="20"/>
      <c r="V33" s="42" t="s">
        <v>34</v>
      </c>
    </row>
    <row r="34" spans="1:22" ht="15.75" x14ac:dyDescent="0.2">
      <c r="A34" s="6" t="s">
        <v>14</v>
      </c>
      <c r="B34" s="8"/>
      <c r="C34" s="8"/>
      <c r="D34" s="8"/>
      <c r="E34" s="8"/>
      <c r="F34" s="36" t="s">
        <v>5</v>
      </c>
      <c r="G34" s="36" t="s">
        <v>5</v>
      </c>
      <c r="H34" s="36" t="s">
        <v>5</v>
      </c>
      <c r="I34" s="36" t="s">
        <v>5</v>
      </c>
      <c r="J34" s="36" t="s">
        <v>5</v>
      </c>
      <c r="K34" s="36" t="s">
        <v>5</v>
      </c>
      <c r="L34" s="36" t="s">
        <v>5</v>
      </c>
      <c r="M34" s="36" t="s">
        <v>5</v>
      </c>
      <c r="N34" s="36" t="s">
        <v>5</v>
      </c>
      <c r="O34" s="36" t="s">
        <v>5</v>
      </c>
      <c r="P34" s="36" t="s">
        <v>5</v>
      </c>
      <c r="Q34" s="43">
        <v>1</v>
      </c>
      <c r="R34" s="36" t="s">
        <v>5</v>
      </c>
      <c r="S34" s="8">
        <f>SUM(S35:S41)</f>
        <v>36</v>
      </c>
      <c r="T34" s="8">
        <f>SUM(T35:T41)</f>
        <v>0</v>
      </c>
      <c r="U34" s="8"/>
      <c r="V34" s="24" t="s">
        <v>15</v>
      </c>
    </row>
    <row r="35" spans="1:22" ht="15.75" x14ac:dyDescent="0.25">
      <c r="A35" s="10" t="s">
        <v>16</v>
      </c>
      <c r="B35" s="16"/>
      <c r="C35" s="16"/>
      <c r="D35" s="16"/>
      <c r="E35" s="16"/>
      <c r="F35" s="36" t="s">
        <v>5</v>
      </c>
      <c r="G35" s="36" t="s">
        <v>5</v>
      </c>
      <c r="H35" s="36" t="s">
        <v>5</v>
      </c>
      <c r="I35" s="36" t="s">
        <v>5</v>
      </c>
      <c r="J35" s="36" t="s">
        <v>5</v>
      </c>
      <c r="K35" s="36" t="s">
        <v>5</v>
      </c>
      <c r="L35" s="36" t="s">
        <v>5</v>
      </c>
      <c r="M35" s="36" t="s">
        <v>5</v>
      </c>
      <c r="N35" s="36" t="s">
        <v>5</v>
      </c>
      <c r="O35" s="36" t="s">
        <v>5</v>
      </c>
      <c r="P35" s="36" t="s">
        <v>5</v>
      </c>
      <c r="Q35" s="36" t="s">
        <v>5</v>
      </c>
      <c r="R35" s="36" t="s">
        <v>5</v>
      </c>
      <c r="S35" s="17">
        <v>22</v>
      </c>
      <c r="T35" s="44">
        <v>0</v>
      </c>
      <c r="U35" s="44"/>
      <c r="V35" s="25" t="s">
        <v>17</v>
      </c>
    </row>
    <row r="36" spans="1:22" ht="18.75" x14ac:dyDescent="0.25">
      <c r="A36" s="10" t="s">
        <v>18</v>
      </c>
      <c r="B36" s="16"/>
      <c r="C36" s="16"/>
      <c r="D36" s="16"/>
      <c r="E36" s="16"/>
      <c r="F36" s="36" t="s">
        <v>5</v>
      </c>
      <c r="G36" s="36" t="s">
        <v>5</v>
      </c>
      <c r="H36" s="36" t="s">
        <v>5</v>
      </c>
      <c r="I36" s="36" t="s">
        <v>5</v>
      </c>
      <c r="J36" s="36" t="s">
        <v>5</v>
      </c>
      <c r="K36" s="36" t="s">
        <v>5</v>
      </c>
      <c r="L36" s="36" t="s">
        <v>5</v>
      </c>
      <c r="M36" s="36" t="s">
        <v>5</v>
      </c>
      <c r="N36" s="36" t="s">
        <v>5</v>
      </c>
      <c r="O36" s="36" t="s">
        <v>5</v>
      </c>
      <c r="P36" s="36" t="s">
        <v>5</v>
      </c>
      <c r="Q36" s="36" t="s">
        <v>5</v>
      </c>
      <c r="R36" s="36" t="s">
        <v>5</v>
      </c>
      <c r="S36" s="17">
        <v>0</v>
      </c>
      <c r="T36" s="44">
        <v>0</v>
      </c>
      <c r="U36" s="44"/>
      <c r="V36" s="26" t="s">
        <v>19</v>
      </c>
    </row>
    <row r="37" spans="1:22" ht="18.75" x14ac:dyDescent="0.25">
      <c r="A37" s="10" t="s">
        <v>20</v>
      </c>
      <c r="B37" s="16"/>
      <c r="C37" s="16"/>
      <c r="D37" s="16"/>
      <c r="E37" s="16"/>
      <c r="F37" s="36" t="s">
        <v>5</v>
      </c>
      <c r="G37" s="36" t="s">
        <v>5</v>
      </c>
      <c r="H37" s="36" t="s">
        <v>5</v>
      </c>
      <c r="I37" s="36" t="s">
        <v>5</v>
      </c>
      <c r="J37" s="36" t="s">
        <v>5</v>
      </c>
      <c r="K37" s="36" t="s">
        <v>5</v>
      </c>
      <c r="L37" s="36" t="s">
        <v>5</v>
      </c>
      <c r="M37" s="36" t="s">
        <v>5</v>
      </c>
      <c r="N37" s="36" t="s">
        <v>5</v>
      </c>
      <c r="O37" s="36" t="s">
        <v>5</v>
      </c>
      <c r="P37" s="36" t="s">
        <v>5</v>
      </c>
      <c r="Q37" s="36" t="s">
        <v>5</v>
      </c>
      <c r="R37" s="36" t="s">
        <v>5</v>
      </c>
      <c r="S37" s="17">
        <v>0</v>
      </c>
      <c r="T37" s="44">
        <v>0</v>
      </c>
      <c r="U37" s="44"/>
      <c r="V37" s="26" t="s">
        <v>21</v>
      </c>
    </row>
    <row r="38" spans="1:22" ht="18.75" x14ac:dyDescent="0.25">
      <c r="A38" s="10" t="s">
        <v>22</v>
      </c>
      <c r="B38" s="16"/>
      <c r="C38" s="16"/>
      <c r="D38" s="16"/>
      <c r="E38" s="16"/>
      <c r="F38" s="36" t="s">
        <v>5</v>
      </c>
      <c r="G38" s="36" t="s">
        <v>5</v>
      </c>
      <c r="H38" s="36" t="s">
        <v>5</v>
      </c>
      <c r="I38" s="36" t="s">
        <v>5</v>
      </c>
      <c r="J38" s="36" t="s">
        <v>5</v>
      </c>
      <c r="K38" s="36" t="s">
        <v>5</v>
      </c>
      <c r="L38" s="36" t="s">
        <v>5</v>
      </c>
      <c r="M38" s="36" t="s">
        <v>5</v>
      </c>
      <c r="N38" s="36" t="s">
        <v>5</v>
      </c>
      <c r="O38" s="36" t="s">
        <v>5</v>
      </c>
      <c r="P38" s="36" t="s">
        <v>5</v>
      </c>
      <c r="Q38" s="36" t="s">
        <v>5</v>
      </c>
      <c r="R38" s="36" t="s">
        <v>5</v>
      </c>
      <c r="S38" s="17">
        <v>0</v>
      </c>
      <c r="T38" s="44">
        <v>0</v>
      </c>
      <c r="U38" s="44"/>
      <c r="V38" s="26" t="s">
        <v>23</v>
      </c>
    </row>
    <row r="39" spans="1:22" ht="18.75" x14ac:dyDescent="0.25">
      <c r="A39" s="10" t="s">
        <v>24</v>
      </c>
      <c r="B39" s="16"/>
      <c r="C39" s="16"/>
      <c r="D39" s="16"/>
      <c r="E39" s="16"/>
      <c r="F39" s="36" t="s">
        <v>5</v>
      </c>
      <c r="G39" s="36" t="s">
        <v>5</v>
      </c>
      <c r="H39" s="36" t="s">
        <v>5</v>
      </c>
      <c r="I39" s="36" t="s">
        <v>5</v>
      </c>
      <c r="J39" s="36" t="s">
        <v>5</v>
      </c>
      <c r="K39" s="36" t="s">
        <v>5</v>
      </c>
      <c r="L39" s="36" t="s">
        <v>5</v>
      </c>
      <c r="M39" s="36" t="s">
        <v>5</v>
      </c>
      <c r="N39" s="36" t="s">
        <v>5</v>
      </c>
      <c r="O39" s="36" t="s">
        <v>5</v>
      </c>
      <c r="P39" s="36" t="s">
        <v>5</v>
      </c>
      <c r="Q39" s="36" t="s">
        <v>5</v>
      </c>
      <c r="R39" s="36" t="s">
        <v>5</v>
      </c>
      <c r="S39" s="17">
        <v>0</v>
      </c>
      <c r="T39" s="44">
        <v>0</v>
      </c>
      <c r="U39" s="44"/>
      <c r="V39" s="26" t="s">
        <v>25</v>
      </c>
    </row>
    <row r="40" spans="1:22" ht="15.75" x14ac:dyDescent="0.25">
      <c r="A40" s="10" t="s">
        <v>26</v>
      </c>
      <c r="B40" s="16"/>
      <c r="C40" s="16"/>
      <c r="D40" s="16"/>
      <c r="E40" s="16"/>
      <c r="F40" s="36" t="s">
        <v>5</v>
      </c>
      <c r="G40" s="36" t="s">
        <v>5</v>
      </c>
      <c r="H40" s="36" t="s">
        <v>5</v>
      </c>
      <c r="I40" s="36" t="s">
        <v>5</v>
      </c>
      <c r="J40" s="36" t="s">
        <v>5</v>
      </c>
      <c r="K40" s="36" t="s">
        <v>5</v>
      </c>
      <c r="L40" s="36" t="s">
        <v>5</v>
      </c>
      <c r="M40" s="36" t="s">
        <v>5</v>
      </c>
      <c r="N40" s="36" t="s">
        <v>5</v>
      </c>
      <c r="O40" s="36" t="s">
        <v>5</v>
      </c>
      <c r="P40" s="36" t="s">
        <v>5</v>
      </c>
      <c r="Q40" s="36" t="s">
        <v>5</v>
      </c>
      <c r="R40" s="36" t="s">
        <v>5</v>
      </c>
      <c r="S40" s="17">
        <v>0</v>
      </c>
      <c r="T40" s="44">
        <v>0</v>
      </c>
      <c r="U40" s="44"/>
      <c r="V40" s="25" t="s">
        <v>27</v>
      </c>
    </row>
    <row r="41" spans="1:22" ht="12.75" customHeight="1" x14ac:dyDescent="0.25">
      <c r="A41" s="38" t="s">
        <v>28</v>
      </c>
      <c r="B41" s="21"/>
      <c r="C41" s="21"/>
      <c r="D41" s="22"/>
      <c r="E41" s="22"/>
      <c r="F41" s="46" t="s">
        <v>5</v>
      </c>
      <c r="G41" s="46" t="s">
        <v>5</v>
      </c>
      <c r="H41" s="46" t="s">
        <v>5</v>
      </c>
      <c r="I41" s="46" t="s">
        <v>5</v>
      </c>
      <c r="J41" s="46" t="s">
        <v>5</v>
      </c>
      <c r="K41" s="46" t="s">
        <v>5</v>
      </c>
      <c r="L41" s="46" t="s">
        <v>5</v>
      </c>
      <c r="M41" s="46" t="s">
        <v>5</v>
      </c>
      <c r="N41" s="46" t="s">
        <v>5</v>
      </c>
      <c r="O41" s="46" t="s">
        <v>5</v>
      </c>
      <c r="P41" s="46" t="s">
        <v>5</v>
      </c>
      <c r="Q41" s="46" t="s">
        <v>5</v>
      </c>
      <c r="R41" s="46" t="s">
        <v>5</v>
      </c>
      <c r="S41" s="39">
        <v>14</v>
      </c>
      <c r="T41" s="45">
        <v>0</v>
      </c>
      <c r="U41" s="45"/>
      <c r="V41" s="40" t="s">
        <v>29</v>
      </c>
    </row>
    <row r="42" spans="1:22" x14ac:dyDescent="0.2">
      <c r="A42" s="52" t="s">
        <v>31</v>
      </c>
      <c r="B42" s="52"/>
      <c r="C42" s="52"/>
      <c r="D42" s="52"/>
      <c r="E42" s="52"/>
      <c r="F42" s="52"/>
      <c r="G42" s="52"/>
      <c r="H42" s="52"/>
      <c r="I42" s="52"/>
      <c r="J42" s="52"/>
      <c r="K42" s="52"/>
      <c r="L42" s="52"/>
      <c r="M42" s="52"/>
      <c r="N42" s="52"/>
      <c r="O42" s="52"/>
      <c r="P42" s="52"/>
      <c r="Q42" s="52"/>
      <c r="R42" s="52"/>
      <c r="S42" s="52"/>
      <c r="T42" s="52"/>
      <c r="U42" s="52"/>
      <c r="V42" s="52"/>
    </row>
    <row r="43" spans="1:22" x14ac:dyDescent="0.2">
      <c r="A43" s="49" t="s">
        <v>30</v>
      </c>
      <c r="B43" s="49"/>
      <c r="C43" s="49"/>
      <c r="D43" s="49"/>
      <c r="E43" s="49"/>
      <c r="F43" s="49"/>
      <c r="G43" s="49"/>
      <c r="H43" s="49"/>
      <c r="I43" s="49"/>
      <c r="J43" s="49"/>
      <c r="K43" s="49"/>
      <c r="L43" s="49"/>
      <c r="M43" s="49"/>
      <c r="N43" s="49"/>
      <c r="O43" s="49"/>
      <c r="P43" s="49"/>
      <c r="Q43" s="49"/>
      <c r="R43" s="49"/>
      <c r="S43" s="49"/>
      <c r="T43" s="49"/>
      <c r="U43" s="49"/>
      <c r="V43" s="49"/>
    </row>
    <row r="44" spans="1:22" x14ac:dyDescent="0.2">
      <c r="A44" s="49" t="s">
        <v>44</v>
      </c>
      <c r="B44" s="49"/>
      <c r="C44" s="49"/>
      <c r="D44" s="49"/>
      <c r="E44" s="49"/>
      <c r="F44" s="49"/>
      <c r="G44" s="49"/>
      <c r="H44" s="49"/>
      <c r="I44" s="49"/>
      <c r="J44" s="49"/>
      <c r="K44" s="49"/>
      <c r="L44" s="49"/>
      <c r="M44" s="49"/>
      <c r="N44" s="49"/>
      <c r="O44" s="49"/>
      <c r="P44" s="49"/>
      <c r="Q44" s="49"/>
      <c r="R44" s="49"/>
      <c r="S44" s="49"/>
      <c r="T44" s="49"/>
      <c r="U44" s="49"/>
      <c r="V44" s="49"/>
    </row>
    <row r="45" spans="1:22" x14ac:dyDescent="0.2">
      <c r="A45" s="49" t="s">
        <v>40</v>
      </c>
      <c r="B45" s="49"/>
      <c r="C45" s="49"/>
      <c r="D45" s="49"/>
      <c r="E45" s="49"/>
      <c r="F45" s="49"/>
      <c r="G45" s="49"/>
      <c r="H45" s="49"/>
      <c r="I45" s="49"/>
      <c r="J45" s="49"/>
      <c r="K45" s="49"/>
      <c r="L45" s="49"/>
      <c r="M45" s="49"/>
      <c r="N45" s="49"/>
      <c r="O45" s="49"/>
      <c r="P45" s="49"/>
      <c r="Q45" s="49"/>
      <c r="R45" s="49"/>
      <c r="S45" s="49"/>
      <c r="T45" s="49"/>
      <c r="U45" s="49"/>
      <c r="V45" s="49"/>
    </row>
    <row r="46" spans="1:22" x14ac:dyDescent="0.2">
      <c r="A46" s="49" t="s">
        <v>37</v>
      </c>
      <c r="B46" s="49"/>
      <c r="C46" s="49"/>
      <c r="D46" s="49"/>
      <c r="E46" s="49"/>
      <c r="F46" s="49"/>
      <c r="G46" s="49"/>
      <c r="H46" s="49"/>
      <c r="I46" s="49"/>
      <c r="J46" s="49"/>
      <c r="K46" s="49"/>
      <c r="L46" s="49"/>
      <c r="M46" s="49"/>
      <c r="N46" s="49"/>
      <c r="O46" s="49"/>
      <c r="P46" s="49"/>
      <c r="Q46" s="49"/>
      <c r="R46" s="49"/>
      <c r="S46" s="49"/>
      <c r="T46" s="49"/>
      <c r="U46" s="49"/>
      <c r="V46" s="49"/>
    </row>
    <row r="47" spans="1:22" x14ac:dyDescent="0.2">
      <c r="A47" s="49" t="s">
        <v>38</v>
      </c>
      <c r="B47" s="49"/>
      <c r="C47" s="49"/>
      <c r="D47" s="49"/>
      <c r="E47" s="49"/>
      <c r="F47" s="49"/>
      <c r="G47" s="49"/>
      <c r="H47" s="49"/>
      <c r="I47" s="49"/>
      <c r="J47" s="49"/>
      <c r="K47" s="49"/>
      <c r="L47" s="49"/>
      <c r="M47" s="49"/>
      <c r="N47" s="49"/>
      <c r="O47" s="49"/>
      <c r="P47" s="49"/>
      <c r="Q47" s="49"/>
      <c r="R47" s="49"/>
      <c r="S47" s="49"/>
      <c r="T47" s="49"/>
      <c r="U47" s="49"/>
      <c r="V47" s="49"/>
    </row>
    <row r="48" spans="1:22" x14ac:dyDescent="0.2">
      <c r="A48" s="49" t="s">
        <v>43</v>
      </c>
      <c r="B48" s="49"/>
      <c r="C48" s="49"/>
      <c r="D48" s="49"/>
      <c r="E48" s="49"/>
      <c r="F48" s="49"/>
      <c r="G48" s="49"/>
      <c r="H48" s="49"/>
      <c r="I48" s="49"/>
      <c r="J48" s="49"/>
      <c r="K48" s="49"/>
      <c r="L48" s="49"/>
      <c r="M48" s="49"/>
      <c r="N48" s="49"/>
      <c r="O48" s="49"/>
      <c r="P48" s="49"/>
      <c r="Q48" s="49"/>
      <c r="R48" s="49"/>
      <c r="S48" s="49"/>
      <c r="T48" s="49"/>
      <c r="U48" s="49"/>
      <c r="V48" s="49"/>
    </row>
    <row r="49" spans="1:22" x14ac:dyDescent="0.2">
      <c r="A49" s="49"/>
      <c r="B49" s="49" t="s">
        <v>6</v>
      </c>
      <c r="C49" s="49"/>
      <c r="D49" s="49"/>
      <c r="E49" s="49"/>
      <c r="F49" s="49"/>
      <c r="G49" s="49"/>
      <c r="H49" s="49"/>
      <c r="I49" s="49"/>
      <c r="J49" s="49"/>
      <c r="K49" s="49"/>
      <c r="L49" s="49"/>
      <c r="M49" s="49"/>
      <c r="N49" s="49"/>
      <c r="O49" s="49"/>
      <c r="P49" s="49"/>
      <c r="Q49" s="49"/>
      <c r="R49" s="49"/>
      <c r="S49" s="49"/>
      <c r="T49" s="49"/>
      <c r="U49" s="49"/>
      <c r="V49" s="49"/>
    </row>
  </sheetData>
  <mergeCells count="10">
    <mergeCell ref="A44:V44"/>
    <mergeCell ref="A1:V1"/>
    <mergeCell ref="A2:V2"/>
    <mergeCell ref="A42:V42"/>
    <mergeCell ref="A43:V43"/>
    <mergeCell ref="A45:V45"/>
    <mergeCell ref="A46:V46"/>
    <mergeCell ref="A47:V47"/>
    <mergeCell ref="A48:V48"/>
    <mergeCell ref="A49:V49"/>
  </mergeCells>
  <pageMargins left="0.7" right="0.7" top="0.75" bottom="0.75" header="0.3" footer="0.3"/>
  <pageSetup paperSize="9" scale="39" orientation="portrait" horizontalDpi="4294967295" verticalDpi="4294967295" r:id="rId1"/>
  <ignoredErrors>
    <ignoredError sqref="F6:T12" unlocked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2025-07-22T07:03:27Z</cp:lastPrinted>
  <dcterms:created xsi:type="dcterms:W3CDTF">2019-07-22T06:02:33Z</dcterms:created>
  <dcterms:modified xsi:type="dcterms:W3CDTF">2025-07-22T07:03:36Z</dcterms:modified>
</cp:coreProperties>
</file>