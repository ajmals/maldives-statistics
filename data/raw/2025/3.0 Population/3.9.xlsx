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2AFF9E72-C9D6-4C87-A754-D50587E946BF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3.9" sheetId="8" r:id="rId1"/>
  </sheets>
  <definedNames>
    <definedName name="_xlnm.Print_Area" localSheetId="0">'3.9'!$A$1:$AE$43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8" l="1"/>
  <c r="F5" i="8"/>
  <c r="G5" i="8"/>
  <c r="I5" i="8"/>
  <c r="J5" i="8"/>
  <c r="K5" i="8"/>
  <c r="M5" i="8"/>
  <c r="N5" i="8"/>
  <c r="O5" i="8"/>
  <c r="D6" i="8"/>
  <c r="H6" i="8"/>
  <c r="L6" i="8"/>
  <c r="D7" i="8"/>
  <c r="H7" i="8"/>
  <c r="L7" i="8"/>
  <c r="E9" i="8"/>
  <c r="F9" i="8"/>
  <c r="G9" i="8"/>
  <c r="I9" i="8"/>
  <c r="J9" i="8"/>
  <c r="K9" i="8"/>
  <c r="M9" i="8"/>
  <c r="M14" i="8" s="1"/>
  <c r="N9" i="8"/>
  <c r="O9" i="8"/>
  <c r="D10" i="8"/>
  <c r="H10" i="8"/>
  <c r="L10" i="8"/>
  <c r="D11" i="8"/>
  <c r="H11" i="8"/>
  <c r="L11" i="8"/>
  <c r="M15" i="8"/>
  <c r="N15" i="8"/>
  <c r="M16" i="8"/>
  <c r="N16" i="8"/>
  <c r="I14" i="8" l="1"/>
  <c r="L15" i="8"/>
  <c r="H15" i="8"/>
  <c r="D5" i="8"/>
  <c r="L16" i="8"/>
  <c r="N14" i="8"/>
  <c r="H5" i="8"/>
  <c r="D9" i="8"/>
  <c r="H16" i="8"/>
  <c r="J14" i="8"/>
  <c r="H9" i="8"/>
  <c r="L5" i="8"/>
  <c r="L9" i="8"/>
  <c r="AD15" i="8"/>
  <c r="AD16" i="8"/>
  <c r="AC15" i="8"/>
  <c r="AC16" i="8"/>
  <c r="V16" i="8"/>
  <c r="U16" i="8"/>
  <c r="R16" i="8"/>
  <c r="Q16" i="8"/>
  <c r="V15" i="8"/>
  <c r="U15" i="8"/>
  <c r="R15" i="8"/>
  <c r="Q15" i="8"/>
  <c r="AB12" i="8"/>
  <c r="X12" i="8"/>
  <c r="P12" i="8"/>
  <c r="AB11" i="8"/>
  <c r="X11" i="8"/>
  <c r="T11" i="8"/>
  <c r="P11" i="8"/>
  <c r="AB10" i="8"/>
  <c r="X10" i="8"/>
  <c r="T10" i="8"/>
  <c r="P10" i="8"/>
  <c r="AD9" i="8"/>
  <c r="AC9" i="8"/>
  <c r="AA9" i="8"/>
  <c r="Z9" i="8"/>
  <c r="Y9" i="8"/>
  <c r="W9" i="8"/>
  <c r="V9" i="8"/>
  <c r="U9" i="8"/>
  <c r="T9" i="8"/>
  <c r="S9" i="8"/>
  <c r="R9" i="8"/>
  <c r="Q9" i="8"/>
  <c r="T8" i="8"/>
  <c r="P8" i="8"/>
  <c r="AB7" i="8"/>
  <c r="X7" i="8"/>
  <c r="T7" i="8"/>
  <c r="P7" i="8"/>
  <c r="AB6" i="8"/>
  <c r="X6" i="8"/>
  <c r="T6" i="8"/>
  <c r="P6" i="8"/>
  <c r="AD5" i="8"/>
  <c r="AC5" i="8"/>
  <c r="AA5" i="8"/>
  <c r="Z5" i="8"/>
  <c r="Y5" i="8"/>
  <c r="W5" i="8"/>
  <c r="V5" i="8"/>
  <c r="U5" i="8"/>
  <c r="S5" i="8"/>
  <c r="R5" i="8"/>
  <c r="Q5" i="8"/>
  <c r="L14" i="8" l="1"/>
  <c r="H14" i="8"/>
  <c r="T15" i="8"/>
  <c r="AX22" i="8"/>
  <c r="X9" i="8"/>
  <c r="Z14" i="8"/>
  <c r="BB22" i="8" s="1"/>
  <c r="T5" i="8"/>
  <c r="T14" i="8" s="1"/>
  <c r="T16" i="8"/>
  <c r="V14" i="8"/>
  <c r="BA22" i="8" s="1"/>
  <c r="AX21" i="8"/>
  <c r="P15" i="8"/>
  <c r="AB16" i="8"/>
  <c r="Q14" i="8"/>
  <c r="AZ21" i="8" s="1"/>
  <c r="AY22" i="8"/>
  <c r="AB15" i="8"/>
  <c r="P5" i="8"/>
  <c r="AC14" i="8"/>
  <c r="BC21" i="8" s="1"/>
  <c r="P9" i="8"/>
  <c r="R14" i="8"/>
  <c r="AZ22" i="8" s="1"/>
  <c r="X5" i="8"/>
  <c r="P16" i="8"/>
  <c r="AB5" i="8"/>
  <c r="U14" i="8"/>
  <c r="BA21" i="8" s="1"/>
  <c r="AD14" i="8"/>
  <c r="BC22" i="8" s="1"/>
  <c r="Y14" i="8"/>
  <c r="BB21" i="8" s="1"/>
  <c r="AY21" i="8"/>
  <c r="AB9" i="8"/>
  <c r="X14" i="8" l="1"/>
  <c r="AB14" i="8"/>
  <c r="P14" i="8"/>
</calcChain>
</file>

<file path=xl/sharedStrings.xml><?xml version="1.0" encoding="utf-8"?>
<sst xmlns="http://schemas.openxmlformats.org/spreadsheetml/2006/main" count="93" uniqueCount="29">
  <si>
    <t>Republic</t>
  </si>
  <si>
    <t>-</t>
  </si>
  <si>
    <t>Male'</t>
  </si>
  <si>
    <t>Atolls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</si>
  <si>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</si>
  <si>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 xml:space="preserve">މިނިސްޓްރީ އޮފް ހެލްތު </t>
  </si>
  <si>
    <t>Particulars</t>
  </si>
  <si>
    <t>clIBcfwt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</si>
  <si>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</si>
  <si>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</si>
  <si>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1- / cniduk ibitiriduriaivcnwfua   </t>
  </si>
  <si>
    <t xml:space="preserve">     Male</t>
  </si>
  <si>
    <t xml:space="preserve">cnehirif     </t>
  </si>
  <si>
    <t xml:space="preserve">     Female</t>
  </si>
  <si>
    <t xml:space="preserve">cnehcnwa     </t>
  </si>
  <si>
    <t>Infant Deaths</t>
  </si>
  <si>
    <t xml:space="preserve">cnidukwDukivurwm   </t>
  </si>
  <si>
    <t xml:space="preserve">  -uriaivcnwfua ) cTErWvurwm cnidukwDuk   </t>
  </si>
  <si>
    <t xml:space="preserve">( cSokctwbcsin cSwkwjcauk / 000 emcnok iruhirid   </t>
  </si>
  <si>
    <t>Not stated</t>
  </si>
  <si>
    <t>Infant Mortality Rate  (IMR)</t>
  </si>
  <si>
    <t>('000) Live Births</t>
  </si>
  <si>
    <r>
      <rPr>
        <sz val="2"/>
        <rFont val="Faruma"/>
      </rPr>
      <t>ނ</t>
    </r>
    <r>
      <rPr>
        <sz val="10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</si>
  <si>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r>
      <t>2021</t>
    </r>
    <r>
      <rPr>
        <b/>
        <vertAlign val="superscript"/>
        <sz val="9"/>
        <rFont val="Calibri"/>
        <family val="2"/>
      </rPr>
      <t>1_/</t>
    </r>
  </si>
  <si>
    <t xml:space="preserve">Note:  1_/ Data includes Maldivians and foreigners, but excluded deaths occurred abroad </t>
  </si>
  <si>
    <t>ނޯޓް: ޖުމްލައިގެތެރޭގައި ރާއްޖޭގައި އުފަންވި ދިވެހީން އަދި ބިދޭސީން ހިމެނޭނެއެވެ. ނަމަވެސް ރާއްޖެއިން ބޭރުގައި އުފަންވި އަދި މަރުވި  ކުދިން ނުހިމެނޭނެއެވެ.</t>
  </si>
  <si>
    <t>2021 figures are revised and  tentative and is expected to change</t>
  </si>
  <si>
    <t>2021-2015 ,cnidukwDukivurwm iaWncnidukwDuk ibitirid uriaivcnwfua  : 3.9  ulwvWt</t>
  </si>
  <si>
    <t>Table 3.9 :  LIVE BIRTHS AND INFANT DEATHS, 2015 - 2021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</si>
</sst>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3" formatCode="_(* #,##0_);_(* \(#,##0\);_(* &quot;-&quot;??_);_(@_)"/>
    <numFmt numFmtId="176" formatCode="_(* #,##0.0_);_(* \(#,##0.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sz val="8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b/>
      <sz val="10"/>
      <name val="Calibri"/>
      <family val="2"/>
      <scheme val="minor"/>
    </font>
    <font>
      <sz val="11"/>
      <name val="Faruma"/>
    </font>
    <font>
      <b/>
      <i/>
      <sz val="10"/>
      <name val="Calibri"/>
      <family val="2"/>
    </font>
    <font>
      <sz val="10"/>
      <name val="Faruma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vertAlign val="superscript"/>
      <sz val="9"/>
      <name val="Calibri"/>
      <family val="2"/>
    </font>
    <font>
      <i/>
      <sz val="10"/>
      <name val="Calibri"/>
      <family val="2"/>
      <scheme val="minor"/>
    </font>
    <font>
      <sz val="2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</borders>
  <cellStyleXfs count="27">
    <xf numFmtId="0" fontId="0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8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11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09">
    <xf numFmtId="0" fontId="0" fillId="0" borderId="0" xfId="0"/>
    <xf numFmtId="167" fontId="2" fillId="3" borderId="0" xfId="11" applyFill="1"/>
    <xf numFmtId="167" fontId="14" fillId="3" borderId="0" xfId="11" applyFont="1" applyFill="1"/>
    <xf numFmtId="167" fontId="22" fillId="2" borderId="0" xfId="10" applyFont="1" applyFill="1" applyAlignment="1" applyProtection="1">
      <alignment horizontal="right" vertical="center"/>
      <protection hidden="1"/>
    </xf>
    <xf numFmtId="3" fontId="26" fillId="3" borderId="0" xfId="10" applyNumberFormat="1" applyFont="1" applyFill="1" applyAlignment="1">
      <alignment horizontal="right" vertical="center"/>
    </xf>
    <xf numFmtId="3" fontId="27" fillId="3" borderId="0" xfId="10" applyNumberFormat="1" applyFont="1" applyFill="1" applyAlignment="1">
      <alignment horizontal="right" vertical="center"/>
    </xf>
    <xf numFmtId="1" fontId="27" fillId="3" borderId="0" xfId="10" applyNumberFormat="1" applyFont="1" applyFill="1" applyAlignment="1">
      <alignment horizontal="right" vertical="center"/>
    </xf>
    <xf numFmtId="3" fontId="27" fillId="3" borderId="0" xfId="10" applyNumberFormat="1" applyFont="1" applyFill="1" applyAlignment="1" applyProtection="1">
      <alignment horizontal="right" vertical="center"/>
      <protection locked="0"/>
    </xf>
    <xf numFmtId="1" fontId="26" fillId="3" borderId="0" xfId="10" applyNumberFormat="1" applyFont="1" applyFill="1" applyAlignment="1">
      <alignment horizontal="right" vertical="center"/>
    </xf>
    <xf numFmtId="167" fontId="11" fillId="3" borderId="0" xfId="11" applyFont="1" applyFill="1"/>
    <xf numFmtId="167" fontId="19" fillId="3" borderId="0" xfId="11" applyFont="1" applyFill="1" applyAlignment="1">
      <alignment horizontal="center" vertical="center"/>
    </xf>
    <xf numFmtId="167" fontId="19" fillId="3" borderId="5" xfId="11" applyFont="1" applyFill="1" applyBorder="1" applyAlignment="1">
      <alignment horizontal="center" vertical="center"/>
    </xf>
    <xf numFmtId="167" fontId="5" fillId="3" borderId="0" xfId="11" applyFont="1" applyFill="1" applyAlignment="1">
      <alignment vertical="center"/>
    </xf>
    <xf numFmtId="167" fontId="19" fillId="3" borderId="1" xfId="11" applyFont="1" applyFill="1" applyBorder="1" applyAlignment="1">
      <alignment horizontal="right" vertical="top"/>
    </xf>
    <xf numFmtId="167" fontId="19" fillId="3" borderId="11" xfId="11" applyFont="1" applyFill="1" applyBorder="1" applyAlignment="1">
      <alignment horizontal="right" vertical="center"/>
    </xf>
    <xf numFmtId="167" fontId="19" fillId="3" borderId="12" xfId="11" applyFont="1" applyFill="1" applyBorder="1" applyAlignment="1">
      <alignment horizontal="right" vertical="center"/>
    </xf>
    <xf numFmtId="1" fontId="13" fillId="3" borderId="0" xfId="11" applyNumberFormat="1" applyFont="1" applyFill="1" applyAlignment="1">
      <alignment vertical="center"/>
    </xf>
    <xf numFmtId="3" fontId="19" fillId="3" borderId="0" xfId="0" applyNumberFormat="1" applyFont="1" applyFill="1" applyAlignment="1">
      <alignment horizontal="right" vertical="center"/>
    </xf>
    <xf numFmtId="3" fontId="13" fillId="3" borderId="0" xfId="0" applyNumberFormat="1" applyFont="1" applyFill="1" applyAlignment="1">
      <alignment horizontal="right" vertical="center"/>
    </xf>
    <xf numFmtId="3" fontId="13" fillId="3" borderId="3" xfId="0" applyNumberFormat="1" applyFont="1" applyFill="1" applyBorder="1" applyAlignment="1">
      <alignment horizontal="right" vertical="center"/>
    </xf>
    <xf numFmtId="1" fontId="5" fillId="3" borderId="0" xfId="11" applyNumberFormat="1" applyFont="1" applyFill="1" applyAlignment="1">
      <alignment horizontal="center" vertical="center"/>
    </xf>
    <xf numFmtId="1" fontId="14" fillId="3" borderId="0" xfId="11" applyNumberFormat="1" applyFont="1" applyFill="1" applyAlignment="1">
      <alignment horizontal="left" vertical="center"/>
    </xf>
    <xf numFmtId="173" fontId="20" fillId="3" borderId="0" xfId="5" applyNumberFormat="1" applyFont="1" applyFill="1" applyAlignment="1">
      <alignment horizontal="right" vertical="center"/>
    </xf>
    <xf numFmtId="173" fontId="14" fillId="3" borderId="0" xfId="5" applyNumberFormat="1" applyFont="1" applyFill="1" applyAlignment="1">
      <alignment horizontal="right" vertical="center"/>
    </xf>
    <xf numFmtId="3" fontId="14" fillId="3" borderId="0" xfId="10" applyNumberFormat="1" applyFont="1" applyFill="1" applyAlignment="1">
      <alignment horizontal="right" vertical="center"/>
    </xf>
    <xf numFmtId="3" fontId="14" fillId="3" borderId="3" xfId="10" applyNumberFormat="1" applyFont="1" applyFill="1" applyBorder="1" applyAlignment="1">
      <alignment horizontal="right" vertical="center"/>
    </xf>
    <xf numFmtId="1" fontId="11" fillId="3" borderId="0" xfId="11" applyNumberFormat="1" applyFont="1" applyFill="1" applyAlignment="1">
      <alignment horizontal="center" vertical="center"/>
    </xf>
    <xf numFmtId="3" fontId="19" fillId="3" borderId="0" xfId="10" applyNumberFormat="1" applyFont="1" applyFill="1" applyAlignment="1">
      <alignment horizontal="right" vertical="center"/>
    </xf>
    <xf numFmtId="3" fontId="13" fillId="3" borderId="0" xfId="10" applyNumberFormat="1" applyFont="1" applyFill="1" applyAlignment="1">
      <alignment horizontal="right" vertical="center"/>
    </xf>
    <xf numFmtId="3" fontId="13" fillId="3" borderId="3" xfId="10" applyNumberFormat="1" applyFont="1" applyFill="1" applyBorder="1" applyAlignment="1">
      <alignment horizontal="right" vertical="center"/>
    </xf>
    <xf numFmtId="3" fontId="20" fillId="3" borderId="0" xfId="10" applyNumberFormat="1" applyFont="1" applyFill="1" applyAlignment="1" applyProtection="1">
      <alignment horizontal="right" vertical="center"/>
      <protection locked="0"/>
    </xf>
    <xf numFmtId="3" fontId="14" fillId="3" borderId="0" xfId="10" applyNumberFormat="1" applyFont="1" applyFill="1" applyAlignment="1" applyProtection="1">
      <alignment horizontal="right" vertical="center"/>
      <protection locked="0"/>
    </xf>
    <xf numFmtId="3" fontId="14" fillId="3" borderId="3" xfId="10" applyNumberFormat="1" applyFont="1" applyFill="1" applyBorder="1" applyAlignment="1" applyProtection="1">
      <alignment horizontal="right" vertical="center"/>
      <protection locked="0"/>
    </xf>
    <xf numFmtId="1" fontId="19" fillId="3" borderId="0" xfId="10" applyNumberFormat="1" applyFont="1" applyFill="1" applyAlignment="1">
      <alignment horizontal="right" vertical="center"/>
    </xf>
    <xf numFmtId="1" fontId="13" fillId="3" borderId="0" xfId="10" applyNumberFormat="1" applyFont="1" applyFill="1" applyAlignment="1">
      <alignment horizontal="right" vertical="center"/>
    </xf>
    <xf numFmtId="1" fontId="13" fillId="3" borderId="3" xfId="10" applyNumberFormat="1" applyFont="1" applyFill="1" applyBorder="1" applyAlignment="1">
      <alignment horizontal="right" vertical="center"/>
    </xf>
    <xf numFmtId="1" fontId="13" fillId="3" borderId="0" xfId="11" applyNumberFormat="1" applyFont="1" applyFill="1" applyAlignment="1">
      <alignment horizontal="left" vertical="center"/>
    </xf>
    <xf numFmtId="49" fontId="13" fillId="3" borderId="0" xfId="10" applyNumberFormat="1" applyFont="1" applyFill="1" applyAlignment="1">
      <alignment horizontal="right" vertical="center"/>
    </xf>
    <xf numFmtId="1" fontId="20" fillId="3" borderId="0" xfId="10" applyNumberFormat="1" applyFont="1" applyFill="1" applyAlignment="1">
      <alignment horizontal="right" vertical="center"/>
    </xf>
    <xf numFmtId="49" fontId="14" fillId="3" borderId="0" xfId="10" applyNumberFormat="1" applyFont="1" applyFill="1" applyAlignment="1">
      <alignment horizontal="right" vertical="center"/>
    </xf>
    <xf numFmtId="1" fontId="14" fillId="3" borderId="0" xfId="10" applyNumberFormat="1" applyFont="1" applyFill="1" applyAlignment="1">
      <alignment horizontal="right" vertical="center"/>
    </xf>
    <xf numFmtId="1" fontId="14" fillId="3" borderId="3" xfId="10" applyNumberFormat="1" applyFont="1" applyFill="1" applyBorder="1" applyAlignment="1">
      <alignment horizontal="right" vertical="center"/>
    </xf>
    <xf numFmtId="1" fontId="16" fillId="3" borderId="0" xfId="10" applyNumberFormat="1" applyFont="1" applyFill="1" applyAlignment="1">
      <alignment horizontal="right" vertical="center"/>
    </xf>
    <xf numFmtId="1" fontId="14" fillId="3" borderId="1" xfId="11" applyNumberFormat="1" applyFont="1" applyFill="1" applyBorder="1" applyAlignment="1">
      <alignment horizontal="left" vertical="center"/>
    </xf>
    <xf numFmtId="1" fontId="20" fillId="3" borderId="1" xfId="10" applyNumberFormat="1" applyFont="1" applyFill="1" applyBorder="1" applyAlignment="1">
      <alignment horizontal="right" vertical="center"/>
    </xf>
    <xf numFmtId="49" fontId="14" fillId="3" borderId="1" xfId="10" applyNumberFormat="1" applyFont="1" applyFill="1" applyBorder="1" applyAlignment="1">
      <alignment horizontal="right" vertical="center"/>
    </xf>
    <xf numFmtId="1" fontId="14" fillId="3" borderId="1" xfId="10" applyNumberFormat="1" applyFont="1" applyFill="1" applyBorder="1" applyAlignment="1">
      <alignment horizontal="right" vertical="center"/>
    </xf>
    <xf numFmtId="1" fontId="14" fillId="3" borderId="4" xfId="10" applyNumberFormat="1" applyFont="1" applyFill="1" applyBorder="1" applyAlignment="1">
      <alignment horizontal="right" vertical="center"/>
    </xf>
    <xf numFmtId="167" fontId="10" fillId="3" borderId="0" xfId="10" applyFont="1" applyFill="1" applyAlignment="1" applyProtection="1">
      <alignment vertical="center"/>
      <protection hidden="1"/>
    </xf>
    <xf numFmtId="167" fontId="7" fillId="3" borderId="0" xfId="11" applyFont="1" applyFill="1" applyAlignment="1">
      <alignment vertical="center"/>
    </xf>
    <xf numFmtId="167" fontId="8" fillId="3" borderId="0" xfId="11" applyFont="1" applyFill="1" applyAlignment="1">
      <alignment vertical="center"/>
    </xf>
    <xf numFmtId="167" fontId="15" fillId="3" borderId="0" xfId="11" applyFont="1" applyFill="1" applyAlignment="1">
      <alignment vertical="center"/>
    </xf>
    <xf numFmtId="167" fontId="11" fillId="3" borderId="0" xfId="11" applyFont="1" applyFill="1" applyAlignment="1">
      <alignment vertical="center"/>
    </xf>
    <xf numFmtId="167" fontId="9" fillId="3" borderId="0" xfId="11" applyFont="1" applyFill="1"/>
    <xf numFmtId="0" fontId="11" fillId="3" borderId="0" xfId="12" applyFill="1"/>
    <xf numFmtId="1" fontId="11" fillId="3" borderId="0" xfId="11" applyNumberFormat="1" applyFont="1" applyFill="1"/>
    <xf numFmtId="3" fontId="21" fillId="3" borderId="0" xfId="0" applyNumberFormat="1" applyFont="1" applyFill="1" applyAlignment="1">
      <alignment horizontal="right" vertical="center"/>
    </xf>
    <xf numFmtId="3" fontId="21" fillId="3" borderId="3" xfId="0" applyNumberFormat="1" applyFont="1" applyFill="1" applyBorder="1" applyAlignment="1">
      <alignment horizontal="right" vertical="center"/>
    </xf>
    <xf numFmtId="1" fontId="29" fillId="3" borderId="0" xfId="10" applyNumberFormat="1" applyFont="1" applyFill="1" applyAlignment="1">
      <alignment horizontal="right" vertical="center"/>
    </xf>
    <xf numFmtId="1" fontId="30" fillId="3" borderId="0" xfId="10" applyNumberFormat="1" applyFont="1" applyFill="1" applyAlignment="1">
      <alignment horizontal="right" vertical="center"/>
    </xf>
    <xf numFmtId="1" fontId="30" fillId="3" borderId="1" xfId="10" applyNumberFormat="1" applyFont="1" applyFill="1" applyBorder="1" applyAlignment="1">
      <alignment horizontal="right" vertical="center"/>
    </xf>
    <xf numFmtId="1" fontId="6" fillId="3" borderId="0" xfId="10" applyNumberFormat="1" applyFont="1" applyFill="1" applyAlignment="1">
      <alignment vertical="center"/>
    </xf>
    <xf numFmtId="3" fontId="28" fillId="3" borderId="3" xfId="10" applyNumberFormat="1" applyFont="1" applyFill="1" applyBorder="1" applyAlignment="1">
      <alignment horizontal="right" vertical="center"/>
    </xf>
    <xf numFmtId="176" fontId="16" fillId="3" borderId="3" xfId="15" applyNumberFormat="1" applyFont="1" applyFill="1" applyBorder="1" applyAlignment="1">
      <alignment horizontal="right" vertical="center"/>
    </xf>
    <xf numFmtId="176" fontId="16" fillId="3" borderId="0" xfId="15" applyNumberFormat="1" applyFont="1" applyFill="1" applyBorder="1" applyAlignment="1">
      <alignment horizontal="right" vertical="center"/>
    </xf>
    <xf numFmtId="176" fontId="16" fillId="3" borderId="7" xfId="15" applyNumberFormat="1" applyFont="1" applyFill="1" applyBorder="1" applyAlignment="1">
      <alignment horizontal="right" vertical="center"/>
    </xf>
    <xf numFmtId="1" fontId="17" fillId="3" borderId="0" xfId="15" applyNumberFormat="1" applyFont="1" applyFill="1" applyBorder="1" applyAlignment="1">
      <alignment horizontal="right" vertical="center"/>
    </xf>
    <xf numFmtId="3" fontId="17" fillId="3" borderId="3" xfId="15" applyNumberFormat="1" applyFont="1" applyFill="1" applyBorder="1" applyAlignment="1">
      <alignment horizontal="right" vertical="center"/>
    </xf>
    <xf numFmtId="3" fontId="17" fillId="3" borderId="0" xfId="15" applyNumberFormat="1" applyFont="1" applyFill="1" applyBorder="1" applyAlignment="1">
      <alignment horizontal="right" vertical="center"/>
    </xf>
    <xf numFmtId="3" fontId="21" fillId="3" borderId="3" xfId="10" applyNumberFormat="1" applyFont="1" applyFill="1" applyBorder="1" applyAlignment="1">
      <alignment horizontal="right" vertical="center"/>
    </xf>
    <xf numFmtId="3" fontId="21" fillId="3" borderId="0" xfId="10" applyNumberFormat="1" applyFont="1" applyFill="1" applyAlignment="1">
      <alignment horizontal="right" vertical="center"/>
    </xf>
    <xf numFmtId="3" fontId="28" fillId="3" borderId="3" xfId="10" applyNumberFormat="1" applyFont="1" applyFill="1" applyBorder="1" applyAlignment="1" applyProtection="1">
      <alignment horizontal="right" vertical="center"/>
      <protection locked="0"/>
    </xf>
    <xf numFmtId="173" fontId="17" fillId="3" borderId="0" xfId="15" applyNumberFormat="1" applyFont="1" applyFill="1" applyBorder="1" applyAlignment="1">
      <alignment horizontal="right" vertical="center"/>
    </xf>
    <xf numFmtId="1" fontId="17" fillId="3" borderId="7" xfId="15" applyNumberFormat="1" applyFont="1" applyFill="1" applyBorder="1" applyAlignment="1">
      <alignment horizontal="right" vertical="center"/>
    </xf>
    <xf numFmtId="1" fontId="21" fillId="3" borderId="3" xfId="10" applyNumberFormat="1" applyFont="1" applyFill="1" applyBorder="1" applyAlignment="1">
      <alignment horizontal="right" vertical="center"/>
    </xf>
    <xf numFmtId="1" fontId="21" fillId="3" borderId="0" xfId="10" applyNumberFormat="1" applyFont="1" applyFill="1" applyAlignment="1">
      <alignment horizontal="right" vertical="center"/>
    </xf>
    <xf numFmtId="1" fontId="28" fillId="3" borderId="3" xfId="10" applyNumberFormat="1" applyFont="1" applyFill="1" applyBorder="1" applyAlignment="1">
      <alignment horizontal="right" vertical="center"/>
    </xf>
    <xf numFmtId="1" fontId="28" fillId="3" borderId="0" xfId="10" applyNumberFormat="1" applyFont="1" applyFill="1" applyAlignment="1">
      <alignment horizontal="right" vertical="center"/>
    </xf>
    <xf numFmtId="1" fontId="28" fillId="3" borderId="4" xfId="10" applyNumberFormat="1" applyFont="1" applyFill="1" applyBorder="1" applyAlignment="1">
      <alignment horizontal="right" vertical="center"/>
    </xf>
    <xf numFmtId="1" fontId="28" fillId="3" borderId="1" xfId="10" applyNumberFormat="1" applyFont="1" applyFill="1" applyBorder="1" applyAlignment="1">
      <alignment horizontal="right" vertical="center"/>
    </xf>
    <xf numFmtId="176" fontId="16" fillId="3" borderId="10" xfId="15" applyNumberFormat="1" applyFont="1" applyFill="1" applyBorder="1" applyAlignment="1">
      <alignment horizontal="right" vertical="center"/>
    </xf>
    <xf numFmtId="176" fontId="16" fillId="3" borderId="1" xfId="15" applyNumberFormat="1" applyFont="1" applyFill="1" applyBorder="1" applyAlignment="1">
      <alignment horizontal="right" vertical="center"/>
    </xf>
    <xf numFmtId="3" fontId="28" fillId="3" borderId="0" xfId="10" applyNumberFormat="1" applyFont="1" applyFill="1" applyAlignment="1">
      <alignment horizontal="right" vertical="center"/>
    </xf>
    <xf numFmtId="3" fontId="28" fillId="3" borderId="0" xfId="10" applyNumberFormat="1" applyFont="1" applyFill="1" applyAlignment="1" applyProtection="1">
      <alignment horizontal="right" vertical="center"/>
      <protection locked="0"/>
    </xf>
    <xf numFmtId="1" fontId="13" fillId="3" borderId="0" xfId="11" applyNumberFormat="1" applyFont="1" applyFill="1" applyAlignment="1">
      <alignment horizontal="left" vertical="center" indent="2"/>
    </xf>
    <xf numFmtId="167" fontId="12" fillId="3" borderId="0" xfId="10" applyFont="1" applyFill="1" applyAlignment="1">
      <alignment vertical="center"/>
    </xf>
    <xf numFmtId="167" fontId="32" fillId="3" borderId="0" xfId="10" applyFont="1" applyFill="1" applyAlignment="1">
      <alignment horizontal="left" vertical="center" indent="4"/>
    </xf>
    <xf numFmtId="167" fontId="12" fillId="3" borderId="0" xfId="0" applyNumberFormat="1" applyFont="1" applyFill="1" applyAlignment="1">
      <alignment horizontal="left" vertical="center"/>
    </xf>
    <xf numFmtId="167" fontId="24" fillId="3" borderId="0" xfId="10" applyFont="1" applyFill="1" applyAlignment="1" applyProtection="1">
      <alignment horizontal="right" vertical="center"/>
      <protection hidden="1"/>
    </xf>
    <xf numFmtId="167" fontId="24" fillId="2" borderId="0" xfId="10" applyFont="1" applyFill="1" applyAlignment="1" applyProtection="1">
      <alignment horizontal="right" vertical="center" indent="1"/>
      <protection hidden="1"/>
    </xf>
    <xf numFmtId="167" fontId="19" fillId="3" borderId="8" xfId="11" applyFont="1" applyFill="1" applyBorder="1" applyAlignment="1">
      <alignment horizontal="center" vertical="center"/>
    </xf>
    <xf numFmtId="167" fontId="19" fillId="3" borderId="5" xfId="11" applyFont="1" applyFill="1" applyBorder="1" applyAlignment="1">
      <alignment horizontal="center" vertical="center"/>
    </xf>
    <xf numFmtId="167" fontId="29" fillId="3" borderId="0" xfId="10" applyFont="1" applyFill="1" applyAlignment="1">
      <alignment horizontal="right" vertical="center"/>
    </xf>
    <xf numFmtId="167" fontId="29" fillId="3" borderId="1" xfId="10" applyFont="1" applyFill="1" applyBorder="1" applyAlignment="1">
      <alignment horizontal="right" vertical="center"/>
    </xf>
    <xf numFmtId="1" fontId="26" fillId="3" borderId="0" xfId="10" applyNumberFormat="1" applyFont="1" applyFill="1" applyAlignment="1">
      <alignment horizontal="center" vertical="center"/>
    </xf>
    <xf numFmtId="167" fontId="29" fillId="3" borderId="0" xfId="10" applyFont="1" applyFill="1" applyAlignment="1">
      <alignment horizontal="center" vertical="center" wrapText="1"/>
    </xf>
    <xf numFmtId="167" fontId="4" fillId="3" borderId="1" xfId="11" applyFont="1" applyFill="1" applyBorder="1" applyAlignment="1">
      <alignment horizontal="center" vertical="center"/>
    </xf>
    <xf numFmtId="167" fontId="13" fillId="3" borderId="0" xfId="11" applyFont="1" applyFill="1" applyAlignment="1">
      <alignment horizontal="left" vertical="center"/>
    </xf>
    <xf numFmtId="167" fontId="13" fillId="3" borderId="1" xfId="11" applyFont="1" applyFill="1" applyBorder="1" applyAlignment="1">
      <alignment horizontal="left" vertical="center"/>
    </xf>
    <xf numFmtId="167" fontId="19" fillId="3" borderId="9" xfId="11" applyFont="1" applyFill="1" applyBorder="1" applyAlignment="1">
      <alignment horizontal="center" vertical="center"/>
    </xf>
    <xf numFmtId="3" fontId="21" fillId="3" borderId="6" xfId="0" applyNumberFormat="1" applyFont="1" applyFill="1" applyBorder="1" applyAlignment="1">
      <alignment horizontal="right" vertical="center"/>
    </xf>
    <xf numFmtId="3" fontId="21" fillId="3" borderId="2" xfId="0" applyNumberFormat="1" applyFont="1" applyFill="1" applyBorder="1" applyAlignment="1">
      <alignment horizontal="right" vertical="center"/>
    </xf>
    <xf numFmtId="3" fontId="28" fillId="3" borderId="0" xfId="10" applyNumberFormat="1" applyFont="1" applyFill="1" applyBorder="1" applyAlignment="1">
      <alignment horizontal="right" vertical="center"/>
    </xf>
    <xf numFmtId="3" fontId="21" fillId="3" borderId="0" xfId="10" applyNumberFormat="1" applyFont="1" applyFill="1" applyBorder="1" applyAlignment="1">
      <alignment horizontal="right" vertical="center"/>
    </xf>
    <xf numFmtId="3" fontId="28" fillId="3" borderId="0" xfId="10" applyNumberFormat="1" applyFont="1" applyFill="1" applyBorder="1" applyAlignment="1" applyProtection="1">
      <alignment horizontal="right" vertical="center"/>
      <protection locked="0"/>
    </xf>
    <xf numFmtId="1" fontId="21" fillId="3" borderId="0" xfId="10" applyNumberFormat="1" applyFont="1" applyFill="1" applyBorder="1" applyAlignment="1">
      <alignment horizontal="right" vertical="center"/>
    </xf>
    <xf numFmtId="167" fontId="19" fillId="3" borderId="15" xfId="11" applyFont="1" applyFill="1" applyBorder="1" applyAlignment="1">
      <alignment horizontal="right" vertical="center"/>
    </xf>
    <xf numFmtId="167" fontId="19" fillId="3" borderId="13" xfId="11" applyFont="1" applyFill="1" applyBorder="1" applyAlignment="1">
      <alignment horizontal="right" vertical="center"/>
    </xf>
    <xf numFmtId="167" fontId="19" fillId="3" borderId="14" xfId="11" applyFont="1" applyFill="1" applyBorder="1" applyAlignment="1">
      <alignment horizontal="right" vertical="center"/>
    </xf>
  </cellXfs>
  <cellStyles count="27">
    <cellStyle name="1" xfId="16" xr:uid="{00000000-0005-0000-0000-000000000000}"/>
    <cellStyle name="Comma" xfId="15" builtinId="3"/>
    <cellStyle name="Comma 2" xfId="14" xr:uid="{00000000-0005-0000-0000-000002000000}"/>
    <cellStyle name="Comma 2 2" xfId="25" xr:uid="{00000000-0005-0000-0000-000003000000}"/>
    <cellStyle name="Comma 3" xfId="5" xr:uid="{00000000-0005-0000-0000-000004000000}"/>
    <cellStyle name="Comma 3 2" xfId="18" xr:uid="{00000000-0005-0000-0000-000005000000}"/>
    <cellStyle name="Comma 3 3" xfId="26" xr:uid="{00000000-0005-0000-0000-000006000000}"/>
    <cellStyle name="Comma 4" xfId="3" xr:uid="{00000000-0005-0000-0000-000007000000}"/>
    <cellStyle name="Comma 4 2" xfId="21" xr:uid="{00000000-0005-0000-0000-000008000000}"/>
    <cellStyle name="Comma 7" xfId="17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2" xr:uid="{00000000-0005-0000-0000-000010000000}"/>
    <cellStyle name="Normal 20" xfId="2" xr:uid="{00000000-0005-0000-0000-000011000000}"/>
    <cellStyle name="Normal 20 2" xfId="20" xr:uid="{00000000-0005-0000-0000-000012000000}"/>
    <cellStyle name="Normal 3" xfId="13" xr:uid="{00000000-0005-0000-0000-000013000000}"/>
    <cellStyle name="Normal 32" xfId="7" xr:uid="{00000000-0005-0000-0000-000014000000}"/>
    <cellStyle name="Normal 32 2" xfId="23" xr:uid="{00000000-0005-0000-0000-000015000000}"/>
    <cellStyle name="Normal 4" xfId="10" xr:uid="{00000000-0005-0000-0000-000016000000}"/>
    <cellStyle name="Normal 44" xfId="8" xr:uid="{00000000-0005-0000-0000-000017000000}"/>
    <cellStyle name="Normal 44 2" xfId="24" xr:uid="{00000000-0005-0000-0000-000018000000}"/>
    <cellStyle name="Normal 48" xfId="9" xr:uid="{00000000-0005-0000-0000-000019000000}"/>
    <cellStyle name="Normal 5" xfId="1" xr:uid="{00000000-0005-0000-0000-00001A000000}"/>
    <cellStyle name="Normal 5 2" xfId="19" xr:uid="{00000000-0005-0000-0000-00001B000000}"/>
    <cellStyle name="Normal_fig7" xfId="12" xr:uid="{00000000-0005-0000-0000-00001E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45117971364692E-2"/>
          <c:y val="0.14806549537179739"/>
          <c:w val="0.93207094822359482"/>
          <c:h val="0.72861901159152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'3.9'!$AV$21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numRef>
              <c:f>'3.9'!$AW$20:$BC$20</c:f>
              <c:numCache>
                <c:formatCode>General_)</c:formatCode>
                <c:ptCount val="7"/>
                <c:pt idx="0" formatCode="General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'3.9'!$AW$21:$BC$21</c:f>
              <c:numCache>
                <c:formatCode>0</c:formatCode>
                <c:ptCount val="7"/>
                <c:pt idx="0">
                  <c:v>9.7949886104783594</c:v>
                </c:pt>
                <c:pt idx="1">
                  <c:v>8.2063305978898011</c:v>
                </c:pt>
                <c:pt idx="2">
                  <c:v>10.526315789473683</c:v>
                </c:pt>
                <c:pt idx="3">
                  <c:v>7.5029308323563892</c:v>
                </c:pt>
                <c:pt idx="4">
                  <c:v>5.6417489421720735</c:v>
                </c:pt>
                <c:pt idx="5">
                  <c:v>11.424944462075532</c:v>
                </c:pt>
                <c:pt idx="6">
                  <c:v>14.102162331557505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2-430D-A178-ABC8C9D55230}"/>
            </c:ext>
          </c:extLst>
        </c:ser>
        <c:ser>
          <c:idx val="1"/>
          <c:order val="1"/>
          <c:tx>
            <c:strRef>
              <c:f>'3.9'!$AV$22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009999"/>
            </a:solidFill>
          </c:spPr>
          <c:invertIfNegative val="1"/>
          <c:cat>
            <c:numRef>
              <c:f>'3.9'!$AW$20:$BC$20</c:f>
              <c:numCache>
                <c:formatCode>General_)</c:formatCode>
                <c:ptCount val="7"/>
                <c:pt idx="0" formatCode="General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'3.9'!$AW$22:$BC$22</c:f>
              <c:numCache>
                <c:formatCode>0</c:formatCode>
                <c:ptCount val="7"/>
                <c:pt idx="0">
                  <c:v>5.84795321637427</c:v>
                </c:pt>
                <c:pt idx="1">
                  <c:v>6.5207265952491849</c:v>
                </c:pt>
                <c:pt idx="2">
                  <c:v>6.381039197812215</c:v>
                </c:pt>
                <c:pt idx="3">
                  <c:v>5.8852378616969103</c:v>
                </c:pt>
                <c:pt idx="4">
                  <c:v>4.3431053203040175</c:v>
                </c:pt>
                <c:pt idx="5">
                  <c:v>2.2816166883963493</c:v>
                </c:pt>
                <c:pt idx="6">
                  <c:v>4.7741461623209691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0022-430D-A178-ABC8C9D55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496720832"/>
        <c:axId val="497990808"/>
      </c:barChart>
      <c:catAx>
        <c:axId val="496720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79908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7990808"/>
        <c:scaling>
          <c:orientation val="minMax"/>
        </c:scaling>
        <c:delete val="0"/>
        <c:axPos val="l"/>
        <c:majorGridlines>
          <c:spPr>
            <a:ln>
              <a:solidFill>
                <a:srgbClr val="EDDBC9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Per '000 Live Births</a:t>
                </a:r>
              </a:p>
            </c:rich>
          </c:tx>
          <c:layout>
            <c:manualLayout>
              <c:xMode val="edge"/>
              <c:yMode val="edge"/>
              <c:x val="5.5661626367500524E-3"/>
              <c:y val="5.9941528661230509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832"/>
        <c:crosses val="autoZero"/>
        <c:crossBetween val="between"/>
        <c:majorUnit val="4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9073798495276484"/>
          <c:y val="0.20429995462893666"/>
          <c:w val="0.15962417343074728"/>
          <c:h val="8.6840499273348623E-2"/>
        </c:manualLayout>
      </c:layout>
      <c:overlay val="0"/>
      <c:txPr>
        <a:bodyPr/>
        <a:lstStyle/>
        <a:p>
          <a:pPr>
            <a:defRPr sz="14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123824</xdr:rowOff>
    </xdr:from>
    <xdr:to>
      <xdr:col>30</xdr:col>
      <xdr:colOff>676275</xdr:colOff>
      <xdr:row>42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0.20432</cdr:x>
      <cdr:y>0.02673</cdr:y>
    </cdr:from>
    <cdr:to>
      <cdr:x>0.88548</cdr:x>
      <cdr:y>0.11388</cdr:y>
    </cdr:to>
    <cdr:sp macro="" textlink="">
      <cdr:nvSpPr>
        <cdr:cNvPr id="378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32282" y="123217"/>
          <a:ext cx="6441780" cy="4017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8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3.12: Infant mortality rate, 2015 - 2021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27"/>
  <sheetViews>
    <sheetView tabSelected="1" zoomScaleNormal="100" zoomScaleSheetLayoutView="62" workbookViewId="0">
      <selection activeCell="AK37" sqref="AK37"/>
    </sheetView>
  </sheetViews>
  <sheetFormatPr defaultColWidth="17.85546875" defaultRowHeight="16.5" customHeight="1" x14ac:dyDescent="0.2"/>
  <cols>
    <col min="1" max="1" width="21.7109375" style="9" customWidth="1"/>
    <col min="2" max="2" width="1.7109375" style="9" customWidth="1"/>
    <col min="3" max="3" width="0.85546875" style="9" customWidth="1"/>
    <col min="4" max="30" width="6.42578125" style="9" customWidth="1"/>
    <col min="31" max="31" width="45.140625" style="9" customWidth="1"/>
    <col min="32" max="47" width="17.85546875" style="9"/>
    <col min="48" max="48" width="5.42578125" style="9" customWidth="1"/>
    <col min="49" max="50" width="6" style="9" customWidth="1"/>
    <col min="51" max="51" width="6.85546875" style="9" customWidth="1"/>
    <col min="52" max="52" width="5.42578125" style="9" customWidth="1"/>
    <col min="53" max="53" width="6.5703125" style="9" customWidth="1"/>
    <col min="54" max="55" width="7.140625" style="9" customWidth="1"/>
    <col min="56" max="247" width="17.85546875" style="9"/>
    <col min="248" max="248" width="18.7109375" style="9" customWidth="1"/>
    <col min="249" max="249" width="1.7109375" style="9" customWidth="1"/>
    <col min="250" max="250" width="0.85546875" style="9" customWidth="1"/>
    <col min="251" max="271" width="0" style="9" hidden="1" customWidth="1"/>
    <col min="272" max="283" width="8.7109375" style="9" customWidth="1"/>
    <col min="284" max="287" width="0" style="9" hidden="1" customWidth="1"/>
    <col min="288" max="288" width="45.140625" style="9" customWidth="1"/>
    <col min="289" max="292" width="17.85546875" style="9"/>
    <col min="293" max="301" width="5.42578125" style="9" customWidth="1"/>
    <col min="302" max="306" width="6" style="9" customWidth="1"/>
    <col min="307" max="307" width="6.85546875" style="9" customWidth="1"/>
    <col min="308" max="308" width="5.42578125" style="9" customWidth="1"/>
    <col min="309" max="503" width="17.85546875" style="9"/>
    <col min="504" max="504" width="18.7109375" style="9" customWidth="1"/>
    <col min="505" max="505" width="1.7109375" style="9" customWidth="1"/>
    <col min="506" max="506" width="0.85546875" style="9" customWidth="1"/>
    <col min="507" max="527" width="0" style="9" hidden="1" customWidth="1"/>
    <col min="528" max="539" width="8.7109375" style="9" customWidth="1"/>
    <col min="540" max="543" width="0" style="9" hidden="1" customWidth="1"/>
    <col min="544" max="544" width="45.140625" style="9" customWidth="1"/>
    <col min="545" max="548" width="17.85546875" style="9"/>
    <col min="549" max="557" width="5.42578125" style="9" customWidth="1"/>
    <col min="558" max="562" width="6" style="9" customWidth="1"/>
    <col min="563" max="563" width="6.85546875" style="9" customWidth="1"/>
    <col min="564" max="564" width="5.42578125" style="9" customWidth="1"/>
    <col min="565" max="759" width="17.85546875" style="9"/>
    <col min="760" max="760" width="18.7109375" style="9" customWidth="1"/>
    <col min="761" max="761" width="1.7109375" style="9" customWidth="1"/>
    <col min="762" max="762" width="0.85546875" style="9" customWidth="1"/>
    <col min="763" max="783" width="0" style="9" hidden="1" customWidth="1"/>
    <col min="784" max="795" width="8.7109375" style="9" customWidth="1"/>
    <col min="796" max="799" width="0" style="9" hidden="1" customWidth="1"/>
    <col min="800" max="800" width="45.140625" style="9" customWidth="1"/>
    <col min="801" max="804" width="17.85546875" style="9"/>
    <col min="805" max="813" width="5.42578125" style="9" customWidth="1"/>
    <col min="814" max="818" width="6" style="9" customWidth="1"/>
    <col min="819" max="819" width="6.85546875" style="9" customWidth="1"/>
    <col min="820" max="820" width="5.42578125" style="9" customWidth="1"/>
    <col min="821" max="1015" width="17.85546875" style="9"/>
    <col min="1016" max="1016" width="18.7109375" style="9" customWidth="1"/>
    <col min="1017" max="1017" width="1.7109375" style="9" customWidth="1"/>
    <col min="1018" max="1018" width="0.85546875" style="9" customWidth="1"/>
    <col min="1019" max="1039" width="0" style="9" hidden="1" customWidth="1"/>
    <col min="1040" max="1051" width="8.7109375" style="9" customWidth="1"/>
    <col min="1052" max="1055" width="0" style="9" hidden="1" customWidth="1"/>
    <col min="1056" max="1056" width="45.140625" style="9" customWidth="1"/>
    <col min="1057" max="1060" width="17.85546875" style="9"/>
    <col min="1061" max="1069" width="5.42578125" style="9" customWidth="1"/>
    <col min="1070" max="1074" width="6" style="9" customWidth="1"/>
    <col min="1075" max="1075" width="6.85546875" style="9" customWidth="1"/>
    <col min="1076" max="1076" width="5.42578125" style="9" customWidth="1"/>
    <col min="1077" max="1271" width="17.85546875" style="9"/>
    <col min="1272" max="1272" width="18.7109375" style="9" customWidth="1"/>
    <col min="1273" max="1273" width="1.7109375" style="9" customWidth="1"/>
    <col min="1274" max="1274" width="0.85546875" style="9" customWidth="1"/>
    <col min="1275" max="1295" width="0" style="9" hidden="1" customWidth="1"/>
    <col min="1296" max="1307" width="8.7109375" style="9" customWidth="1"/>
    <col min="1308" max="1311" width="0" style="9" hidden="1" customWidth="1"/>
    <col min="1312" max="1312" width="45.140625" style="9" customWidth="1"/>
    <col min="1313" max="1316" width="17.85546875" style="9"/>
    <col min="1317" max="1325" width="5.42578125" style="9" customWidth="1"/>
    <col min="1326" max="1330" width="6" style="9" customWidth="1"/>
    <col min="1331" max="1331" width="6.85546875" style="9" customWidth="1"/>
    <col min="1332" max="1332" width="5.42578125" style="9" customWidth="1"/>
    <col min="1333" max="1527" width="17.85546875" style="9"/>
    <col min="1528" max="1528" width="18.7109375" style="9" customWidth="1"/>
    <col min="1529" max="1529" width="1.7109375" style="9" customWidth="1"/>
    <col min="1530" max="1530" width="0.85546875" style="9" customWidth="1"/>
    <col min="1531" max="1551" width="0" style="9" hidden="1" customWidth="1"/>
    <col min="1552" max="1563" width="8.7109375" style="9" customWidth="1"/>
    <col min="1564" max="1567" width="0" style="9" hidden="1" customWidth="1"/>
    <col min="1568" max="1568" width="45.140625" style="9" customWidth="1"/>
    <col min="1569" max="1572" width="17.85546875" style="9"/>
    <col min="1573" max="1581" width="5.42578125" style="9" customWidth="1"/>
    <col min="1582" max="1586" width="6" style="9" customWidth="1"/>
    <col min="1587" max="1587" width="6.85546875" style="9" customWidth="1"/>
    <col min="1588" max="1588" width="5.42578125" style="9" customWidth="1"/>
    <col min="1589" max="1783" width="17.85546875" style="9"/>
    <col min="1784" max="1784" width="18.7109375" style="9" customWidth="1"/>
    <col min="1785" max="1785" width="1.7109375" style="9" customWidth="1"/>
    <col min="1786" max="1786" width="0.85546875" style="9" customWidth="1"/>
    <col min="1787" max="1807" width="0" style="9" hidden="1" customWidth="1"/>
    <col min="1808" max="1819" width="8.7109375" style="9" customWidth="1"/>
    <col min="1820" max="1823" width="0" style="9" hidden="1" customWidth="1"/>
    <col min="1824" max="1824" width="45.140625" style="9" customWidth="1"/>
    <col min="1825" max="1828" width="17.85546875" style="9"/>
    <col min="1829" max="1837" width="5.42578125" style="9" customWidth="1"/>
    <col min="1838" max="1842" width="6" style="9" customWidth="1"/>
    <col min="1843" max="1843" width="6.85546875" style="9" customWidth="1"/>
    <col min="1844" max="1844" width="5.42578125" style="9" customWidth="1"/>
    <col min="1845" max="2039" width="17.85546875" style="9"/>
    <col min="2040" max="2040" width="18.7109375" style="9" customWidth="1"/>
    <col min="2041" max="2041" width="1.7109375" style="9" customWidth="1"/>
    <col min="2042" max="2042" width="0.85546875" style="9" customWidth="1"/>
    <col min="2043" max="2063" width="0" style="9" hidden="1" customWidth="1"/>
    <col min="2064" max="2075" width="8.7109375" style="9" customWidth="1"/>
    <col min="2076" max="2079" width="0" style="9" hidden="1" customWidth="1"/>
    <col min="2080" max="2080" width="45.140625" style="9" customWidth="1"/>
    <col min="2081" max="2084" width="17.85546875" style="9"/>
    <col min="2085" max="2093" width="5.42578125" style="9" customWidth="1"/>
    <col min="2094" max="2098" width="6" style="9" customWidth="1"/>
    <col min="2099" max="2099" width="6.85546875" style="9" customWidth="1"/>
    <col min="2100" max="2100" width="5.42578125" style="9" customWidth="1"/>
    <col min="2101" max="2295" width="17.85546875" style="9"/>
    <col min="2296" max="2296" width="18.7109375" style="9" customWidth="1"/>
    <col min="2297" max="2297" width="1.7109375" style="9" customWidth="1"/>
    <col min="2298" max="2298" width="0.85546875" style="9" customWidth="1"/>
    <col min="2299" max="2319" width="0" style="9" hidden="1" customWidth="1"/>
    <col min="2320" max="2331" width="8.7109375" style="9" customWidth="1"/>
    <col min="2332" max="2335" width="0" style="9" hidden="1" customWidth="1"/>
    <col min="2336" max="2336" width="45.140625" style="9" customWidth="1"/>
    <col min="2337" max="2340" width="17.85546875" style="9"/>
    <col min="2341" max="2349" width="5.42578125" style="9" customWidth="1"/>
    <col min="2350" max="2354" width="6" style="9" customWidth="1"/>
    <col min="2355" max="2355" width="6.85546875" style="9" customWidth="1"/>
    <col min="2356" max="2356" width="5.42578125" style="9" customWidth="1"/>
    <col min="2357" max="2551" width="17.85546875" style="9"/>
    <col min="2552" max="2552" width="18.7109375" style="9" customWidth="1"/>
    <col min="2553" max="2553" width="1.7109375" style="9" customWidth="1"/>
    <col min="2554" max="2554" width="0.85546875" style="9" customWidth="1"/>
    <col min="2555" max="2575" width="0" style="9" hidden="1" customWidth="1"/>
    <col min="2576" max="2587" width="8.7109375" style="9" customWidth="1"/>
    <col min="2588" max="2591" width="0" style="9" hidden="1" customWidth="1"/>
    <col min="2592" max="2592" width="45.140625" style="9" customWidth="1"/>
    <col min="2593" max="2596" width="17.85546875" style="9"/>
    <col min="2597" max="2605" width="5.42578125" style="9" customWidth="1"/>
    <col min="2606" max="2610" width="6" style="9" customWidth="1"/>
    <col min="2611" max="2611" width="6.85546875" style="9" customWidth="1"/>
    <col min="2612" max="2612" width="5.42578125" style="9" customWidth="1"/>
    <col min="2613" max="2807" width="17.85546875" style="9"/>
    <col min="2808" max="2808" width="18.7109375" style="9" customWidth="1"/>
    <col min="2809" max="2809" width="1.7109375" style="9" customWidth="1"/>
    <col min="2810" max="2810" width="0.85546875" style="9" customWidth="1"/>
    <col min="2811" max="2831" width="0" style="9" hidden="1" customWidth="1"/>
    <col min="2832" max="2843" width="8.7109375" style="9" customWidth="1"/>
    <col min="2844" max="2847" width="0" style="9" hidden="1" customWidth="1"/>
    <col min="2848" max="2848" width="45.140625" style="9" customWidth="1"/>
    <col min="2849" max="2852" width="17.85546875" style="9"/>
    <col min="2853" max="2861" width="5.42578125" style="9" customWidth="1"/>
    <col min="2862" max="2866" width="6" style="9" customWidth="1"/>
    <col min="2867" max="2867" width="6.85546875" style="9" customWidth="1"/>
    <col min="2868" max="2868" width="5.42578125" style="9" customWidth="1"/>
    <col min="2869" max="3063" width="17.85546875" style="9"/>
    <col min="3064" max="3064" width="18.7109375" style="9" customWidth="1"/>
    <col min="3065" max="3065" width="1.7109375" style="9" customWidth="1"/>
    <col min="3066" max="3066" width="0.85546875" style="9" customWidth="1"/>
    <col min="3067" max="3087" width="0" style="9" hidden="1" customWidth="1"/>
    <col min="3088" max="3099" width="8.7109375" style="9" customWidth="1"/>
    <col min="3100" max="3103" width="0" style="9" hidden="1" customWidth="1"/>
    <col min="3104" max="3104" width="45.140625" style="9" customWidth="1"/>
    <col min="3105" max="3108" width="17.85546875" style="9"/>
    <col min="3109" max="3117" width="5.42578125" style="9" customWidth="1"/>
    <col min="3118" max="3122" width="6" style="9" customWidth="1"/>
    <col min="3123" max="3123" width="6.85546875" style="9" customWidth="1"/>
    <col min="3124" max="3124" width="5.42578125" style="9" customWidth="1"/>
    <col min="3125" max="3319" width="17.85546875" style="9"/>
    <col min="3320" max="3320" width="18.7109375" style="9" customWidth="1"/>
    <col min="3321" max="3321" width="1.7109375" style="9" customWidth="1"/>
    <col min="3322" max="3322" width="0.85546875" style="9" customWidth="1"/>
    <col min="3323" max="3343" width="0" style="9" hidden="1" customWidth="1"/>
    <col min="3344" max="3355" width="8.7109375" style="9" customWidth="1"/>
    <col min="3356" max="3359" width="0" style="9" hidden="1" customWidth="1"/>
    <col min="3360" max="3360" width="45.140625" style="9" customWidth="1"/>
    <col min="3361" max="3364" width="17.85546875" style="9"/>
    <col min="3365" max="3373" width="5.42578125" style="9" customWidth="1"/>
    <col min="3374" max="3378" width="6" style="9" customWidth="1"/>
    <col min="3379" max="3379" width="6.85546875" style="9" customWidth="1"/>
    <col min="3380" max="3380" width="5.42578125" style="9" customWidth="1"/>
    <col min="3381" max="3575" width="17.85546875" style="9"/>
    <col min="3576" max="3576" width="18.7109375" style="9" customWidth="1"/>
    <col min="3577" max="3577" width="1.7109375" style="9" customWidth="1"/>
    <col min="3578" max="3578" width="0.85546875" style="9" customWidth="1"/>
    <col min="3579" max="3599" width="0" style="9" hidden="1" customWidth="1"/>
    <col min="3600" max="3611" width="8.7109375" style="9" customWidth="1"/>
    <col min="3612" max="3615" width="0" style="9" hidden="1" customWidth="1"/>
    <col min="3616" max="3616" width="45.140625" style="9" customWidth="1"/>
    <col min="3617" max="3620" width="17.85546875" style="9"/>
    <col min="3621" max="3629" width="5.42578125" style="9" customWidth="1"/>
    <col min="3630" max="3634" width="6" style="9" customWidth="1"/>
    <col min="3635" max="3635" width="6.85546875" style="9" customWidth="1"/>
    <col min="3636" max="3636" width="5.42578125" style="9" customWidth="1"/>
    <col min="3637" max="3831" width="17.85546875" style="9"/>
    <col min="3832" max="3832" width="18.7109375" style="9" customWidth="1"/>
    <col min="3833" max="3833" width="1.7109375" style="9" customWidth="1"/>
    <col min="3834" max="3834" width="0.85546875" style="9" customWidth="1"/>
    <col min="3835" max="3855" width="0" style="9" hidden="1" customWidth="1"/>
    <col min="3856" max="3867" width="8.7109375" style="9" customWidth="1"/>
    <col min="3868" max="3871" width="0" style="9" hidden="1" customWidth="1"/>
    <col min="3872" max="3872" width="45.140625" style="9" customWidth="1"/>
    <col min="3873" max="3876" width="17.85546875" style="9"/>
    <col min="3877" max="3885" width="5.42578125" style="9" customWidth="1"/>
    <col min="3886" max="3890" width="6" style="9" customWidth="1"/>
    <col min="3891" max="3891" width="6.85546875" style="9" customWidth="1"/>
    <col min="3892" max="3892" width="5.42578125" style="9" customWidth="1"/>
    <col min="3893" max="4087" width="17.85546875" style="9"/>
    <col min="4088" max="4088" width="18.7109375" style="9" customWidth="1"/>
    <col min="4089" max="4089" width="1.7109375" style="9" customWidth="1"/>
    <col min="4090" max="4090" width="0.85546875" style="9" customWidth="1"/>
    <col min="4091" max="4111" width="0" style="9" hidden="1" customWidth="1"/>
    <col min="4112" max="4123" width="8.7109375" style="9" customWidth="1"/>
    <col min="4124" max="4127" width="0" style="9" hidden="1" customWidth="1"/>
    <col min="4128" max="4128" width="45.140625" style="9" customWidth="1"/>
    <col min="4129" max="4132" width="17.85546875" style="9"/>
    <col min="4133" max="4141" width="5.42578125" style="9" customWidth="1"/>
    <col min="4142" max="4146" width="6" style="9" customWidth="1"/>
    <col min="4147" max="4147" width="6.85546875" style="9" customWidth="1"/>
    <col min="4148" max="4148" width="5.42578125" style="9" customWidth="1"/>
    <col min="4149" max="4343" width="17.85546875" style="9"/>
    <col min="4344" max="4344" width="18.7109375" style="9" customWidth="1"/>
    <col min="4345" max="4345" width="1.7109375" style="9" customWidth="1"/>
    <col min="4346" max="4346" width="0.85546875" style="9" customWidth="1"/>
    <col min="4347" max="4367" width="0" style="9" hidden="1" customWidth="1"/>
    <col min="4368" max="4379" width="8.7109375" style="9" customWidth="1"/>
    <col min="4380" max="4383" width="0" style="9" hidden="1" customWidth="1"/>
    <col min="4384" max="4384" width="45.140625" style="9" customWidth="1"/>
    <col min="4385" max="4388" width="17.85546875" style="9"/>
    <col min="4389" max="4397" width="5.42578125" style="9" customWidth="1"/>
    <col min="4398" max="4402" width="6" style="9" customWidth="1"/>
    <col min="4403" max="4403" width="6.85546875" style="9" customWidth="1"/>
    <col min="4404" max="4404" width="5.42578125" style="9" customWidth="1"/>
    <col min="4405" max="4599" width="17.85546875" style="9"/>
    <col min="4600" max="4600" width="18.7109375" style="9" customWidth="1"/>
    <col min="4601" max="4601" width="1.7109375" style="9" customWidth="1"/>
    <col min="4602" max="4602" width="0.85546875" style="9" customWidth="1"/>
    <col min="4603" max="4623" width="0" style="9" hidden="1" customWidth="1"/>
    <col min="4624" max="4635" width="8.7109375" style="9" customWidth="1"/>
    <col min="4636" max="4639" width="0" style="9" hidden="1" customWidth="1"/>
    <col min="4640" max="4640" width="45.140625" style="9" customWidth="1"/>
    <col min="4641" max="4644" width="17.85546875" style="9"/>
    <col min="4645" max="4653" width="5.42578125" style="9" customWidth="1"/>
    <col min="4654" max="4658" width="6" style="9" customWidth="1"/>
    <col min="4659" max="4659" width="6.85546875" style="9" customWidth="1"/>
    <col min="4660" max="4660" width="5.42578125" style="9" customWidth="1"/>
    <col min="4661" max="4855" width="17.85546875" style="9"/>
    <col min="4856" max="4856" width="18.7109375" style="9" customWidth="1"/>
    <col min="4857" max="4857" width="1.7109375" style="9" customWidth="1"/>
    <col min="4858" max="4858" width="0.85546875" style="9" customWidth="1"/>
    <col min="4859" max="4879" width="0" style="9" hidden="1" customWidth="1"/>
    <col min="4880" max="4891" width="8.7109375" style="9" customWidth="1"/>
    <col min="4892" max="4895" width="0" style="9" hidden="1" customWidth="1"/>
    <col min="4896" max="4896" width="45.140625" style="9" customWidth="1"/>
    <col min="4897" max="4900" width="17.85546875" style="9"/>
    <col min="4901" max="4909" width="5.42578125" style="9" customWidth="1"/>
    <col min="4910" max="4914" width="6" style="9" customWidth="1"/>
    <col min="4915" max="4915" width="6.85546875" style="9" customWidth="1"/>
    <col min="4916" max="4916" width="5.42578125" style="9" customWidth="1"/>
    <col min="4917" max="5111" width="17.85546875" style="9"/>
    <col min="5112" max="5112" width="18.7109375" style="9" customWidth="1"/>
    <col min="5113" max="5113" width="1.7109375" style="9" customWidth="1"/>
    <col min="5114" max="5114" width="0.85546875" style="9" customWidth="1"/>
    <col min="5115" max="5135" width="0" style="9" hidden="1" customWidth="1"/>
    <col min="5136" max="5147" width="8.7109375" style="9" customWidth="1"/>
    <col min="5148" max="5151" width="0" style="9" hidden="1" customWidth="1"/>
    <col min="5152" max="5152" width="45.140625" style="9" customWidth="1"/>
    <col min="5153" max="5156" width="17.85546875" style="9"/>
    <col min="5157" max="5165" width="5.42578125" style="9" customWidth="1"/>
    <col min="5166" max="5170" width="6" style="9" customWidth="1"/>
    <col min="5171" max="5171" width="6.85546875" style="9" customWidth="1"/>
    <col min="5172" max="5172" width="5.42578125" style="9" customWidth="1"/>
    <col min="5173" max="5367" width="17.85546875" style="9"/>
    <col min="5368" max="5368" width="18.7109375" style="9" customWidth="1"/>
    <col min="5369" max="5369" width="1.7109375" style="9" customWidth="1"/>
    <col min="5370" max="5370" width="0.85546875" style="9" customWidth="1"/>
    <col min="5371" max="5391" width="0" style="9" hidden="1" customWidth="1"/>
    <col min="5392" max="5403" width="8.7109375" style="9" customWidth="1"/>
    <col min="5404" max="5407" width="0" style="9" hidden="1" customWidth="1"/>
    <col min="5408" max="5408" width="45.140625" style="9" customWidth="1"/>
    <col min="5409" max="5412" width="17.85546875" style="9"/>
    <col min="5413" max="5421" width="5.42578125" style="9" customWidth="1"/>
    <col min="5422" max="5426" width="6" style="9" customWidth="1"/>
    <col min="5427" max="5427" width="6.85546875" style="9" customWidth="1"/>
    <col min="5428" max="5428" width="5.42578125" style="9" customWidth="1"/>
    <col min="5429" max="5623" width="17.85546875" style="9"/>
    <col min="5624" max="5624" width="18.7109375" style="9" customWidth="1"/>
    <col min="5625" max="5625" width="1.7109375" style="9" customWidth="1"/>
    <col min="5626" max="5626" width="0.85546875" style="9" customWidth="1"/>
    <col min="5627" max="5647" width="0" style="9" hidden="1" customWidth="1"/>
    <col min="5648" max="5659" width="8.7109375" style="9" customWidth="1"/>
    <col min="5660" max="5663" width="0" style="9" hidden="1" customWidth="1"/>
    <col min="5664" max="5664" width="45.140625" style="9" customWidth="1"/>
    <col min="5665" max="5668" width="17.85546875" style="9"/>
    <col min="5669" max="5677" width="5.42578125" style="9" customWidth="1"/>
    <col min="5678" max="5682" width="6" style="9" customWidth="1"/>
    <col min="5683" max="5683" width="6.85546875" style="9" customWidth="1"/>
    <col min="5684" max="5684" width="5.42578125" style="9" customWidth="1"/>
    <col min="5685" max="5879" width="17.85546875" style="9"/>
    <col min="5880" max="5880" width="18.7109375" style="9" customWidth="1"/>
    <col min="5881" max="5881" width="1.7109375" style="9" customWidth="1"/>
    <col min="5882" max="5882" width="0.85546875" style="9" customWidth="1"/>
    <col min="5883" max="5903" width="0" style="9" hidden="1" customWidth="1"/>
    <col min="5904" max="5915" width="8.7109375" style="9" customWidth="1"/>
    <col min="5916" max="5919" width="0" style="9" hidden="1" customWidth="1"/>
    <col min="5920" max="5920" width="45.140625" style="9" customWidth="1"/>
    <col min="5921" max="5924" width="17.85546875" style="9"/>
    <col min="5925" max="5933" width="5.42578125" style="9" customWidth="1"/>
    <col min="5934" max="5938" width="6" style="9" customWidth="1"/>
    <col min="5939" max="5939" width="6.85546875" style="9" customWidth="1"/>
    <col min="5940" max="5940" width="5.42578125" style="9" customWidth="1"/>
    <col min="5941" max="6135" width="17.85546875" style="9"/>
    <col min="6136" max="6136" width="18.7109375" style="9" customWidth="1"/>
    <col min="6137" max="6137" width="1.7109375" style="9" customWidth="1"/>
    <col min="6138" max="6138" width="0.85546875" style="9" customWidth="1"/>
    <col min="6139" max="6159" width="0" style="9" hidden="1" customWidth="1"/>
    <col min="6160" max="6171" width="8.7109375" style="9" customWidth="1"/>
    <col min="6172" max="6175" width="0" style="9" hidden="1" customWidth="1"/>
    <col min="6176" max="6176" width="45.140625" style="9" customWidth="1"/>
    <col min="6177" max="6180" width="17.85546875" style="9"/>
    <col min="6181" max="6189" width="5.42578125" style="9" customWidth="1"/>
    <col min="6190" max="6194" width="6" style="9" customWidth="1"/>
    <col min="6195" max="6195" width="6.85546875" style="9" customWidth="1"/>
    <col min="6196" max="6196" width="5.42578125" style="9" customWidth="1"/>
    <col min="6197" max="6391" width="17.85546875" style="9"/>
    <col min="6392" max="6392" width="18.7109375" style="9" customWidth="1"/>
    <col min="6393" max="6393" width="1.7109375" style="9" customWidth="1"/>
    <col min="6394" max="6394" width="0.85546875" style="9" customWidth="1"/>
    <col min="6395" max="6415" width="0" style="9" hidden="1" customWidth="1"/>
    <col min="6416" max="6427" width="8.7109375" style="9" customWidth="1"/>
    <col min="6428" max="6431" width="0" style="9" hidden="1" customWidth="1"/>
    <col min="6432" max="6432" width="45.140625" style="9" customWidth="1"/>
    <col min="6433" max="6436" width="17.85546875" style="9"/>
    <col min="6437" max="6445" width="5.42578125" style="9" customWidth="1"/>
    <col min="6446" max="6450" width="6" style="9" customWidth="1"/>
    <col min="6451" max="6451" width="6.85546875" style="9" customWidth="1"/>
    <col min="6452" max="6452" width="5.42578125" style="9" customWidth="1"/>
    <col min="6453" max="6647" width="17.85546875" style="9"/>
    <col min="6648" max="6648" width="18.7109375" style="9" customWidth="1"/>
    <col min="6649" max="6649" width="1.7109375" style="9" customWidth="1"/>
    <col min="6650" max="6650" width="0.85546875" style="9" customWidth="1"/>
    <col min="6651" max="6671" width="0" style="9" hidden="1" customWidth="1"/>
    <col min="6672" max="6683" width="8.7109375" style="9" customWidth="1"/>
    <col min="6684" max="6687" width="0" style="9" hidden="1" customWidth="1"/>
    <col min="6688" max="6688" width="45.140625" style="9" customWidth="1"/>
    <col min="6689" max="6692" width="17.85546875" style="9"/>
    <col min="6693" max="6701" width="5.42578125" style="9" customWidth="1"/>
    <col min="6702" max="6706" width="6" style="9" customWidth="1"/>
    <col min="6707" max="6707" width="6.85546875" style="9" customWidth="1"/>
    <col min="6708" max="6708" width="5.42578125" style="9" customWidth="1"/>
    <col min="6709" max="6903" width="17.85546875" style="9"/>
    <col min="6904" max="6904" width="18.7109375" style="9" customWidth="1"/>
    <col min="6905" max="6905" width="1.7109375" style="9" customWidth="1"/>
    <col min="6906" max="6906" width="0.85546875" style="9" customWidth="1"/>
    <col min="6907" max="6927" width="0" style="9" hidden="1" customWidth="1"/>
    <col min="6928" max="6939" width="8.7109375" style="9" customWidth="1"/>
    <col min="6940" max="6943" width="0" style="9" hidden="1" customWidth="1"/>
    <col min="6944" max="6944" width="45.140625" style="9" customWidth="1"/>
    <col min="6945" max="6948" width="17.85546875" style="9"/>
    <col min="6949" max="6957" width="5.42578125" style="9" customWidth="1"/>
    <col min="6958" max="6962" width="6" style="9" customWidth="1"/>
    <col min="6963" max="6963" width="6.85546875" style="9" customWidth="1"/>
    <col min="6964" max="6964" width="5.42578125" style="9" customWidth="1"/>
    <col min="6965" max="7159" width="17.85546875" style="9"/>
    <col min="7160" max="7160" width="18.7109375" style="9" customWidth="1"/>
    <col min="7161" max="7161" width="1.7109375" style="9" customWidth="1"/>
    <col min="7162" max="7162" width="0.85546875" style="9" customWidth="1"/>
    <col min="7163" max="7183" width="0" style="9" hidden="1" customWidth="1"/>
    <col min="7184" max="7195" width="8.7109375" style="9" customWidth="1"/>
    <col min="7196" max="7199" width="0" style="9" hidden="1" customWidth="1"/>
    <col min="7200" max="7200" width="45.140625" style="9" customWidth="1"/>
    <col min="7201" max="7204" width="17.85546875" style="9"/>
    <col min="7205" max="7213" width="5.42578125" style="9" customWidth="1"/>
    <col min="7214" max="7218" width="6" style="9" customWidth="1"/>
    <col min="7219" max="7219" width="6.85546875" style="9" customWidth="1"/>
    <col min="7220" max="7220" width="5.42578125" style="9" customWidth="1"/>
    <col min="7221" max="7415" width="17.85546875" style="9"/>
    <col min="7416" max="7416" width="18.7109375" style="9" customWidth="1"/>
    <col min="7417" max="7417" width="1.7109375" style="9" customWidth="1"/>
    <col min="7418" max="7418" width="0.85546875" style="9" customWidth="1"/>
    <col min="7419" max="7439" width="0" style="9" hidden="1" customWidth="1"/>
    <col min="7440" max="7451" width="8.7109375" style="9" customWidth="1"/>
    <col min="7452" max="7455" width="0" style="9" hidden="1" customWidth="1"/>
    <col min="7456" max="7456" width="45.140625" style="9" customWidth="1"/>
    <col min="7457" max="7460" width="17.85546875" style="9"/>
    <col min="7461" max="7469" width="5.42578125" style="9" customWidth="1"/>
    <col min="7470" max="7474" width="6" style="9" customWidth="1"/>
    <col min="7475" max="7475" width="6.85546875" style="9" customWidth="1"/>
    <col min="7476" max="7476" width="5.42578125" style="9" customWidth="1"/>
    <col min="7477" max="7671" width="17.85546875" style="9"/>
    <col min="7672" max="7672" width="18.7109375" style="9" customWidth="1"/>
    <col min="7673" max="7673" width="1.7109375" style="9" customWidth="1"/>
    <col min="7674" max="7674" width="0.85546875" style="9" customWidth="1"/>
    <col min="7675" max="7695" width="0" style="9" hidden="1" customWidth="1"/>
    <col min="7696" max="7707" width="8.7109375" style="9" customWidth="1"/>
    <col min="7708" max="7711" width="0" style="9" hidden="1" customWidth="1"/>
    <col min="7712" max="7712" width="45.140625" style="9" customWidth="1"/>
    <col min="7713" max="7716" width="17.85546875" style="9"/>
    <col min="7717" max="7725" width="5.42578125" style="9" customWidth="1"/>
    <col min="7726" max="7730" width="6" style="9" customWidth="1"/>
    <col min="7731" max="7731" width="6.85546875" style="9" customWidth="1"/>
    <col min="7732" max="7732" width="5.42578125" style="9" customWidth="1"/>
    <col min="7733" max="7927" width="17.85546875" style="9"/>
    <col min="7928" max="7928" width="18.7109375" style="9" customWidth="1"/>
    <col min="7929" max="7929" width="1.7109375" style="9" customWidth="1"/>
    <col min="7930" max="7930" width="0.85546875" style="9" customWidth="1"/>
    <col min="7931" max="7951" width="0" style="9" hidden="1" customWidth="1"/>
    <col min="7952" max="7963" width="8.7109375" style="9" customWidth="1"/>
    <col min="7964" max="7967" width="0" style="9" hidden="1" customWidth="1"/>
    <col min="7968" max="7968" width="45.140625" style="9" customWidth="1"/>
    <col min="7969" max="7972" width="17.85546875" style="9"/>
    <col min="7973" max="7981" width="5.42578125" style="9" customWidth="1"/>
    <col min="7982" max="7986" width="6" style="9" customWidth="1"/>
    <col min="7987" max="7987" width="6.85546875" style="9" customWidth="1"/>
    <col min="7988" max="7988" width="5.42578125" style="9" customWidth="1"/>
    <col min="7989" max="8183" width="17.85546875" style="9"/>
    <col min="8184" max="8184" width="18.7109375" style="9" customWidth="1"/>
    <col min="8185" max="8185" width="1.7109375" style="9" customWidth="1"/>
    <col min="8186" max="8186" width="0.85546875" style="9" customWidth="1"/>
    <col min="8187" max="8207" width="0" style="9" hidden="1" customWidth="1"/>
    <col min="8208" max="8219" width="8.7109375" style="9" customWidth="1"/>
    <col min="8220" max="8223" width="0" style="9" hidden="1" customWidth="1"/>
    <col min="8224" max="8224" width="45.140625" style="9" customWidth="1"/>
    <col min="8225" max="8228" width="17.85546875" style="9"/>
    <col min="8229" max="8237" width="5.42578125" style="9" customWidth="1"/>
    <col min="8238" max="8242" width="6" style="9" customWidth="1"/>
    <col min="8243" max="8243" width="6.85546875" style="9" customWidth="1"/>
    <col min="8244" max="8244" width="5.42578125" style="9" customWidth="1"/>
    <col min="8245" max="8439" width="17.85546875" style="9"/>
    <col min="8440" max="8440" width="18.7109375" style="9" customWidth="1"/>
    <col min="8441" max="8441" width="1.7109375" style="9" customWidth="1"/>
    <col min="8442" max="8442" width="0.85546875" style="9" customWidth="1"/>
    <col min="8443" max="8463" width="0" style="9" hidden="1" customWidth="1"/>
    <col min="8464" max="8475" width="8.7109375" style="9" customWidth="1"/>
    <col min="8476" max="8479" width="0" style="9" hidden="1" customWidth="1"/>
    <col min="8480" max="8480" width="45.140625" style="9" customWidth="1"/>
    <col min="8481" max="8484" width="17.85546875" style="9"/>
    <col min="8485" max="8493" width="5.42578125" style="9" customWidth="1"/>
    <col min="8494" max="8498" width="6" style="9" customWidth="1"/>
    <col min="8499" max="8499" width="6.85546875" style="9" customWidth="1"/>
    <col min="8500" max="8500" width="5.42578125" style="9" customWidth="1"/>
    <col min="8501" max="8695" width="17.85546875" style="9"/>
    <col min="8696" max="8696" width="18.7109375" style="9" customWidth="1"/>
    <col min="8697" max="8697" width="1.7109375" style="9" customWidth="1"/>
    <col min="8698" max="8698" width="0.85546875" style="9" customWidth="1"/>
    <col min="8699" max="8719" width="0" style="9" hidden="1" customWidth="1"/>
    <col min="8720" max="8731" width="8.7109375" style="9" customWidth="1"/>
    <col min="8732" max="8735" width="0" style="9" hidden="1" customWidth="1"/>
    <col min="8736" max="8736" width="45.140625" style="9" customWidth="1"/>
    <col min="8737" max="8740" width="17.85546875" style="9"/>
    <col min="8741" max="8749" width="5.42578125" style="9" customWidth="1"/>
    <col min="8750" max="8754" width="6" style="9" customWidth="1"/>
    <col min="8755" max="8755" width="6.85546875" style="9" customWidth="1"/>
    <col min="8756" max="8756" width="5.42578125" style="9" customWidth="1"/>
    <col min="8757" max="8951" width="17.85546875" style="9"/>
    <col min="8952" max="8952" width="18.7109375" style="9" customWidth="1"/>
    <col min="8953" max="8953" width="1.7109375" style="9" customWidth="1"/>
    <col min="8954" max="8954" width="0.85546875" style="9" customWidth="1"/>
    <col min="8955" max="8975" width="0" style="9" hidden="1" customWidth="1"/>
    <col min="8976" max="8987" width="8.7109375" style="9" customWidth="1"/>
    <col min="8988" max="8991" width="0" style="9" hidden="1" customWidth="1"/>
    <col min="8992" max="8992" width="45.140625" style="9" customWidth="1"/>
    <col min="8993" max="8996" width="17.85546875" style="9"/>
    <col min="8997" max="9005" width="5.42578125" style="9" customWidth="1"/>
    <col min="9006" max="9010" width="6" style="9" customWidth="1"/>
    <col min="9011" max="9011" width="6.85546875" style="9" customWidth="1"/>
    <col min="9012" max="9012" width="5.42578125" style="9" customWidth="1"/>
    <col min="9013" max="9207" width="17.85546875" style="9"/>
    <col min="9208" max="9208" width="18.7109375" style="9" customWidth="1"/>
    <col min="9209" max="9209" width="1.7109375" style="9" customWidth="1"/>
    <col min="9210" max="9210" width="0.85546875" style="9" customWidth="1"/>
    <col min="9211" max="9231" width="0" style="9" hidden="1" customWidth="1"/>
    <col min="9232" max="9243" width="8.7109375" style="9" customWidth="1"/>
    <col min="9244" max="9247" width="0" style="9" hidden="1" customWidth="1"/>
    <col min="9248" max="9248" width="45.140625" style="9" customWidth="1"/>
    <col min="9249" max="9252" width="17.85546875" style="9"/>
    <col min="9253" max="9261" width="5.42578125" style="9" customWidth="1"/>
    <col min="9262" max="9266" width="6" style="9" customWidth="1"/>
    <col min="9267" max="9267" width="6.85546875" style="9" customWidth="1"/>
    <col min="9268" max="9268" width="5.42578125" style="9" customWidth="1"/>
    <col min="9269" max="9463" width="17.85546875" style="9"/>
    <col min="9464" max="9464" width="18.7109375" style="9" customWidth="1"/>
    <col min="9465" max="9465" width="1.7109375" style="9" customWidth="1"/>
    <col min="9466" max="9466" width="0.85546875" style="9" customWidth="1"/>
    <col min="9467" max="9487" width="0" style="9" hidden="1" customWidth="1"/>
    <col min="9488" max="9499" width="8.7109375" style="9" customWidth="1"/>
    <col min="9500" max="9503" width="0" style="9" hidden="1" customWidth="1"/>
    <col min="9504" max="9504" width="45.140625" style="9" customWidth="1"/>
    <col min="9505" max="9508" width="17.85546875" style="9"/>
    <col min="9509" max="9517" width="5.42578125" style="9" customWidth="1"/>
    <col min="9518" max="9522" width="6" style="9" customWidth="1"/>
    <col min="9523" max="9523" width="6.85546875" style="9" customWidth="1"/>
    <col min="9524" max="9524" width="5.42578125" style="9" customWidth="1"/>
    <col min="9525" max="9719" width="17.85546875" style="9"/>
    <col min="9720" max="9720" width="18.7109375" style="9" customWidth="1"/>
    <col min="9721" max="9721" width="1.7109375" style="9" customWidth="1"/>
    <col min="9722" max="9722" width="0.85546875" style="9" customWidth="1"/>
    <col min="9723" max="9743" width="0" style="9" hidden="1" customWidth="1"/>
    <col min="9744" max="9755" width="8.7109375" style="9" customWidth="1"/>
    <col min="9756" max="9759" width="0" style="9" hidden="1" customWidth="1"/>
    <col min="9760" max="9760" width="45.140625" style="9" customWidth="1"/>
    <col min="9761" max="9764" width="17.85546875" style="9"/>
    <col min="9765" max="9773" width="5.42578125" style="9" customWidth="1"/>
    <col min="9774" max="9778" width="6" style="9" customWidth="1"/>
    <col min="9779" max="9779" width="6.85546875" style="9" customWidth="1"/>
    <col min="9780" max="9780" width="5.42578125" style="9" customWidth="1"/>
    <col min="9781" max="9975" width="17.85546875" style="9"/>
    <col min="9976" max="9976" width="18.7109375" style="9" customWidth="1"/>
    <col min="9977" max="9977" width="1.7109375" style="9" customWidth="1"/>
    <col min="9978" max="9978" width="0.85546875" style="9" customWidth="1"/>
    <col min="9979" max="9999" width="0" style="9" hidden="1" customWidth="1"/>
    <col min="10000" max="10011" width="8.7109375" style="9" customWidth="1"/>
    <col min="10012" max="10015" width="0" style="9" hidden="1" customWidth="1"/>
    <col min="10016" max="10016" width="45.140625" style="9" customWidth="1"/>
    <col min="10017" max="10020" width="17.85546875" style="9"/>
    <col min="10021" max="10029" width="5.42578125" style="9" customWidth="1"/>
    <col min="10030" max="10034" width="6" style="9" customWidth="1"/>
    <col min="10035" max="10035" width="6.85546875" style="9" customWidth="1"/>
    <col min="10036" max="10036" width="5.42578125" style="9" customWidth="1"/>
    <col min="10037" max="10231" width="17.85546875" style="9"/>
    <col min="10232" max="10232" width="18.7109375" style="9" customWidth="1"/>
    <col min="10233" max="10233" width="1.7109375" style="9" customWidth="1"/>
    <col min="10234" max="10234" width="0.85546875" style="9" customWidth="1"/>
    <col min="10235" max="10255" width="0" style="9" hidden="1" customWidth="1"/>
    <col min="10256" max="10267" width="8.7109375" style="9" customWidth="1"/>
    <col min="10268" max="10271" width="0" style="9" hidden="1" customWidth="1"/>
    <col min="10272" max="10272" width="45.140625" style="9" customWidth="1"/>
    <col min="10273" max="10276" width="17.85546875" style="9"/>
    <col min="10277" max="10285" width="5.42578125" style="9" customWidth="1"/>
    <col min="10286" max="10290" width="6" style="9" customWidth="1"/>
    <col min="10291" max="10291" width="6.85546875" style="9" customWidth="1"/>
    <col min="10292" max="10292" width="5.42578125" style="9" customWidth="1"/>
    <col min="10293" max="10487" width="17.85546875" style="9"/>
    <col min="10488" max="10488" width="18.7109375" style="9" customWidth="1"/>
    <col min="10489" max="10489" width="1.7109375" style="9" customWidth="1"/>
    <col min="10490" max="10490" width="0.85546875" style="9" customWidth="1"/>
    <col min="10491" max="10511" width="0" style="9" hidden="1" customWidth="1"/>
    <col min="10512" max="10523" width="8.7109375" style="9" customWidth="1"/>
    <col min="10524" max="10527" width="0" style="9" hidden="1" customWidth="1"/>
    <col min="10528" max="10528" width="45.140625" style="9" customWidth="1"/>
    <col min="10529" max="10532" width="17.85546875" style="9"/>
    <col min="10533" max="10541" width="5.42578125" style="9" customWidth="1"/>
    <col min="10542" max="10546" width="6" style="9" customWidth="1"/>
    <col min="10547" max="10547" width="6.85546875" style="9" customWidth="1"/>
    <col min="10548" max="10548" width="5.42578125" style="9" customWidth="1"/>
    <col min="10549" max="10743" width="17.85546875" style="9"/>
    <col min="10744" max="10744" width="18.7109375" style="9" customWidth="1"/>
    <col min="10745" max="10745" width="1.7109375" style="9" customWidth="1"/>
    <col min="10746" max="10746" width="0.85546875" style="9" customWidth="1"/>
    <col min="10747" max="10767" width="0" style="9" hidden="1" customWidth="1"/>
    <col min="10768" max="10779" width="8.7109375" style="9" customWidth="1"/>
    <col min="10780" max="10783" width="0" style="9" hidden="1" customWidth="1"/>
    <col min="10784" max="10784" width="45.140625" style="9" customWidth="1"/>
    <col min="10785" max="10788" width="17.85546875" style="9"/>
    <col min="10789" max="10797" width="5.42578125" style="9" customWidth="1"/>
    <col min="10798" max="10802" width="6" style="9" customWidth="1"/>
    <col min="10803" max="10803" width="6.85546875" style="9" customWidth="1"/>
    <col min="10804" max="10804" width="5.42578125" style="9" customWidth="1"/>
    <col min="10805" max="10999" width="17.85546875" style="9"/>
    <col min="11000" max="11000" width="18.7109375" style="9" customWidth="1"/>
    <col min="11001" max="11001" width="1.7109375" style="9" customWidth="1"/>
    <col min="11002" max="11002" width="0.85546875" style="9" customWidth="1"/>
    <col min="11003" max="11023" width="0" style="9" hidden="1" customWidth="1"/>
    <col min="11024" max="11035" width="8.7109375" style="9" customWidth="1"/>
    <col min="11036" max="11039" width="0" style="9" hidden="1" customWidth="1"/>
    <col min="11040" max="11040" width="45.140625" style="9" customWidth="1"/>
    <col min="11041" max="11044" width="17.85546875" style="9"/>
    <col min="11045" max="11053" width="5.42578125" style="9" customWidth="1"/>
    <col min="11054" max="11058" width="6" style="9" customWidth="1"/>
    <col min="11059" max="11059" width="6.85546875" style="9" customWidth="1"/>
    <col min="11060" max="11060" width="5.42578125" style="9" customWidth="1"/>
    <col min="11061" max="11255" width="17.85546875" style="9"/>
    <col min="11256" max="11256" width="18.7109375" style="9" customWidth="1"/>
    <col min="11257" max="11257" width="1.7109375" style="9" customWidth="1"/>
    <col min="11258" max="11258" width="0.85546875" style="9" customWidth="1"/>
    <col min="11259" max="11279" width="0" style="9" hidden="1" customWidth="1"/>
    <col min="11280" max="11291" width="8.7109375" style="9" customWidth="1"/>
    <col min="11292" max="11295" width="0" style="9" hidden="1" customWidth="1"/>
    <col min="11296" max="11296" width="45.140625" style="9" customWidth="1"/>
    <col min="11297" max="11300" width="17.85546875" style="9"/>
    <col min="11301" max="11309" width="5.42578125" style="9" customWidth="1"/>
    <col min="11310" max="11314" width="6" style="9" customWidth="1"/>
    <col min="11315" max="11315" width="6.85546875" style="9" customWidth="1"/>
    <col min="11316" max="11316" width="5.42578125" style="9" customWidth="1"/>
    <col min="11317" max="11511" width="17.85546875" style="9"/>
    <col min="11512" max="11512" width="18.7109375" style="9" customWidth="1"/>
    <col min="11513" max="11513" width="1.7109375" style="9" customWidth="1"/>
    <col min="11514" max="11514" width="0.85546875" style="9" customWidth="1"/>
    <col min="11515" max="11535" width="0" style="9" hidden="1" customWidth="1"/>
    <col min="11536" max="11547" width="8.7109375" style="9" customWidth="1"/>
    <col min="11548" max="11551" width="0" style="9" hidden="1" customWidth="1"/>
    <col min="11552" max="11552" width="45.140625" style="9" customWidth="1"/>
    <col min="11553" max="11556" width="17.85546875" style="9"/>
    <col min="11557" max="11565" width="5.42578125" style="9" customWidth="1"/>
    <col min="11566" max="11570" width="6" style="9" customWidth="1"/>
    <col min="11571" max="11571" width="6.85546875" style="9" customWidth="1"/>
    <col min="11572" max="11572" width="5.42578125" style="9" customWidth="1"/>
    <col min="11573" max="11767" width="17.85546875" style="9"/>
    <col min="11768" max="11768" width="18.7109375" style="9" customWidth="1"/>
    <col min="11769" max="11769" width="1.7109375" style="9" customWidth="1"/>
    <col min="11770" max="11770" width="0.85546875" style="9" customWidth="1"/>
    <col min="11771" max="11791" width="0" style="9" hidden="1" customWidth="1"/>
    <col min="11792" max="11803" width="8.7109375" style="9" customWidth="1"/>
    <col min="11804" max="11807" width="0" style="9" hidden="1" customWidth="1"/>
    <col min="11808" max="11808" width="45.140625" style="9" customWidth="1"/>
    <col min="11809" max="11812" width="17.85546875" style="9"/>
    <col min="11813" max="11821" width="5.42578125" style="9" customWidth="1"/>
    <col min="11822" max="11826" width="6" style="9" customWidth="1"/>
    <col min="11827" max="11827" width="6.85546875" style="9" customWidth="1"/>
    <col min="11828" max="11828" width="5.42578125" style="9" customWidth="1"/>
    <col min="11829" max="12023" width="17.85546875" style="9"/>
    <col min="12024" max="12024" width="18.7109375" style="9" customWidth="1"/>
    <col min="12025" max="12025" width="1.7109375" style="9" customWidth="1"/>
    <col min="12026" max="12026" width="0.85546875" style="9" customWidth="1"/>
    <col min="12027" max="12047" width="0" style="9" hidden="1" customWidth="1"/>
    <col min="12048" max="12059" width="8.7109375" style="9" customWidth="1"/>
    <col min="12060" max="12063" width="0" style="9" hidden="1" customWidth="1"/>
    <col min="12064" max="12064" width="45.140625" style="9" customWidth="1"/>
    <col min="12065" max="12068" width="17.85546875" style="9"/>
    <col min="12069" max="12077" width="5.42578125" style="9" customWidth="1"/>
    <col min="12078" max="12082" width="6" style="9" customWidth="1"/>
    <col min="12083" max="12083" width="6.85546875" style="9" customWidth="1"/>
    <col min="12084" max="12084" width="5.42578125" style="9" customWidth="1"/>
    <col min="12085" max="12279" width="17.85546875" style="9"/>
    <col min="12280" max="12280" width="18.7109375" style="9" customWidth="1"/>
    <col min="12281" max="12281" width="1.7109375" style="9" customWidth="1"/>
    <col min="12282" max="12282" width="0.85546875" style="9" customWidth="1"/>
    <col min="12283" max="12303" width="0" style="9" hidden="1" customWidth="1"/>
    <col min="12304" max="12315" width="8.7109375" style="9" customWidth="1"/>
    <col min="12316" max="12319" width="0" style="9" hidden="1" customWidth="1"/>
    <col min="12320" max="12320" width="45.140625" style="9" customWidth="1"/>
    <col min="12321" max="12324" width="17.85546875" style="9"/>
    <col min="12325" max="12333" width="5.42578125" style="9" customWidth="1"/>
    <col min="12334" max="12338" width="6" style="9" customWidth="1"/>
    <col min="12339" max="12339" width="6.85546875" style="9" customWidth="1"/>
    <col min="12340" max="12340" width="5.42578125" style="9" customWidth="1"/>
    <col min="12341" max="12535" width="17.85546875" style="9"/>
    <col min="12536" max="12536" width="18.7109375" style="9" customWidth="1"/>
    <col min="12537" max="12537" width="1.7109375" style="9" customWidth="1"/>
    <col min="12538" max="12538" width="0.85546875" style="9" customWidth="1"/>
    <col min="12539" max="12559" width="0" style="9" hidden="1" customWidth="1"/>
    <col min="12560" max="12571" width="8.7109375" style="9" customWidth="1"/>
    <col min="12572" max="12575" width="0" style="9" hidden="1" customWidth="1"/>
    <col min="12576" max="12576" width="45.140625" style="9" customWidth="1"/>
    <col min="12577" max="12580" width="17.85546875" style="9"/>
    <col min="12581" max="12589" width="5.42578125" style="9" customWidth="1"/>
    <col min="12590" max="12594" width="6" style="9" customWidth="1"/>
    <col min="12595" max="12595" width="6.85546875" style="9" customWidth="1"/>
    <col min="12596" max="12596" width="5.42578125" style="9" customWidth="1"/>
    <col min="12597" max="12791" width="17.85546875" style="9"/>
    <col min="12792" max="12792" width="18.7109375" style="9" customWidth="1"/>
    <col min="12793" max="12793" width="1.7109375" style="9" customWidth="1"/>
    <col min="12794" max="12794" width="0.85546875" style="9" customWidth="1"/>
    <col min="12795" max="12815" width="0" style="9" hidden="1" customWidth="1"/>
    <col min="12816" max="12827" width="8.7109375" style="9" customWidth="1"/>
    <col min="12828" max="12831" width="0" style="9" hidden="1" customWidth="1"/>
    <col min="12832" max="12832" width="45.140625" style="9" customWidth="1"/>
    <col min="12833" max="12836" width="17.85546875" style="9"/>
    <col min="12837" max="12845" width="5.42578125" style="9" customWidth="1"/>
    <col min="12846" max="12850" width="6" style="9" customWidth="1"/>
    <col min="12851" max="12851" width="6.85546875" style="9" customWidth="1"/>
    <col min="12852" max="12852" width="5.42578125" style="9" customWidth="1"/>
    <col min="12853" max="13047" width="17.85546875" style="9"/>
    <col min="13048" max="13048" width="18.7109375" style="9" customWidth="1"/>
    <col min="13049" max="13049" width="1.7109375" style="9" customWidth="1"/>
    <col min="13050" max="13050" width="0.85546875" style="9" customWidth="1"/>
    <col min="13051" max="13071" width="0" style="9" hidden="1" customWidth="1"/>
    <col min="13072" max="13083" width="8.7109375" style="9" customWidth="1"/>
    <col min="13084" max="13087" width="0" style="9" hidden="1" customWidth="1"/>
    <col min="13088" max="13088" width="45.140625" style="9" customWidth="1"/>
    <col min="13089" max="13092" width="17.85546875" style="9"/>
    <col min="13093" max="13101" width="5.42578125" style="9" customWidth="1"/>
    <col min="13102" max="13106" width="6" style="9" customWidth="1"/>
    <col min="13107" max="13107" width="6.85546875" style="9" customWidth="1"/>
    <col min="13108" max="13108" width="5.42578125" style="9" customWidth="1"/>
    <col min="13109" max="13303" width="17.85546875" style="9"/>
    <col min="13304" max="13304" width="18.7109375" style="9" customWidth="1"/>
    <col min="13305" max="13305" width="1.7109375" style="9" customWidth="1"/>
    <col min="13306" max="13306" width="0.85546875" style="9" customWidth="1"/>
    <col min="13307" max="13327" width="0" style="9" hidden="1" customWidth="1"/>
    <col min="13328" max="13339" width="8.7109375" style="9" customWidth="1"/>
    <col min="13340" max="13343" width="0" style="9" hidden="1" customWidth="1"/>
    <col min="13344" max="13344" width="45.140625" style="9" customWidth="1"/>
    <col min="13345" max="13348" width="17.85546875" style="9"/>
    <col min="13349" max="13357" width="5.42578125" style="9" customWidth="1"/>
    <col min="13358" max="13362" width="6" style="9" customWidth="1"/>
    <col min="13363" max="13363" width="6.85546875" style="9" customWidth="1"/>
    <col min="13364" max="13364" width="5.42578125" style="9" customWidth="1"/>
    <col min="13365" max="13559" width="17.85546875" style="9"/>
    <col min="13560" max="13560" width="18.7109375" style="9" customWidth="1"/>
    <col min="13561" max="13561" width="1.7109375" style="9" customWidth="1"/>
    <col min="13562" max="13562" width="0.85546875" style="9" customWidth="1"/>
    <col min="13563" max="13583" width="0" style="9" hidden="1" customWidth="1"/>
    <col min="13584" max="13595" width="8.7109375" style="9" customWidth="1"/>
    <col min="13596" max="13599" width="0" style="9" hidden="1" customWidth="1"/>
    <col min="13600" max="13600" width="45.140625" style="9" customWidth="1"/>
    <col min="13601" max="13604" width="17.85546875" style="9"/>
    <col min="13605" max="13613" width="5.42578125" style="9" customWidth="1"/>
    <col min="13614" max="13618" width="6" style="9" customWidth="1"/>
    <col min="13619" max="13619" width="6.85546875" style="9" customWidth="1"/>
    <col min="13620" max="13620" width="5.42578125" style="9" customWidth="1"/>
    <col min="13621" max="13815" width="17.85546875" style="9"/>
    <col min="13816" max="13816" width="18.7109375" style="9" customWidth="1"/>
    <col min="13817" max="13817" width="1.7109375" style="9" customWidth="1"/>
    <col min="13818" max="13818" width="0.85546875" style="9" customWidth="1"/>
    <col min="13819" max="13839" width="0" style="9" hidden="1" customWidth="1"/>
    <col min="13840" max="13851" width="8.7109375" style="9" customWidth="1"/>
    <col min="13852" max="13855" width="0" style="9" hidden="1" customWidth="1"/>
    <col min="13856" max="13856" width="45.140625" style="9" customWidth="1"/>
    <col min="13857" max="13860" width="17.85546875" style="9"/>
    <col min="13861" max="13869" width="5.42578125" style="9" customWidth="1"/>
    <col min="13870" max="13874" width="6" style="9" customWidth="1"/>
    <col min="13875" max="13875" width="6.85546875" style="9" customWidth="1"/>
    <col min="13876" max="13876" width="5.42578125" style="9" customWidth="1"/>
    <col min="13877" max="14071" width="17.85546875" style="9"/>
    <col min="14072" max="14072" width="18.7109375" style="9" customWidth="1"/>
    <col min="14073" max="14073" width="1.7109375" style="9" customWidth="1"/>
    <col min="14074" max="14074" width="0.85546875" style="9" customWidth="1"/>
    <col min="14075" max="14095" width="0" style="9" hidden="1" customWidth="1"/>
    <col min="14096" max="14107" width="8.7109375" style="9" customWidth="1"/>
    <col min="14108" max="14111" width="0" style="9" hidden="1" customWidth="1"/>
    <col min="14112" max="14112" width="45.140625" style="9" customWidth="1"/>
    <col min="14113" max="14116" width="17.85546875" style="9"/>
    <col min="14117" max="14125" width="5.42578125" style="9" customWidth="1"/>
    <col min="14126" max="14130" width="6" style="9" customWidth="1"/>
    <col min="14131" max="14131" width="6.85546875" style="9" customWidth="1"/>
    <col min="14132" max="14132" width="5.42578125" style="9" customWidth="1"/>
    <col min="14133" max="14327" width="17.85546875" style="9"/>
    <col min="14328" max="14328" width="18.7109375" style="9" customWidth="1"/>
    <col min="14329" max="14329" width="1.7109375" style="9" customWidth="1"/>
    <col min="14330" max="14330" width="0.85546875" style="9" customWidth="1"/>
    <col min="14331" max="14351" width="0" style="9" hidden="1" customWidth="1"/>
    <col min="14352" max="14363" width="8.7109375" style="9" customWidth="1"/>
    <col min="14364" max="14367" width="0" style="9" hidden="1" customWidth="1"/>
    <col min="14368" max="14368" width="45.140625" style="9" customWidth="1"/>
    <col min="14369" max="14372" width="17.85546875" style="9"/>
    <col min="14373" max="14381" width="5.42578125" style="9" customWidth="1"/>
    <col min="14382" max="14386" width="6" style="9" customWidth="1"/>
    <col min="14387" max="14387" width="6.85546875" style="9" customWidth="1"/>
    <col min="14388" max="14388" width="5.42578125" style="9" customWidth="1"/>
    <col min="14389" max="14583" width="17.85546875" style="9"/>
    <col min="14584" max="14584" width="18.7109375" style="9" customWidth="1"/>
    <col min="14585" max="14585" width="1.7109375" style="9" customWidth="1"/>
    <col min="14586" max="14586" width="0.85546875" style="9" customWidth="1"/>
    <col min="14587" max="14607" width="0" style="9" hidden="1" customWidth="1"/>
    <col min="14608" max="14619" width="8.7109375" style="9" customWidth="1"/>
    <col min="14620" max="14623" width="0" style="9" hidden="1" customWidth="1"/>
    <col min="14624" max="14624" width="45.140625" style="9" customWidth="1"/>
    <col min="14625" max="14628" width="17.85546875" style="9"/>
    <col min="14629" max="14637" width="5.42578125" style="9" customWidth="1"/>
    <col min="14638" max="14642" width="6" style="9" customWidth="1"/>
    <col min="14643" max="14643" width="6.85546875" style="9" customWidth="1"/>
    <col min="14644" max="14644" width="5.42578125" style="9" customWidth="1"/>
    <col min="14645" max="14839" width="17.85546875" style="9"/>
    <col min="14840" max="14840" width="18.7109375" style="9" customWidth="1"/>
    <col min="14841" max="14841" width="1.7109375" style="9" customWidth="1"/>
    <col min="14842" max="14842" width="0.85546875" style="9" customWidth="1"/>
    <col min="14843" max="14863" width="0" style="9" hidden="1" customWidth="1"/>
    <col min="14864" max="14875" width="8.7109375" style="9" customWidth="1"/>
    <col min="14876" max="14879" width="0" style="9" hidden="1" customWidth="1"/>
    <col min="14880" max="14880" width="45.140625" style="9" customWidth="1"/>
    <col min="14881" max="14884" width="17.85546875" style="9"/>
    <col min="14885" max="14893" width="5.42578125" style="9" customWidth="1"/>
    <col min="14894" max="14898" width="6" style="9" customWidth="1"/>
    <col min="14899" max="14899" width="6.85546875" style="9" customWidth="1"/>
    <col min="14900" max="14900" width="5.42578125" style="9" customWidth="1"/>
    <col min="14901" max="15095" width="17.85546875" style="9"/>
    <col min="15096" max="15096" width="18.7109375" style="9" customWidth="1"/>
    <col min="15097" max="15097" width="1.7109375" style="9" customWidth="1"/>
    <col min="15098" max="15098" width="0.85546875" style="9" customWidth="1"/>
    <col min="15099" max="15119" width="0" style="9" hidden="1" customWidth="1"/>
    <col min="15120" max="15131" width="8.7109375" style="9" customWidth="1"/>
    <col min="15132" max="15135" width="0" style="9" hidden="1" customWidth="1"/>
    <col min="15136" max="15136" width="45.140625" style="9" customWidth="1"/>
    <col min="15137" max="15140" width="17.85546875" style="9"/>
    <col min="15141" max="15149" width="5.42578125" style="9" customWidth="1"/>
    <col min="15150" max="15154" width="6" style="9" customWidth="1"/>
    <col min="15155" max="15155" width="6.85546875" style="9" customWidth="1"/>
    <col min="15156" max="15156" width="5.42578125" style="9" customWidth="1"/>
    <col min="15157" max="15351" width="17.85546875" style="9"/>
    <col min="15352" max="15352" width="18.7109375" style="9" customWidth="1"/>
    <col min="15353" max="15353" width="1.7109375" style="9" customWidth="1"/>
    <col min="15354" max="15354" width="0.85546875" style="9" customWidth="1"/>
    <col min="15355" max="15375" width="0" style="9" hidden="1" customWidth="1"/>
    <col min="15376" max="15387" width="8.7109375" style="9" customWidth="1"/>
    <col min="15388" max="15391" width="0" style="9" hidden="1" customWidth="1"/>
    <col min="15392" max="15392" width="45.140625" style="9" customWidth="1"/>
    <col min="15393" max="15396" width="17.85546875" style="9"/>
    <col min="15397" max="15405" width="5.42578125" style="9" customWidth="1"/>
    <col min="15406" max="15410" width="6" style="9" customWidth="1"/>
    <col min="15411" max="15411" width="6.85546875" style="9" customWidth="1"/>
    <col min="15412" max="15412" width="5.42578125" style="9" customWidth="1"/>
    <col min="15413" max="15607" width="17.85546875" style="9"/>
    <col min="15608" max="15608" width="18.7109375" style="9" customWidth="1"/>
    <col min="15609" max="15609" width="1.7109375" style="9" customWidth="1"/>
    <col min="15610" max="15610" width="0.85546875" style="9" customWidth="1"/>
    <col min="15611" max="15631" width="0" style="9" hidden="1" customWidth="1"/>
    <col min="15632" max="15643" width="8.7109375" style="9" customWidth="1"/>
    <col min="15644" max="15647" width="0" style="9" hidden="1" customWidth="1"/>
    <col min="15648" max="15648" width="45.140625" style="9" customWidth="1"/>
    <col min="15649" max="15652" width="17.85546875" style="9"/>
    <col min="15653" max="15661" width="5.42578125" style="9" customWidth="1"/>
    <col min="15662" max="15666" width="6" style="9" customWidth="1"/>
    <col min="15667" max="15667" width="6.85546875" style="9" customWidth="1"/>
    <col min="15668" max="15668" width="5.42578125" style="9" customWidth="1"/>
    <col min="15669" max="15863" width="17.85546875" style="9"/>
    <col min="15864" max="15864" width="18.7109375" style="9" customWidth="1"/>
    <col min="15865" max="15865" width="1.7109375" style="9" customWidth="1"/>
    <col min="15866" max="15866" width="0.85546875" style="9" customWidth="1"/>
    <col min="15867" max="15887" width="0" style="9" hidden="1" customWidth="1"/>
    <col min="15888" max="15899" width="8.7109375" style="9" customWidth="1"/>
    <col min="15900" max="15903" width="0" style="9" hidden="1" customWidth="1"/>
    <col min="15904" max="15904" width="45.140625" style="9" customWidth="1"/>
    <col min="15905" max="15908" width="17.85546875" style="9"/>
    <col min="15909" max="15917" width="5.42578125" style="9" customWidth="1"/>
    <col min="15918" max="15922" width="6" style="9" customWidth="1"/>
    <col min="15923" max="15923" width="6.85546875" style="9" customWidth="1"/>
    <col min="15924" max="15924" width="5.42578125" style="9" customWidth="1"/>
    <col min="15925" max="16119" width="17.85546875" style="9"/>
    <col min="16120" max="16120" width="18.7109375" style="9" customWidth="1"/>
    <col min="16121" max="16121" width="1.7109375" style="9" customWidth="1"/>
    <col min="16122" max="16122" width="0.85546875" style="9" customWidth="1"/>
    <col min="16123" max="16143" width="0" style="9" hidden="1" customWidth="1"/>
    <col min="16144" max="16155" width="8.7109375" style="9" customWidth="1"/>
    <col min="16156" max="16159" width="0" style="9" hidden="1" customWidth="1"/>
    <col min="16160" max="16160" width="45.140625" style="9" customWidth="1"/>
    <col min="16161" max="16164" width="17.85546875" style="9"/>
    <col min="16165" max="16173" width="5.42578125" style="9" customWidth="1"/>
    <col min="16174" max="16178" width="6" style="9" customWidth="1"/>
    <col min="16179" max="16179" width="6.85546875" style="9" customWidth="1"/>
    <col min="16180" max="16180" width="5.42578125" style="9" customWidth="1"/>
    <col min="16181" max="16384" width="17.85546875" style="9"/>
  </cols>
  <sheetData>
    <row r="1" spans="1:47" ht="15.75" x14ac:dyDescent="0.2">
      <c r="A1" s="95" t="s">
        <v>27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</row>
    <row r="2" spans="1:47" ht="21.75" customHeight="1" x14ac:dyDescent="0.2">
      <c r="A2" s="96" t="s">
        <v>28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</row>
    <row r="3" spans="1:47" s="12" customFormat="1" ht="15" customHeight="1" x14ac:dyDescent="0.25">
      <c r="A3" s="97" t="s">
        <v>6</v>
      </c>
      <c r="B3" s="10"/>
      <c r="C3" s="11"/>
      <c r="D3" s="90">
        <v>2015</v>
      </c>
      <c r="E3" s="91"/>
      <c r="F3" s="91"/>
      <c r="G3" s="99"/>
      <c r="H3" s="90">
        <v>2016</v>
      </c>
      <c r="I3" s="91"/>
      <c r="J3" s="91"/>
      <c r="K3" s="99"/>
      <c r="L3" s="90">
        <v>2017</v>
      </c>
      <c r="M3" s="91"/>
      <c r="N3" s="91"/>
      <c r="O3" s="99"/>
      <c r="P3" s="90">
        <v>2018</v>
      </c>
      <c r="Q3" s="91"/>
      <c r="R3" s="91"/>
      <c r="S3" s="91"/>
      <c r="T3" s="90">
        <v>2019</v>
      </c>
      <c r="U3" s="91"/>
      <c r="V3" s="91"/>
      <c r="W3" s="91"/>
      <c r="X3" s="90">
        <v>2020</v>
      </c>
      <c r="Y3" s="91"/>
      <c r="Z3" s="91"/>
      <c r="AA3" s="91"/>
      <c r="AB3" s="90" t="s">
        <v>23</v>
      </c>
      <c r="AC3" s="91"/>
      <c r="AD3" s="91"/>
      <c r="AE3" s="92" t="s">
        <v>7</v>
      </c>
    </row>
    <row r="4" spans="1:47" s="12" customFormat="1" ht="21" customHeight="1" x14ac:dyDescent="0.25">
      <c r="A4" s="98"/>
      <c r="B4" s="13"/>
      <c r="C4" s="13"/>
      <c r="D4" s="106" t="s">
        <v>0</v>
      </c>
      <c r="E4" s="107" t="s">
        <v>2</v>
      </c>
      <c r="F4" s="107" t="s">
        <v>3</v>
      </c>
      <c r="G4" s="108" t="s">
        <v>8</v>
      </c>
      <c r="H4" s="15" t="s">
        <v>0</v>
      </c>
      <c r="I4" s="14" t="s">
        <v>2</v>
      </c>
      <c r="J4" s="14" t="s">
        <v>3</v>
      </c>
      <c r="K4" s="14" t="s">
        <v>8</v>
      </c>
      <c r="L4" s="15" t="s">
        <v>0</v>
      </c>
      <c r="M4" s="14" t="s">
        <v>2</v>
      </c>
      <c r="N4" s="14" t="s">
        <v>3</v>
      </c>
      <c r="O4" s="14" t="s">
        <v>8</v>
      </c>
      <c r="P4" s="15" t="s">
        <v>0</v>
      </c>
      <c r="Q4" s="14" t="s">
        <v>2</v>
      </c>
      <c r="R4" s="14" t="s">
        <v>3</v>
      </c>
      <c r="S4" s="14" t="s">
        <v>8</v>
      </c>
      <c r="T4" s="15" t="s">
        <v>0</v>
      </c>
      <c r="U4" s="14" t="s">
        <v>2</v>
      </c>
      <c r="V4" s="14" t="s">
        <v>3</v>
      </c>
      <c r="W4" s="14" t="s">
        <v>8</v>
      </c>
      <c r="X4" s="15" t="s">
        <v>0</v>
      </c>
      <c r="Y4" s="14" t="s">
        <v>2</v>
      </c>
      <c r="Z4" s="14" t="s">
        <v>3</v>
      </c>
      <c r="AA4" s="14" t="s">
        <v>8</v>
      </c>
      <c r="AB4" s="15" t="s">
        <v>0</v>
      </c>
      <c r="AC4" s="14" t="s">
        <v>2</v>
      </c>
      <c r="AD4" s="14" t="s">
        <v>3</v>
      </c>
      <c r="AE4" s="93"/>
    </row>
    <row r="5" spans="1:47" s="20" customFormat="1" ht="21" customHeight="1" x14ac:dyDescent="0.25">
      <c r="A5" s="16" t="s">
        <v>9</v>
      </c>
      <c r="B5" s="17"/>
      <c r="C5" s="18"/>
      <c r="D5" s="19">
        <f>SUM(D6:D7)</f>
        <v>6986</v>
      </c>
      <c r="E5" s="18">
        <f>SUM(E6:E7)</f>
        <v>4390</v>
      </c>
      <c r="F5" s="18">
        <f>SUM(F6:F7)</f>
        <v>2223</v>
      </c>
      <c r="G5" s="18">
        <f>SUM(G6:G7)</f>
        <v>373</v>
      </c>
      <c r="H5" s="19">
        <f t="shared" ref="H5:H11" si="0">SUM(I5:K5)</f>
        <v>6756</v>
      </c>
      <c r="I5" s="18">
        <f>SUM(I6:I7)</f>
        <v>4265</v>
      </c>
      <c r="J5" s="18">
        <f>SUM(J6:J7)</f>
        <v>2147</v>
      </c>
      <c r="K5" s="18">
        <f>SUM(K6:K7)</f>
        <v>344</v>
      </c>
      <c r="L5" s="57">
        <f t="shared" ref="L5:L11" si="1">SUM(M5:O5)</f>
        <v>6723</v>
      </c>
      <c r="M5" s="56">
        <f>SUM(M6:M7)</f>
        <v>4180</v>
      </c>
      <c r="N5" s="56">
        <f>SUM(N6:N7)</f>
        <v>2194</v>
      </c>
      <c r="O5" s="56">
        <f>SUM(O6:O7)</f>
        <v>349</v>
      </c>
      <c r="P5" s="100">
        <f t="shared" ref="P5:P12" si="2">SUM(Q5:S5)</f>
        <v>6564</v>
      </c>
      <c r="Q5" s="101">
        <f>SUM(Q6:Q8)</f>
        <v>4265</v>
      </c>
      <c r="R5" s="101">
        <f>SUM(R6:R8)</f>
        <v>2039</v>
      </c>
      <c r="S5" s="56">
        <f>SUM(S6:S8)</f>
        <v>260</v>
      </c>
      <c r="T5" s="57">
        <f>SUM(U5:W5)</f>
        <v>6127</v>
      </c>
      <c r="U5" s="56">
        <f>SUM(U6:U7)</f>
        <v>4254</v>
      </c>
      <c r="V5" s="56">
        <f>SUM(V6:V8)</f>
        <v>1842</v>
      </c>
      <c r="W5" s="56">
        <f>SUM(W6:W7)</f>
        <v>31</v>
      </c>
      <c r="X5" s="57">
        <f>SUM(Y5:AA5)</f>
        <v>6293</v>
      </c>
      <c r="Y5" s="56">
        <f>SUM(Y6:Y7)</f>
        <v>3151</v>
      </c>
      <c r="Z5" s="56">
        <f>SUM(Z6:Z8)</f>
        <v>3068</v>
      </c>
      <c r="AA5" s="56">
        <f>SUM(AA6:AA7)</f>
        <v>74</v>
      </c>
      <c r="AB5" s="57">
        <f>SUM(AC5:AD5)</f>
        <v>5914</v>
      </c>
      <c r="AC5" s="56">
        <f>SUM(AC6:AC7)</f>
        <v>3191</v>
      </c>
      <c r="AD5" s="56">
        <f>SUM(AD6:AD8)</f>
        <v>2723</v>
      </c>
      <c r="AE5" s="58" t="s">
        <v>10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s="26" customFormat="1" ht="21" customHeight="1" x14ac:dyDescent="0.25">
      <c r="A6" s="21" t="s">
        <v>11</v>
      </c>
      <c r="B6" s="22"/>
      <c r="C6" s="23"/>
      <c r="D6" s="25">
        <f>SUM(E6:G6)</f>
        <v>3530</v>
      </c>
      <c r="E6" s="24">
        <v>2205</v>
      </c>
      <c r="F6" s="24">
        <v>1138</v>
      </c>
      <c r="G6" s="24">
        <v>187</v>
      </c>
      <c r="H6" s="25">
        <f t="shared" si="0"/>
        <v>3390</v>
      </c>
      <c r="I6" s="24">
        <v>2153</v>
      </c>
      <c r="J6" s="24">
        <v>1068</v>
      </c>
      <c r="K6" s="24">
        <v>169</v>
      </c>
      <c r="L6" s="62">
        <f t="shared" si="1"/>
        <v>3403</v>
      </c>
      <c r="M6" s="82">
        <v>2151</v>
      </c>
      <c r="N6" s="82">
        <v>1097</v>
      </c>
      <c r="O6" s="82">
        <v>155</v>
      </c>
      <c r="P6" s="62">
        <f t="shared" si="2"/>
        <v>3411</v>
      </c>
      <c r="Q6" s="102">
        <v>2229</v>
      </c>
      <c r="R6" s="102">
        <v>1039</v>
      </c>
      <c r="S6" s="82">
        <v>143</v>
      </c>
      <c r="T6" s="62">
        <f>SUM(U6:W6)</f>
        <v>3088</v>
      </c>
      <c r="U6" s="82">
        <v>2151</v>
      </c>
      <c r="V6" s="82">
        <v>922</v>
      </c>
      <c r="W6" s="82">
        <v>15</v>
      </c>
      <c r="X6" s="62">
        <f>SUM(Y6:AA6)</f>
        <v>3204</v>
      </c>
      <c r="Y6" s="82">
        <v>1590</v>
      </c>
      <c r="Z6" s="82">
        <v>1580</v>
      </c>
      <c r="AA6" s="82">
        <v>34</v>
      </c>
      <c r="AB6" s="62">
        <f>SUM(AC6:AD6)</f>
        <v>2951</v>
      </c>
      <c r="AC6" s="82">
        <v>1584</v>
      </c>
      <c r="AD6" s="82">
        <v>1367</v>
      </c>
      <c r="AE6" s="59" t="s">
        <v>12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5"/>
      <c r="AT6" s="5"/>
      <c r="AU6" s="5"/>
    </row>
    <row r="7" spans="1:47" s="26" customFormat="1" ht="21" customHeight="1" x14ac:dyDescent="0.25">
      <c r="A7" s="21" t="s">
        <v>13</v>
      </c>
      <c r="B7" s="22"/>
      <c r="C7" s="23"/>
      <c r="D7" s="25">
        <f>SUM(E7:G7)</f>
        <v>3456</v>
      </c>
      <c r="E7" s="24">
        <v>2185</v>
      </c>
      <c r="F7" s="24">
        <v>1085</v>
      </c>
      <c r="G7" s="24">
        <v>186</v>
      </c>
      <c r="H7" s="25">
        <f t="shared" si="0"/>
        <v>3366</v>
      </c>
      <c r="I7" s="24">
        <v>2112</v>
      </c>
      <c r="J7" s="24">
        <v>1079</v>
      </c>
      <c r="K7" s="24">
        <v>175</v>
      </c>
      <c r="L7" s="62">
        <f t="shared" si="1"/>
        <v>3320</v>
      </c>
      <c r="M7" s="82">
        <v>2029</v>
      </c>
      <c r="N7" s="82">
        <v>1097</v>
      </c>
      <c r="O7" s="82">
        <v>194</v>
      </c>
      <c r="P7" s="62">
        <f t="shared" si="2"/>
        <v>3152</v>
      </c>
      <c r="Q7" s="102">
        <v>2035</v>
      </c>
      <c r="R7" s="102">
        <v>1000</v>
      </c>
      <c r="S7" s="82">
        <v>117</v>
      </c>
      <c r="T7" s="62">
        <f>SUM(U7:W7)</f>
        <v>3038</v>
      </c>
      <c r="U7" s="82">
        <v>2103</v>
      </c>
      <c r="V7" s="82">
        <v>919</v>
      </c>
      <c r="W7" s="82">
        <v>16</v>
      </c>
      <c r="X7" s="62">
        <f>SUM(Y7:AA7)</f>
        <v>3089</v>
      </c>
      <c r="Y7" s="82">
        <v>1561</v>
      </c>
      <c r="Z7" s="82">
        <v>1488</v>
      </c>
      <c r="AA7" s="82">
        <v>40</v>
      </c>
      <c r="AB7" s="62">
        <f>SUM(AC7:AD7)</f>
        <v>2963</v>
      </c>
      <c r="AC7" s="82">
        <v>1607</v>
      </c>
      <c r="AD7" s="82">
        <v>1356</v>
      </c>
      <c r="AE7" s="59" t="s">
        <v>14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5"/>
      <c r="AT7" s="5"/>
      <c r="AU7" s="5"/>
    </row>
    <row r="8" spans="1:47" s="26" customFormat="1" ht="21" customHeight="1" x14ac:dyDescent="0.25">
      <c r="A8" s="21" t="s">
        <v>19</v>
      </c>
      <c r="B8" s="22"/>
      <c r="C8" s="23"/>
      <c r="D8" s="25"/>
      <c r="E8" s="24"/>
      <c r="F8" s="24"/>
      <c r="G8" s="24"/>
      <c r="H8" s="25"/>
      <c r="I8" s="24"/>
      <c r="J8" s="24"/>
      <c r="K8" s="24"/>
      <c r="L8" s="63" t="s">
        <v>1</v>
      </c>
      <c r="M8" s="64" t="s">
        <v>1</v>
      </c>
      <c r="N8" s="64" t="s">
        <v>1</v>
      </c>
      <c r="O8" s="64" t="s">
        <v>1</v>
      </c>
      <c r="P8" s="62">
        <f t="shared" si="2"/>
        <v>1</v>
      </c>
      <c r="Q8" s="102">
        <v>1</v>
      </c>
      <c r="R8" s="102">
        <v>0</v>
      </c>
      <c r="S8" s="66">
        <v>0</v>
      </c>
      <c r="T8" s="67">
        <f>SUM(U8:W8)</f>
        <v>1</v>
      </c>
      <c r="U8" s="68">
        <v>0</v>
      </c>
      <c r="V8" s="68">
        <v>1</v>
      </c>
      <c r="W8" s="68">
        <v>0</v>
      </c>
      <c r="X8" s="67" t="s">
        <v>1</v>
      </c>
      <c r="Y8" s="68" t="s">
        <v>1</v>
      </c>
      <c r="Z8" s="68" t="s">
        <v>1</v>
      </c>
      <c r="AA8" s="68" t="s">
        <v>1</v>
      </c>
      <c r="AB8" s="67" t="s">
        <v>1</v>
      </c>
      <c r="AC8" s="68" t="s">
        <v>1</v>
      </c>
      <c r="AD8" s="68" t="s">
        <v>1</v>
      </c>
      <c r="AE8" s="59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5"/>
      <c r="AT8" s="5"/>
      <c r="AU8" s="5"/>
    </row>
    <row r="9" spans="1:47" s="20" customFormat="1" ht="21" customHeight="1" x14ac:dyDescent="0.25">
      <c r="A9" s="84" t="s">
        <v>15</v>
      </c>
      <c r="B9" s="27"/>
      <c r="C9" s="28"/>
      <c r="D9" s="29">
        <f>SUM(D10:D11)</f>
        <v>63</v>
      </c>
      <c r="E9" s="28">
        <f>SUM(E10:E11)</f>
        <v>43</v>
      </c>
      <c r="F9" s="28">
        <f>SUM(F10:F11)</f>
        <v>13</v>
      </c>
      <c r="G9" s="28">
        <f>SUM(G10:G11)</f>
        <v>7</v>
      </c>
      <c r="H9" s="29">
        <f t="shared" si="0"/>
        <v>53</v>
      </c>
      <c r="I9" s="28">
        <f>SUM(I10:I11)</f>
        <v>35</v>
      </c>
      <c r="J9" s="28">
        <f>SUM(J10:J11)</f>
        <v>14</v>
      </c>
      <c r="K9" s="28">
        <f>SUM(K10:K11)</f>
        <v>4</v>
      </c>
      <c r="L9" s="69">
        <f t="shared" si="1"/>
        <v>64</v>
      </c>
      <c r="M9" s="70">
        <f>SUM(M10:M11)</f>
        <v>44</v>
      </c>
      <c r="N9" s="70">
        <f>SUM(N10:N11)</f>
        <v>14</v>
      </c>
      <c r="O9" s="70">
        <f>SUM(O10:O11)</f>
        <v>6</v>
      </c>
      <c r="P9" s="69">
        <f t="shared" si="2"/>
        <v>46</v>
      </c>
      <c r="Q9" s="103">
        <f>SUM(Q10:Q12)</f>
        <v>32</v>
      </c>
      <c r="R9" s="103">
        <f>SUM(R10:R12)</f>
        <v>12</v>
      </c>
      <c r="S9" s="70">
        <f>SUM(S10:S12)</f>
        <v>2</v>
      </c>
      <c r="T9" s="69">
        <f>SUM(U11:W11)</f>
        <v>20</v>
      </c>
      <c r="U9" s="70">
        <f>SUM(U10:U11)</f>
        <v>24</v>
      </c>
      <c r="V9" s="70">
        <f>SUM(V10:V11)</f>
        <v>8</v>
      </c>
      <c r="W9" s="70">
        <f>SUM(W10:W11)</f>
        <v>11</v>
      </c>
      <c r="X9" s="69">
        <f>SUM(Y9:AA9)</f>
        <v>45</v>
      </c>
      <c r="Y9" s="70">
        <f>SUM(Y10:Y12)</f>
        <v>36</v>
      </c>
      <c r="Z9" s="70">
        <f>SUM(Z10:Z12)</f>
        <v>7</v>
      </c>
      <c r="AA9" s="70">
        <f>SUM(AA10:AA12)</f>
        <v>2</v>
      </c>
      <c r="AB9" s="69">
        <f>SUM(AC9:AD9)</f>
        <v>58</v>
      </c>
      <c r="AC9" s="70">
        <f>SUM(AC10:AC12)</f>
        <v>45</v>
      </c>
      <c r="AD9" s="70">
        <f>SUM(AD10:AD12)</f>
        <v>13</v>
      </c>
      <c r="AE9" s="58" t="s">
        <v>16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6"/>
      <c r="AT9" s="6"/>
      <c r="AU9" s="6"/>
    </row>
    <row r="10" spans="1:47" s="20" customFormat="1" ht="21" customHeight="1" x14ac:dyDescent="0.25">
      <c r="A10" s="21" t="s">
        <v>11</v>
      </c>
      <c r="B10" s="30"/>
      <c r="C10" s="31"/>
      <c r="D10" s="32">
        <f>SUM(E10:G10)</f>
        <v>34</v>
      </c>
      <c r="E10" s="31">
        <v>25</v>
      </c>
      <c r="F10" s="31">
        <v>6</v>
      </c>
      <c r="G10" s="31">
        <v>3</v>
      </c>
      <c r="H10" s="32">
        <f t="shared" si="0"/>
        <v>21</v>
      </c>
      <c r="I10" s="31">
        <v>17</v>
      </c>
      <c r="J10" s="31">
        <v>2</v>
      </c>
      <c r="K10" s="31">
        <v>2</v>
      </c>
      <c r="L10" s="71">
        <f t="shared" si="1"/>
        <v>42</v>
      </c>
      <c r="M10" s="83">
        <v>31</v>
      </c>
      <c r="N10" s="83">
        <v>7</v>
      </c>
      <c r="O10" s="83">
        <v>4</v>
      </c>
      <c r="P10" s="71">
        <f t="shared" si="2"/>
        <v>24</v>
      </c>
      <c r="Q10" s="104">
        <v>19</v>
      </c>
      <c r="R10" s="104">
        <v>4</v>
      </c>
      <c r="S10" s="83">
        <v>1</v>
      </c>
      <c r="T10" s="71">
        <f>SUM(U10:W10)</f>
        <v>23</v>
      </c>
      <c r="U10" s="83">
        <v>11</v>
      </c>
      <c r="V10" s="83">
        <v>4</v>
      </c>
      <c r="W10" s="83">
        <v>8</v>
      </c>
      <c r="X10" s="71">
        <f>SUM(Y10:AA10)</f>
        <v>12</v>
      </c>
      <c r="Y10" s="83">
        <v>9</v>
      </c>
      <c r="Z10" s="83">
        <v>2</v>
      </c>
      <c r="AA10" s="83">
        <v>1</v>
      </c>
      <c r="AB10" s="71">
        <f>SUM(AC10:AD10)</f>
        <v>35</v>
      </c>
      <c r="AC10" s="83">
        <v>24</v>
      </c>
      <c r="AD10" s="83">
        <v>11</v>
      </c>
      <c r="AE10" s="59" t="s">
        <v>12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spans="1:47" s="20" customFormat="1" ht="21" customHeight="1" x14ac:dyDescent="0.25">
      <c r="A11" s="21" t="s">
        <v>13</v>
      </c>
      <c r="B11" s="30"/>
      <c r="C11" s="31"/>
      <c r="D11" s="32">
        <f>SUM(E11:G11)</f>
        <v>29</v>
      </c>
      <c r="E11" s="31">
        <v>18</v>
      </c>
      <c r="F11" s="31">
        <v>7</v>
      </c>
      <c r="G11" s="31">
        <v>4</v>
      </c>
      <c r="H11" s="32">
        <f t="shared" si="0"/>
        <v>32</v>
      </c>
      <c r="I11" s="31">
        <v>18</v>
      </c>
      <c r="J11" s="31">
        <v>12</v>
      </c>
      <c r="K11" s="31">
        <v>2</v>
      </c>
      <c r="L11" s="71">
        <f t="shared" si="1"/>
        <v>22</v>
      </c>
      <c r="M11" s="83">
        <v>13</v>
      </c>
      <c r="N11" s="83">
        <v>7</v>
      </c>
      <c r="O11" s="83">
        <v>2</v>
      </c>
      <c r="P11" s="71">
        <f t="shared" si="2"/>
        <v>21</v>
      </c>
      <c r="Q11" s="104">
        <v>13</v>
      </c>
      <c r="R11" s="104">
        <v>7</v>
      </c>
      <c r="S11" s="83">
        <v>1</v>
      </c>
      <c r="T11" s="71">
        <f>SUM(W14:W14)</f>
        <v>0</v>
      </c>
      <c r="U11" s="83">
        <v>13</v>
      </c>
      <c r="V11" s="83">
        <v>4</v>
      </c>
      <c r="W11" s="83">
        <v>3</v>
      </c>
      <c r="X11" s="71">
        <f>SUM(Y11:AA11)</f>
        <v>11</v>
      </c>
      <c r="Y11" s="83">
        <v>10</v>
      </c>
      <c r="Z11" s="83">
        <v>0</v>
      </c>
      <c r="AA11" s="83">
        <v>1</v>
      </c>
      <c r="AB11" s="71">
        <f>SUM(AC11:AD11)</f>
        <v>23</v>
      </c>
      <c r="AC11" s="83">
        <v>21</v>
      </c>
      <c r="AD11" s="83">
        <v>2</v>
      </c>
      <c r="AE11" s="59" t="s">
        <v>14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7"/>
      <c r="AT11" s="7"/>
      <c r="AU11" s="7"/>
    </row>
    <row r="12" spans="1:47" s="20" customFormat="1" ht="21" customHeight="1" x14ac:dyDescent="0.25">
      <c r="A12" s="21" t="s">
        <v>19</v>
      </c>
      <c r="B12" s="30"/>
      <c r="C12" s="31"/>
      <c r="D12" s="32"/>
      <c r="E12" s="31"/>
      <c r="F12" s="31"/>
      <c r="G12" s="31"/>
      <c r="H12" s="32"/>
      <c r="I12" s="31"/>
      <c r="J12" s="31"/>
      <c r="K12" s="31"/>
      <c r="L12" s="63" t="s">
        <v>1</v>
      </c>
      <c r="M12" s="64" t="s">
        <v>1</v>
      </c>
      <c r="N12" s="64" t="s">
        <v>1</v>
      </c>
      <c r="O12" s="64" t="s">
        <v>1</v>
      </c>
      <c r="P12" s="71">
        <f t="shared" si="2"/>
        <v>1</v>
      </c>
      <c r="Q12" s="66">
        <v>0</v>
      </c>
      <c r="R12" s="72">
        <v>1</v>
      </c>
      <c r="S12" s="73">
        <v>0</v>
      </c>
      <c r="T12" s="63" t="s">
        <v>1</v>
      </c>
      <c r="U12" s="64" t="s">
        <v>1</v>
      </c>
      <c r="V12" s="64" t="s">
        <v>1</v>
      </c>
      <c r="W12" s="64" t="s">
        <v>1</v>
      </c>
      <c r="X12" s="71">
        <f>SUM(Y12:AA12)</f>
        <v>22</v>
      </c>
      <c r="Y12" s="83">
        <v>17</v>
      </c>
      <c r="Z12" s="83">
        <v>5</v>
      </c>
      <c r="AA12" s="83">
        <v>0</v>
      </c>
      <c r="AB12" s="71">
        <f>SUM(AC12:AD12)</f>
        <v>0</v>
      </c>
      <c r="AC12" s="83">
        <v>0</v>
      </c>
      <c r="AD12" s="83">
        <v>0</v>
      </c>
      <c r="AE12" s="59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7"/>
      <c r="AT12" s="7"/>
      <c r="AU12" s="7"/>
    </row>
    <row r="13" spans="1:47" s="20" customFormat="1" ht="21" customHeight="1" x14ac:dyDescent="0.25">
      <c r="A13" s="36" t="s">
        <v>20</v>
      </c>
      <c r="B13" s="33"/>
      <c r="C13" s="34"/>
      <c r="D13" s="35"/>
      <c r="E13" s="34"/>
      <c r="F13" s="34"/>
      <c r="G13" s="34"/>
      <c r="H13" s="35"/>
      <c r="I13" s="34"/>
      <c r="J13" s="34"/>
      <c r="K13" s="34"/>
      <c r="L13" s="74"/>
      <c r="M13" s="75"/>
      <c r="N13" s="75"/>
      <c r="O13" s="75"/>
      <c r="P13" s="74"/>
      <c r="Q13" s="105"/>
      <c r="R13" s="105"/>
      <c r="S13" s="75"/>
      <c r="T13" s="74"/>
      <c r="U13" s="75"/>
      <c r="V13" s="75"/>
      <c r="W13" s="75"/>
      <c r="X13" s="74"/>
      <c r="Y13" s="75"/>
      <c r="Z13" s="75"/>
      <c r="AA13" s="75"/>
      <c r="AB13" s="74"/>
      <c r="AC13" s="75"/>
      <c r="AD13" s="75"/>
      <c r="AE13" s="58" t="s">
        <v>17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7"/>
      <c r="AT13" s="7"/>
      <c r="AU13" s="7"/>
    </row>
    <row r="14" spans="1:47" s="20" customFormat="1" ht="21" customHeight="1" x14ac:dyDescent="0.25">
      <c r="A14" s="36" t="s">
        <v>21</v>
      </c>
      <c r="B14" s="33"/>
      <c r="C14" s="37"/>
      <c r="D14" s="35">
        <v>9.0180360721442892</v>
      </c>
      <c r="E14" s="34">
        <v>9.7949886104783594</v>
      </c>
      <c r="F14" s="34">
        <v>5.8479532163742682</v>
      </c>
      <c r="G14" s="34">
        <v>18.766756032171582</v>
      </c>
      <c r="H14" s="35">
        <f>H9/H5*1000</f>
        <v>7.8448786264061576</v>
      </c>
      <c r="I14" s="34">
        <f>I9/I5*1000</f>
        <v>8.2063305978898011</v>
      </c>
      <c r="J14" s="34">
        <f>J9/J5*1000</f>
        <v>6.5207265952491849</v>
      </c>
      <c r="K14" s="34">
        <v>0</v>
      </c>
      <c r="L14" s="74">
        <f t="shared" ref="L14:N16" si="3">L9/L5*1000</f>
        <v>9.519559720362933</v>
      </c>
      <c r="M14" s="75">
        <f t="shared" si="3"/>
        <v>10.526315789473683</v>
      </c>
      <c r="N14" s="75">
        <f t="shared" si="3"/>
        <v>6.381039197812215</v>
      </c>
      <c r="O14" s="64" t="s">
        <v>1</v>
      </c>
      <c r="P14" s="74">
        <f t="shared" ref="P14:R16" si="4">P9/P5*1000</f>
        <v>7.0079219987812307</v>
      </c>
      <c r="Q14" s="105">
        <f t="shared" si="4"/>
        <v>7.5029308323563892</v>
      </c>
      <c r="R14" s="105">
        <f t="shared" si="4"/>
        <v>5.8852378616969103</v>
      </c>
      <c r="S14" s="65" t="s">
        <v>1</v>
      </c>
      <c r="T14" s="74">
        <f t="shared" ref="T14:Z16" si="5">T9/T5*1000</f>
        <v>3.2642402480822592</v>
      </c>
      <c r="U14" s="75">
        <f t="shared" si="5"/>
        <v>5.6417489421720735</v>
      </c>
      <c r="V14" s="75">
        <f t="shared" si="5"/>
        <v>4.3431053203040175</v>
      </c>
      <c r="W14" s="64" t="s">
        <v>1</v>
      </c>
      <c r="X14" s="74">
        <f t="shared" si="5"/>
        <v>7.1508024789448585</v>
      </c>
      <c r="Y14" s="75">
        <f t="shared" si="5"/>
        <v>11.424944462075532</v>
      </c>
      <c r="Z14" s="75">
        <f t="shared" si="5"/>
        <v>2.2816166883963493</v>
      </c>
      <c r="AA14" s="64" t="s">
        <v>1</v>
      </c>
      <c r="AB14" s="74">
        <f t="shared" ref="AB14:AD16" si="6">AB9/AB5*1000</f>
        <v>9.807237064592492</v>
      </c>
      <c r="AC14" s="75">
        <f t="shared" si="6"/>
        <v>14.102162331557505</v>
      </c>
      <c r="AD14" s="75">
        <f t="shared" si="6"/>
        <v>4.7741461623209691</v>
      </c>
      <c r="AE14" s="58" t="s">
        <v>18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26" customFormat="1" ht="21" customHeight="1" x14ac:dyDescent="0.25">
      <c r="A15" s="21" t="s">
        <v>11</v>
      </c>
      <c r="B15" s="38"/>
      <c r="C15" s="39"/>
      <c r="D15" s="41">
        <v>9.6317280453257794</v>
      </c>
      <c r="E15" s="40">
        <v>11.337868480725623</v>
      </c>
      <c r="F15" s="40">
        <v>5.272407732864675</v>
      </c>
      <c r="G15" s="40">
        <v>16.042780748663102</v>
      </c>
      <c r="H15" s="41">
        <f>H10/H6*1000</f>
        <v>6.1946902654867255</v>
      </c>
      <c r="I15" s="40">
        <v>7.8959591267998146</v>
      </c>
      <c r="J15" s="40">
        <v>1.8726591760299625</v>
      </c>
      <c r="K15" s="40">
        <v>0</v>
      </c>
      <c r="L15" s="76">
        <f t="shared" si="3"/>
        <v>12.342051131354687</v>
      </c>
      <c r="M15" s="77">
        <f t="shared" si="3"/>
        <v>14.411901441190144</v>
      </c>
      <c r="N15" s="77">
        <f t="shared" si="3"/>
        <v>6.381039197812215</v>
      </c>
      <c r="O15" s="65" t="s">
        <v>1</v>
      </c>
      <c r="P15" s="76">
        <f t="shared" si="4"/>
        <v>7.0360598065083559</v>
      </c>
      <c r="Q15" s="77">
        <f t="shared" si="4"/>
        <v>8.5240017945266935</v>
      </c>
      <c r="R15" s="77">
        <f t="shared" si="4"/>
        <v>3.8498556304138596</v>
      </c>
      <c r="S15" s="65" t="s">
        <v>1</v>
      </c>
      <c r="T15" s="76">
        <f t="shared" si="5"/>
        <v>7.4481865284974091</v>
      </c>
      <c r="U15" s="77">
        <f t="shared" si="5"/>
        <v>5.1139005113900513</v>
      </c>
      <c r="V15" s="77">
        <f t="shared" si="5"/>
        <v>4.3383947939262475</v>
      </c>
      <c r="W15" s="64" t="s">
        <v>1</v>
      </c>
      <c r="X15" s="76">
        <v>3.7453183520599249</v>
      </c>
      <c r="Y15" s="77">
        <v>5.6603773584905657</v>
      </c>
      <c r="Z15" s="77">
        <v>1.2658227848101267</v>
      </c>
      <c r="AA15" s="64" t="s">
        <v>1</v>
      </c>
      <c r="AB15" s="76">
        <f t="shared" si="6"/>
        <v>11.860386309725516</v>
      </c>
      <c r="AC15" s="77">
        <f t="shared" si="6"/>
        <v>15.151515151515152</v>
      </c>
      <c r="AD15" s="77">
        <f t="shared" si="6"/>
        <v>8.0468178493050484</v>
      </c>
      <c r="AE15" s="59" t="s">
        <v>12</v>
      </c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8"/>
      <c r="AT15" s="8"/>
      <c r="AU15" s="94"/>
    </row>
    <row r="16" spans="1:47" s="26" customFormat="1" ht="21" customHeight="1" x14ac:dyDescent="0.25">
      <c r="A16" s="43" t="s">
        <v>13</v>
      </c>
      <c r="B16" s="44"/>
      <c r="C16" s="45"/>
      <c r="D16" s="47">
        <v>8.3912037037037042</v>
      </c>
      <c r="E16" s="46">
        <v>8.2379862700228834</v>
      </c>
      <c r="F16" s="46">
        <v>6.4516129032258061</v>
      </c>
      <c r="G16" s="46">
        <v>21.505376344086024</v>
      </c>
      <c r="H16" s="47">
        <f>H11/H7*1000</f>
        <v>9.5068330362448012</v>
      </c>
      <c r="I16" s="46">
        <v>8.5227272727272716</v>
      </c>
      <c r="J16" s="46">
        <v>11.121408711770158</v>
      </c>
      <c r="K16" s="46">
        <v>0</v>
      </c>
      <c r="L16" s="78">
        <f t="shared" si="3"/>
        <v>6.6265060240963853</v>
      </c>
      <c r="M16" s="79">
        <f t="shared" si="3"/>
        <v>6.4070970921636272</v>
      </c>
      <c r="N16" s="79">
        <f t="shared" si="3"/>
        <v>6.381039197812215</v>
      </c>
      <c r="O16" s="80" t="s">
        <v>1</v>
      </c>
      <c r="P16" s="78">
        <f t="shared" si="4"/>
        <v>6.6624365482233499</v>
      </c>
      <c r="Q16" s="79">
        <f t="shared" si="4"/>
        <v>6.3882063882063882</v>
      </c>
      <c r="R16" s="79">
        <f t="shared" si="4"/>
        <v>7</v>
      </c>
      <c r="S16" s="80" t="s">
        <v>1</v>
      </c>
      <c r="T16" s="78">
        <f t="shared" si="5"/>
        <v>0</v>
      </c>
      <c r="U16" s="79">
        <f t="shared" si="5"/>
        <v>6.1816452686638135</v>
      </c>
      <c r="V16" s="79">
        <f t="shared" si="5"/>
        <v>4.3525571273122958</v>
      </c>
      <c r="W16" s="81" t="s">
        <v>1</v>
      </c>
      <c r="X16" s="78">
        <v>3.5610229847847199</v>
      </c>
      <c r="Y16" s="79">
        <v>6.4061499039077514</v>
      </c>
      <c r="Z16" s="79">
        <v>0</v>
      </c>
      <c r="AA16" s="81" t="s">
        <v>1</v>
      </c>
      <c r="AB16" s="78">
        <f t="shared" si="6"/>
        <v>7.7624029699628752</v>
      </c>
      <c r="AC16" s="79">
        <f t="shared" si="6"/>
        <v>13.067828251400124</v>
      </c>
      <c r="AD16" s="79">
        <f t="shared" si="6"/>
        <v>1.4749262536873156</v>
      </c>
      <c r="AE16" s="60" t="s">
        <v>14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94"/>
    </row>
    <row r="17" spans="1:55" s="49" customFormat="1" ht="18.75" x14ac:dyDescent="0.25">
      <c r="A17" s="85" t="s">
        <v>24</v>
      </c>
      <c r="B17" s="48"/>
      <c r="C17" s="48"/>
      <c r="D17" s="48"/>
      <c r="E17" s="48"/>
      <c r="F17" s="48"/>
      <c r="G17" s="48"/>
      <c r="W17" s="61"/>
      <c r="AA17" s="61"/>
      <c r="AE17" s="88" t="s">
        <v>25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94"/>
      <c r="AV17" s="50"/>
    </row>
    <row r="18" spans="1:55" s="52" customFormat="1" ht="18.75" x14ac:dyDescent="0.25">
      <c r="A18" s="86" t="s">
        <v>26</v>
      </c>
      <c r="B18" s="51"/>
      <c r="C18" s="51"/>
      <c r="AE18" s="89" t="s">
        <v>22</v>
      </c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</row>
    <row r="19" spans="1:55" ht="21" x14ac:dyDescent="0.2">
      <c r="A19" s="87" t="s">
        <v>4</v>
      </c>
      <c r="AE19" s="3" t="s">
        <v>5</v>
      </c>
    </row>
    <row r="20" spans="1:55" ht="12.75" x14ac:dyDescent="0.2">
      <c r="A20" s="2"/>
      <c r="AE20" s="53"/>
      <c r="AV20" s="54"/>
      <c r="AW20" s="54">
        <v>2015</v>
      </c>
      <c r="AX20" s="9">
        <v>2016</v>
      </c>
      <c r="AY20" s="9">
        <v>2017</v>
      </c>
      <c r="AZ20" s="9">
        <v>2018</v>
      </c>
      <c r="BA20" s="9">
        <v>2019</v>
      </c>
      <c r="BB20" s="9">
        <v>2020</v>
      </c>
      <c r="BC20" s="9">
        <v>2021</v>
      </c>
    </row>
    <row r="21" spans="1:55" ht="12.75" x14ac:dyDescent="0.2">
      <c r="AV21" s="54" t="s">
        <v>2</v>
      </c>
      <c r="AW21" s="55">
        <v>9.7949886104783594</v>
      </c>
      <c r="AX21" s="55">
        <f>I14</f>
        <v>8.2063305978898011</v>
      </c>
      <c r="AY21" s="55">
        <f>M14</f>
        <v>10.526315789473683</v>
      </c>
      <c r="AZ21" s="55">
        <f>Q14</f>
        <v>7.5029308323563892</v>
      </c>
      <c r="BA21" s="55">
        <f>U14</f>
        <v>5.6417489421720735</v>
      </c>
      <c r="BB21" s="55">
        <f>Y14</f>
        <v>11.424944462075532</v>
      </c>
      <c r="BC21" s="55">
        <f>AC14</f>
        <v>14.102162331557505</v>
      </c>
    </row>
    <row r="22" spans="1:55" ht="12.75" x14ac:dyDescent="0.2">
      <c r="AV22" s="54" t="s">
        <v>3</v>
      </c>
      <c r="AW22" s="55">
        <v>5.84795321637427</v>
      </c>
      <c r="AX22" s="55">
        <f>J14</f>
        <v>6.5207265952491849</v>
      </c>
      <c r="AY22" s="55">
        <f>N14</f>
        <v>6.381039197812215</v>
      </c>
      <c r="AZ22" s="55">
        <f>R14</f>
        <v>5.8852378616969103</v>
      </c>
      <c r="BA22" s="55">
        <f>V14</f>
        <v>4.3431053203040175</v>
      </c>
      <c r="BB22" s="55">
        <f>Z14</f>
        <v>2.2816166883963493</v>
      </c>
      <c r="BC22" s="55">
        <f>AD14</f>
        <v>4.7741461623209691</v>
      </c>
    </row>
    <row r="23" spans="1:55" ht="12.75" x14ac:dyDescent="0.2">
      <c r="AX23" s="55"/>
    </row>
    <row r="24" spans="1:55" ht="16.5" customHeight="1" x14ac:dyDescent="0.2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55" ht="16.5" customHeight="1" x14ac:dyDescent="0.2">
      <c r="AE25" s="74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</row>
    <row r="26" spans="1:55" ht="16.5" customHeight="1" x14ac:dyDescent="0.2"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54"/>
      <c r="AU26" s="54"/>
      <c r="AV26" s="54"/>
    </row>
    <row r="27" spans="1:55" ht="16.5" customHeight="1" x14ac:dyDescent="0.2"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</row>
  </sheetData>
  <mergeCells count="12">
    <mergeCell ref="AB3:AD3"/>
    <mergeCell ref="AE3:AE4"/>
    <mergeCell ref="AU15:AU17"/>
    <mergeCell ref="A1:AE1"/>
    <mergeCell ref="A2:AE2"/>
    <mergeCell ref="A3:A4"/>
    <mergeCell ref="D3:G3"/>
    <mergeCell ref="H3:K3"/>
    <mergeCell ref="L3:O3"/>
    <mergeCell ref="P3:S3"/>
    <mergeCell ref="T3:W3"/>
    <mergeCell ref="X3:AA3"/>
  </mergeCells>
  <pageMargins left="0.7" right="0.7" top="0.75" bottom="0.75" header="0.3" footer="0.3"/>
  <pageSetup paperSize="9" scale="35" orientation="portrait" r:id="rId1"/>
  <colBreaks count="1" manualBreakCount="1">
    <brk id="31" max="42" man="1"/>
  </colBreaks>
  <ignoredErrors>
    <ignoredError sqref="D9:K9 D13:K13 AD5 L13:O13 L9:O9 L7:AD8 L12:O12 P9:AD9 L16:AA16 P13:AD13 L5:T5 L6:T6 AB6:AD6 AB5:AC5 L14:AA14 AC14:AD14 L15:AA15" formula="1"/>
    <ignoredError sqref="D10:K11 L10:O11 P10:AB11 P12:AC12" formula="1" unlockedFormula="1"/>
    <ignoredError sqref="U5:AA5 U6:AA6" formula="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3.9</vt:lpstr>
      <vt:lpstr>'3.9'!Print_Area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2025-07-22T07:01:17Z</cp:lastPrinted>
  <dcterms:created xsi:type="dcterms:W3CDTF">2019-07-22T06:02:33Z</dcterms:created>
  <dcterms:modified xsi:type="dcterms:W3CDTF">2025-07-22T07:01:48Z</dcterms:modified>
</cp:coreProperties>
</file>