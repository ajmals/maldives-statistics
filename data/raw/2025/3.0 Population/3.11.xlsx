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pulation\"/>
    </mc:Choice>
  </mc:AlternateContent>
  <xr:revisionPtr revIDLastSave="0" documentId="13_ncr:1_{EE8B93D3-BBD0-4576-9A51-5949DC265764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11" sheetId="11" r:id="rId1"/>
  </sheets>
  <definedNames>
    <definedName name="_xlnm.Print_Area" localSheetId="0">'3.11'!$A$1:$S$28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11" l="1"/>
  <c r="Q15" i="11"/>
  <c r="N15" i="11"/>
  <c r="M15" i="11"/>
  <c r="J15" i="11"/>
  <c r="I15" i="11"/>
  <c r="H15" i="11"/>
  <c r="G15" i="11"/>
  <c r="F15" i="11"/>
  <c r="E15" i="11"/>
  <c r="D15" i="11"/>
  <c r="C15" i="11"/>
  <c r="B15" i="11"/>
  <c r="Q10" i="11"/>
  <c r="N10" i="11"/>
  <c r="M10" i="11"/>
  <c r="J10" i="11"/>
  <c r="I10" i="11"/>
  <c r="H10" i="11"/>
  <c r="G10" i="11"/>
  <c r="F10" i="11"/>
  <c r="E10" i="11"/>
  <c r="D10" i="11"/>
  <c r="C10" i="11"/>
  <c r="B10" i="11"/>
  <c r="Q9" i="11"/>
  <c r="P9" i="11"/>
  <c r="Q8" i="11"/>
  <c r="P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Q7" i="11"/>
  <c r="P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Q6" i="11"/>
  <c r="P6" i="11"/>
  <c r="M6" i="11"/>
  <c r="L6" i="11"/>
  <c r="K6" i="11"/>
  <c r="J6" i="11"/>
  <c r="I6" i="11"/>
  <c r="H6" i="11"/>
  <c r="G6" i="11"/>
  <c r="F6" i="11"/>
  <c r="E6" i="11"/>
  <c r="D6" i="11"/>
  <c r="C6" i="11"/>
  <c r="B6" i="11"/>
  <c r="N5" i="11"/>
  <c r="L5" i="11"/>
  <c r="K5" i="11"/>
  <c r="F5" i="11" l="1"/>
  <c r="G5" i="11"/>
  <c r="I5" i="11"/>
  <c r="M5" i="11"/>
  <c r="D5" i="11"/>
  <c r="E5" i="11"/>
  <c r="C5" i="11"/>
  <c r="B5" i="11"/>
  <c r="H5" i="11"/>
  <c r="J5" i="11"/>
  <c r="Q5" i="11"/>
</calcChain>
</file>

<file path=xl/sharedStrings.xml><?xml version="1.0" encoding="utf-8"?>
<sst xmlns="http://schemas.openxmlformats.org/spreadsheetml/2006/main" count="159" uniqueCount="32">
  <si>
    <t>cnehirif</t>
  </si>
  <si>
    <t>cnehcnwa</t>
  </si>
  <si>
    <t>Both Sexes</t>
  </si>
  <si>
    <t>Male</t>
  </si>
  <si>
    <t>Female</t>
  </si>
  <si>
    <t>-</t>
  </si>
  <si>
    <t>Not stated</t>
  </si>
  <si>
    <t>ބަޔާން ނުކުރާ</t>
  </si>
  <si>
    <t xml:space="preserve">Source: Ministry of Health </t>
  </si>
  <si>
    <t xml:space="preserve">މަޢުލޫމާތު ދެއްވީ: މިނިސްޓްރީ އޮފް ހެލްތު </t>
  </si>
  <si>
    <t>caerumua Whiruh</t>
  </si>
  <si>
    <t>Age (in days) and Sex</t>
  </si>
  <si>
    <t>uscnij idwa /(cnuhwvud) urumua</t>
  </si>
  <si>
    <t>Less than 7 days</t>
  </si>
  <si>
    <t>udwm eruvcSwhwvud 7</t>
  </si>
  <si>
    <t>7 - 27 days</t>
  </si>
  <si>
    <t>cswvud 27 - 7</t>
  </si>
  <si>
    <t>28 - 364</t>
  </si>
  <si>
    <t>364 - 28</t>
  </si>
  <si>
    <t>7 - 27</t>
  </si>
  <si>
    <t>27 - 7</t>
  </si>
  <si>
    <t>ޖިންސު ބަޔާންނުކުރާ</t>
  </si>
  <si>
    <t>Data includes Maldivians and foreigners</t>
  </si>
  <si>
    <t>Sex Not Stated</t>
  </si>
  <si>
    <t>Not Stated</t>
  </si>
  <si>
    <t>8 - 27</t>
  </si>
  <si>
    <t>29 - 364</t>
  </si>
  <si>
    <r>
      <t>2021</t>
    </r>
    <r>
      <rPr>
        <b/>
        <vertAlign val="superscript"/>
        <sz val="10"/>
        <color theme="1"/>
        <rFont val="Calibri"/>
        <family val="2"/>
      </rPr>
      <t>1_/</t>
    </r>
  </si>
  <si>
    <t>2021 - 2006 ,cnutogegurumua iaWscnij ,cnidukwDukivurwm : 3.11 ulwvWt</t>
  </si>
  <si>
    <r>
      <rPr>
        <sz val="2"/>
        <color theme="1"/>
        <rFont val="Faruma"/>
      </rPr>
      <t>ނ</t>
    </r>
    <r>
      <rPr>
        <sz val="9"/>
        <color theme="1"/>
        <rFont val="Faruma"/>
      </rPr>
      <t xml:space="preserve"> 2021 ވަނަ އަހަރުގެ މައުލޫމާތު ރިވައިޒުކުރަމުންދާތީވެ މިއަދަދުތަކަށް ބަދަލުއައުން އެކަށީގެންވެއެވެ. </t>
    </r>
  </si>
  <si>
    <t>Note: 1_/: 2021 figures are revised and  tentative and is expected to change</t>
  </si>
  <si>
    <t>Table 3.11 : INFANT DEATHS BY AGE AND SEX, 2006 - 2024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</si>
</sst>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68" formatCode="_(* #,##0_);_(* \(#,##0\);_(* &quot;-&quot;??_);_(@_)"/>
    <numFmt numFmtId="169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Faruma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theme="1"/>
      <name val="A_Faseyha"/>
    </font>
    <font>
      <b/>
      <sz val="11"/>
      <color theme="1"/>
      <name val="A_Faseyha"/>
    </font>
    <font>
      <b/>
      <sz val="8"/>
      <color theme="1"/>
      <name val="A_Faseyha"/>
    </font>
    <font>
      <b/>
      <sz val="10"/>
      <color theme="1"/>
      <name val="A_Faseyha"/>
    </font>
    <font>
      <sz val="2"/>
      <color theme="1"/>
      <name val="Faruma"/>
    </font>
    <font>
      <b/>
      <vertAlign val="superscript"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6" fillId="0" borderId="0"/>
    <xf numFmtId="0" fontId="5" fillId="0" borderId="0"/>
    <xf numFmtId="0" fontId="5" fillId="0" borderId="0"/>
    <xf numFmtId="0" fontId="1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169" fontId="10" fillId="2" borderId="0" xfId="14" applyNumberFormat="1" applyFont="1" applyFill="1" applyBorder="1" applyAlignment="1">
      <alignment horizontal="right" vertical="center"/>
    </xf>
    <xf numFmtId="169" fontId="8" fillId="2" borderId="1" xfId="14" applyNumberFormat="1" applyFont="1" applyFill="1" applyBorder="1" applyAlignment="1">
      <alignment horizontal="right" vertical="center"/>
    </xf>
    <xf numFmtId="167" fontId="6" fillId="2" borderId="0" xfId="0" applyNumberFormat="1" applyFont="1" applyFill="1"/>
    <xf numFmtId="167" fontId="7" fillId="2" borderId="1" xfId="0" applyNumberFormat="1" applyFont="1" applyFill="1" applyBorder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167" fontId="9" fillId="2" borderId="2" xfId="0" applyNumberFormat="1" applyFont="1" applyFill="1" applyBorder="1" applyAlignment="1">
      <alignment horizontal="left" vertical="center"/>
    </xf>
    <xf numFmtId="167" fontId="9" fillId="2" borderId="2" xfId="0" applyNumberFormat="1" applyFont="1" applyFill="1" applyBorder="1" applyAlignment="1">
      <alignment horizontal="right" vertical="center"/>
    </xf>
    <xf numFmtId="167" fontId="8" fillId="2" borderId="2" xfId="0" applyNumberFormat="1" applyFont="1" applyFill="1" applyBorder="1" applyAlignment="1">
      <alignment horizontal="right" vertical="center"/>
    </xf>
    <xf numFmtId="167" fontId="19" fillId="2" borderId="2" xfId="0" applyNumberFormat="1" applyFont="1" applyFill="1" applyBorder="1" applyAlignment="1">
      <alignment horizontal="right" vertical="center"/>
    </xf>
    <xf numFmtId="167" fontId="9" fillId="2" borderId="0" xfId="0" applyNumberFormat="1" applyFont="1" applyFill="1" applyAlignment="1">
      <alignment horizontal="left" vertical="center" indent="1"/>
    </xf>
    <xf numFmtId="167" fontId="9" fillId="2" borderId="0" xfId="0" applyNumberFormat="1" applyFont="1" applyFill="1" applyAlignment="1">
      <alignment vertical="center"/>
    </xf>
    <xf numFmtId="167" fontId="20" fillId="2" borderId="0" xfId="0" applyNumberFormat="1" applyFont="1" applyFill="1" applyAlignment="1">
      <alignment horizontal="right" vertical="center" indent="1"/>
    </xf>
    <xf numFmtId="167" fontId="12" fillId="2" borderId="0" xfId="0" applyNumberFormat="1" applyFont="1" applyFill="1" applyAlignment="1">
      <alignment horizontal="left" vertical="center" indent="1"/>
    </xf>
    <xf numFmtId="167" fontId="12" fillId="2" borderId="0" xfId="0" applyNumberFormat="1" applyFont="1" applyFill="1" applyAlignment="1">
      <alignment vertical="center"/>
    </xf>
    <xf numFmtId="167" fontId="17" fillId="2" borderId="0" xfId="0" applyNumberFormat="1" applyFont="1" applyFill="1" applyAlignment="1">
      <alignment horizontal="right" vertical="center" indent="1"/>
    </xf>
    <xf numFmtId="167" fontId="12" fillId="2" borderId="0" xfId="0" quotePrefix="1" applyNumberFormat="1" applyFont="1" applyFill="1" applyAlignment="1">
      <alignment horizontal="left" vertical="center" indent="1"/>
    </xf>
    <xf numFmtId="167" fontId="17" fillId="2" borderId="0" xfId="0" quotePrefix="1" applyNumberFormat="1" applyFont="1" applyFill="1" applyAlignment="1">
      <alignment horizontal="right" vertical="center" indent="1"/>
    </xf>
    <xf numFmtId="167" fontId="14" fillId="2" borderId="0" xfId="0" quotePrefix="1" applyNumberFormat="1" applyFont="1" applyFill="1" applyAlignment="1">
      <alignment horizontal="right" vertical="center" indent="1"/>
    </xf>
    <xf numFmtId="167" fontId="12" fillId="2" borderId="1" xfId="0" quotePrefix="1" applyNumberFormat="1" applyFont="1" applyFill="1" applyBorder="1" applyAlignment="1">
      <alignment horizontal="left" vertical="center" indent="1"/>
    </xf>
    <xf numFmtId="167" fontId="12" fillId="2" borderId="1" xfId="0" applyNumberFormat="1" applyFont="1" applyFill="1" applyBorder="1" applyAlignment="1">
      <alignment vertical="center"/>
    </xf>
    <xf numFmtId="167" fontId="14" fillId="2" borderId="1" xfId="0" quotePrefix="1" applyNumberFormat="1" applyFont="1" applyFill="1" applyBorder="1" applyAlignment="1">
      <alignment horizontal="right" vertical="center" indent="1"/>
    </xf>
    <xf numFmtId="167" fontId="15" fillId="2" borderId="0" xfId="11" applyFont="1" applyFill="1" applyAlignment="1" applyProtection="1">
      <alignment vertical="center"/>
      <protection hidden="1"/>
    </xf>
    <xf numFmtId="167" fontId="6" fillId="2" borderId="0" xfId="0" applyNumberFormat="1" applyFont="1" applyFill="1" applyAlignment="1">
      <alignment vertical="center"/>
    </xf>
    <xf numFmtId="167" fontId="11" fillId="2" borderId="0" xfId="10" applyFont="1" applyFill="1" applyAlignment="1" applyProtection="1">
      <alignment horizontal="right" vertical="center" indent="1"/>
      <protection hidden="1"/>
    </xf>
    <xf numFmtId="167" fontId="13" fillId="2" borderId="0" xfId="0" applyNumberFormat="1" applyFont="1" applyFill="1" applyAlignment="1">
      <alignment horizontal="left" vertical="center"/>
    </xf>
    <xf numFmtId="167" fontId="11" fillId="2" borderId="0" xfId="10" applyFont="1" applyFill="1" applyAlignment="1" applyProtection="1">
      <alignment horizontal="right"/>
      <protection hidden="1"/>
    </xf>
    <xf numFmtId="167" fontId="4" fillId="2" borderId="0" xfId="0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 vertical="center"/>
    </xf>
    <xf numFmtId="167" fontId="12" fillId="2" borderId="0" xfId="0" applyNumberFormat="1" applyFont="1" applyFill="1" applyAlignment="1">
      <alignment horizontal="right" vertical="center"/>
    </xf>
    <xf numFmtId="168" fontId="10" fillId="2" borderId="1" xfId="14" applyNumberFormat="1" applyFont="1" applyFill="1" applyBorder="1" applyAlignment="1">
      <alignment horizontal="right" vertical="center"/>
    </xf>
    <xf numFmtId="167" fontId="12" fillId="2" borderId="1" xfId="0" applyNumberFormat="1" applyFont="1" applyFill="1" applyBorder="1" applyAlignment="1">
      <alignment horizontal="right" vertical="center"/>
    </xf>
    <xf numFmtId="168" fontId="10" fillId="2" borderId="0" xfId="14" applyNumberFormat="1" applyFont="1" applyFill="1" applyBorder="1" applyAlignment="1">
      <alignment horizontal="right" vertical="center"/>
    </xf>
    <xf numFmtId="167" fontId="18" fillId="2" borderId="0" xfId="0" applyNumberFormat="1" applyFont="1" applyFill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</cellXfs>
  <cellStyles count="26">
    <cellStyle name="1" xfId="15" xr:uid="{00000000-0005-0000-0000-000000000000}"/>
    <cellStyle name="Comma" xfId="14" builtinId="3"/>
    <cellStyle name="Comma 2" xfId="13" xr:uid="{00000000-0005-0000-0000-000002000000}"/>
    <cellStyle name="Comma 2 2" xfId="24" xr:uid="{00000000-0005-0000-0000-000003000000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2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9BC2E6"/>
      <color rgb="FF003399"/>
      <color rgb="FFEFF5FB"/>
      <color rgb="FFEEEEEE"/>
      <color rgb="FFAEAAAA"/>
      <color rgb="FF7E5400"/>
      <color rgb="FF33CCCC"/>
      <color rgb="FF009999"/>
      <color rgb="FF00DFDA"/>
      <color rgb="FF006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8"/>
  <sheetViews>
    <sheetView tabSelected="1" zoomScaleNormal="100" workbookViewId="0">
      <selection activeCell="U20" sqref="U20"/>
    </sheetView>
  </sheetViews>
  <sheetFormatPr defaultRowHeight="15" x14ac:dyDescent="0.25"/>
  <cols>
    <col min="1" max="1" width="19.140625" style="1" customWidth="1"/>
    <col min="2" max="11" width="8.140625" style="1" customWidth="1"/>
    <col min="12" max="17" width="8.5703125" style="1" customWidth="1"/>
    <col min="18" max="18" width="24" style="1" customWidth="1"/>
    <col min="19" max="19" width="3.42578125" style="1" customWidth="1"/>
    <col min="20" max="255" width="9.140625" style="1"/>
    <col min="256" max="256" width="19.140625" style="1" customWidth="1"/>
    <col min="257" max="259" width="0" style="1" hidden="1" customWidth="1"/>
    <col min="260" max="269" width="8.140625" style="1" customWidth="1"/>
    <col min="270" max="271" width="8.5703125" style="1" customWidth="1"/>
    <col min="272" max="272" width="0" style="1" hidden="1" customWidth="1"/>
    <col min="273" max="273" width="22.7109375" style="1" customWidth="1"/>
    <col min="274" max="511" width="9.140625" style="1"/>
    <col min="512" max="512" width="19.140625" style="1" customWidth="1"/>
    <col min="513" max="515" width="0" style="1" hidden="1" customWidth="1"/>
    <col min="516" max="525" width="8.140625" style="1" customWidth="1"/>
    <col min="526" max="527" width="8.5703125" style="1" customWidth="1"/>
    <col min="528" max="528" width="0" style="1" hidden="1" customWidth="1"/>
    <col min="529" max="529" width="22.7109375" style="1" customWidth="1"/>
    <col min="530" max="767" width="9.140625" style="1"/>
    <col min="768" max="768" width="19.140625" style="1" customWidth="1"/>
    <col min="769" max="771" width="0" style="1" hidden="1" customWidth="1"/>
    <col min="772" max="781" width="8.140625" style="1" customWidth="1"/>
    <col min="782" max="783" width="8.5703125" style="1" customWidth="1"/>
    <col min="784" max="784" width="0" style="1" hidden="1" customWidth="1"/>
    <col min="785" max="785" width="22.7109375" style="1" customWidth="1"/>
    <col min="786" max="1023" width="9.140625" style="1"/>
    <col min="1024" max="1024" width="19.140625" style="1" customWidth="1"/>
    <col min="1025" max="1027" width="0" style="1" hidden="1" customWidth="1"/>
    <col min="1028" max="1037" width="8.140625" style="1" customWidth="1"/>
    <col min="1038" max="1039" width="8.5703125" style="1" customWidth="1"/>
    <col min="1040" max="1040" width="0" style="1" hidden="1" customWidth="1"/>
    <col min="1041" max="1041" width="22.7109375" style="1" customWidth="1"/>
    <col min="1042" max="1279" width="9.140625" style="1"/>
    <col min="1280" max="1280" width="19.140625" style="1" customWidth="1"/>
    <col min="1281" max="1283" width="0" style="1" hidden="1" customWidth="1"/>
    <col min="1284" max="1293" width="8.140625" style="1" customWidth="1"/>
    <col min="1294" max="1295" width="8.5703125" style="1" customWidth="1"/>
    <col min="1296" max="1296" width="0" style="1" hidden="1" customWidth="1"/>
    <col min="1297" max="1297" width="22.7109375" style="1" customWidth="1"/>
    <col min="1298" max="1535" width="9.140625" style="1"/>
    <col min="1536" max="1536" width="19.140625" style="1" customWidth="1"/>
    <col min="1537" max="1539" width="0" style="1" hidden="1" customWidth="1"/>
    <col min="1540" max="1549" width="8.140625" style="1" customWidth="1"/>
    <col min="1550" max="1551" width="8.5703125" style="1" customWidth="1"/>
    <col min="1552" max="1552" width="0" style="1" hidden="1" customWidth="1"/>
    <col min="1553" max="1553" width="22.7109375" style="1" customWidth="1"/>
    <col min="1554" max="1791" width="9.140625" style="1"/>
    <col min="1792" max="1792" width="19.140625" style="1" customWidth="1"/>
    <col min="1793" max="1795" width="0" style="1" hidden="1" customWidth="1"/>
    <col min="1796" max="1805" width="8.140625" style="1" customWidth="1"/>
    <col min="1806" max="1807" width="8.5703125" style="1" customWidth="1"/>
    <col min="1808" max="1808" width="0" style="1" hidden="1" customWidth="1"/>
    <col min="1809" max="1809" width="22.7109375" style="1" customWidth="1"/>
    <col min="1810" max="2047" width="9.140625" style="1"/>
    <col min="2048" max="2048" width="19.140625" style="1" customWidth="1"/>
    <col min="2049" max="2051" width="0" style="1" hidden="1" customWidth="1"/>
    <col min="2052" max="2061" width="8.140625" style="1" customWidth="1"/>
    <col min="2062" max="2063" width="8.5703125" style="1" customWidth="1"/>
    <col min="2064" max="2064" width="0" style="1" hidden="1" customWidth="1"/>
    <col min="2065" max="2065" width="22.7109375" style="1" customWidth="1"/>
    <col min="2066" max="2303" width="9.140625" style="1"/>
    <col min="2304" max="2304" width="19.140625" style="1" customWidth="1"/>
    <col min="2305" max="2307" width="0" style="1" hidden="1" customWidth="1"/>
    <col min="2308" max="2317" width="8.140625" style="1" customWidth="1"/>
    <col min="2318" max="2319" width="8.5703125" style="1" customWidth="1"/>
    <col min="2320" max="2320" width="0" style="1" hidden="1" customWidth="1"/>
    <col min="2321" max="2321" width="22.7109375" style="1" customWidth="1"/>
    <col min="2322" max="2559" width="9.140625" style="1"/>
    <col min="2560" max="2560" width="19.140625" style="1" customWidth="1"/>
    <col min="2561" max="2563" width="0" style="1" hidden="1" customWidth="1"/>
    <col min="2564" max="2573" width="8.140625" style="1" customWidth="1"/>
    <col min="2574" max="2575" width="8.5703125" style="1" customWidth="1"/>
    <col min="2576" max="2576" width="0" style="1" hidden="1" customWidth="1"/>
    <col min="2577" max="2577" width="22.7109375" style="1" customWidth="1"/>
    <col min="2578" max="2815" width="9.140625" style="1"/>
    <col min="2816" max="2816" width="19.140625" style="1" customWidth="1"/>
    <col min="2817" max="2819" width="0" style="1" hidden="1" customWidth="1"/>
    <col min="2820" max="2829" width="8.140625" style="1" customWidth="1"/>
    <col min="2830" max="2831" width="8.5703125" style="1" customWidth="1"/>
    <col min="2832" max="2832" width="0" style="1" hidden="1" customWidth="1"/>
    <col min="2833" max="2833" width="22.7109375" style="1" customWidth="1"/>
    <col min="2834" max="3071" width="9.140625" style="1"/>
    <col min="3072" max="3072" width="19.140625" style="1" customWidth="1"/>
    <col min="3073" max="3075" width="0" style="1" hidden="1" customWidth="1"/>
    <col min="3076" max="3085" width="8.140625" style="1" customWidth="1"/>
    <col min="3086" max="3087" width="8.5703125" style="1" customWidth="1"/>
    <col min="3088" max="3088" width="0" style="1" hidden="1" customWidth="1"/>
    <col min="3089" max="3089" width="22.7109375" style="1" customWidth="1"/>
    <col min="3090" max="3327" width="9.140625" style="1"/>
    <col min="3328" max="3328" width="19.140625" style="1" customWidth="1"/>
    <col min="3329" max="3331" width="0" style="1" hidden="1" customWidth="1"/>
    <col min="3332" max="3341" width="8.140625" style="1" customWidth="1"/>
    <col min="3342" max="3343" width="8.5703125" style="1" customWidth="1"/>
    <col min="3344" max="3344" width="0" style="1" hidden="1" customWidth="1"/>
    <col min="3345" max="3345" width="22.7109375" style="1" customWidth="1"/>
    <col min="3346" max="3583" width="9.140625" style="1"/>
    <col min="3584" max="3584" width="19.140625" style="1" customWidth="1"/>
    <col min="3585" max="3587" width="0" style="1" hidden="1" customWidth="1"/>
    <col min="3588" max="3597" width="8.140625" style="1" customWidth="1"/>
    <col min="3598" max="3599" width="8.5703125" style="1" customWidth="1"/>
    <col min="3600" max="3600" width="0" style="1" hidden="1" customWidth="1"/>
    <col min="3601" max="3601" width="22.7109375" style="1" customWidth="1"/>
    <col min="3602" max="3839" width="9.140625" style="1"/>
    <col min="3840" max="3840" width="19.140625" style="1" customWidth="1"/>
    <col min="3841" max="3843" width="0" style="1" hidden="1" customWidth="1"/>
    <col min="3844" max="3853" width="8.140625" style="1" customWidth="1"/>
    <col min="3854" max="3855" width="8.5703125" style="1" customWidth="1"/>
    <col min="3856" max="3856" width="0" style="1" hidden="1" customWidth="1"/>
    <col min="3857" max="3857" width="22.7109375" style="1" customWidth="1"/>
    <col min="3858" max="4095" width="9.140625" style="1"/>
    <col min="4096" max="4096" width="19.140625" style="1" customWidth="1"/>
    <col min="4097" max="4099" width="0" style="1" hidden="1" customWidth="1"/>
    <col min="4100" max="4109" width="8.140625" style="1" customWidth="1"/>
    <col min="4110" max="4111" width="8.5703125" style="1" customWidth="1"/>
    <col min="4112" max="4112" width="0" style="1" hidden="1" customWidth="1"/>
    <col min="4113" max="4113" width="22.7109375" style="1" customWidth="1"/>
    <col min="4114" max="4351" width="9.140625" style="1"/>
    <col min="4352" max="4352" width="19.140625" style="1" customWidth="1"/>
    <col min="4353" max="4355" width="0" style="1" hidden="1" customWidth="1"/>
    <col min="4356" max="4365" width="8.140625" style="1" customWidth="1"/>
    <col min="4366" max="4367" width="8.5703125" style="1" customWidth="1"/>
    <col min="4368" max="4368" width="0" style="1" hidden="1" customWidth="1"/>
    <col min="4369" max="4369" width="22.7109375" style="1" customWidth="1"/>
    <col min="4370" max="4607" width="9.140625" style="1"/>
    <col min="4608" max="4608" width="19.140625" style="1" customWidth="1"/>
    <col min="4609" max="4611" width="0" style="1" hidden="1" customWidth="1"/>
    <col min="4612" max="4621" width="8.140625" style="1" customWidth="1"/>
    <col min="4622" max="4623" width="8.5703125" style="1" customWidth="1"/>
    <col min="4624" max="4624" width="0" style="1" hidden="1" customWidth="1"/>
    <col min="4625" max="4625" width="22.7109375" style="1" customWidth="1"/>
    <col min="4626" max="4863" width="9.140625" style="1"/>
    <col min="4864" max="4864" width="19.140625" style="1" customWidth="1"/>
    <col min="4865" max="4867" width="0" style="1" hidden="1" customWidth="1"/>
    <col min="4868" max="4877" width="8.140625" style="1" customWidth="1"/>
    <col min="4878" max="4879" width="8.5703125" style="1" customWidth="1"/>
    <col min="4880" max="4880" width="0" style="1" hidden="1" customWidth="1"/>
    <col min="4881" max="4881" width="22.7109375" style="1" customWidth="1"/>
    <col min="4882" max="5119" width="9.140625" style="1"/>
    <col min="5120" max="5120" width="19.140625" style="1" customWidth="1"/>
    <col min="5121" max="5123" width="0" style="1" hidden="1" customWidth="1"/>
    <col min="5124" max="5133" width="8.140625" style="1" customWidth="1"/>
    <col min="5134" max="5135" width="8.5703125" style="1" customWidth="1"/>
    <col min="5136" max="5136" width="0" style="1" hidden="1" customWidth="1"/>
    <col min="5137" max="5137" width="22.7109375" style="1" customWidth="1"/>
    <col min="5138" max="5375" width="9.140625" style="1"/>
    <col min="5376" max="5376" width="19.140625" style="1" customWidth="1"/>
    <col min="5377" max="5379" width="0" style="1" hidden="1" customWidth="1"/>
    <col min="5380" max="5389" width="8.140625" style="1" customWidth="1"/>
    <col min="5390" max="5391" width="8.5703125" style="1" customWidth="1"/>
    <col min="5392" max="5392" width="0" style="1" hidden="1" customWidth="1"/>
    <col min="5393" max="5393" width="22.7109375" style="1" customWidth="1"/>
    <col min="5394" max="5631" width="9.140625" style="1"/>
    <col min="5632" max="5632" width="19.140625" style="1" customWidth="1"/>
    <col min="5633" max="5635" width="0" style="1" hidden="1" customWidth="1"/>
    <col min="5636" max="5645" width="8.140625" style="1" customWidth="1"/>
    <col min="5646" max="5647" width="8.5703125" style="1" customWidth="1"/>
    <col min="5648" max="5648" width="0" style="1" hidden="1" customWidth="1"/>
    <col min="5649" max="5649" width="22.7109375" style="1" customWidth="1"/>
    <col min="5650" max="5887" width="9.140625" style="1"/>
    <col min="5888" max="5888" width="19.140625" style="1" customWidth="1"/>
    <col min="5889" max="5891" width="0" style="1" hidden="1" customWidth="1"/>
    <col min="5892" max="5901" width="8.140625" style="1" customWidth="1"/>
    <col min="5902" max="5903" width="8.5703125" style="1" customWidth="1"/>
    <col min="5904" max="5904" width="0" style="1" hidden="1" customWidth="1"/>
    <col min="5905" max="5905" width="22.7109375" style="1" customWidth="1"/>
    <col min="5906" max="6143" width="9.140625" style="1"/>
    <col min="6144" max="6144" width="19.140625" style="1" customWidth="1"/>
    <col min="6145" max="6147" width="0" style="1" hidden="1" customWidth="1"/>
    <col min="6148" max="6157" width="8.140625" style="1" customWidth="1"/>
    <col min="6158" max="6159" width="8.5703125" style="1" customWidth="1"/>
    <col min="6160" max="6160" width="0" style="1" hidden="1" customWidth="1"/>
    <col min="6161" max="6161" width="22.7109375" style="1" customWidth="1"/>
    <col min="6162" max="6399" width="9.140625" style="1"/>
    <col min="6400" max="6400" width="19.140625" style="1" customWidth="1"/>
    <col min="6401" max="6403" width="0" style="1" hidden="1" customWidth="1"/>
    <col min="6404" max="6413" width="8.140625" style="1" customWidth="1"/>
    <col min="6414" max="6415" width="8.5703125" style="1" customWidth="1"/>
    <col min="6416" max="6416" width="0" style="1" hidden="1" customWidth="1"/>
    <col min="6417" max="6417" width="22.7109375" style="1" customWidth="1"/>
    <col min="6418" max="6655" width="9.140625" style="1"/>
    <col min="6656" max="6656" width="19.140625" style="1" customWidth="1"/>
    <col min="6657" max="6659" width="0" style="1" hidden="1" customWidth="1"/>
    <col min="6660" max="6669" width="8.140625" style="1" customWidth="1"/>
    <col min="6670" max="6671" width="8.5703125" style="1" customWidth="1"/>
    <col min="6672" max="6672" width="0" style="1" hidden="1" customWidth="1"/>
    <col min="6673" max="6673" width="22.7109375" style="1" customWidth="1"/>
    <col min="6674" max="6911" width="9.140625" style="1"/>
    <col min="6912" max="6912" width="19.140625" style="1" customWidth="1"/>
    <col min="6913" max="6915" width="0" style="1" hidden="1" customWidth="1"/>
    <col min="6916" max="6925" width="8.140625" style="1" customWidth="1"/>
    <col min="6926" max="6927" width="8.5703125" style="1" customWidth="1"/>
    <col min="6928" max="6928" width="0" style="1" hidden="1" customWidth="1"/>
    <col min="6929" max="6929" width="22.7109375" style="1" customWidth="1"/>
    <col min="6930" max="7167" width="9.140625" style="1"/>
    <col min="7168" max="7168" width="19.140625" style="1" customWidth="1"/>
    <col min="7169" max="7171" width="0" style="1" hidden="1" customWidth="1"/>
    <col min="7172" max="7181" width="8.140625" style="1" customWidth="1"/>
    <col min="7182" max="7183" width="8.5703125" style="1" customWidth="1"/>
    <col min="7184" max="7184" width="0" style="1" hidden="1" customWidth="1"/>
    <col min="7185" max="7185" width="22.7109375" style="1" customWidth="1"/>
    <col min="7186" max="7423" width="9.140625" style="1"/>
    <col min="7424" max="7424" width="19.140625" style="1" customWidth="1"/>
    <col min="7425" max="7427" width="0" style="1" hidden="1" customWidth="1"/>
    <col min="7428" max="7437" width="8.140625" style="1" customWidth="1"/>
    <col min="7438" max="7439" width="8.5703125" style="1" customWidth="1"/>
    <col min="7440" max="7440" width="0" style="1" hidden="1" customWidth="1"/>
    <col min="7441" max="7441" width="22.7109375" style="1" customWidth="1"/>
    <col min="7442" max="7679" width="9.140625" style="1"/>
    <col min="7680" max="7680" width="19.140625" style="1" customWidth="1"/>
    <col min="7681" max="7683" width="0" style="1" hidden="1" customWidth="1"/>
    <col min="7684" max="7693" width="8.140625" style="1" customWidth="1"/>
    <col min="7694" max="7695" width="8.5703125" style="1" customWidth="1"/>
    <col min="7696" max="7696" width="0" style="1" hidden="1" customWidth="1"/>
    <col min="7697" max="7697" width="22.7109375" style="1" customWidth="1"/>
    <col min="7698" max="7935" width="9.140625" style="1"/>
    <col min="7936" max="7936" width="19.140625" style="1" customWidth="1"/>
    <col min="7937" max="7939" width="0" style="1" hidden="1" customWidth="1"/>
    <col min="7940" max="7949" width="8.140625" style="1" customWidth="1"/>
    <col min="7950" max="7951" width="8.5703125" style="1" customWidth="1"/>
    <col min="7952" max="7952" width="0" style="1" hidden="1" customWidth="1"/>
    <col min="7953" max="7953" width="22.7109375" style="1" customWidth="1"/>
    <col min="7954" max="8191" width="9.140625" style="1"/>
    <col min="8192" max="8192" width="19.140625" style="1" customWidth="1"/>
    <col min="8193" max="8195" width="0" style="1" hidden="1" customWidth="1"/>
    <col min="8196" max="8205" width="8.140625" style="1" customWidth="1"/>
    <col min="8206" max="8207" width="8.5703125" style="1" customWidth="1"/>
    <col min="8208" max="8208" width="0" style="1" hidden="1" customWidth="1"/>
    <col min="8209" max="8209" width="22.7109375" style="1" customWidth="1"/>
    <col min="8210" max="8447" width="9.140625" style="1"/>
    <col min="8448" max="8448" width="19.140625" style="1" customWidth="1"/>
    <col min="8449" max="8451" width="0" style="1" hidden="1" customWidth="1"/>
    <col min="8452" max="8461" width="8.140625" style="1" customWidth="1"/>
    <col min="8462" max="8463" width="8.5703125" style="1" customWidth="1"/>
    <col min="8464" max="8464" width="0" style="1" hidden="1" customWidth="1"/>
    <col min="8465" max="8465" width="22.7109375" style="1" customWidth="1"/>
    <col min="8466" max="8703" width="9.140625" style="1"/>
    <col min="8704" max="8704" width="19.140625" style="1" customWidth="1"/>
    <col min="8705" max="8707" width="0" style="1" hidden="1" customWidth="1"/>
    <col min="8708" max="8717" width="8.140625" style="1" customWidth="1"/>
    <col min="8718" max="8719" width="8.5703125" style="1" customWidth="1"/>
    <col min="8720" max="8720" width="0" style="1" hidden="1" customWidth="1"/>
    <col min="8721" max="8721" width="22.7109375" style="1" customWidth="1"/>
    <col min="8722" max="8959" width="9.140625" style="1"/>
    <col min="8960" max="8960" width="19.140625" style="1" customWidth="1"/>
    <col min="8961" max="8963" width="0" style="1" hidden="1" customWidth="1"/>
    <col min="8964" max="8973" width="8.140625" style="1" customWidth="1"/>
    <col min="8974" max="8975" width="8.5703125" style="1" customWidth="1"/>
    <col min="8976" max="8976" width="0" style="1" hidden="1" customWidth="1"/>
    <col min="8977" max="8977" width="22.7109375" style="1" customWidth="1"/>
    <col min="8978" max="9215" width="9.140625" style="1"/>
    <col min="9216" max="9216" width="19.140625" style="1" customWidth="1"/>
    <col min="9217" max="9219" width="0" style="1" hidden="1" customWidth="1"/>
    <col min="9220" max="9229" width="8.140625" style="1" customWidth="1"/>
    <col min="9230" max="9231" width="8.5703125" style="1" customWidth="1"/>
    <col min="9232" max="9232" width="0" style="1" hidden="1" customWidth="1"/>
    <col min="9233" max="9233" width="22.7109375" style="1" customWidth="1"/>
    <col min="9234" max="9471" width="9.140625" style="1"/>
    <col min="9472" max="9472" width="19.140625" style="1" customWidth="1"/>
    <col min="9473" max="9475" width="0" style="1" hidden="1" customWidth="1"/>
    <col min="9476" max="9485" width="8.140625" style="1" customWidth="1"/>
    <col min="9486" max="9487" width="8.5703125" style="1" customWidth="1"/>
    <col min="9488" max="9488" width="0" style="1" hidden="1" customWidth="1"/>
    <col min="9489" max="9489" width="22.7109375" style="1" customWidth="1"/>
    <col min="9490" max="9727" width="9.140625" style="1"/>
    <col min="9728" max="9728" width="19.140625" style="1" customWidth="1"/>
    <col min="9729" max="9731" width="0" style="1" hidden="1" customWidth="1"/>
    <col min="9732" max="9741" width="8.140625" style="1" customWidth="1"/>
    <col min="9742" max="9743" width="8.5703125" style="1" customWidth="1"/>
    <col min="9744" max="9744" width="0" style="1" hidden="1" customWidth="1"/>
    <col min="9745" max="9745" width="22.7109375" style="1" customWidth="1"/>
    <col min="9746" max="9983" width="9.140625" style="1"/>
    <col min="9984" max="9984" width="19.140625" style="1" customWidth="1"/>
    <col min="9985" max="9987" width="0" style="1" hidden="1" customWidth="1"/>
    <col min="9988" max="9997" width="8.140625" style="1" customWidth="1"/>
    <col min="9998" max="9999" width="8.5703125" style="1" customWidth="1"/>
    <col min="10000" max="10000" width="0" style="1" hidden="1" customWidth="1"/>
    <col min="10001" max="10001" width="22.7109375" style="1" customWidth="1"/>
    <col min="10002" max="10239" width="9.140625" style="1"/>
    <col min="10240" max="10240" width="19.140625" style="1" customWidth="1"/>
    <col min="10241" max="10243" width="0" style="1" hidden="1" customWidth="1"/>
    <col min="10244" max="10253" width="8.140625" style="1" customWidth="1"/>
    <col min="10254" max="10255" width="8.5703125" style="1" customWidth="1"/>
    <col min="10256" max="10256" width="0" style="1" hidden="1" customWidth="1"/>
    <col min="10257" max="10257" width="22.7109375" style="1" customWidth="1"/>
    <col min="10258" max="10495" width="9.140625" style="1"/>
    <col min="10496" max="10496" width="19.140625" style="1" customWidth="1"/>
    <col min="10497" max="10499" width="0" style="1" hidden="1" customWidth="1"/>
    <col min="10500" max="10509" width="8.140625" style="1" customWidth="1"/>
    <col min="10510" max="10511" width="8.5703125" style="1" customWidth="1"/>
    <col min="10512" max="10512" width="0" style="1" hidden="1" customWidth="1"/>
    <col min="10513" max="10513" width="22.7109375" style="1" customWidth="1"/>
    <col min="10514" max="10751" width="9.140625" style="1"/>
    <col min="10752" max="10752" width="19.140625" style="1" customWidth="1"/>
    <col min="10753" max="10755" width="0" style="1" hidden="1" customWidth="1"/>
    <col min="10756" max="10765" width="8.140625" style="1" customWidth="1"/>
    <col min="10766" max="10767" width="8.5703125" style="1" customWidth="1"/>
    <col min="10768" max="10768" width="0" style="1" hidden="1" customWidth="1"/>
    <col min="10769" max="10769" width="22.7109375" style="1" customWidth="1"/>
    <col min="10770" max="11007" width="9.140625" style="1"/>
    <col min="11008" max="11008" width="19.140625" style="1" customWidth="1"/>
    <col min="11009" max="11011" width="0" style="1" hidden="1" customWidth="1"/>
    <col min="11012" max="11021" width="8.140625" style="1" customWidth="1"/>
    <col min="11022" max="11023" width="8.5703125" style="1" customWidth="1"/>
    <col min="11024" max="11024" width="0" style="1" hidden="1" customWidth="1"/>
    <col min="11025" max="11025" width="22.7109375" style="1" customWidth="1"/>
    <col min="11026" max="11263" width="9.140625" style="1"/>
    <col min="11264" max="11264" width="19.140625" style="1" customWidth="1"/>
    <col min="11265" max="11267" width="0" style="1" hidden="1" customWidth="1"/>
    <col min="11268" max="11277" width="8.140625" style="1" customWidth="1"/>
    <col min="11278" max="11279" width="8.5703125" style="1" customWidth="1"/>
    <col min="11280" max="11280" width="0" style="1" hidden="1" customWidth="1"/>
    <col min="11281" max="11281" width="22.7109375" style="1" customWidth="1"/>
    <col min="11282" max="11519" width="9.140625" style="1"/>
    <col min="11520" max="11520" width="19.140625" style="1" customWidth="1"/>
    <col min="11521" max="11523" width="0" style="1" hidden="1" customWidth="1"/>
    <col min="11524" max="11533" width="8.140625" style="1" customWidth="1"/>
    <col min="11534" max="11535" width="8.5703125" style="1" customWidth="1"/>
    <col min="11536" max="11536" width="0" style="1" hidden="1" customWidth="1"/>
    <col min="11537" max="11537" width="22.7109375" style="1" customWidth="1"/>
    <col min="11538" max="11775" width="9.140625" style="1"/>
    <col min="11776" max="11776" width="19.140625" style="1" customWidth="1"/>
    <col min="11777" max="11779" width="0" style="1" hidden="1" customWidth="1"/>
    <col min="11780" max="11789" width="8.140625" style="1" customWidth="1"/>
    <col min="11790" max="11791" width="8.5703125" style="1" customWidth="1"/>
    <col min="11792" max="11792" width="0" style="1" hidden="1" customWidth="1"/>
    <col min="11793" max="11793" width="22.7109375" style="1" customWidth="1"/>
    <col min="11794" max="12031" width="9.140625" style="1"/>
    <col min="12032" max="12032" width="19.140625" style="1" customWidth="1"/>
    <col min="12033" max="12035" width="0" style="1" hidden="1" customWidth="1"/>
    <col min="12036" max="12045" width="8.140625" style="1" customWidth="1"/>
    <col min="12046" max="12047" width="8.5703125" style="1" customWidth="1"/>
    <col min="12048" max="12048" width="0" style="1" hidden="1" customWidth="1"/>
    <col min="12049" max="12049" width="22.7109375" style="1" customWidth="1"/>
    <col min="12050" max="12287" width="9.140625" style="1"/>
    <col min="12288" max="12288" width="19.140625" style="1" customWidth="1"/>
    <col min="12289" max="12291" width="0" style="1" hidden="1" customWidth="1"/>
    <col min="12292" max="12301" width="8.140625" style="1" customWidth="1"/>
    <col min="12302" max="12303" width="8.5703125" style="1" customWidth="1"/>
    <col min="12304" max="12304" width="0" style="1" hidden="1" customWidth="1"/>
    <col min="12305" max="12305" width="22.7109375" style="1" customWidth="1"/>
    <col min="12306" max="12543" width="9.140625" style="1"/>
    <col min="12544" max="12544" width="19.140625" style="1" customWidth="1"/>
    <col min="12545" max="12547" width="0" style="1" hidden="1" customWidth="1"/>
    <col min="12548" max="12557" width="8.140625" style="1" customWidth="1"/>
    <col min="12558" max="12559" width="8.5703125" style="1" customWidth="1"/>
    <col min="12560" max="12560" width="0" style="1" hidden="1" customWidth="1"/>
    <col min="12561" max="12561" width="22.7109375" style="1" customWidth="1"/>
    <col min="12562" max="12799" width="9.140625" style="1"/>
    <col min="12800" max="12800" width="19.140625" style="1" customWidth="1"/>
    <col min="12801" max="12803" width="0" style="1" hidden="1" customWidth="1"/>
    <col min="12804" max="12813" width="8.140625" style="1" customWidth="1"/>
    <col min="12814" max="12815" width="8.5703125" style="1" customWidth="1"/>
    <col min="12816" max="12816" width="0" style="1" hidden="1" customWidth="1"/>
    <col min="12817" max="12817" width="22.7109375" style="1" customWidth="1"/>
    <col min="12818" max="13055" width="9.140625" style="1"/>
    <col min="13056" max="13056" width="19.140625" style="1" customWidth="1"/>
    <col min="13057" max="13059" width="0" style="1" hidden="1" customWidth="1"/>
    <col min="13060" max="13069" width="8.140625" style="1" customWidth="1"/>
    <col min="13070" max="13071" width="8.5703125" style="1" customWidth="1"/>
    <col min="13072" max="13072" width="0" style="1" hidden="1" customWidth="1"/>
    <col min="13073" max="13073" width="22.7109375" style="1" customWidth="1"/>
    <col min="13074" max="13311" width="9.140625" style="1"/>
    <col min="13312" max="13312" width="19.140625" style="1" customWidth="1"/>
    <col min="13313" max="13315" width="0" style="1" hidden="1" customWidth="1"/>
    <col min="13316" max="13325" width="8.140625" style="1" customWidth="1"/>
    <col min="13326" max="13327" width="8.5703125" style="1" customWidth="1"/>
    <col min="13328" max="13328" width="0" style="1" hidden="1" customWidth="1"/>
    <col min="13329" max="13329" width="22.7109375" style="1" customWidth="1"/>
    <col min="13330" max="13567" width="9.140625" style="1"/>
    <col min="13568" max="13568" width="19.140625" style="1" customWidth="1"/>
    <col min="13569" max="13571" width="0" style="1" hidden="1" customWidth="1"/>
    <col min="13572" max="13581" width="8.140625" style="1" customWidth="1"/>
    <col min="13582" max="13583" width="8.5703125" style="1" customWidth="1"/>
    <col min="13584" max="13584" width="0" style="1" hidden="1" customWidth="1"/>
    <col min="13585" max="13585" width="22.7109375" style="1" customWidth="1"/>
    <col min="13586" max="13823" width="9.140625" style="1"/>
    <col min="13824" max="13824" width="19.140625" style="1" customWidth="1"/>
    <col min="13825" max="13827" width="0" style="1" hidden="1" customWidth="1"/>
    <col min="13828" max="13837" width="8.140625" style="1" customWidth="1"/>
    <col min="13838" max="13839" width="8.5703125" style="1" customWidth="1"/>
    <col min="13840" max="13840" width="0" style="1" hidden="1" customWidth="1"/>
    <col min="13841" max="13841" width="22.7109375" style="1" customWidth="1"/>
    <col min="13842" max="14079" width="9.140625" style="1"/>
    <col min="14080" max="14080" width="19.140625" style="1" customWidth="1"/>
    <col min="14081" max="14083" width="0" style="1" hidden="1" customWidth="1"/>
    <col min="14084" max="14093" width="8.140625" style="1" customWidth="1"/>
    <col min="14094" max="14095" width="8.5703125" style="1" customWidth="1"/>
    <col min="14096" max="14096" width="0" style="1" hidden="1" customWidth="1"/>
    <col min="14097" max="14097" width="22.7109375" style="1" customWidth="1"/>
    <col min="14098" max="14335" width="9.140625" style="1"/>
    <col min="14336" max="14336" width="19.140625" style="1" customWidth="1"/>
    <col min="14337" max="14339" width="0" style="1" hidden="1" customWidth="1"/>
    <col min="14340" max="14349" width="8.140625" style="1" customWidth="1"/>
    <col min="14350" max="14351" width="8.5703125" style="1" customWidth="1"/>
    <col min="14352" max="14352" width="0" style="1" hidden="1" customWidth="1"/>
    <col min="14353" max="14353" width="22.7109375" style="1" customWidth="1"/>
    <col min="14354" max="14591" width="9.140625" style="1"/>
    <col min="14592" max="14592" width="19.140625" style="1" customWidth="1"/>
    <col min="14593" max="14595" width="0" style="1" hidden="1" customWidth="1"/>
    <col min="14596" max="14605" width="8.140625" style="1" customWidth="1"/>
    <col min="14606" max="14607" width="8.5703125" style="1" customWidth="1"/>
    <col min="14608" max="14608" width="0" style="1" hidden="1" customWidth="1"/>
    <col min="14609" max="14609" width="22.7109375" style="1" customWidth="1"/>
    <col min="14610" max="14847" width="9.140625" style="1"/>
    <col min="14848" max="14848" width="19.140625" style="1" customWidth="1"/>
    <col min="14849" max="14851" width="0" style="1" hidden="1" customWidth="1"/>
    <col min="14852" max="14861" width="8.140625" style="1" customWidth="1"/>
    <col min="14862" max="14863" width="8.5703125" style="1" customWidth="1"/>
    <col min="14864" max="14864" width="0" style="1" hidden="1" customWidth="1"/>
    <col min="14865" max="14865" width="22.7109375" style="1" customWidth="1"/>
    <col min="14866" max="15103" width="9.140625" style="1"/>
    <col min="15104" max="15104" width="19.140625" style="1" customWidth="1"/>
    <col min="15105" max="15107" width="0" style="1" hidden="1" customWidth="1"/>
    <col min="15108" max="15117" width="8.140625" style="1" customWidth="1"/>
    <col min="15118" max="15119" width="8.5703125" style="1" customWidth="1"/>
    <col min="15120" max="15120" width="0" style="1" hidden="1" customWidth="1"/>
    <col min="15121" max="15121" width="22.7109375" style="1" customWidth="1"/>
    <col min="15122" max="15359" width="9.140625" style="1"/>
    <col min="15360" max="15360" width="19.140625" style="1" customWidth="1"/>
    <col min="15361" max="15363" width="0" style="1" hidden="1" customWidth="1"/>
    <col min="15364" max="15373" width="8.140625" style="1" customWidth="1"/>
    <col min="15374" max="15375" width="8.5703125" style="1" customWidth="1"/>
    <col min="15376" max="15376" width="0" style="1" hidden="1" customWidth="1"/>
    <col min="15377" max="15377" width="22.7109375" style="1" customWidth="1"/>
    <col min="15378" max="15615" width="9.140625" style="1"/>
    <col min="15616" max="15616" width="19.140625" style="1" customWidth="1"/>
    <col min="15617" max="15619" width="0" style="1" hidden="1" customWidth="1"/>
    <col min="15620" max="15629" width="8.140625" style="1" customWidth="1"/>
    <col min="15630" max="15631" width="8.5703125" style="1" customWidth="1"/>
    <col min="15632" max="15632" width="0" style="1" hidden="1" customWidth="1"/>
    <col min="15633" max="15633" width="22.7109375" style="1" customWidth="1"/>
    <col min="15634" max="15871" width="9.140625" style="1"/>
    <col min="15872" max="15872" width="19.140625" style="1" customWidth="1"/>
    <col min="15873" max="15875" width="0" style="1" hidden="1" customWidth="1"/>
    <col min="15876" max="15885" width="8.140625" style="1" customWidth="1"/>
    <col min="15886" max="15887" width="8.5703125" style="1" customWidth="1"/>
    <col min="15888" max="15888" width="0" style="1" hidden="1" customWidth="1"/>
    <col min="15889" max="15889" width="22.7109375" style="1" customWidth="1"/>
    <col min="15890" max="16127" width="9.140625" style="1"/>
    <col min="16128" max="16128" width="19.140625" style="1" customWidth="1"/>
    <col min="16129" max="16131" width="0" style="1" hidden="1" customWidth="1"/>
    <col min="16132" max="16141" width="8.140625" style="1" customWidth="1"/>
    <col min="16142" max="16143" width="8.5703125" style="1" customWidth="1"/>
    <col min="16144" max="16144" width="0" style="1" hidden="1" customWidth="1"/>
    <col min="16145" max="16145" width="22.7109375" style="1" customWidth="1"/>
    <col min="16146" max="16384" width="9.140625" style="1"/>
  </cols>
  <sheetData>
    <row r="1" spans="1:19" ht="18" x14ac:dyDescent="0.25">
      <c r="A1" s="34" t="s">
        <v>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4"/>
    </row>
    <row r="2" spans="1:19" x14ac:dyDescent="0.25">
      <c r="A2" s="35" t="s">
        <v>31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4"/>
    </row>
    <row r="3" spans="1:19" x14ac:dyDescent="0.25">
      <c r="A3" s="5"/>
      <c r="B3" s="5"/>
      <c r="C3" s="5"/>
      <c r="D3" s="5"/>
      <c r="E3" s="5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5"/>
      <c r="S3" s="4"/>
    </row>
    <row r="4" spans="1:19" x14ac:dyDescent="0.25">
      <c r="A4" s="7" t="s">
        <v>11</v>
      </c>
      <c r="B4" s="8">
        <v>2006</v>
      </c>
      <c r="C4" s="8">
        <v>2007</v>
      </c>
      <c r="D4" s="8">
        <v>2008</v>
      </c>
      <c r="E4" s="8">
        <v>2009</v>
      </c>
      <c r="F4" s="8">
        <v>2010</v>
      </c>
      <c r="G4" s="8">
        <v>2011</v>
      </c>
      <c r="H4" s="8">
        <v>2012</v>
      </c>
      <c r="I4" s="8">
        <v>2013</v>
      </c>
      <c r="J4" s="8">
        <v>2014</v>
      </c>
      <c r="K4" s="8">
        <v>2015</v>
      </c>
      <c r="L4" s="8">
        <v>2016</v>
      </c>
      <c r="M4" s="8">
        <v>2017</v>
      </c>
      <c r="N4" s="9">
        <v>2018</v>
      </c>
      <c r="O4" s="9">
        <v>2019</v>
      </c>
      <c r="P4" s="9">
        <v>2020</v>
      </c>
      <c r="Q4" s="9" t="s">
        <v>27</v>
      </c>
      <c r="R4" s="10" t="s">
        <v>12</v>
      </c>
      <c r="S4" s="4"/>
    </row>
    <row r="5" spans="1:19" ht="15.75" x14ac:dyDescent="0.25">
      <c r="A5" s="11" t="s">
        <v>2</v>
      </c>
      <c r="B5" s="12">
        <f>B10+B15</f>
        <v>92</v>
      </c>
      <c r="C5" s="12">
        <f t="shared" ref="C5:M5" si="0">C10+C15</f>
        <v>66</v>
      </c>
      <c r="D5" s="12">
        <f t="shared" si="0"/>
        <v>76</v>
      </c>
      <c r="E5" s="12">
        <f t="shared" si="0"/>
        <v>81</v>
      </c>
      <c r="F5" s="12">
        <f t="shared" si="0"/>
        <v>78</v>
      </c>
      <c r="G5" s="12">
        <f t="shared" si="0"/>
        <v>65</v>
      </c>
      <c r="H5" s="12">
        <f t="shared" si="0"/>
        <v>66</v>
      </c>
      <c r="I5" s="12">
        <f t="shared" si="0"/>
        <v>46</v>
      </c>
      <c r="J5" s="12">
        <f t="shared" si="0"/>
        <v>59</v>
      </c>
      <c r="K5" s="12">
        <f t="shared" si="0"/>
        <v>63</v>
      </c>
      <c r="L5" s="12">
        <f t="shared" si="0"/>
        <v>53</v>
      </c>
      <c r="M5" s="12">
        <f t="shared" si="0"/>
        <v>64</v>
      </c>
      <c r="N5" s="12">
        <f>N10+N15</f>
        <v>45</v>
      </c>
      <c r="O5" s="12">
        <v>43</v>
      </c>
      <c r="P5" s="12">
        <v>45</v>
      </c>
      <c r="Q5" s="12">
        <f>SUM(Q6:Q9)</f>
        <v>58</v>
      </c>
      <c r="R5" s="13" t="s">
        <v>10</v>
      </c>
      <c r="S5" s="4"/>
    </row>
    <row r="6" spans="1:19" ht="15.75" x14ac:dyDescent="0.25">
      <c r="A6" s="14" t="s">
        <v>13</v>
      </c>
      <c r="B6" s="15">
        <f>B11+B16</f>
        <v>51</v>
      </c>
      <c r="C6" s="15">
        <f t="shared" ref="C6:M6" si="1">C11+C16</f>
        <v>41</v>
      </c>
      <c r="D6" s="15">
        <f t="shared" si="1"/>
        <v>41</v>
      </c>
      <c r="E6" s="15">
        <f t="shared" si="1"/>
        <v>51</v>
      </c>
      <c r="F6" s="15">
        <f t="shared" si="1"/>
        <v>44</v>
      </c>
      <c r="G6" s="15">
        <f t="shared" si="1"/>
        <v>41</v>
      </c>
      <c r="H6" s="15">
        <f t="shared" si="1"/>
        <v>33</v>
      </c>
      <c r="I6" s="15">
        <f t="shared" si="1"/>
        <v>22</v>
      </c>
      <c r="J6" s="15">
        <f t="shared" si="1"/>
        <v>33</v>
      </c>
      <c r="K6" s="15">
        <f t="shared" si="1"/>
        <v>29</v>
      </c>
      <c r="L6" s="15">
        <f t="shared" si="1"/>
        <v>28</v>
      </c>
      <c r="M6" s="15">
        <f t="shared" si="1"/>
        <v>45</v>
      </c>
      <c r="N6" s="15">
        <v>30</v>
      </c>
      <c r="O6" s="15">
        <v>14</v>
      </c>
      <c r="P6" s="15">
        <f t="shared" ref="P6:Q9" si="2">P11+P16+P21</f>
        <v>17</v>
      </c>
      <c r="Q6" s="15">
        <f t="shared" si="2"/>
        <v>25</v>
      </c>
      <c r="R6" s="16" t="s">
        <v>14</v>
      </c>
      <c r="S6" s="4"/>
    </row>
    <row r="7" spans="1:19" ht="15.75" x14ac:dyDescent="0.25">
      <c r="A7" s="17" t="s">
        <v>15</v>
      </c>
      <c r="B7" s="15">
        <f>B12+B17</f>
        <v>16</v>
      </c>
      <c r="C7" s="15">
        <f t="shared" ref="C7:M7" si="3">C12+C17</f>
        <v>6</v>
      </c>
      <c r="D7" s="15">
        <f t="shared" si="3"/>
        <v>15</v>
      </c>
      <c r="E7" s="15">
        <f t="shared" si="3"/>
        <v>8</v>
      </c>
      <c r="F7" s="15">
        <f t="shared" si="3"/>
        <v>14</v>
      </c>
      <c r="G7" s="15">
        <f t="shared" si="3"/>
        <v>8</v>
      </c>
      <c r="H7" s="15">
        <f t="shared" si="3"/>
        <v>11</v>
      </c>
      <c r="I7" s="15">
        <f t="shared" si="3"/>
        <v>7</v>
      </c>
      <c r="J7" s="15">
        <f t="shared" si="3"/>
        <v>4</v>
      </c>
      <c r="K7" s="15">
        <f t="shared" si="3"/>
        <v>8</v>
      </c>
      <c r="L7" s="15">
        <f t="shared" si="3"/>
        <v>8</v>
      </c>
      <c r="M7" s="15">
        <f t="shared" si="3"/>
        <v>6</v>
      </c>
      <c r="N7" s="15">
        <f>N12+N17</f>
        <v>3</v>
      </c>
      <c r="O7" s="15">
        <v>4</v>
      </c>
      <c r="P7" s="15">
        <f t="shared" si="2"/>
        <v>6</v>
      </c>
      <c r="Q7" s="15">
        <f t="shared" si="2"/>
        <v>9</v>
      </c>
      <c r="R7" s="16" t="s">
        <v>16</v>
      </c>
      <c r="S7" s="4"/>
    </row>
    <row r="8" spans="1:19" ht="15.75" x14ac:dyDescent="0.25">
      <c r="A8" s="17" t="s">
        <v>17</v>
      </c>
      <c r="B8" s="15">
        <f>B13+B18</f>
        <v>25</v>
      </c>
      <c r="C8" s="15">
        <f t="shared" ref="C8:M8" si="4">C13+C18</f>
        <v>19</v>
      </c>
      <c r="D8" s="15">
        <f t="shared" si="4"/>
        <v>20</v>
      </c>
      <c r="E8" s="15">
        <f t="shared" si="4"/>
        <v>22</v>
      </c>
      <c r="F8" s="15">
        <f t="shared" si="4"/>
        <v>20</v>
      </c>
      <c r="G8" s="15">
        <f t="shared" si="4"/>
        <v>16</v>
      </c>
      <c r="H8" s="15">
        <f t="shared" si="4"/>
        <v>22</v>
      </c>
      <c r="I8" s="15">
        <f t="shared" si="4"/>
        <v>17</v>
      </c>
      <c r="J8" s="15">
        <f t="shared" si="4"/>
        <v>22</v>
      </c>
      <c r="K8" s="15">
        <f t="shared" si="4"/>
        <v>26</v>
      </c>
      <c r="L8" s="15">
        <f t="shared" si="4"/>
        <v>17</v>
      </c>
      <c r="M8" s="15">
        <f t="shared" si="4"/>
        <v>13</v>
      </c>
      <c r="N8" s="15">
        <f>N13+N18</f>
        <v>13</v>
      </c>
      <c r="O8" s="15">
        <v>15</v>
      </c>
      <c r="P8" s="15">
        <f t="shared" si="2"/>
        <v>15</v>
      </c>
      <c r="Q8" s="15">
        <f t="shared" si="2"/>
        <v>23</v>
      </c>
      <c r="R8" s="18" t="s">
        <v>18</v>
      </c>
      <c r="S8" s="4"/>
    </row>
    <row r="9" spans="1:19" ht="18.75" x14ac:dyDescent="0.25">
      <c r="A9" s="17" t="s">
        <v>6</v>
      </c>
      <c r="B9" s="2" t="s">
        <v>5</v>
      </c>
      <c r="C9" s="2" t="s">
        <v>5</v>
      </c>
      <c r="D9" s="2" t="s">
        <v>5</v>
      </c>
      <c r="E9" s="2" t="s">
        <v>5</v>
      </c>
      <c r="F9" s="2" t="s">
        <v>5</v>
      </c>
      <c r="G9" s="2" t="s">
        <v>5</v>
      </c>
      <c r="H9" s="2" t="s">
        <v>5</v>
      </c>
      <c r="I9" s="2" t="s">
        <v>5</v>
      </c>
      <c r="J9" s="2" t="s">
        <v>5</v>
      </c>
      <c r="K9" s="2" t="s">
        <v>5</v>
      </c>
      <c r="L9" s="2" t="s">
        <v>5</v>
      </c>
      <c r="M9" s="2" t="s">
        <v>5</v>
      </c>
      <c r="N9" s="2" t="s">
        <v>5</v>
      </c>
      <c r="O9" s="33">
        <v>10</v>
      </c>
      <c r="P9" s="33">
        <f t="shared" si="2"/>
        <v>7</v>
      </c>
      <c r="Q9" s="33">
        <f t="shared" si="2"/>
        <v>1</v>
      </c>
      <c r="R9" s="19" t="s">
        <v>7</v>
      </c>
      <c r="S9" s="4"/>
    </row>
    <row r="10" spans="1:19" ht="15.75" x14ac:dyDescent="0.25">
      <c r="A10" s="11" t="s">
        <v>3</v>
      </c>
      <c r="B10" s="12">
        <f t="shared" ref="B10:G10" si="5">SUM(B11:B13)</f>
        <v>54</v>
      </c>
      <c r="C10" s="12">
        <f t="shared" si="5"/>
        <v>47</v>
      </c>
      <c r="D10" s="12">
        <f t="shared" si="5"/>
        <v>38</v>
      </c>
      <c r="E10" s="12">
        <f t="shared" si="5"/>
        <v>42</v>
      </c>
      <c r="F10" s="12">
        <f t="shared" si="5"/>
        <v>45</v>
      </c>
      <c r="G10" s="12">
        <f t="shared" si="5"/>
        <v>37</v>
      </c>
      <c r="H10" s="12">
        <f>SUM(H11:H13)</f>
        <v>40</v>
      </c>
      <c r="I10" s="12">
        <f>SUM(I11:I13)</f>
        <v>29</v>
      </c>
      <c r="J10" s="12">
        <f>SUM(J11:J13)</f>
        <v>32</v>
      </c>
      <c r="K10" s="12">
        <v>34</v>
      </c>
      <c r="L10" s="12">
        <v>21</v>
      </c>
      <c r="M10" s="12">
        <f>SUM(M11:M13)</f>
        <v>42</v>
      </c>
      <c r="N10" s="12">
        <f>SUM(N11:N13)</f>
        <v>24</v>
      </c>
      <c r="O10" s="12">
        <v>23</v>
      </c>
      <c r="P10" s="12">
        <v>12</v>
      </c>
      <c r="Q10" s="12">
        <f>SUM(Q11:Q14)</f>
        <v>35</v>
      </c>
      <c r="R10" s="13" t="s">
        <v>0</v>
      </c>
      <c r="S10" s="4"/>
    </row>
    <row r="11" spans="1:19" ht="15.75" x14ac:dyDescent="0.25">
      <c r="A11" s="14" t="s">
        <v>13</v>
      </c>
      <c r="B11" s="15">
        <v>33</v>
      </c>
      <c r="C11" s="15">
        <v>26</v>
      </c>
      <c r="D11" s="15">
        <v>22</v>
      </c>
      <c r="E11" s="15">
        <v>25</v>
      </c>
      <c r="F11" s="15">
        <v>25</v>
      </c>
      <c r="G11" s="15">
        <v>23</v>
      </c>
      <c r="H11" s="15">
        <v>19</v>
      </c>
      <c r="I11" s="15">
        <v>14</v>
      </c>
      <c r="J11" s="15">
        <v>21</v>
      </c>
      <c r="K11" s="15">
        <v>21</v>
      </c>
      <c r="L11" s="15">
        <v>9</v>
      </c>
      <c r="M11" s="15">
        <v>29</v>
      </c>
      <c r="N11" s="15">
        <v>14</v>
      </c>
      <c r="O11" s="15">
        <v>8</v>
      </c>
      <c r="P11" s="15">
        <v>0</v>
      </c>
      <c r="Q11" s="15">
        <v>15</v>
      </c>
      <c r="R11" s="16" t="s">
        <v>14</v>
      </c>
      <c r="S11" s="4"/>
    </row>
    <row r="12" spans="1:19" ht="15.75" x14ac:dyDescent="0.25">
      <c r="A12" s="17" t="s">
        <v>19</v>
      </c>
      <c r="B12" s="15">
        <v>7</v>
      </c>
      <c r="C12" s="15">
        <v>5</v>
      </c>
      <c r="D12" s="15">
        <v>6</v>
      </c>
      <c r="E12" s="15">
        <v>4</v>
      </c>
      <c r="F12" s="15">
        <v>9</v>
      </c>
      <c r="G12" s="15">
        <v>3</v>
      </c>
      <c r="H12" s="15">
        <v>8</v>
      </c>
      <c r="I12" s="15">
        <v>4</v>
      </c>
      <c r="J12" s="15">
        <v>1</v>
      </c>
      <c r="K12" s="15">
        <v>4</v>
      </c>
      <c r="L12" s="15">
        <v>3</v>
      </c>
      <c r="M12" s="15">
        <v>3</v>
      </c>
      <c r="N12" s="15">
        <v>2</v>
      </c>
      <c r="O12" s="15">
        <v>1</v>
      </c>
      <c r="P12" s="15">
        <v>2</v>
      </c>
      <c r="Q12" s="15">
        <v>4</v>
      </c>
      <c r="R12" s="18" t="s">
        <v>20</v>
      </c>
      <c r="S12" s="4"/>
    </row>
    <row r="13" spans="1:19" ht="15.75" x14ac:dyDescent="0.25">
      <c r="A13" s="17" t="s">
        <v>17</v>
      </c>
      <c r="B13" s="15">
        <v>14</v>
      </c>
      <c r="C13" s="15">
        <v>16</v>
      </c>
      <c r="D13" s="15">
        <v>10</v>
      </c>
      <c r="E13" s="15">
        <v>13</v>
      </c>
      <c r="F13" s="15">
        <v>11</v>
      </c>
      <c r="G13" s="15">
        <v>11</v>
      </c>
      <c r="H13" s="15">
        <v>13</v>
      </c>
      <c r="I13" s="15">
        <v>11</v>
      </c>
      <c r="J13" s="15">
        <v>10</v>
      </c>
      <c r="K13" s="15">
        <v>9</v>
      </c>
      <c r="L13" s="15">
        <v>9</v>
      </c>
      <c r="M13" s="15">
        <v>10</v>
      </c>
      <c r="N13" s="15">
        <v>8</v>
      </c>
      <c r="O13" s="15">
        <v>9</v>
      </c>
      <c r="P13" s="15">
        <v>9</v>
      </c>
      <c r="Q13" s="15">
        <v>15</v>
      </c>
      <c r="R13" s="18" t="s">
        <v>18</v>
      </c>
      <c r="S13" s="4"/>
    </row>
    <row r="14" spans="1:19" ht="18.75" x14ac:dyDescent="0.25">
      <c r="A14" s="17" t="s">
        <v>6</v>
      </c>
      <c r="B14" s="2" t="s">
        <v>5</v>
      </c>
      <c r="C14" s="2" t="s">
        <v>5</v>
      </c>
      <c r="D14" s="2" t="s">
        <v>5</v>
      </c>
      <c r="E14" s="2" t="s">
        <v>5</v>
      </c>
      <c r="F14" s="2" t="s">
        <v>5</v>
      </c>
      <c r="G14" s="2" t="s">
        <v>5</v>
      </c>
      <c r="H14" s="2" t="s">
        <v>5</v>
      </c>
      <c r="I14" s="2" t="s">
        <v>5</v>
      </c>
      <c r="J14" s="2" t="s">
        <v>5</v>
      </c>
      <c r="K14" s="2" t="s">
        <v>5</v>
      </c>
      <c r="L14" s="2" t="s">
        <v>5</v>
      </c>
      <c r="M14" s="2" t="s">
        <v>5</v>
      </c>
      <c r="N14" s="2" t="s">
        <v>5</v>
      </c>
      <c r="O14" s="33">
        <v>5</v>
      </c>
      <c r="P14" s="33">
        <v>1</v>
      </c>
      <c r="Q14" s="33">
        <v>1</v>
      </c>
      <c r="R14" s="19" t="s">
        <v>7</v>
      </c>
      <c r="S14" s="4"/>
    </row>
    <row r="15" spans="1:19" ht="15.75" x14ac:dyDescent="0.25">
      <c r="A15" s="11" t="s">
        <v>4</v>
      </c>
      <c r="B15" s="12">
        <f t="shared" ref="B15:G15" si="6">SUM(B16:B18)</f>
        <v>38</v>
      </c>
      <c r="C15" s="12">
        <f t="shared" si="6"/>
        <v>19</v>
      </c>
      <c r="D15" s="12">
        <f t="shared" si="6"/>
        <v>38</v>
      </c>
      <c r="E15" s="12">
        <f t="shared" si="6"/>
        <v>39</v>
      </c>
      <c r="F15" s="12">
        <f t="shared" si="6"/>
        <v>33</v>
      </c>
      <c r="G15" s="12">
        <f t="shared" si="6"/>
        <v>28</v>
      </c>
      <c r="H15" s="12">
        <f>SUM(H16:H18)</f>
        <v>26</v>
      </c>
      <c r="I15" s="12">
        <f>SUM(I16:I18)</f>
        <v>17</v>
      </c>
      <c r="J15" s="12">
        <f>SUM(J16:J18)</f>
        <v>27</v>
      </c>
      <c r="K15" s="12">
        <v>29</v>
      </c>
      <c r="L15" s="12">
        <v>32</v>
      </c>
      <c r="M15" s="12">
        <f>SUM(M16:M18)</f>
        <v>22</v>
      </c>
      <c r="N15" s="12">
        <f>SUM(N16:N18)</f>
        <v>21</v>
      </c>
      <c r="O15" s="12">
        <v>20</v>
      </c>
      <c r="P15" s="12">
        <v>11</v>
      </c>
      <c r="Q15" s="12">
        <f>SUM(Q16:Q19)</f>
        <v>23</v>
      </c>
      <c r="R15" s="13" t="s">
        <v>1</v>
      </c>
      <c r="S15" s="4"/>
    </row>
    <row r="16" spans="1:19" ht="15.75" x14ac:dyDescent="0.25">
      <c r="A16" s="14" t="s">
        <v>13</v>
      </c>
      <c r="B16" s="15">
        <v>18</v>
      </c>
      <c r="C16" s="15">
        <v>15</v>
      </c>
      <c r="D16" s="15">
        <v>19</v>
      </c>
      <c r="E16" s="15">
        <v>26</v>
      </c>
      <c r="F16" s="15">
        <v>19</v>
      </c>
      <c r="G16" s="15">
        <v>18</v>
      </c>
      <c r="H16" s="15">
        <v>14</v>
      </c>
      <c r="I16" s="15">
        <v>8</v>
      </c>
      <c r="J16" s="15">
        <v>12</v>
      </c>
      <c r="K16" s="15">
        <v>8</v>
      </c>
      <c r="L16" s="15">
        <v>19</v>
      </c>
      <c r="M16" s="15">
        <v>16</v>
      </c>
      <c r="N16" s="15">
        <v>15</v>
      </c>
      <c r="O16" s="15">
        <v>6</v>
      </c>
      <c r="P16" s="15">
        <v>3</v>
      </c>
      <c r="Q16" s="15">
        <v>10</v>
      </c>
      <c r="R16" s="16" t="s">
        <v>14</v>
      </c>
      <c r="S16" s="4"/>
    </row>
    <row r="17" spans="1:19" ht="15.75" x14ac:dyDescent="0.25">
      <c r="A17" s="17" t="s">
        <v>19</v>
      </c>
      <c r="B17" s="15">
        <v>9</v>
      </c>
      <c r="C17" s="15">
        <v>1</v>
      </c>
      <c r="D17" s="15">
        <v>9</v>
      </c>
      <c r="E17" s="15">
        <v>4</v>
      </c>
      <c r="F17" s="15">
        <v>5</v>
      </c>
      <c r="G17" s="15">
        <v>5</v>
      </c>
      <c r="H17" s="15">
        <v>3</v>
      </c>
      <c r="I17" s="15">
        <v>3</v>
      </c>
      <c r="J17" s="15">
        <v>3</v>
      </c>
      <c r="K17" s="15">
        <v>4</v>
      </c>
      <c r="L17" s="15">
        <v>5</v>
      </c>
      <c r="M17" s="15">
        <v>3</v>
      </c>
      <c r="N17" s="15">
        <v>1</v>
      </c>
      <c r="O17" s="15">
        <v>3</v>
      </c>
      <c r="P17" s="15">
        <v>2</v>
      </c>
      <c r="Q17" s="15">
        <v>5</v>
      </c>
      <c r="R17" s="18" t="s">
        <v>20</v>
      </c>
      <c r="S17" s="4"/>
    </row>
    <row r="18" spans="1:19" ht="15.75" x14ac:dyDescent="0.25">
      <c r="A18" s="17" t="s">
        <v>17</v>
      </c>
      <c r="B18" s="15">
        <v>11</v>
      </c>
      <c r="C18" s="15">
        <v>3</v>
      </c>
      <c r="D18" s="15">
        <v>10</v>
      </c>
      <c r="E18" s="15">
        <v>9</v>
      </c>
      <c r="F18" s="15">
        <v>9</v>
      </c>
      <c r="G18" s="15">
        <v>5</v>
      </c>
      <c r="H18" s="15">
        <v>9</v>
      </c>
      <c r="I18" s="15">
        <v>6</v>
      </c>
      <c r="J18" s="15">
        <v>12</v>
      </c>
      <c r="K18" s="15">
        <v>17</v>
      </c>
      <c r="L18" s="15">
        <v>8</v>
      </c>
      <c r="M18" s="15">
        <v>3</v>
      </c>
      <c r="N18" s="15">
        <v>5</v>
      </c>
      <c r="O18" s="15">
        <v>6</v>
      </c>
      <c r="P18" s="15">
        <v>6</v>
      </c>
      <c r="Q18" s="15">
        <v>8</v>
      </c>
      <c r="R18" s="18" t="s">
        <v>18</v>
      </c>
      <c r="S18" s="4"/>
    </row>
    <row r="19" spans="1:19" ht="18.75" x14ac:dyDescent="0.25">
      <c r="A19" s="20" t="s">
        <v>6</v>
      </c>
      <c r="B19" s="3" t="s">
        <v>5</v>
      </c>
      <c r="C19" s="3" t="s">
        <v>5</v>
      </c>
      <c r="D19" s="3" t="s">
        <v>5</v>
      </c>
      <c r="E19" s="3" t="s">
        <v>5</v>
      </c>
      <c r="F19" s="3" t="s">
        <v>5</v>
      </c>
      <c r="G19" s="3" t="s">
        <v>5</v>
      </c>
      <c r="H19" s="3" t="s">
        <v>5</v>
      </c>
      <c r="I19" s="3" t="s">
        <v>5</v>
      </c>
      <c r="J19" s="3" t="s">
        <v>5</v>
      </c>
      <c r="K19" s="3" t="s">
        <v>5</v>
      </c>
      <c r="L19" s="3" t="s">
        <v>5</v>
      </c>
      <c r="M19" s="3" t="s">
        <v>5</v>
      </c>
      <c r="N19" s="3" t="s">
        <v>5</v>
      </c>
      <c r="O19" s="21">
        <v>5</v>
      </c>
      <c r="P19" s="21">
        <v>0</v>
      </c>
      <c r="Q19" s="21">
        <v>0</v>
      </c>
      <c r="R19" s="22" t="s">
        <v>7</v>
      </c>
      <c r="S19" s="4"/>
    </row>
    <row r="20" spans="1:19" ht="15.75" x14ac:dyDescent="0.25">
      <c r="A20" s="11" t="s">
        <v>23</v>
      </c>
      <c r="B20" s="29" t="s">
        <v>5</v>
      </c>
      <c r="C20" s="29" t="s">
        <v>5</v>
      </c>
      <c r="D20" s="29" t="s">
        <v>5</v>
      </c>
      <c r="E20" s="29" t="s">
        <v>5</v>
      </c>
      <c r="F20" s="29" t="s">
        <v>5</v>
      </c>
      <c r="G20" s="29" t="s">
        <v>5</v>
      </c>
      <c r="H20" s="29" t="s">
        <v>5</v>
      </c>
      <c r="I20" s="29" t="s">
        <v>5</v>
      </c>
      <c r="J20" s="29" t="s">
        <v>5</v>
      </c>
      <c r="K20" s="29" t="s">
        <v>5</v>
      </c>
      <c r="L20" s="29" t="s">
        <v>5</v>
      </c>
      <c r="M20" s="29" t="s">
        <v>5</v>
      </c>
      <c r="N20" s="29" t="s">
        <v>5</v>
      </c>
      <c r="O20" s="29" t="s">
        <v>5</v>
      </c>
      <c r="P20" s="12">
        <v>22</v>
      </c>
      <c r="Q20" s="12">
        <f>SUM(Q21:Q24)</f>
        <v>0</v>
      </c>
      <c r="R20" s="13" t="s">
        <v>21</v>
      </c>
      <c r="S20" s="4"/>
    </row>
    <row r="21" spans="1:19" ht="15.75" x14ac:dyDescent="0.25">
      <c r="A21" s="14" t="s">
        <v>13</v>
      </c>
      <c r="B21" s="30" t="s">
        <v>5</v>
      </c>
      <c r="C21" s="30" t="s">
        <v>5</v>
      </c>
      <c r="D21" s="30" t="s">
        <v>5</v>
      </c>
      <c r="E21" s="30" t="s">
        <v>5</v>
      </c>
      <c r="F21" s="30" t="s">
        <v>5</v>
      </c>
      <c r="G21" s="30" t="s">
        <v>5</v>
      </c>
      <c r="H21" s="30" t="s">
        <v>5</v>
      </c>
      <c r="I21" s="30" t="s">
        <v>5</v>
      </c>
      <c r="J21" s="30" t="s">
        <v>5</v>
      </c>
      <c r="K21" s="30" t="s">
        <v>5</v>
      </c>
      <c r="L21" s="30" t="s">
        <v>5</v>
      </c>
      <c r="M21" s="30" t="s">
        <v>5</v>
      </c>
      <c r="N21" s="30" t="s">
        <v>5</v>
      </c>
      <c r="O21" s="30" t="s">
        <v>5</v>
      </c>
      <c r="P21" s="15">
        <v>14</v>
      </c>
      <c r="Q21" s="15">
        <v>0</v>
      </c>
      <c r="R21" s="16" t="s">
        <v>14</v>
      </c>
      <c r="S21" s="4"/>
    </row>
    <row r="22" spans="1:19" ht="15.75" x14ac:dyDescent="0.25">
      <c r="A22" s="17" t="s">
        <v>25</v>
      </c>
      <c r="B22" s="30" t="s">
        <v>5</v>
      </c>
      <c r="C22" s="30" t="s">
        <v>5</v>
      </c>
      <c r="D22" s="30" t="s">
        <v>5</v>
      </c>
      <c r="E22" s="30" t="s">
        <v>5</v>
      </c>
      <c r="F22" s="30" t="s">
        <v>5</v>
      </c>
      <c r="G22" s="30" t="s">
        <v>5</v>
      </c>
      <c r="H22" s="30" t="s">
        <v>5</v>
      </c>
      <c r="I22" s="30" t="s">
        <v>5</v>
      </c>
      <c r="J22" s="30" t="s">
        <v>5</v>
      </c>
      <c r="K22" s="30" t="s">
        <v>5</v>
      </c>
      <c r="L22" s="30" t="s">
        <v>5</v>
      </c>
      <c r="M22" s="30" t="s">
        <v>5</v>
      </c>
      <c r="N22" s="30" t="s">
        <v>5</v>
      </c>
      <c r="O22" s="30" t="s">
        <v>5</v>
      </c>
      <c r="P22" s="15">
        <v>2</v>
      </c>
      <c r="Q22" s="15">
        <v>0</v>
      </c>
      <c r="R22" s="18" t="s">
        <v>20</v>
      </c>
      <c r="S22" s="4"/>
    </row>
    <row r="23" spans="1:19" ht="15.75" x14ac:dyDescent="0.25">
      <c r="A23" s="17" t="s">
        <v>26</v>
      </c>
      <c r="B23" s="30" t="s">
        <v>5</v>
      </c>
      <c r="C23" s="30" t="s">
        <v>5</v>
      </c>
      <c r="D23" s="30" t="s">
        <v>5</v>
      </c>
      <c r="E23" s="30" t="s">
        <v>5</v>
      </c>
      <c r="F23" s="30" t="s">
        <v>5</v>
      </c>
      <c r="G23" s="30" t="s">
        <v>5</v>
      </c>
      <c r="H23" s="30" t="s">
        <v>5</v>
      </c>
      <c r="I23" s="30" t="s">
        <v>5</v>
      </c>
      <c r="J23" s="30" t="s">
        <v>5</v>
      </c>
      <c r="K23" s="30" t="s">
        <v>5</v>
      </c>
      <c r="L23" s="30" t="s">
        <v>5</v>
      </c>
      <c r="M23" s="30" t="s">
        <v>5</v>
      </c>
      <c r="N23" s="30" t="s">
        <v>5</v>
      </c>
      <c r="O23" s="30" t="s">
        <v>5</v>
      </c>
      <c r="P23" s="15">
        <v>0</v>
      </c>
      <c r="Q23" s="15">
        <v>0</v>
      </c>
      <c r="R23" s="18" t="s">
        <v>18</v>
      </c>
      <c r="S23" s="4"/>
    </row>
    <row r="24" spans="1:19" ht="18.75" x14ac:dyDescent="0.25">
      <c r="A24" s="20" t="s">
        <v>24</v>
      </c>
      <c r="B24" s="32" t="s">
        <v>5</v>
      </c>
      <c r="C24" s="32" t="s">
        <v>5</v>
      </c>
      <c r="D24" s="32" t="s">
        <v>5</v>
      </c>
      <c r="E24" s="32" t="s">
        <v>5</v>
      </c>
      <c r="F24" s="32" t="s">
        <v>5</v>
      </c>
      <c r="G24" s="32" t="s">
        <v>5</v>
      </c>
      <c r="H24" s="32" t="s">
        <v>5</v>
      </c>
      <c r="I24" s="32" t="s">
        <v>5</v>
      </c>
      <c r="J24" s="32" t="s">
        <v>5</v>
      </c>
      <c r="K24" s="32" t="s">
        <v>5</v>
      </c>
      <c r="L24" s="32" t="s">
        <v>5</v>
      </c>
      <c r="M24" s="32" t="s">
        <v>5</v>
      </c>
      <c r="N24" s="32" t="s">
        <v>5</v>
      </c>
      <c r="O24" s="32" t="s">
        <v>5</v>
      </c>
      <c r="P24" s="31">
        <v>6</v>
      </c>
      <c r="Q24" s="21">
        <v>0</v>
      </c>
      <c r="R24" s="22" t="s">
        <v>7</v>
      </c>
      <c r="S24" s="4"/>
    </row>
    <row r="25" spans="1:19" ht="17.25" x14ac:dyDescent="0.25">
      <c r="A25" s="23" t="s">
        <v>30</v>
      </c>
      <c r="B25" s="24"/>
      <c r="R25" s="25" t="s">
        <v>29</v>
      </c>
    </row>
    <row r="26" spans="1:19" ht="18" x14ac:dyDescent="0.45">
      <c r="A26" s="28" t="s">
        <v>22</v>
      </c>
      <c r="B26" s="24"/>
      <c r="R26" s="27" t="s">
        <v>9</v>
      </c>
    </row>
    <row r="27" spans="1:19" x14ac:dyDescent="0.25">
      <c r="A27" s="26" t="s">
        <v>8</v>
      </c>
      <c r="B27" s="24"/>
    </row>
    <row r="28" spans="1:19" x14ac:dyDescent="0.25">
      <c r="B28" s="24"/>
    </row>
  </sheetData>
  <mergeCells count="2">
    <mergeCell ref="A1:R1"/>
    <mergeCell ref="A2:R2"/>
  </mergeCells>
  <pageMargins left="0.7" right="0.7" top="0.75" bottom="0.75" header="0.3" footer="0.3"/>
  <pageSetup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3.11</vt:lpstr>
      <vt:lpstr>'3.11'!Print_Area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2025-07-23T03:35:06Z</cp:lastPrinted>
  <dcterms:created xsi:type="dcterms:W3CDTF">2019-07-22T06:02:33Z</dcterms:created>
  <dcterms:modified xsi:type="dcterms:W3CDTF">2025-07-23T04:54:50Z</dcterms:modified>
</cp:coreProperties>
</file>