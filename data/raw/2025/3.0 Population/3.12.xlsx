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421F25F9-324B-47DC-B4B7-112A0E83990F}" xr6:coauthVersionLast="47" xr6:coauthVersionMax="47" xr10:uidLastSave="{00000000-0000-0000-0000-000000000000}"/>
  <bookViews>
    <workbookView xWindow="-120" yWindow="-120" windowWidth="29040" windowHeight="15720" tabRatio="806" activeTab="5" xr2:uid="{00000000-000D-0000-FFFF-FFFF00000000}"/>
  </bookViews>
  <sheets>
    <sheet name="3.11" sheetId="11" r:id="rId1"/>
    <sheet name="3.12" sheetId="12" r:id="rId2"/>
    <sheet name="3.13" sheetId="13" r:id="rId3"/>
    <sheet name="3.14" sheetId="14" r:id="rId4"/>
    <sheet name="3.15" sheetId="15" r:id="rId5"/>
    <sheet name="3.16" sheetId="16" r:id="rId6"/>
  </sheets>
  <definedNames>
    <definedName name="_xlnm.Print_Area" localSheetId="0">'3.11'!$A$1:$AH$28</definedName>
    <definedName name="_xlnm.Print_Area" localSheetId="2">'3.13'!$A$1:$S$210</definedName>
    <definedName name="_xlnm.Print_Area" localSheetId="3">'3.14'!$A$1:$R$211</definedName>
    <definedName name="_xlnm.Print_Area" localSheetId="4">'3.15'!$A$1:$S$213</definedName>
    <definedName name="_xlnm.Print_Area" localSheetId="5">'3.16'!$A$1:$S$191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1" i="12" l="1"/>
  <c r="F141" i="12"/>
  <c r="E141" i="12"/>
  <c r="D141" i="12"/>
  <c r="B141" i="12" s="1"/>
  <c r="C141" i="12"/>
  <c r="J140" i="12"/>
  <c r="F140" i="12"/>
  <c r="E140" i="12"/>
  <c r="D140" i="12"/>
  <c r="B140" i="12" s="1"/>
  <c r="C140" i="12"/>
  <c r="M139" i="12"/>
  <c r="J139" i="12"/>
  <c r="I139" i="12"/>
  <c r="E139" i="12" s="1"/>
  <c r="F139" i="12"/>
  <c r="D139" i="12"/>
  <c r="C139" i="12"/>
  <c r="B139" i="12" s="1"/>
  <c r="M138" i="12"/>
  <c r="I138" i="12" s="1"/>
  <c r="E138" i="12" s="1"/>
  <c r="J138" i="12"/>
  <c r="F138" i="12"/>
  <c r="D138" i="12"/>
  <c r="C138" i="12"/>
  <c r="B138" i="12" s="1"/>
  <c r="M137" i="12"/>
  <c r="J137" i="12"/>
  <c r="I137" i="12"/>
  <c r="F137" i="12"/>
  <c r="E137" i="12"/>
  <c r="D137" i="12"/>
  <c r="B137" i="12" s="1"/>
  <c r="C137" i="12"/>
  <c r="M136" i="12"/>
  <c r="J136" i="12"/>
  <c r="I136" i="12"/>
  <c r="E136" i="12" s="1"/>
  <c r="F136" i="12"/>
  <c r="D136" i="12"/>
  <c r="C136" i="12"/>
  <c r="B136" i="12" s="1"/>
  <c r="M135" i="12"/>
  <c r="I135" i="12" s="1"/>
  <c r="E135" i="12" s="1"/>
  <c r="J135" i="12"/>
  <c r="F135" i="12"/>
  <c r="D135" i="12"/>
  <c r="C135" i="12"/>
  <c r="B135" i="12" s="1"/>
  <c r="M134" i="12"/>
  <c r="J134" i="12"/>
  <c r="I134" i="12"/>
  <c r="F134" i="12"/>
  <c r="E134" i="12"/>
  <c r="D134" i="12"/>
  <c r="B134" i="12" s="1"/>
  <c r="C134" i="12"/>
  <c r="M133" i="12"/>
  <c r="J133" i="12"/>
  <c r="I133" i="12"/>
  <c r="E133" i="12" s="1"/>
  <c r="F133" i="12"/>
  <c r="D133" i="12"/>
  <c r="C133" i="12"/>
  <c r="B133" i="12" s="1"/>
  <c r="M132" i="12"/>
  <c r="I132" i="12" s="1"/>
  <c r="E132" i="12" s="1"/>
  <c r="J132" i="12"/>
  <c r="F132" i="12"/>
  <c r="D132" i="12"/>
  <c r="C132" i="12"/>
  <c r="B132" i="12" s="1"/>
  <c r="M131" i="12"/>
  <c r="J131" i="12"/>
  <c r="I131" i="12"/>
  <c r="F131" i="12"/>
  <c r="E131" i="12"/>
  <c r="D131" i="12"/>
  <c r="B131" i="12" s="1"/>
  <c r="C131" i="12"/>
  <c r="M130" i="12"/>
  <c r="J130" i="12"/>
  <c r="I130" i="12"/>
  <c r="E130" i="12" s="1"/>
  <c r="F130" i="12"/>
  <c r="D130" i="12"/>
  <c r="C130" i="12"/>
  <c r="B130" i="12" s="1"/>
  <c r="M129" i="12"/>
  <c r="I129" i="12" s="1"/>
  <c r="E129" i="12" s="1"/>
  <c r="J129" i="12"/>
  <c r="F129" i="12"/>
  <c r="D129" i="12"/>
  <c r="C129" i="12"/>
  <c r="B129" i="12" s="1"/>
  <c r="M128" i="12"/>
  <c r="J128" i="12"/>
  <c r="I128" i="12"/>
  <c r="F128" i="12"/>
  <c r="E128" i="12"/>
  <c r="D128" i="12"/>
  <c r="B128" i="12" s="1"/>
  <c r="C128" i="12"/>
  <c r="M127" i="12"/>
  <c r="J127" i="12"/>
  <c r="I127" i="12"/>
  <c r="E127" i="12" s="1"/>
  <c r="F127" i="12"/>
  <c r="D127" i="12"/>
  <c r="C127" i="12"/>
  <c r="B127" i="12" s="1"/>
  <c r="M126" i="12"/>
  <c r="I126" i="12" s="1"/>
  <c r="J126" i="12"/>
  <c r="J120" i="12" s="1"/>
  <c r="F126" i="12"/>
  <c r="D126" i="12"/>
  <c r="C126" i="12"/>
  <c r="N125" i="12"/>
  <c r="M125" i="12"/>
  <c r="M120" i="12" s="1"/>
  <c r="L125" i="12"/>
  <c r="K125" i="12"/>
  <c r="J125" i="12"/>
  <c r="I125" i="12"/>
  <c r="E125" i="12" s="1"/>
  <c r="H125" i="12"/>
  <c r="G125" i="12"/>
  <c r="F125" i="12" s="1"/>
  <c r="F120" i="12" s="1"/>
  <c r="D125" i="12"/>
  <c r="D120" i="12" s="1"/>
  <c r="C125" i="12"/>
  <c r="J124" i="12"/>
  <c r="I124" i="12"/>
  <c r="F124" i="12" s="1"/>
  <c r="E124" i="12"/>
  <c r="D124" i="12"/>
  <c r="B124" i="12" s="1"/>
  <c r="C124" i="12"/>
  <c r="J123" i="12"/>
  <c r="I123" i="12"/>
  <c r="E123" i="12" s="1"/>
  <c r="B123" i="12" s="1"/>
  <c r="F123" i="12"/>
  <c r="D123" i="12"/>
  <c r="C123" i="12"/>
  <c r="J122" i="12"/>
  <c r="I122" i="12"/>
  <c r="E122" i="12" s="1"/>
  <c r="F122" i="12"/>
  <c r="D122" i="12"/>
  <c r="B122" i="12" s="1"/>
  <c r="C122" i="12"/>
  <c r="J121" i="12"/>
  <c r="I121" i="12"/>
  <c r="F121" i="12" s="1"/>
  <c r="D121" i="12"/>
  <c r="C121" i="12"/>
  <c r="N120" i="12"/>
  <c r="L120" i="12"/>
  <c r="K120" i="12"/>
  <c r="H120" i="12"/>
  <c r="J104" i="12"/>
  <c r="F104" i="12"/>
  <c r="E104" i="12"/>
  <c r="D104" i="12"/>
  <c r="C104" i="12"/>
  <c r="J103" i="12"/>
  <c r="F103" i="12"/>
  <c r="E103" i="12"/>
  <c r="D103" i="12"/>
  <c r="C103" i="12"/>
  <c r="E102" i="12"/>
  <c r="J102" i="12"/>
  <c r="F102" i="12"/>
  <c r="D102" i="12"/>
  <c r="C102" i="12"/>
  <c r="E101" i="12"/>
  <c r="J101" i="12"/>
  <c r="F101" i="12"/>
  <c r="D101" i="12"/>
  <c r="C101" i="12"/>
  <c r="E100" i="12"/>
  <c r="J100" i="12"/>
  <c r="F100" i="12"/>
  <c r="D100" i="12"/>
  <c r="C100" i="12"/>
  <c r="E99" i="12"/>
  <c r="J99" i="12"/>
  <c r="F99" i="12"/>
  <c r="D99" i="12"/>
  <c r="C99" i="12"/>
  <c r="E98" i="12"/>
  <c r="J98" i="12"/>
  <c r="F98" i="12"/>
  <c r="D98" i="12"/>
  <c r="C98" i="12"/>
  <c r="E97" i="12"/>
  <c r="J97" i="12"/>
  <c r="F97" i="12"/>
  <c r="D97" i="12"/>
  <c r="C97" i="12"/>
  <c r="E96" i="12"/>
  <c r="J96" i="12"/>
  <c r="F96" i="12"/>
  <c r="D96" i="12"/>
  <c r="C96" i="12"/>
  <c r="E95" i="12"/>
  <c r="J95" i="12"/>
  <c r="F95" i="12"/>
  <c r="D95" i="12"/>
  <c r="C95" i="12"/>
  <c r="B95" i="12" s="1"/>
  <c r="E94" i="12"/>
  <c r="J94" i="12"/>
  <c r="F94" i="12"/>
  <c r="D94" i="12"/>
  <c r="C94" i="12"/>
  <c r="E93" i="12"/>
  <c r="J93" i="12"/>
  <c r="F93" i="12"/>
  <c r="D93" i="12"/>
  <c r="C93" i="12"/>
  <c r="E92" i="12"/>
  <c r="J92" i="12"/>
  <c r="F92" i="12"/>
  <c r="D92" i="12"/>
  <c r="C92" i="12"/>
  <c r="E91" i="12"/>
  <c r="J91" i="12"/>
  <c r="F91" i="12"/>
  <c r="D91" i="12"/>
  <c r="C91" i="12"/>
  <c r="E90" i="12"/>
  <c r="J90" i="12"/>
  <c r="F90" i="12"/>
  <c r="D90" i="12"/>
  <c r="C90" i="12"/>
  <c r="E89" i="12"/>
  <c r="J89" i="12"/>
  <c r="F89" i="12"/>
  <c r="D89" i="12"/>
  <c r="C89" i="12"/>
  <c r="N88" i="12"/>
  <c r="N83" i="12" s="1"/>
  <c r="M88" i="12"/>
  <c r="M83" i="12" s="1"/>
  <c r="L88" i="12"/>
  <c r="K88" i="12"/>
  <c r="J88" i="12" s="1"/>
  <c r="H88" i="12"/>
  <c r="G88" i="12"/>
  <c r="J87" i="12"/>
  <c r="F87" i="12"/>
  <c r="E87" i="12"/>
  <c r="D87" i="12"/>
  <c r="C87" i="12"/>
  <c r="B87" i="12" s="1"/>
  <c r="J86" i="12"/>
  <c r="F86" i="12"/>
  <c r="D86" i="12"/>
  <c r="C86" i="12"/>
  <c r="J85" i="12"/>
  <c r="I88" i="12"/>
  <c r="D85" i="12"/>
  <c r="C85" i="12"/>
  <c r="C88" i="12" s="1"/>
  <c r="J84" i="12"/>
  <c r="F84" i="12"/>
  <c r="E84" i="12"/>
  <c r="D84" i="12"/>
  <c r="C84" i="12"/>
  <c r="L83" i="12"/>
  <c r="H83" i="12"/>
  <c r="J68" i="12"/>
  <c r="F68" i="12"/>
  <c r="E68" i="12"/>
  <c r="D68" i="12"/>
  <c r="C68" i="12"/>
  <c r="J67" i="12"/>
  <c r="F67" i="12"/>
  <c r="E67" i="12"/>
  <c r="D67" i="12"/>
  <c r="C67" i="12"/>
  <c r="E66" i="12"/>
  <c r="J66" i="12"/>
  <c r="F66" i="12"/>
  <c r="D66" i="12"/>
  <c r="C66" i="12"/>
  <c r="J65" i="12"/>
  <c r="E65" i="12"/>
  <c r="F65" i="12"/>
  <c r="D65" i="12"/>
  <c r="C65" i="12"/>
  <c r="E64" i="12"/>
  <c r="J64" i="12"/>
  <c r="F64" i="12"/>
  <c r="D64" i="12"/>
  <c r="C64" i="12"/>
  <c r="E63" i="12"/>
  <c r="J63" i="12"/>
  <c r="F63" i="12"/>
  <c r="D63" i="12"/>
  <c r="C63" i="12"/>
  <c r="J62" i="12"/>
  <c r="E62" i="12"/>
  <c r="F62" i="12"/>
  <c r="D62" i="12"/>
  <c r="C62" i="12"/>
  <c r="E61" i="12"/>
  <c r="J61" i="12"/>
  <c r="F61" i="12"/>
  <c r="D61" i="12"/>
  <c r="C61" i="12"/>
  <c r="E60" i="12"/>
  <c r="J60" i="12"/>
  <c r="F60" i="12"/>
  <c r="D60" i="12"/>
  <c r="C60" i="12"/>
  <c r="J59" i="12"/>
  <c r="E59" i="12"/>
  <c r="F59" i="12"/>
  <c r="D59" i="12"/>
  <c r="C59" i="12"/>
  <c r="E58" i="12"/>
  <c r="J58" i="12"/>
  <c r="F58" i="12"/>
  <c r="D58" i="12"/>
  <c r="C58" i="12"/>
  <c r="E57" i="12"/>
  <c r="J57" i="12"/>
  <c r="F57" i="12"/>
  <c r="D57" i="12"/>
  <c r="B57" i="12" s="1"/>
  <c r="C57" i="12"/>
  <c r="J56" i="12"/>
  <c r="E56" i="12"/>
  <c r="F56" i="12"/>
  <c r="D56" i="12"/>
  <c r="C56" i="12"/>
  <c r="E55" i="12"/>
  <c r="J55" i="12"/>
  <c r="F55" i="12"/>
  <c r="D55" i="12"/>
  <c r="C55" i="12"/>
  <c r="E54" i="12"/>
  <c r="J54" i="12"/>
  <c r="F54" i="12"/>
  <c r="D54" i="12"/>
  <c r="C54" i="12"/>
  <c r="J53" i="12"/>
  <c r="J47" i="12" s="1"/>
  <c r="E53" i="12"/>
  <c r="F53" i="12"/>
  <c r="D53" i="12"/>
  <c r="C53" i="12"/>
  <c r="N52" i="12"/>
  <c r="N47" i="12" s="1"/>
  <c r="M52" i="12"/>
  <c r="L52" i="12"/>
  <c r="K52" i="12"/>
  <c r="J52" i="12"/>
  <c r="H52" i="12"/>
  <c r="G52" i="12"/>
  <c r="G47" i="12" s="1"/>
  <c r="J51" i="12"/>
  <c r="F51" i="12"/>
  <c r="E51" i="12"/>
  <c r="D51" i="12"/>
  <c r="C51" i="12"/>
  <c r="J50" i="12"/>
  <c r="F50" i="12"/>
  <c r="D50" i="12"/>
  <c r="C50" i="12"/>
  <c r="J49" i="12"/>
  <c r="F49" i="12"/>
  <c r="E49" i="12"/>
  <c r="D49" i="12"/>
  <c r="C49" i="12"/>
  <c r="J48" i="12"/>
  <c r="F48" i="12"/>
  <c r="D48" i="12"/>
  <c r="C48" i="12"/>
  <c r="M47" i="12"/>
  <c r="L47" i="12"/>
  <c r="K47" i="12"/>
  <c r="U6" i="11"/>
  <c r="V6" i="11"/>
  <c r="W6" i="11"/>
  <c r="U7" i="11"/>
  <c r="V7" i="11"/>
  <c r="W7" i="11"/>
  <c r="U8" i="11"/>
  <c r="V8" i="11"/>
  <c r="W8" i="11"/>
  <c r="U9" i="11"/>
  <c r="V9" i="11"/>
  <c r="W9" i="11"/>
  <c r="U10" i="11"/>
  <c r="V10" i="11"/>
  <c r="W10" i="11"/>
  <c r="U15" i="11"/>
  <c r="V15" i="11"/>
  <c r="W15" i="11"/>
  <c r="U20" i="11"/>
  <c r="V20" i="11"/>
  <c r="W20" i="11"/>
  <c r="J83" i="12" l="1"/>
  <c r="K83" i="12"/>
  <c r="B84" i="12"/>
  <c r="D88" i="12"/>
  <c r="D83" i="12" s="1"/>
  <c r="B104" i="12"/>
  <c r="B94" i="12"/>
  <c r="B93" i="12"/>
  <c r="B97" i="12"/>
  <c r="B98" i="12"/>
  <c r="B103" i="12"/>
  <c r="B100" i="12"/>
  <c r="B91" i="12"/>
  <c r="B66" i="12"/>
  <c r="B58" i="12"/>
  <c r="B60" i="12"/>
  <c r="B67" i="12"/>
  <c r="B56" i="12"/>
  <c r="B65" i="12"/>
  <c r="B68" i="12"/>
  <c r="B49" i="12"/>
  <c r="D52" i="12"/>
  <c r="D47" i="12" s="1"/>
  <c r="C52" i="12"/>
  <c r="C47" i="12" s="1"/>
  <c r="B125" i="12"/>
  <c r="E126" i="12"/>
  <c r="B126" i="12" s="1"/>
  <c r="I120" i="12"/>
  <c r="E120" i="12"/>
  <c r="C120" i="12"/>
  <c r="E121" i="12"/>
  <c r="B121" i="12" s="1"/>
  <c r="G120" i="12"/>
  <c r="B96" i="12"/>
  <c r="B89" i="12"/>
  <c r="B101" i="12"/>
  <c r="B99" i="12"/>
  <c r="C83" i="12"/>
  <c r="B92" i="12"/>
  <c r="E88" i="12"/>
  <c r="E83" i="12" s="1"/>
  <c r="I83" i="12"/>
  <c r="F88" i="12"/>
  <c r="F83" i="12" s="1"/>
  <c r="B90" i="12"/>
  <c r="B102" i="12"/>
  <c r="E85" i="12"/>
  <c r="B85" i="12" s="1"/>
  <c r="F85" i="12"/>
  <c r="G83" i="12"/>
  <c r="E86" i="12"/>
  <c r="B86" i="12" s="1"/>
  <c r="B53" i="12"/>
  <c r="B62" i="12"/>
  <c r="F52" i="12"/>
  <c r="F47" i="12" s="1"/>
  <c r="B54" i="12"/>
  <c r="B61" i="12"/>
  <c r="B63" i="12"/>
  <c r="B59" i="12"/>
  <c r="B55" i="12"/>
  <c r="B64" i="12"/>
  <c r="B51" i="12"/>
  <c r="I52" i="12"/>
  <c r="E48" i="12"/>
  <c r="B48" i="12" s="1"/>
  <c r="H47" i="12"/>
  <c r="E50" i="12"/>
  <c r="B50" i="12" s="1"/>
  <c r="W5" i="11"/>
  <c r="V5" i="11"/>
  <c r="U5" i="11"/>
  <c r="B120" i="12" l="1"/>
  <c r="B88" i="12"/>
  <c r="B83" i="12" s="1"/>
  <c r="E52" i="12"/>
  <c r="I47" i="12"/>
  <c r="E47" i="12" l="1"/>
  <c r="B52" i="12"/>
  <c r="B47" i="12" s="1"/>
  <c r="D28" i="12" l="1"/>
  <c r="B28" i="12" s="1"/>
  <c r="D12" i="12"/>
  <c r="D11" i="12"/>
  <c r="D10" i="12"/>
  <c r="D13" i="12" s="1"/>
  <c r="D9" i="12"/>
  <c r="D14" i="12"/>
  <c r="E14" i="12"/>
  <c r="D15" i="12"/>
  <c r="E15" i="12"/>
  <c r="D16" i="12"/>
  <c r="E16" i="12"/>
  <c r="B16" i="12" s="1"/>
  <c r="D17" i="12"/>
  <c r="E17" i="12"/>
  <c r="D18" i="12"/>
  <c r="E18" i="12"/>
  <c r="D19" i="12"/>
  <c r="E19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D26" i="12"/>
  <c r="E26" i="12"/>
  <c r="D27" i="12"/>
  <c r="E27" i="12"/>
  <c r="E28" i="12"/>
  <c r="D29" i="12"/>
  <c r="E29" i="12"/>
  <c r="C15" i="12"/>
  <c r="C16" i="12"/>
  <c r="C17" i="12"/>
  <c r="C18" i="12"/>
  <c r="C19" i="12"/>
  <c r="B19" i="12" s="1"/>
  <c r="C20" i="12"/>
  <c r="B20" i="12" s="1"/>
  <c r="C21" i="12"/>
  <c r="B21" i="12" s="1"/>
  <c r="C22" i="12"/>
  <c r="C23" i="12"/>
  <c r="C24" i="12"/>
  <c r="B24" i="12" s="1"/>
  <c r="C25" i="12"/>
  <c r="B25" i="12" s="1"/>
  <c r="C26" i="12"/>
  <c r="C27" i="12"/>
  <c r="B27" i="12" s="1"/>
  <c r="C28" i="12"/>
  <c r="C29" i="12"/>
  <c r="B29" i="12" s="1"/>
  <c r="C14" i="12"/>
  <c r="C10" i="12"/>
  <c r="C13" i="12" s="1"/>
  <c r="E10" i="12"/>
  <c r="C11" i="12"/>
  <c r="E11" i="12"/>
  <c r="C12" i="12"/>
  <c r="E12" i="12"/>
  <c r="E9" i="12"/>
  <c r="C9" i="12"/>
  <c r="N13" i="12"/>
  <c r="M13" i="12"/>
  <c r="K13" i="12"/>
  <c r="G13" i="12"/>
  <c r="B23" i="12" l="1"/>
  <c r="B15" i="12"/>
  <c r="B22" i="12"/>
  <c r="B26" i="12"/>
  <c r="B14" i="12"/>
  <c r="B17" i="12"/>
  <c r="B18" i="12"/>
  <c r="C8" i="12"/>
  <c r="R168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AK50" i="16"/>
  <c r="AJ50" i="16"/>
  <c r="AI50" i="16"/>
  <c r="AH50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K23" i="16"/>
  <c r="AJ23" i="16"/>
  <c r="AI23" i="16"/>
  <c r="AH23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L50" i="15"/>
  <c r="AK50" i="15"/>
  <c r="AJ50" i="15"/>
  <c r="AI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J23" i="15"/>
  <c r="AI23" i="15"/>
  <c r="AL23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N23" i="14"/>
  <c r="AL23" i="14"/>
  <c r="AK23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R170" i="13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T23" i="13"/>
  <c r="AS23" i="13"/>
  <c r="AR23" i="13"/>
  <c r="AQ23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J29" i="12"/>
  <c r="F29" i="12"/>
  <c r="J28" i="12"/>
  <c r="F28" i="12"/>
  <c r="J27" i="12"/>
  <c r="F27" i="12"/>
  <c r="J26" i="12"/>
  <c r="F26" i="12"/>
  <c r="J25" i="12"/>
  <c r="F25" i="12"/>
  <c r="J24" i="12"/>
  <c r="F24" i="12"/>
  <c r="J23" i="12"/>
  <c r="F23" i="12"/>
  <c r="J22" i="12"/>
  <c r="F22" i="12"/>
  <c r="J21" i="12"/>
  <c r="F21" i="12"/>
  <c r="J20" i="12"/>
  <c r="F20" i="12"/>
  <c r="J19" i="12"/>
  <c r="F19" i="12"/>
  <c r="J18" i="12"/>
  <c r="F18" i="12"/>
  <c r="J17" i="12"/>
  <c r="F17" i="12"/>
  <c r="J16" i="12"/>
  <c r="F16" i="12"/>
  <c r="J15" i="12"/>
  <c r="F15" i="12"/>
  <c r="J14" i="12"/>
  <c r="F14" i="12"/>
  <c r="L13" i="12"/>
  <c r="L8" i="12" s="1"/>
  <c r="K8" i="12"/>
  <c r="H13" i="12"/>
  <c r="H8" i="12" s="1"/>
  <c r="J12" i="12"/>
  <c r="J11" i="12"/>
  <c r="F11" i="12"/>
  <c r="J10" i="12"/>
  <c r="J9" i="12"/>
  <c r="T20" i="11"/>
  <c r="T15" i="11"/>
  <c r="Q15" i="11"/>
  <c r="P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T10" i="11"/>
  <c r="Q10" i="11"/>
  <c r="P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T9" i="11"/>
  <c r="S9" i="11"/>
  <c r="T8" i="11"/>
  <c r="S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T7" i="11"/>
  <c r="S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T6" i="11"/>
  <c r="S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Q5" i="11"/>
  <c r="O5" i="11"/>
  <c r="N5" i="11"/>
  <c r="I5" i="11" l="1"/>
  <c r="J5" i="11"/>
  <c r="L5" i="11"/>
  <c r="D5" i="11"/>
  <c r="P5" i="11"/>
  <c r="G5" i="11"/>
  <c r="H5" i="11"/>
  <c r="F5" i="11"/>
  <c r="B5" i="11"/>
  <c r="C5" i="11"/>
  <c r="E5" i="11"/>
  <c r="K5" i="11"/>
  <c r="M5" i="11"/>
  <c r="AK23" i="15"/>
  <c r="AM23" i="14"/>
  <c r="B11" i="12"/>
  <c r="F12" i="12"/>
  <c r="B10" i="12"/>
  <c r="F10" i="12"/>
  <c r="D8" i="12"/>
  <c r="I13" i="12"/>
  <c r="E13" i="12" s="1"/>
  <c r="F9" i="12"/>
  <c r="B12" i="12"/>
  <c r="M8" i="12"/>
  <c r="N8" i="12"/>
  <c r="B9" i="12"/>
  <c r="J13" i="12"/>
  <c r="J8" i="12" s="1"/>
  <c r="G8" i="12"/>
  <c r="T5" i="11"/>
  <c r="E8" i="12" l="1"/>
  <c r="B13" i="12"/>
  <c r="F13" i="12"/>
  <c r="F8" i="12" s="1"/>
  <c r="B8" i="12"/>
  <c r="I8" i="12"/>
</calcChain>
</file>

<file path=xl/sharedStrings.xml><?xml version="1.0" encoding="utf-8"?>
<sst xmlns="http://schemas.openxmlformats.org/spreadsheetml/2006/main" count="1234" uniqueCount="142">
  <si>
    <t>cnehirif</t>
  </si>
  <si>
    <t>cnehcnwa</t>
  </si>
  <si>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</si>
  <si>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</si>
  <si>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</si>
  <si>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</si>
  <si>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</si>
  <si>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</si>
  <si>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</si>
  <si>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</si>
  <si>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</si>
  <si>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</si>
  <si>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</si>
  <si>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</si>
  <si>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</si>
  <si>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</si>
  <si>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</si>
  <si>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</si>
  <si>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</si>
  <si>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-</t>
  </si>
  <si>
    <t>Male'</t>
  </si>
  <si>
    <t>Atolls</t>
  </si>
  <si>
    <t>Not stated</t>
  </si>
  <si>
    <t>ބަޔާން ނުކުރާ</t>
  </si>
  <si>
    <t xml:space="preserve">Note: 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</si>
  <si>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</si>
  <si>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</si>
  <si>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</si>
  <si>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</si>
  <si>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</si>
  <si>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</si>
  <si>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</si>
  <si>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</si>
  <si>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</si>
  <si>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</si>
  <si>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</si>
  <si>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</si>
  <si>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</si>
  <si>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t>Age Groups</t>
  </si>
  <si>
    <t>Both  Sexes</t>
  </si>
  <si>
    <t>All Ages</t>
  </si>
  <si>
    <t xml:space="preserve">28 - 364 days </t>
  </si>
  <si>
    <t>Resident Population in Republic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</si>
  <si>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</si>
  <si>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</si>
  <si>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</si>
  <si>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</si>
  <si>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</si>
  <si>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</si>
  <si>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</si>
  <si>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</si>
  <si>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</si>
  <si>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</si>
  <si>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</si>
  <si>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</si>
  <si>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</si>
  <si>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</si>
  <si>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</si>
  <si>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</si>
  <si>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</si>
  <si>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</si>
  <si>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</si>
  <si>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</si>
  <si>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</si>
  <si>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</si>
  <si>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</si>
  <si>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</si>
  <si>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</si>
  <si>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</si>
  <si>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</si>
  <si>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</si>
  <si>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</si>
  <si>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</si>
  <si>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</si>
  <si>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</si>
  <si>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</si>
  <si>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</si>
  <si>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</si>
  <si>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</si>
  <si>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</si>
  <si>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</si>
  <si>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</si>
  <si>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</si>
  <si>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</si>
  <si>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</si>
  <si>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</si>
  <si>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</si>
  <si>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</si>
  <si>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>Resident Population in Male'</t>
  </si>
  <si>
    <t>Residential Maldivian 2018</t>
  </si>
  <si>
    <t>Resident Foreigners 2018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</si>
  <si>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</si>
  <si>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</si>
  <si>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</si>
  <si>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</si>
  <si>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</si>
  <si>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</si>
  <si>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</si>
  <si>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</si>
  <si>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</si>
  <si>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</si>
  <si>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</si>
  <si>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</si>
  <si>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</si>
  <si>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</si>
  <si>
    <t>Resident Population in Non-Administrative Islands</t>
  </si>
  <si>
    <t>2030 - 2014 ,WzWdcnwa egIdWbWa  ELuairid iawguSwrcSwr Wvun iawfWLwawDnwk cSwmuLuairid cnuhIm : 3.15 ulwvWt</t>
  </si>
  <si>
    <t>Table 3.15 : PROJECTED MID-YEAR POPULATION OF NON - ADMINISTRATIVE ISLANDS BY AGE AND SEX, 2014  - 2030</t>
  </si>
  <si>
    <t>މީހުން ދިރިއުޅުމަށް ކަނޑައެޅިފައިނުވާ ރަށްރަށުގައި ދިރިއުޅޭ އާބާދީ</t>
  </si>
  <si>
    <t xml:space="preserve">މީހުން ދިރިއުޅުމަށް ކަނޑައެޅިފައިނުވާ ރަށްރަށުގައި ދިރިއުޅޭ ދިވެހީންގެ އާބާދީ </t>
  </si>
  <si>
    <t xml:space="preserve">މީހުން ދިރިއުޅުމަށް ކަނޑައެޅިފައިނުވާ ރަށްރަށުގައި ދިރިއުޅޭ ބިދޭސީންގެ އާބާދީ </t>
  </si>
  <si>
    <t xml:space="preserve">25 - 29 </t>
  </si>
  <si>
    <t xml:space="preserve">40 - 44 </t>
  </si>
  <si>
    <t xml:space="preserve">70 &amp; Over </t>
  </si>
  <si>
    <t>ޖިންސު ބަޔާންނުކުރާ</t>
  </si>
  <si>
    <t>Data includes Maldivians and foreigners</t>
  </si>
  <si>
    <r>
      <t xml:space="preserve"> </t>
    </r>
    <r>
      <rPr>
        <b/>
        <i/>
        <sz val="10"/>
        <rFont val="Calibri"/>
        <family val="2"/>
      </rPr>
      <t>Health Information Management &amp; Research Division / Health Statistics &amp; Publication Section</t>
    </r>
  </si>
  <si>
    <t>Sex Not Stated</t>
  </si>
  <si>
    <t>Not Stated</t>
  </si>
  <si>
    <t>8 - 27</t>
  </si>
  <si>
    <t>29 - 364</t>
  </si>
  <si>
    <t>Note: Data includes Maldivians and foreigners</t>
  </si>
  <si>
    <t>Table 3.12 :   DEATHS BY AGE AND SEX, BY MAJOR ADMINISTRATIVE UNITS, 2021</t>
  </si>
  <si>
    <t>ތާވަލު 3.12: މާލެއާއި، ރާއްޖެ އަދި ރާއްޖޭންބޭރުގައި މަރުވި މީހުންގެ ޢަދަދު، ޖިންސާއި ޢުމުރުގެ ގޮތުން، 2021</t>
  </si>
  <si>
    <r>
      <t>2021</t>
    </r>
    <r>
      <rPr>
        <b/>
        <vertAlign val="superscript"/>
        <sz val="10"/>
        <color theme="1"/>
        <rFont val="Calibri"/>
        <family val="2"/>
      </rPr>
      <t>1_/</t>
    </r>
  </si>
  <si>
    <t>2021 - 2006 ,cnutogegurumua iaWscnij ,cnidukwDukivurwm : 3.11 ulwvWt</t>
  </si>
  <si>
    <r>
      <rPr>
        <sz val="2"/>
        <color theme="1"/>
        <rFont val="Faruma"/>
      </rPr>
      <t>ނ</t>
    </r>
    <r>
      <rPr>
        <sz val="9"/>
        <color theme="1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</si>
  <si>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t>2021 figures are revised and  tentative and is expected to change</t>
  </si>
  <si>
    <t>Note: 1_/: 2021 figures are revised and  tentative and is expected to change</t>
  </si>
  <si>
    <t>Atoll Not stated</t>
  </si>
  <si>
    <t>Resident Foreigners 2023</t>
  </si>
  <si>
    <t>Residential Maldivian 2023</t>
  </si>
  <si>
    <t>Source: Maldives  Bureau of Statistics</t>
  </si>
  <si>
    <t>Table 3.11 : INFANT DEATHS BY AGE AND SEX, 2006 - 2024</t>
  </si>
  <si>
    <t>Table 3.12 :   DEATHS BY AGE AND SEX, BY MAJOR ADMINISTRATIVE UNITS, 2024</t>
  </si>
  <si>
    <t>ތާވަލު 3.12: މާލެއާއި، ރާއްޖެ އަދި ރާއްޖޭންބޭރުގައި މަރުވި މީހުންގެ ޢަދަދު، ޖިންސާއި ޢުމުރުގެ ގޮތުން، 2024</t>
  </si>
  <si>
    <t>Table 3.12 :   DEATHS BY AGE AND SEX, BY MAJOR ADMINISTRATIVE UNITS, 2023</t>
  </si>
  <si>
    <t>ތާވަލު 3.12: މާލެއާއި، ރާއްޖެ އަދި ރާއްޖޭންބޭރުގައި މަރުވި މީހުންގެ ޢަދަދު، ޖިންސާއި ޢުމުރުގެ ގޮތުން، 2023</t>
  </si>
  <si>
    <t>Table 3.12 :   DEATHS BY AGE AND SEX, BY MAJOR ADMINISTRATIVE UNITS, 2022</t>
  </si>
  <si>
    <t>ތާވަލު 3.12: މާލެއާއި، ރާއްޖެ އަދި ރާއްޖޭންބޭރުގައި މަރުވި މީހުންގެ ޢަދަދު، ޖިންސާއި ޢުމުރުގެ ގޮތުން، 2022</t>
  </si>
  <si>
    <t>Resident Foreigners 2024</t>
  </si>
  <si>
    <t>Residential Maldivian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</si>
</sst>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73" formatCode="_(* #,##0_);_(* \(#,##0\);_(* &quot;-&quot;??_);_(@_)"/>
    <numFmt numFmtId="176" formatCode="_(* #,##0.0_);_(* \(#,##0.0\);_(* &quot;-&quot;??_);_(@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b/>
      <sz val="10"/>
      <name val="Faruma"/>
    </font>
    <font>
      <i/>
      <sz val="9"/>
      <name val="Calibri"/>
      <family val="2"/>
    </font>
    <font>
      <i/>
      <sz val="9"/>
      <name val="Arial"/>
      <family val="2"/>
    </font>
    <font>
      <sz val="10"/>
      <name val="Arial"/>
      <family val="2"/>
    </font>
    <font>
      <i/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Calibri"/>
      <family val="2"/>
      <scheme val="minor"/>
    </font>
    <font>
      <b/>
      <i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_Faseyha"/>
    </font>
    <font>
      <b/>
      <sz val="12"/>
      <name val="A_Faseyha"/>
    </font>
    <font>
      <sz val="10"/>
      <name val="Times New Roman"/>
      <family val="1"/>
    </font>
    <font>
      <i/>
      <sz val="10"/>
      <name val="Calibri"/>
      <family val="2"/>
      <scheme val="minor"/>
    </font>
    <font>
      <b/>
      <sz val="11"/>
      <color theme="1"/>
      <name val="A_Faseyha"/>
    </font>
    <font>
      <b/>
      <sz val="8"/>
      <color theme="1"/>
      <name val="A_Faseyha"/>
    </font>
    <font>
      <b/>
      <sz val="10"/>
      <color theme="1"/>
      <name val="A_Faseyha"/>
    </font>
    <font>
      <sz val="2"/>
      <color theme="1"/>
      <name val="Faruma"/>
    </font>
    <font>
      <b/>
      <vertAlign val="superscript"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</borders>
  <cellStyleXfs count="27">
    <xf numFmtId="0" fontId="0" fillId="0" borderId="0"/>
    <xf numFmtId="167" fontId="3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29" fillId="0" borderId="0"/>
    <xf numFmtId="0" fontId="11" fillId="0" borderId="0"/>
    <xf numFmtId="0" fontId="11" fillId="0" borderId="0"/>
    <xf numFmtId="0" fontId="1" fillId="0" borderId="0"/>
    <xf numFmtId="167" fontId="3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2">
    <xf numFmtId="0" fontId="0" fillId="0" borderId="0" xfId="0"/>
    <xf numFmtId="0" fontId="0" fillId="3" borderId="0" xfId="0" applyFill="1"/>
    <xf numFmtId="0" fontId="11" fillId="3" borderId="0" xfId="0" applyFont="1" applyFill="1"/>
    <xf numFmtId="167" fontId="11" fillId="3" borderId="0" xfId="0" applyNumberFormat="1" applyFont="1" applyFill="1"/>
    <xf numFmtId="167" fontId="33" fillId="3" borderId="0" xfId="0" applyNumberFormat="1" applyFont="1" applyFill="1" applyAlignment="1">
      <alignment horizontal="left" vertical="center"/>
    </xf>
    <xf numFmtId="167" fontId="33" fillId="3" borderId="0" xfId="0" applyNumberFormat="1" applyFont="1" applyFill="1" applyAlignment="1">
      <alignment horizontal="right" vertical="center"/>
    </xf>
    <xf numFmtId="167" fontId="33" fillId="3" borderId="0" xfId="0" applyNumberFormat="1" applyFont="1" applyFill="1" applyAlignment="1">
      <alignment horizontal="right" vertical="center" wrapText="1"/>
    </xf>
    <xf numFmtId="167" fontId="33" fillId="3" borderId="0" xfId="0" applyNumberFormat="1" applyFont="1" applyFill="1" applyAlignment="1">
      <alignment horizontal="center" vertical="center" wrapText="1"/>
    </xf>
    <xf numFmtId="0" fontId="2" fillId="3" borderId="0" xfId="0" applyFont="1" applyFill="1"/>
    <xf numFmtId="0" fontId="35" fillId="3" borderId="0" xfId="0" applyFont="1" applyFill="1"/>
    <xf numFmtId="3" fontId="2" fillId="3" borderId="0" xfId="0" applyNumberFormat="1" applyFont="1" applyFill="1"/>
    <xf numFmtId="0" fontId="2" fillId="3" borderId="7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73" fontId="2" fillId="3" borderId="0" xfId="6" applyNumberFormat="1" applyFont="1" applyFill="1" applyBorder="1"/>
    <xf numFmtId="37" fontId="0" fillId="3" borderId="0" xfId="0" applyNumberFormat="1" applyFill="1"/>
    <xf numFmtId="3" fontId="35" fillId="3" borderId="0" xfId="0" applyNumberFormat="1" applyFont="1" applyFill="1"/>
    <xf numFmtId="173" fontId="35" fillId="3" borderId="0" xfId="6" applyNumberFormat="1" applyFont="1" applyFill="1" applyBorder="1"/>
    <xf numFmtId="3" fontId="1" fillId="3" borderId="0" xfId="0" applyNumberFormat="1" applyFont="1" applyFill="1"/>
    <xf numFmtId="0" fontId="35" fillId="3" borderId="1" xfId="0" applyFont="1" applyFill="1" applyBorder="1"/>
    <xf numFmtId="173" fontId="35" fillId="3" borderId="1" xfId="6" applyNumberFormat="1" applyFont="1" applyFill="1" applyBorder="1"/>
    <xf numFmtId="3" fontId="0" fillId="3" borderId="0" xfId="0" applyNumberFormat="1" applyFill="1"/>
    <xf numFmtId="0" fontId="2" fillId="3" borderId="2" xfId="0" applyFont="1" applyFill="1" applyBorder="1" applyAlignment="1">
      <alignment horizontal="left" vertical="center" wrapText="1"/>
    </xf>
    <xf numFmtId="173" fontId="2" fillId="3" borderId="2" xfId="6" applyNumberFormat="1" applyFont="1" applyFill="1" applyBorder="1"/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37" fontId="2" fillId="3" borderId="2" xfId="6" applyNumberFormat="1" applyFont="1" applyFill="1" applyBorder="1"/>
    <xf numFmtId="37" fontId="35" fillId="3" borderId="0" xfId="6" applyNumberFormat="1" applyFont="1" applyFill="1" applyBorder="1"/>
    <xf numFmtId="37" fontId="35" fillId="3" borderId="1" xfId="6" applyNumberFormat="1" applyFont="1" applyFill="1" applyBorder="1"/>
    <xf numFmtId="0" fontId="37" fillId="3" borderId="0" xfId="0" applyFont="1" applyFill="1"/>
    <xf numFmtId="3" fontId="37" fillId="3" borderId="0" xfId="0" applyNumberFormat="1" applyFont="1" applyFill="1"/>
    <xf numFmtId="3" fontId="11" fillId="3" borderId="0" xfId="0" applyNumberFormat="1" applyFont="1" applyFill="1"/>
    <xf numFmtId="37" fontId="2" fillId="3" borderId="0" xfId="6" applyNumberFormat="1" applyFont="1" applyFill="1" applyBorder="1"/>
    <xf numFmtId="0" fontId="0" fillId="3" borderId="0" xfId="0" applyFill="1" applyAlignment="1">
      <alignment wrapText="1"/>
    </xf>
    <xf numFmtId="0" fontId="21" fillId="3" borderId="0" xfId="0" applyFont="1" applyFill="1"/>
    <xf numFmtId="3" fontId="21" fillId="3" borderId="0" xfId="0" applyNumberFormat="1" applyFont="1" applyFill="1"/>
    <xf numFmtId="3" fontId="38" fillId="3" borderId="0" xfId="0" applyNumberFormat="1" applyFont="1" applyFill="1"/>
    <xf numFmtId="1" fontId="0" fillId="3" borderId="0" xfId="0" applyNumberFormat="1" applyFill="1" applyAlignment="1">
      <alignment horizontal="right" vertical="center"/>
    </xf>
    <xf numFmtId="3" fontId="35" fillId="3" borderId="1" xfId="0" applyNumberFormat="1" applyFont="1" applyFill="1" applyBorder="1"/>
    <xf numFmtId="0" fontId="21" fillId="3" borderId="2" xfId="0" applyFont="1" applyFill="1" applyBorder="1" applyAlignment="1">
      <alignment horizontal="left" vertical="center" wrapText="1"/>
    </xf>
    <xf numFmtId="3" fontId="21" fillId="3" borderId="2" xfId="0" applyNumberFormat="1" applyFont="1" applyFill="1" applyBorder="1"/>
    <xf numFmtId="3" fontId="22" fillId="3" borderId="0" xfId="0" applyNumberFormat="1" applyFont="1" applyFill="1"/>
    <xf numFmtId="0" fontId="6" fillId="3" borderId="0" xfId="0" applyFont="1" applyFill="1"/>
    <xf numFmtId="3" fontId="8" fillId="3" borderId="0" xfId="0" applyNumberFormat="1" applyFont="1" applyFill="1"/>
    <xf numFmtId="0" fontId="36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right" vertical="center"/>
    </xf>
    <xf numFmtId="3" fontId="0" fillId="3" borderId="0" xfId="0" applyNumberFormat="1" applyFill="1" applyAlignment="1">
      <alignment horizontal="right" vertical="center"/>
    </xf>
    <xf numFmtId="0" fontId="15" fillId="3" borderId="0" xfId="0" applyFont="1" applyFill="1"/>
    <xf numFmtId="37" fontId="15" fillId="3" borderId="0" xfId="0" applyNumberFormat="1" applyFont="1" applyFill="1"/>
    <xf numFmtId="3" fontId="2" fillId="3" borderId="2" xfId="0" applyNumberFormat="1" applyFont="1" applyFill="1" applyBorder="1"/>
    <xf numFmtId="0" fontId="35" fillId="3" borderId="0" xfId="0" applyFont="1" applyFill="1" applyAlignment="1">
      <alignment wrapText="1"/>
    </xf>
    <xf numFmtId="0" fontId="31" fillId="3" borderId="0" xfId="0" applyFont="1" applyFill="1"/>
    <xf numFmtId="3" fontId="20" fillId="3" borderId="0" xfId="0" applyNumberFormat="1" applyFont="1" applyFill="1" applyAlignment="1">
      <alignment horizontal="center" vertical="center"/>
    </xf>
    <xf numFmtId="167" fontId="30" fillId="3" borderId="0" xfId="1" applyFont="1" applyFill="1" applyAlignment="1">
      <alignment horizontal="center" vertical="center"/>
    </xf>
    <xf numFmtId="176" fontId="23" fillId="3" borderId="0" xfId="15" applyNumberFormat="1" applyFont="1" applyFill="1" applyBorder="1" applyAlignment="1">
      <alignment horizontal="right" vertical="center"/>
    </xf>
    <xf numFmtId="167" fontId="33" fillId="3" borderId="0" xfId="0" applyNumberFormat="1" applyFont="1" applyFill="1" applyAlignment="1">
      <alignment horizontal="center" vertical="center"/>
    </xf>
    <xf numFmtId="167" fontId="15" fillId="3" borderId="0" xfId="0" applyNumberFormat="1" applyFont="1" applyFill="1"/>
    <xf numFmtId="167" fontId="6" fillId="3" borderId="0" xfId="0" applyNumberFormat="1" applyFont="1" applyFill="1" applyAlignment="1">
      <alignment vertical="center"/>
    </xf>
    <xf numFmtId="176" fontId="18" fillId="3" borderId="1" xfId="15" applyNumberFormat="1" applyFont="1" applyFill="1" applyBorder="1" applyAlignment="1">
      <alignment horizontal="right" vertical="center"/>
    </xf>
    <xf numFmtId="167" fontId="16" fillId="3" borderId="0" xfId="0" applyNumberFormat="1" applyFont="1" applyFill="1"/>
    <xf numFmtId="167" fontId="17" fillId="3" borderId="1" xfId="0" applyNumberFormat="1" applyFont="1" applyFill="1" applyBorder="1" applyAlignment="1">
      <alignment horizontal="center" vertical="center"/>
    </xf>
    <xf numFmtId="167" fontId="17" fillId="3" borderId="0" xfId="0" applyNumberFormat="1" applyFont="1" applyFill="1" applyAlignment="1">
      <alignment horizontal="center" vertical="center"/>
    </xf>
    <xf numFmtId="167" fontId="19" fillId="3" borderId="7" xfId="0" applyNumberFormat="1" applyFont="1" applyFill="1" applyBorder="1" applyAlignment="1">
      <alignment horizontal="left" vertical="center"/>
    </xf>
    <xf numFmtId="167" fontId="19" fillId="3" borderId="7" xfId="0" applyNumberFormat="1" applyFont="1" applyFill="1" applyBorder="1" applyAlignment="1">
      <alignment horizontal="right" vertical="center"/>
    </xf>
    <xf numFmtId="167" fontId="18" fillId="3" borderId="7" xfId="0" applyNumberFormat="1" applyFont="1" applyFill="1" applyBorder="1" applyAlignment="1">
      <alignment horizontal="right" vertical="center"/>
    </xf>
    <xf numFmtId="167" fontId="44" fillId="3" borderId="7" xfId="0" applyNumberFormat="1" applyFont="1" applyFill="1" applyBorder="1" applyAlignment="1">
      <alignment horizontal="right" vertical="center"/>
    </xf>
    <xf numFmtId="167" fontId="19" fillId="3" borderId="0" xfId="0" applyNumberFormat="1" applyFont="1" applyFill="1" applyAlignment="1">
      <alignment horizontal="left" vertical="center" indent="1"/>
    </xf>
    <xf numFmtId="167" fontId="19" fillId="3" borderId="0" xfId="0" applyNumberFormat="1" applyFont="1" applyFill="1" applyAlignment="1">
      <alignment vertical="center"/>
    </xf>
    <xf numFmtId="167" fontId="45" fillId="3" borderId="0" xfId="0" applyNumberFormat="1" applyFont="1" applyFill="1" applyAlignment="1">
      <alignment horizontal="right" vertical="center" indent="1"/>
    </xf>
    <xf numFmtId="167" fontId="25" fillId="3" borderId="0" xfId="0" applyNumberFormat="1" applyFont="1" applyFill="1" applyAlignment="1">
      <alignment horizontal="left" vertical="center" indent="1"/>
    </xf>
    <xf numFmtId="167" fontId="25" fillId="3" borderId="0" xfId="0" applyNumberFormat="1" applyFont="1" applyFill="1" applyAlignment="1" applyProtection="1">
      <alignment vertical="center"/>
      <protection locked="0"/>
    </xf>
    <xf numFmtId="167" fontId="25" fillId="3" borderId="0" xfId="0" applyNumberFormat="1" applyFont="1" applyFill="1" applyAlignment="1">
      <alignment vertical="center"/>
    </xf>
    <xf numFmtId="167" fontId="39" fillId="3" borderId="0" xfId="0" applyNumberFormat="1" applyFont="1" applyFill="1" applyAlignment="1">
      <alignment horizontal="right" vertical="center" indent="1"/>
    </xf>
    <xf numFmtId="167" fontId="25" fillId="3" borderId="0" xfId="0" quotePrefix="1" applyNumberFormat="1" applyFont="1" applyFill="1" applyAlignment="1">
      <alignment horizontal="left" vertical="center" indent="1"/>
    </xf>
    <xf numFmtId="167" fontId="39" fillId="3" borderId="0" xfId="0" quotePrefix="1" applyNumberFormat="1" applyFont="1" applyFill="1" applyAlignment="1">
      <alignment horizontal="right" vertical="center" indent="1"/>
    </xf>
    <xf numFmtId="167" fontId="27" fillId="3" borderId="0" xfId="0" quotePrefix="1" applyNumberFormat="1" applyFont="1" applyFill="1" applyAlignment="1">
      <alignment horizontal="right" vertical="center" indent="1"/>
    </xf>
    <xf numFmtId="167" fontId="25" fillId="3" borderId="1" xfId="0" quotePrefix="1" applyNumberFormat="1" applyFont="1" applyFill="1" applyBorder="1" applyAlignment="1">
      <alignment horizontal="left" vertical="center" indent="1"/>
    </xf>
    <xf numFmtId="167" fontId="25" fillId="3" borderId="1" xfId="0" applyNumberFormat="1" applyFont="1" applyFill="1" applyBorder="1" applyAlignment="1">
      <alignment vertical="center"/>
    </xf>
    <xf numFmtId="167" fontId="27" fillId="3" borderId="1" xfId="0" quotePrefix="1" applyNumberFormat="1" applyFont="1" applyFill="1" applyBorder="1" applyAlignment="1">
      <alignment horizontal="right" vertical="center" indent="1"/>
    </xf>
    <xf numFmtId="167" fontId="28" fillId="3" borderId="0" xfId="12" applyFont="1" applyFill="1" applyAlignment="1" applyProtection="1">
      <alignment vertical="center"/>
      <protection hidden="1"/>
    </xf>
    <xf numFmtId="167" fontId="16" fillId="3" borderId="0" xfId="0" applyNumberFormat="1" applyFont="1" applyFill="1" applyAlignment="1">
      <alignment vertical="center"/>
    </xf>
    <xf numFmtId="167" fontId="24" fillId="3" borderId="0" xfId="11" applyFont="1" applyFill="1" applyAlignment="1" applyProtection="1">
      <alignment horizontal="right" vertical="center" indent="1"/>
      <protection hidden="1"/>
    </xf>
    <xf numFmtId="167" fontId="26" fillId="3" borderId="0" xfId="0" applyNumberFormat="1" applyFont="1" applyFill="1" applyAlignment="1">
      <alignment horizontal="left" vertical="center"/>
    </xf>
    <xf numFmtId="167" fontId="24" fillId="3" borderId="0" xfId="11" applyFont="1" applyFill="1" applyAlignment="1" applyProtection="1">
      <alignment horizontal="right"/>
      <protection hidden="1"/>
    </xf>
    <xf numFmtId="167" fontId="10" fillId="3" borderId="0" xfId="0" applyNumberFormat="1" applyFont="1" applyFill="1" applyAlignment="1">
      <alignment vertical="center"/>
    </xf>
    <xf numFmtId="167" fontId="19" fillId="3" borderId="0" xfId="0" applyNumberFormat="1" applyFont="1" applyFill="1" applyAlignment="1">
      <alignment horizontal="right" vertical="center"/>
    </xf>
    <xf numFmtId="167" fontId="25" fillId="3" borderId="0" xfId="0" applyNumberFormat="1" applyFont="1" applyFill="1" applyAlignment="1">
      <alignment horizontal="right" vertical="center"/>
    </xf>
    <xf numFmtId="167" fontId="4" fillId="3" borderId="0" xfId="0" applyNumberFormat="1" applyFont="1" applyFill="1"/>
    <xf numFmtId="167" fontId="34" fillId="3" borderId="0" xfId="0" applyNumberFormat="1" applyFont="1" applyFill="1" applyAlignment="1">
      <alignment horizontal="left" vertical="center"/>
    </xf>
    <xf numFmtId="3" fontId="14" fillId="3" borderId="0" xfId="0" applyNumberFormat="1" applyFont="1" applyFill="1" applyAlignment="1">
      <alignment horizontal="right" vertical="center"/>
    </xf>
    <xf numFmtId="3" fontId="14" fillId="3" borderId="3" xfId="0" applyNumberFormat="1" applyFont="1" applyFill="1" applyBorder="1" applyAlignment="1">
      <alignment horizontal="right" vertical="center"/>
    </xf>
    <xf numFmtId="167" fontId="15" fillId="3" borderId="0" xfId="0" applyNumberFormat="1" applyFont="1" applyFill="1" applyAlignment="1">
      <alignment wrapText="1"/>
    </xf>
    <xf numFmtId="3" fontId="13" fillId="3" borderId="0" xfId="0" applyNumberFormat="1" applyFont="1" applyFill="1" applyAlignment="1">
      <alignment horizontal="right" vertical="center"/>
    </xf>
    <xf numFmtId="3" fontId="13" fillId="3" borderId="6" xfId="0" applyNumberFormat="1" applyFont="1" applyFill="1" applyBorder="1" applyAlignment="1">
      <alignment horizontal="right" vertical="center"/>
    </xf>
    <xf numFmtId="3" fontId="13" fillId="3" borderId="3" xfId="0" applyNumberFormat="1" applyFont="1" applyFill="1" applyBorder="1" applyAlignment="1">
      <alignment horizontal="right" vertical="center"/>
    </xf>
    <xf numFmtId="167" fontId="31" fillId="3" borderId="11" xfId="0" applyNumberFormat="1" applyFont="1" applyFill="1" applyBorder="1" applyAlignment="1">
      <alignment horizontal="right" vertical="center" wrapText="1"/>
    </xf>
    <xf numFmtId="167" fontId="31" fillId="3" borderId="12" xfId="0" applyNumberFormat="1" applyFont="1" applyFill="1" applyBorder="1" applyAlignment="1">
      <alignment horizontal="right" vertical="center" wrapText="1"/>
    </xf>
    <xf numFmtId="167" fontId="31" fillId="3" borderId="13" xfId="0" applyNumberFormat="1" applyFont="1" applyFill="1" applyBorder="1" applyAlignment="1">
      <alignment horizontal="right" vertical="center" wrapText="1"/>
    </xf>
    <xf numFmtId="3" fontId="14" fillId="3" borderId="1" xfId="0" applyNumberFormat="1" applyFont="1" applyFill="1" applyBorder="1" applyAlignment="1">
      <alignment horizontal="right" vertical="center"/>
    </xf>
    <xf numFmtId="3" fontId="14" fillId="3" borderId="4" xfId="0" applyNumberFormat="1" applyFont="1" applyFill="1" applyBorder="1" applyAlignment="1">
      <alignment horizontal="right" vertical="center"/>
    </xf>
    <xf numFmtId="167" fontId="9" fillId="2" borderId="0" xfId="0" applyNumberFormat="1" applyFont="1" applyFill="1" applyAlignment="1">
      <alignment horizontal="left" vertical="center"/>
    </xf>
    <xf numFmtId="167" fontId="42" fillId="3" borderId="0" xfId="0" applyNumberFormat="1" applyFont="1" applyFill="1" applyAlignment="1">
      <alignment horizontal="left"/>
    </xf>
    <xf numFmtId="173" fontId="23" fillId="3" borderId="1" xfId="15" applyNumberFormat="1" applyFont="1" applyFill="1" applyBorder="1" applyAlignment="1">
      <alignment horizontal="right" vertical="center"/>
    </xf>
    <xf numFmtId="167" fontId="25" fillId="3" borderId="1" xfId="0" applyNumberFormat="1" applyFont="1" applyFill="1" applyBorder="1" applyAlignment="1">
      <alignment horizontal="right" vertical="center"/>
    </xf>
    <xf numFmtId="173" fontId="23" fillId="3" borderId="0" xfId="15" applyNumberFormat="1" applyFont="1" applyFill="1" applyBorder="1" applyAlignment="1">
      <alignment horizontal="right" vertical="center"/>
    </xf>
    <xf numFmtId="3" fontId="14" fillId="3" borderId="6" xfId="0" applyNumberFormat="1" applyFont="1" applyFill="1" applyBorder="1" applyAlignment="1">
      <alignment horizontal="right" vertical="center"/>
    </xf>
    <xf numFmtId="3" fontId="14" fillId="3" borderId="6" xfId="0" applyNumberFormat="1" applyFont="1" applyFill="1" applyBorder="1" applyAlignment="1" applyProtection="1">
      <alignment horizontal="right" vertical="center"/>
      <protection locked="0"/>
    </xf>
    <xf numFmtId="3" fontId="13" fillId="3" borderId="0" xfId="0" applyNumberFormat="1" applyFont="1" applyFill="1" applyAlignment="1" applyProtection="1">
      <alignment horizontal="right" vertical="center"/>
      <protection locked="0"/>
    </xf>
    <xf numFmtId="3" fontId="14" fillId="3" borderId="10" xfId="0" applyNumberFormat="1" applyFont="1" applyFill="1" applyBorder="1" applyAlignment="1">
      <alignment horizontal="right" vertical="center"/>
    </xf>
    <xf numFmtId="167" fontId="11" fillId="3" borderId="0" xfId="0" applyNumberFormat="1" applyFont="1" applyFill="1" applyAlignment="1">
      <alignment vertical="center"/>
    </xf>
    <xf numFmtId="167" fontId="34" fillId="3" borderId="0" xfId="0" quotePrefix="1" applyNumberFormat="1" applyFont="1" applyFill="1" applyAlignment="1">
      <alignment horizontal="left" vertical="center"/>
    </xf>
    <xf numFmtId="3" fontId="13" fillId="3" borderId="1" xfId="0" applyNumberFormat="1" applyFont="1" applyFill="1" applyBorder="1" applyAlignment="1">
      <alignment horizontal="right" vertical="center"/>
    </xf>
    <xf numFmtId="167" fontId="13" fillId="3" borderId="8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167" fontId="25" fillId="4" borderId="0" xfId="0" applyNumberFormat="1" applyFont="1" applyFill="1" applyAlignment="1">
      <alignment vertical="center"/>
    </xf>
    <xf numFmtId="173" fontId="23" fillId="4" borderId="0" xfId="15" applyNumberFormat="1" applyFont="1" applyFill="1" applyBorder="1" applyAlignment="1">
      <alignment horizontal="right" vertical="center"/>
    </xf>
    <xf numFmtId="167" fontId="25" fillId="4" borderId="1" xfId="0" applyNumberFormat="1" applyFont="1" applyFill="1" applyBorder="1" applyAlignment="1">
      <alignment vertical="center"/>
    </xf>
    <xf numFmtId="3" fontId="14" fillId="4" borderId="0" xfId="0" applyNumberFormat="1" applyFont="1" applyFill="1" applyAlignment="1">
      <alignment horizontal="right" vertical="center"/>
    </xf>
    <xf numFmtId="3" fontId="14" fillId="4" borderId="6" xfId="0" applyNumberFormat="1" applyFont="1" applyFill="1" applyBorder="1" applyAlignment="1">
      <alignment horizontal="right" vertical="center"/>
    </xf>
    <xf numFmtId="3" fontId="14" fillId="4" borderId="6" xfId="0" applyNumberFormat="1" applyFont="1" applyFill="1" applyBorder="1" applyAlignment="1" applyProtection="1">
      <alignment horizontal="right" vertical="center"/>
      <protection locked="0"/>
    </xf>
    <xf numFmtId="3" fontId="14" fillId="4" borderId="1" xfId="0" applyNumberFormat="1" applyFont="1" applyFill="1" applyBorder="1" applyAlignment="1">
      <alignment horizontal="right" vertical="center"/>
    </xf>
    <xf numFmtId="3" fontId="14" fillId="4" borderId="10" xfId="0" applyNumberFormat="1" applyFont="1" applyFill="1" applyBorder="1" applyAlignment="1">
      <alignment horizontal="right" vertical="center"/>
    </xf>
    <xf numFmtId="167" fontId="43" fillId="3" borderId="0" xfId="0" applyNumberFormat="1" applyFont="1" applyFill="1" applyAlignment="1">
      <alignment horizontal="center" vertical="center"/>
    </xf>
    <xf numFmtId="167" fontId="17" fillId="3" borderId="0" xfId="0" applyNumberFormat="1" applyFont="1" applyFill="1" applyAlignment="1">
      <alignment horizontal="center" vertical="center"/>
    </xf>
    <xf numFmtId="167" fontId="12" fillId="2" borderId="2" xfId="12" applyFont="1" applyFill="1" applyBorder="1" applyAlignment="1" applyProtection="1">
      <alignment horizontal="left" vertical="center"/>
      <protection hidden="1"/>
    </xf>
    <xf numFmtId="167" fontId="12" fillId="2" borderId="0" xfId="12" applyFont="1" applyFill="1" applyAlignment="1" applyProtection="1">
      <alignment horizontal="left" vertical="center"/>
      <protection hidden="1"/>
    </xf>
    <xf numFmtId="167" fontId="7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167" fontId="13" fillId="3" borderId="2" xfId="0" applyNumberFormat="1" applyFont="1" applyFill="1" applyBorder="1" applyAlignment="1">
      <alignment horizontal="center" vertical="center"/>
    </xf>
    <xf numFmtId="167" fontId="13" fillId="3" borderId="1" xfId="0" applyNumberFormat="1" applyFont="1" applyFill="1" applyBorder="1" applyAlignment="1">
      <alignment horizontal="center" vertical="center"/>
    </xf>
    <xf numFmtId="167" fontId="13" fillId="3" borderId="5" xfId="0" applyNumberFormat="1" applyFont="1" applyFill="1" applyBorder="1" applyAlignment="1">
      <alignment horizontal="center" vertical="center"/>
    </xf>
    <xf numFmtId="167" fontId="13" fillId="3" borderId="9" xfId="0" applyNumberFormat="1" applyFont="1" applyFill="1" applyBorder="1" applyAlignment="1">
      <alignment horizontal="center" vertical="center"/>
    </xf>
    <xf numFmtId="167" fontId="13" fillId="3" borderId="8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/>
    </xf>
    <xf numFmtId="167" fontId="40" fillId="3" borderId="0" xfId="1" applyFont="1" applyFill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/>
    </xf>
  </cellXfs>
  <cellStyles count="27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3" xfId="6" xr:uid="{00000000-0005-0000-0000-000004000000}"/>
    <cellStyle name="Comma 3 2" xfId="18" xr:uid="{00000000-0005-0000-0000-000005000000}"/>
    <cellStyle name="Comma 3 3" xfId="26" xr:uid="{00000000-0005-0000-0000-000006000000}"/>
    <cellStyle name="Comma 4" xfId="4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2" xr:uid="{00000000-0005-0000-0000-000010000000}"/>
    <cellStyle name="Normal 20" xfId="3" xr:uid="{00000000-0005-0000-0000-000011000000}"/>
    <cellStyle name="Normal 20 2" xfId="20" xr:uid="{00000000-0005-0000-0000-000012000000}"/>
    <cellStyle name="Normal 3" xfId="13" xr:uid="{00000000-0005-0000-0000-000013000000}"/>
    <cellStyle name="Normal 32" xfId="8" xr:uid="{00000000-0005-0000-0000-000014000000}"/>
    <cellStyle name="Normal 32 2" xfId="23" xr:uid="{00000000-0005-0000-0000-000015000000}"/>
    <cellStyle name="Normal 4" xfId="11" xr:uid="{00000000-0005-0000-0000-000016000000}"/>
    <cellStyle name="Normal 44" xfId="9" xr:uid="{00000000-0005-0000-0000-000017000000}"/>
    <cellStyle name="Normal 44 2" xfId="24" xr:uid="{00000000-0005-0000-0000-000018000000}"/>
    <cellStyle name="Normal 48" xfId="10" xr:uid="{00000000-0005-0000-0000-000019000000}"/>
    <cellStyle name="Normal 5" xfId="2" xr:uid="{00000000-0005-0000-0000-00001A000000}"/>
    <cellStyle name="Normal 5 2" xfId="19" xr:uid="{00000000-0005-0000-0000-00001B000000}"/>
    <cellStyle name="Normal_3 Population." xfId="1" xr:uid="{00000000-0005-0000-0000-00001D000000}"/>
    <cellStyle name="Normal_Stat Year Book 2007 tables" xfId="12" xr:uid="{00000000-0005-0000-0000-000024000000}"/>
  </cellStyles>
  <dxfs count="0"/>
  <tableStyles count="0" defaultTableStyle="TableStyleMedium2" defaultPivotStyle="PivotStyleLight16"/>
  <colors>
    <mruColors>
      <color rgb="FF9BC2E6"/>
      <color rgb="FF003399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2024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'3.13'!$AQ$5:$AQ$6</c:f>
              <c:strCache>
                <c:ptCount val="2"/>
                <c:pt idx="0">
                  <c:v>Residential Maldivian 2024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'3.13'!$AQ$7:$AQ$22</c:f>
              <c:numCache>
                <c:formatCode>#,##0</c:formatCode>
                <c:ptCount val="16"/>
                <c:pt idx="0">
                  <c:v>-19203.890790259997</c:v>
                </c:pt>
                <c:pt idx="1">
                  <c:v>-19597.484650433329</c:v>
                </c:pt>
                <c:pt idx="2">
                  <c:v>-18569.187720346665</c:v>
                </c:pt>
                <c:pt idx="3">
                  <c:v>-17325.526956992642</c:v>
                </c:pt>
                <c:pt idx="4">
                  <c:v>-18254.111868910244</c:v>
                </c:pt>
                <c:pt idx="5">
                  <c:v>-19128.042904157272</c:v>
                </c:pt>
                <c:pt idx="6">
                  <c:v>-18090.993546504738</c:v>
                </c:pt>
                <c:pt idx="7">
                  <c:v>-17709.589386045467</c:v>
                </c:pt>
                <c:pt idx="8">
                  <c:v>-14345.633156579106</c:v>
                </c:pt>
                <c:pt idx="9">
                  <c:v>-10610.192276679414</c:v>
                </c:pt>
                <c:pt idx="10">
                  <c:v>-8998.0553779596084</c:v>
                </c:pt>
                <c:pt idx="11">
                  <c:v>-7851.246108459809</c:v>
                </c:pt>
                <c:pt idx="12">
                  <c:v>-6565.0991484932456</c:v>
                </c:pt>
                <c:pt idx="13">
                  <c:v>-4992.4710636399623</c:v>
                </c:pt>
                <c:pt idx="14">
                  <c:v>-2484.1570212133206</c:v>
                </c:pt>
                <c:pt idx="15">
                  <c:v>-3916.4846504333291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'3.13'!$AR$5:$AR$6</c:f>
              <c:strCache>
                <c:ptCount val="2"/>
                <c:pt idx="0">
                  <c:v>Residential Maldivian 2024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'3.13'!$AR$7:$AR$22</c:f>
              <c:numCache>
                <c:formatCode>#,##0_);\(#,##0\)</c:formatCode>
                <c:ptCount val="16"/>
                <c:pt idx="0">
                  <c:v>17740.890790259997</c:v>
                </c:pt>
                <c:pt idx="1">
                  <c:v>17966.296930086664</c:v>
                </c:pt>
                <c:pt idx="2">
                  <c:v>16802.187720346665</c:v>
                </c:pt>
                <c:pt idx="3">
                  <c:v>15577.283343293298</c:v>
                </c:pt>
                <c:pt idx="4">
                  <c:v>13205.508813866523</c:v>
                </c:pt>
                <c:pt idx="5">
                  <c:v>15395.72370779992</c:v>
                </c:pt>
                <c:pt idx="6">
                  <c:v>17503.064923813294</c:v>
                </c:pt>
                <c:pt idx="7">
                  <c:v>19119.641671646648</c:v>
                </c:pt>
                <c:pt idx="8">
                  <c:v>15572.157021213321</c:v>
                </c:pt>
                <c:pt idx="9">
                  <c:v>11345.187720346663</c:v>
                </c:pt>
                <c:pt idx="10">
                  <c:v>9816.9693008666582</c:v>
                </c:pt>
                <c:pt idx="11">
                  <c:v>8385.8907902599967</c:v>
                </c:pt>
                <c:pt idx="12">
                  <c:v>6872.8907902599976</c:v>
                </c:pt>
                <c:pt idx="13">
                  <c:v>5056</c:v>
                </c:pt>
                <c:pt idx="14">
                  <c:v>2389.2969300866657</c:v>
                </c:pt>
                <c:pt idx="15">
                  <c:v>3985.2969300866657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'3.13'!$AS$5:$AS$6</c:f>
              <c:strCache>
                <c:ptCount val="2"/>
                <c:pt idx="0">
                  <c:v>Resident Foreigners 2024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'3.13'!$AS$7:$AS$22</c:f>
              <c:numCache>
                <c:formatCode>#,##0</c:formatCode>
                <c:ptCount val="16"/>
                <c:pt idx="0">
                  <c:v>-996.63847197773327</c:v>
                </c:pt>
                <c:pt idx="1">
                  <c:v>-577.6864720266542</c:v>
                </c:pt>
                <c:pt idx="2">
                  <c:v>-328.97497134840421</c:v>
                </c:pt>
                <c:pt idx="3">
                  <c:v>-3341.5732126274879</c:v>
                </c:pt>
                <c:pt idx="4">
                  <c:v>-32099.711171528645</c:v>
                </c:pt>
                <c:pt idx="5">
                  <c:v>-52288.258368148279</c:v>
                </c:pt>
                <c:pt idx="6">
                  <c:v>-36678.024351385684</c:v>
                </c:pt>
                <c:pt idx="7">
                  <c:v>-23497.797187979537</c:v>
                </c:pt>
                <c:pt idx="8">
                  <c:v>-14624.238015360868</c:v>
                </c:pt>
                <c:pt idx="9">
                  <c:v>-8350.9349197116953</c:v>
                </c:pt>
                <c:pt idx="10">
                  <c:v>-3948.1556177502853</c:v>
                </c:pt>
                <c:pt idx="11">
                  <c:v>-1556.1106644858362</c:v>
                </c:pt>
                <c:pt idx="12">
                  <c:v>-582.54608257701466</c:v>
                </c:pt>
                <c:pt idx="13">
                  <c:v>-207.70465279760805</c:v>
                </c:pt>
                <c:pt idx="14">
                  <c:v>-98.922385421738326</c:v>
                </c:pt>
                <c:pt idx="15">
                  <c:v>-92.312549780247991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'3.13'!$AT$5:$AT$6</c:f>
              <c:strCache>
                <c:ptCount val="2"/>
                <c:pt idx="0">
                  <c:v>Resident Foreigners 2024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'3.13'!$AT$7:$AT$22</c:f>
              <c:numCache>
                <c:formatCode>#,##0_);\(#,##0\)</c:formatCode>
                <c:ptCount val="16"/>
                <c:pt idx="0">
                  <c:v>705.99876124305558</c:v>
                </c:pt>
                <c:pt idx="1">
                  <c:v>333.94157631100768</c:v>
                </c:pt>
                <c:pt idx="2">
                  <c:v>168.11427550407407</c:v>
                </c:pt>
                <c:pt idx="3">
                  <c:v>289.23103008252031</c:v>
                </c:pt>
                <c:pt idx="4">
                  <c:v>1906.31240401997</c:v>
                </c:pt>
                <c:pt idx="5">
                  <c:v>4677.540948488303</c:v>
                </c:pt>
                <c:pt idx="6">
                  <c:v>3742.0155778455041</c:v>
                </c:pt>
                <c:pt idx="7">
                  <c:v>2492.5224341105481</c:v>
                </c:pt>
                <c:pt idx="8">
                  <c:v>1411.9135267543297</c:v>
                </c:pt>
                <c:pt idx="9">
                  <c:v>925.47451773758473</c:v>
                </c:pt>
                <c:pt idx="10">
                  <c:v>499.55888778848771</c:v>
                </c:pt>
                <c:pt idx="11">
                  <c:v>282.23711274911142</c:v>
                </c:pt>
                <c:pt idx="12">
                  <c:v>123.23573781202383</c:v>
                </c:pt>
                <c:pt idx="13">
                  <c:v>44.808541248899026</c:v>
                </c:pt>
                <c:pt idx="14">
                  <c:v>13.434862765923077</c:v>
                </c:pt>
                <c:pt idx="15">
                  <c:v>6.7279308494342214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993160"/>
        <c:axId val="392733856"/>
      </c:barChart>
      <c:catAx>
        <c:axId val="4979931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3856"/>
        <c:crosses val="autoZero"/>
        <c:auto val="1"/>
        <c:lblAlgn val="ctr"/>
        <c:lblOffset val="50"/>
        <c:noMultiLvlLbl val="0"/>
      </c:catAx>
      <c:valAx>
        <c:axId val="392733856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3160"/>
        <c:crossesAt val="1"/>
        <c:crossBetween val="between"/>
        <c:majorUnit val="10000"/>
        <c:minorUnit val="2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728567733288E-2"/>
          <c:y val="0.11236318092569622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'3.13'!$AQ$32:$AQ$33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'3.13'!$AQ$34:$AQ$49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'3.13'!$AR$32:$AR$33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'3.13'!$AR$34:$AR$49</c:f>
              <c:numCache>
                <c:formatCode>#,##0_);\(#,##0\)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'3.13'!$AS$32:$AS$33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'3.13'!$AS$34:$AS$49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 formatCode="#,##0_);\(#,##0\)">
                  <c:v>-107.25188136825139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'3.13'!$AT$32:$AT$33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'3.13'!$AT$34:$AT$49</c:f>
              <c:numCache>
                <c:formatCode>#,##0_);\(#,##0\)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2896"/>
        <c:axId val="499765640"/>
      </c:barChart>
      <c:catAx>
        <c:axId val="4997628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5640"/>
        <c:crosses val="autoZero"/>
        <c:auto val="1"/>
        <c:lblAlgn val="ctr"/>
        <c:lblOffset val="50"/>
        <c:noMultiLvlLbl val="0"/>
      </c:catAx>
      <c:valAx>
        <c:axId val="499765640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2896"/>
        <c:crossesAt val="1"/>
        <c:crossBetween val="between"/>
        <c:majorUnit val="10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044493397602165E-2"/>
          <c:y val="0.28443183860020299"/>
          <c:w val="0.29242277461325222"/>
          <c:h val="0.2213239890368803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2024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358733968988E-2"/>
          <c:y val="0.10450367322841224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-8532</c:v>
                </c:pt>
                <c:pt idx="1">
                  <c:v>-7511</c:v>
                </c:pt>
                <c:pt idx="2">
                  <c:v>-6676</c:v>
                </c:pt>
                <c:pt idx="3">
                  <c:v>-5561</c:v>
                </c:pt>
                <c:pt idx="4">
                  <c:v>-5276</c:v>
                </c:pt>
                <c:pt idx="5">
                  <c:v>-8635</c:v>
                </c:pt>
                <c:pt idx="6">
                  <c:v>-9491</c:v>
                </c:pt>
                <c:pt idx="7">
                  <c:v>-9216</c:v>
                </c:pt>
                <c:pt idx="8">
                  <c:v>-7023</c:v>
                </c:pt>
                <c:pt idx="9">
                  <c:v>-5423</c:v>
                </c:pt>
                <c:pt idx="10">
                  <c:v>-4451</c:v>
                </c:pt>
                <c:pt idx="11">
                  <c:v>-3513</c:v>
                </c:pt>
                <c:pt idx="12">
                  <c:v>-2775</c:v>
                </c:pt>
                <c:pt idx="13">
                  <c:v>-1659</c:v>
                </c:pt>
                <c:pt idx="14">
                  <c:v>-966</c:v>
                </c:pt>
                <c:pt idx="15">
                  <c:v>-1171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7951</c:v>
                </c:pt>
                <c:pt idx="1">
                  <c:v>6984</c:v>
                </c:pt>
                <c:pt idx="2">
                  <c:v>6245</c:v>
                </c:pt>
                <c:pt idx="3">
                  <c:v>5402</c:v>
                </c:pt>
                <c:pt idx="4">
                  <c:v>5236</c:v>
                </c:pt>
                <c:pt idx="5">
                  <c:v>9462</c:v>
                </c:pt>
                <c:pt idx="6">
                  <c:v>9938</c:v>
                </c:pt>
                <c:pt idx="7">
                  <c:v>9415</c:v>
                </c:pt>
                <c:pt idx="8">
                  <c:v>7284</c:v>
                </c:pt>
                <c:pt idx="9">
                  <c:v>5332</c:v>
                </c:pt>
                <c:pt idx="10">
                  <c:v>4419</c:v>
                </c:pt>
                <c:pt idx="11">
                  <c:v>3512</c:v>
                </c:pt>
                <c:pt idx="12">
                  <c:v>2779</c:v>
                </c:pt>
                <c:pt idx="13">
                  <c:v>1741</c:v>
                </c:pt>
                <c:pt idx="14">
                  <c:v>965</c:v>
                </c:pt>
                <c:pt idx="15">
                  <c:v>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-505.046820078449</c:v>
                </c:pt>
                <c:pt idx="1">
                  <c:v>-334.63224888633414</c:v>
                </c:pt>
                <c:pt idx="2">
                  <c:v>-170.41457119211464</c:v>
                </c:pt>
                <c:pt idx="3">
                  <c:v>-1397.3994837753403</c:v>
                </c:pt>
                <c:pt idx="4">
                  <c:v>-13846.95852104655</c:v>
                </c:pt>
                <c:pt idx="5">
                  <c:v>-19703.022876557407</c:v>
                </c:pt>
                <c:pt idx="6">
                  <c:v>-12015.776492418558</c:v>
                </c:pt>
                <c:pt idx="7">
                  <c:v>-7541.6193869383105</c:v>
                </c:pt>
                <c:pt idx="8">
                  <c:v>-4647.6701234213078</c:v>
                </c:pt>
                <c:pt idx="9">
                  <c:v>-2794.7989675506806</c:v>
                </c:pt>
                <c:pt idx="10">
                  <c:v>-1189.8035515958552</c:v>
                </c:pt>
                <c:pt idx="11">
                  <c:v>-477.16079933792105</c:v>
                </c:pt>
                <c:pt idx="12">
                  <c:v>-195.20214518369494</c:v>
                </c:pt>
                <c:pt idx="13">
                  <c:v>-99.150295966321238</c:v>
                </c:pt>
                <c:pt idx="14">
                  <c:v>-58.870488230003232</c:v>
                </c:pt>
                <c:pt idx="15">
                  <c:v>-74.362721974740936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#,##0</c:formatCode>
                <c:ptCount val="16"/>
                <c:pt idx="0">
                  <c:v>364.51446266287985</c:v>
                </c:pt>
                <c:pt idx="1">
                  <c:v>174.61770666485262</c:v>
                </c:pt>
                <c:pt idx="2">
                  <c:v>80.760689332494337</c:v>
                </c:pt>
                <c:pt idx="3">
                  <c:v>115.68423066546485</c:v>
                </c:pt>
                <c:pt idx="4">
                  <c:v>598.06564532712002</c:v>
                </c:pt>
                <c:pt idx="5">
                  <c:v>1709.0708039822448</c:v>
                </c:pt>
                <c:pt idx="6">
                  <c:v>1512.6258839842853</c:v>
                </c:pt>
                <c:pt idx="7">
                  <c:v>1213.5930613207256</c:v>
                </c:pt>
                <c:pt idx="8">
                  <c:v>755.22158132548748</c:v>
                </c:pt>
                <c:pt idx="9">
                  <c:v>530.40128399448975</c:v>
                </c:pt>
                <c:pt idx="10">
                  <c:v>333.95636399653063</c:v>
                </c:pt>
                <c:pt idx="11">
                  <c:v>196.44491999795918</c:v>
                </c:pt>
                <c:pt idx="12">
                  <c:v>74.21252533256235</c:v>
                </c:pt>
                <c:pt idx="13">
                  <c:v>28.375377333038546</c:v>
                </c:pt>
                <c:pt idx="14">
                  <c:v>10.913606666553289</c:v>
                </c:pt>
                <c:pt idx="15">
                  <c:v>2.1827213333106577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424"/>
        <c:axId val="499767208"/>
      </c:barChart>
      <c:catAx>
        <c:axId val="49976642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208"/>
        <c:crosses val="autoZero"/>
        <c:auto val="1"/>
        <c:lblAlgn val="ctr"/>
        <c:lblOffset val="50"/>
        <c:noMultiLvlLbl val="0"/>
      </c:catAx>
      <c:valAx>
        <c:axId val="499767208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424"/>
        <c:crossesAt val="1"/>
        <c:crossBetween val="between"/>
        <c:majorUnit val="5000"/>
        <c:minorUnit val="2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6838291370791359E-2"/>
          <c:y val="0.14890355177092904"/>
          <c:w val="0.33259486150404505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032"/>
        <c:axId val="499764072"/>
      </c:barChart>
      <c:catAx>
        <c:axId val="49976603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4072"/>
        <c:crosses val="autoZero"/>
        <c:auto val="1"/>
        <c:lblAlgn val="ctr"/>
        <c:lblOffset val="50"/>
        <c:noMultiLvlLbl val="0"/>
      </c:catAx>
      <c:valAx>
        <c:axId val="499764072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032"/>
        <c:crossesAt val="1"/>
        <c:crossBetween val="between"/>
        <c:majorUnit val="5000"/>
      </c:valAx>
      <c:spPr>
        <a:solidFill>
          <a:srgbClr val="EFF5FB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7195464199682771E-2"/>
          <c:y val="0.17294522969474913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8384"/>
        <c:axId val="499761328"/>
      </c:barChart>
      <c:catAx>
        <c:axId val="49976838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1328"/>
        <c:crosses val="autoZero"/>
        <c:auto val="1"/>
        <c:lblAlgn val="ctr"/>
        <c:lblOffset val="50"/>
        <c:noMultiLvlLbl val="0"/>
      </c:catAx>
      <c:valAx>
        <c:axId val="499761328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8384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2024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-10577</c:v>
                </c:pt>
                <c:pt idx="1">
                  <c:v>-11709</c:v>
                </c:pt>
                <c:pt idx="2">
                  <c:v>-11800</c:v>
                </c:pt>
                <c:pt idx="3">
                  <c:v>-10296</c:v>
                </c:pt>
                <c:pt idx="4">
                  <c:v>-8467</c:v>
                </c:pt>
                <c:pt idx="5">
                  <c:v>-7164</c:v>
                </c:pt>
                <c:pt idx="6">
                  <c:v>-5534</c:v>
                </c:pt>
                <c:pt idx="7">
                  <c:v>-6562</c:v>
                </c:pt>
                <c:pt idx="8">
                  <c:v>-5462</c:v>
                </c:pt>
                <c:pt idx="9">
                  <c:v>-4014</c:v>
                </c:pt>
                <c:pt idx="10">
                  <c:v>-3789</c:v>
                </c:pt>
                <c:pt idx="11">
                  <c:v>-3789</c:v>
                </c:pt>
                <c:pt idx="12">
                  <c:v>-3568</c:v>
                </c:pt>
                <c:pt idx="13">
                  <c:v>-3056</c:v>
                </c:pt>
                <c:pt idx="14">
                  <c:v>-1448</c:v>
                </c:pt>
                <c:pt idx="15">
                  <c:v>-2656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2024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</c:formatCode>
                <c:ptCount val="16"/>
                <c:pt idx="0">
                  <c:v>9962</c:v>
                </c:pt>
                <c:pt idx="1">
                  <c:v>10652</c:v>
                </c:pt>
                <c:pt idx="2">
                  <c:v>10874</c:v>
                </c:pt>
                <c:pt idx="3">
                  <c:v>9116</c:v>
                </c:pt>
                <c:pt idx="4">
                  <c:v>7928</c:v>
                </c:pt>
                <c:pt idx="5">
                  <c:v>6358</c:v>
                </c:pt>
                <c:pt idx="6">
                  <c:v>8048</c:v>
                </c:pt>
                <c:pt idx="7">
                  <c:v>9264</c:v>
                </c:pt>
                <c:pt idx="8">
                  <c:v>7345</c:v>
                </c:pt>
                <c:pt idx="9">
                  <c:v>5558</c:v>
                </c:pt>
                <c:pt idx="10">
                  <c:v>5250</c:v>
                </c:pt>
                <c:pt idx="11">
                  <c:v>4474</c:v>
                </c:pt>
                <c:pt idx="12">
                  <c:v>4071</c:v>
                </c:pt>
                <c:pt idx="13">
                  <c:v>2650</c:v>
                </c:pt>
                <c:pt idx="14">
                  <c:v>1350</c:v>
                </c:pt>
                <c:pt idx="15">
                  <c:v>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2024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-453.0986083206119</c:v>
                </c:pt>
                <c:pt idx="1">
                  <c:v>-231.36950212116358</c:v>
                </c:pt>
                <c:pt idx="2">
                  <c:v>-151.03286944020402</c:v>
                </c:pt>
                <c:pt idx="3">
                  <c:v>-1160.0609759130564</c:v>
                </c:pt>
                <c:pt idx="4">
                  <c:v>-8483.5484111093319</c:v>
                </c:pt>
                <c:pt idx="5">
                  <c:v>-13393.723400569583</c:v>
                </c:pt>
                <c:pt idx="6">
                  <c:v>-9016.9836521109046</c:v>
                </c:pt>
                <c:pt idx="7">
                  <c:v>-5382.5543896242916</c:v>
                </c:pt>
                <c:pt idx="8">
                  <c:v>-3065.6459031054178</c:v>
                </c:pt>
                <c:pt idx="9">
                  <c:v>-1780.2597802100647</c:v>
                </c:pt>
                <c:pt idx="10">
                  <c:v>-854.78177172541007</c:v>
                </c:pt>
                <c:pt idx="11">
                  <c:v>-375.97544094689079</c:v>
                </c:pt>
                <c:pt idx="12">
                  <c:v>-179.9540572053495</c:v>
                </c:pt>
                <c:pt idx="13">
                  <c:v>-38.561583686860587</c:v>
                </c:pt>
                <c:pt idx="14">
                  <c:v>-9.6403959217151503</c:v>
                </c:pt>
                <c:pt idx="15">
                  <c:v>-9.6403959217151503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2024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#,##0_);\(#,##0\)</c:formatCode>
                <c:ptCount val="16"/>
                <c:pt idx="0">
                  <c:v>324.05312705719649</c:v>
                </c:pt>
                <c:pt idx="1">
                  <c:v>142.32063012647146</c:v>
                </c:pt>
                <c:pt idx="2">
                  <c:v>83.202829920091006</c:v>
                </c:pt>
                <c:pt idx="3">
                  <c:v>56.928252050588583</c:v>
                </c:pt>
                <c:pt idx="4">
                  <c:v>280.26216394135918</c:v>
                </c:pt>
                <c:pt idx="5">
                  <c:v>1337.8139231888313</c:v>
                </c:pt>
                <c:pt idx="6">
                  <c:v>1037.8458258453456</c:v>
                </c:pt>
                <c:pt idx="7">
                  <c:v>604.31529099855561</c:v>
                </c:pt>
                <c:pt idx="8">
                  <c:v>332.81131968036397</c:v>
                </c:pt>
                <c:pt idx="9">
                  <c:v>236.47120082552178</c:v>
                </c:pt>
                <c:pt idx="10">
                  <c:v>105.09831147800969</c:v>
                </c:pt>
                <c:pt idx="11">
                  <c:v>67.875992829547926</c:v>
                </c:pt>
                <c:pt idx="12">
                  <c:v>37.222318648461766</c:v>
                </c:pt>
                <c:pt idx="13">
                  <c:v>10.947740778959343</c:v>
                </c:pt>
                <c:pt idx="14">
                  <c:v>2.1895481557918686</c:v>
                </c:pt>
                <c:pt idx="15">
                  <c:v>2.1895481557918686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7600"/>
        <c:axId val="499767992"/>
      </c:barChart>
      <c:catAx>
        <c:axId val="4997676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992"/>
        <c:crosses val="autoZero"/>
        <c:auto val="1"/>
        <c:lblAlgn val="ctr"/>
        <c:lblOffset val="50"/>
        <c:noMultiLvlLbl val="0"/>
      </c:catAx>
      <c:valAx>
        <c:axId val="499767992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600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206</xdr:row>
      <xdr:rowOff>16815</xdr:rowOff>
    </xdr:from>
    <xdr:to>
      <xdr:col>17</xdr:col>
      <xdr:colOff>269684</xdr:colOff>
      <xdr:row>206</xdr:row>
      <xdr:rowOff>17730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769670" y="39807770"/>
          <a:ext cx="4709958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531813</xdr:colOff>
      <xdr:row>197</xdr:row>
      <xdr:rowOff>62120</xdr:rowOff>
    </xdr:from>
    <xdr:to>
      <xdr:col>8</xdr:col>
      <xdr:colOff>124239</xdr:colOff>
      <xdr:row>197</xdr:row>
      <xdr:rowOff>100542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V="1">
          <a:off x="531813" y="36635474"/>
          <a:ext cx="4733280" cy="38422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76437</xdr:colOff>
      <xdr:row>195</xdr:row>
      <xdr:rowOff>86487</xdr:rowOff>
    </xdr:from>
    <xdr:to>
      <xdr:col>7</xdr:col>
      <xdr:colOff>363668</xdr:colOff>
      <xdr:row>196</xdr:row>
      <xdr:rowOff>176180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3811521" y="37758397"/>
          <a:ext cx="875855" cy="28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0.07368</cdr:x>
      <cdr:y>0.76388</cdr:y>
    </cdr:from>
    <cdr:to>
      <cdr:x>0.96884</cdr:x>
      <cdr:y>0.76842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6AB2574-9E3C-4E26-B073-11810F39E6BC}"/>
            </a:ext>
          </a:extLst>
        </cdr:cNvPr>
        <cdr:cNvCxnSpPr/>
      </cdr:nvCxnSpPr>
      <cdr:spPr>
        <a:xfrm xmlns:a="http://schemas.openxmlformats.org/drawingml/2006/main">
          <a:off x="389996" y="2343679"/>
          <a:ext cx="4738320" cy="1391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0.08587</cdr:x>
      <cdr:y>0.26346</cdr:y>
    </cdr:from>
    <cdr:to>
      <cdr:x>0.96596</cdr:x>
      <cdr:y>0.26905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8A37FD0F-9245-4CB2-8D9B-0DBA275F67B0}"/>
            </a:ext>
          </a:extLst>
        </cdr:cNvPr>
        <cdr:cNvCxnSpPr/>
      </cdr:nvCxnSpPr>
      <cdr:spPr>
        <a:xfrm xmlns:a="http://schemas.openxmlformats.org/drawingml/2006/main" flipV="1">
          <a:off x="458170" y="832841"/>
          <a:ext cx="4695933" cy="1765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632960</xdr:colOff>
      <xdr:row>196</xdr:row>
      <xdr:rowOff>168852</xdr:rowOff>
    </xdr:from>
    <xdr:to>
      <xdr:col>8</xdr:col>
      <xdr:colOff>220807</xdr:colOff>
      <xdr:row>196</xdr:row>
      <xdr:rowOff>170741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CxnSpPr/>
      </xdr:nvCxnSpPr>
      <xdr:spPr>
        <a:xfrm flipV="1">
          <a:off x="632960" y="37571795"/>
          <a:ext cx="4501881" cy="1889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68348</xdr:colOff>
      <xdr:row>195</xdr:row>
      <xdr:rowOff>15291</xdr:rowOff>
    </xdr:from>
    <xdr:to>
      <xdr:col>7</xdr:col>
      <xdr:colOff>359061</xdr:colOff>
      <xdr:row>196</xdr:row>
      <xdr:rowOff>102769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3827138" y="37992388"/>
          <a:ext cx="884746" cy="28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554175</xdr:colOff>
      <xdr:row>205</xdr:row>
      <xdr:rowOff>162784</xdr:rowOff>
    </xdr:from>
    <xdr:to>
      <xdr:col>7</xdr:col>
      <xdr:colOff>440151</xdr:colOff>
      <xdr:row>207</xdr:row>
      <xdr:rowOff>90806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3706950" y="39234334"/>
          <a:ext cx="1067076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562205</xdr:colOff>
      <xdr:row>199</xdr:row>
      <xdr:rowOff>148732</xdr:rowOff>
    </xdr:from>
    <xdr:to>
      <xdr:col>7</xdr:col>
      <xdr:colOff>386678</xdr:colOff>
      <xdr:row>200</xdr:row>
      <xdr:rowOff>149715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3709785" y="38123175"/>
          <a:ext cx="1002109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357149</xdr:colOff>
      <xdr:row>194</xdr:row>
      <xdr:rowOff>154742</xdr:rowOff>
    </xdr:from>
    <xdr:to>
      <xdr:col>17</xdr:col>
      <xdr:colOff>52018</xdr:colOff>
      <xdr:row>196</xdr:row>
      <xdr:rowOff>53935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/>
      </xdr:nvSpPr>
      <xdr:spPr>
        <a:xfrm>
          <a:off x="9392910" y="37176685"/>
          <a:ext cx="872506" cy="28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302454</xdr:colOff>
      <xdr:row>205</xdr:row>
      <xdr:rowOff>141942</xdr:rowOff>
    </xdr:from>
    <xdr:to>
      <xdr:col>17</xdr:col>
      <xdr:colOff>188430</xdr:colOff>
      <xdr:row>207</xdr:row>
      <xdr:rowOff>69964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/>
      </xdr:nvSpPr>
      <xdr:spPr>
        <a:xfrm>
          <a:off x="9338215" y="39259385"/>
          <a:ext cx="1063613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362760</xdr:colOff>
      <xdr:row>200</xdr:row>
      <xdr:rowOff>147624</xdr:rowOff>
    </xdr:from>
    <xdr:to>
      <xdr:col>17</xdr:col>
      <xdr:colOff>187233</xdr:colOff>
      <xdr:row>201</xdr:row>
      <xdr:rowOff>148607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/>
      </xdr:nvSpPr>
      <xdr:spPr>
        <a:xfrm>
          <a:off x="9398521" y="38312567"/>
          <a:ext cx="1002110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2D0B9D7-605D-46CE-B53E-600B4C603F22}"/>
            </a:ext>
          </a:extLst>
        </cdr:cNvPr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180F48C-592E-4406-8808-B1FFE3F54BA6}"/>
            </a:ext>
          </a:extLst>
        </cdr:cNvPr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195</xdr:row>
      <xdr:rowOff>128985</xdr:rowOff>
    </xdr:from>
    <xdr:to>
      <xdr:col>17</xdr:col>
      <xdr:colOff>19156</xdr:colOff>
      <xdr:row>197</xdr:row>
      <xdr:rowOff>24797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9258300" y="37486035"/>
          <a:ext cx="1000231" cy="276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141811</xdr:colOff>
      <xdr:row>201</xdr:row>
      <xdr:rowOff>99022</xdr:rowOff>
    </xdr:from>
    <xdr:to>
      <xdr:col>17</xdr:col>
      <xdr:colOff>104774</xdr:colOff>
      <xdr:row>202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/>
      </xdr:nvSpPr>
      <xdr:spPr>
        <a:xfrm>
          <a:off x="9200086" y="38599072"/>
          <a:ext cx="1144063" cy="205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207963</xdr:colOff>
      <xdr:row>206</xdr:row>
      <xdr:rowOff>16669</xdr:rowOff>
    </xdr:from>
    <xdr:to>
      <xdr:col>17</xdr:col>
      <xdr:colOff>139577</xdr:colOff>
      <xdr:row>206</xdr:row>
      <xdr:rowOff>22519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CxnSpPr/>
      </xdr:nvCxnSpPr>
      <xdr:spPr>
        <a:xfrm flipV="1">
          <a:off x="5722938" y="39478744"/>
          <a:ext cx="46560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3F1316E-5FE4-4866-8197-FA4F4D248198}"/>
            </a:ext>
          </a:extLst>
        </cdr:cNvPr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8626E68-0515-4D1F-9192-F621D903FE8A}"/>
            </a:ext>
          </a:extLst>
        </cdr:cNvPr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islands,  2024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28"/>
  <sheetViews>
    <sheetView zoomScaleNormal="100" workbookViewId="0">
      <selection activeCell="I29" sqref="I29"/>
    </sheetView>
  </sheetViews>
  <sheetFormatPr defaultRowHeight="15" x14ac:dyDescent="0.25"/>
  <cols>
    <col min="1" max="1" width="19.140625" style="1" customWidth="1"/>
    <col min="2" max="4" width="8.140625" style="1" hidden="1" customWidth="1"/>
    <col min="5" max="14" width="8.140625" style="1" customWidth="1"/>
    <col min="15" max="23" width="8.5703125" style="1" customWidth="1"/>
    <col min="24" max="24" width="24" style="1" customWidth="1"/>
    <col min="25" max="25" width="3.42578125" style="1" customWidth="1"/>
    <col min="26" max="261" width="9.140625" style="1"/>
    <col min="262" max="262" width="19.140625" style="1" customWidth="1"/>
    <col min="263" max="265" width="0" style="1" hidden="1" customWidth="1"/>
    <col min="266" max="275" width="8.140625" style="1" customWidth="1"/>
    <col min="276" max="277" width="8.5703125" style="1" customWidth="1"/>
    <col min="278" max="278" width="0" style="1" hidden="1" customWidth="1"/>
    <col min="279" max="279" width="22.7109375" style="1" customWidth="1"/>
    <col min="280" max="517" width="9.140625" style="1"/>
    <col min="518" max="518" width="19.140625" style="1" customWidth="1"/>
    <col min="519" max="521" width="0" style="1" hidden="1" customWidth="1"/>
    <col min="522" max="531" width="8.140625" style="1" customWidth="1"/>
    <col min="532" max="533" width="8.5703125" style="1" customWidth="1"/>
    <col min="534" max="534" width="0" style="1" hidden="1" customWidth="1"/>
    <col min="535" max="535" width="22.7109375" style="1" customWidth="1"/>
    <col min="536" max="773" width="9.140625" style="1"/>
    <col min="774" max="774" width="19.140625" style="1" customWidth="1"/>
    <col min="775" max="777" width="0" style="1" hidden="1" customWidth="1"/>
    <col min="778" max="787" width="8.140625" style="1" customWidth="1"/>
    <col min="788" max="789" width="8.5703125" style="1" customWidth="1"/>
    <col min="790" max="790" width="0" style="1" hidden="1" customWidth="1"/>
    <col min="791" max="791" width="22.7109375" style="1" customWidth="1"/>
    <col min="792" max="1029" width="9.140625" style="1"/>
    <col min="1030" max="1030" width="19.140625" style="1" customWidth="1"/>
    <col min="1031" max="1033" width="0" style="1" hidden="1" customWidth="1"/>
    <col min="1034" max="1043" width="8.140625" style="1" customWidth="1"/>
    <col min="1044" max="1045" width="8.5703125" style="1" customWidth="1"/>
    <col min="1046" max="1046" width="0" style="1" hidden="1" customWidth="1"/>
    <col min="1047" max="1047" width="22.7109375" style="1" customWidth="1"/>
    <col min="1048" max="1285" width="9.140625" style="1"/>
    <col min="1286" max="1286" width="19.140625" style="1" customWidth="1"/>
    <col min="1287" max="1289" width="0" style="1" hidden="1" customWidth="1"/>
    <col min="1290" max="1299" width="8.140625" style="1" customWidth="1"/>
    <col min="1300" max="1301" width="8.5703125" style="1" customWidth="1"/>
    <col min="1302" max="1302" width="0" style="1" hidden="1" customWidth="1"/>
    <col min="1303" max="1303" width="22.7109375" style="1" customWidth="1"/>
    <col min="1304" max="1541" width="9.140625" style="1"/>
    <col min="1542" max="1542" width="19.140625" style="1" customWidth="1"/>
    <col min="1543" max="1545" width="0" style="1" hidden="1" customWidth="1"/>
    <col min="1546" max="1555" width="8.140625" style="1" customWidth="1"/>
    <col min="1556" max="1557" width="8.5703125" style="1" customWidth="1"/>
    <col min="1558" max="1558" width="0" style="1" hidden="1" customWidth="1"/>
    <col min="1559" max="1559" width="22.7109375" style="1" customWidth="1"/>
    <col min="1560" max="1797" width="9.140625" style="1"/>
    <col min="1798" max="1798" width="19.140625" style="1" customWidth="1"/>
    <col min="1799" max="1801" width="0" style="1" hidden="1" customWidth="1"/>
    <col min="1802" max="1811" width="8.140625" style="1" customWidth="1"/>
    <col min="1812" max="1813" width="8.5703125" style="1" customWidth="1"/>
    <col min="1814" max="1814" width="0" style="1" hidden="1" customWidth="1"/>
    <col min="1815" max="1815" width="22.7109375" style="1" customWidth="1"/>
    <col min="1816" max="2053" width="9.140625" style="1"/>
    <col min="2054" max="2054" width="19.140625" style="1" customWidth="1"/>
    <col min="2055" max="2057" width="0" style="1" hidden="1" customWidth="1"/>
    <col min="2058" max="2067" width="8.140625" style="1" customWidth="1"/>
    <col min="2068" max="2069" width="8.5703125" style="1" customWidth="1"/>
    <col min="2070" max="2070" width="0" style="1" hidden="1" customWidth="1"/>
    <col min="2071" max="2071" width="22.7109375" style="1" customWidth="1"/>
    <col min="2072" max="2309" width="9.140625" style="1"/>
    <col min="2310" max="2310" width="19.140625" style="1" customWidth="1"/>
    <col min="2311" max="2313" width="0" style="1" hidden="1" customWidth="1"/>
    <col min="2314" max="2323" width="8.140625" style="1" customWidth="1"/>
    <col min="2324" max="2325" width="8.5703125" style="1" customWidth="1"/>
    <col min="2326" max="2326" width="0" style="1" hidden="1" customWidth="1"/>
    <col min="2327" max="2327" width="22.7109375" style="1" customWidth="1"/>
    <col min="2328" max="2565" width="9.140625" style="1"/>
    <col min="2566" max="2566" width="19.140625" style="1" customWidth="1"/>
    <col min="2567" max="2569" width="0" style="1" hidden="1" customWidth="1"/>
    <col min="2570" max="2579" width="8.140625" style="1" customWidth="1"/>
    <col min="2580" max="2581" width="8.5703125" style="1" customWidth="1"/>
    <col min="2582" max="2582" width="0" style="1" hidden="1" customWidth="1"/>
    <col min="2583" max="2583" width="22.7109375" style="1" customWidth="1"/>
    <col min="2584" max="2821" width="9.140625" style="1"/>
    <col min="2822" max="2822" width="19.140625" style="1" customWidth="1"/>
    <col min="2823" max="2825" width="0" style="1" hidden="1" customWidth="1"/>
    <col min="2826" max="2835" width="8.140625" style="1" customWidth="1"/>
    <col min="2836" max="2837" width="8.5703125" style="1" customWidth="1"/>
    <col min="2838" max="2838" width="0" style="1" hidden="1" customWidth="1"/>
    <col min="2839" max="2839" width="22.7109375" style="1" customWidth="1"/>
    <col min="2840" max="3077" width="9.140625" style="1"/>
    <col min="3078" max="3078" width="19.140625" style="1" customWidth="1"/>
    <col min="3079" max="3081" width="0" style="1" hidden="1" customWidth="1"/>
    <col min="3082" max="3091" width="8.140625" style="1" customWidth="1"/>
    <col min="3092" max="3093" width="8.5703125" style="1" customWidth="1"/>
    <col min="3094" max="3094" width="0" style="1" hidden="1" customWidth="1"/>
    <col min="3095" max="3095" width="22.7109375" style="1" customWidth="1"/>
    <col min="3096" max="3333" width="9.140625" style="1"/>
    <col min="3334" max="3334" width="19.140625" style="1" customWidth="1"/>
    <col min="3335" max="3337" width="0" style="1" hidden="1" customWidth="1"/>
    <col min="3338" max="3347" width="8.140625" style="1" customWidth="1"/>
    <col min="3348" max="3349" width="8.5703125" style="1" customWidth="1"/>
    <col min="3350" max="3350" width="0" style="1" hidden="1" customWidth="1"/>
    <col min="3351" max="3351" width="22.7109375" style="1" customWidth="1"/>
    <col min="3352" max="3589" width="9.140625" style="1"/>
    <col min="3590" max="3590" width="19.140625" style="1" customWidth="1"/>
    <col min="3591" max="3593" width="0" style="1" hidden="1" customWidth="1"/>
    <col min="3594" max="3603" width="8.140625" style="1" customWidth="1"/>
    <col min="3604" max="3605" width="8.5703125" style="1" customWidth="1"/>
    <col min="3606" max="3606" width="0" style="1" hidden="1" customWidth="1"/>
    <col min="3607" max="3607" width="22.7109375" style="1" customWidth="1"/>
    <col min="3608" max="3845" width="9.140625" style="1"/>
    <col min="3846" max="3846" width="19.140625" style="1" customWidth="1"/>
    <col min="3847" max="3849" width="0" style="1" hidden="1" customWidth="1"/>
    <col min="3850" max="3859" width="8.140625" style="1" customWidth="1"/>
    <col min="3860" max="3861" width="8.5703125" style="1" customWidth="1"/>
    <col min="3862" max="3862" width="0" style="1" hidden="1" customWidth="1"/>
    <col min="3863" max="3863" width="22.7109375" style="1" customWidth="1"/>
    <col min="3864" max="4101" width="9.140625" style="1"/>
    <col min="4102" max="4102" width="19.140625" style="1" customWidth="1"/>
    <col min="4103" max="4105" width="0" style="1" hidden="1" customWidth="1"/>
    <col min="4106" max="4115" width="8.140625" style="1" customWidth="1"/>
    <col min="4116" max="4117" width="8.5703125" style="1" customWidth="1"/>
    <col min="4118" max="4118" width="0" style="1" hidden="1" customWidth="1"/>
    <col min="4119" max="4119" width="22.7109375" style="1" customWidth="1"/>
    <col min="4120" max="4357" width="9.140625" style="1"/>
    <col min="4358" max="4358" width="19.140625" style="1" customWidth="1"/>
    <col min="4359" max="4361" width="0" style="1" hidden="1" customWidth="1"/>
    <col min="4362" max="4371" width="8.140625" style="1" customWidth="1"/>
    <col min="4372" max="4373" width="8.5703125" style="1" customWidth="1"/>
    <col min="4374" max="4374" width="0" style="1" hidden="1" customWidth="1"/>
    <col min="4375" max="4375" width="22.7109375" style="1" customWidth="1"/>
    <col min="4376" max="4613" width="9.140625" style="1"/>
    <col min="4614" max="4614" width="19.140625" style="1" customWidth="1"/>
    <col min="4615" max="4617" width="0" style="1" hidden="1" customWidth="1"/>
    <col min="4618" max="4627" width="8.140625" style="1" customWidth="1"/>
    <col min="4628" max="4629" width="8.5703125" style="1" customWidth="1"/>
    <col min="4630" max="4630" width="0" style="1" hidden="1" customWidth="1"/>
    <col min="4631" max="4631" width="22.7109375" style="1" customWidth="1"/>
    <col min="4632" max="4869" width="9.140625" style="1"/>
    <col min="4870" max="4870" width="19.140625" style="1" customWidth="1"/>
    <col min="4871" max="4873" width="0" style="1" hidden="1" customWidth="1"/>
    <col min="4874" max="4883" width="8.140625" style="1" customWidth="1"/>
    <col min="4884" max="4885" width="8.5703125" style="1" customWidth="1"/>
    <col min="4886" max="4886" width="0" style="1" hidden="1" customWidth="1"/>
    <col min="4887" max="4887" width="22.7109375" style="1" customWidth="1"/>
    <col min="4888" max="5125" width="9.140625" style="1"/>
    <col min="5126" max="5126" width="19.140625" style="1" customWidth="1"/>
    <col min="5127" max="5129" width="0" style="1" hidden="1" customWidth="1"/>
    <col min="5130" max="5139" width="8.140625" style="1" customWidth="1"/>
    <col min="5140" max="5141" width="8.5703125" style="1" customWidth="1"/>
    <col min="5142" max="5142" width="0" style="1" hidden="1" customWidth="1"/>
    <col min="5143" max="5143" width="22.7109375" style="1" customWidth="1"/>
    <col min="5144" max="5381" width="9.140625" style="1"/>
    <col min="5382" max="5382" width="19.140625" style="1" customWidth="1"/>
    <col min="5383" max="5385" width="0" style="1" hidden="1" customWidth="1"/>
    <col min="5386" max="5395" width="8.140625" style="1" customWidth="1"/>
    <col min="5396" max="5397" width="8.5703125" style="1" customWidth="1"/>
    <col min="5398" max="5398" width="0" style="1" hidden="1" customWidth="1"/>
    <col min="5399" max="5399" width="22.7109375" style="1" customWidth="1"/>
    <col min="5400" max="5637" width="9.140625" style="1"/>
    <col min="5638" max="5638" width="19.140625" style="1" customWidth="1"/>
    <col min="5639" max="5641" width="0" style="1" hidden="1" customWidth="1"/>
    <col min="5642" max="5651" width="8.140625" style="1" customWidth="1"/>
    <col min="5652" max="5653" width="8.5703125" style="1" customWidth="1"/>
    <col min="5654" max="5654" width="0" style="1" hidden="1" customWidth="1"/>
    <col min="5655" max="5655" width="22.7109375" style="1" customWidth="1"/>
    <col min="5656" max="5893" width="9.140625" style="1"/>
    <col min="5894" max="5894" width="19.140625" style="1" customWidth="1"/>
    <col min="5895" max="5897" width="0" style="1" hidden="1" customWidth="1"/>
    <col min="5898" max="5907" width="8.140625" style="1" customWidth="1"/>
    <col min="5908" max="5909" width="8.5703125" style="1" customWidth="1"/>
    <col min="5910" max="5910" width="0" style="1" hidden="1" customWidth="1"/>
    <col min="5911" max="5911" width="22.7109375" style="1" customWidth="1"/>
    <col min="5912" max="6149" width="9.140625" style="1"/>
    <col min="6150" max="6150" width="19.140625" style="1" customWidth="1"/>
    <col min="6151" max="6153" width="0" style="1" hidden="1" customWidth="1"/>
    <col min="6154" max="6163" width="8.140625" style="1" customWidth="1"/>
    <col min="6164" max="6165" width="8.5703125" style="1" customWidth="1"/>
    <col min="6166" max="6166" width="0" style="1" hidden="1" customWidth="1"/>
    <col min="6167" max="6167" width="22.7109375" style="1" customWidth="1"/>
    <col min="6168" max="6405" width="9.140625" style="1"/>
    <col min="6406" max="6406" width="19.140625" style="1" customWidth="1"/>
    <col min="6407" max="6409" width="0" style="1" hidden="1" customWidth="1"/>
    <col min="6410" max="6419" width="8.140625" style="1" customWidth="1"/>
    <col min="6420" max="6421" width="8.5703125" style="1" customWidth="1"/>
    <col min="6422" max="6422" width="0" style="1" hidden="1" customWidth="1"/>
    <col min="6423" max="6423" width="22.7109375" style="1" customWidth="1"/>
    <col min="6424" max="6661" width="9.140625" style="1"/>
    <col min="6662" max="6662" width="19.140625" style="1" customWidth="1"/>
    <col min="6663" max="6665" width="0" style="1" hidden="1" customWidth="1"/>
    <col min="6666" max="6675" width="8.140625" style="1" customWidth="1"/>
    <col min="6676" max="6677" width="8.5703125" style="1" customWidth="1"/>
    <col min="6678" max="6678" width="0" style="1" hidden="1" customWidth="1"/>
    <col min="6679" max="6679" width="22.7109375" style="1" customWidth="1"/>
    <col min="6680" max="6917" width="9.140625" style="1"/>
    <col min="6918" max="6918" width="19.140625" style="1" customWidth="1"/>
    <col min="6919" max="6921" width="0" style="1" hidden="1" customWidth="1"/>
    <col min="6922" max="6931" width="8.140625" style="1" customWidth="1"/>
    <col min="6932" max="6933" width="8.5703125" style="1" customWidth="1"/>
    <col min="6934" max="6934" width="0" style="1" hidden="1" customWidth="1"/>
    <col min="6935" max="6935" width="22.7109375" style="1" customWidth="1"/>
    <col min="6936" max="7173" width="9.140625" style="1"/>
    <col min="7174" max="7174" width="19.140625" style="1" customWidth="1"/>
    <col min="7175" max="7177" width="0" style="1" hidden="1" customWidth="1"/>
    <col min="7178" max="7187" width="8.140625" style="1" customWidth="1"/>
    <col min="7188" max="7189" width="8.5703125" style="1" customWidth="1"/>
    <col min="7190" max="7190" width="0" style="1" hidden="1" customWidth="1"/>
    <col min="7191" max="7191" width="22.7109375" style="1" customWidth="1"/>
    <col min="7192" max="7429" width="9.140625" style="1"/>
    <col min="7430" max="7430" width="19.140625" style="1" customWidth="1"/>
    <col min="7431" max="7433" width="0" style="1" hidden="1" customWidth="1"/>
    <col min="7434" max="7443" width="8.140625" style="1" customWidth="1"/>
    <col min="7444" max="7445" width="8.5703125" style="1" customWidth="1"/>
    <col min="7446" max="7446" width="0" style="1" hidden="1" customWidth="1"/>
    <col min="7447" max="7447" width="22.7109375" style="1" customWidth="1"/>
    <col min="7448" max="7685" width="9.140625" style="1"/>
    <col min="7686" max="7686" width="19.140625" style="1" customWidth="1"/>
    <col min="7687" max="7689" width="0" style="1" hidden="1" customWidth="1"/>
    <col min="7690" max="7699" width="8.140625" style="1" customWidth="1"/>
    <col min="7700" max="7701" width="8.5703125" style="1" customWidth="1"/>
    <col min="7702" max="7702" width="0" style="1" hidden="1" customWidth="1"/>
    <col min="7703" max="7703" width="22.7109375" style="1" customWidth="1"/>
    <col min="7704" max="7941" width="9.140625" style="1"/>
    <col min="7942" max="7942" width="19.140625" style="1" customWidth="1"/>
    <col min="7943" max="7945" width="0" style="1" hidden="1" customWidth="1"/>
    <col min="7946" max="7955" width="8.140625" style="1" customWidth="1"/>
    <col min="7956" max="7957" width="8.5703125" style="1" customWidth="1"/>
    <col min="7958" max="7958" width="0" style="1" hidden="1" customWidth="1"/>
    <col min="7959" max="7959" width="22.7109375" style="1" customWidth="1"/>
    <col min="7960" max="8197" width="9.140625" style="1"/>
    <col min="8198" max="8198" width="19.140625" style="1" customWidth="1"/>
    <col min="8199" max="8201" width="0" style="1" hidden="1" customWidth="1"/>
    <col min="8202" max="8211" width="8.140625" style="1" customWidth="1"/>
    <col min="8212" max="8213" width="8.5703125" style="1" customWidth="1"/>
    <col min="8214" max="8214" width="0" style="1" hidden="1" customWidth="1"/>
    <col min="8215" max="8215" width="22.7109375" style="1" customWidth="1"/>
    <col min="8216" max="8453" width="9.140625" style="1"/>
    <col min="8454" max="8454" width="19.140625" style="1" customWidth="1"/>
    <col min="8455" max="8457" width="0" style="1" hidden="1" customWidth="1"/>
    <col min="8458" max="8467" width="8.140625" style="1" customWidth="1"/>
    <col min="8468" max="8469" width="8.5703125" style="1" customWidth="1"/>
    <col min="8470" max="8470" width="0" style="1" hidden="1" customWidth="1"/>
    <col min="8471" max="8471" width="22.7109375" style="1" customWidth="1"/>
    <col min="8472" max="8709" width="9.140625" style="1"/>
    <col min="8710" max="8710" width="19.140625" style="1" customWidth="1"/>
    <col min="8711" max="8713" width="0" style="1" hidden="1" customWidth="1"/>
    <col min="8714" max="8723" width="8.140625" style="1" customWidth="1"/>
    <col min="8724" max="8725" width="8.5703125" style="1" customWidth="1"/>
    <col min="8726" max="8726" width="0" style="1" hidden="1" customWidth="1"/>
    <col min="8727" max="8727" width="22.7109375" style="1" customWidth="1"/>
    <col min="8728" max="8965" width="9.140625" style="1"/>
    <col min="8966" max="8966" width="19.140625" style="1" customWidth="1"/>
    <col min="8967" max="8969" width="0" style="1" hidden="1" customWidth="1"/>
    <col min="8970" max="8979" width="8.140625" style="1" customWidth="1"/>
    <col min="8980" max="8981" width="8.5703125" style="1" customWidth="1"/>
    <col min="8982" max="8982" width="0" style="1" hidden="1" customWidth="1"/>
    <col min="8983" max="8983" width="22.7109375" style="1" customWidth="1"/>
    <col min="8984" max="9221" width="9.140625" style="1"/>
    <col min="9222" max="9222" width="19.140625" style="1" customWidth="1"/>
    <col min="9223" max="9225" width="0" style="1" hidden="1" customWidth="1"/>
    <col min="9226" max="9235" width="8.140625" style="1" customWidth="1"/>
    <col min="9236" max="9237" width="8.5703125" style="1" customWidth="1"/>
    <col min="9238" max="9238" width="0" style="1" hidden="1" customWidth="1"/>
    <col min="9239" max="9239" width="22.7109375" style="1" customWidth="1"/>
    <col min="9240" max="9477" width="9.140625" style="1"/>
    <col min="9478" max="9478" width="19.140625" style="1" customWidth="1"/>
    <col min="9479" max="9481" width="0" style="1" hidden="1" customWidth="1"/>
    <col min="9482" max="9491" width="8.140625" style="1" customWidth="1"/>
    <col min="9492" max="9493" width="8.5703125" style="1" customWidth="1"/>
    <col min="9494" max="9494" width="0" style="1" hidden="1" customWidth="1"/>
    <col min="9495" max="9495" width="22.7109375" style="1" customWidth="1"/>
    <col min="9496" max="9733" width="9.140625" style="1"/>
    <col min="9734" max="9734" width="19.140625" style="1" customWidth="1"/>
    <col min="9735" max="9737" width="0" style="1" hidden="1" customWidth="1"/>
    <col min="9738" max="9747" width="8.140625" style="1" customWidth="1"/>
    <col min="9748" max="9749" width="8.5703125" style="1" customWidth="1"/>
    <col min="9750" max="9750" width="0" style="1" hidden="1" customWidth="1"/>
    <col min="9751" max="9751" width="22.7109375" style="1" customWidth="1"/>
    <col min="9752" max="9989" width="9.140625" style="1"/>
    <col min="9990" max="9990" width="19.140625" style="1" customWidth="1"/>
    <col min="9991" max="9993" width="0" style="1" hidden="1" customWidth="1"/>
    <col min="9994" max="10003" width="8.140625" style="1" customWidth="1"/>
    <col min="10004" max="10005" width="8.5703125" style="1" customWidth="1"/>
    <col min="10006" max="10006" width="0" style="1" hidden="1" customWidth="1"/>
    <col min="10007" max="10007" width="22.7109375" style="1" customWidth="1"/>
    <col min="10008" max="10245" width="9.140625" style="1"/>
    <col min="10246" max="10246" width="19.140625" style="1" customWidth="1"/>
    <col min="10247" max="10249" width="0" style="1" hidden="1" customWidth="1"/>
    <col min="10250" max="10259" width="8.140625" style="1" customWidth="1"/>
    <col min="10260" max="10261" width="8.5703125" style="1" customWidth="1"/>
    <col min="10262" max="10262" width="0" style="1" hidden="1" customWidth="1"/>
    <col min="10263" max="10263" width="22.7109375" style="1" customWidth="1"/>
    <col min="10264" max="10501" width="9.140625" style="1"/>
    <col min="10502" max="10502" width="19.140625" style="1" customWidth="1"/>
    <col min="10503" max="10505" width="0" style="1" hidden="1" customWidth="1"/>
    <col min="10506" max="10515" width="8.140625" style="1" customWidth="1"/>
    <col min="10516" max="10517" width="8.5703125" style="1" customWidth="1"/>
    <col min="10518" max="10518" width="0" style="1" hidden="1" customWidth="1"/>
    <col min="10519" max="10519" width="22.7109375" style="1" customWidth="1"/>
    <col min="10520" max="10757" width="9.140625" style="1"/>
    <col min="10758" max="10758" width="19.140625" style="1" customWidth="1"/>
    <col min="10759" max="10761" width="0" style="1" hidden="1" customWidth="1"/>
    <col min="10762" max="10771" width="8.140625" style="1" customWidth="1"/>
    <col min="10772" max="10773" width="8.5703125" style="1" customWidth="1"/>
    <col min="10774" max="10774" width="0" style="1" hidden="1" customWidth="1"/>
    <col min="10775" max="10775" width="22.7109375" style="1" customWidth="1"/>
    <col min="10776" max="11013" width="9.140625" style="1"/>
    <col min="11014" max="11014" width="19.140625" style="1" customWidth="1"/>
    <col min="11015" max="11017" width="0" style="1" hidden="1" customWidth="1"/>
    <col min="11018" max="11027" width="8.140625" style="1" customWidth="1"/>
    <col min="11028" max="11029" width="8.5703125" style="1" customWidth="1"/>
    <col min="11030" max="11030" width="0" style="1" hidden="1" customWidth="1"/>
    <col min="11031" max="11031" width="22.7109375" style="1" customWidth="1"/>
    <col min="11032" max="11269" width="9.140625" style="1"/>
    <col min="11270" max="11270" width="19.140625" style="1" customWidth="1"/>
    <col min="11271" max="11273" width="0" style="1" hidden="1" customWidth="1"/>
    <col min="11274" max="11283" width="8.140625" style="1" customWidth="1"/>
    <col min="11284" max="11285" width="8.5703125" style="1" customWidth="1"/>
    <col min="11286" max="11286" width="0" style="1" hidden="1" customWidth="1"/>
    <col min="11287" max="11287" width="22.7109375" style="1" customWidth="1"/>
    <col min="11288" max="11525" width="9.140625" style="1"/>
    <col min="11526" max="11526" width="19.140625" style="1" customWidth="1"/>
    <col min="11527" max="11529" width="0" style="1" hidden="1" customWidth="1"/>
    <col min="11530" max="11539" width="8.140625" style="1" customWidth="1"/>
    <col min="11540" max="11541" width="8.5703125" style="1" customWidth="1"/>
    <col min="11542" max="11542" width="0" style="1" hidden="1" customWidth="1"/>
    <col min="11543" max="11543" width="22.7109375" style="1" customWidth="1"/>
    <col min="11544" max="11781" width="9.140625" style="1"/>
    <col min="11782" max="11782" width="19.140625" style="1" customWidth="1"/>
    <col min="11783" max="11785" width="0" style="1" hidden="1" customWidth="1"/>
    <col min="11786" max="11795" width="8.140625" style="1" customWidth="1"/>
    <col min="11796" max="11797" width="8.5703125" style="1" customWidth="1"/>
    <col min="11798" max="11798" width="0" style="1" hidden="1" customWidth="1"/>
    <col min="11799" max="11799" width="22.7109375" style="1" customWidth="1"/>
    <col min="11800" max="12037" width="9.140625" style="1"/>
    <col min="12038" max="12038" width="19.140625" style="1" customWidth="1"/>
    <col min="12039" max="12041" width="0" style="1" hidden="1" customWidth="1"/>
    <col min="12042" max="12051" width="8.140625" style="1" customWidth="1"/>
    <col min="12052" max="12053" width="8.5703125" style="1" customWidth="1"/>
    <col min="12054" max="12054" width="0" style="1" hidden="1" customWidth="1"/>
    <col min="12055" max="12055" width="22.7109375" style="1" customWidth="1"/>
    <col min="12056" max="12293" width="9.140625" style="1"/>
    <col min="12294" max="12294" width="19.140625" style="1" customWidth="1"/>
    <col min="12295" max="12297" width="0" style="1" hidden="1" customWidth="1"/>
    <col min="12298" max="12307" width="8.140625" style="1" customWidth="1"/>
    <col min="12308" max="12309" width="8.5703125" style="1" customWidth="1"/>
    <col min="12310" max="12310" width="0" style="1" hidden="1" customWidth="1"/>
    <col min="12311" max="12311" width="22.7109375" style="1" customWidth="1"/>
    <col min="12312" max="12549" width="9.140625" style="1"/>
    <col min="12550" max="12550" width="19.140625" style="1" customWidth="1"/>
    <col min="12551" max="12553" width="0" style="1" hidden="1" customWidth="1"/>
    <col min="12554" max="12563" width="8.140625" style="1" customWidth="1"/>
    <col min="12564" max="12565" width="8.5703125" style="1" customWidth="1"/>
    <col min="12566" max="12566" width="0" style="1" hidden="1" customWidth="1"/>
    <col min="12567" max="12567" width="22.7109375" style="1" customWidth="1"/>
    <col min="12568" max="12805" width="9.140625" style="1"/>
    <col min="12806" max="12806" width="19.140625" style="1" customWidth="1"/>
    <col min="12807" max="12809" width="0" style="1" hidden="1" customWidth="1"/>
    <col min="12810" max="12819" width="8.140625" style="1" customWidth="1"/>
    <col min="12820" max="12821" width="8.5703125" style="1" customWidth="1"/>
    <col min="12822" max="12822" width="0" style="1" hidden="1" customWidth="1"/>
    <col min="12823" max="12823" width="22.7109375" style="1" customWidth="1"/>
    <col min="12824" max="13061" width="9.140625" style="1"/>
    <col min="13062" max="13062" width="19.140625" style="1" customWidth="1"/>
    <col min="13063" max="13065" width="0" style="1" hidden="1" customWidth="1"/>
    <col min="13066" max="13075" width="8.140625" style="1" customWidth="1"/>
    <col min="13076" max="13077" width="8.5703125" style="1" customWidth="1"/>
    <col min="13078" max="13078" width="0" style="1" hidden="1" customWidth="1"/>
    <col min="13079" max="13079" width="22.7109375" style="1" customWidth="1"/>
    <col min="13080" max="13317" width="9.140625" style="1"/>
    <col min="13318" max="13318" width="19.140625" style="1" customWidth="1"/>
    <col min="13319" max="13321" width="0" style="1" hidden="1" customWidth="1"/>
    <col min="13322" max="13331" width="8.140625" style="1" customWidth="1"/>
    <col min="13332" max="13333" width="8.5703125" style="1" customWidth="1"/>
    <col min="13334" max="13334" width="0" style="1" hidden="1" customWidth="1"/>
    <col min="13335" max="13335" width="22.7109375" style="1" customWidth="1"/>
    <col min="13336" max="13573" width="9.140625" style="1"/>
    <col min="13574" max="13574" width="19.140625" style="1" customWidth="1"/>
    <col min="13575" max="13577" width="0" style="1" hidden="1" customWidth="1"/>
    <col min="13578" max="13587" width="8.140625" style="1" customWidth="1"/>
    <col min="13588" max="13589" width="8.5703125" style="1" customWidth="1"/>
    <col min="13590" max="13590" width="0" style="1" hidden="1" customWidth="1"/>
    <col min="13591" max="13591" width="22.7109375" style="1" customWidth="1"/>
    <col min="13592" max="13829" width="9.140625" style="1"/>
    <col min="13830" max="13830" width="19.140625" style="1" customWidth="1"/>
    <col min="13831" max="13833" width="0" style="1" hidden="1" customWidth="1"/>
    <col min="13834" max="13843" width="8.140625" style="1" customWidth="1"/>
    <col min="13844" max="13845" width="8.5703125" style="1" customWidth="1"/>
    <col min="13846" max="13846" width="0" style="1" hidden="1" customWidth="1"/>
    <col min="13847" max="13847" width="22.7109375" style="1" customWidth="1"/>
    <col min="13848" max="14085" width="9.140625" style="1"/>
    <col min="14086" max="14086" width="19.140625" style="1" customWidth="1"/>
    <col min="14087" max="14089" width="0" style="1" hidden="1" customWidth="1"/>
    <col min="14090" max="14099" width="8.140625" style="1" customWidth="1"/>
    <col min="14100" max="14101" width="8.5703125" style="1" customWidth="1"/>
    <col min="14102" max="14102" width="0" style="1" hidden="1" customWidth="1"/>
    <col min="14103" max="14103" width="22.7109375" style="1" customWidth="1"/>
    <col min="14104" max="14341" width="9.140625" style="1"/>
    <col min="14342" max="14342" width="19.140625" style="1" customWidth="1"/>
    <col min="14343" max="14345" width="0" style="1" hidden="1" customWidth="1"/>
    <col min="14346" max="14355" width="8.140625" style="1" customWidth="1"/>
    <col min="14356" max="14357" width="8.5703125" style="1" customWidth="1"/>
    <col min="14358" max="14358" width="0" style="1" hidden="1" customWidth="1"/>
    <col min="14359" max="14359" width="22.7109375" style="1" customWidth="1"/>
    <col min="14360" max="14597" width="9.140625" style="1"/>
    <col min="14598" max="14598" width="19.140625" style="1" customWidth="1"/>
    <col min="14599" max="14601" width="0" style="1" hidden="1" customWidth="1"/>
    <col min="14602" max="14611" width="8.140625" style="1" customWidth="1"/>
    <col min="14612" max="14613" width="8.5703125" style="1" customWidth="1"/>
    <col min="14614" max="14614" width="0" style="1" hidden="1" customWidth="1"/>
    <col min="14615" max="14615" width="22.7109375" style="1" customWidth="1"/>
    <col min="14616" max="14853" width="9.140625" style="1"/>
    <col min="14854" max="14854" width="19.140625" style="1" customWidth="1"/>
    <col min="14855" max="14857" width="0" style="1" hidden="1" customWidth="1"/>
    <col min="14858" max="14867" width="8.140625" style="1" customWidth="1"/>
    <col min="14868" max="14869" width="8.5703125" style="1" customWidth="1"/>
    <col min="14870" max="14870" width="0" style="1" hidden="1" customWidth="1"/>
    <col min="14871" max="14871" width="22.7109375" style="1" customWidth="1"/>
    <col min="14872" max="15109" width="9.140625" style="1"/>
    <col min="15110" max="15110" width="19.140625" style="1" customWidth="1"/>
    <col min="15111" max="15113" width="0" style="1" hidden="1" customWidth="1"/>
    <col min="15114" max="15123" width="8.140625" style="1" customWidth="1"/>
    <col min="15124" max="15125" width="8.5703125" style="1" customWidth="1"/>
    <col min="15126" max="15126" width="0" style="1" hidden="1" customWidth="1"/>
    <col min="15127" max="15127" width="22.7109375" style="1" customWidth="1"/>
    <col min="15128" max="15365" width="9.140625" style="1"/>
    <col min="15366" max="15366" width="19.140625" style="1" customWidth="1"/>
    <col min="15367" max="15369" width="0" style="1" hidden="1" customWidth="1"/>
    <col min="15370" max="15379" width="8.140625" style="1" customWidth="1"/>
    <col min="15380" max="15381" width="8.5703125" style="1" customWidth="1"/>
    <col min="15382" max="15382" width="0" style="1" hidden="1" customWidth="1"/>
    <col min="15383" max="15383" width="22.7109375" style="1" customWidth="1"/>
    <col min="15384" max="15621" width="9.140625" style="1"/>
    <col min="15622" max="15622" width="19.140625" style="1" customWidth="1"/>
    <col min="15623" max="15625" width="0" style="1" hidden="1" customWidth="1"/>
    <col min="15626" max="15635" width="8.140625" style="1" customWidth="1"/>
    <col min="15636" max="15637" width="8.5703125" style="1" customWidth="1"/>
    <col min="15638" max="15638" width="0" style="1" hidden="1" customWidth="1"/>
    <col min="15639" max="15639" width="22.7109375" style="1" customWidth="1"/>
    <col min="15640" max="15877" width="9.140625" style="1"/>
    <col min="15878" max="15878" width="19.140625" style="1" customWidth="1"/>
    <col min="15879" max="15881" width="0" style="1" hidden="1" customWidth="1"/>
    <col min="15882" max="15891" width="8.140625" style="1" customWidth="1"/>
    <col min="15892" max="15893" width="8.5703125" style="1" customWidth="1"/>
    <col min="15894" max="15894" width="0" style="1" hidden="1" customWidth="1"/>
    <col min="15895" max="15895" width="22.7109375" style="1" customWidth="1"/>
    <col min="15896" max="16133" width="9.140625" style="1"/>
    <col min="16134" max="16134" width="19.140625" style="1" customWidth="1"/>
    <col min="16135" max="16137" width="0" style="1" hidden="1" customWidth="1"/>
    <col min="16138" max="16147" width="8.140625" style="1" customWidth="1"/>
    <col min="16148" max="16149" width="8.5703125" style="1" customWidth="1"/>
    <col min="16150" max="16150" width="0" style="1" hidden="1" customWidth="1"/>
    <col min="16151" max="16151" width="22.7109375" style="1" customWidth="1"/>
    <col min="16152" max="16384" width="9.140625" style="1"/>
  </cols>
  <sheetData>
    <row r="1" spans="1:25" ht="18" x14ac:dyDescent="0.25">
      <c r="A1" s="123" t="s">
        <v>125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60"/>
    </row>
    <row r="2" spans="1:25" x14ac:dyDescent="0.25">
      <c r="A2" s="124" t="s">
        <v>133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60"/>
    </row>
    <row r="3" spans="1:25" x14ac:dyDescent="0.2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1"/>
      <c r="Y3" s="60"/>
    </row>
    <row r="4" spans="1:25" x14ac:dyDescent="0.25">
      <c r="A4" s="63" t="s">
        <v>28</v>
      </c>
      <c r="B4" s="64">
        <v>2003</v>
      </c>
      <c r="C4" s="64">
        <v>2004</v>
      </c>
      <c r="D4" s="64">
        <v>2005</v>
      </c>
      <c r="E4" s="64">
        <v>2006</v>
      </c>
      <c r="F4" s="64">
        <v>2007</v>
      </c>
      <c r="G4" s="64">
        <v>2008</v>
      </c>
      <c r="H4" s="64">
        <v>2009</v>
      </c>
      <c r="I4" s="64">
        <v>2010</v>
      </c>
      <c r="J4" s="64">
        <v>2011</v>
      </c>
      <c r="K4" s="64">
        <v>2012</v>
      </c>
      <c r="L4" s="64">
        <v>2013</v>
      </c>
      <c r="M4" s="64">
        <v>2014</v>
      </c>
      <c r="N4" s="64">
        <v>2015</v>
      </c>
      <c r="O4" s="64">
        <v>2016</v>
      </c>
      <c r="P4" s="64">
        <v>2017</v>
      </c>
      <c r="Q4" s="65">
        <v>2018</v>
      </c>
      <c r="R4" s="65">
        <v>2019</v>
      </c>
      <c r="S4" s="65">
        <v>2020</v>
      </c>
      <c r="T4" s="65" t="s">
        <v>124</v>
      </c>
      <c r="U4" s="65">
        <v>2022</v>
      </c>
      <c r="V4" s="65">
        <v>2023</v>
      </c>
      <c r="W4" s="65">
        <v>2024</v>
      </c>
      <c r="X4" s="66" t="s">
        <v>29</v>
      </c>
      <c r="Y4" s="60"/>
    </row>
    <row r="5" spans="1:25" ht="15.75" x14ac:dyDescent="0.25">
      <c r="A5" s="67" t="s">
        <v>2</v>
      </c>
      <c r="B5" s="68">
        <f>SUM(B6:B8)</f>
        <v>72</v>
      </c>
      <c r="C5" s="68">
        <f>SUM(C6:C8)</f>
        <v>76</v>
      </c>
      <c r="D5" s="68">
        <f>SUM(D6:D8)</f>
        <v>67</v>
      </c>
      <c r="E5" s="68">
        <f>E10+E15</f>
        <v>92</v>
      </c>
      <c r="F5" s="68">
        <f t="shared" ref="F5:P5" si="0">F10+F15</f>
        <v>66</v>
      </c>
      <c r="G5" s="68">
        <f t="shared" si="0"/>
        <v>76</v>
      </c>
      <c r="H5" s="68">
        <f t="shared" si="0"/>
        <v>81</v>
      </c>
      <c r="I5" s="68">
        <f t="shared" si="0"/>
        <v>78</v>
      </c>
      <c r="J5" s="68">
        <f t="shared" si="0"/>
        <v>65</v>
      </c>
      <c r="K5" s="68">
        <f t="shared" si="0"/>
        <v>66</v>
      </c>
      <c r="L5" s="68">
        <f t="shared" si="0"/>
        <v>46</v>
      </c>
      <c r="M5" s="68">
        <f t="shared" si="0"/>
        <v>59</v>
      </c>
      <c r="N5" s="68">
        <f t="shared" si="0"/>
        <v>63</v>
      </c>
      <c r="O5" s="68">
        <f t="shared" si="0"/>
        <v>53</v>
      </c>
      <c r="P5" s="68">
        <f t="shared" si="0"/>
        <v>64</v>
      </c>
      <c r="Q5" s="68">
        <f>Q10+Q15</f>
        <v>45</v>
      </c>
      <c r="R5" s="68">
        <v>43</v>
      </c>
      <c r="S5" s="68">
        <v>45</v>
      </c>
      <c r="T5" s="68">
        <f>SUM(T6:T9)</f>
        <v>58</v>
      </c>
      <c r="U5" s="68">
        <f t="shared" ref="U5:W5" si="1">SUM(U6:U9)</f>
        <v>0</v>
      </c>
      <c r="V5" s="68">
        <f t="shared" si="1"/>
        <v>0</v>
      </c>
      <c r="W5" s="68">
        <f t="shared" si="1"/>
        <v>0</v>
      </c>
      <c r="X5" s="69" t="s">
        <v>27</v>
      </c>
      <c r="Y5" s="60"/>
    </row>
    <row r="6" spans="1:25" ht="15.75" x14ac:dyDescent="0.25">
      <c r="A6" s="70" t="s">
        <v>30</v>
      </c>
      <c r="B6" s="71">
        <f t="shared" ref="B6:D8" si="2">SUM(B11+B16)</f>
        <v>44</v>
      </c>
      <c r="C6" s="71">
        <f t="shared" si="2"/>
        <v>47</v>
      </c>
      <c r="D6" s="71">
        <f t="shared" si="2"/>
        <v>40</v>
      </c>
      <c r="E6" s="72">
        <f>E11+E16</f>
        <v>51</v>
      </c>
      <c r="F6" s="72">
        <f t="shared" ref="F6:P6" si="3">F11+F16</f>
        <v>41</v>
      </c>
      <c r="G6" s="72">
        <f t="shared" si="3"/>
        <v>41</v>
      </c>
      <c r="H6" s="72">
        <f t="shared" si="3"/>
        <v>51</v>
      </c>
      <c r="I6" s="72">
        <f t="shared" si="3"/>
        <v>44</v>
      </c>
      <c r="J6" s="72">
        <f t="shared" si="3"/>
        <v>41</v>
      </c>
      <c r="K6" s="72">
        <f t="shared" si="3"/>
        <v>33</v>
      </c>
      <c r="L6" s="72">
        <f t="shared" si="3"/>
        <v>22</v>
      </c>
      <c r="M6" s="72">
        <f t="shared" si="3"/>
        <v>33</v>
      </c>
      <c r="N6" s="72">
        <f t="shared" si="3"/>
        <v>29</v>
      </c>
      <c r="O6" s="72">
        <f t="shared" si="3"/>
        <v>28</v>
      </c>
      <c r="P6" s="72">
        <f t="shared" si="3"/>
        <v>45</v>
      </c>
      <c r="Q6" s="72">
        <v>30</v>
      </c>
      <c r="R6" s="72">
        <v>14</v>
      </c>
      <c r="S6" s="72">
        <f t="shared" ref="S6:T9" si="4">S11+S16+S21</f>
        <v>17</v>
      </c>
      <c r="T6" s="72">
        <f t="shared" si="4"/>
        <v>25</v>
      </c>
      <c r="U6" s="72">
        <f t="shared" ref="U6:W6" si="5">U11+U16+U21</f>
        <v>0</v>
      </c>
      <c r="V6" s="72">
        <f t="shared" si="5"/>
        <v>0</v>
      </c>
      <c r="W6" s="72">
        <f t="shared" si="5"/>
        <v>0</v>
      </c>
      <c r="X6" s="73" t="s">
        <v>31</v>
      </c>
      <c r="Y6" s="60"/>
    </row>
    <row r="7" spans="1:25" ht="15.75" x14ac:dyDescent="0.25">
      <c r="A7" s="74" t="s">
        <v>32</v>
      </c>
      <c r="B7" s="71">
        <f t="shared" si="2"/>
        <v>5</v>
      </c>
      <c r="C7" s="71">
        <f t="shared" si="2"/>
        <v>5</v>
      </c>
      <c r="D7" s="71">
        <f t="shared" si="2"/>
        <v>6</v>
      </c>
      <c r="E7" s="72">
        <f>E12+E17</f>
        <v>16</v>
      </c>
      <c r="F7" s="72">
        <f t="shared" ref="F7:P7" si="6">F12+F17</f>
        <v>6</v>
      </c>
      <c r="G7" s="72">
        <f t="shared" si="6"/>
        <v>15</v>
      </c>
      <c r="H7" s="72">
        <f t="shared" si="6"/>
        <v>8</v>
      </c>
      <c r="I7" s="72">
        <f t="shared" si="6"/>
        <v>14</v>
      </c>
      <c r="J7" s="72">
        <f t="shared" si="6"/>
        <v>8</v>
      </c>
      <c r="K7" s="72">
        <f t="shared" si="6"/>
        <v>11</v>
      </c>
      <c r="L7" s="72">
        <f t="shared" si="6"/>
        <v>7</v>
      </c>
      <c r="M7" s="72">
        <f t="shared" si="6"/>
        <v>4</v>
      </c>
      <c r="N7" s="72">
        <f t="shared" si="6"/>
        <v>8</v>
      </c>
      <c r="O7" s="72">
        <f t="shared" si="6"/>
        <v>8</v>
      </c>
      <c r="P7" s="72">
        <f t="shared" si="6"/>
        <v>6</v>
      </c>
      <c r="Q7" s="72">
        <f>Q12+Q17</f>
        <v>3</v>
      </c>
      <c r="R7" s="72">
        <v>4</v>
      </c>
      <c r="S7" s="72">
        <f t="shared" si="4"/>
        <v>6</v>
      </c>
      <c r="T7" s="72">
        <f t="shared" si="4"/>
        <v>9</v>
      </c>
      <c r="U7" s="72">
        <f t="shared" ref="U7:W7" si="7">U12+U17+U22</f>
        <v>0</v>
      </c>
      <c r="V7" s="72">
        <f t="shared" si="7"/>
        <v>0</v>
      </c>
      <c r="W7" s="72">
        <f t="shared" si="7"/>
        <v>0</v>
      </c>
      <c r="X7" s="73" t="s">
        <v>33</v>
      </c>
      <c r="Y7" s="60"/>
    </row>
    <row r="8" spans="1:25" ht="15.75" x14ac:dyDescent="0.25">
      <c r="A8" s="74" t="s">
        <v>34</v>
      </c>
      <c r="B8" s="71">
        <f t="shared" si="2"/>
        <v>23</v>
      </c>
      <c r="C8" s="71">
        <f t="shared" si="2"/>
        <v>24</v>
      </c>
      <c r="D8" s="71">
        <f t="shared" si="2"/>
        <v>21</v>
      </c>
      <c r="E8" s="72">
        <f>E13+E18</f>
        <v>25</v>
      </c>
      <c r="F8" s="72">
        <f t="shared" ref="F8:P8" si="8">F13+F18</f>
        <v>19</v>
      </c>
      <c r="G8" s="72">
        <f t="shared" si="8"/>
        <v>20</v>
      </c>
      <c r="H8" s="72">
        <f t="shared" si="8"/>
        <v>22</v>
      </c>
      <c r="I8" s="72">
        <f t="shared" si="8"/>
        <v>20</v>
      </c>
      <c r="J8" s="72">
        <f t="shared" si="8"/>
        <v>16</v>
      </c>
      <c r="K8" s="72">
        <f t="shared" si="8"/>
        <v>22</v>
      </c>
      <c r="L8" s="72">
        <f t="shared" si="8"/>
        <v>17</v>
      </c>
      <c r="M8" s="72">
        <f t="shared" si="8"/>
        <v>22</v>
      </c>
      <c r="N8" s="72">
        <f t="shared" si="8"/>
        <v>26</v>
      </c>
      <c r="O8" s="72">
        <f t="shared" si="8"/>
        <v>17</v>
      </c>
      <c r="P8" s="72">
        <f t="shared" si="8"/>
        <v>13</v>
      </c>
      <c r="Q8" s="72">
        <f>Q13+Q18</f>
        <v>13</v>
      </c>
      <c r="R8" s="72">
        <v>15</v>
      </c>
      <c r="S8" s="72">
        <f t="shared" si="4"/>
        <v>15</v>
      </c>
      <c r="T8" s="72">
        <f t="shared" si="4"/>
        <v>23</v>
      </c>
      <c r="U8" s="72">
        <f t="shared" ref="U8:W8" si="9">U13+U18+U23</f>
        <v>0</v>
      </c>
      <c r="V8" s="72">
        <f t="shared" si="9"/>
        <v>0</v>
      </c>
      <c r="W8" s="72">
        <f t="shared" si="9"/>
        <v>0</v>
      </c>
      <c r="X8" s="75" t="s">
        <v>35</v>
      </c>
      <c r="Y8" s="60"/>
    </row>
    <row r="9" spans="1:25" ht="18.75" x14ac:dyDescent="0.25">
      <c r="A9" s="74" t="s">
        <v>22</v>
      </c>
      <c r="B9" s="71"/>
      <c r="C9" s="71"/>
      <c r="D9" s="71"/>
      <c r="E9" s="55" t="s">
        <v>19</v>
      </c>
      <c r="F9" s="55" t="s">
        <v>19</v>
      </c>
      <c r="G9" s="55" t="s">
        <v>19</v>
      </c>
      <c r="H9" s="55" t="s">
        <v>19</v>
      </c>
      <c r="I9" s="55" t="s">
        <v>19</v>
      </c>
      <c r="J9" s="55" t="s">
        <v>19</v>
      </c>
      <c r="K9" s="55" t="s">
        <v>19</v>
      </c>
      <c r="L9" s="55" t="s">
        <v>19</v>
      </c>
      <c r="M9" s="55" t="s">
        <v>19</v>
      </c>
      <c r="N9" s="55" t="s">
        <v>19</v>
      </c>
      <c r="O9" s="55" t="s">
        <v>19</v>
      </c>
      <c r="P9" s="55" t="s">
        <v>19</v>
      </c>
      <c r="Q9" s="55" t="s">
        <v>19</v>
      </c>
      <c r="R9" s="105">
        <v>10</v>
      </c>
      <c r="S9" s="105">
        <f t="shared" si="4"/>
        <v>7</v>
      </c>
      <c r="T9" s="105">
        <f t="shared" si="4"/>
        <v>1</v>
      </c>
      <c r="U9" s="105">
        <f t="shared" ref="U9:W9" si="10">U14+U19+U24</f>
        <v>0</v>
      </c>
      <c r="V9" s="105">
        <f t="shared" si="10"/>
        <v>0</v>
      </c>
      <c r="W9" s="105">
        <f t="shared" si="10"/>
        <v>0</v>
      </c>
      <c r="X9" s="76" t="s">
        <v>23</v>
      </c>
      <c r="Y9" s="60"/>
    </row>
    <row r="10" spans="1:25" ht="15.75" x14ac:dyDescent="0.25">
      <c r="A10" s="67" t="s">
        <v>3</v>
      </c>
      <c r="B10" s="68">
        <f t="shared" ref="B10:J10" si="11">SUM(B11:B13)</f>
        <v>41</v>
      </c>
      <c r="C10" s="68">
        <f t="shared" si="11"/>
        <v>42</v>
      </c>
      <c r="D10" s="68">
        <f t="shared" si="11"/>
        <v>32</v>
      </c>
      <c r="E10" s="68">
        <f t="shared" si="11"/>
        <v>54</v>
      </c>
      <c r="F10" s="68">
        <f t="shared" si="11"/>
        <v>47</v>
      </c>
      <c r="G10" s="68">
        <f t="shared" si="11"/>
        <v>38</v>
      </c>
      <c r="H10" s="68">
        <f t="shared" si="11"/>
        <v>42</v>
      </c>
      <c r="I10" s="68">
        <f t="shared" si="11"/>
        <v>45</v>
      </c>
      <c r="J10" s="68">
        <f t="shared" si="11"/>
        <v>37</v>
      </c>
      <c r="K10" s="68">
        <f>SUM(K11:K13)</f>
        <v>40</v>
      </c>
      <c r="L10" s="68">
        <f>SUM(L11:L13)</f>
        <v>29</v>
      </c>
      <c r="M10" s="68">
        <f>SUM(M11:M13)</f>
        <v>32</v>
      </c>
      <c r="N10" s="68">
        <v>34</v>
      </c>
      <c r="O10" s="68">
        <v>21</v>
      </c>
      <c r="P10" s="68">
        <f>SUM(P11:P13)</f>
        <v>42</v>
      </c>
      <c r="Q10" s="68">
        <f>SUM(Q11:Q13)</f>
        <v>24</v>
      </c>
      <c r="R10" s="68">
        <v>23</v>
      </c>
      <c r="S10" s="68">
        <v>12</v>
      </c>
      <c r="T10" s="68">
        <f>SUM(T11:T14)</f>
        <v>35</v>
      </c>
      <c r="U10" s="68">
        <f t="shared" ref="U10:W10" si="12">SUM(U11:U14)</f>
        <v>0</v>
      </c>
      <c r="V10" s="68">
        <f t="shared" si="12"/>
        <v>0</v>
      </c>
      <c r="W10" s="68">
        <f t="shared" si="12"/>
        <v>0</v>
      </c>
      <c r="X10" s="69" t="s">
        <v>0</v>
      </c>
      <c r="Y10" s="60"/>
    </row>
    <row r="11" spans="1:25" ht="15.75" x14ac:dyDescent="0.25">
      <c r="A11" s="70" t="s">
        <v>30</v>
      </c>
      <c r="B11" s="72">
        <v>25</v>
      </c>
      <c r="C11" s="72">
        <v>26</v>
      </c>
      <c r="D11" s="72">
        <v>19</v>
      </c>
      <c r="E11" s="72">
        <v>33</v>
      </c>
      <c r="F11" s="72">
        <v>26</v>
      </c>
      <c r="G11" s="72">
        <v>22</v>
      </c>
      <c r="H11" s="72">
        <v>25</v>
      </c>
      <c r="I11" s="72">
        <v>25</v>
      </c>
      <c r="J11" s="72">
        <v>23</v>
      </c>
      <c r="K11" s="72">
        <v>19</v>
      </c>
      <c r="L11" s="72">
        <v>14</v>
      </c>
      <c r="M11" s="72">
        <v>21</v>
      </c>
      <c r="N11" s="72">
        <v>21</v>
      </c>
      <c r="O11" s="72">
        <v>9</v>
      </c>
      <c r="P11" s="72">
        <v>29</v>
      </c>
      <c r="Q11" s="72">
        <v>14</v>
      </c>
      <c r="R11" s="72">
        <v>8</v>
      </c>
      <c r="S11" s="72">
        <v>0</v>
      </c>
      <c r="T11" s="72">
        <v>15</v>
      </c>
      <c r="U11" s="115"/>
      <c r="V11" s="115"/>
      <c r="W11" s="115"/>
      <c r="X11" s="73" t="s">
        <v>31</v>
      </c>
      <c r="Y11" s="60"/>
    </row>
    <row r="12" spans="1:25" ht="15.75" x14ac:dyDescent="0.25">
      <c r="A12" s="74" t="s">
        <v>36</v>
      </c>
      <c r="B12" s="72">
        <v>3</v>
      </c>
      <c r="C12" s="72">
        <v>4</v>
      </c>
      <c r="D12" s="72">
        <v>4</v>
      </c>
      <c r="E12" s="72">
        <v>7</v>
      </c>
      <c r="F12" s="72">
        <v>5</v>
      </c>
      <c r="G12" s="72">
        <v>6</v>
      </c>
      <c r="H12" s="72">
        <v>4</v>
      </c>
      <c r="I12" s="72">
        <v>9</v>
      </c>
      <c r="J12" s="72">
        <v>3</v>
      </c>
      <c r="K12" s="72">
        <v>8</v>
      </c>
      <c r="L12" s="72">
        <v>4</v>
      </c>
      <c r="M12" s="72">
        <v>1</v>
      </c>
      <c r="N12" s="72">
        <v>4</v>
      </c>
      <c r="O12" s="72">
        <v>3</v>
      </c>
      <c r="P12" s="72">
        <v>3</v>
      </c>
      <c r="Q12" s="72">
        <v>2</v>
      </c>
      <c r="R12" s="72">
        <v>1</v>
      </c>
      <c r="S12" s="72">
        <v>2</v>
      </c>
      <c r="T12" s="72">
        <v>4</v>
      </c>
      <c r="U12" s="115"/>
      <c r="V12" s="115"/>
      <c r="W12" s="115"/>
      <c r="X12" s="75" t="s">
        <v>37</v>
      </c>
      <c r="Y12" s="60"/>
    </row>
    <row r="13" spans="1:25" ht="15.75" x14ac:dyDescent="0.25">
      <c r="A13" s="74" t="s">
        <v>34</v>
      </c>
      <c r="B13" s="72">
        <v>13</v>
      </c>
      <c r="C13" s="72">
        <v>12</v>
      </c>
      <c r="D13" s="72">
        <v>9</v>
      </c>
      <c r="E13" s="72">
        <v>14</v>
      </c>
      <c r="F13" s="72">
        <v>16</v>
      </c>
      <c r="G13" s="72">
        <v>10</v>
      </c>
      <c r="H13" s="72">
        <v>13</v>
      </c>
      <c r="I13" s="72">
        <v>11</v>
      </c>
      <c r="J13" s="72">
        <v>11</v>
      </c>
      <c r="K13" s="72">
        <v>13</v>
      </c>
      <c r="L13" s="72">
        <v>11</v>
      </c>
      <c r="M13" s="72">
        <v>10</v>
      </c>
      <c r="N13" s="72">
        <v>9</v>
      </c>
      <c r="O13" s="72">
        <v>9</v>
      </c>
      <c r="P13" s="72">
        <v>10</v>
      </c>
      <c r="Q13" s="72">
        <v>8</v>
      </c>
      <c r="R13" s="72">
        <v>9</v>
      </c>
      <c r="S13" s="72">
        <v>9</v>
      </c>
      <c r="T13" s="72">
        <v>15</v>
      </c>
      <c r="U13" s="115"/>
      <c r="V13" s="115"/>
      <c r="W13" s="115"/>
      <c r="X13" s="75" t="s">
        <v>35</v>
      </c>
      <c r="Y13" s="60"/>
    </row>
    <row r="14" spans="1:25" ht="18.75" x14ac:dyDescent="0.25">
      <c r="A14" s="74" t="s">
        <v>22</v>
      </c>
      <c r="B14" s="72"/>
      <c r="C14" s="72"/>
      <c r="D14" s="72"/>
      <c r="E14" s="55" t="s">
        <v>19</v>
      </c>
      <c r="F14" s="55" t="s">
        <v>19</v>
      </c>
      <c r="G14" s="55" t="s">
        <v>19</v>
      </c>
      <c r="H14" s="55" t="s">
        <v>19</v>
      </c>
      <c r="I14" s="55" t="s">
        <v>19</v>
      </c>
      <c r="J14" s="55" t="s">
        <v>19</v>
      </c>
      <c r="K14" s="55" t="s">
        <v>19</v>
      </c>
      <c r="L14" s="55" t="s">
        <v>19</v>
      </c>
      <c r="M14" s="55" t="s">
        <v>19</v>
      </c>
      <c r="N14" s="55" t="s">
        <v>19</v>
      </c>
      <c r="O14" s="55" t="s">
        <v>19</v>
      </c>
      <c r="P14" s="55" t="s">
        <v>19</v>
      </c>
      <c r="Q14" s="55" t="s">
        <v>19</v>
      </c>
      <c r="R14" s="105">
        <v>5</v>
      </c>
      <c r="S14" s="105">
        <v>1</v>
      </c>
      <c r="T14" s="105">
        <v>1</v>
      </c>
      <c r="U14" s="116"/>
      <c r="V14" s="116"/>
      <c r="W14" s="116"/>
      <c r="X14" s="76" t="s">
        <v>23</v>
      </c>
      <c r="Y14" s="60"/>
    </row>
    <row r="15" spans="1:25" ht="15.75" x14ac:dyDescent="0.25">
      <c r="A15" s="67" t="s">
        <v>4</v>
      </c>
      <c r="B15" s="68">
        <f t="shared" ref="B15:J15" si="13">SUM(B16:B18)</f>
        <v>31</v>
      </c>
      <c r="C15" s="68">
        <f t="shared" si="13"/>
        <v>34</v>
      </c>
      <c r="D15" s="68">
        <f t="shared" si="13"/>
        <v>35</v>
      </c>
      <c r="E15" s="68">
        <f t="shared" si="13"/>
        <v>38</v>
      </c>
      <c r="F15" s="68">
        <f t="shared" si="13"/>
        <v>19</v>
      </c>
      <c r="G15" s="68">
        <f t="shared" si="13"/>
        <v>38</v>
      </c>
      <c r="H15" s="68">
        <f t="shared" si="13"/>
        <v>39</v>
      </c>
      <c r="I15" s="68">
        <f t="shared" si="13"/>
        <v>33</v>
      </c>
      <c r="J15" s="68">
        <f t="shared" si="13"/>
        <v>28</v>
      </c>
      <c r="K15" s="68">
        <f>SUM(K16:K18)</f>
        <v>26</v>
      </c>
      <c r="L15" s="68">
        <f>SUM(L16:L18)</f>
        <v>17</v>
      </c>
      <c r="M15" s="68">
        <f>SUM(M16:M18)</f>
        <v>27</v>
      </c>
      <c r="N15" s="68">
        <v>29</v>
      </c>
      <c r="O15" s="68">
        <v>32</v>
      </c>
      <c r="P15" s="68">
        <f>SUM(P16:P18)</f>
        <v>22</v>
      </c>
      <c r="Q15" s="68">
        <f>SUM(Q16:Q18)</f>
        <v>21</v>
      </c>
      <c r="R15" s="68">
        <v>20</v>
      </c>
      <c r="S15" s="68">
        <v>11</v>
      </c>
      <c r="T15" s="68">
        <f>SUM(T16:T19)</f>
        <v>23</v>
      </c>
      <c r="U15" s="68">
        <f t="shared" ref="U15:W15" si="14">SUM(U16:U19)</f>
        <v>0</v>
      </c>
      <c r="V15" s="68">
        <f t="shared" si="14"/>
        <v>0</v>
      </c>
      <c r="W15" s="68">
        <f t="shared" si="14"/>
        <v>0</v>
      </c>
      <c r="X15" s="69" t="s">
        <v>1</v>
      </c>
      <c r="Y15" s="60"/>
    </row>
    <row r="16" spans="1:25" ht="15.75" x14ac:dyDescent="0.25">
      <c r="A16" s="70" t="s">
        <v>30</v>
      </c>
      <c r="B16" s="72">
        <v>19</v>
      </c>
      <c r="C16" s="72">
        <v>21</v>
      </c>
      <c r="D16" s="72">
        <v>21</v>
      </c>
      <c r="E16" s="72">
        <v>18</v>
      </c>
      <c r="F16" s="72">
        <v>15</v>
      </c>
      <c r="G16" s="72">
        <v>19</v>
      </c>
      <c r="H16" s="72">
        <v>26</v>
      </c>
      <c r="I16" s="72">
        <v>19</v>
      </c>
      <c r="J16" s="72">
        <v>18</v>
      </c>
      <c r="K16" s="72">
        <v>14</v>
      </c>
      <c r="L16" s="72">
        <v>8</v>
      </c>
      <c r="M16" s="72">
        <v>12</v>
      </c>
      <c r="N16" s="72">
        <v>8</v>
      </c>
      <c r="O16" s="72">
        <v>19</v>
      </c>
      <c r="P16" s="72">
        <v>16</v>
      </c>
      <c r="Q16" s="72">
        <v>15</v>
      </c>
      <c r="R16" s="72">
        <v>6</v>
      </c>
      <c r="S16" s="72">
        <v>3</v>
      </c>
      <c r="T16" s="72">
        <v>10</v>
      </c>
      <c r="U16" s="115"/>
      <c r="V16" s="115"/>
      <c r="W16" s="115"/>
      <c r="X16" s="73" t="s">
        <v>31</v>
      </c>
      <c r="Y16" s="60"/>
    </row>
    <row r="17" spans="1:25" ht="15.75" x14ac:dyDescent="0.25">
      <c r="A17" s="74" t="s">
        <v>36</v>
      </c>
      <c r="B17" s="72">
        <v>2</v>
      </c>
      <c r="C17" s="72">
        <v>1</v>
      </c>
      <c r="D17" s="72">
        <v>2</v>
      </c>
      <c r="E17" s="72">
        <v>9</v>
      </c>
      <c r="F17" s="72">
        <v>1</v>
      </c>
      <c r="G17" s="72">
        <v>9</v>
      </c>
      <c r="H17" s="72">
        <v>4</v>
      </c>
      <c r="I17" s="72">
        <v>5</v>
      </c>
      <c r="J17" s="72">
        <v>5</v>
      </c>
      <c r="K17" s="72">
        <v>3</v>
      </c>
      <c r="L17" s="72">
        <v>3</v>
      </c>
      <c r="M17" s="72">
        <v>3</v>
      </c>
      <c r="N17" s="72">
        <v>4</v>
      </c>
      <c r="O17" s="72">
        <v>5</v>
      </c>
      <c r="P17" s="72">
        <v>3</v>
      </c>
      <c r="Q17" s="72">
        <v>1</v>
      </c>
      <c r="R17" s="72">
        <v>3</v>
      </c>
      <c r="S17" s="72">
        <v>2</v>
      </c>
      <c r="T17" s="72">
        <v>5</v>
      </c>
      <c r="U17" s="115"/>
      <c r="V17" s="115"/>
      <c r="W17" s="115"/>
      <c r="X17" s="75" t="s">
        <v>37</v>
      </c>
      <c r="Y17" s="60"/>
    </row>
    <row r="18" spans="1:25" ht="15.75" x14ac:dyDescent="0.25">
      <c r="A18" s="74" t="s">
        <v>34</v>
      </c>
      <c r="B18" s="72">
        <v>10</v>
      </c>
      <c r="C18" s="72">
        <v>12</v>
      </c>
      <c r="D18" s="72">
        <v>12</v>
      </c>
      <c r="E18" s="72">
        <v>11</v>
      </c>
      <c r="F18" s="72">
        <v>3</v>
      </c>
      <c r="G18" s="72">
        <v>10</v>
      </c>
      <c r="H18" s="72">
        <v>9</v>
      </c>
      <c r="I18" s="72">
        <v>9</v>
      </c>
      <c r="J18" s="72">
        <v>5</v>
      </c>
      <c r="K18" s="72">
        <v>9</v>
      </c>
      <c r="L18" s="72">
        <v>6</v>
      </c>
      <c r="M18" s="72">
        <v>12</v>
      </c>
      <c r="N18" s="72">
        <v>17</v>
      </c>
      <c r="O18" s="72">
        <v>8</v>
      </c>
      <c r="P18" s="72">
        <v>3</v>
      </c>
      <c r="Q18" s="72">
        <v>5</v>
      </c>
      <c r="R18" s="72">
        <v>6</v>
      </c>
      <c r="S18" s="72">
        <v>6</v>
      </c>
      <c r="T18" s="72">
        <v>8</v>
      </c>
      <c r="U18" s="115"/>
      <c r="V18" s="115"/>
      <c r="W18" s="115"/>
      <c r="X18" s="75" t="s">
        <v>35</v>
      </c>
      <c r="Y18" s="60"/>
    </row>
    <row r="19" spans="1:25" ht="18.75" x14ac:dyDescent="0.25">
      <c r="A19" s="77" t="s">
        <v>22</v>
      </c>
      <c r="B19" s="78"/>
      <c r="C19" s="78"/>
      <c r="D19" s="78"/>
      <c r="E19" s="59" t="s">
        <v>19</v>
      </c>
      <c r="F19" s="59" t="s">
        <v>19</v>
      </c>
      <c r="G19" s="59" t="s">
        <v>19</v>
      </c>
      <c r="H19" s="59" t="s">
        <v>19</v>
      </c>
      <c r="I19" s="59" t="s">
        <v>19</v>
      </c>
      <c r="J19" s="59" t="s">
        <v>19</v>
      </c>
      <c r="K19" s="59" t="s">
        <v>19</v>
      </c>
      <c r="L19" s="59" t="s">
        <v>19</v>
      </c>
      <c r="M19" s="59" t="s">
        <v>19</v>
      </c>
      <c r="N19" s="59" t="s">
        <v>19</v>
      </c>
      <c r="O19" s="59" t="s">
        <v>19</v>
      </c>
      <c r="P19" s="59" t="s">
        <v>19</v>
      </c>
      <c r="Q19" s="59" t="s">
        <v>19</v>
      </c>
      <c r="R19" s="78">
        <v>5</v>
      </c>
      <c r="S19" s="78">
        <v>0</v>
      </c>
      <c r="T19" s="78">
        <v>0</v>
      </c>
      <c r="U19" s="117"/>
      <c r="V19" s="117"/>
      <c r="W19" s="117"/>
      <c r="X19" s="79" t="s">
        <v>23</v>
      </c>
      <c r="Y19" s="60"/>
    </row>
    <row r="20" spans="1:25" ht="15.75" x14ac:dyDescent="0.25">
      <c r="A20" s="67" t="s">
        <v>117</v>
      </c>
      <c r="B20" s="68"/>
      <c r="C20" s="68"/>
      <c r="D20" s="68"/>
      <c r="E20" s="86" t="s">
        <v>19</v>
      </c>
      <c r="F20" s="86" t="s">
        <v>19</v>
      </c>
      <c r="G20" s="86" t="s">
        <v>19</v>
      </c>
      <c r="H20" s="86" t="s">
        <v>19</v>
      </c>
      <c r="I20" s="86" t="s">
        <v>19</v>
      </c>
      <c r="J20" s="86" t="s">
        <v>19</v>
      </c>
      <c r="K20" s="86" t="s">
        <v>19</v>
      </c>
      <c r="L20" s="86" t="s">
        <v>19</v>
      </c>
      <c r="M20" s="86" t="s">
        <v>19</v>
      </c>
      <c r="N20" s="86" t="s">
        <v>19</v>
      </c>
      <c r="O20" s="86" t="s">
        <v>19</v>
      </c>
      <c r="P20" s="86" t="s">
        <v>19</v>
      </c>
      <c r="Q20" s="86" t="s">
        <v>19</v>
      </c>
      <c r="R20" s="86" t="s">
        <v>19</v>
      </c>
      <c r="S20" s="68">
        <v>22</v>
      </c>
      <c r="T20" s="68">
        <f>SUM(T21:T24)</f>
        <v>0</v>
      </c>
      <c r="U20" s="68">
        <f t="shared" ref="U20:W20" si="15">SUM(U21:U24)</f>
        <v>0</v>
      </c>
      <c r="V20" s="68">
        <f t="shared" si="15"/>
        <v>0</v>
      </c>
      <c r="W20" s="68">
        <f t="shared" si="15"/>
        <v>0</v>
      </c>
      <c r="X20" s="69" t="s">
        <v>114</v>
      </c>
      <c r="Y20" s="60"/>
    </row>
    <row r="21" spans="1:25" ht="15.75" x14ac:dyDescent="0.25">
      <c r="A21" s="70" t="s">
        <v>30</v>
      </c>
      <c r="B21" s="72"/>
      <c r="C21" s="72"/>
      <c r="D21" s="72"/>
      <c r="E21" s="87" t="s">
        <v>19</v>
      </c>
      <c r="F21" s="87" t="s">
        <v>19</v>
      </c>
      <c r="G21" s="87" t="s">
        <v>19</v>
      </c>
      <c r="H21" s="87" t="s">
        <v>19</v>
      </c>
      <c r="I21" s="87" t="s">
        <v>19</v>
      </c>
      <c r="J21" s="87" t="s">
        <v>19</v>
      </c>
      <c r="K21" s="87" t="s">
        <v>19</v>
      </c>
      <c r="L21" s="87" t="s">
        <v>19</v>
      </c>
      <c r="M21" s="87" t="s">
        <v>19</v>
      </c>
      <c r="N21" s="87" t="s">
        <v>19</v>
      </c>
      <c r="O21" s="87" t="s">
        <v>19</v>
      </c>
      <c r="P21" s="87" t="s">
        <v>19</v>
      </c>
      <c r="Q21" s="87" t="s">
        <v>19</v>
      </c>
      <c r="R21" s="87" t="s">
        <v>19</v>
      </c>
      <c r="S21" s="72">
        <v>14</v>
      </c>
      <c r="T21" s="72">
        <v>0</v>
      </c>
      <c r="U21" s="115"/>
      <c r="V21" s="115"/>
      <c r="W21" s="115"/>
      <c r="X21" s="73" t="s">
        <v>31</v>
      </c>
      <c r="Y21" s="60"/>
    </row>
    <row r="22" spans="1:25" ht="15.75" x14ac:dyDescent="0.25">
      <c r="A22" s="74" t="s">
        <v>119</v>
      </c>
      <c r="B22" s="72"/>
      <c r="C22" s="72"/>
      <c r="D22" s="72"/>
      <c r="E22" s="87" t="s">
        <v>19</v>
      </c>
      <c r="F22" s="87" t="s">
        <v>19</v>
      </c>
      <c r="G22" s="87" t="s">
        <v>19</v>
      </c>
      <c r="H22" s="87" t="s">
        <v>19</v>
      </c>
      <c r="I22" s="87" t="s">
        <v>19</v>
      </c>
      <c r="J22" s="87" t="s">
        <v>19</v>
      </c>
      <c r="K22" s="87" t="s">
        <v>19</v>
      </c>
      <c r="L22" s="87" t="s">
        <v>19</v>
      </c>
      <c r="M22" s="87" t="s">
        <v>19</v>
      </c>
      <c r="N22" s="87" t="s">
        <v>19</v>
      </c>
      <c r="O22" s="87" t="s">
        <v>19</v>
      </c>
      <c r="P22" s="87" t="s">
        <v>19</v>
      </c>
      <c r="Q22" s="87" t="s">
        <v>19</v>
      </c>
      <c r="R22" s="87" t="s">
        <v>19</v>
      </c>
      <c r="S22" s="72">
        <v>2</v>
      </c>
      <c r="T22" s="72">
        <v>0</v>
      </c>
      <c r="U22" s="115"/>
      <c r="V22" s="115"/>
      <c r="W22" s="115"/>
      <c r="X22" s="75" t="s">
        <v>37</v>
      </c>
      <c r="Y22" s="60"/>
    </row>
    <row r="23" spans="1:25" ht="15.75" x14ac:dyDescent="0.25">
      <c r="A23" s="74" t="s">
        <v>120</v>
      </c>
      <c r="B23" s="72"/>
      <c r="C23" s="72"/>
      <c r="D23" s="72"/>
      <c r="E23" s="87" t="s">
        <v>19</v>
      </c>
      <c r="F23" s="87" t="s">
        <v>19</v>
      </c>
      <c r="G23" s="87" t="s">
        <v>19</v>
      </c>
      <c r="H23" s="87" t="s">
        <v>19</v>
      </c>
      <c r="I23" s="87" t="s">
        <v>19</v>
      </c>
      <c r="J23" s="87" t="s">
        <v>19</v>
      </c>
      <c r="K23" s="87" t="s">
        <v>19</v>
      </c>
      <c r="L23" s="87" t="s">
        <v>19</v>
      </c>
      <c r="M23" s="87" t="s">
        <v>19</v>
      </c>
      <c r="N23" s="87" t="s">
        <v>19</v>
      </c>
      <c r="O23" s="87" t="s">
        <v>19</v>
      </c>
      <c r="P23" s="87" t="s">
        <v>19</v>
      </c>
      <c r="Q23" s="87" t="s">
        <v>19</v>
      </c>
      <c r="R23" s="87" t="s">
        <v>19</v>
      </c>
      <c r="S23" s="72">
        <v>0</v>
      </c>
      <c r="T23" s="72">
        <v>0</v>
      </c>
      <c r="U23" s="115"/>
      <c r="V23" s="115"/>
      <c r="W23" s="115"/>
      <c r="X23" s="75" t="s">
        <v>35</v>
      </c>
      <c r="Y23" s="60"/>
    </row>
    <row r="24" spans="1:25" ht="18.75" x14ac:dyDescent="0.25">
      <c r="A24" s="77" t="s">
        <v>118</v>
      </c>
      <c r="B24" s="78"/>
      <c r="C24" s="78"/>
      <c r="D24" s="78"/>
      <c r="E24" s="104" t="s">
        <v>19</v>
      </c>
      <c r="F24" s="104" t="s">
        <v>19</v>
      </c>
      <c r="G24" s="104" t="s">
        <v>19</v>
      </c>
      <c r="H24" s="104" t="s">
        <v>19</v>
      </c>
      <c r="I24" s="104" t="s">
        <v>19</v>
      </c>
      <c r="J24" s="104" t="s">
        <v>19</v>
      </c>
      <c r="K24" s="104" t="s">
        <v>19</v>
      </c>
      <c r="L24" s="104" t="s">
        <v>19</v>
      </c>
      <c r="M24" s="104" t="s">
        <v>19</v>
      </c>
      <c r="N24" s="104" t="s">
        <v>19</v>
      </c>
      <c r="O24" s="104" t="s">
        <v>19</v>
      </c>
      <c r="P24" s="104" t="s">
        <v>19</v>
      </c>
      <c r="Q24" s="104" t="s">
        <v>19</v>
      </c>
      <c r="R24" s="104" t="s">
        <v>19</v>
      </c>
      <c r="S24" s="103">
        <v>6</v>
      </c>
      <c r="T24" s="78">
        <v>0</v>
      </c>
      <c r="U24" s="117"/>
      <c r="V24" s="117"/>
      <c r="W24" s="117"/>
      <c r="X24" s="79" t="s">
        <v>23</v>
      </c>
      <c r="Y24" s="60"/>
    </row>
    <row r="25" spans="1:25" ht="17.25" x14ac:dyDescent="0.25">
      <c r="A25" s="80" t="s">
        <v>128</v>
      </c>
      <c r="E25" s="81"/>
      <c r="X25" s="82" t="s">
        <v>126</v>
      </c>
    </row>
    <row r="26" spans="1:25" ht="18" x14ac:dyDescent="0.45">
      <c r="A26" s="85" t="s">
        <v>115</v>
      </c>
      <c r="E26" s="81"/>
      <c r="X26" s="84" t="s">
        <v>26</v>
      </c>
    </row>
    <row r="27" spans="1:25" x14ac:dyDescent="0.25">
      <c r="A27" s="83" t="s">
        <v>25</v>
      </c>
      <c r="E27" s="81"/>
    </row>
    <row r="28" spans="1:25" x14ac:dyDescent="0.25">
      <c r="E28" s="81"/>
    </row>
  </sheetData>
  <mergeCells count="2">
    <mergeCell ref="A1:X1"/>
    <mergeCell ref="A2:X2"/>
  </mergeCells>
  <pageMargins left="0.7" right="0.7" top="0.75" bottom="0.75" header="0.3" footer="0.3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N146"/>
  <sheetViews>
    <sheetView view="pageBreakPreview" topLeftCell="A13" zoomScale="60" zoomScaleNormal="100" workbookViewId="0">
      <selection activeCell="S45" sqref="S45"/>
    </sheetView>
  </sheetViews>
  <sheetFormatPr defaultColWidth="11.140625" defaultRowHeight="12.75" x14ac:dyDescent="0.2"/>
  <cols>
    <col min="1" max="1" width="19.42578125" style="3" customWidth="1"/>
    <col min="2" max="4" width="9.28515625" style="3" customWidth="1"/>
    <col min="5" max="5" width="8.7109375" style="3" customWidth="1"/>
    <col min="6" max="8" width="9.28515625" style="3" customWidth="1"/>
    <col min="9" max="9" width="8.7109375" style="3" customWidth="1"/>
    <col min="10" max="12" width="9.28515625" style="3" customWidth="1"/>
    <col min="13" max="13" width="8.5703125" style="3" customWidth="1"/>
    <col min="14" max="14" width="11.28515625" style="3" customWidth="1"/>
    <col min="15" max="249" width="11.140625" style="3"/>
    <col min="250" max="250" width="19.42578125" style="3" customWidth="1"/>
    <col min="251" max="251" width="8.7109375" style="3" customWidth="1"/>
    <col min="252" max="253" width="8" style="3" customWidth="1"/>
    <col min="254" max="254" width="2.42578125" style="3" customWidth="1"/>
    <col min="255" max="255" width="8" style="3" customWidth="1"/>
    <col min="256" max="256" width="8.5703125" style="3" customWidth="1"/>
    <col min="257" max="257" width="8" style="3" customWidth="1"/>
    <col min="258" max="258" width="2.42578125" style="3" customWidth="1"/>
    <col min="259" max="259" width="9" style="3" customWidth="1"/>
    <col min="260" max="261" width="8" style="3" customWidth="1"/>
    <col min="262" max="262" width="2.42578125" style="3" customWidth="1"/>
    <col min="263" max="263" width="9.28515625" style="3" customWidth="1"/>
    <col min="264" max="265" width="8" style="3" customWidth="1"/>
    <col min="266" max="266" width="1.28515625" style="3" customWidth="1"/>
    <col min="267" max="267" width="8" style="3" customWidth="1"/>
    <col min="268" max="505" width="11.140625" style="3"/>
    <col min="506" max="506" width="19.42578125" style="3" customWidth="1"/>
    <col min="507" max="507" width="8.7109375" style="3" customWidth="1"/>
    <col min="508" max="509" width="8" style="3" customWidth="1"/>
    <col min="510" max="510" width="2.42578125" style="3" customWidth="1"/>
    <col min="511" max="511" width="8" style="3" customWidth="1"/>
    <col min="512" max="512" width="8.5703125" style="3" customWidth="1"/>
    <col min="513" max="513" width="8" style="3" customWidth="1"/>
    <col min="514" max="514" width="2.42578125" style="3" customWidth="1"/>
    <col min="515" max="515" width="9" style="3" customWidth="1"/>
    <col min="516" max="517" width="8" style="3" customWidth="1"/>
    <col min="518" max="518" width="2.42578125" style="3" customWidth="1"/>
    <col min="519" max="519" width="9.28515625" style="3" customWidth="1"/>
    <col min="520" max="521" width="8" style="3" customWidth="1"/>
    <col min="522" max="522" width="1.28515625" style="3" customWidth="1"/>
    <col min="523" max="523" width="8" style="3" customWidth="1"/>
    <col min="524" max="761" width="11.140625" style="3"/>
    <col min="762" max="762" width="19.42578125" style="3" customWidth="1"/>
    <col min="763" max="763" width="8.7109375" style="3" customWidth="1"/>
    <col min="764" max="765" width="8" style="3" customWidth="1"/>
    <col min="766" max="766" width="2.42578125" style="3" customWidth="1"/>
    <col min="767" max="767" width="8" style="3" customWidth="1"/>
    <col min="768" max="768" width="8.5703125" style="3" customWidth="1"/>
    <col min="769" max="769" width="8" style="3" customWidth="1"/>
    <col min="770" max="770" width="2.42578125" style="3" customWidth="1"/>
    <col min="771" max="771" width="9" style="3" customWidth="1"/>
    <col min="772" max="773" width="8" style="3" customWidth="1"/>
    <col min="774" max="774" width="2.42578125" style="3" customWidth="1"/>
    <col min="775" max="775" width="9.28515625" style="3" customWidth="1"/>
    <col min="776" max="777" width="8" style="3" customWidth="1"/>
    <col min="778" max="778" width="1.28515625" style="3" customWidth="1"/>
    <col min="779" max="779" width="8" style="3" customWidth="1"/>
    <col min="780" max="1017" width="11.140625" style="3"/>
    <col min="1018" max="1018" width="19.42578125" style="3" customWidth="1"/>
    <col min="1019" max="1019" width="8.7109375" style="3" customWidth="1"/>
    <col min="1020" max="1021" width="8" style="3" customWidth="1"/>
    <col min="1022" max="1022" width="2.42578125" style="3" customWidth="1"/>
    <col min="1023" max="1023" width="8" style="3" customWidth="1"/>
    <col min="1024" max="1024" width="8.5703125" style="3" customWidth="1"/>
    <col min="1025" max="1025" width="8" style="3" customWidth="1"/>
    <col min="1026" max="1026" width="2.42578125" style="3" customWidth="1"/>
    <col min="1027" max="1027" width="9" style="3" customWidth="1"/>
    <col min="1028" max="1029" width="8" style="3" customWidth="1"/>
    <col min="1030" max="1030" width="2.42578125" style="3" customWidth="1"/>
    <col min="1031" max="1031" width="9.28515625" style="3" customWidth="1"/>
    <col min="1032" max="1033" width="8" style="3" customWidth="1"/>
    <col min="1034" max="1034" width="1.28515625" style="3" customWidth="1"/>
    <col min="1035" max="1035" width="8" style="3" customWidth="1"/>
    <col min="1036" max="1273" width="11.140625" style="3"/>
    <col min="1274" max="1274" width="19.42578125" style="3" customWidth="1"/>
    <col min="1275" max="1275" width="8.7109375" style="3" customWidth="1"/>
    <col min="1276" max="1277" width="8" style="3" customWidth="1"/>
    <col min="1278" max="1278" width="2.42578125" style="3" customWidth="1"/>
    <col min="1279" max="1279" width="8" style="3" customWidth="1"/>
    <col min="1280" max="1280" width="8.5703125" style="3" customWidth="1"/>
    <col min="1281" max="1281" width="8" style="3" customWidth="1"/>
    <col min="1282" max="1282" width="2.42578125" style="3" customWidth="1"/>
    <col min="1283" max="1283" width="9" style="3" customWidth="1"/>
    <col min="1284" max="1285" width="8" style="3" customWidth="1"/>
    <col min="1286" max="1286" width="2.42578125" style="3" customWidth="1"/>
    <col min="1287" max="1287" width="9.28515625" style="3" customWidth="1"/>
    <col min="1288" max="1289" width="8" style="3" customWidth="1"/>
    <col min="1290" max="1290" width="1.28515625" style="3" customWidth="1"/>
    <col min="1291" max="1291" width="8" style="3" customWidth="1"/>
    <col min="1292" max="1529" width="11.140625" style="3"/>
    <col min="1530" max="1530" width="19.42578125" style="3" customWidth="1"/>
    <col min="1531" max="1531" width="8.7109375" style="3" customWidth="1"/>
    <col min="1532" max="1533" width="8" style="3" customWidth="1"/>
    <col min="1534" max="1534" width="2.42578125" style="3" customWidth="1"/>
    <col min="1535" max="1535" width="8" style="3" customWidth="1"/>
    <col min="1536" max="1536" width="8.5703125" style="3" customWidth="1"/>
    <col min="1537" max="1537" width="8" style="3" customWidth="1"/>
    <col min="1538" max="1538" width="2.42578125" style="3" customWidth="1"/>
    <col min="1539" max="1539" width="9" style="3" customWidth="1"/>
    <col min="1540" max="1541" width="8" style="3" customWidth="1"/>
    <col min="1542" max="1542" width="2.42578125" style="3" customWidth="1"/>
    <col min="1543" max="1543" width="9.28515625" style="3" customWidth="1"/>
    <col min="1544" max="1545" width="8" style="3" customWidth="1"/>
    <col min="1546" max="1546" width="1.28515625" style="3" customWidth="1"/>
    <col min="1547" max="1547" width="8" style="3" customWidth="1"/>
    <col min="1548" max="1785" width="11.140625" style="3"/>
    <col min="1786" max="1786" width="19.42578125" style="3" customWidth="1"/>
    <col min="1787" max="1787" width="8.7109375" style="3" customWidth="1"/>
    <col min="1788" max="1789" width="8" style="3" customWidth="1"/>
    <col min="1790" max="1790" width="2.42578125" style="3" customWidth="1"/>
    <col min="1791" max="1791" width="8" style="3" customWidth="1"/>
    <col min="1792" max="1792" width="8.5703125" style="3" customWidth="1"/>
    <col min="1793" max="1793" width="8" style="3" customWidth="1"/>
    <col min="1794" max="1794" width="2.42578125" style="3" customWidth="1"/>
    <col min="1795" max="1795" width="9" style="3" customWidth="1"/>
    <col min="1796" max="1797" width="8" style="3" customWidth="1"/>
    <col min="1798" max="1798" width="2.42578125" style="3" customWidth="1"/>
    <col min="1799" max="1799" width="9.28515625" style="3" customWidth="1"/>
    <col min="1800" max="1801" width="8" style="3" customWidth="1"/>
    <col min="1802" max="1802" width="1.28515625" style="3" customWidth="1"/>
    <col min="1803" max="1803" width="8" style="3" customWidth="1"/>
    <col min="1804" max="2041" width="11.140625" style="3"/>
    <col min="2042" max="2042" width="19.42578125" style="3" customWidth="1"/>
    <col min="2043" max="2043" width="8.7109375" style="3" customWidth="1"/>
    <col min="2044" max="2045" width="8" style="3" customWidth="1"/>
    <col min="2046" max="2046" width="2.42578125" style="3" customWidth="1"/>
    <col min="2047" max="2047" width="8" style="3" customWidth="1"/>
    <col min="2048" max="2048" width="8.5703125" style="3" customWidth="1"/>
    <col min="2049" max="2049" width="8" style="3" customWidth="1"/>
    <col min="2050" max="2050" width="2.42578125" style="3" customWidth="1"/>
    <col min="2051" max="2051" width="9" style="3" customWidth="1"/>
    <col min="2052" max="2053" width="8" style="3" customWidth="1"/>
    <col min="2054" max="2054" width="2.42578125" style="3" customWidth="1"/>
    <col min="2055" max="2055" width="9.28515625" style="3" customWidth="1"/>
    <col min="2056" max="2057" width="8" style="3" customWidth="1"/>
    <col min="2058" max="2058" width="1.28515625" style="3" customWidth="1"/>
    <col min="2059" max="2059" width="8" style="3" customWidth="1"/>
    <col min="2060" max="2297" width="11.140625" style="3"/>
    <col min="2298" max="2298" width="19.42578125" style="3" customWidth="1"/>
    <col min="2299" max="2299" width="8.7109375" style="3" customWidth="1"/>
    <col min="2300" max="2301" width="8" style="3" customWidth="1"/>
    <col min="2302" max="2302" width="2.42578125" style="3" customWidth="1"/>
    <col min="2303" max="2303" width="8" style="3" customWidth="1"/>
    <col min="2304" max="2304" width="8.5703125" style="3" customWidth="1"/>
    <col min="2305" max="2305" width="8" style="3" customWidth="1"/>
    <col min="2306" max="2306" width="2.42578125" style="3" customWidth="1"/>
    <col min="2307" max="2307" width="9" style="3" customWidth="1"/>
    <col min="2308" max="2309" width="8" style="3" customWidth="1"/>
    <col min="2310" max="2310" width="2.42578125" style="3" customWidth="1"/>
    <col min="2311" max="2311" width="9.28515625" style="3" customWidth="1"/>
    <col min="2312" max="2313" width="8" style="3" customWidth="1"/>
    <col min="2314" max="2314" width="1.28515625" style="3" customWidth="1"/>
    <col min="2315" max="2315" width="8" style="3" customWidth="1"/>
    <col min="2316" max="2553" width="11.140625" style="3"/>
    <col min="2554" max="2554" width="19.42578125" style="3" customWidth="1"/>
    <col min="2555" max="2555" width="8.7109375" style="3" customWidth="1"/>
    <col min="2556" max="2557" width="8" style="3" customWidth="1"/>
    <col min="2558" max="2558" width="2.42578125" style="3" customWidth="1"/>
    <col min="2559" max="2559" width="8" style="3" customWidth="1"/>
    <col min="2560" max="2560" width="8.5703125" style="3" customWidth="1"/>
    <col min="2561" max="2561" width="8" style="3" customWidth="1"/>
    <col min="2562" max="2562" width="2.42578125" style="3" customWidth="1"/>
    <col min="2563" max="2563" width="9" style="3" customWidth="1"/>
    <col min="2564" max="2565" width="8" style="3" customWidth="1"/>
    <col min="2566" max="2566" width="2.42578125" style="3" customWidth="1"/>
    <col min="2567" max="2567" width="9.28515625" style="3" customWidth="1"/>
    <col min="2568" max="2569" width="8" style="3" customWidth="1"/>
    <col min="2570" max="2570" width="1.28515625" style="3" customWidth="1"/>
    <col min="2571" max="2571" width="8" style="3" customWidth="1"/>
    <col min="2572" max="2809" width="11.140625" style="3"/>
    <col min="2810" max="2810" width="19.42578125" style="3" customWidth="1"/>
    <col min="2811" max="2811" width="8.7109375" style="3" customWidth="1"/>
    <col min="2812" max="2813" width="8" style="3" customWidth="1"/>
    <col min="2814" max="2814" width="2.42578125" style="3" customWidth="1"/>
    <col min="2815" max="2815" width="8" style="3" customWidth="1"/>
    <col min="2816" max="2816" width="8.5703125" style="3" customWidth="1"/>
    <col min="2817" max="2817" width="8" style="3" customWidth="1"/>
    <col min="2818" max="2818" width="2.42578125" style="3" customWidth="1"/>
    <col min="2819" max="2819" width="9" style="3" customWidth="1"/>
    <col min="2820" max="2821" width="8" style="3" customWidth="1"/>
    <col min="2822" max="2822" width="2.42578125" style="3" customWidth="1"/>
    <col min="2823" max="2823" width="9.28515625" style="3" customWidth="1"/>
    <col min="2824" max="2825" width="8" style="3" customWidth="1"/>
    <col min="2826" max="2826" width="1.28515625" style="3" customWidth="1"/>
    <col min="2827" max="2827" width="8" style="3" customWidth="1"/>
    <col min="2828" max="3065" width="11.140625" style="3"/>
    <col min="3066" max="3066" width="19.42578125" style="3" customWidth="1"/>
    <col min="3067" max="3067" width="8.7109375" style="3" customWidth="1"/>
    <col min="3068" max="3069" width="8" style="3" customWidth="1"/>
    <col min="3070" max="3070" width="2.42578125" style="3" customWidth="1"/>
    <col min="3071" max="3071" width="8" style="3" customWidth="1"/>
    <col min="3072" max="3072" width="8.5703125" style="3" customWidth="1"/>
    <col min="3073" max="3073" width="8" style="3" customWidth="1"/>
    <col min="3074" max="3074" width="2.42578125" style="3" customWidth="1"/>
    <col min="3075" max="3075" width="9" style="3" customWidth="1"/>
    <col min="3076" max="3077" width="8" style="3" customWidth="1"/>
    <col min="3078" max="3078" width="2.42578125" style="3" customWidth="1"/>
    <col min="3079" max="3079" width="9.28515625" style="3" customWidth="1"/>
    <col min="3080" max="3081" width="8" style="3" customWidth="1"/>
    <col min="3082" max="3082" width="1.28515625" style="3" customWidth="1"/>
    <col min="3083" max="3083" width="8" style="3" customWidth="1"/>
    <col min="3084" max="3321" width="11.140625" style="3"/>
    <col min="3322" max="3322" width="19.42578125" style="3" customWidth="1"/>
    <col min="3323" max="3323" width="8.7109375" style="3" customWidth="1"/>
    <col min="3324" max="3325" width="8" style="3" customWidth="1"/>
    <col min="3326" max="3326" width="2.42578125" style="3" customWidth="1"/>
    <col min="3327" max="3327" width="8" style="3" customWidth="1"/>
    <col min="3328" max="3328" width="8.5703125" style="3" customWidth="1"/>
    <col min="3329" max="3329" width="8" style="3" customWidth="1"/>
    <col min="3330" max="3330" width="2.42578125" style="3" customWidth="1"/>
    <col min="3331" max="3331" width="9" style="3" customWidth="1"/>
    <col min="3332" max="3333" width="8" style="3" customWidth="1"/>
    <col min="3334" max="3334" width="2.42578125" style="3" customWidth="1"/>
    <col min="3335" max="3335" width="9.28515625" style="3" customWidth="1"/>
    <col min="3336" max="3337" width="8" style="3" customWidth="1"/>
    <col min="3338" max="3338" width="1.28515625" style="3" customWidth="1"/>
    <col min="3339" max="3339" width="8" style="3" customWidth="1"/>
    <col min="3340" max="3577" width="11.140625" style="3"/>
    <col min="3578" max="3578" width="19.42578125" style="3" customWidth="1"/>
    <col min="3579" max="3579" width="8.7109375" style="3" customWidth="1"/>
    <col min="3580" max="3581" width="8" style="3" customWidth="1"/>
    <col min="3582" max="3582" width="2.42578125" style="3" customWidth="1"/>
    <col min="3583" max="3583" width="8" style="3" customWidth="1"/>
    <col min="3584" max="3584" width="8.5703125" style="3" customWidth="1"/>
    <col min="3585" max="3585" width="8" style="3" customWidth="1"/>
    <col min="3586" max="3586" width="2.42578125" style="3" customWidth="1"/>
    <col min="3587" max="3587" width="9" style="3" customWidth="1"/>
    <col min="3588" max="3589" width="8" style="3" customWidth="1"/>
    <col min="3590" max="3590" width="2.42578125" style="3" customWidth="1"/>
    <col min="3591" max="3591" width="9.28515625" style="3" customWidth="1"/>
    <col min="3592" max="3593" width="8" style="3" customWidth="1"/>
    <col min="3594" max="3594" width="1.28515625" style="3" customWidth="1"/>
    <col min="3595" max="3595" width="8" style="3" customWidth="1"/>
    <col min="3596" max="3833" width="11.140625" style="3"/>
    <col min="3834" max="3834" width="19.42578125" style="3" customWidth="1"/>
    <col min="3835" max="3835" width="8.7109375" style="3" customWidth="1"/>
    <col min="3836" max="3837" width="8" style="3" customWidth="1"/>
    <col min="3838" max="3838" width="2.42578125" style="3" customWidth="1"/>
    <col min="3839" max="3839" width="8" style="3" customWidth="1"/>
    <col min="3840" max="3840" width="8.5703125" style="3" customWidth="1"/>
    <col min="3841" max="3841" width="8" style="3" customWidth="1"/>
    <col min="3842" max="3842" width="2.42578125" style="3" customWidth="1"/>
    <col min="3843" max="3843" width="9" style="3" customWidth="1"/>
    <col min="3844" max="3845" width="8" style="3" customWidth="1"/>
    <col min="3846" max="3846" width="2.42578125" style="3" customWidth="1"/>
    <col min="3847" max="3847" width="9.28515625" style="3" customWidth="1"/>
    <col min="3848" max="3849" width="8" style="3" customWidth="1"/>
    <col min="3850" max="3850" width="1.28515625" style="3" customWidth="1"/>
    <col min="3851" max="3851" width="8" style="3" customWidth="1"/>
    <col min="3852" max="4089" width="11.140625" style="3"/>
    <col min="4090" max="4090" width="19.42578125" style="3" customWidth="1"/>
    <col min="4091" max="4091" width="8.7109375" style="3" customWidth="1"/>
    <col min="4092" max="4093" width="8" style="3" customWidth="1"/>
    <col min="4094" max="4094" width="2.42578125" style="3" customWidth="1"/>
    <col min="4095" max="4095" width="8" style="3" customWidth="1"/>
    <col min="4096" max="4096" width="8.5703125" style="3" customWidth="1"/>
    <col min="4097" max="4097" width="8" style="3" customWidth="1"/>
    <col min="4098" max="4098" width="2.42578125" style="3" customWidth="1"/>
    <col min="4099" max="4099" width="9" style="3" customWidth="1"/>
    <col min="4100" max="4101" width="8" style="3" customWidth="1"/>
    <col min="4102" max="4102" width="2.42578125" style="3" customWidth="1"/>
    <col min="4103" max="4103" width="9.28515625" style="3" customWidth="1"/>
    <col min="4104" max="4105" width="8" style="3" customWidth="1"/>
    <col min="4106" max="4106" width="1.28515625" style="3" customWidth="1"/>
    <col min="4107" max="4107" width="8" style="3" customWidth="1"/>
    <col min="4108" max="4345" width="11.140625" style="3"/>
    <col min="4346" max="4346" width="19.42578125" style="3" customWidth="1"/>
    <col min="4347" max="4347" width="8.7109375" style="3" customWidth="1"/>
    <col min="4348" max="4349" width="8" style="3" customWidth="1"/>
    <col min="4350" max="4350" width="2.42578125" style="3" customWidth="1"/>
    <col min="4351" max="4351" width="8" style="3" customWidth="1"/>
    <col min="4352" max="4352" width="8.5703125" style="3" customWidth="1"/>
    <col min="4353" max="4353" width="8" style="3" customWidth="1"/>
    <col min="4354" max="4354" width="2.42578125" style="3" customWidth="1"/>
    <col min="4355" max="4355" width="9" style="3" customWidth="1"/>
    <col min="4356" max="4357" width="8" style="3" customWidth="1"/>
    <col min="4358" max="4358" width="2.42578125" style="3" customWidth="1"/>
    <col min="4359" max="4359" width="9.28515625" style="3" customWidth="1"/>
    <col min="4360" max="4361" width="8" style="3" customWidth="1"/>
    <col min="4362" max="4362" width="1.28515625" style="3" customWidth="1"/>
    <col min="4363" max="4363" width="8" style="3" customWidth="1"/>
    <col min="4364" max="4601" width="11.140625" style="3"/>
    <col min="4602" max="4602" width="19.42578125" style="3" customWidth="1"/>
    <col min="4603" max="4603" width="8.7109375" style="3" customWidth="1"/>
    <col min="4604" max="4605" width="8" style="3" customWidth="1"/>
    <col min="4606" max="4606" width="2.42578125" style="3" customWidth="1"/>
    <col min="4607" max="4607" width="8" style="3" customWidth="1"/>
    <col min="4608" max="4608" width="8.5703125" style="3" customWidth="1"/>
    <col min="4609" max="4609" width="8" style="3" customWidth="1"/>
    <col min="4610" max="4610" width="2.42578125" style="3" customWidth="1"/>
    <col min="4611" max="4611" width="9" style="3" customWidth="1"/>
    <col min="4612" max="4613" width="8" style="3" customWidth="1"/>
    <col min="4614" max="4614" width="2.42578125" style="3" customWidth="1"/>
    <col min="4615" max="4615" width="9.28515625" style="3" customWidth="1"/>
    <col min="4616" max="4617" width="8" style="3" customWidth="1"/>
    <col min="4618" max="4618" width="1.28515625" style="3" customWidth="1"/>
    <col min="4619" max="4619" width="8" style="3" customWidth="1"/>
    <col min="4620" max="4857" width="11.140625" style="3"/>
    <col min="4858" max="4858" width="19.42578125" style="3" customWidth="1"/>
    <col min="4859" max="4859" width="8.7109375" style="3" customWidth="1"/>
    <col min="4860" max="4861" width="8" style="3" customWidth="1"/>
    <col min="4862" max="4862" width="2.42578125" style="3" customWidth="1"/>
    <col min="4863" max="4863" width="8" style="3" customWidth="1"/>
    <col min="4864" max="4864" width="8.5703125" style="3" customWidth="1"/>
    <col min="4865" max="4865" width="8" style="3" customWidth="1"/>
    <col min="4866" max="4866" width="2.42578125" style="3" customWidth="1"/>
    <col min="4867" max="4867" width="9" style="3" customWidth="1"/>
    <col min="4868" max="4869" width="8" style="3" customWidth="1"/>
    <col min="4870" max="4870" width="2.42578125" style="3" customWidth="1"/>
    <col min="4871" max="4871" width="9.28515625" style="3" customWidth="1"/>
    <col min="4872" max="4873" width="8" style="3" customWidth="1"/>
    <col min="4874" max="4874" width="1.28515625" style="3" customWidth="1"/>
    <col min="4875" max="4875" width="8" style="3" customWidth="1"/>
    <col min="4876" max="5113" width="11.140625" style="3"/>
    <col min="5114" max="5114" width="19.42578125" style="3" customWidth="1"/>
    <col min="5115" max="5115" width="8.7109375" style="3" customWidth="1"/>
    <col min="5116" max="5117" width="8" style="3" customWidth="1"/>
    <col min="5118" max="5118" width="2.42578125" style="3" customWidth="1"/>
    <col min="5119" max="5119" width="8" style="3" customWidth="1"/>
    <col min="5120" max="5120" width="8.5703125" style="3" customWidth="1"/>
    <col min="5121" max="5121" width="8" style="3" customWidth="1"/>
    <col min="5122" max="5122" width="2.42578125" style="3" customWidth="1"/>
    <col min="5123" max="5123" width="9" style="3" customWidth="1"/>
    <col min="5124" max="5125" width="8" style="3" customWidth="1"/>
    <col min="5126" max="5126" width="2.42578125" style="3" customWidth="1"/>
    <col min="5127" max="5127" width="9.28515625" style="3" customWidth="1"/>
    <col min="5128" max="5129" width="8" style="3" customWidth="1"/>
    <col min="5130" max="5130" width="1.28515625" style="3" customWidth="1"/>
    <col min="5131" max="5131" width="8" style="3" customWidth="1"/>
    <col min="5132" max="5369" width="11.140625" style="3"/>
    <col min="5370" max="5370" width="19.42578125" style="3" customWidth="1"/>
    <col min="5371" max="5371" width="8.7109375" style="3" customWidth="1"/>
    <col min="5372" max="5373" width="8" style="3" customWidth="1"/>
    <col min="5374" max="5374" width="2.42578125" style="3" customWidth="1"/>
    <col min="5375" max="5375" width="8" style="3" customWidth="1"/>
    <col min="5376" max="5376" width="8.5703125" style="3" customWidth="1"/>
    <col min="5377" max="5377" width="8" style="3" customWidth="1"/>
    <col min="5378" max="5378" width="2.42578125" style="3" customWidth="1"/>
    <col min="5379" max="5379" width="9" style="3" customWidth="1"/>
    <col min="5380" max="5381" width="8" style="3" customWidth="1"/>
    <col min="5382" max="5382" width="2.42578125" style="3" customWidth="1"/>
    <col min="5383" max="5383" width="9.28515625" style="3" customWidth="1"/>
    <col min="5384" max="5385" width="8" style="3" customWidth="1"/>
    <col min="5386" max="5386" width="1.28515625" style="3" customWidth="1"/>
    <col min="5387" max="5387" width="8" style="3" customWidth="1"/>
    <col min="5388" max="5625" width="11.140625" style="3"/>
    <col min="5626" max="5626" width="19.42578125" style="3" customWidth="1"/>
    <col min="5627" max="5627" width="8.7109375" style="3" customWidth="1"/>
    <col min="5628" max="5629" width="8" style="3" customWidth="1"/>
    <col min="5630" max="5630" width="2.42578125" style="3" customWidth="1"/>
    <col min="5631" max="5631" width="8" style="3" customWidth="1"/>
    <col min="5632" max="5632" width="8.5703125" style="3" customWidth="1"/>
    <col min="5633" max="5633" width="8" style="3" customWidth="1"/>
    <col min="5634" max="5634" width="2.42578125" style="3" customWidth="1"/>
    <col min="5635" max="5635" width="9" style="3" customWidth="1"/>
    <col min="5636" max="5637" width="8" style="3" customWidth="1"/>
    <col min="5638" max="5638" width="2.42578125" style="3" customWidth="1"/>
    <col min="5639" max="5639" width="9.28515625" style="3" customWidth="1"/>
    <col min="5640" max="5641" width="8" style="3" customWidth="1"/>
    <col min="5642" max="5642" width="1.28515625" style="3" customWidth="1"/>
    <col min="5643" max="5643" width="8" style="3" customWidth="1"/>
    <col min="5644" max="5881" width="11.140625" style="3"/>
    <col min="5882" max="5882" width="19.42578125" style="3" customWidth="1"/>
    <col min="5883" max="5883" width="8.7109375" style="3" customWidth="1"/>
    <col min="5884" max="5885" width="8" style="3" customWidth="1"/>
    <col min="5886" max="5886" width="2.42578125" style="3" customWidth="1"/>
    <col min="5887" max="5887" width="8" style="3" customWidth="1"/>
    <col min="5888" max="5888" width="8.5703125" style="3" customWidth="1"/>
    <col min="5889" max="5889" width="8" style="3" customWidth="1"/>
    <col min="5890" max="5890" width="2.42578125" style="3" customWidth="1"/>
    <col min="5891" max="5891" width="9" style="3" customWidth="1"/>
    <col min="5892" max="5893" width="8" style="3" customWidth="1"/>
    <col min="5894" max="5894" width="2.42578125" style="3" customWidth="1"/>
    <col min="5895" max="5895" width="9.28515625" style="3" customWidth="1"/>
    <col min="5896" max="5897" width="8" style="3" customWidth="1"/>
    <col min="5898" max="5898" width="1.28515625" style="3" customWidth="1"/>
    <col min="5899" max="5899" width="8" style="3" customWidth="1"/>
    <col min="5900" max="6137" width="11.140625" style="3"/>
    <col min="6138" max="6138" width="19.42578125" style="3" customWidth="1"/>
    <col min="6139" max="6139" width="8.7109375" style="3" customWidth="1"/>
    <col min="6140" max="6141" width="8" style="3" customWidth="1"/>
    <col min="6142" max="6142" width="2.42578125" style="3" customWidth="1"/>
    <col min="6143" max="6143" width="8" style="3" customWidth="1"/>
    <col min="6144" max="6144" width="8.5703125" style="3" customWidth="1"/>
    <col min="6145" max="6145" width="8" style="3" customWidth="1"/>
    <col min="6146" max="6146" width="2.42578125" style="3" customWidth="1"/>
    <col min="6147" max="6147" width="9" style="3" customWidth="1"/>
    <col min="6148" max="6149" width="8" style="3" customWidth="1"/>
    <col min="6150" max="6150" width="2.42578125" style="3" customWidth="1"/>
    <col min="6151" max="6151" width="9.28515625" style="3" customWidth="1"/>
    <col min="6152" max="6153" width="8" style="3" customWidth="1"/>
    <col min="6154" max="6154" width="1.28515625" style="3" customWidth="1"/>
    <col min="6155" max="6155" width="8" style="3" customWidth="1"/>
    <col min="6156" max="6393" width="11.140625" style="3"/>
    <col min="6394" max="6394" width="19.42578125" style="3" customWidth="1"/>
    <col min="6395" max="6395" width="8.7109375" style="3" customWidth="1"/>
    <col min="6396" max="6397" width="8" style="3" customWidth="1"/>
    <col min="6398" max="6398" width="2.42578125" style="3" customWidth="1"/>
    <col min="6399" max="6399" width="8" style="3" customWidth="1"/>
    <col min="6400" max="6400" width="8.5703125" style="3" customWidth="1"/>
    <col min="6401" max="6401" width="8" style="3" customWidth="1"/>
    <col min="6402" max="6402" width="2.42578125" style="3" customWidth="1"/>
    <col min="6403" max="6403" width="9" style="3" customWidth="1"/>
    <col min="6404" max="6405" width="8" style="3" customWidth="1"/>
    <col min="6406" max="6406" width="2.42578125" style="3" customWidth="1"/>
    <col min="6407" max="6407" width="9.28515625" style="3" customWidth="1"/>
    <col min="6408" max="6409" width="8" style="3" customWidth="1"/>
    <col min="6410" max="6410" width="1.28515625" style="3" customWidth="1"/>
    <col min="6411" max="6411" width="8" style="3" customWidth="1"/>
    <col min="6412" max="6649" width="11.140625" style="3"/>
    <col min="6650" max="6650" width="19.42578125" style="3" customWidth="1"/>
    <col min="6651" max="6651" width="8.7109375" style="3" customWidth="1"/>
    <col min="6652" max="6653" width="8" style="3" customWidth="1"/>
    <col min="6654" max="6654" width="2.42578125" style="3" customWidth="1"/>
    <col min="6655" max="6655" width="8" style="3" customWidth="1"/>
    <col min="6656" max="6656" width="8.5703125" style="3" customWidth="1"/>
    <col min="6657" max="6657" width="8" style="3" customWidth="1"/>
    <col min="6658" max="6658" width="2.42578125" style="3" customWidth="1"/>
    <col min="6659" max="6659" width="9" style="3" customWidth="1"/>
    <col min="6660" max="6661" width="8" style="3" customWidth="1"/>
    <col min="6662" max="6662" width="2.42578125" style="3" customWidth="1"/>
    <col min="6663" max="6663" width="9.28515625" style="3" customWidth="1"/>
    <col min="6664" max="6665" width="8" style="3" customWidth="1"/>
    <col min="6666" max="6666" width="1.28515625" style="3" customWidth="1"/>
    <col min="6667" max="6667" width="8" style="3" customWidth="1"/>
    <col min="6668" max="6905" width="11.140625" style="3"/>
    <col min="6906" max="6906" width="19.42578125" style="3" customWidth="1"/>
    <col min="6907" max="6907" width="8.7109375" style="3" customWidth="1"/>
    <col min="6908" max="6909" width="8" style="3" customWidth="1"/>
    <col min="6910" max="6910" width="2.42578125" style="3" customWidth="1"/>
    <col min="6911" max="6911" width="8" style="3" customWidth="1"/>
    <col min="6912" max="6912" width="8.5703125" style="3" customWidth="1"/>
    <col min="6913" max="6913" width="8" style="3" customWidth="1"/>
    <col min="6914" max="6914" width="2.42578125" style="3" customWidth="1"/>
    <col min="6915" max="6915" width="9" style="3" customWidth="1"/>
    <col min="6916" max="6917" width="8" style="3" customWidth="1"/>
    <col min="6918" max="6918" width="2.42578125" style="3" customWidth="1"/>
    <col min="6919" max="6919" width="9.28515625" style="3" customWidth="1"/>
    <col min="6920" max="6921" width="8" style="3" customWidth="1"/>
    <col min="6922" max="6922" width="1.28515625" style="3" customWidth="1"/>
    <col min="6923" max="6923" width="8" style="3" customWidth="1"/>
    <col min="6924" max="7161" width="11.140625" style="3"/>
    <col min="7162" max="7162" width="19.42578125" style="3" customWidth="1"/>
    <col min="7163" max="7163" width="8.7109375" style="3" customWidth="1"/>
    <col min="7164" max="7165" width="8" style="3" customWidth="1"/>
    <col min="7166" max="7166" width="2.42578125" style="3" customWidth="1"/>
    <col min="7167" max="7167" width="8" style="3" customWidth="1"/>
    <col min="7168" max="7168" width="8.5703125" style="3" customWidth="1"/>
    <col min="7169" max="7169" width="8" style="3" customWidth="1"/>
    <col min="7170" max="7170" width="2.42578125" style="3" customWidth="1"/>
    <col min="7171" max="7171" width="9" style="3" customWidth="1"/>
    <col min="7172" max="7173" width="8" style="3" customWidth="1"/>
    <col min="7174" max="7174" width="2.42578125" style="3" customWidth="1"/>
    <col min="7175" max="7175" width="9.28515625" style="3" customWidth="1"/>
    <col min="7176" max="7177" width="8" style="3" customWidth="1"/>
    <col min="7178" max="7178" width="1.28515625" style="3" customWidth="1"/>
    <col min="7179" max="7179" width="8" style="3" customWidth="1"/>
    <col min="7180" max="7417" width="11.140625" style="3"/>
    <col min="7418" max="7418" width="19.42578125" style="3" customWidth="1"/>
    <col min="7419" max="7419" width="8.7109375" style="3" customWidth="1"/>
    <col min="7420" max="7421" width="8" style="3" customWidth="1"/>
    <col min="7422" max="7422" width="2.42578125" style="3" customWidth="1"/>
    <col min="7423" max="7423" width="8" style="3" customWidth="1"/>
    <col min="7424" max="7424" width="8.5703125" style="3" customWidth="1"/>
    <col min="7425" max="7425" width="8" style="3" customWidth="1"/>
    <col min="7426" max="7426" width="2.42578125" style="3" customWidth="1"/>
    <col min="7427" max="7427" width="9" style="3" customWidth="1"/>
    <col min="7428" max="7429" width="8" style="3" customWidth="1"/>
    <col min="7430" max="7430" width="2.42578125" style="3" customWidth="1"/>
    <col min="7431" max="7431" width="9.28515625" style="3" customWidth="1"/>
    <col min="7432" max="7433" width="8" style="3" customWidth="1"/>
    <col min="7434" max="7434" width="1.28515625" style="3" customWidth="1"/>
    <col min="7435" max="7435" width="8" style="3" customWidth="1"/>
    <col min="7436" max="7673" width="11.140625" style="3"/>
    <col min="7674" max="7674" width="19.42578125" style="3" customWidth="1"/>
    <col min="7675" max="7675" width="8.7109375" style="3" customWidth="1"/>
    <col min="7676" max="7677" width="8" style="3" customWidth="1"/>
    <col min="7678" max="7678" width="2.42578125" style="3" customWidth="1"/>
    <col min="7679" max="7679" width="8" style="3" customWidth="1"/>
    <col min="7680" max="7680" width="8.5703125" style="3" customWidth="1"/>
    <col min="7681" max="7681" width="8" style="3" customWidth="1"/>
    <col min="7682" max="7682" width="2.42578125" style="3" customWidth="1"/>
    <col min="7683" max="7683" width="9" style="3" customWidth="1"/>
    <col min="7684" max="7685" width="8" style="3" customWidth="1"/>
    <col min="7686" max="7686" width="2.42578125" style="3" customWidth="1"/>
    <col min="7687" max="7687" width="9.28515625" style="3" customWidth="1"/>
    <col min="7688" max="7689" width="8" style="3" customWidth="1"/>
    <col min="7690" max="7690" width="1.28515625" style="3" customWidth="1"/>
    <col min="7691" max="7691" width="8" style="3" customWidth="1"/>
    <col min="7692" max="7929" width="11.140625" style="3"/>
    <col min="7930" max="7930" width="19.42578125" style="3" customWidth="1"/>
    <col min="7931" max="7931" width="8.7109375" style="3" customWidth="1"/>
    <col min="7932" max="7933" width="8" style="3" customWidth="1"/>
    <col min="7934" max="7934" width="2.42578125" style="3" customWidth="1"/>
    <col min="7935" max="7935" width="8" style="3" customWidth="1"/>
    <col min="7936" max="7936" width="8.5703125" style="3" customWidth="1"/>
    <col min="7937" max="7937" width="8" style="3" customWidth="1"/>
    <col min="7938" max="7938" width="2.42578125" style="3" customWidth="1"/>
    <col min="7939" max="7939" width="9" style="3" customWidth="1"/>
    <col min="7940" max="7941" width="8" style="3" customWidth="1"/>
    <col min="7942" max="7942" width="2.42578125" style="3" customWidth="1"/>
    <col min="7943" max="7943" width="9.28515625" style="3" customWidth="1"/>
    <col min="7944" max="7945" width="8" style="3" customWidth="1"/>
    <col min="7946" max="7946" width="1.28515625" style="3" customWidth="1"/>
    <col min="7947" max="7947" width="8" style="3" customWidth="1"/>
    <col min="7948" max="8185" width="11.140625" style="3"/>
    <col min="8186" max="8186" width="19.42578125" style="3" customWidth="1"/>
    <col min="8187" max="8187" width="8.7109375" style="3" customWidth="1"/>
    <col min="8188" max="8189" width="8" style="3" customWidth="1"/>
    <col min="8190" max="8190" width="2.42578125" style="3" customWidth="1"/>
    <col min="8191" max="8191" width="8" style="3" customWidth="1"/>
    <col min="8192" max="8192" width="8.5703125" style="3" customWidth="1"/>
    <col min="8193" max="8193" width="8" style="3" customWidth="1"/>
    <col min="8194" max="8194" width="2.42578125" style="3" customWidth="1"/>
    <col min="8195" max="8195" width="9" style="3" customWidth="1"/>
    <col min="8196" max="8197" width="8" style="3" customWidth="1"/>
    <col min="8198" max="8198" width="2.42578125" style="3" customWidth="1"/>
    <col min="8199" max="8199" width="9.28515625" style="3" customWidth="1"/>
    <col min="8200" max="8201" width="8" style="3" customWidth="1"/>
    <col min="8202" max="8202" width="1.28515625" style="3" customWidth="1"/>
    <col min="8203" max="8203" width="8" style="3" customWidth="1"/>
    <col min="8204" max="8441" width="11.140625" style="3"/>
    <col min="8442" max="8442" width="19.42578125" style="3" customWidth="1"/>
    <col min="8443" max="8443" width="8.7109375" style="3" customWidth="1"/>
    <col min="8444" max="8445" width="8" style="3" customWidth="1"/>
    <col min="8446" max="8446" width="2.42578125" style="3" customWidth="1"/>
    <col min="8447" max="8447" width="8" style="3" customWidth="1"/>
    <col min="8448" max="8448" width="8.5703125" style="3" customWidth="1"/>
    <col min="8449" max="8449" width="8" style="3" customWidth="1"/>
    <col min="8450" max="8450" width="2.42578125" style="3" customWidth="1"/>
    <col min="8451" max="8451" width="9" style="3" customWidth="1"/>
    <col min="8452" max="8453" width="8" style="3" customWidth="1"/>
    <col min="8454" max="8454" width="2.42578125" style="3" customWidth="1"/>
    <col min="8455" max="8455" width="9.28515625" style="3" customWidth="1"/>
    <col min="8456" max="8457" width="8" style="3" customWidth="1"/>
    <col min="8458" max="8458" width="1.28515625" style="3" customWidth="1"/>
    <col min="8459" max="8459" width="8" style="3" customWidth="1"/>
    <col min="8460" max="8697" width="11.140625" style="3"/>
    <col min="8698" max="8698" width="19.42578125" style="3" customWidth="1"/>
    <col min="8699" max="8699" width="8.7109375" style="3" customWidth="1"/>
    <col min="8700" max="8701" width="8" style="3" customWidth="1"/>
    <col min="8702" max="8702" width="2.42578125" style="3" customWidth="1"/>
    <col min="8703" max="8703" width="8" style="3" customWidth="1"/>
    <col min="8704" max="8704" width="8.5703125" style="3" customWidth="1"/>
    <col min="8705" max="8705" width="8" style="3" customWidth="1"/>
    <col min="8706" max="8706" width="2.42578125" style="3" customWidth="1"/>
    <col min="8707" max="8707" width="9" style="3" customWidth="1"/>
    <col min="8708" max="8709" width="8" style="3" customWidth="1"/>
    <col min="8710" max="8710" width="2.42578125" style="3" customWidth="1"/>
    <col min="8711" max="8711" width="9.28515625" style="3" customWidth="1"/>
    <col min="8712" max="8713" width="8" style="3" customWidth="1"/>
    <col min="8714" max="8714" width="1.28515625" style="3" customWidth="1"/>
    <col min="8715" max="8715" width="8" style="3" customWidth="1"/>
    <col min="8716" max="8953" width="11.140625" style="3"/>
    <col min="8954" max="8954" width="19.42578125" style="3" customWidth="1"/>
    <col min="8955" max="8955" width="8.7109375" style="3" customWidth="1"/>
    <col min="8956" max="8957" width="8" style="3" customWidth="1"/>
    <col min="8958" max="8958" width="2.42578125" style="3" customWidth="1"/>
    <col min="8959" max="8959" width="8" style="3" customWidth="1"/>
    <col min="8960" max="8960" width="8.5703125" style="3" customWidth="1"/>
    <col min="8961" max="8961" width="8" style="3" customWidth="1"/>
    <col min="8962" max="8962" width="2.42578125" style="3" customWidth="1"/>
    <col min="8963" max="8963" width="9" style="3" customWidth="1"/>
    <col min="8964" max="8965" width="8" style="3" customWidth="1"/>
    <col min="8966" max="8966" width="2.42578125" style="3" customWidth="1"/>
    <col min="8967" max="8967" width="9.28515625" style="3" customWidth="1"/>
    <col min="8968" max="8969" width="8" style="3" customWidth="1"/>
    <col min="8970" max="8970" width="1.28515625" style="3" customWidth="1"/>
    <col min="8971" max="8971" width="8" style="3" customWidth="1"/>
    <col min="8972" max="9209" width="11.140625" style="3"/>
    <col min="9210" max="9210" width="19.42578125" style="3" customWidth="1"/>
    <col min="9211" max="9211" width="8.7109375" style="3" customWidth="1"/>
    <col min="9212" max="9213" width="8" style="3" customWidth="1"/>
    <col min="9214" max="9214" width="2.42578125" style="3" customWidth="1"/>
    <col min="9215" max="9215" width="8" style="3" customWidth="1"/>
    <col min="9216" max="9216" width="8.5703125" style="3" customWidth="1"/>
    <col min="9217" max="9217" width="8" style="3" customWidth="1"/>
    <col min="9218" max="9218" width="2.42578125" style="3" customWidth="1"/>
    <col min="9219" max="9219" width="9" style="3" customWidth="1"/>
    <col min="9220" max="9221" width="8" style="3" customWidth="1"/>
    <col min="9222" max="9222" width="2.42578125" style="3" customWidth="1"/>
    <col min="9223" max="9223" width="9.28515625" style="3" customWidth="1"/>
    <col min="9224" max="9225" width="8" style="3" customWidth="1"/>
    <col min="9226" max="9226" width="1.28515625" style="3" customWidth="1"/>
    <col min="9227" max="9227" width="8" style="3" customWidth="1"/>
    <col min="9228" max="9465" width="11.140625" style="3"/>
    <col min="9466" max="9466" width="19.42578125" style="3" customWidth="1"/>
    <col min="9467" max="9467" width="8.7109375" style="3" customWidth="1"/>
    <col min="9468" max="9469" width="8" style="3" customWidth="1"/>
    <col min="9470" max="9470" width="2.42578125" style="3" customWidth="1"/>
    <col min="9471" max="9471" width="8" style="3" customWidth="1"/>
    <col min="9472" max="9472" width="8.5703125" style="3" customWidth="1"/>
    <col min="9473" max="9473" width="8" style="3" customWidth="1"/>
    <col min="9474" max="9474" width="2.42578125" style="3" customWidth="1"/>
    <col min="9475" max="9475" width="9" style="3" customWidth="1"/>
    <col min="9476" max="9477" width="8" style="3" customWidth="1"/>
    <col min="9478" max="9478" width="2.42578125" style="3" customWidth="1"/>
    <col min="9479" max="9479" width="9.28515625" style="3" customWidth="1"/>
    <col min="9480" max="9481" width="8" style="3" customWidth="1"/>
    <col min="9482" max="9482" width="1.28515625" style="3" customWidth="1"/>
    <col min="9483" max="9483" width="8" style="3" customWidth="1"/>
    <col min="9484" max="9721" width="11.140625" style="3"/>
    <col min="9722" max="9722" width="19.42578125" style="3" customWidth="1"/>
    <col min="9723" max="9723" width="8.7109375" style="3" customWidth="1"/>
    <col min="9724" max="9725" width="8" style="3" customWidth="1"/>
    <col min="9726" max="9726" width="2.42578125" style="3" customWidth="1"/>
    <col min="9727" max="9727" width="8" style="3" customWidth="1"/>
    <col min="9728" max="9728" width="8.5703125" style="3" customWidth="1"/>
    <col min="9729" max="9729" width="8" style="3" customWidth="1"/>
    <col min="9730" max="9730" width="2.42578125" style="3" customWidth="1"/>
    <col min="9731" max="9731" width="9" style="3" customWidth="1"/>
    <col min="9732" max="9733" width="8" style="3" customWidth="1"/>
    <col min="9734" max="9734" width="2.42578125" style="3" customWidth="1"/>
    <col min="9735" max="9735" width="9.28515625" style="3" customWidth="1"/>
    <col min="9736" max="9737" width="8" style="3" customWidth="1"/>
    <col min="9738" max="9738" width="1.28515625" style="3" customWidth="1"/>
    <col min="9739" max="9739" width="8" style="3" customWidth="1"/>
    <col min="9740" max="9977" width="11.140625" style="3"/>
    <col min="9978" max="9978" width="19.42578125" style="3" customWidth="1"/>
    <col min="9979" max="9979" width="8.7109375" style="3" customWidth="1"/>
    <col min="9980" max="9981" width="8" style="3" customWidth="1"/>
    <col min="9982" max="9982" width="2.42578125" style="3" customWidth="1"/>
    <col min="9983" max="9983" width="8" style="3" customWidth="1"/>
    <col min="9984" max="9984" width="8.5703125" style="3" customWidth="1"/>
    <col min="9985" max="9985" width="8" style="3" customWidth="1"/>
    <col min="9986" max="9986" width="2.42578125" style="3" customWidth="1"/>
    <col min="9987" max="9987" width="9" style="3" customWidth="1"/>
    <col min="9988" max="9989" width="8" style="3" customWidth="1"/>
    <col min="9990" max="9990" width="2.42578125" style="3" customWidth="1"/>
    <col min="9991" max="9991" width="9.28515625" style="3" customWidth="1"/>
    <col min="9992" max="9993" width="8" style="3" customWidth="1"/>
    <col min="9994" max="9994" width="1.28515625" style="3" customWidth="1"/>
    <col min="9995" max="9995" width="8" style="3" customWidth="1"/>
    <col min="9996" max="10233" width="11.140625" style="3"/>
    <col min="10234" max="10234" width="19.42578125" style="3" customWidth="1"/>
    <col min="10235" max="10235" width="8.7109375" style="3" customWidth="1"/>
    <col min="10236" max="10237" width="8" style="3" customWidth="1"/>
    <col min="10238" max="10238" width="2.42578125" style="3" customWidth="1"/>
    <col min="10239" max="10239" width="8" style="3" customWidth="1"/>
    <col min="10240" max="10240" width="8.5703125" style="3" customWidth="1"/>
    <col min="10241" max="10241" width="8" style="3" customWidth="1"/>
    <col min="10242" max="10242" width="2.42578125" style="3" customWidth="1"/>
    <col min="10243" max="10243" width="9" style="3" customWidth="1"/>
    <col min="10244" max="10245" width="8" style="3" customWidth="1"/>
    <col min="10246" max="10246" width="2.42578125" style="3" customWidth="1"/>
    <col min="10247" max="10247" width="9.28515625" style="3" customWidth="1"/>
    <col min="10248" max="10249" width="8" style="3" customWidth="1"/>
    <col min="10250" max="10250" width="1.28515625" style="3" customWidth="1"/>
    <col min="10251" max="10251" width="8" style="3" customWidth="1"/>
    <col min="10252" max="10489" width="11.140625" style="3"/>
    <col min="10490" max="10490" width="19.42578125" style="3" customWidth="1"/>
    <col min="10491" max="10491" width="8.7109375" style="3" customWidth="1"/>
    <col min="10492" max="10493" width="8" style="3" customWidth="1"/>
    <col min="10494" max="10494" width="2.42578125" style="3" customWidth="1"/>
    <col min="10495" max="10495" width="8" style="3" customWidth="1"/>
    <col min="10496" max="10496" width="8.5703125" style="3" customWidth="1"/>
    <col min="10497" max="10497" width="8" style="3" customWidth="1"/>
    <col min="10498" max="10498" width="2.42578125" style="3" customWidth="1"/>
    <col min="10499" max="10499" width="9" style="3" customWidth="1"/>
    <col min="10500" max="10501" width="8" style="3" customWidth="1"/>
    <col min="10502" max="10502" width="2.42578125" style="3" customWidth="1"/>
    <col min="10503" max="10503" width="9.28515625" style="3" customWidth="1"/>
    <col min="10504" max="10505" width="8" style="3" customWidth="1"/>
    <col min="10506" max="10506" width="1.28515625" style="3" customWidth="1"/>
    <col min="10507" max="10507" width="8" style="3" customWidth="1"/>
    <col min="10508" max="10745" width="11.140625" style="3"/>
    <col min="10746" max="10746" width="19.42578125" style="3" customWidth="1"/>
    <col min="10747" max="10747" width="8.7109375" style="3" customWidth="1"/>
    <col min="10748" max="10749" width="8" style="3" customWidth="1"/>
    <col min="10750" max="10750" width="2.42578125" style="3" customWidth="1"/>
    <col min="10751" max="10751" width="8" style="3" customWidth="1"/>
    <col min="10752" max="10752" width="8.5703125" style="3" customWidth="1"/>
    <col min="10753" max="10753" width="8" style="3" customWidth="1"/>
    <col min="10754" max="10754" width="2.42578125" style="3" customWidth="1"/>
    <col min="10755" max="10755" width="9" style="3" customWidth="1"/>
    <col min="10756" max="10757" width="8" style="3" customWidth="1"/>
    <col min="10758" max="10758" width="2.42578125" style="3" customWidth="1"/>
    <col min="10759" max="10759" width="9.28515625" style="3" customWidth="1"/>
    <col min="10760" max="10761" width="8" style="3" customWidth="1"/>
    <col min="10762" max="10762" width="1.28515625" style="3" customWidth="1"/>
    <col min="10763" max="10763" width="8" style="3" customWidth="1"/>
    <col min="10764" max="11001" width="11.140625" style="3"/>
    <col min="11002" max="11002" width="19.42578125" style="3" customWidth="1"/>
    <col min="11003" max="11003" width="8.7109375" style="3" customWidth="1"/>
    <col min="11004" max="11005" width="8" style="3" customWidth="1"/>
    <col min="11006" max="11006" width="2.42578125" style="3" customWidth="1"/>
    <col min="11007" max="11007" width="8" style="3" customWidth="1"/>
    <col min="11008" max="11008" width="8.5703125" style="3" customWidth="1"/>
    <col min="11009" max="11009" width="8" style="3" customWidth="1"/>
    <col min="11010" max="11010" width="2.42578125" style="3" customWidth="1"/>
    <col min="11011" max="11011" width="9" style="3" customWidth="1"/>
    <col min="11012" max="11013" width="8" style="3" customWidth="1"/>
    <col min="11014" max="11014" width="2.42578125" style="3" customWidth="1"/>
    <col min="11015" max="11015" width="9.28515625" style="3" customWidth="1"/>
    <col min="11016" max="11017" width="8" style="3" customWidth="1"/>
    <col min="11018" max="11018" width="1.28515625" style="3" customWidth="1"/>
    <col min="11019" max="11019" width="8" style="3" customWidth="1"/>
    <col min="11020" max="11257" width="11.140625" style="3"/>
    <col min="11258" max="11258" width="19.42578125" style="3" customWidth="1"/>
    <col min="11259" max="11259" width="8.7109375" style="3" customWidth="1"/>
    <col min="11260" max="11261" width="8" style="3" customWidth="1"/>
    <col min="11262" max="11262" width="2.42578125" style="3" customWidth="1"/>
    <col min="11263" max="11263" width="8" style="3" customWidth="1"/>
    <col min="11264" max="11264" width="8.5703125" style="3" customWidth="1"/>
    <col min="11265" max="11265" width="8" style="3" customWidth="1"/>
    <col min="11266" max="11266" width="2.42578125" style="3" customWidth="1"/>
    <col min="11267" max="11267" width="9" style="3" customWidth="1"/>
    <col min="11268" max="11269" width="8" style="3" customWidth="1"/>
    <col min="11270" max="11270" width="2.42578125" style="3" customWidth="1"/>
    <col min="11271" max="11271" width="9.28515625" style="3" customWidth="1"/>
    <col min="11272" max="11273" width="8" style="3" customWidth="1"/>
    <col min="11274" max="11274" width="1.28515625" style="3" customWidth="1"/>
    <col min="11275" max="11275" width="8" style="3" customWidth="1"/>
    <col min="11276" max="11513" width="11.140625" style="3"/>
    <col min="11514" max="11514" width="19.42578125" style="3" customWidth="1"/>
    <col min="11515" max="11515" width="8.7109375" style="3" customWidth="1"/>
    <col min="11516" max="11517" width="8" style="3" customWidth="1"/>
    <col min="11518" max="11518" width="2.42578125" style="3" customWidth="1"/>
    <col min="11519" max="11519" width="8" style="3" customWidth="1"/>
    <col min="11520" max="11520" width="8.5703125" style="3" customWidth="1"/>
    <col min="11521" max="11521" width="8" style="3" customWidth="1"/>
    <col min="11522" max="11522" width="2.42578125" style="3" customWidth="1"/>
    <col min="11523" max="11523" width="9" style="3" customWidth="1"/>
    <col min="11524" max="11525" width="8" style="3" customWidth="1"/>
    <col min="11526" max="11526" width="2.42578125" style="3" customWidth="1"/>
    <col min="11527" max="11527" width="9.28515625" style="3" customWidth="1"/>
    <col min="11528" max="11529" width="8" style="3" customWidth="1"/>
    <col min="11530" max="11530" width="1.28515625" style="3" customWidth="1"/>
    <col min="11531" max="11531" width="8" style="3" customWidth="1"/>
    <col min="11532" max="11769" width="11.140625" style="3"/>
    <col min="11770" max="11770" width="19.42578125" style="3" customWidth="1"/>
    <col min="11771" max="11771" width="8.7109375" style="3" customWidth="1"/>
    <col min="11772" max="11773" width="8" style="3" customWidth="1"/>
    <col min="11774" max="11774" width="2.42578125" style="3" customWidth="1"/>
    <col min="11775" max="11775" width="8" style="3" customWidth="1"/>
    <col min="11776" max="11776" width="8.5703125" style="3" customWidth="1"/>
    <col min="11777" max="11777" width="8" style="3" customWidth="1"/>
    <col min="11778" max="11778" width="2.42578125" style="3" customWidth="1"/>
    <col min="11779" max="11779" width="9" style="3" customWidth="1"/>
    <col min="11780" max="11781" width="8" style="3" customWidth="1"/>
    <col min="11782" max="11782" width="2.42578125" style="3" customWidth="1"/>
    <col min="11783" max="11783" width="9.28515625" style="3" customWidth="1"/>
    <col min="11784" max="11785" width="8" style="3" customWidth="1"/>
    <col min="11786" max="11786" width="1.28515625" style="3" customWidth="1"/>
    <col min="11787" max="11787" width="8" style="3" customWidth="1"/>
    <col min="11788" max="12025" width="11.140625" style="3"/>
    <col min="12026" max="12026" width="19.42578125" style="3" customWidth="1"/>
    <col min="12027" max="12027" width="8.7109375" style="3" customWidth="1"/>
    <col min="12028" max="12029" width="8" style="3" customWidth="1"/>
    <col min="12030" max="12030" width="2.42578125" style="3" customWidth="1"/>
    <col min="12031" max="12031" width="8" style="3" customWidth="1"/>
    <col min="12032" max="12032" width="8.5703125" style="3" customWidth="1"/>
    <col min="12033" max="12033" width="8" style="3" customWidth="1"/>
    <col min="12034" max="12034" width="2.42578125" style="3" customWidth="1"/>
    <col min="12035" max="12035" width="9" style="3" customWidth="1"/>
    <col min="12036" max="12037" width="8" style="3" customWidth="1"/>
    <col min="12038" max="12038" width="2.42578125" style="3" customWidth="1"/>
    <col min="12039" max="12039" width="9.28515625" style="3" customWidth="1"/>
    <col min="12040" max="12041" width="8" style="3" customWidth="1"/>
    <col min="12042" max="12042" width="1.28515625" style="3" customWidth="1"/>
    <col min="12043" max="12043" width="8" style="3" customWidth="1"/>
    <col min="12044" max="12281" width="11.140625" style="3"/>
    <col min="12282" max="12282" width="19.42578125" style="3" customWidth="1"/>
    <col min="12283" max="12283" width="8.7109375" style="3" customWidth="1"/>
    <col min="12284" max="12285" width="8" style="3" customWidth="1"/>
    <col min="12286" max="12286" width="2.42578125" style="3" customWidth="1"/>
    <col min="12287" max="12287" width="8" style="3" customWidth="1"/>
    <col min="12288" max="12288" width="8.5703125" style="3" customWidth="1"/>
    <col min="12289" max="12289" width="8" style="3" customWidth="1"/>
    <col min="12290" max="12290" width="2.42578125" style="3" customWidth="1"/>
    <col min="12291" max="12291" width="9" style="3" customWidth="1"/>
    <col min="12292" max="12293" width="8" style="3" customWidth="1"/>
    <col min="12294" max="12294" width="2.42578125" style="3" customWidth="1"/>
    <col min="12295" max="12295" width="9.28515625" style="3" customWidth="1"/>
    <col min="12296" max="12297" width="8" style="3" customWidth="1"/>
    <col min="12298" max="12298" width="1.28515625" style="3" customWidth="1"/>
    <col min="12299" max="12299" width="8" style="3" customWidth="1"/>
    <col min="12300" max="12537" width="11.140625" style="3"/>
    <col min="12538" max="12538" width="19.42578125" style="3" customWidth="1"/>
    <col min="12539" max="12539" width="8.7109375" style="3" customWidth="1"/>
    <col min="12540" max="12541" width="8" style="3" customWidth="1"/>
    <col min="12542" max="12542" width="2.42578125" style="3" customWidth="1"/>
    <col min="12543" max="12543" width="8" style="3" customWidth="1"/>
    <col min="12544" max="12544" width="8.5703125" style="3" customWidth="1"/>
    <col min="12545" max="12545" width="8" style="3" customWidth="1"/>
    <col min="12546" max="12546" width="2.42578125" style="3" customWidth="1"/>
    <col min="12547" max="12547" width="9" style="3" customWidth="1"/>
    <col min="12548" max="12549" width="8" style="3" customWidth="1"/>
    <col min="12550" max="12550" width="2.42578125" style="3" customWidth="1"/>
    <col min="12551" max="12551" width="9.28515625" style="3" customWidth="1"/>
    <col min="12552" max="12553" width="8" style="3" customWidth="1"/>
    <col min="12554" max="12554" width="1.28515625" style="3" customWidth="1"/>
    <col min="12555" max="12555" width="8" style="3" customWidth="1"/>
    <col min="12556" max="12793" width="11.140625" style="3"/>
    <col min="12794" max="12794" width="19.42578125" style="3" customWidth="1"/>
    <col min="12795" max="12795" width="8.7109375" style="3" customWidth="1"/>
    <col min="12796" max="12797" width="8" style="3" customWidth="1"/>
    <col min="12798" max="12798" width="2.42578125" style="3" customWidth="1"/>
    <col min="12799" max="12799" width="8" style="3" customWidth="1"/>
    <col min="12800" max="12800" width="8.5703125" style="3" customWidth="1"/>
    <col min="12801" max="12801" width="8" style="3" customWidth="1"/>
    <col min="12802" max="12802" width="2.42578125" style="3" customWidth="1"/>
    <col min="12803" max="12803" width="9" style="3" customWidth="1"/>
    <col min="12804" max="12805" width="8" style="3" customWidth="1"/>
    <col min="12806" max="12806" width="2.42578125" style="3" customWidth="1"/>
    <col min="12807" max="12807" width="9.28515625" style="3" customWidth="1"/>
    <col min="12808" max="12809" width="8" style="3" customWidth="1"/>
    <col min="12810" max="12810" width="1.28515625" style="3" customWidth="1"/>
    <col min="12811" max="12811" width="8" style="3" customWidth="1"/>
    <col min="12812" max="13049" width="11.140625" style="3"/>
    <col min="13050" max="13050" width="19.42578125" style="3" customWidth="1"/>
    <col min="13051" max="13051" width="8.7109375" style="3" customWidth="1"/>
    <col min="13052" max="13053" width="8" style="3" customWidth="1"/>
    <col min="13054" max="13054" width="2.42578125" style="3" customWidth="1"/>
    <col min="13055" max="13055" width="8" style="3" customWidth="1"/>
    <col min="13056" max="13056" width="8.5703125" style="3" customWidth="1"/>
    <col min="13057" max="13057" width="8" style="3" customWidth="1"/>
    <col min="13058" max="13058" width="2.42578125" style="3" customWidth="1"/>
    <col min="13059" max="13059" width="9" style="3" customWidth="1"/>
    <col min="13060" max="13061" width="8" style="3" customWidth="1"/>
    <col min="13062" max="13062" width="2.42578125" style="3" customWidth="1"/>
    <col min="13063" max="13063" width="9.28515625" style="3" customWidth="1"/>
    <col min="13064" max="13065" width="8" style="3" customWidth="1"/>
    <col min="13066" max="13066" width="1.28515625" style="3" customWidth="1"/>
    <col min="13067" max="13067" width="8" style="3" customWidth="1"/>
    <col min="13068" max="13305" width="11.140625" style="3"/>
    <col min="13306" max="13306" width="19.42578125" style="3" customWidth="1"/>
    <col min="13307" max="13307" width="8.7109375" style="3" customWidth="1"/>
    <col min="13308" max="13309" width="8" style="3" customWidth="1"/>
    <col min="13310" max="13310" width="2.42578125" style="3" customWidth="1"/>
    <col min="13311" max="13311" width="8" style="3" customWidth="1"/>
    <col min="13312" max="13312" width="8.5703125" style="3" customWidth="1"/>
    <col min="13313" max="13313" width="8" style="3" customWidth="1"/>
    <col min="13314" max="13314" width="2.42578125" style="3" customWidth="1"/>
    <col min="13315" max="13315" width="9" style="3" customWidth="1"/>
    <col min="13316" max="13317" width="8" style="3" customWidth="1"/>
    <col min="13318" max="13318" width="2.42578125" style="3" customWidth="1"/>
    <col min="13319" max="13319" width="9.28515625" style="3" customWidth="1"/>
    <col min="13320" max="13321" width="8" style="3" customWidth="1"/>
    <col min="13322" max="13322" width="1.28515625" style="3" customWidth="1"/>
    <col min="13323" max="13323" width="8" style="3" customWidth="1"/>
    <col min="13324" max="13561" width="11.140625" style="3"/>
    <col min="13562" max="13562" width="19.42578125" style="3" customWidth="1"/>
    <col min="13563" max="13563" width="8.7109375" style="3" customWidth="1"/>
    <col min="13564" max="13565" width="8" style="3" customWidth="1"/>
    <col min="13566" max="13566" width="2.42578125" style="3" customWidth="1"/>
    <col min="13567" max="13567" width="8" style="3" customWidth="1"/>
    <col min="13568" max="13568" width="8.5703125" style="3" customWidth="1"/>
    <col min="13569" max="13569" width="8" style="3" customWidth="1"/>
    <col min="13570" max="13570" width="2.42578125" style="3" customWidth="1"/>
    <col min="13571" max="13571" width="9" style="3" customWidth="1"/>
    <col min="13572" max="13573" width="8" style="3" customWidth="1"/>
    <col min="13574" max="13574" width="2.42578125" style="3" customWidth="1"/>
    <col min="13575" max="13575" width="9.28515625" style="3" customWidth="1"/>
    <col min="13576" max="13577" width="8" style="3" customWidth="1"/>
    <col min="13578" max="13578" width="1.28515625" style="3" customWidth="1"/>
    <col min="13579" max="13579" width="8" style="3" customWidth="1"/>
    <col min="13580" max="13817" width="11.140625" style="3"/>
    <col min="13818" max="13818" width="19.42578125" style="3" customWidth="1"/>
    <col min="13819" max="13819" width="8.7109375" style="3" customWidth="1"/>
    <col min="13820" max="13821" width="8" style="3" customWidth="1"/>
    <col min="13822" max="13822" width="2.42578125" style="3" customWidth="1"/>
    <col min="13823" max="13823" width="8" style="3" customWidth="1"/>
    <col min="13824" max="13824" width="8.5703125" style="3" customWidth="1"/>
    <col min="13825" max="13825" width="8" style="3" customWidth="1"/>
    <col min="13826" max="13826" width="2.42578125" style="3" customWidth="1"/>
    <col min="13827" max="13827" width="9" style="3" customWidth="1"/>
    <col min="13828" max="13829" width="8" style="3" customWidth="1"/>
    <col min="13830" max="13830" width="2.42578125" style="3" customWidth="1"/>
    <col min="13831" max="13831" width="9.28515625" style="3" customWidth="1"/>
    <col min="13832" max="13833" width="8" style="3" customWidth="1"/>
    <col min="13834" max="13834" width="1.28515625" style="3" customWidth="1"/>
    <col min="13835" max="13835" width="8" style="3" customWidth="1"/>
    <col min="13836" max="14073" width="11.140625" style="3"/>
    <col min="14074" max="14074" width="19.42578125" style="3" customWidth="1"/>
    <col min="14075" max="14075" width="8.7109375" style="3" customWidth="1"/>
    <col min="14076" max="14077" width="8" style="3" customWidth="1"/>
    <col min="14078" max="14078" width="2.42578125" style="3" customWidth="1"/>
    <col min="14079" max="14079" width="8" style="3" customWidth="1"/>
    <col min="14080" max="14080" width="8.5703125" style="3" customWidth="1"/>
    <col min="14081" max="14081" width="8" style="3" customWidth="1"/>
    <col min="14082" max="14082" width="2.42578125" style="3" customWidth="1"/>
    <col min="14083" max="14083" width="9" style="3" customWidth="1"/>
    <col min="14084" max="14085" width="8" style="3" customWidth="1"/>
    <col min="14086" max="14086" width="2.42578125" style="3" customWidth="1"/>
    <col min="14087" max="14087" width="9.28515625" style="3" customWidth="1"/>
    <col min="14088" max="14089" width="8" style="3" customWidth="1"/>
    <col min="14090" max="14090" width="1.28515625" style="3" customWidth="1"/>
    <col min="14091" max="14091" width="8" style="3" customWidth="1"/>
    <col min="14092" max="14329" width="11.140625" style="3"/>
    <col min="14330" max="14330" width="19.42578125" style="3" customWidth="1"/>
    <col min="14331" max="14331" width="8.7109375" style="3" customWidth="1"/>
    <col min="14332" max="14333" width="8" style="3" customWidth="1"/>
    <col min="14334" max="14334" width="2.42578125" style="3" customWidth="1"/>
    <col min="14335" max="14335" width="8" style="3" customWidth="1"/>
    <col min="14336" max="14336" width="8.5703125" style="3" customWidth="1"/>
    <col min="14337" max="14337" width="8" style="3" customWidth="1"/>
    <col min="14338" max="14338" width="2.42578125" style="3" customWidth="1"/>
    <col min="14339" max="14339" width="9" style="3" customWidth="1"/>
    <col min="14340" max="14341" width="8" style="3" customWidth="1"/>
    <col min="14342" max="14342" width="2.42578125" style="3" customWidth="1"/>
    <col min="14343" max="14343" width="9.28515625" style="3" customWidth="1"/>
    <col min="14344" max="14345" width="8" style="3" customWidth="1"/>
    <col min="14346" max="14346" width="1.28515625" style="3" customWidth="1"/>
    <col min="14347" max="14347" width="8" style="3" customWidth="1"/>
    <col min="14348" max="14585" width="11.140625" style="3"/>
    <col min="14586" max="14586" width="19.42578125" style="3" customWidth="1"/>
    <col min="14587" max="14587" width="8.7109375" style="3" customWidth="1"/>
    <col min="14588" max="14589" width="8" style="3" customWidth="1"/>
    <col min="14590" max="14590" width="2.42578125" style="3" customWidth="1"/>
    <col min="14591" max="14591" width="8" style="3" customWidth="1"/>
    <col min="14592" max="14592" width="8.5703125" style="3" customWidth="1"/>
    <col min="14593" max="14593" width="8" style="3" customWidth="1"/>
    <col min="14594" max="14594" width="2.42578125" style="3" customWidth="1"/>
    <col min="14595" max="14595" width="9" style="3" customWidth="1"/>
    <col min="14596" max="14597" width="8" style="3" customWidth="1"/>
    <col min="14598" max="14598" width="2.42578125" style="3" customWidth="1"/>
    <col min="14599" max="14599" width="9.28515625" style="3" customWidth="1"/>
    <col min="14600" max="14601" width="8" style="3" customWidth="1"/>
    <col min="14602" max="14602" width="1.28515625" style="3" customWidth="1"/>
    <col min="14603" max="14603" width="8" style="3" customWidth="1"/>
    <col min="14604" max="14841" width="11.140625" style="3"/>
    <col min="14842" max="14842" width="19.42578125" style="3" customWidth="1"/>
    <col min="14843" max="14843" width="8.7109375" style="3" customWidth="1"/>
    <col min="14844" max="14845" width="8" style="3" customWidth="1"/>
    <col min="14846" max="14846" width="2.42578125" style="3" customWidth="1"/>
    <col min="14847" max="14847" width="8" style="3" customWidth="1"/>
    <col min="14848" max="14848" width="8.5703125" style="3" customWidth="1"/>
    <col min="14849" max="14849" width="8" style="3" customWidth="1"/>
    <col min="14850" max="14850" width="2.42578125" style="3" customWidth="1"/>
    <col min="14851" max="14851" width="9" style="3" customWidth="1"/>
    <col min="14852" max="14853" width="8" style="3" customWidth="1"/>
    <col min="14854" max="14854" width="2.42578125" style="3" customWidth="1"/>
    <col min="14855" max="14855" width="9.28515625" style="3" customWidth="1"/>
    <col min="14856" max="14857" width="8" style="3" customWidth="1"/>
    <col min="14858" max="14858" width="1.28515625" style="3" customWidth="1"/>
    <col min="14859" max="14859" width="8" style="3" customWidth="1"/>
    <col min="14860" max="15097" width="11.140625" style="3"/>
    <col min="15098" max="15098" width="19.42578125" style="3" customWidth="1"/>
    <col min="15099" max="15099" width="8.7109375" style="3" customWidth="1"/>
    <col min="15100" max="15101" width="8" style="3" customWidth="1"/>
    <col min="15102" max="15102" width="2.42578125" style="3" customWidth="1"/>
    <col min="15103" max="15103" width="8" style="3" customWidth="1"/>
    <col min="15104" max="15104" width="8.5703125" style="3" customWidth="1"/>
    <col min="15105" max="15105" width="8" style="3" customWidth="1"/>
    <col min="15106" max="15106" width="2.42578125" style="3" customWidth="1"/>
    <col min="15107" max="15107" width="9" style="3" customWidth="1"/>
    <col min="15108" max="15109" width="8" style="3" customWidth="1"/>
    <col min="15110" max="15110" width="2.42578125" style="3" customWidth="1"/>
    <col min="15111" max="15111" width="9.28515625" style="3" customWidth="1"/>
    <col min="15112" max="15113" width="8" style="3" customWidth="1"/>
    <col min="15114" max="15114" width="1.28515625" style="3" customWidth="1"/>
    <col min="15115" max="15115" width="8" style="3" customWidth="1"/>
    <col min="15116" max="15353" width="11.140625" style="3"/>
    <col min="15354" max="15354" width="19.42578125" style="3" customWidth="1"/>
    <col min="15355" max="15355" width="8.7109375" style="3" customWidth="1"/>
    <col min="15356" max="15357" width="8" style="3" customWidth="1"/>
    <col min="15358" max="15358" width="2.42578125" style="3" customWidth="1"/>
    <col min="15359" max="15359" width="8" style="3" customWidth="1"/>
    <col min="15360" max="15360" width="8.5703125" style="3" customWidth="1"/>
    <col min="15361" max="15361" width="8" style="3" customWidth="1"/>
    <col min="15362" max="15362" width="2.42578125" style="3" customWidth="1"/>
    <col min="15363" max="15363" width="9" style="3" customWidth="1"/>
    <col min="15364" max="15365" width="8" style="3" customWidth="1"/>
    <col min="15366" max="15366" width="2.42578125" style="3" customWidth="1"/>
    <col min="15367" max="15367" width="9.28515625" style="3" customWidth="1"/>
    <col min="15368" max="15369" width="8" style="3" customWidth="1"/>
    <col min="15370" max="15370" width="1.28515625" style="3" customWidth="1"/>
    <col min="15371" max="15371" width="8" style="3" customWidth="1"/>
    <col min="15372" max="15609" width="11.140625" style="3"/>
    <col min="15610" max="15610" width="19.42578125" style="3" customWidth="1"/>
    <col min="15611" max="15611" width="8.7109375" style="3" customWidth="1"/>
    <col min="15612" max="15613" width="8" style="3" customWidth="1"/>
    <col min="15614" max="15614" width="2.42578125" style="3" customWidth="1"/>
    <col min="15615" max="15615" width="8" style="3" customWidth="1"/>
    <col min="15616" max="15616" width="8.5703125" style="3" customWidth="1"/>
    <col min="15617" max="15617" width="8" style="3" customWidth="1"/>
    <col min="15618" max="15618" width="2.42578125" style="3" customWidth="1"/>
    <col min="15619" max="15619" width="9" style="3" customWidth="1"/>
    <col min="15620" max="15621" width="8" style="3" customWidth="1"/>
    <col min="15622" max="15622" width="2.42578125" style="3" customWidth="1"/>
    <col min="15623" max="15623" width="9.28515625" style="3" customWidth="1"/>
    <col min="15624" max="15625" width="8" style="3" customWidth="1"/>
    <col min="15626" max="15626" width="1.28515625" style="3" customWidth="1"/>
    <col min="15627" max="15627" width="8" style="3" customWidth="1"/>
    <col min="15628" max="15865" width="11.140625" style="3"/>
    <col min="15866" max="15866" width="19.42578125" style="3" customWidth="1"/>
    <col min="15867" max="15867" width="8.7109375" style="3" customWidth="1"/>
    <col min="15868" max="15869" width="8" style="3" customWidth="1"/>
    <col min="15870" max="15870" width="2.42578125" style="3" customWidth="1"/>
    <col min="15871" max="15871" width="8" style="3" customWidth="1"/>
    <col min="15872" max="15872" width="8.5703125" style="3" customWidth="1"/>
    <col min="15873" max="15873" width="8" style="3" customWidth="1"/>
    <col min="15874" max="15874" width="2.42578125" style="3" customWidth="1"/>
    <col min="15875" max="15875" width="9" style="3" customWidth="1"/>
    <col min="15876" max="15877" width="8" style="3" customWidth="1"/>
    <col min="15878" max="15878" width="2.42578125" style="3" customWidth="1"/>
    <col min="15879" max="15879" width="9.28515625" style="3" customWidth="1"/>
    <col min="15880" max="15881" width="8" style="3" customWidth="1"/>
    <col min="15882" max="15882" width="1.28515625" style="3" customWidth="1"/>
    <col min="15883" max="15883" width="8" style="3" customWidth="1"/>
    <col min="15884" max="16121" width="11.140625" style="3"/>
    <col min="16122" max="16122" width="19.42578125" style="3" customWidth="1"/>
    <col min="16123" max="16123" width="8.7109375" style="3" customWidth="1"/>
    <col min="16124" max="16125" width="8" style="3" customWidth="1"/>
    <col min="16126" max="16126" width="2.42578125" style="3" customWidth="1"/>
    <col min="16127" max="16127" width="8" style="3" customWidth="1"/>
    <col min="16128" max="16128" width="8.5703125" style="3" customWidth="1"/>
    <col min="16129" max="16129" width="8" style="3" customWidth="1"/>
    <col min="16130" max="16130" width="2.42578125" style="3" customWidth="1"/>
    <col min="16131" max="16131" width="9" style="3" customWidth="1"/>
    <col min="16132" max="16133" width="8" style="3" customWidth="1"/>
    <col min="16134" max="16134" width="2.42578125" style="3" customWidth="1"/>
    <col min="16135" max="16135" width="9.28515625" style="3" customWidth="1"/>
    <col min="16136" max="16137" width="8" style="3" customWidth="1"/>
    <col min="16138" max="16138" width="1.28515625" style="3" customWidth="1"/>
    <col min="16139" max="16139" width="8" style="3" customWidth="1"/>
    <col min="16140" max="16384" width="11.140625" style="3"/>
  </cols>
  <sheetData>
    <row r="3" spans="1:14" s="57" customFormat="1" ht="21" x14ac:dyDescent="0.2">
      <c r="A3" s="127" t="s">
        <v>135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4" s="58" customFormat="1" ht="15" x14ac:dyDescent="0.25">
      <c r="A4" s="128" t="s">
        <v>134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</row>
    <row r="5" spans="1:14" x14ac:dyDescent="0.2">
      <c r="A5" s="4"/>
      <c r="B5" s="5"/>
      <c r="C5" s="5"/>
      <c r="D5" s="6"/>
      <c r="E5" s="6"/>
      <c r="F5" s="56"/>
      <c r="G5" s="56"/>
      <c r="H5" s="7"/>
      <c r="I5" s="6"/>
      <c r="J5" s="5"/>
      <c r="K5" s="5"/>
      <c r="L5" s="6"/>
      <c r="M5" s="6"/>
      <c r="N5" s="5"/>
    </row>
    <row r="6" spans="1:14" s="57" customFormat="1" ht="31.5" customHeight="1" x14ac:dyDescent="0.2">
      <c r="A6" s="129" t="s">
        <v>38</v>
      </c>
      <c r="B6" s="131" t="s">
        <v>18</v>
      </c>
      <c r="C6" s="131"/>
      <c r="D6" s="131"/>
      <c r="E6" s="132"/>
      <c r="F6" s="131" t="s">
        <v>20</v>
      </c>
      <c r="G6" s="131"/>
      <c r="H6" s="131"/>
      <c r="I6" s="131"/>
      <c r="J6" s="133" t="s">
        <v>21</v>
      </c>
      <c r="K6" s="131"/>
      <c r="L6" s="131"/>
      <c r="M6" s="132"/>
      <c r="N6" s="113" t="s">
        <v>129</v>
      </c>
    </row>
    <row r="7" spans="1:14" s="92" customFormat="1" ht="24" customHeight="1" x14ac:dyDescent="0.2">
      <c r="A7" s="130"/>
      <c r="B7" s="96" t="s">
        <v>39</v>
      </c>
      <c r="C7" s="96" t="s">
        <v>3</v>
      </c>
      <c r="D7" s="96" t="s">
        <v>4</v>
      </c>
      <c r="E7" s="97" t="s">
        <v>118</v>
      </c>
      <c r="F7" s="96" t="s">
        <v>2</v>
      </c>
      <c r="G7" s="96" t="s">
        <v>3</v>
      </c>
      <c r="H7" s="96" t="s">
        <v>4</v>
      </c>
      <c r="I7" s="97" t="s">
        <v>118</v>
      </c>
      <c r="J7" s="98" t="s">
        <v>2</v>
      </c>
      <c r="K7" s="96" t="s">
        <v>3</v>
      </c>
      <c r="L7" s="96" t="s">
        <v>4</v>
      </c>
      <c r="M7" s="97" t="s">
        <v>118</v>
      </c>
      <c r="N7" s="96"/>
    </row>
    <row r="8" spans="1:14" s="58" customFormat="1" ht="17.25" customHeight="1" x14ac:dyDescent="0.25">
      <c r="A8" s="4" t="s">
        <v>40</v>
      </c>
      <c r="B8" s="93">
        <f>SUM(B13:B29)</f>
        <v>0</v>
      </c>
      <c r="C8" s="93">
        <f>SUM(C13:C29)</f>
        <v>0</v>
      </c>
      <c r="D8" s="93">
        <f t="shared" ref="D8:I8" si="0">SUM(D13:D29)</f>
        <v>0</v>
      </c>
      <c r="E8" s="94">
        <f t="shared" si="0"/>
        <v>0</v>
      </c>
      <c r="F8" s="93">
        <f t="shared" si="0"/>
        <v>0</v>
      </c>
      <c r="G8" s="93">
        <f t="shared" si="0"/>
        <v>0</v>
      </c>
      <c r="H8" s="93">
        <f t="shared" si="0"/>
        <v>0</v>
      </c>
      <c r="I8" s="93">
        <f t="shared" si="0"/>
        <v>0</v>
      </c>
      <c r="J8" s="95">
        <f>SUM(J13:J29)</f>
        <v>0</v>
      </c>
      <c r="K8" s="93">
        <f>SUM(K13:K29)</f>
        <v>0</v>
      </c>
      <c r="L8" s="93">
        <f>SUM(L13:L29)</f>
        <v>0</v>
      </c>
      <c r="M8" s="94">
        <f>SUM(M13:M29)</f>
        <v>0</v>
      </c>
      <c r="N8" s="93">
        <f>SUM(N13:N29)</f>
        <v>0</v>
      </c>
    </row>
    <row r="9" spans="1:14" s="110" customFormat="1" ht="17.25" customHeight="1" x14ac:dyDescent="0.25">
      <c r="A9" s="89" t="s">
        <v>30</v>
      </c>
      <c r="B9" s="90">
        <f>SUM(C9:E9)</f>
        <v>0</v>
      </c>
      <c r="C9" s="90">
        <f t="shared" ref="C9:E12" si="1">G9+K9</f>
        <v>0</v>
      </c>
      <c r="D9" s="90">
        <f t="shared" si="1"/>
        <v>0</v>
      </c>
      <c r="E9" s="106">
        <f t="shared" si="1"/>
        <v>0</v>
      </c>
      <c r="F9" s="90">
        <f>SUM(G9:I9)</f>
        <v>0</v>
      </c>
      <c r="G9" s="118"/>
      <c r="H9" s="118"/>
      <c r="I9" s="119"/>
      <c r="J9" s="91">
        <f>SUM(K9:M9)</f>
        <v>0</v>
      </c>
      <c r="K9" s="118"/>
      <c r="L9" s="118"/>
      <c r="M9" s="120"/>
      <c r="N9" s="118"/>
    </row>
    <row r="10" spans="1:14" s="110" customFormat="1" ht="17.25" customHeight="1" x14ac:dyDescent="0.25">
      <c r="A10" s="89" t="s">
        <v>32</v>
      </c>
      <c r="B10" s="90">
        <f>SUM(C10:E10)</f>
        <v>0</v>
      </c>
      <c r="C10" s="90">
        <f t="shared" si="1"/>
        <v>0</v>
      </c>
      <c r="D10" s="90">
        <f t="shared" si="1"/>
        <v>0</v>
      </c>
      <c r="E10" s="106">
        <f t="shared" si="1"/>
        <v>0</v>
      </c>
      <c r="F10" s="90">
        <f>SUM(G10:I10)</f>
        <v>0</v>
      </c>
      <c r="G10" s="118"/>
      <c r="H10" s="118"/>
      <c r="I10" s="119"/>
      <c r="J10" s="91">
        <f>SUM(K10:L10)</f>
        <v>0</v>
      </c>
      <c r="K10" s="118"/>
      <c r="L10" s="118"/>
      <c r="M10" s="120"/>
      <c r="N10" s="118"/>
    </row>
    <row r="11" spans="1:14" s="110" customFormat="1" ht="17.25" customHeight="1" x14ac:dyDescent="0.25">
      <c r="A11" s="89" t="s">
        <v>41</v>
      </c>
      <c r="B11" s="90">
        <f>SUM(C11:E11)</f>
        <v>0</v>
      </c>
      <c r="C11" s="90">
        <f t="shared" si="1"/>
        <v>0</v>
      </c>
      <c r="D11" s="90">
        <f t="shared" si="1"/>
        <v>0</v>
      </c>
      <c r="E11" s="106">
        <f t="shared" si="1"/>
        <v>0</v>
      </c>
      <c r="F11" s="90">
        <f>SUM(G11:I11)</f>
        <v>0</v>
      </c>
      <c r="G11" s="118"/>
      <c r="H11" s="118"/>
      <c r="I11" s="119"/>
      <c r="J11" s="91">
        <f>SUM(K11:L11)</f>
        <v>0</v>
      </c>
      <c r="K11" s="118"/>
      <c r="L11" s="118"/>
      <c r="M11" s="120"/>
      <c r="N11" s="118"/>
    </row>
    <row r="12" spans="1:14" s="110" customFormat="1" ht="17.25" customHeight="1" x14ac:dyDescent="0.25">
      <c r="A12" s="89" t="s">
        <v>22</v>
      </c>
      <c r="B12" s="90">
        <f>SUM(C12:E12)</f>
        <v>0</v>
      </c>
      <c r="C12" s="90">
        <f t="shared" si="1"/>
        <v>0</v>
      </c>
      <c r="D12" s="90">
        <f t="shared" si="1"/>
        <v>0</v>
      </c>
      <c r="E12" s="106">
        <f t="shared" si="1"/>
        <v>0</v>
      </c>
      <c r="F12" s="90">
        <f>SUM(G12:I12)</f>
        <v>0</v>
      </c>
      <c r="G12" s="118"/>
      <c r="H12" s="118"/>
      <c r="I12" s="119"/>
      <c r="J12" s="91">
        <f>SUM(K12:M12)</f>
        <v>0</v>
      </c>
      <c r="K12" s="118"/>
      <c r="L12" s="118"/>
      <c r="M12" s="120"/>
      <c r="N12" s="118"/>
    </row>
    <row r="13" spans="1:14" s="58" customFormat="1" ht="17.25" customHeight="1" x14ac:dyDescent="0.25">
      <c r="A13" s="89" t="s">
        <v>6</v>
      </c>
      <c r="B13" s="93">
        <f>SUM(C13:E13)</f>
        <v>0</v>
      </c>
      <c r="C13" s="108">
        <f>SUM(C9:C12)</f>
        <v>0</v>
      </c>
      <c r="D13" s="108">
        <f>SUM(D9:D12)</f>
        <v>0</v>
      </c>
      <c r="E13" s="94">
        <f>I13+M13</f>
        <v>0</v>
      </c>
      <c r="F13" s="93">
        <f>SUM(G13:I13)</f>
        <v>0</v>
      </c>
      <c r="G13" s="108">
        <f>SUM(G9:G12)</f>
        <v>0</v>
      </c>
      <c r="H13" s="108">
        <f>SUM(H9:H12)</f>
        <v>0</v>
      </c>
      <c r="I13" s="108">
        <f>SUM(I9:I12)</f>
        <v>0</v>
      </c>
      <c r="J13" s="95">
        <f>SUM(K13:M13)</f>
        <v>0</v>
      </c>
      <c r="K13" s="108">
        <f>SUM(K9:K12)</f>
        <v>0</v>
      </c>
      <c r="L13" s="108">
        <f>SUM(L9:L12)</f>
        <v>0</v>
      </c>
      <c r="M13" s="94">
        <f>SUM(M9:M12)</f>
        <v>0</v>
      </c>
      <c r="N13" s="108">
        <f>SUM(N9:N12)</f>
        <v>0</v>
      </c>
    </row>
    <row r="14" spans="1:14" s="110" customFormat="1" ht="17.25" customHeight="1" x14ac:dyDescent="0.25">
      <c r="A14" s="111" t="s">
        <v>8</v>
      </c>
      <c r="B14" s="93">
        <f t="shared" ref="B14:B29" si="2">SUM(C14:E14)</f>
        <v>0</v>
      </c>
      <c r="C14" s="90">
        <f>G14+K14</f>
        <v>0</v>
      </c>
      <c r="D14" s="90">
        <f t="shared" ref="D14:E29" si="3">H14+L14</f>
        <v>0</v>
      </c>
      <c r="E14" s="106">
        <f t="shared" si="3"/>
        <v>0</v>
      </c>
      <c r="F14" s="90">
        <f t="shared" ref="F14:F28" si="4">SUM(G14:H14)</f>
        <v>0</v>
      </c>
      <c r="G14" s="118"/>
      <c r="H14" s="118"/>
      <c r="I14" s="119"/>
      <c r="J14" s="91">
        <f t="shared" ref="J14:J29" si="5">SUM(K14:L14)</f>
        <v>0</v>
      </c>
      <c r="K14" s="118"/>
      <c r="L14" s="118"/>
      <c r="M14" s="119"/>
      <c r="N14" s="118"/>
    </row>
    <row r="15" spans="1:14" s="110" customFormat="1" ht="17.25" customHeight="1" x14ac:dyDescent="0.25">
      <c r="A15" s="111" t="s">
        <v>5</v>
      </c>
      <c r="B15" s="93">
        <f t="shared" si="2"/>
        <v>0</v>
      </c>
      <c r="C15" s="90">
        <f t="shared" ref="C15:C29" si="6">G15+K15</f>
        <v>0</v>
      </c>
      <c r="D15" s="90">
        <f t="shared" si="3"/>
        <v>0</v>
      </c>
      <c r="E15" s="106">
        <f t="shared" si="3"/>
        <v>0</v>
      </c>
      <c r="F15" s="90">
        <f t="shared" si="4"/>
        <v>0</v>
      </c>
      <c r="G15" s="118"/>
      <c r="H15" s="118"/>
      <c r="I15" s="119"/>
      <c r="J15" s="91">
        <f t="shared" si="5"/>
        <v>0</v>
      </c>
      <c r="K15" s="118"/>
      <c r="L15" s="118"/>
      <c r="M15" s="119"/>
      <c r="N15" s="118"/>
    </row>
    <row r="16" spans="1:14" s="110" customFormat="1" ht="17.25" customHeight="1" x14ac:dyDescent="0.25">
      <c r="A16" s="111" t="s">
        <v>7</v>
      </c>
      <c r="B16" s="93">
        <f t="shared" si="2"/>
        <v>0</v>
      </c>
      <c r="C16" s="90">
        <f t="shared" si="6"/>
        <v>0</v>
      </c>
      <c r="D16" s="90">
        <f t="shared" si="3"/>
        <v>0</v>
      </c>
      <c r="E16" s="106">
        <f t="shared" si="3"/>
        <v>0</v>
      </c>
      <c r="F16" s="90">
        <f t="shared" si="4"/>
        <v>0</v>
      </c>
      <c r="G16" s="118"/>
      <c r="H16" s="118"/>
      <c r="I16" s="119"/>
      <c r="J16" s="91">
        <f t="shared" si="5"/>
        <v>0</v>
      </c>
      <c r="K16" s="118"/>
      <c r="L16" s="118"/>
      <c r="M16" s="119"/>
      <c r="N16" s="118"/>
    </row>
    <row r="17" spans="1:14" s="110" customFormat="1" ht="17.25" customHeight="1" x14ac:dyDescent="0.25">
      <c r="A17" s="111" t="s">
        <v>9</v>
      </c>
      <c r="B17" s="93">
        <f t="shared" si="2"/>
        <v>0</v>
      </c>
      <c r="C17" s="90">
        <f t="shared" si="6"/>
        <v>0</v>
      </c>
      <c r="D17" s="90">
        <f t="shared" si="3"/>
        <v>0</v>
      </c>
      <c r="E17" s="106">
        <f t="shared" si="3"/>
        <v>0</v>
      </c>
      <c r="F17" s="90">
        <f t="shared" si="4"/>
        <v>0</v>
      </c>
      <c r="G17" s="118"/>
      <c r="H17" s="118"/>
      <c r="I17" s="119"/>
      <c r="J17" s="91">
        <f>SUM(K17:L17)</f>
        <v>0</v>
      </c>
      <c r="K17" s="118"/>
      <c r="L17" s="118"/>
      <c r="M17" s="119"/>
      <c r="N17" s="118"/>
    </row>
    <row r="18" spans="1:14" s="110" customFormat="1" ht="17.25" customHeight="1" x14ac:dyDescent="0.25">
      <c r="A18" s="111" t="s">
        <v>10</v>
      </c>
      <c r="B18" s="93">
        <f t="shared" si="2"/>
        <v>0</v>
      </c>
      <c r="C18" s="90">
        <f t="shared" si="6"/>
        <v>0</v>
      </c>
      <c r="D18" s="90">
        <f t="shared" si="3"/>
        <v>0</v>
      </c>
      <c r="E18" s="106">
        <f t="shared" si="3"/>
        <v>0</v>
      </c>
      <c r="F18" s="90">
        <f t="shared" si="4"/>
        <v>0</v>
      </c>
      <c r="G18" s="118"/>
      <c r="H18" s="118"/>
      <c r="I18" s="119"/>
      <c r="J18" s="91">
        <f t="shared" si="5"/>
        <v>0</v>
      </c>
      <c r="K18" s="118"/>
      <c r="L18" s="118"/>
      <c r="M18" s="119"/>
      <c r="N18" s="118"/>
    </row>
    <row r="19" spans="1:14" s="110" customFormat="1" ht="17.25" customHeight="1" x14ac:dyDescent="0.25">
      <c r="A19" s="111" t="s">
        <v>111</v>
      </c>
      <c r="B19" s="93">
        <f t="shared" si="2"/>
        <v>0</v>
      </c>
      <c r="C19" s="90">
        <f t="shared" si="6"/>
        <v>0</v>
      </c>
      <c r="D19" s="90">
        <f t="shared" si="3"/>
        <v>0</v>
      </c>
      <c r="E19" s="106">
        <f t="shared" si="3"/>
        <v>0</v>
      </c>
      <c r="F19" s="90">
        <f t="shared" si="4"/>
        <v>0</v>
      </c>
      <c r="G19" s="118"/>
      <c r="H19" s="118"/>
      <c r="I19" s="119"/>
      <c r="J19" s="91">
        <f t="shared" si="5"/>
        <v>0</v>
      </c>
      <c r="K19" s="118"/>
      <c r="L19" s="118"/>
      <c r="M19" s="119"/>
      <c r="N19" s="118"/>
    </row>
    <row r="20" spans="1:14" s="110" customFormat="1" ht="17.25" customHeight="1" x14ac:dyDescent="0.25">
      <c r="A20" s="111" t="s">
        <v>11</v>
      </c>
      <c r="B20" s="93">
        <f t="shared" si="2"/>
        <v>0</v>
      </c>
      <c r="C20" s="90">
        <f t="shared" si="6"/>
        <v>0</v>
      </c>
      <c r="D20" s="90">
        <f t="shared" si="3"/>
        <v>0</v>
      </c>
      <c r="E20" s="106">
        <f t="shared" si="3"/>
        <v>0</v>
      </c>
      <c r="F20" s="90">
        <f t="shared" si="4"/>
        <v>0</v>
      </c>
      <c r="G20" s="118"/>
      <c r="H20" s="118"/>
      <c r="I20" s="119"/>
      <c r="J20" s="91">
        <f t="shared" si="5"/>
        <v>0</v>
      </c>
      <c r="K20" s="118"/>
      <c r="L20" s="118"/>
      <c r="M20" s="119"/>
      <c r="N20" s="118"/>
    </row>
    <row r="21" spans="1:14" s="110" customFormat="1" ht="17.25" customHeight="1" x14ac:dyDescent="0.25">
      <c r="A21" s="111" t="s">
        <v>12</v>
      </c>
      <c r="B21" s="93">
        <f t="shared" si="2"/>
        <v>0</v>
      </c>
      <c r="C21" s="90">
        <f t="shared" si="6"/>
        <v>0</v>
      </c>
      <c r="D21" s="90">
        <f t="shared" si="3"/>
        <v>0</v>
      </c>
      <c r="E21" s="106">
        <f t="shared" si="3"/>
        <v>0</v>
      </c>
      <c r="F21" s="90">
        <f t="shared" si="4"/>
        <v>0</v>
      </c>
      <c r="G21" s="118"/>
      <c r="H21" s="118"/>
      <c r="I21" s="119"/>
      <c r="J21" s="91">
        <f t="shared" si="5"/>
        <v>0</v>
      </c>
      <c r="K21" s="118"/>
      <c r="L21" s="118"/>
      <c r="M21" s="119"/>
      <c r="N21" s="118"/>
    </row>
    <row r="22" spans="1:14" s="110" customFormat="1" ht="17.25" customHeight="1" x14ac:dyDescent="0.25">
      <c r="A22" s="111" t="s">
        <v>112</v>
      </c>
      <c r="B22" s="93">
        <f t="shared" si="2"/>
        <v>0</v>
      </c>
      <c r="C22" s="90">
        <f t="shared" si="6"/>
        <v>0</v>
      </c>
      <c r="D22" s="90">
        <f t="shared" si="3"/>
        <v>0</v>
      </c>
      <c r="E22" s="106">
        <f t="shared" si="3"/>
        <v>0</v>
      </c>
      <c r="F22" s="90">
        <f t="shared" si="4"/>
        <v>0</v>
      </c>
      <c r="G22" s="118"/>
      <c r="H22" s="118"/>
      <c r="I22" s="119"/>
      <c r="J22" s="91">
        <f t="shared" si="5"/>
        <v>0</v>
      </c>
      <c r="K22" s="118"/>
      <c r="L22" s="118"/>
      <c r="M22" s="119"/>
      <c r="N22" s="118"/>
    </row>
    <row r="23" spans="1:14" s="110" customFormat="1" ht="17.25" customHeight="1" x14ac:dyDescent="0.25">
      <c r="A23" s="111" t="s">
        <v>13</v>
      </c>
      <c r="B23" s="93">
        <f t="shared" si="2"/>
        <v>0</v>
      </c>
      <c r="C23" s="90">
        <f t="shared" si="6"/>
        <v>0</v>
      </c>
      <c r="D23" s="90">
        <f t="shared" si="3"/>
        <v>0</v>
      </c>
      <c r="E23" s="106">
        <f t="shared" si="3"/>
        <v>0</v>
      </c>
      <c r="F23" s="90">
        <f t="shared" si="4"/>
        <v>0</v>
      </c>
      <c r="G23" s="118"/>
      <c r="H23" s="118"/>
      <c r="I23" s="119"/>
      <c r="J23" s="91">
        <f t="shared" si="5"/>
        <v>0</v>
      </c>
      <c r="K23" s="118"/>
      <c r="L23" s="118"/>
      <c r="M23" s="119"/>
      <c r="N23" s="118"/>
    </row>
    <row r="24" spans="1:14" s="110" customFormat="1" ht="17.25" customHeight="1" x14ac:dyDescent="0.25">
      <c r="A24" s="111" t="s">
        <v>14</v>
      </c>
      <c r="B24" s="93">
        <f t="shared" si="2"/>
        <v>0</v>
      </c>
      <c r="C24" s="90">
        <f t="shared" si="6"/>
        <v>0</v>
      </c>
      <c r="D24" s="90">
        <f t="shared" si="3"/>
        <v>0</v>
      </c>
      <c r="E24" s="106">
        <f t="shared" si="3"/>
        <v>0</v>
      </c>
      <c r="F24" s="90">
        <f t="shared" si="4"/>
        <v>0</v>
      </c>
      <c r="G24" s="118"/>
      <c r="H24" s="118"/>
      <c r="I24" s="119"/>
      <c r="J24" s="91">
        <f t="shared" si="5"/>
        <v>0</v>
      </c>
      <c r="K24" s="118"/>
      <c r="L24" s="118"/>
      <c r="M24" s="119"/>
      <c r="N24" s="118"/>
    </row>
    <row r="25" spans="1:14" s="110" customFormat="1" ht="17.25" customHeight="1" x14ac:dyDescent="0.25">
      <c r="A25" s="111" t="s">
        <v>15</v>
      </c>
      <c r="B25" s="93">
        <f t="shared" si="2"/>
        <v>0</v>
      </c>
      <c r="C25" s="90">
        <f t="shared" si="6"/>
        <v>0</v>
      </c>
      <c r="D25" s="90">
        <f t="shared" si="3"/>
        <v>0</v>
      </c>
      <c r="E25" s="106">
        <f t="shared" si="3"/>
        <v>0</v>
      </c>
      <c r="F25" s="90">
        <f t="shared" si="4"/>
        <v>0</v>
      </c>
      <c r="G25" s="118"/>
      <c r="H25" s="118"/>
      <c r="I25" s="119"/>
      <c r="J25" s="91">
        <f t="shared" si="5"/>
        <v>0</v>
      </c>
      <c r="K25" s="118"/>
      <c r="L25" s="118"/>
      <c r="M25" s="119"/>
      <c r="N25" s="118"/>
    </row>
    <row r="26" spans="1:14" s="110" customFormat="1" ht="17.25" customHeight="1" x14ac:dyDescent="0.25">
      <c r="A26" s="111" t="s">
        <v>16</v>
      </c>
      <c r="B26" s="93">
        <f t="shared" si="2"/>
        <v>0</v>
      </c>
      <c r="C26" s="90">
        <f t="shared" si="6"/>
        <v>0</v>
      </c>
      <c r="D26" s="90">
        <f t="shared" si="3"/>
        <v>0</v>
      </c>
      <c r="E26" s="106">
        <f t="shared" si="3"/>
        <v>0</v>
      </c>
      <c r="F26" s="90">
        <f t="shared" si="4"/>
        <v>0</v>
      </c>
      <c r="G26" s="118"/>
      <c r="H26" s="118"/>
      <c r="I26" s="119"/>
      <c r="J26" s="91">
        <f t="shared" si="5"/>
        <v>0</v>
      </c>
      <c r="K26" s="118"/>
      <c r="L26" s="118"/>
      <c r="M26" s="119"/>
      <c r="N26" s="118"/>
    </row>
    <row r="27" spans="1:14" s="110" customFormat="1" ht="17.25" customHeight="1" x14ac:dyDescent="0.25">
      <c r="A27" s="111" t="s">
        <v>17</v>
      </c>
      <c r="B27" s="93">
        <f t="shared" si="2"/>
        <v>0</v>
      </c>
      <c r="C27" s="90">
        <f t="shared" si="6"/>
        <v>0</v>
      </c>
      <c r="D27" s="90">
        <f t="shared" si="3"/>
        <v>0</v>
      </c>
      <c r="E27" s="106">
        <f t="shared" si="3"/>
        <v>0</v>
      </c>
      <c r="F27" s="90">
        <f t="shared" si="4"/>
        <v>0</v>
      </c>
      <c r="G27" s="118"/>
      <c r="H27" s="118"/>
      <c r="I27" s="119"/>
      <c r="J27" s="91">
        <f t="shared" si="5"/>
        <v>0</v>
      </c>
      <c r="K27" s="118"/>
      <c r="L27" s="118"/>
      <c r="M27" s="119"/>
      <c r="N27" s="118"/>
    </row>
    <row r="28" spans="1:14" s="110" customFormat="1" ht="17.25" customHeight="1" x14ac:dyDescent="0.25">
      <c r="A28" s="111" t="s">
        <v>113</v>
      </c>
      <c r="B28" s="93">
        <f t="shared" si="2"/>
        <v>0</v>
      </c>
      <c r="C28" s="90">
        <f t="shared" si="6"/>
        <v>0</v>
      </c>
      <c r="D28" s="90">
        <f>H28+L28+N28</f>
        <v>0</v>
      </c>
      <c r="E28" s="106">
        <f t="shared" si="3"/>
        <v>0</v>
      </c>
      <c r="F28" s="90">
        <f t="shared" si="4"/>
        <v>0</v>
      </c>
      <c r="G28" s="118"/>
      <c r="H28" s="118"/>
      <c r="I28" s="119"/>
      <c r="J28" s="91">
        <f t="shared" si="5"/>
        <v>0</v>
      </c>
      <c r="K28" s="118"/>
      <c r="L28" s="118"/>
      <c r="M28" s="119"/>
      <c r="N28" s="118"/>
    </row>
    <row r="29" spans="1:14" s="110" customFormat="1" ht="17.25" customHeight="1" x14ac:dyDescent="0.25">
      <c r="A29" s="89" t="s">
        <v>22</v>
      </c>
      <c r="B29" s="112">
        <f t="shared" si="2"/>
        <v>0</v>
      </c>
      <c r="C29" s="99">
        <f t="shared" si="6"/>
        <v>0</v>
      </c>
      <c r="D29" s="99">
        <f t="shared" si="3"/>
        <v>0</v>
      </c>
      <c r="E29" s="109">
        <f t="shared" si="3"/>
        <v>0</v>
      </c>
      <c r="F29" s="99">
        <f>SUM(G29:I29)</f>
        <v>0</v>
      </c>
      <c r="G29" s="121"/>
      <c r="H29" s="121"/>
      <c r="I29" s="119"/>
      <c r="J29" s="100">
        <f t="shared" si="5"/>
        <v>0</v>
      </c>
      <c r="K29" s="121"/>
      <c r="L29" s="121"/>
      <c r="M29" s="122"/>
      <c r="N29" s="121"/>
    </row>
    <row r="30" spans="1:14" x14ac:dyDescent="0.2">
      <c r="A30" s="125" t="s">
        <v>121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6"/>
    </row>
    <row r="31" spans="1:14" x14ac:dyDescent="0.2">
      <c r="A31" s="126" t="s">
        <v>127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</row>
    <row r="32" spans="1:14" x14ac:dyDescent="0.2">
      <c r="A32" s="101" t="s">
        <v>25</v>
      </c>
    </row>
    <row r="33" spans="1:14" x14ac:dyDescent="0.2">
      <c r="A33" s="102" t="s">
        <v>116</v>
      </c>
    </row>
    <row r="34" spans="1:14" x14ac:dyDescent="0.2">
      <c r="A34" s="88"/>
    </row>
    <row r="42" spans="1:14" ht="21" x14ac:dyDescent="0.2">
      <c r="A42" s="127" t="s">
        <v>137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</row>
    <row r="43" spans="1:14" ht="15" x14ac:dyDescent="0.2">
      <c r="A43" s="128" t="s">
        <v>136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</row>
    <row r="44" spans="1:14" x14ac:dyDescent="0.2">
      <c r="A44" s="4"/>
      <c r="B44" s="5"/>
      <c r="C44" s="5"/>
      <c r="D44" s="6"/>
      <c r="E44" s="6"/>
      <c r="F44" s="56"/>
      <c r="G44" s="56"/>
      <c r="H44" s="7"/>
      <c r="I44" s="6"/>
      <c r="J44" s="5"/>
      <c r="K44" s="5"/>
      <c r="L44" s="6"/>
      <c r="M44" s="6"/>
      <c r="N44" s="5"/>
    </row>
    <row r="45" spans="1:14" ht="30" x14ac:dyDescent="0.2">
      <c r="A45" s="129" t="s">
        <v>38</v>
      </c>
      <c r="B45" s="131" t="s">
        <v>18</v>
      </c>
      <c r="C45" s="131"/>
      <c r="D45" s="131"/>
      <c r="E45" s="132"/>
      <c r="F45" s="131" t="s">
        <v>20</v>
      </c>
      <c r="G45" s="131"/>
      <c r="H45" s="131"/>
      <c r="I45" s="131"/>
      <c r="J45" s="133" t="s">
        <v>21</v>
      </c>
      <c r="K45" s="131"/>
      <c r="L45" s="131"/>
      <c r="M45" s="132"/>
      <c r="N45" s="113" t="s">
        <v>129</v>
      </c>
    </row>
    <row r="46" spans="1:14" ht="25.5" x14ac:dyDescent="0.2">
      <c r="A46" s="130"/>
      <c r="B46" s="96" t="s">
        <v>39</v>
      </c>
      <c r="C46" s="96" t="s">
        <v>3</v>
      </c>
      <c r="D46" s="96" t="s">
        <v>4</v>
      </c>
      <c r="E46" s="97" t="s">
        <v>118</v>
      </c>
      <c r="F46" s="96" t="s">
        <v>2</v>
      </c>
      <c r="G46" s="96" t="s">
        <v>3</v>
      </c>
      <c r="H46" s="96" t="s">
        <v>4</v>
      </c>
      <c r="I46" s="97" t="s">
        <v>118</v>
      </c>
      <c r="J46" s="98" t="s">
        <v>2</v>
      </c>
      <c r="K46" s="96" t="s">
        <v>3</v>
      </c>
      <c r="L46" s="96" t="s">
        <v>4</v>
      </c>
      <c r="M46" s="97" t="s">
        <v>118</v>
      </c>
      <c r="N46" s="96"/>
    </row>
    <row r="47" spans="1:14" ht="15" x14ac:dyDescent="0.2">
      <c r="A47" s="4" t="s">
        <v>40</v>
      </c>
      <c r="B47" s="93">
        <f>SUM(B52:B68)</f>
        <v>0</v>
      </c>
      <c r="C47" s="93">
        <f>SUM(C52:C68)</f>
        <v>0</v>
      </c>
      <c r="D47" s="93">
        <f t="shared" ref="D47:I47" si="7">SUM(D52:D68)</f>
        <v>0</v>
      </c>
      <c r="E47" s="94">
        <f t="shared" si="7"/>
        <v>0</v>
      </c>
      <c r="F47" s="93">
        <f t="shared" si="7"/>
        <v>0</v>
      </c>
      <c r="G47" s="93">
        <f t="shared" si="7"/>
        <v>0</v>
      </c>
      <c r="H47" s="93">
        <f t="shared" si="7"/>
        <v>0</v>
      </c>
      <c r="I47" s="93">
        <f t="shared" si="7"/>
        <v>0</v>
      </c>
      <c r="J47" s="95">
        <f>SUM(J52:J68)</f>
        <v>0</v>
      </c>
      <c r="K47" s="93">
        <f>SUM(K52:K68)</f>
        <v>0</v>
      </c>
      <c r="L47" s="93">
        <f>SUM(L52:L68)</f>
        <v>0</v>
      </c>
      <c r="M47" s="94">
        <f>SUM(M52:M68)</f>
        <v>0</v>
      </c>
      <c r="N47" s="93">
        <f>SUM(N52:N68)</f>
        <v>0</v>
      </c>
    </row>
    <row r="48" spans="1:14" ht="15" x14ac:dyDescent="0.2">
      <c r="A48" s="89" t="s">
        <v>30</v>
      </c>
      <c r="B48" s="90">
        <f>SUM(C48:E48)</f>
        <v>0</v>
      </c>
      <c r="C48" s="90">
        <f t="shared" ref="C48:C51" si="8">G48+K48</f>
        <v>0</v>
      </c>
      <c r="D48" s="90">
        <f t="shared" ref="D48:D51" si="9">H48+L48</f>
        <v>0</v>
      </c>
      <c r="E48" s="106">
        <f t="shared" ref="E48:E51" si="10">I48+M48</f>
        <v>0</v>
      </c>
      <c r="F48" s="90">
        <f>SUM(G48:I48)</f>
        <v>0</v>
      </c>
      <c r="G48" s="118"/>
      <c r="H48" s="118"/>
      <c r="I48" s="119"/>
      <c r="J48" s="91">
        <f>SUM(K48:M48)</f>
        <v>0</v>
      </c>
      <c r="K48" s="118"/>
      <c r="L48" s="118"/>
      <c r="M48" s="120"/>
      <c r="N48" s="118"/>
    </row>
    <row r="49" spans="1:14" ht="15" x14ac:dyDescent="0.2">
      <c r="A49" s="89" t="s">
        <v>32</v>
      </c>
      <c r="B49" s="90">
        <f>SUM(C49:E49)</f>
        <v>0</v>
      </c>
      <c r="C49" s="90">
        <f t="shared" si="8"/>
        <v>0</v>
      </c>
      <c r="D49" s="90">
        <f t="shared" si="9"/>
        <v>0</v>
      </c>
      <c r="E49" s="106">
        <f t="shared" si="10"/>
        <v>0</v>
      </c>
      <c r="F49" s="90">
        <f>SUM(G49:I49)</f>
        <v>0</v>
      </c>
      <c r="G49" s="118"/>
      <c r="H49" s="118"/>
      <c r="I49" s="119"/>
      <c r="J49" s="91">
        <f>SUM(K49:L49)</f>
        <v>0</v>
      </c>
      <c r="K49" s="118"/>
      <c r="L49" s="118"/>
      <c r="M49" s="120"/>
      <c r="N49" s="118"/>
    </row>
    <row r="50" spans="1:14" ht="15" x14ac:dyDescent="0.2">
      <c r="A50" s="89" t="s">
        <v>41</v>
      </c>
      <c r="B50" s="90">
        <f>SUM(C50:E50)</f>
        <v>0</v>
      </c>
      <c r="C50" s="90">
        <f t="shared" si="8"/>
        <v>0</v>
      </c>
      <c r="D50" s="90">
        <f t="shared" si="9"/>
        <v>0</v>
      </c>
      <c r="E50" s="106">
        <f t="shared" si="10"/>
        <v>0</v>
      </c>
      <c r="F50" s="90">
        <f>SUM(G50:I50)</f>
        <v>0</v>
      </c>
      <c r="G50" s="118"/>
      <c r="H50" s="118"/>
      <c r="I50" s="119"/>
      <c r="J50" s="91">
        <f>SUM(K50:L50)</f>
        <v>0</v>
      </c>
      <c r="K50" s="118"/>
      <c r="L50" s="118"/>
      <c r="M50" s="120"/>
      <c r="N50" s="118"/>
    </row>
    <row r="51" spans="1:14" ht="15" x14ac:dyDescent="0.2">
      <c r="A51" s="89" t="s">
        <v>22</v>
      </c>
      <c r="B51" s="90">
        <f>SUM(C51:E51)</f>
        <v>0</v>
      </c>
      <c r="C51" s="90">
        <f t="shared" si="8"/>
        <v>0</v>
      </c>
      <c r="D51" s="90">
        <f t="shared" si="9"/>
        <v>0</v>
      </c>
      <c r="E51" s="106">
        <f t="shared" si="10"/>
        <v>0</v>
      </c>
      <c r="F51" s="90">
        <f>SUM(G51:I51)</f>
        <v>0</v>
      </c>
      <c r="G51" s="118"/>
      <c r="H51" s="118"/>
      <c r="I51" s="119"/>
      <c r="J51" s="91">
        <f>SUM(K51:M51)</f>
        <v>0</v>
      </c>
      <c r="K51" s="118"/>
      <c r="L51" s="118"/>
      <c r="M51" s="120"/>
      <c r="N51" s="118"/>
    </row>
    <row r="52" spans="1:14" ht="15" x14ac:dyDescent="0.2">
      <c r="A52" s="89" t="s">
        <v>6</v>
      </c>
      <c r="B52" s="93">
        <f>SUM(C52:E52)</f>
        <v>0</v>
      </c>
      <c r="C52" s="108">
        <f>SUM(C48:C51)</f>
        <v>0</v>
      </c>
      <c r="D52" s="108">
        <f>SUM(D48:D51)</f>
        <v>0</v>
      </c>
      <c r="E52" s="94">
        <f>I52+M52</f>
        <v>0</v>
      </c>
      <c r="F52" s="93">
        <f>SUM(G52:I52)</f>
        <v>0</v>
      </c>
      <c r="G52" s="108">
        <f>SUM(G48:G51)</f>
        <v>0</v>
      </c>
      <c r="H52" s="108">
        <f>SUM(H48:H51)</f>
        <v>0</v>
      </c>
      <c r="I52" s="108">
        <f>SUM(I48:I51)</f>
        <v>0</v>
      </c>
      <c r="J52" s="95">
        <f>SUM(K52:M52)</f>
        <v>0</v>
      </c>
      <c r="K52" s="108">
        <f>SUM(K48:K51)</f>
        <v>0</v>
      </c>
      <c r="L52" s="108">
        <f>SUM(L48:L51)</f>
        <v>0</v>
      </c>
      <c r="M52" s="94">
        <f>SUM(M48:M51)</f>
        <v>0</v>
      </c>
      <c r="N52" s="108">
        <f>SUM(N48:N51)</f>
        <v>0</v>
      </c>
    </row>
    <row r="53" spans="1:14" ht="15" x14ac:dyDescent="0.2">
      <c r="A53" s="111" t="s">
        <v>8</v>
      </c>
      <c r="B53" s="93">
        <f t="shared" ref="B53:B68" si="11">SUM(C53:E53)</f>
        <v>0</v>
      </c>
      <c r="C53" s="90">
        <f>G53+K53</f>
        <v>0</v>
      </c>
      <c r="D53" s="90">
        <f t="shared" ref="D53:D66" si="12">H53+L53</f>
        <v>0</v>
      </c>
      <c r="E53" s="106">
        <f t="shared" ref="E53:E68" si="13">I53+M53</f>
        <v>0</v>
      </c>
      <c r="F53" s="90">
        <f t="shared" ref="F53:F67" si="14">SUM(G53:H53)</f>
        <v>0</v>
      </c>
      <c r="G53" s="118"/>
      <c r="H53" s="118"/>
      <c r="I53" s="119"/>
      <c r="J53" s="91">
        <f t="shared" ref="J53:J55" si="15">SUM(K53:L53)</f>
        <v>0</v>
      </c>
      <c r="K53" s="118"/>
      <c r="L53" s="118"/>
      <c r="M53" s="119"/>
      <c r="N53" s="118"/>
    </row>
    <row r="54" spans="1:14" ht="15" x14ac:dyDescent="0.2">
      <c r="A54" s="111" t="s">
        <v>5</v>
      </c>
      <c r="B54" s="93">
        <f t="shared" si="11"/>
        <v>0</v>
      </c>
      <c r="C54" s="90">
        <f t="shared" ref="C54:C68" si="16">G54+K54</f>
        <v>0</v>
      </c>
      <c r="D54" s="90">
        <f t="shared" si="12"/>
        <v>0</v>
      </c>
      <c r="E54" s="106">
        <f t="shared" si="13"/>
        <v>0</v>
      </c>
      <c r="F54" s="90">
        <f t="shared" si="14"/>
        <v>0</v>
      </c>
      <c r="G54" s="118"/>
      <c r="H54" s="118"/>
      <c r="I54" s="119"/>
      <c r="J54" s="91">
        <f t="shared" si="15"/>
        <v>0</v>
      </c>
      <c r="K54" s="118"/>
      <c r="L54" s="118"/>
      <c r="M54" s="119"/>
      <c r="N54" s="118"/>
    </row>
    <row r="55" spans="1:14" ht="15" x14ac:dyDescent="0.2">
      <c r="A55" s="111" t="s">
        <v>7</v>
      </c>
      <c r="B55" s="93">
        <f t="shared" si="11"/>
        <v>0</v>
      </c>
      <c r="C55" s="90">
        <f t="shared" si="16"/>
        <v>0</v>
      </c>
      <c r="D55" s="90">
        <f t="shared" si="12"/>
        <v>0</v>
      </c>
      <c r="E55" s="106">
        <f t="shared" si="13"/>
        <v>0</v>
      </c>
      <c r="F55" s="90">
        <f t="shared" si="14"/>
        <v>0</v>
      </c>
      <c r="G55" s="118"/>
      <c r="H55" s="118"/>
      <c r="I55" s="119"/>
      <c r="J55" s="91">
        <f t="shared" si="15"/>
        <v>0</v>
      </c>
      <c r="K55" s="118"/>
      <c r="L55" s="118"/>
      <c r="M55" s="119"/>
      <c r="N55" s="118"/>
    </row>
    <row r="56" spans="1:14" ht="15" x14ac:dyDescent="0.2">
      <c r="A56" s="111" t="s">
        <v>9</v>
      </c>
      <c r="B56" s="93">
        <f t="shared" si="11"/>
        <v>0</v>
      </c>
      <c r="C56" s="90">
        <f t="shared" si="16"/>
        <v>0</v>
      </c>
      <c r="D56" s="90">
        <f t="shared" si="12"/>
        <v>0</v>
      </c>
      <c r="E56" s="106">
        <f t="shared" si="13"/>
        <v>0</v>
      </c>
      <c r="F56" s="90">
        <f t="shared" si="14"/>
        <v>0</v>
      </c>
      <c r="G56" s="118"/>
      <c r="H56" s="118"/>
      <c r="I56" s="119"/>
      <c r="J56" s="91">
        <f>SUM(K56:L56)</f>
        <v>0</v>
      </c>
      <c r="K56" s="118"/>
      <c r="L56" s="118"/>
      <c r="M56" s="119"/>
      <c r="N56" s="118"/>
    </row>
    <row r="57" spans="1:14" ht="15" x14ac:dyDescent="0.2">
      <c r="A57" s="111" t="s">
        <v>10</v>
      </c>
      <c r="B57" s="93">
        <f t="shared" si="11"/>
        <v>0</v>
      </c>
      <c r="C57" s="90">
        <f t="shared" si="16"/>
        <v>0</v>
      </c>
      <c r="D57" s="90">
        <f t="shared" si="12"/>
        <v>0</v>
      </c>
      <c r="E57" s="106">
        <f t="shared" si="13"/>
        <v>0</v>
      </c>
      <c r="F57" s="90">
        <f t="shared" si="14"/>
        <v>0</v>
      </c>
      <c r="G57" s="118"/>
      <c r="H57" s="118"/>
      <c r="I57" s="119"/>
      <c r="J57" s="91">
        <f t="shared" ref="J57:J68" si="17">SUM(K57:L57)</f>
        <v>0</v>
      </c>
      <c r="K57" s="118"/>
      <c r="L57" s="118"/>
      <c r="M57" s="119"/>
      <c r="N57" s="118"/>
    </row>
    <row r="58" spans="1:14" ht="15" x14ac:dyDescent="0.2">
      <c r="A58" s="111" t="s">
        <v>111</v>
      </c>
      <c r="B58" s="93">
        <f t="shared" si="11"/>
        <v>0</v>
      </c>
      <c r="C58" s="90">
        <f t="shared" si="16"/>
        <v>0</v>
      </c>
      <c r="D58" s="90">
        <f t="shared" si="12"/>
        <v>0</v>
      </c>
      <c r="E58" s="106">
        <f t="shared" si="13"/>
        <v>0</v>
      </c>
      <c r="F58" s="90">
        <f t="shared" si="14"/>
        <v>0</v>
      </c>
      <c r="G58" s="118"/>
      <c r="H58" s="118"/>
      <c r="I58" s="119"/>
      <c r="J58" s="91">
        <f t="shared" si="17"/>
        <v>0</v>
      </c>
      <c r="K58" s="118"/>
      <c r="L58" s="118"/>
      <c r="M58" s="119"/>
      <c r="N58" s="118"/>
    </row>
    <row r="59" spans="1:14" ht="15" x14ac:dyDescent="0.2">
      <c r="A59" s="111" t="s">
        <v>11</v>
      </c>
      <c r="B59" s="93">
        <f t="shared" si="11"/>
        <v>0</v>
      </c>
      <c r="C59" s="90">
        <f t="shared" si="16"/>
        <v>0</v>
      </c>
      <c r="D59" s="90">
        <f t="shared" si="12"/>
        <v>0</v>
      </c>
      <c r="E59" s="106">
        <f t="shared" si="13"/>
        <v>0</v>
      </c>
      <c r="F59" s="90">
        <f t="shared" si="14"/>
        <v>0</v>
      </c>
      <c r="G59" s="118"/>
      <c r="H59" s="118"/>
      <c r="I59" s="119"/>
      <c r="J59" s="91">
        <f t="shared" si="17"/>
        <v>0</v>
      </c>
      <c r="K59" s="118"/>
      <c r="L59" s="118"/>
      <c r="M59" s="119"/>
      <c r="N59" s="118"/>
    </row>
    <row r="60" spans="1:14" ht="15" x14ac:dyDescent="0.2">
      <c r="A60" s="111" t="s">
        <v>12</v>
      </c>
      <c r="B60" s="93">
        <f t="shared" si="11"/>
        <v>0</v>
      </c>
      <c r="C60" s="90">
        <f t="shared" si="16"/>
        <v>0</v>
      </c>
      <c r="D60" s="90">
        <f t="shared" si="12"/>
        <v>0</v>
      </c>
      <c r="E60" s="106">
        <f t="shared" si="13"/>
        <v>0</v>
      </c>
      <c r="F60" s="90">
        <f t="shared" si="14"/>
        <v>0</v>
      </c>
      <c r="G60" s="118"/>
      <c r="H60" s="118"/>
      <c r="I60" s="119"/>
      <c r="J60" s="91">
        <f t="shared" si="17"/>
        <v>0</v>
      </c>
      <c r="K60" s="118"/>
      <c r="L60" s="118"/>
      <c r="M60" s="119"/>
      <c r="N60" s="118"/>
    </row>
    <row r="61" spans="1:14" ht="15" x14ac:dyDescent="0.2">
      <c r="A61" s="111" t="s">
        <v>112</v>
      </c>
      <c r="B61" s="93">
        <f t="shared" si="11"/>
        <v>0</v>
      </c>
      <c r="C61" s="90">
        <f t="shared" si="16"/>
        <v>0</v>
      </c>
      <c r="D61" s="90">
        <f t="shared" si="12"/>
        <v>0</v>
      </c>
      <c r="E61" s="106">
        <f t="shared" si="13"/>
        <v>0</v>
      </c>
      <c r="F61" s="90">
        <f t="shared" si="14"/>
        <v>0</v>
      </c>
      <c r="G61" s="118"/>
      <c r="H61" s="118"/>
      <c r="I61" s="119"/>
      <c r="J61" s="91">
        <f t="shared" si="17"/>
        <v>0</v>
      </c>
      <c r="K61" s="118"/>
      <c r="L61" s="118"/>
      <c r="M61" s="119"/>
      <c r="N61" s="118"/>
    </row>
    <row r="62" spans="1:14" ht="15" x14ac:dyDescent="0.2">
      <c r="A62" s="111" t="s">
        <v>13</v>
      </c>
      <c r="B62" s="93">
        <f t="shared" si="11"/>
        <v>0</v>
      </c>
      <c r="C62" s="90">
        <f t="shared" si="16"/>
        <v>0</v>
      </c>
      <c r="D62" s="90">
        <f t="shared" si="12"/>
        <v>0</v>
      </c>
      <c r="E62" s="106">
        <f t="shared" si="13"/>
        <v>0</v>
      </c>
      <c r="F62" s="90">
        <f t="shared" si="14"/>
        <v>0</v>
      </c>
      <c r="G62" s="118"/>
      <c r="H62" s="118"/>
      <c r="I62" s="119"/>
      <c r="J62" s="91">
        <f t="shared" si="17"/>
        <v>0</v>
      </c>
      <c r="K62" s="118"/>
      <c r="L62" s="118"/>
      <c r="M62" s="119"/>
      <c r="N62" s="118"/>
    </row>
    <row r="63" spans="1:14" ht="15" x14ac:dyDescent="0.2">
      <c r="A63" s="111" t="s">
        <v>14</v>
      </c>
      <c r="B63" s="93">
        <f t="shared" si="11"/>
        <v>0</v>
      </c>
      <c r="C63" s="90">
        <f t="shared" si="16"/>
        <v>0</v>
      </c>
      <c r="D63" s="90">
        <f t="shared" si="12"/>
        <v>0</v>
      </c>
      <c r="E63" s="106">
        <f t="shared" si="13"/>
        <v>0</v>
      </c>
      <c r="F63" s="90">
        <f t="shared" si="14"/>
        <v>0</v>
      </c>
      <c r="G63" s="118"/>
      <c r="H63" s="118"/>
      <c r="I63" s="119"/>
      <c r="J63" s="91">
        <f t="shared" si="17"/>
        <v>0</v>
      </c>
      <c r="K63" s="118"/>
      <c r="L63" s="118"/>
      <c r="M63" s="119"/>
      <c r="N63" s="118"/>
    </row>
    <row r="64" spans="1:14" ht="15" x14ac:dyDescent="0.2">
      <c r="A64" s="111" t="s">
        <v>15</v>
      </c>
      <c r="B64" s="93">
        <f t="shared" si="11"/>
        <v>0</v>
      </c>
      <c r="C64" s="90">
        <f t="shared" si="16"/>
        <v>0</v>
      </c>
      <c r="D64" s="90">
        <f t="shared" si="12"/>
        <v>0</v>
      </c>
      <c r="E64" s="106">
        <f t="shared" si="13"/>
        <v>0</v>
      </c>
      <c r="F64" s="90">
        <f t="shared" si="14"/>
        <v>0</v>
      </c>
      <c r="G64" s="118"/>
      <c r="H64" s="118"/>
      <c r="I64" s="119"/>
      <c r="J64" s="91">
        <f t="shared" si="17"/>
        <v>0</v>
      </c>
      <c r="K64" s="118"/>
      <c r="L64" s="118"/>
      <c r="M64" s="119"/>
      <c r="N64" s="118"/>
    </row>
    <row r="65" spans="1:14" ht="15" x14ac:dyDescent="0.2">
      <c r="A65" s="111" t="s">
        <v>16</v>
      </c>
      <c r="B65" s="93">
        <f t="shared" si="11"/>
        <v>0</v>
      </c>
      <c r="C65" s="90">
        <f t="shared" si="16"/>
        <v>0</v>
      </c>
      <c r="D65" s="90">
        <f t="shared" si="12"/>
        <v>0</v>
      </c>
      <c r="E65" s="106">
        <f t="shared" si="13"/>
        <v>0</v>
      </c>
      <c r="F65" s="90">
        <f t="shared" si="14"/>
        <v>0</v>
      </c>
      <c r="G65" s="118"/>
      <c r="H65" s="118"/>
      <c r="I65" s="119"/>
      <c r="J65" s="91">
        <f t="shared" si="17"/>
        <v>0</v>
      </c>
      <c r="K65" s="118"/>
      <c r="L65" s="118"/>
      <c r="M65" s="119"/>
      <c r="N65" s="118"/>
    </row>
    <row r="66" spans="1:14" ht="15" x14ac:dyDescent="0.2">
      <c r="A66" s="111" t="s">
        <v>17</v>
      </c>
      <c r="B66" s="93">
        <f t="shared" si="11"/>
        <v>0</v>
      </c>
      <c r="C66" s="90">
        <f t="shared" si="16"/>
        <v>0</v>
      </c>
      <c r="D66" s="90">
        <f t="shared" si="12"/>
        <v>0</v>
      </c>
      <c r="E66" s="106">
        <f t="shared" si="13"/>
        <v>0</v>
      </c>
      <c r="F66" s="90">
        <f t="shared" si="14"/>
        <v>0</v>
      </c>
      <c r="G66" s="118"/>
      <c r="H66" s="118"/>
      <c r="I66" s="119"/>
      <c r="J66" s="91">
        <f t="shared" si="17"/>
        <v>0</v>
      </c>
      <c r="K66" s="118"/>
      <c r="L66" s="118"/>
      <c r="M66" s="119"/>
      <c r="N66" s="118"/>
    </row>
    <row r="67" spans="1:14" ht="15" x14ac:dyDescent="0.2">
      <c r="A67" s="111" t="s">
        <v>113</v>
      </c>
      <c r="B67" s="93">
        <f t="shared" si="11"/>
        <v>0</v>
      </c>
      <c r="C67" s="90">
        <f t="shared" si="16"/>
        <v>0</v>
      </c>
      <c r="D67" s="90">
        <f>H67+L67+N67</f>
        <v>0</v>
      </c>
      <c r="E67" s="106">
        <f t="shared" si="13"/>
        <v>0</v>
      </c>
      <c r="F67" s="90">
        <f t="shared" si="14"/>
        <v>0</v>
      </c>
      <c r="G67" s="118"/>
      <c r="H67" s="118"/>
      <c r="I67" s="119"/>
      <c r="J67" s="91">
        <f t="shared" si="17"/>
        <v>0</v>
      </c>
      <c r="K67" s="118"/>
      <c r="L67" s="118"/>
      <c r="M67" s="119"/>
      <c r="N67" s="118"/>
    </row>
    <row r="68" spans="1:14" ht="15" x14ac:dyDescent="0.2">
      <c r="A68" s="89" t="s">
        <v>22</v>
      </c>
      <c r="B68" s="112">
        <f t="shared" si="11"/>
        <v>0</v>
      </c>
      <c r="C68" s="99">
        <f t="shared" si="16"/>
        <v>0</v>
      </c>
      <c r="D68" s="99">
        <f t="shared" ref="D68" si="18">H68+L68</f>
        <v>0</v>
      </c>
      <c r="E68" s="109">
        <f t="shared" si="13"/>
        <v>0</v>
      </c>
      <c r="F68" s="99">
        <f>SUM(G68:I68)</f>
        <v>0</v>
      </c>
      <c r="G68" s="121"/>
      <c r="H68" s="121"/>
      <c r="I68" s="119"/>
      <c r="J68" s="100">
        <f t="shared" si="17"/>
        <v>0</v>
      </c>
      <c r="K68" s="121"/>
      <c r="L68" s="121"/>
      <c r="M68" s="122"/>
      <c r="N68" s="121"/>
    </row>
    <row r="69" spans="1:14" x14ac:dyDescent="0.2">
      <c r="A69" s="125" t="s">
        <v>121</v>
      </c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6"/>
    </row>
    <row r="70" spans="1:14" x14ac:dyDescent="0.2">
      <c r="A70" s="126" t="s">
        <v>127</v>
      </c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</row>
    <row r="71" spans="1:14" x14ac:dyDescent="0.2">
      <c r="A71" s="101" t="s">
        <v>25</v>
      </c>
    </row>
    <row r="72" spans="1:14" x14ac:dyDescent="0.2">
      <c r="A72" s="102" t="s">
        <v>116</v>
      </c>
    </row>
    <row r="73" spans="1:14" x14ac:dyDescent="0.2">
      <c r="A73" s="88"/>
    </row>
    <row r="78" spans="1:14" ht="21" x14ac:dyDescent="0.2">
      <c r="A78" s="127" t="s">
        <v>139</v>
      </c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</row>
    <row r="79" spans="1:14" ht="15" x14ac:dyDescent="0.2">
      <c r="A79" s="128" t="s">
        <v>138</v>
      </c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</row>
    <row r="80" spans="1:14" x14ac:dyDescent="0.2">
      <c r="A80" s="4"/>
      <c r="B80" s="5"/>
      <c r="C80" s="5"/>
      <c r="D80" s="6"/>
      <c r="E80" s="6"/>
      <c r="F80" s="56"/>
      <c r="G80" s="56"/>
      <c r="H80" s="7"/>
      <c r="I80" s="6"/>
      <c r="J80" s="5"/>
      <c r="K80" s="5"/>
      <c r="L80" s="6"/>
      <c r="M80" s="6"/>
      <c r="N80" s="5"/>
    </row>
    <row r="81" spans="1:14" ht="30" x14ac:dyDescent="0.2">
      <c r="A81" s="129" t="s">
        <v>38</v>
      </c>
      <c r="B81" s="131" t="s">
        <v>18</v>
      </c>
      <c r="C81" s="131"/>
      <c r="D81" s="131"/>
      <c r="E81" s="132"/>
      <c r="F81" s="131" t="s">
        <v>20</v>
      </c>
      <c r="G81" s="131"/>
      <c r="H81" s="131"/>
      <c r="I81" s="131"/>
      <c r="J81" s="133" t="s">
        <v>21</v>
      </c>
      <c r="K81" s="131"/>
      <c r="L81" s="131"/>
      <c r="M81" s="132"/>
      <c r="N81" s="113" t="s">
        <v>129</v>
      </c>
    </row>
    <row r="82" spans="1:14" ht="25.5" x14ac:dyDescent="0.2">
      <c r="A82" s="130"/>
      <c r="B82" s="96" t="s">
        <v>39</v>
      </c>
      <c r="C82" s="96" t="s">
        <v>3</v>
      </c>
      <c r="D82" s="96" t="s">
        <v>4</v>
      </c>
      <c r="E82" s="97" t="s">
        <v>118</v>
      </c>
      <c r="F82" s="96" t="s">
        <v>2</v>
      </c>
      <c r="G82" s="96" t="s">
        <v>3</v>
      </c>
      <c r="H82" s="96" t="s">
        <v>4</v>
      </c>
      <c r="I82" s="97" t="s">
        <v>118</v>
      </c>
      <c r="J82" s="98" t="s">
        <v>2</v>
      </c>
      <c r="K82" s="96" t="s">
        <v>3</v>
      </c>
      <c r="L82" s="96" t="s">
        <v>4</v>
      </c>
      <c r="M82" s="97" t="s">
        <v>118</v>
      </c>
      <c r="N82" s="96"/>
    </row>
    <row r="83" spans="1:14" ht="15" x14ac:dyDescent="0.2">
      <c r="A83" s="4" t="s">
        <v>40</v>
      </c>
      <c r="B83" s="93">
        <f>SUM(B88:B104)</f>
        <v>0</v>
      </c>
      <c r="C83" s="93">
        <f>SUM(C88:C104)</f>
        <v>0</v>
      </c>
      <c r="D83" s="93">
        <f t="shared" ref="D83:I83" si="19">SUM(D88:D104)</f>
        <v>0</v>
      </c>
      <c r="E83" s="94">
        <f t="shared" si="19"/>
        <v>0</v>
      </c>
      <c r="F83" s="93">
        <f t="shared" si="19"/>
        <v>0</v>
      </c>
      <c r="G83" s="93">
        <f t="shared" si="19"/>
        <v>0</v>
      </c>
      <c r="H83" s="93">
        <f t="shared" si="19"/>
        <v>0</v>
      </c>
      <c r="I83" s="93">
        <f t="shared" si="19"/>
        <v>0</v>
      </c>
      <c r="J83" s="95">
        <f>SUM(J88:J104)</f>
        <v>0</v>
      </c>
      <c r="K83" s="93">
        <f>SUM(K88:K104)</f>
        <v>0</v>
      </c>
      <c r="L83" s="93">
        <f>SUM(L88:L104)</f>
        <v>0</v>
      </c>
      <c r="M83" s="94">
        <f>SUM(M88:M104)</f>
        <v>0</v>
      </c>
      <c r="N83" s="93">
        <f>SUM(N88:N104)</f>
        <v>0</v>
      </c>
    </row>
    <row r="84" spans="1:14" ht="15" x14ac:dyDescent="0.2">
      <c r="A84" s="89" t="s">
        <v>30</v>
      </c>
      <c r="B84" s="90">
        <f>SUM(C84:E84)</f>
        <v>0</v>
      </c>
      <c r="C84" s="90">
        <f t="shared" ref="C84:C87" si="20">G84+K84</f>
        <v>0</v>
      </c>
      <c r="D84" s="90">
        <f t="shared" ref="D84:D87" si="21">H84+L84</f>
        <v>0</v>
      </c>
      <c r="E84" s="106">
        <f t="shared" ref="E84:E87" si="22">I84+M84</f>
        <v>0</v>
      </c>
      <c r="F84" s="90">
        <f>SUM(G84:I84)</f>
        <v>0</v>
      </c>
      <c r="G84" s="118"/>
      <c r="H84" s="118"/>
      <c r="I84" s="119"/>
      <c r="J84" s="91">
        <f>SUM(K84:M84)</f>
        <v>0</v>
      </c>
      <c r="K84" s="118"/>
      <c r="L84" s="118"/>
      <c r="M84" s="120"/>
      <c r="N84" s="118"/>
    </row>
    <row r="85" spans="1:14" ht="15" x14ac:dyDescent="0.2">
      <c r="A85" s="89" t="s">
        <v>32</v>
      </c>
      <c r="B85" s="90">
        <f>SUM(C85:E85)</f>
        <v>0</v>
      </c>
      <c r="C85" s="90">
        <f t="shared" si="20"/>
        <v>0</v>
      </c>
      <c r="D85" s="90">
        <f t="shared" si="21"/>
        <v>0</v>
      </c>
      <c r="E85" s="106">
        <f t="shared" si="22"/>
        <v>0</v>
      </c>
      <c r="F85" s="90">
        <f>SUM(G85:I85)</f>
        <v>0</v>
      </c>
      <c r="G85" s="118"/>
      <c r="H85" s="118"/>
      <c r="I85" s="119"/>
      <c r="J85" s="91">
        <f>SUM(K85:L85)</f>
        <v>0</v>
      </c>
      <c r="K85" s="118"/>
      <c r="L85" s="118"/>
      <c r="M85" s="120"/>
      <c r="N85" s="118"/>
    </row>
    <row r="86" spans="1:14" ht="15" x14ac:dyDescent="0.2">
      <c r="A86" s="89" t="s">
        <v>41</v>
      </c>
      <c r="B86" s="90">
        <f>SUM(C86:E86)</f>
        <v>0</v>
      </c>
      <c r="C86" s="90">
        <f t="shared" si="20"/>
        <v>0</v>
      </c>
      <c r="D86" s="90">
        <f t="shared" si="21"/>
        <v>0</v>
      </c>
      <c r="E86" s="106">
        <f t="shared" si="22"/>
        <v>0</v>
      </c>
      <c r="F86" s="90">
        <f>SUM(G86:I86)</f>
        <v>0</v>
      </c>
      <c r="G86" s="118"/>
      <c r="H86" s="118"/>
      <c r="I86" s="119"/>
      <c r="J86" s="91">
        <f>SUM(K86:L86)</f>
        <v>0</v>
      </c>
      <c r="K86" s="118"/>
      <c r="L86" s="118"/>
      <c r="M86" s="120"/>
      <c r="N86" s="118"/>
    </row>
    <row r="87" spans="1:14" ht="15" x14ac:dyDescent="0.2">
      <c r="A87" s="89" t="s">
        <v>22</v>
      </c>
      <c r="B87" s="90">
        <f>SUM(C87:E87)</f>
        <v>0</v>
      </c>
      <c r="C87" s="90">
        <f t="shared" si="20"/>
        <v>0</v>
      </c>
      <c r="D87" s="90">
        <f t="shared" si="21"/>
        <v>0</v>
      </c>
      <c r="E87" s="106">
        <f t="shared" si="22"/>
        <v>0</v>
      </c>
      <c r="F87" s="90">
        <f>SUM(G87:I87)</f>
        <v>0</v>
      </c>
      <c r="G87" s="118"/>
      <c r="H87" s="118"/>
      <c r="I87" s="119"/>
      <c r="J87" s="91">
        <f>SUM(K87:M87)</f>
        <v>0</v>
      </c>
      <c r="K87" s="118"/>
      <c r="L87" s="118"/>
      <c r="M87" s="120"/>
      <c r="N87" s="118"/>
    </row>
    <row r="88" spans="1:14" ht="15" x14ac:dyDescent="0.2">
      <c r="A88" s="89" t="s">
        <v>6</v>
      </c>
      <c r="B88" s="93">
        <f>SUM(C88:E88)</f>
        <v>0</v>
      </c>
      <c r="C88" s="108">
        <f>SUM(C84:C87)</f>
        <v>0</v>
      </c>
      <c r="D88" s="108">
        <f>SUM(D84:D87)</f>
        <v>0</v>
      </c>
      <c r="E88" s="94">
        <f>I88+M88</f>
        <v>0</v>
      </c>
      <c r="F88" s="93">
        <f>SUM(G88:I88)</f>
        <v>0</v>
      </c>
      <c r="G88" s="108">
        <f>SUM(G84:G87)</f>
        <v>0</v>
      </c>
      <c r="H88" s="108">
        <f>SUM(H84:H87)</f>
        <v>0</v>
      </c>
      <c r="I88" s="108">
        <f>SUM(I84:I87)</f>
        <v>0</v>
      </c>
      <c r="J88" s="95">
        <f>SUM(K88:M88)</f>
        <v>0</v>
      </c>
      <c r="K88" s="108">
        <f>SUM(K84:K87)</f>
        <v>0</v>
      </c>
      <c r="L88" s="108">
        <f>SUM(L84:L87)</f>
        <v>0</v>
      </c>
      <c r="M88" s="94">
        <f>SUM(M84:M87)</f>
        <v>0</v>
      </c>
      <c r="N88" s="108">
        <f>SUM(N84:N87)</f>
        <v>0</v>
      </c>
    </row>
    <row r="89" spans="1:14" ht="15" x14ac:dyDescent="0.2">
      <c r="A89" s="111" t="s">
        <v>8</v>
      </c>
      <c r="B89" s="93">
        <f t="shared" ref="B89:B104" si="23">SUM(C89:E89)</f>
        <v>0</v>
      </c>
      <c r="C89" s="90">
        <f>G89+K89</f>
        <v>0</v>
      </c>
      <c r="D89" s="90">
        <f t="shared" ref="D89:D102" si="24">H89+L89</f>
        <v>0</v>
      </c>
      <c r="E89" s="106">
        <f t="shared" ref="E89:E104" si="25">I89+M89</f>
        <v>0</v>
      </c>
      <c r="F89" s="90">
        <f t="shared" ref="F89:F103" si="26">SUM(G89:H89)</f>
        <v>0</v>
      </c>
      <c r="G89" s="118"/>
      <c r="H89" s="118"/>
      <c r="I89" s="119"/>
      <c r="J89" s="91">
        <f t="shared" ref="J89:J91" si="27">SUM(K89:L89)</f>
        <v>0</v>
      </c>
      <c r="K89" s="118"/>
      <c r="L89" s="118"/>
      <c r="M89" s="119"/>
      <c r="N89" s="118"/>
    </row>
    <row r="90" spans="1:14" ht="15" x14ac:dyDescent="0.2">
      <c r="A90" s="111" t="s">
        <v>5</v>
      </c>
      <c r="B90" s="93">
        <f t="shared" si="23"/>
        <v>0</v>
      </c>
      <c r="C90" s="90">
        <f t="shared" ref="C90:C104" si="28">G90+K90</f>
        <v>0</v>
      </c>
      <c r="D90" s="90">
        <f t="shared" si="24"/>
        <v>0</v>
      </c>
      <c r="E90" s="106">
        <f t="shared" si="25"/>
        <v>0</v>
      </c>
      <c r="F90" s="90">
        <f t="shared" si="26"/>
        <v>0</v>
      </c>
      <c r="G90" s="118"/>
      <c r="H90" s="118"/>
      <c r="I90" s="119"/>
      <c r="J90" s="91">
        <f t="shared" si="27"/>
        <v>0</v>
      </c>
      <c r="K90" s="118"/>
      <c r="L90" s="118"/>
      <c r="M90" s="119"/>
      <c r="N90" s="118"/>
    </row>
    <row r="91" spans="1:14" ht="15" x14ac:dyDescent="0.2">
      <c r="A91" s="111" t="s">
        <v>7</v>
      </c>
      <c r="B91" s="93">
        <f t="shared" si="23"/>
        <v>0</v>
      </c>
      <c r="C91" s="90">
        <f t="shared" si="28"/>
        <v>0</v>
      </c>
      <c r="D91" s="90">
        <f t="shared" si="24"/>
        <v>0</v>
      </c>
      <c r="E91" s="106">
        <f t="shared" si="25"/>
        <v>0</v>
      </c>
      <c r="F91" s="90">
        <f t="shared" si="26"/>
        <v>0</v>
      </c>
      <c r="G91" s="118"/>
      <c r="H91" s="118"/>
      <c r="I91" s="119"/>
      <c r="J91" s="91">
        <f t="shared" si="27"/>
        <v>0</v>
      </c>
      <c r="K91" s="118"/>
      <c r="L91" s="118"/>
      <c r="M91" s="119"/>
      <c r="N91" s="118"/>
    </row>
    <row r="92" spans="1:14" ht="15" x14ac:dyDescent="0.2">
      <c r="A92" s="111" t="s">
        <v>9</v>
      </c>
      <c r="B92" s="93">
        <f t="shared" si="23"/>
        <v>0</v>
      </c>
      <c r="C92" s="90">
        <f t="shared" si="28"/>
        <v>0</v>
      </c>
      <c r="D92" s="90">
        <f t="shared" si="24"/>
        <v>0</v>
      </c>
      <c r="E92" s="106">
        <f t="shared" si="25"/>
        <v>0</v>
      </c>
      <c r="F92" s="90">
        <f t="shared" si="26"/>
        <v>0</v>
      </c>
      <c r="G92" s="118"/>
      <c r="H92" s="118"/>
      <c r="I92" s="119"/>
      <c r="J92" s="91">
        <f>SUM(K92:L92)</f>
        <v>0</v>
      </c>
      <c r="K92" s="118"/>
      <c r="L92" s="118"/>
      <c r="M92" s="119"/>
      <c r="N92" s="118"/>
    </row>
    <row r="93" spans="1:14" ht="15" x14ac:dyDescent="0.2">
      <c r="A93" s="111" t="s">
        <v>10</v>
      </c>
      <c r="B93" s="93">
        <f t="shared" si="23"/>
        <v>0</v>
      </c>
      <c r="C93" s="90">
        <f t="shared" si="28"/>
        <v>0</v>
      </c>
      <c r="D93" s="90">
        <f t="shared" si="24"/>
        <v>0</v>
      </c>
      <c r="E93" s="106">
        <f t="shared" si="25"/>
        <v>0</v>
      </c>
      <c r="F93" s="90">
        <f t="shared" si="26"/>
        <v>0</v>
      </c>
      <c r="G93" s="118"/>
      <c r="H93" s="118"/>
      <c r="I93" s="119"/>
      <c r="J93" s="91">
        <f t="shared" ref="J93:J104" si="29">SUM(K93:L93)</f>
        <v>0</v>
      </c>
      <c r="K93" s="118"/>
      <c r="L93" s="118"/>
      <c r="M93" s="119"/>
      <c r="N93" s="118"/>
    </row>
    <row r="94" spans="1:14" ht="15" x14ac:dyDescent="0.2">
      <c r="A94" s="111" t="s">
        <v>111</v>
      </c>
      <c r="B94" s="93">
        <f t="shared" si="23"/>
        <v>0</v>
      </c>
      <c r="C94" s="90">
        <f t="shared" si="28"/>
        <v>0</v>
      </c>
      <c r="D94" s="90">
        <f t="shared" si="24"/>
        <v>0</v>
      </c>
      <c r="E94" s="106">
        <f t="shared" si="25"/>
        <v>0</v>
      </c>
      <c r="F94" s="90">
        <f t="shared" si="26"/>
        <v>0</v>
      </c>
      <c r="G94" s="118"/>
      <c r="H94" s="118"/>
      <c r="I94" s="119"/>
      <c r="J94" s="91">
        <f t="shared" si="29"/>
        <v>0</v>
      </c>
      <c r="K94" s="118"/>
      <c r="L94" s="118"/>
      <c r="M94" s="119"/>
      <c r="N94" s="118"/>
    </row>
    <row r="95" spans="1:14" ht="15" x14ac:dyDescent="0.2">
      <c r="A95" s="111" t="s">
        <v>11</v>
      </c>
      <c r="B95" s="93">
        <f t="shared" si="23"/>
        <v>0</v>
      </c>
      <c r="C95" s="90">
        <f t="shared" si="28"/>
        <v>0</v>
      </c>
      <c r="D95" s="90">
        <f t="shared" si="24"/>
        <v>0</v>
      </c>
      <c r="E95" s="106">
        <f t="shared" si="25"/>
        <v>0</v>
      </c>
      <c r="F95" s="90">
        <f t="shared" si="26"/>
        <v>0</v>
      </c>
      <c r="G95" s="118"/>
      <c r="H95" s="118"/>
      <c r="I95" s="119"/>
      <c r="J95" s="91">
        <f t="shared" si="29"/>
        <v>0</v>
      </c>
      <c r="K95" s="118"/>
      <c r="L95" s="118"/>
      <c r="M95" s="119"/>
      <c r="N95" s="118"/>
    </row>
    <row r="96" spans="1:14" ht="15" x14ac:dyDescent="0.2">
      <c r="A96" s="111" t="s">
        <v>12</v>
      </c>
      <c r="B96" s="93">
        <f t="shared" si="23"/>
        <v>0</v>
      </c>
      <c r="C96" s="90">
        <f t="shared" si="28"/>
        <v>0</v>
      </c>
      <c r="D96" s="90">
        <f t="shared" si="24"/>
        <v>0</v>
      </c>
      <c r="E96" s="106">
        <f t="shared" si="25"/>
        <v>0</v>
      </c>
      <c r="F96" s="90">
        <f t="shared" si="26"/>
        <v>0</v>
      </c>
      <c r="G96" s="118"/>
      <c r="H96" s="118"/>
      <c r="I96" s="119"/>
      <c r="J96" s="91">
        <f t="shared" si="29"/>
        <v>0</v>
      </c>
      <c r="K96" s="118"/>
      <c r="L96" s="118"/>
      <c r="M96" s="119"/>
      <c r="N96" s="118"/>
    </row>
    <row r="97" spans="1:14" ht="15" x14ac:dyDescent="0.2">
      <c r="A97" s="111" t="s">
        <v>112</v>
      </c>
      <c r="B97" s="93">
        <f t="shared" si="23"/>
        <v>0</v>
      </c>
      <c r="C97" s="90">
        <f t="shared" si="28"/>
        <v>0</v>
      </c>
      <c r="D97" s="90">
        <f t="shared" si="24"/>
        <v>0</v>
      </c>
      <c r="E97" s="106">
        <f t="shared" si="25"/>
        <v>0</v>
      </c>
      <c r="F97" s="90">
        <f t="shared" si="26"/>
        <v>0</v>
      </c>
      <c r="G97" s="118"/>
      <c r="H97" s="118"/>
      <c r="I97" s="119"/>
      <c r="J97" s="91">
        <f t="shared" si="29"/>
        <v>0</v>
      </c>
      <c r="K97" s="118"/>
      <c r="L97" s="118"/>
      <c r="M97" s="119"/>
      <c r="N97" s="118"/>
    </row>
    <row r="98" spans="1:14" ht="15" x14ac:dyDescent="0.2">
      <c r="A98" s="111" t="s">
        <v>13</v>
      </c>
      <c r="B98" s="93">
        <f t="shared" si="23"/>
        <v>0</v>
      </c>
      <c r="C98" s="90">
        <f t="shared" si="28"/>
        <v>0</v>
      </c>
      <c r="D98" s="90">
        <f t="shared" si="24"/>
        <v>0</v>
      </c>
      <c r="E98" s="106">
        <f t="shared" si="25"/>
        <v>0</v>
      </c>
      <c r="F98" s="90">
        <f t="shared" si="26"/>
        <v>0</v>
      </c>
      <c r="G98" s="118"/>
      <c r="H98" s="118"/>
      <c r="I98" s="119"/>
      <c r="J98" s="91">
        <f t="shared" si="29"/>
        <v>0</v>
      </c>
      <c r="K98" s="118"/>
      <c r="L98" s="118"/>
      <c r="M98" s="119"/>
      <c r="N98" s="118"/>
    </row>
    <row r="99" spans="1:14" ht="15" x14ac:dyDescent="0.2">
      <c r="A99" s="111" t="s">
        <v>14</v>
      </c>
      <c r="B99" s="93">
        <f t="shared" si="23"/>
        <v>0</v>
      </c>
      <c r="C99" s="90">
        <f t="shared" si="28"/>
        <v>0</v>
      </c>
      <c r="D99" s="90">
        <f t="shared" si="24"/>
        <v>0</v>
      </c>
      <c r="E99" s="106">
        <f t="shared" si="25"/>
        <v>0</v>
      </c>
      <c r="F99" s="90">
        <f t="shared" si="26"/>
        <v>0</v>
      </c>
      <c r="G99" s="118"/>
      <c r="H99" s="118"/>
      <c r="I99" s="119"/>
      <c r="J99" s="91">
        <f t="shared" si="29"/>
        <v>0</v>
      </c>
      <c r="K99" s="118"/>
      <c r="L99" s="118"/>
      <c r="M99" s="119"/>
      <c r="N99" s="118"/>
    </row>
    <row r="100" spans="1:14" ht="15" x14ac:dyDescent="0.2">
      <c r="A100" s="111" t="s">
        <v>15</v>
      </c>
      <c r="B100" s="93">
        <f t="shared" si="23"/>
        <v>0</v>
      </c>
      <c r="C100" s="90">
        <f t="shared" si="28"/>
        <v>0</v>
      </c>
      <c r="D100" s="90">
        <f t="shared" si="24"/>
        <v>0</v>
      </c>
      <c r="E100" s="106">
        <f t="shared" si="25"/>
        <v>0</v>
      </c>
      <c r="F100" s="90">
        <f t="shared" si="26"/>
        <v>0</v>
      </c>
      <c r="G100" s="118"/>
      <c r="H100" s="118"/>
      <c r="I100" s="119"/>
      <c r="J100" s="91">
        <f t="shared" si="29"/>
        <v>0</v>
      </c>
      <c r="K100" s="118"/>
      <c r="L100" s="118"/>
      <c r="M100" s="119"/>
      <c r="N100" s="118"/>
    </row>
    <row r="101" spans="1:14" ht="15" x14ac:dyDescent="0.2">
      <c r="A101" s="111" t="s">
        <v>16</v>
      </c>
      <c r="B101" s="93">
        <f t="shared" si="23"/>
        <v>0</v>
      </c>
      <c r="C101" s="90">
        <f t="shared" si="28"/>
        <v>0</v>
      </c>
      <c r="D101" s="90">
        <f t="shared" si="24"/>
        <v>0</v>
      </c>
      <c r="E101" s="106">
        <f t="shared" si="25"/>
        <v>0</v>
      </c>
      <c r="F101" s="90">
        <f t="shared" si="26"/>
        <v>0</v>
      </c>
      <c r="G101" s="118"/>
      <c r="H101" s="118"/>
      <c r="I101" s="119"/>
      <c r="J101" s="91">
        <f t="shared" si="29"/>
        <v>0</v>
      </c>
      <c r="K101" s="118"/>
      <c r="L101" s="118"/>
      <c r="M101" s="119"/>
      <c r="N101" s="118"/>
    </row>
    <row r="102" spans="1:14" ht="15" x14ac:dyDescent="0.2">
      <c r="A102" s="111" t="s">
        <v>17</v>
      </c>
      <c r="B102" s="93">
        <f t="shared" si="23"/>
        <v>0</v>
      </c>
      <c r="C102" s="90">
        <f t="shared" si="28"/>
        <v>0</v>
      </c>
      <c r="D102" s="90">
        <f t="shared" si="24"/>
        <v>0</v>
      </c>
      <c r="E102" s="106">
        <f t="shared" si="25"/>
        <v>0</v>
      </c>
      <c r="F102" s="90">
        <f t="shared" si="26"/>
        <v>0</v>
      </c>
      <c r="G102" s="118"/>
      <c r="H102" s="118"/>
      <c r="I102" s="119"/>
      <c r="J102" s="91">
        <f t="shared" si="29"/>
        <v>0</v>
      </c>
      <c r="K102" s="118"/>
      <c r="L102" s="118"/>
      <c r="M102" s="119"/>
      <c r="N102" s="118"/>
    </row>
    <row r="103" spans="1:14" ht="15" x14ac:dyDescent="0.2">
      <c r="A103" s="111" t="s">
        <v>113</v>
      </c>
      <c r="B103" s="93">
        <f t="shared" si="23"/>
        <v>0</v>
      </c>
      <c r="C103" s="90">
        <f t="shared" si="28"/>
        <v>0</v>
      </c>
      <c r="D103" s="90">
        <f>H103+L103+N103</f>
        <v>0</v>
      </c>
      <c r="E103" s="106">
        <f t="shared" si="25"/>
        <v>0</v>
      </c>
      <c r="F103" s="90">
        <f t="shared" si="26"/>
        <v>0</v>
      </c>
      <c r="G103" s="118"/>
      <c r="H103" s="118"/>
      <c r="I103" s="119"/>
      <c r="J103" s="91">
        <f t="shared" si="29"/>
        <v>0</v>
      </c>
      <c r="K103" s="118"/>
      <c r="L103" s="118"/>
      <c r="M103" s="119"/>
      <c r="N103" s="118"/>
    </row>
    <row r="104" spans="1:14" ht="15" x14ac:dyDescent="0.2">
      <c r="A104" s="89" t="s">
        <v>22</v>
      </c>
      <c r="B104" s="112">
        <f t="shared" si="23"/>
        <v>0</v>
      </c>
      <c r="C104" s="99">
        <f t="shared" si="28"/>
        <v>0</v>
      </c>
      <c r="D104" s="99">
        <f t="shared" ref="D104" si="30">H104+L104</f>
        <v>0</v>
      </c>
      <c r="E104" s="109">
        <f t="shared" si="25"/>
        <v>0</v>
      </c>
      <c r="F104" s="99">
        <f>SUM(G104:I104)</f>
        <v>0</v>
      </c>
      <c r="G104" s="121"/>
      <c r="H104" s="121"/>
      <c r="I104" s="119"/>
      <c r="J104" s="100">
        <f t="shared" si="29"/>
        <v>0</v>
      </c>
      <c r="K104" s="121"/>
      <c r="L104" s="121"/>
      <c r="M104" s="122"/>
      <c r="N104" s="121"/>
    </row>
    <row r="105" spans="1:14" x14ac:dyDescent="0.2">
      <c r="A105" s="125" t="s">
        <v>121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6"/>
    </row>
    <row r="106" spans="1:14" x14ac:dyDescent="0.2">
      <c r="A106" s="126" t="s">
        <v>127</v>
      </c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</row>
    <row r="107" spans="1:14" x14ac:dyDescent="0.2">
      <c r="A107" s="101" t="s">
        <v>25</v>
      </c>
    </row>
    <row r="108" spans="1:14" x14ac:dyDescent="0.2">
      <c r="A108" s="102" t="s">
        <v>116</v>
      </c>
    </row>
    <row r="109" spans="1:14" x14ac:dyDescent="0.2">
      <c r="A109" s="88"/>
    </row>
    <row r="115" spans="1:14" ht="21" x14ac:dyDescent="0.2">
      <c r="A115" s="127" t="s">
        <v>123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</row>
    <row r="116" spans="1:14" ht="15" x14ac:dyDescent="0.2">
      <c r="A116" s="128" t="s">
        <v>122</v>
      </c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</row>
    <row r="117" spans="1:14" x14ac:dyDescent="0.2">
      <c r="A117" s="4"/>
      <c r="B117" s="5"/>
      <c r="C117" s="5"/>
      <c r="D117" s="6"/>
      <c r="E117" s="6"/>
      <c r="F117" s="56"/>
      <c r="G117" s="56"/>
      <c r="H117" s="7"/>
      <c r="I117" s="6"/>
      <c r="J117" s="5"/>
      <c r="K117" s="5"/>
      <c r="L117" s="6"/>
      <c r="M117" s="6"/>
      <c r="N117" s="5"/>
    </row>
    <row r="118" spans="1:14" ht="30" x14ac:dyDescent="0.2">
      <c r="A118" s="129" t="s">
        <v>38</v>
      </c>
      <c r="B118" s="131" t="s">
        <v>18</v>
      </c>
      <c r="C118" s="131"/>
      <c r="D118" s="131"/>
      <c r="E118" s="132"/>
      <c r="F118" s="131" t="s">
        <v>20</v>
      </c>
      <c r="G118" s="131"/>
      <c r="H118" s="131"/>
      <c r="I118" s="131"/>
      <c r="J118" s="133" t="s">
        <v>21</v>
      </c>
      <c r="K118" s="131"/>
      <c r="L118" s="131"/>
      <c r="M118" s="132"/>
      <c r="N118" s="113" t="s">
        <v>129</v>
      </c>
    </row>
    <row r="119" spans="1:14" ht="25.5" x14ac:dyDescent="0.2">
      <c r="A119" s="130"/>
      <c r="B119" s="96" t="s">
        <v>39</v>
      </c>
      <c r="C119" s="96" t="s">
        <v>3</v>
      </c>
      <c r="D119" s="96" t="s">
        <v>4</v>
      </c>
      <c r="E119" s="97" t="s">
        <v>118</v>
      </c>
      <c r="F119" s="96" t="s">
        <v>2</v>
      </c>
      <c r="G119" s="96" t="s">
        <v>3</v>
      </c>
      <c r="H119" s="96" t="s">
        <v>4</v>
      </c>
      <c r="I119" s="97" t="s">
        <v>118</v>
      </c>
      <c r="J119" s="98" t="s">
        <v>2</v>
      </c>
      <c r="K119" s="96" t="s">
        <v>3</v>
      </c>
      <c r="L119" s="96" t="s">
        <v>4</v>
      </c>
      <c r="M119" s="97" t="s">
        <v>118</v>
      </c>
      <c r="N119" s="96"/>
    </row>
    <row r="120" spans="1:14" ht="15" x14ac:dyDescent="0.2">
      <c r="A120" s="4" t="s">
        <v>40</v>
      </c>
      <c r="B120" s="93">
        <f>SUM(B125:B141)</f>
        <v>1513</v>
      </c>
      <c r="C120" s="93">
        <f>SUM(C125:C141)</f>
        <v>902</v>
      </c>
      <c r="D120" s="93">
        <f t="shared" ref="D120:I120" si="31">SUM(D125:D141)</f>
        <v>611</v>
      </c>
      <c r="E120" s="94">
        <f t="shared" si="31"/>
        <v>0</v>
      </c>
      <c r="F120" s="93">
        <f t="shared" si="31"/>
        <v>880</v>
      </c>
      <c r="G120" s="93">
        <f t="shared" si="31"/>
        <v>499</v>
      </c>
      <c r="H120" s="93">
        <f t="shared" si="31"/>
        <v>381</v>
      </c>
      <c r="I120" s="93">
        <f t="shared" si="31"/>
        <v>0</v>
      </c>
      <c r="J120" s="95">
        <f>SUM(J125:J141)</f>
        <v>632</v>
      </c>
      <c r="K120" s="93">
        <f>SUM(K125:K141)</f>
        <v>403</v>
      </c>
      <c r="L120" s="93">
        <f>SUM(L125:L141)</f>
        <v>229</v>
      </c>
      <c r="M120" s="94">
        <f>SUM(M125:M141)</f>
        <v>0</v>
      </c>
      <c r="N120" s="93">
        <f>SUM(N125:N141)</f>
        <v>1</v>
      </c>
    </row>
    <row r="121" spans="1:14" ht="15" x14ac:dyDescent="0.2">
      <c r="A121" s="89" t="s">
        <v>30</v>
      </c>
      <c r="B121" s="90">
        <f>SUM(C121:E121)</f>
        <v>25</v>
      </c>
      <c r="C121" s="90">
        <f t="shared" ref="C121:C124" si="32">G121+K121</f>
        <v>15</v>
      </c>
      <c r="D121" s="90">
        <f t="shared" ref="D121:D124" si="33">H121+L121</f>
        <v>10</v>
      </c>
      <c r="E121" s="106">
        <f t="shared" ref="E121:E124" si="34">I121+M121</f>
        <v>0</v>
      </c>
      <c r="F121" s="90">
        <f>SUM(G121:I121)</f>
        <v>21</v>
      </c>
      <c r="G121" s="90">
        <v>12</v>
      </c>
      <c r="H121" s="90">
        <v>9</v>
      </c>
      <c r="I121" s="106">
        <f>M121+O121+S121</f>
        <v>0</v>
      </c>
      <c r="J121" s="91">
        <f>SUM(K121:M121)</f>
        <v>4</v>
      </c>
      <c r="K121" s="90">
        <v>3</v>
      </c>
      <c r="L121" s="90">
        <v>1</v>
      </c>
      <c r="M121" s="107">
        <v>0</v>
      </c>
      <c r="N121" s="90">
        <v>0</v>
      </c>
    </row>
    <row r="122" spans="1:14" ht="15" x14ac:dyDescent="0.2">
      <c r="A122" s="89" t="s">
        <v>32</v>
      </c>
      <c r="B122" s="90">
        <f>SUM(C122:E122)</f>
        <v>9</v>
      </c>
      <c r="C122" s="90">
        <f t="shared" si="32"/>
        <v>4</v>
      </c>
      <c r="D122" s="90">
        <f t="shared" si="33"/>
        <v>5</v>
      </c>
      <c r="E122" s="106">
        <f t="shared" si="34"/>
        <v>0</v>
      </c>
      <c r="F122" s="90">
        <f>SUM(G122:I122)</f>
        <v>8</v>
      </c>
      <c r="G122" s="90">
        <v>3</v>
      </c>
      <c r="H122" s="90">
        <v>5</v>
      </c>
      <c r="I122" s="106">
        <f>M122+O122+S122</f>
        <v>0</v>
      </c>
      <c r="J122" s="91">
        <f>SUM(K122:L122)</f>
        <v>1</v>
      </c>
      <c r="K122" s="90">
        <v>1</v>
      </c>
      <c r="L122" s="90">
        <v>0</v>
      </c>
      <c r="M122" s="107">
        <v>0</v>
      </c>
      <c r="N122" s="90">
        <v>0</v>
      </c>
    </row>
    <row r="123" spans="1:14" ht="15" x14ac:dyDescent="0.2">
      <c r="A123" s="89" t="s">
        <v>41</v>
      </c>
      <c r="B123" s="90">
        <f>SUM(C123:E123)</f>
        <v>23</v>
      </c>
      <c r="C123" s="90">
        <f t="shared" si="32"/>
        <v>15</v>
      </c>
      <c r="D123" s="90">
        <f t="shared" si="33"/>
        <v>8</v>
      </c>
      <c r="E123" s="106">
        <f t="shared" si="34"/>
        <v>0</v>
      </c>
      <c r="F123" s="90">
        <f>SUM(G123:I123)</f>
        <v>16</v>
      </c>
      <c r="G123" s="90">
        <v>9</v>
      </c>
      <c r="H123" s="90">
        <v>7</v>
      </c>
      <c r="I123" s="106">
        <f>M123+O123+S123</f>
        <v>0</v>
      </c>
      <c r="J123" s="91">
        <f>SUM(K123:L123)</f>
        <v>7</v>
      </c>
      <c r="K123" s="90">
        <v>6</v>
      </c>
      <c r="L123" s="90">
        <v>1</v>
      </c>
      <c r="M123" s="107">
        <v>0</v>
      </c>
      <c r="N123" s="90">
        <v>0</v>
      </c>
    </row>
    <row r="124" spans="1:14" ht="15" x14ac:dyDescent="0.2">
      <c r="A124" s="89" t="s">
        <v>22</v>
      </c>
      <c r="B124" s="90">
        <f>SUM(C124:E124)</f>
        <v>1</v>
      </c>
      <c r="C124" s="90">
        <f t="shared" si="32"/>
        <v>1</v>
      </c>
      <c r="D124" s="90">
        <f t="shared" si="33"/>
        <v>0</v>
      </c>
      <c r="E124" s="106">
        <f t="shared" si="34"/>
        <v>0</v>
      </c>
      <c r="F124" s="90">
        <f>SUM(G124:I124)</f>
        <v>0</v>
      </c>
      <c r="G124" s="90">
        <v>0</v>
      </c>
      <c r="H124" s="90">
        <v>0</v>
      </c>
      <c r="I124" s="106">
        <f>M124+O124+S124</f>
        <v>0</v>
      </c>
      <c r="J124" s="91">
        <f>SUM(K124:M124)</f>
        <v>1</v>
      </c>
      <c r="K124" s="90">
        <v>1</v>
      </c>
      <c r="L124" s="90">
        <v>0</v>
      </c>
      <c r="M124" s="107">
        <v>0</v>
      </c>
      <c r="N124" s="90">
        <v>0</v>
      </c>
    </row>
    <row r="125" spans="1:14" ht="15" x14ac:dyDescent="0.2">
      <c r="A125" s="89" t="s">
        <v>6</v>
      </c>
      <c r="B125" s="93">
        <f>SUM(C125:E125)</f>
        <v>58</v>
      </c>
      <c r="C125" s="108">
        <f>SUM(C121:C124)</f>
        <v>35</v>
      </c>
      <c r="D125" s="108">
        <f>SUM(D121:D124)</f>
        <v>23</v>
      </c>
      <c r="E125" s="94">
        <f>I125+M125</f>
        <v>0</v>
      </c>
      <c r="F125" s="93">
        <f>SUM(G125:I125)</f>
        <v>45</v>
      </c>
      <c r="G125" s="108">
        <f>SUM(G121:G124)</f>
        <v>24</v>
      </c>
      <c r="H125" s="108">
        <f>SUM(H121:H124)</f>
        <v>21</v>
      </c>
      <c r="I125" s="108">
        <f>SUM(I121:I124)</f>
        <v>0</v>
      </c>
      <c r="J125" s="95">
        <f>SUM(K125:M125)</f>
        <v>13</v>
      </c>
      <c r="K125" s="108">
        <f>SUM(K121:K124)</f>
        <v>11</v>
      </c>
      <c r="L125" s="108">
        <f>SUM(L121:L124)</f>
        <v>2</v>
      </c>
      <c r="M125" s="94">
        <f>SUM(M121:M124)</f>
        <v>0</v>
      </c>
      <c r="N125" s="108">
        <f>SUM(N121:N124)</f>
        <v>0</v>
      </c>
    </row>
    <row r="126" spans="1:14" ht="15" x14ac:dyDescent="0.2">
      <c r="A126" s="111" t="s">
        <v>8</v>
      </c>
      <c r="B126" s="93">
        <f t="shared" ref="B126:B141" si="35">SUM(C126:E126)</f>
        <v>7</v>
      </c>
      <c r="C126" s="90">
        <f>G126+K126</f>
        <v>3</v>
      </c>
      <c r="D126" s="90">
        <f t="shared" ref="D126:D139" si="36">H126+L126</f>
        <v>4</v>
      </c>
      <c r="E126" s="106">
        <f t="shared" ref="E126:E141" si="37">I126+M126</f>
        <v>0</v>
      </c>
      <c r="F126" s="90">
        <f t="shared" ref="F126:F140" si="38">SUM(G126:H126)</f>
        <v>2</v>
      </c>
      <c r="G126" s="90">
        <v>0</v>
      </c>
      <c r="H126" s="90">
        <v>2</v>
      </c>
      <c r="I126" s="106">
        <f t="shared" ref="I126:I139" si="39">M126+O126+S126</f>
        <v>0</v>
      </c>
      <c r="J126" s="91">
        <f t="shared" ref="J126:J128" si="40">SUM(K126:L126)</f>
        <v>5</v>
      </c>
      <c r="K126" s="90">
        <v>3</v>
      </c>
      <c r="L126" s="90">
        <v>2</v>
      </c>
      <c r="M126" s="106">
        <f t="shared" ref="M126:M139" si="41">O126+S126+W126</f>
        <v>0</v>
      </c>
      <c r="N126" s="90">
        <v>0</v>
      </c>
    </row>
    <row r="127" spans="1:14" ht="15" x14ac:dyDescent="0.2">
      <c r="A127" s="111" t="s">
        <v>5</v>
      </c>
      <c r="B127" s="93">
        <f t="shared" si="35"/>
        <v>5</v>
      </c>
      <c r="C127" s="90">
        <f t="shared" ref="C127:C141" si="42">G127+K127</f>
        <v>1</v>
      </c>
      <c r="D127" s="90">
        <f t="shared" si="36"/>
        <v>4</v>
      </c>
      <c r="E127" s="106">
        <f t="shared" si="37"/>
        <v>0</v>
      </c>
      <c r="F127" s="90">
        <f t="shared" si="38"/>
        <v>2</v>
      </c>
      <c r="G127" s="90">
        <v>0</v>
      </c>
      <c r="H127" s="90">
        <v>2</v>
      </c>
      <c r="I127" s="106">
        <f t="shared" si="39"/>
        <v>0</v>
      </c>
      <c r="J127" s="91">
        <f t="shared" si="40"/>
        <v>3</v>
      </c>
      <c r="K127" s="90">
        <v>1</v>
      </c>
      <c r="L127" s="90">
        <v>2</v>
      </c>
      <c r="M127" s="106">
        <f t="shared" si="41"/>
        <v>0</v>
      </c>
      <c r="N127" s="90">
        <v>0</v>
      </c>
    </row>
    <row r="128" spans="1:14" ht="15" x14ac:dyDescent="0.2">
      <c r="A128" s="111" t="s">
        <v>7</v>
      </c>
      <c r="B128" s="93">
        <f t="shared" si="35"/>
        <v>7</v>
      </c>
      <c r="C128" s="90">
        <f t="shared" si="42"/>
        <v>3</v>
      </c>
      <c r="D128" s="90">
        <f t="shared" si="36"/>
        <v>4</v>
      </c>
      <c r="E128" s="106">
        <f t="shared" si="37"/>
        <v>0</v>
      </c>
      <c r="F128" s="90">
        <f t="shared" si="38"/>
        <v>5</v>
      </c>
      <c r="G128" s="90">
        <v>2</v>
      </c>
      <c r="H128" s="90">
        <v>3</v>
      </c>
      <c r="I128" s="106">
        <f t="shared" si="39"/>
        <v>0</v>
      </c>
      <c r="J128" s="91">
        <f t="shared" si="40"/>
        <v>2</v>
      </c>
      <c r="K128" s="90">
        <v>1</v>
      </c>
      <c r="L128" s="90">
        <v>1</v>
      </c>
      <c r="M128" s="106">
        <f t="shared" si="41"/>
        <v>0</v>
      </c>
      <c r="N128" s="90">
        <v>0</v>
      </c>
    </row>
    <row r="129" spans="1:14" ht="15" x14ac:dyDescent="0.2">
      <c r="A129" s="111" t="s">
        <v>9</v>
      </c>
      <c r="B129" s="93">
        <f t="shared" si="35"/>
        <v>9</v>
      </c>
      <c r="C129" s="90">
        <f t="shared" si="42"/>
        <v>7</v>
      </c>
      <c r="D129" s="90">
        <f t="shared" si="36"/>
        <v>2</v>
      </c>
      <c r="E129" s="106">
        <f t="shared" si="37"/>
        <v>0</v>
      </c>
      <c r="F129" s="90">
        <f t="shared" si="38"/>
        <v>3</v>
      </c>
      <c r="G129" s="90">
        <v>1</v>
      </c>
      <c r="H129" s="90">
        <v>2</v>
      </c>
      <c r="I129" s="106">
        <f t="shared" si="39"/>
        <v>0</v>
      </c>
      <c r="J129" s="91">
        <f>SUM(K129:L129)</f>
        <v>6</v>
      </c>
      <c r="K129" s="90">
        <v>6</v>
      </c>
      <c r="L129" s="90">
        <v>0</v>
      </c>
      <c r="M129" s="106">
        <f t="shared" si="41"/>
        <v>0</v>
      </c>
      <c r="N129" s="90">
        <v>0</v>
      </c>
    </row>
    <row r="130" spans="1:14" ht="15" x14ac:dyDescent="0.2">
      <c r="A130" s="111" t="s">
        <v>10</v>
      </c>
      <c r="B130" s="93">
        <f t="shared" si="35"/>
        <v>18</v>
      </c>
      <c r="C130" s="90">
        <f t="shared" si="42"/>
        <v>16</v>
      </c>
      <c r="D130" s="90">
        <f t="shared" si="36"/>
        <v>2</v>
      </c>
      <c r="E130" s="106">
        <f t="shared" si="37"/>
        <v>0</v>
      </c>
      <c r="F130" s="90">
        <f t="shared" si="38"/>
        <v>12</v>
      </c>
      <c r="G130" s="90">
        <v>10</v>
      </c>
      <c r="H130" s="90">
        <v>2</v>
      </c>
      <c r="I130" s="106">
        <f t="shared" si="39"/>
        <v>0</v>
      </c>
      <c r="J130" s="91">
        <f t="shared" ref="J130:J141" si="43">SUM(K130:L130)</f>
        <v>6</v>
      </c>
      <c r="K130" s="90">
        <v>6</v>
      </c>
      <c r="L130" s="90">
        <v>0</v>
      </c>
      <c r="M130" s="106">
        <f t="shared" si="41"/>
        <v>0</v>
      </c>
      <c r="N130" s="90">
        <v>0</v>
      </c>
    </row>
    <row r="131" spans="1:14" ht="15" x14ac:dyDescent="0.2">
      <c r="A131" s="111" t="s">
        <v>111</v>
      </c>
      <c r="B131" s="93">
        <f t="shared" si="35"/>
        <v>22</v>
      </c>
      <c r="C131" s="90">
        <f t="shared" si="42"/>
        <v>15</v>
      </c>
      <c r="D131" s="90">
        <f t="shared" si="36"/>
        <v>7</v>
      </c>
      <c r="E131" s="106">
        <f t="shared" si="37"/>
        <v>0</v>
      </c>
      <c r="F131" s="90">
        <f t="shared" si="38"/>
        <v>17</v>
      </c>
      <c r="G131" s="90">
        <v>11</v>
      </c>
      <c r="H131" s="90">
        <v>6</v>
      </c>
      <c r="I131" s="106">
        <f t="shared" si="39"/>
        <v>0</v>
      </c>
      <c r="J131" s="91">
        <f t="shared" si="43"/>
        <v>5</v>
      </c>
      <c r="K131" s="90">
        <v>4</v>
      </c>
      <c r="L131" s="90">
        <v>1</v>
      </c>
      <c r="M131" s="106">
        <f t="shared" si="41"/>
        <v>0</v>
      </c>
      <c r="N131" s="90">
        <v>0</v>
      </c>
    </row>
    <row r="132" spans="1:14" ht="15" x14ac:dyDescent="0.2">
      <c r="A132" s="111" t="s">
        <v>11</v>
      </c>
      <c r="B132" s="93">
        <f t="shared" si="35"/>
        <v>32</v>
      </c>
      <c r="C132" s="90">
        <f t="shared" si="42"/>
        <v>25</v>
      </c>
      <c r="D132" s="90">
        <f t="shared" si="36"/>
        <v>7</v>
      </c>
      <c r="E132" s="106">
        <f t="shared" si="37"/>
        <v>0</v>
      </c>
      <c r="F132" s="90">
        <f t="shared" si="38"/>
        <v>20</v>
      </c>
      <c r="G132" s="90">
        <v>13</v>
      </c>
      <c r="H132" s="90">
        <v>7</v>
      </c>
      <c r="I132" s="106">
        <f t="shared" si="39"/>
        <v>0</v>
      </c>
      <c r="J132" s="91">
        <f t="shared" si="43"/>
        <v>12</v>
      </c>
      <c r="K132" s="90">
        <v>12</v>
      </c>
      <c r="L132" s="90">
        <v>0</v>
      </c>
      <c r="M132" s="106">
        <f t="shared" si="41"/>
        <v>0</v>
      </c>
      <c r="N132" s="90">
        <v>0</v>
      </c>
    </row>
    <row r="133" spans="1:14" ht="15" x14ac:dyDescent="0.2">
      <c r="A133" s="111" t="s">
        <v>12</v>
      </c>
      <c r="B133" s="93">
        <f t="shared" si="35"/>
        <v>23</v>
      </c>
      <c r="C133" s="90">
        <f t="shared" si="42"/>
        <v>21</v>
      </c>
      <c r="D133" s="90">
        <f t="shared" si="36"/>
        <v>2</v>
      </c>
      <c r="E133" s="106">
        <f t="shared" si="37"/>
        <v>0</v>
      </c>
      <c r="F133" s="90">
        <f t="shared" si="38"/>
        <v>18</v>
      </c>
      <c r="G133" s="90">
        <v>16</v>
      </c>
      <c r="H133" s="90">
        <v>2</v>
      </c>
      <c r="I133" s="106">
        <f t="shared" si="39"/>
        <v>0</v>
      </c>
      <c r="J133" s="91">
        <f t="shared" si="43"/>
        <v>5</v>
      </c>
      <c r="K133" s="90">
        <v>5</v>
      </c>
      <c r="L133" s="90">
        <v>0</v>
      </c>
      <c r="M133" s="106">
        <f t="shared" si="41"/>
        <v>0</v>
      </c>
      <c r="N133" s="90">
        <v>0</v>
      </c>
    </row>
    <row r="134" spans="1:14" ht="15" x14ac:dyDescent="0.2">
      <c r="A134" s="111" t="s">
        <v>112</v>
      </c>
      <c r="B134" s="93">
        <f t="shared" si="35"/>
        <v>40</v>
      </c>
      <c r="C134" s="90">
        <f t="shared" si="42"/>
        <v>24</v>
      </c>
      <c r="D134" s="90">
        <f t="shared" si="36"/>
        <v>16</v>
      </c>
      <c r="E134" s="106">
        <f t="shared" si="37"/>
        <v>0</v>
      </c>
      <c r="F134" s="90">
        <f t="shared" si="38"/>
        <v>27</v>
      </c>
      <c r="G134" s="90">
        <v>15</v>
      </c>
      <c r="H134" s="90">
        <v>12</v>
      </c>
      <c r="I134" s="106">
        <f t="shared" si="39"/>
        <v>0</v>
      </c>
      <c r="J134" s="91">
        <f t="shared" si="43"/>
        <v>13</v>
      </c>
      <c r="K134" s="90">
        <v>9</v>
      </c>
      <c r="L134" s="90">
        <v>4</v>
      </c>
      <c r="M134" s="106">
        <f t="shared" si="41"/>
        <v>0</v>
      </c>
      <c r="N134" s="90">
        <v>0</v>
      </c>
    </row>
    <row r="135" spans="1:14" ht="15" x14ac:dyDescent="0.2">
      <c r="A135" s="111" t="s">
        <v>13</v>
      </c>
      <c r="B135" s="93">
        <f t="shared" si="35"/>
        <v>45</v>
      </c>
      <c r="C135" s="90">
        <f t="shared" si="42"/>
        <v>35</v>
      </c>
      <c r="D135" s="90">
        <f t="shared" si="36"/>
        <v>10</v>
      </c>
      <c r="E135" s="106">
        <f t="shared" si="37"/>
        <v>0</v>
      </c>
      <c r="F135" s="90">
        <f t="shared" si="38"/>
        <v>30</v>
      </c>
      <c r="G135" s="90">
        <v>23</v>
      </c>
      <c r="H135" s="90">
        <v>7</v>
      </c>
      <c r="I135" s="106">
        <f t="shared" si="39"/>
        <v>0</v>
      </c>
      <c r="J135" s="91">
        <f t="shared" si="43"/>
        <v>15</v>
      </c>
      <c r="K135" s="90">
        <v>12</v>
      </c>
      <c r="L135" s="90">
        <v>3</v>
      </c>
      <c r="M135" s="106">
        <f t="shared" si="41"/>
        <v>0</v>
      </c>
      <c r="N135" s="90">
        <v>0</v>
      </c>
    </row>
    <row r="136" spans="1:14" ht="15" x14ac:dyDescent="0.2">
      <c r="A136" s="111" t="s">
        <v>14</v>
      </c>
      <c r="B136" s="93">
        <f t="shared" si="35"/>
        <v>54</v>
      </c>
      <c r="C136" s="90">
        <f t="shared" si="42"/>
        <v>38</v>
      </c>
      <c r="D136" s="90">
        <f t="shared" si="36"/>
        <v>16</v>
      </c>
      <c r="E136" s="106">
        <f t="shared" si="37"/>
        <v>0</v>
      </c>
      <c r="F136" s="90">
        <f t="shared" si="38"/>
        <v>39</v>
      </c>
      <c r="G136" s="90">
        <v>29</v>
      </c>
      <c r="H136" s="90">
        <v>10</v>
      </c>
      <c r="I136" s="106">
        <f t="shared" si="39"/>
        <v>0</v>
      </c>
      <c r="J136" s="91">
        <f t="shared" si="43"/>
        <v>15</v>
      </c>
      <c r="K136" s="90">
        <v>9</v>
      </c>
      <c r="L136" s="90">
        <v>6</v>
      </c>
      <c r="M136" s="106">
        <f t="shared" si="41"/>
        <v>0</v>
      </c>
      <c r="N136" s="90">
        <v>0</v>
      </c>
    </row>
    <row r="137" spans="1:14" ht="15" x14ac:dyDescent="0.2">
      <c r="A137" s="111" t="s">
        <v>15</v>
      </c>
      <c r="B137" s="93">
        <f t="shared" si="35"/>
        <v>83</v>
      </c>
      <c r="C137" s="90">
        <f t="shared" si="42"/>
        <v>45</v>
      </c>
      <c r="D137" s="90">
        <f t="shared" si="36"/>
        <v>38</v>
      </c>
      <c r="E137" s="106">
        <f t="shared" si="37"/>
        <v>0</v>
      </c>
      <c r="F137" s="90">
        <f t="shared" si="38"/>
        <v>62</v>
      </c>
      <c r="G137" s="90">
        <v>33</v>
      </c>
      <c r="H137" s="90">
        <v>29</v>
      </c>
      <c r="I137" s="106">
        <f t="shared" si="39"/>
        <v>0</v>
      </c>
      <c r="J137" s="91">
        <f t="shared" si="43"/>
        <v>21</v>
      </c>
      <c r="K137" s="90">
        <v>12</v>
      </c>
      <c r="L137" s="90">
        <v>9</v>
      </c>
      <c r="M137" s="106">
        <f t="shared" si="41"/>
        <v>0</v>
      </c>
      <c r="N137" s="90">
        <v>0</v>
      </c>
    </row>
    <row r="138" spans="1:14" ht="15" x14ac:dyDescent="0.2">
      <c r="A138" s="111" t="s">
        <v>16</v>
      </c>
      <c r="B138" s="93">
        <f t="shared" si="35"/>
        <v>122</v>
      </c>
      <c r="C138" s="90">
        <f t="shared" si="42"/>
        <v>66</v>
      </c>
      <c r="D138" s="90">
        <f t="shared" si="36"/>
        <v>56</v>
      </c>
      <c r="E138" s="106">
        <f t="shared" si="37"/>
        <v>0</v>
      </c>
      <c r="F138" s="90">
        <f t="shared" si="38"/>
        <v>90</v>
      </c>
      <c r="G138" s="90">
        <v>45</v>
      </c>
      <c r="H138" s="90">
        <v>45</v>
      </c>
      <c r="I138" s="106">
        <f t="shared" si="39"/>
        <v>0</v>
      </c>
      <c r="J138" s="91">
        <f t="shared" si="43"/>
        <v>32</v>
      </c>
      <c r="K138" s="90">
        <v>21</v>
      </c>
      <c r="L138" s="90">
        <v>11</v>
      </c>
      <c r="M138" s="106">
        <f t="shared" si="41"/>
        <v>0</v>
      </c>
      <c r="N138" s="90">
        <v>0</v>
      </c>
    </row>
    <row r="139" spans="1:14" ht="15" x14ac:dyDescent="0.2">
      <c r="A139" s="111" t="s">
        <v>17</v>
      </c>
      <c r="B139" s="93">
        <f t="shared" si="35"/>
        <v>106</v>
      </c>
      <c r="C139" s="90">
        <f t="shared" si="42"/>
        <v>61</v>
      </c>
      <c r="D139" s="90">
        <f t="shared" si="36"/>
        <v>45</v>
      </c>
      <c r="E139" s="106">
        <f t="shared" si="37"/>
        <v>0</v>
      </c>
      <c r="F139" s="90">
        <f t="shared" si="38"/>
        <v>67</v>
      </c>
      <c r="G139" s="90">
        <v>39</v>
      </c>
      <c r="H139" s="90">
        <v>28</v>
      </c>
      <c r="I139" s="106">
        <f t="shared" si="39"/>
        <v>0</v>
      </c>
      <c r="J139" s="91">
        <f t="shared" si="43"/>
        <v>39</v>
      </c>
      <c r="K139" s="90">
        <v>22</v>
      </c>
      <c r="L139" s="90">
        <v>17</v>
      </c>
      <c r="M139" s="106">
        <f t="shared" si="41"/>
        <v>0</v>
      </c>
      <c r="N139" s="90">
        <v>0</v>
      </c>
    </row>
    <row r="140" spans="1:14" ht="15" x14ac:dyDescent="0.2">
      <c r="A140" s="111" t="s">
        <v>113</v>
      </c>
      <c r="B140" s="93">
        <f t="shared" si="35"/>
        <v>873</v>
      </c>
      <c r="C140" s="90">
        <f t="shared" si="42"/>
        <v>498</v>
      </c>
      <c r="D140" s="90">
        <f>H140+L140+N140</f>
        <v>375</v>
      </c>
      <c r="E140" s="106">
        <f t="shared" si="37"/>
        <v>0</v>
      </c>
      <c r="F140" s="90">
        <f t="shared" si="38"/>
        <v>432</v>
      </c>
      <c r="G140" s="90">
        <v>229</v>
      </c>
      <c r="H140" s="90">
        <v>203</v>
      </c>
      <c r="I140" s="106">
        <v>0</v>
      </c>
      <c r="J140" s="91">
        <f t="shared" si="43"/>
        <v>440</v>
      </c>
      <c r="K140" s="90">
        <v>269</v>
      </c>
      <c r="L140" s="90">
        <v>171</v>
      </c>
      <c r="M140" s="106">
        <v>0</v>
      </c>
      <c r="N140" s="90">
        <v>1</v>
      </c>
    </row>
    <row r="141" spans="1:14" ht="15" x14ac:dyDescent="0.2">
      <c r="A141" s="89" t="s">
        <v>22</v>
      </c>
      <c r="B141" s="112">
        <f t="shared" si="35"/>
        <v>9</v>
      </c>
      <c r="C141" s="99">
        <f t="shared" si="42"/>
        <v>9</v>
      </c>
      <c r="D141" s="99">
        <f t="shared" ref="D141" si="44">H141+L141</f>
        <v>0</v>
      </c>
      <c r="E141" s="109">
        <f t="shared" si="37"/>
        <v>0</v>
      </c>
      <c r="F141" s="99">
        <f>SUM(G141:I141)</f>
        <v>9</v>
      </c>
      <c r="G141" s="99">
        <v>9</v>
      </c>
      <c r="H141" s="99">
        <v>0</v>
      </c>
      <c r="I141" s="106">
        <v>0</v>
      </c>
      <c r="J141" s="100">
        <f t="shared" si="43"/>
        <v>0</v>
      </c>
      <c r="K141" s="99">
        <v>0</v>
      </c>
      <c r="L141" s="99">
        <v>0</v>
      </c>
      <c r="M141" s="109">
        <v>0</v>
      </c>
      <c r="N141" s="99">
        <v>0</v>
      </c>
    </row>
    <row r="142" spans="1:14" x14ac:dyDescent="0.2">
      <c r="A142" s="125" t="s">
        <v>121</v>
      </c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6"/>
    </row>
    <row r="143" spans="1:14" x14ac:dyDescent="0.2">
      <c r="A143" s="126" t="s">
        <v>127</v>
      </c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</row>
    <row r="144" spans="1:14" x14ac:dyDescent="0.2">
      <c r="A144" s="101" t="s">
        <v>25</v>
      </c>
    </row>
    <row r="145" spans="1:1" x14ac:dyDescent="0.2">
      <c r="A145" s="102" t="s">
        <v>116</v>
      </c>
    </row>
    <row r="146" spans="1:1" x14ac:dyDescent="0.2">
      <c r="A146" s="88"/>
    </row>
  </sheetData>
  <mergeCells count="32">
    <mergeCell ref="A3:N3"/>
    <mergeCell ref="A4:N4"/>
    <mergeCell ref="A6:A7"/>
    <mergeCell ref="A31:L31"/>
    <mergeCell ref="B6:E6"/>
    <mergeCell ref="F6:I6"/>
    <mergeCell ref="J6:M6"/>
    <mergeCell ref="A30:L30"/>
    <mergeCell ref="A42:N42"/>
    <mergeCell ref="A43:N43"/>
    <mergeCell ref="A45:A46"/>
    <mergeCell ref="B45:E45"/>
    <mergeCell ref="F45:I45"/>
    <mergeCell ref="J45:M45"/>
    <mergeCell ref="A69:L69"/>
    <mergeCell ref="A70:L70"/>
    <mergeCell ref="A78:N78"/>
    <mergeCell ref="A79:N79"/>
    <mergeCell ref="A81:A82"/>
    <mergeCell ref="B81:E81"/>
    <mergeCell ref="F81:I81"/>
    <mergeCell ref="J81:M81"/>
    <mergeCell ref="A142:L142"/>
    <mergeCell ref="A143:L143"/>
    <mergeCell ref="A105:L105"/>
    <mergeCell ref="A106:L106"/>
    <mergeCell ref="A115:N115"/>
    <mergeCell ref="A116:N116"/>
    <mergeCell ref="A118:A119"/>
    <mergeCell ref="B118:E118"/>
    <mergeCell ref="F118:I118"/>
    <mergeCell ref="J118:M118"/>
  </mergeCells>
  <pageMargins left="0.7" right="0.7" top="0.75" bottom="0.75" header="0.3" footer="0.3"/>
  <pageSetup scale="60" orientation="portrait" r:id="rId1"/>
  <rowBreaks count="1" manualBreakCount="1">
    <brk id="73" max="16383" man="1"/>
  </rowBreaks>
  <ignoredErrors>
    <ignoredError sqref="C29:F29 C14:F28 J14:J28 J29" formula="1"/>
    <ignoredError sqref="J10:J11" formulaRange="1"/>
    <ignoredError sqref="C13:N13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Z197"/>
  <sheetViews>
    <sheetView view="pageBreakPreview" topLeftCell="A182" zoomScale="91" zoomScaleNormal="98" zoomScaleSheetLayoutView="91" workbookViewId="0">
      <selection activeCell="W206" sqref="W206"/>
    </sheetView>
  </sheetViews>
  <sheetFormatPr defaultRowHeight="15" x14ac:dyDescent="0.25"/>
  <cols>
    <col min="1" max="1" width="11.85546875" style="1" customWidth="1"/>
    <col min="2" max="18" width="9.85546875" style="1" customWidth="1"/>
    <col min="19" max="25" width="8.85546875" style="1" customWidth="1"/>
    <col min="26" max="26" width="10.28515625" style="1" customWidth="1"/>
    <col min="27" max="32" width="8.85546875" style="1" customWidth="1"/>
    <col min="33" max="42" width="9.140625" style="1"/>
    <col min="43" max="43" width="12" style="1" customWidth="1"/>
    <col min="44" max="44" width="9.140625" style="1"/>
    <col min="45" max="45" width="10.85546875" style="1" customWidth="1"/>
    <col min="46" max="248" width="9.140625" style="1"/>
    <col min="249" max="249" width="11.85546875" style="1" customWidth="1"/>
    <col min="250" max="266" width="8.85546875" style="1" customWidth="1"/>
    <col min="267" max="504" width="9.140625" style="1"/>
    <col min="505" max="505" width="11.85546875" style="1" customWidth="1"/>
    <col min="506" max="522" width="8.85546875" style="1" customWidth="1"/>
    <col min="523" max="760" width="9.140625" style="1"/>
    <col min="761" max="761" width="11.85546875" style="1" customWidth="1"/>
    <col min="762" max="778" width="8.85546875" style="1" customWidth="1"/>
    <col min="779" max="1016" width="9.140625" style="1"/>
    <col min="1017" max="1017" width="11.85546875" style="1" customWidth="1"/>
    <col min="1018" max="1034" width="8.85546875" style="1" customWidth="1"/>
    <col min="1035" max="1272" width="9.140625" style="1"/>
    <col min="1273" max="1273" width="11.85546875" style="1" customWidth="1"/>
    <col min="1274" max="1290" width="8.85546875" style="1" customWidth="1"/>
    <col min="1291" max="1528" width="9.140625" style="1"/>
    <col min="1529" max="1529" width="11.85546875" style="1" customWidth="1"/>
    <col min="1530" max="1546" width="8.85546875" style="1" customWidth="1"/>
    <col min="1547" max="1784" width="9.140625" style="1"/>
    <col min="1785" max="1785" width="11.85546875" style="1" customWidth="1"/>
    <col min="1786" max="1802" width="8.85546875" style="1" customWidth="1"/>
    <col min="1803" max="2040" width="9.140625" style="1"/>
    <col min="2041" max="2041" width="11.85546875" style="1" customWidth="1"/>
    <col min="2042" max="2058" width="8.85546875" style="1" customWidth="1"/>
    <col min="2059" max="2296" width="9.140625" style="1"/>
    <col min="2297" max="2297" width="11.85546875" style="1" customWidth="1"/>
    <col min="2298" max="2314" width="8.85546875" style="1" customWidth="1"/>
    <col min="2315" max="2552" width="9.140625" style="1"/>
    <col min="2553" max="2553" width="11.85546875" style="1" customWidth="1"/>
    <col min="2554" max="2570" width="8.85546875" style="1" customWidth="1"/>
    <col min="2571" max="2808" width="9.140625" style="1"/>
    <col min="2809" max="2809" width="11.85546875" style="1" customWidth="1"/>
    <col min="2810" max="2826" width="8.85546875" style="1" customWidth="1"/>
    <col min="2827" max="3064" width="9.140625" style="1"/>
    <col min="3065" max="3065" width="11.85546875" style="1" customWidth="1"/>
    <col min="3066" max="3082" width="8.85546875" style="1" customWidth="1"/>
    <col min="3083" max="3320" width="9.140625" style="1"/>
    <col min="3321" max="3321" width="11.85546875" style="1" customWidth="1"/>
    <col min="3322" max="3338" width="8.85546875" style="1" customWidth="1"/>
    <col min="3339" max="3576" width="9.140625" style="1"/>
    <col min="3577" max="3577" width="11.85546875" style="1" customWidth="1"/>
    <col min="3578" max="3594" width="8.85546875" style="1" customWidth="1"/>
    <col min="3595" max="3832" width="9.140625" style="1"/>
    <col min="3833" max="3833" width="11.85546875" style="1" customWidth="1"/>
    <col min="3834" max="3850" width="8.85546875" style="1" customWidth="1"/>
    <col min="3851" max="4088" width="9.140625" style="1"/>
    <col min="4089" max="4089" width="11.85546875" style="1" customWidth="1"/>
    <col min="4090" max="4106" width="8.85546875" style="1" customWidth="1"/>
    <col min="4107" max="4344" width="9.140625" style="1"/>
    <col min="4345" max="4345" width="11.85546875" style="1" customWidth="1"/>
    <col min="4346" max="4362" width="8.85546875" style="1" customWidth="1"/>
    <col min="4363" max="4600" width="9.140625" style="1"/>
    <col min="4601" max="4601" width="11.85546875" style="1" customWidth="1"/>
    <col min="4602" max="4618" width="8.85546875" style="1" customWidth="1"/>
    <col min="4619" max="4856" width="9.140625" style="1"/>
    <col min="4857" max="4857" width="11.85546875" style="1" customWidth="1"/>
    <col min="4858" max="4874" width="8.85546875" style="1" customWidth="1"/>
    <col min="4875" max="5112" width="9.140625" style="1"/>
    <col min="5113" max="5113" width="11.85546875" style="1" customWidth="1"/>
    <col min="5114" max="5130" width="8.85546875" style="1" customWidth="1"/>
    <col min="5131" max="5368" width="9.140625" style="1"/>
    <col min="5369" max="5369" width="11.85546875" style="1" customWidth="1"/>
    <col min="5370" max="5386" width="8.85546875" style="1" customWidth="1"/>
    <col min="5387" max="5624" width="9.140625" style="1"/>
    <col min="5625" max="5625" width="11.85546875" style="1" customWidth="1"/>
    <col min="5626" max="5642" width="8.85546875" style="1" customWidth="1"/>
    <col min="5643" max="5880" width="9.140625" style="1"/>
    <col min="5881" max="5881" width="11.85546875" style="1" customWidth="1"/>
    <col min="5882" max="5898" width="8.85546875" style="1" customWidth="1"/>
    <col min="5899" max="6136" width="9.140625" style="1"/>
    <col min="6137" max="6137" width="11.85546875" style="1" customWidth="1"/>
    <col min="6138" max="6154" width="8.85546875" style="1" customWidth="1"/>
    <col min="6155" max="6392" width="9.140625" style="1"/>
    <col min="6393" max="6393" width="11.85546875" style="1" customWidth="1"/>
    <col min="6394" max="6410" width="8.85546875" style="1" customWidth="1"/>
    <col min="6411" max="6648" width="9.140625" style="1"/>
    <col min="6649" max="6649" width="11.85546875" style="1" customWidth="1"/>
    <col min="6650" max="6666" width="8.85546875" style="1" customWidth="1"/>
    <col min="6667" max="6904" width="9.140625" style="1"/>
    <col min="6905" max="6905" width="11.85546875" style="1" customWidth="1"/>
    <col min="6906" max="6922" width="8.85546875" style="1" customWidth="1"/>
    <col min="6923" max="7160" width="9.140625" style="1"/>
    <col min="7161" max="7161" width="11.85546875" style="1" customWidth="1"/>
    <col min="7162" max="7178" width="8.85546875" style="1" customWidth="1"/>
    <col min="7179" max="7416" width="9.140625" style="1"/>
    <col min="7417" max="7417" width="11.85546875" style="1" customWidth="1"/>
    <col min="7418" max="7434" width="8.85546875" style="1" customWidth="1"/>
    <col min="7435" max="7672" width="9.140625" style="1"/>
    <col min="7673" max="7673" width="11.85546875" style="1" customWidth="1"/>
    <col min="7674" max="7690" width="8.85546875" style="1" customWidth="1"/>
    <col min="7691" max="7928" width="9.140625" style="1"/>
    <col min="7929" max="7929" width="11.85546875" style="1" customWidth="1"/>
    <col min="7930" max="7946" width="8.85546875" style="1" customWidth="1"/>
    <col min="7947" max="8184" width="9.140625" style="1"/>
    <col min="8185" max="8185" width="11.85546875" style="1" customWidth="1"/>
    <col min="8186" max="8202" width="8.85546875" style="1" customWidth="1"/>
    <col min="8203" max="8440" width="9.140625" style="1"/>
    <col min="8441" max="8441" width="11.85546875" style="1" customWidth="1"/>
    <col min="8442" max="8458" width="8.85546875" style="1" customWidth="1"/>
    <col min="8459" max="8696" width="9.140625" style="1"/>
    <col min="8697" max="8697" width="11.85546875" style="1" customWidth="1"/>
    <col min="8698" max="8714" width="8.85546875" style="1" customWidth="1"/>
    <col min="8715" max="8952" width="9.140625" style="1"/>
    <col min="8953" max="8953" width="11.85546875" style="1" customWidth="1"/>
    <col min="8954" max="8970" width="8.85546875" style="1" customWidth="1"/>
    <col min="8971" max="9208" width="9.140625" style="1"/>
    <col min="9209" max="9209" width="11.85546875" style="1" customWidth="1"/>
    <col min="9210" max="9226" width="8.85546875" style="1" customWidth="1"/>
    <col min="9227" max="9464" width="9.140625" style="1"/>
    <col min="9465" max="9465" width="11.85546875" style="1" customWidth="1"/>
    <col min="9466" max="9482" width="8.85546875" style="1" customWidth="1"/>
    <col min="9483" max="9720" width="9.140625" style="1"/>
    <col min="9721" max="9721" width="11.85546875" style="1" customWidth="1"/>
    <col min="9722" max="9738" width="8.85546875" style="1" customWidth="1"/>
    <col min="9739" max="9976" width="9.140625" style="1"/>
    <col min="9977" max="9977" width="11.85546875" style="1" customWidth="1"/>
    <col min="9978" max="9994" width="8.85546875" style="1" customWidth="1"/>
    <col min="9995" max="10232" width="9.140625" style="1"/>
    <col min="10233" max="10233" width="11.85546875" style="1" customWidth="1"/>
    <col min="10234" max="10250" width="8.85546875" style="1" customWidth="1"/>
    <col min="10251" max="10488" width="9.140625" style="1"/>
    <col min="10489" max="10489" width="11.85546875" style="1" customWidth="1"/>
    <col min="10490" max="10506" width="8.85546875" style="1" customWidth="1"/>
    <col min="10507" max="10744" width="9.140625" style="1"/>
    <col min="10745" max="10745" width="11.85546875" style="1" customWidth="1"/>
    <col min="10746" max="10762" width="8.85546875" style="1" customWidth="1"/>
    <col min="10763" max="11000" width="9.140625" style="1"/>
    <col min="11001" max="11001" width="11.85546875" style="1" customWidth="1"/>
    <col min="11002" max="11018" width="8.85546875" style="1" customWidth="1"/>
    <col min="11019" max="11256" width="9.140625" style="1"/>
    <col min="11257" max="11257" width="11.85546875" style="1" customWidth="1"/>
    <col min="11258" max="11274" width="8.85546875" style="1" customWidth="1"/>
    <col min="11275" max="11512" width="9.140625" style="1"/>
    <col min="11513" max="11513" width="11.85546875" style="1" customWidth="1"/>
    <col min="11514" max="11530" width="8.85546875" style="1" customWidth="1"/>
    <col min="11531" max="11768" width="9.140625" style="1"/>
    <col min="11769" max="11769" width="11.85546875" style="1" customWidth="1"/>
    <col min="11770" max="11786" width="8.85546875" style="1" customWidth="1"/>
    <col min="11787" max="12024" width="9.140625" style="1"/>
    <col min="12025" max="12025" width="11.85546875" style="1" customWidth="1"/>
    <col min="12026" max="12042" width="8.85546875" style="1" customWidth="1"/>
    <col min="12043" max="12280" width="9.140625" style="1"/>
    <col min="12281" max="12281" width="11.85546875" style="1" customWidth="1"/>
    <col min="12282" max="12298" width="8.85546875" style="1" customWidth="1"/>
    <col min="12299" max="12536" width="9.140625" style="1"/>
    <col min="12537" max="12537" width="11.85546875" style="1" customWidth="1"/>
    <col min="12538" max="12554" width="8.85546875" style="1" customWidth="1"/>
    <col min="12555" max="12792" width="9.140625" style="1"/>
    <col min="12793" max="12793" width="11.85546875" style="1" customWidth="1"/>
    <col min="12794" max="12810" width="8.85546875" style="1" customWidth="1"/>
    <col min="12811" max="13048" width="9.140625" style="1"/>
    <col min="13049" max="13049" width="11.85546875" style="1" customWidth="1"/>
    <col min="13050" max="13066" width="8.85546875" style="1" customWidth="1"/>
    <col min="13067" max="13304" width="9.140625" style="1"/>
    <col min="13305" max="13305" width="11.85546875" style="1" customWidth="1"/>
    <col min="13306" max="13322" width="8.85546875" style="1" customWidth="1"/>
    <col min="13323" max="13560" width="9.140625" style="1"/>
    <col min="13561" max="13561" width="11.85546875" style="1" customWidth="1"/>
    <col min="13562" max="13578" width="8.85546875" style="1" customWidth="1"/>
    <col min="13579" max="13816" width="9.140625" style="1"/>
    <col min="13817" max="13817" width="11.85546875" style="1" customWidth="1"/>
    <col min="13818" max="13834" width="8.85546875" style="1" customWidth="1"/>
    <col min="13835" max="14072" width="9.140625" style="1"/>
    <col min="14073" max="14073" width="11.85546875" style="1" customWidth="1"/>
    <col min="14074" max="14090" width="8.85546875" style="1" customWidth="1"/>
    <col min="14091" max="14328" width="9.140625" style="1"/>
    <col min="14329" max="14329" width="11.85546875" style="1" customWidth="1"/>
    <col min="14330" max="14346" width="8.85546875" style="1" customWidth="1"/>
    <col min="14347" max="14584" width="9.140625" style="1"/>
    <col min="14585" max="14585" width="11.85546875" style="1" customWidth="1"/>
    <col min="14586" max="14602" width="8.85546875" style="1" customWidth="1"/>
    <col min="14603" max="14840" width="9.140625" style="1"/>
    <col min="14841" max="14841" width="11.85546875" style="1" customWidth="1"/>
    <col min="14842" max="14858" width="8.85546875" style="1" customWidth="1"/>
    <col min="14859" max="15096" width="9.140625" style="1"/>
    <col min="15097" max="15097" width="11.85546875" style="1" customWidth="1"/>
    <col min="15098" max="15114" width="8.85546875" style="1" customWidth="1"/>
    <col min="15115" max="15352" width="9.140625" style="1"/>
    <col min="15353" max="15353" width="11.85546875" style="1" customWidth="1"/>
    <col min="15354" max="15370" width="8.85546875" style="1" customWidth="1"/>
    <col min="15371" max="15608" width="9.140625" style="1"/>
    <col min="15609" max="15609" width="11.85546875" style="1" customWidth="1"/>
    <col min="15610" max="15626" width="8.85546875" style="1" customWidth="1"/>
    <col min="15627" max="15864" width="9.140625" style="1"/>
    <col min="15865" max="15865" width="11.85546875" style="1" customWidth="1"/>
    <col min="15866" max="15882" width="8.85546875" style="1" customWidth="1"/>
    <col min="15883" max="16120" width="9.140625" style="1"/>
    <col min="16121" max="16121" width="11.85546875" style="1" customWidth="1"/>
    <col min="16122" max="16138" width="8.85546875" style="1" customWidth="1"/>
    <col min="16139" max="16362" width="9.140625" style="1"/>
    <col min="16363" max="16370" width="9.140625" style="1" customWidth="1"/>
    <col min="16371" max="16384" width="9.140625" style="1"/>
  </cols>
  <sheetData>
    <row r="1" spans="1:52" ht="19.5" x14ac:dyDescent="0.25">
      <c r="A1" s="135" t="s">
        <v>86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52" ht="15.75" x14ac:dyDescent="0.25">
      <c r="A2" s="136" t="s">
        <v>87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spans="1:52" ht="12" customHeight="1" x14ac:dyDescent="0.25">
      <c r="A3" s="45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 spans="1:52" ht="18.75" x14ac:dyDescent="0.5">
      <c r="A4" s="35" t="s">
        <v>42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6"/>
      <c r="R4" s="37" t="s">
        <v>98</v>
      </c>
      <c r="S4" s="10"/>
      <c r="T4" s="45"/>
      <c r="U4" s="45"/>
      <c r="V4" s="45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O4" s="10"/>
      <c r="AV4" s="137"/>
      <c r="AW4" s="137"/>
    </row>
    <row r="5" spans="1:52" s="13" customFormat="1" ht="15.75" x14ac:dyDescent="0.25">
      <c r="A5" s="11" t="s">
        <v>43</v>
      </c>
      <c r="B5" s="12">
        <v>2014</v>
      </c>
      <c r="C5" s="12">
        <v>2015</v>
      </c>
      <c r="D5" s="12">
        <v>2016</v>
      </c>
      <c r="E5" s="12">
        <v>2017</v>
      </c>
      <c r="F5" s="12">
        <v>2018</v>
      </c>
      <c r="G5" s="12">
        <v>2019</v>
      </c>
      <c r="H5" s="12">
        <v>2020</v>
      </c>
      <c r="I5" s="12">
        <v>2021</v>
      </c>
      <c r="J5" s="12">
        <v>2022</v>
      </c>
      <c r="K5" s="12">
        <v>2023</v>
      </c>
      <c r="L5" s="12">
        <v>2024</v>
      </c>
      <c r="M5" s="12">
        <v>2025</v>
      </c>
      <c r="N5" s="12">
        <v>2026</v>
      </c>
      <c r="O5" s="12">
        <v>2027</v>
      </c>
      <c r="P5" s="12">
        <v>2028</v>
      </c>
      <c r="Q5" s="12">
        <v>2029</v>
      </c>
      <c r="R5" s="12">
        <v>2030</v>
      </c>
      <c r="S5" s="14"/>
      <c r="T5" s="45"/>
      <c r="U5" s="45"/>
      <c r="V5" s="45"/>
      <c r="W5" s="14"/>
      <c r="X5" s="14"/>
      <c r="Y5" s="14"/>
      <c r="Z5" s="14"/>
      <c r="AA5" s="14"/>
      <c r="AB5" s="14"/>
      <c r="AC5" s="14"/>
      <c r="AD5" s="14"/>
      <c r="AE5" s="14"/>
      <c r="AF5" s="14"/>
      <c r="AH5" s="14"/>
      <c r="AI5" s="1"/>
      <c r="AJ5" s="1"/>
      <c r="AK5" s="1"/>
      <c r="AL5" s="1"/>
      <c r="AM5" s="1"/>
      <c r="AN5" s="1"/>
      <c r="AO5" s="14"/>
      <c r="AQ5" s="138" t="s">
        <v>141</v>
      </c>
      <c r="AR5" s="139"/>
      <c r="AS5" s="140" t="s">
        <v>140</v>
      </c>
      <c r="AT5" s="140"/>
      <c r="AU5" s="14"/>
      <c r="AV5" s="114"/>
      <c r="AW5" s="14"/>
      <c r="AX5" s="14"/>
      <c r="AY5" s="14"/>
      <c r="AZ5" s="14"/>
    </row>
    <row r="6" spans="1:52" ht="15.75" x14ac:dyDescent="0.25">
      <c r="A6" s="10" t="s">
        <v>2</v>
      </c>
      <c r="B6" s="15">
        <f>SUM(B7:B23)</f>
        <v>437534.99999999994</v>
      </c>
      <c r="C6" s="15">
        <f t="shared" ref="C6:R6" si="0">SUM(C7:C23)</f>
        <v>454434.03481256991</v>
      </c>
      <c r="D6" s="15">
        <f t="shared" si="0"/>
        <v>472425.99802255211</v>
      </c>
      <c r="E6" s="15">
        <f t="shared" si="0"/>
        <v>491588.87801226816</v>
      </c>
      <c r="F6" s="15">
        <f t="shared" si="0"/>
        <v>512037.63178813196</v>
      </c>
      <c r="G6" s="15">
        <f t="shared" si="0"/>
        <v>533941.44321453234</v>
      </c>
      <c r="H6" s="15">
        <f t="shared" si="0"/>
        <v>557426.11356369965</v>
      </c>
      <c r="I6" s="15">
        <f t="shared" si="0"/>
        <v>568361.82131875481</v>
      </c>
      <c r="J6" s="15">
        <f t="shared" si="0"/>
        <v>579329.75573012535</v>
      </c>
      <c r="K6" s="15">
        <f t="shared" si="0"/>
        <v>590297.09826576011</v>
      </c>
      <c r="L6" s="15">
        <f t="shared" si="0"/>
        <v>601269.11123155965</v>
      </c>
      <c r="M6" s="15">
        <f t="shared" si="0"/>
        <v>612226.13982566737</v>
      </c>
      <c r="N6" s="15">
        <f t="shared" si="0"/>
        <v>623137.61424497259</v>
      </c>
      <c r="O6" s="15">
        <f t="shared" si="0"/>
        <v>634097.05184515193</v>
      </c>
      <c r="P6" s="15">
        <f t="shared" si="0"/>
        <v>645096.0593556111</v>
      </c>
      <c r="Q6" s="15">
        <f t="shared" si="0"/>
        <v>656177.33515072183</v>
      </c>
      <c r="R6" s="15">
        <f t="shared" si="0"/>
        <v>667303.67157878657</v>
      </c>
      <c r="S6" s="15"/>
      <c r="T6" s="45"/>
      <c r="U6" s="45"/>
      <c r="V6" s="45"/>
      <c r="W6" s="15"/>
      <c r="X6" s="15"/>
      <c r="Y6" s="15"/>
      <c r="Z6" s="15"/>
      <c r="AA6" s="15"/>
      <c r="AB6" s="15"/>
      <c r="AC6" s="15"/>
      <c r="AD6" s="15"/>
      <c r="AE6" s="15"/>
      <c r="AF6" s="15"/>
      <c r="AH6" s="16"/>
      <c r="AO6" s="16"/>
      <c r="AQ6" s="1" t="s">
        <v>3</v>
      </c>
      <c r="AR6" s="1" t="s">
        <v>4</v>
      </c>
      <c r="AS6" s="1" t="s">
        <v>3</v>
      </c>
      <c r="AT6" s="1" t="s">
        <v>4</v>
      </c>
      <c r="AV6" s="16"/>
      <c r="AW6" s="16"/>
      <c r="AX6" s="16"/>
      <c r="AY6" s="16"/>
      <c r="AZ6" s="16"/>
    </row>
    <row r="7" spans="1:52" ht="15.75" x14ac:dyDescent="0.25">
      <c r="A7" s="17" t="s">
        <v>44</v>
      </c>
      <c r="B7" s="18">
        <v>36688.504627705508</v>
      </c>
      <c r="C7" s="18">
        <v>37031.585171329352</v>
      </c>
      <c r="D7" s="18">
        <v>37356.021938771781</v>
      </c>
      <c r="E7" s="18">
        <v>37674.798604506577</v>
      </c>
      <c r="F7" s="18">
        <v>38453.002288310563</v>
      </c>
      <c r="G7" s="18">
        <v>39280.834434473414</v>
      </c>
      <c r="H7" s="18">
        <v>39410.622835177928</v>
      </c>
      <c r="I7" s="18">
        <v>39352.808287864333</v>
      </c>
      <c r="J7" s="18">
        <v>39223.985914507386</v>
      </c>
      <c r="K7" s="18">
        <v>38989.18083710198</v>
      </c>
      <c r="L7" s="18">
        <v>38647.418813740784</v>
      </c>
      <c r="M7" s="18">
        <v>38209.726254720663</v>
      </c>
      <c r="N7" s="18">
        <v>37714.130239056838</v>
      </c>
      <c r="O7" s="18">
        <v>37193.658531415174</v>
      </c>
      <c r="P7" s="18">
        <v>36702.339599473351</v>
      </c>
      <c r="Q7" s="18">
        <v>36282.202631721419</v>
      </c>
      <c r="R7" s="18">
        <v>35939.277555713277</v>
      </c>
      <c r="S7" s="18"/>
      <c r="T7" s="45"/>
      <c r="U7" s="45"/>
      <c r="V7" s="45"/>
      <c r="W7" s="18"/>
      <c r="X7" s="18"/>
      <c r="Y7" s="18"/>
      <c r="Z7" s="28"/>
      <c r="AA7" s="28"/>
      <c r="AB7" s="28"/>
      <c r="AC7" s="28"/>
      <c r="AE7" s="18"/>
      <c r="AF7" s="18"/>
      <c r="AH7" s="16"/>
      <c r="AO7" s="16"/>
      <c r="AP7" s="1" t="s">
        <v>45</v>
      </c>
      <c r="AQ7" s="22">
        <v>-19203.890790259997</v>
      </c>
      <c r="AR7" s="28">
        <v>17740.890790259997</v>
      </c>
      <c r="AS7" s="22">
        <v>-996.63847197773327</v>
      </c>
      <c r="AT7" s="16">
        <v>705.99876124305558</v>
      </c>
      <c r="AU7" s="22"/>
      <c r="AV7" s="16"/>
      <c r="AW7" s="16"/>
      <c r="AX7" s="16"/>
      <c r="AY7" s="16"/>
      <c r="AZ7" s="16"/>
    </row>
    <row r="8" spans="1:52" ht="15.75" x14ac:dyDescent="0.25">
      <c r="A8" s="17" t="s">
        <v>46</v>
      </c>
      <c r="B8" s="18">
        <v>32229.701091328527</v>
      </c>
      <c r="C8" s="18">
        <v>34131.47012640824</v>
      </c>
      <c r="D8" s="18">
        <v>35566.250616025864</v>
      </c>
      <c r="E8" s="18">
        <v>36568.569291281106</v>
      </c>
      <c r="F8" s="18">
        <v>36606.00827142255</v>
      </c>
      <c r="G8" s="18">
        <v>36258.210888842455</v>
      </c>
      <c r="H8" s="18">
        <v>36586.888126685553</v>
      </c>
      <c r="I8" s="18">
        <v>36836.954668962957</v>
      </c>
      <c r="J8" s="18">
        <v>37072.554702796231</v>
      </c>
      <c r="K8" s="18">
        <v>37754.701738580014</v>
      </c>
      <c r="L8" s="18">
        <v>38475.409628857655</v>
      </c>
      <c r="M8" s="18">
        <v>38487.692576986294</v>
      </c>
      <c r="N8" s="18">
        <v>38419.565146021247</v>
      </c>
      <c r="O8" s="18">
        <v>38279.042267825484</v>
      </c>
      <c r="P8" s="18">
        <v>38032.13925240979</v>
      </c>
      <c r="Q8" s="18">
        <v>37680.871797509448</v>
      </c>
      <c r="R8" s="18">
        <v>37231.255998403474</v>
      </c>
      <c r="S8" s="18"/>
      <c r="T8" s="45"/>
      <c r="U8" s="45"/>
      <c r="V8" s="45"/>
      <c r="W8" s="18"/>
      <c r="X8" s="18"/>
      <c r="Y8" s="19"/>
      <c r="Z8" s="28"/>
      <c r="AA8" s="28"/>
      <c r="AB8" s="28"/>
      <c r="AC8" s="28"/>
      <c r="AE8" s="18"/>
      <c r="AF8" s="18"/>
      <c r="AH8" s="16"/>
      <c r="AO8" s="16"/>
      <c r="AP8" s="1" t="s">
        <v>47</v>
      </c>
      <c r="AQ8" s="22">
        <v>-19597.484650433329</v>
      </c>
      <c r="AR8" s="28">
        <v>17966.296930086664</v>
      </c>
      <c r="AS8" s="22">
        <v>-577.6864720266542</v>
      </c>
      <c r="AT8" s="16">
        <v>333.94157631100768</v>
      </c>
      <c r="AU8" s="22"/>
      <c r="AV8" s="16"/>
      <c r="AW8" s="16"/>
      <c r="AX8" s="16"/>
      <c r="AY8" s="16"/>
      <c r="AZ8" s="16"/>
    </row>
    <row r="9" spans="1:52" ht="15.75" x14ac:dyDescent="0.25">
      <c r="A9" s="17" t="s">
        <v>48</v>
      </c>
      <c r="B9" s="18">
        <v>26423.84721465968</v>
      </c>
      <c r="C9" s="18">
        <v>26230.019090437643</v>
      </c>
      <c r="D9" s="18">
        <v>26696.926874769597</v>
      </c>
      <c r="E9" s="18">
        <v>27989.857868103336</v>
      </c>
      <c r="F9" s="18">
        <v>29978.12957501259</v>
      </c>
      <c r="G9" s="18">
        <v>32049.092880489094</v>
      </c>
      <c r="H9" s="18">
        <v>33941.135560280156</v>
      </c>
      <c r="I9" s="18">
        <v>35335.768224442392</v>
      </c>
      <c r="J9" s="18">
        <v>36290.695623565371</v>
      </c>
      <c r="K9" s="18">
        <v>36274.925225555584</v>
      </c>
      <c r="L9" s="18">
        <v>35868.464687545806</v>
      </c>
      <c r="M9" s="18">
        <v>36135.321860689968</v>
      </c>
      <c r="N9" s="18">
        <v>36367.504795079578</v>
      </c>
      <c r="O9" s="18">
        <v>36595.02174478471</v>
      </c>
      <c r="P9" s="18">
        <v>37267.881173022746</v>
      </c>
      <c r="Q9" s="18">
        <v>37978.091757458104</v>
      </c>
      <c r="R9" s="18">
        <v>37985.662395636187</v>
      </c>
      <c r="S9" s="18"/>
      <c r="T9" s="45"/>
      <c r="U9" s="45"/>
      <c r="V9" s="45"/>
      <c r="W9" s="18"/>
      <c r="X9" s="18"/>
      <c r="Y9" s="17"/>
      <c r="Z9" s="28"/>
      <c r="AA9" s="28"/>
      <c r="AB9" s="28"/>
      <c r="AC9" s="28"/>
      <c r="AE9" s="18"/>
      <c r="AF9" s="18"/>
      <c r="AH9" s="16"/>
      <c r="AO9" s="16"/>
      <c r="AP9" s="1" t="s">
        <v>49</v>
      </c>
      <c r="AQ9" s="22">
        <v>-18569.187720346665</v>
      </c>
      <c r="AR9" s="28">
        <v>16802.187720346665</v>
      </c>
      <c r="AS9" s="22">
        <v>-328.97497134840421</v>
      </c>
      <c r="AT9" s="16">
        <v>168.11427550407407</v>
      </c>
      <c r="AU9" s="22"/>
      <c r="AV9" s="16"/>
      <c r="AW9" s="16"/>
      <c r="AX9" s="16"/>
      <c r="AY9" s="16"/>
      <c r="AZ9" s="16"/>
    </row>
    <row r="10" spans="1:52" ht="15.75" x14ac:dyDescent="0.25">
      <c r="A10" s="17" t="s">
        <v>50</v>
      </c>
      <c r="B10" s="18">
        <v>32729.004027873285</v>
      </c>
      <c r="C10" s="18">
        <v>32460.990125990771</v>
      </c>
      <c r="D10" s="18">
        <v>31787.481819796667</v>
      </c>
      <c r="E10" s="18">
        <v>30810.591343301203</v>
      </c>
      <c r="F10" s="18">
        <v>30201.651907664593</v>
      </c>
      <c r="G10" s="18">
        <v>30262.240910788965</v>
      </c>
      <c r="H10" s="18">
        <v>30386.205587073615</v>
      </c>
      <c r="I10" s="18">
        <v>30938.342097544857</v>
      </c>
      <c r="J10" s="18">
        <v>32315.241710771923</v>
      </c>
      <c r="K10" s="18">
        <v>34379.975049730099</v>
      </c>
      <c r="L10" s="18">
        <v>36533.614542995951</v>
      </c>
      <c r="M10" s="18">
        <v>38506.234470924428</v>
      </c>
      <c r="N10" s="18">
        <v>40015.911013007382</v>
      </c>
      <c r="O10" s="18">
        <v>41085.722296443506</v>
      </c>
      <c r="P10" s="18">
        <v>41189.748445950943</v>
      </c>
      <c r="Q10" s="18">
        <v>40907.071634854139</v>
      </c>
      <c r="R10" s="18">
        <v>41303.776137477653</v>
      </c>
      <c r="S10" s="18"/>
      <c r="T10" s="45"/>
      <c r="U10" s="45"/>
      <c r="V10" s="45"/>
      <c r="W10" s="18"/>
      <c r="X10" s="18"/>
      <c r="Y10" s="17"/>
      <c r="Z10" s="28"/>
      <c r="AA10" s="28"/>
      <c r="AB10" s="28"/>
      <c r="AC10" s="28"/>
      <c r="AE10" s="18"/>
      <c r="AF10" s="18"/>
      <c r="AH10" s="16"/>
      <c r="AO10" s="16"/>
      <c r="AP10" s="1" t="s">
        <v>51</v>
      </c>
      <c r="AQ10" s="22">
        <v>-17325.526956992642</v>
      </c>
      <c r="AR10" s="28">
        <v>15577.283343293298</v>
      </c>
      <c r="AS10" s="22">
        <v>-3341.5732126274879</v>
      </c>
      <c r="AT10" s="16">
        <v>289.23103008252031</v>
      </c>
      <c r="AU10" s="22"/>
      <c r="AV10" s="16"/>
      <c r="AW10" s="16"/>
      <c r="AX10" s="16"/>
      <c r="AY10" s="16"/>
      <c r="AZ10" s="16"/>
    </row>
    <row r="11" spans="1:52" ht="15.75" x14ac:dyDescent="0.25">
      <c r="A11" s="17" t="s">
        <v>52</v>
      </c>
      <c r="B11" s="18">
        <v>53501.891548001629</v>
      </c>
      <c r="C11" s="18">
        <v>54502.965918589514</v>
      </c>
      <c r="D11" s="18">
        <v>56199.328968211594</v>
      </c>
      <c r="E11" s="18">
        <v>58456.690963791101</v>
      </c>
      <c r="F11" s="18">
        <v>60420.829919488788</v>
      </c>
      <c r="G11" s="18">
        <v>62433.808926615071</v>
      </c>
      <c r="H11" s="18">
        <v>65005.21633672071</v>
      </c>
      <c r="I11" s="18">
        <v>64990.274493862875</v>
      </c>
      <c r="J11" s="18">
        <v>64684.978564228681</v>
      </c>
      <c r="K11" s="18">
        <v>64741.904834279587</v>
      </c>
      <c r="L11" s="18">
        <v>65465.644258325381</v>
      </c>
      <c r="M11" s="18">
        <v>66240.802831925714</v>
      </c>
      <c r="N11" s="18">
        <v>67697.001974799306</v>
      </c>
      <c r="O11" s="18">
        <v>70007.878923482785</v>
      </c>
      <c r="P11" s="18">
        <v>73023.087133987574</v>
      </c>
      <c r="Q11" s="18">
        <v>76160.296694709396</v>
      </c>
      <c r="R11" s="18">
        <v>79132.194749851551</v>
      </c>
      <c r="S11" s="18"/>
      <c r="T11" s="45"/>
      <c r="U11" s="45"/>
      <c r="V11" s="45"/>
      <c r="W11" s="18"/>
      <c r="X11" s="18"/>
      <c r="Y11" s="17"/>
      <c r="Z11" s="28"/>
      <c r="AA11" s="28"/>
      <c r="AB11" s="28"/>
      <c r="AC11" s="28"/>
      <c r="AE11" s="18"/>
      <c r="AF11" s="18"/>
      <c r="AH11" s="16"/>
      <c r="AO11" s="16"/>
      <c r="AP11" s="1" t="s">
        <v>53</v>
      </c>
      <c r="AQ11" s="22">
        <v>-18254.111868910244</v>
      </c>
      <c r="AR11" s="28">
        <v>13205.508813866523</v>
      </c>
      <c r="AS11" s="22">
        <v>-32099.711171528645</v>
      </c>
      <c r="AT11" s="16">
        <v>1906.31240401997</v>
      </c>
      <c r="AU11" s="22"/>
      <c r="AV11" s="16"/>
      <c r="AW11" s="16"/>
      <c r="AX11" s="16"/>
      <c r="AY11" s="16"/>
      <c r="AZ11" s="16"/>
    </row>
    <row r="12" spans="1:52" ht="15.75" x14ac:dyDescent="0.25">
      <c r="A12" s="17" t="s">
        <v>54</v>
      </c>
      <c r="B12" s="18">
        <v>66812.378759372426</v>
      </c>
      <c r="C12" s="18">
        <v>69521.15142067695</v>
      </c>
      <c r="D12" s="18">
        <v>72448.996920584003</v>
      </c>
      <c r="E12" s="18">
        <v>75541.880123291543</v>
      </c>
      <c r="F12" s="18">
        <v>79313.228316987617</v>
      </c>
      <c r="G12" s="18">
        <v>83190.295241071712</v>
      </c>
      <c r="H12" s="18">
        <v>87321.563395316101</v>
      </c>
      <c r="I12" s="18">
        <v>88355.038599904146</v>
      </c>
      <c r="J12" s="18">
        <v>89780.091426231753</v>
      </c>
      <c r="K12" s="18">
        <v>90721.625136680494</v>
      </c>
      <c r="L12" s="18">
        <v>91489.565928593773</v>
      </c>
      <c r="M12" s="18">
        <v>92573.86351668938</v>
      </c>
      <c r="N12" s="18">
        <v>93262.491730263631</v>
      </c>
      <c r="O12" s="18">
        <v>93671.449125563056</v>
      </c>
      <c r="P12" s="18">
        <v>94465.759613708316</v>
      </c>
      <c r="Q12" s="18">
        <v>95944.473104565754</v>
      </c>
      <c r="R12" s="18">
        <v>97492.666166971685</v>
      </c>
      <c r="S12" s="18"/>
      <c r="T12" s="45"/>
      <c r="U12" s="45"/>
      <c r="V12" s="45"/>
      <c r="W12" s="18"/>
      <c r="X12" s="18"/>
      <c r="Y12" s="17"/>
      <c r="Z12" s="28"/>
      <c r="AA12" s="28"/>
      <c r="AB12" s="28"/>
      <c r="AC12" s="28"/>
      <c r="AE12" s="18"/>
      <c r="AF12" s="18"/>
      <c r="AH12" s="16"/>
      <c r="AO12" s="16"/>
      <c r="AP12" s="1" t="s">
        <v>55</v>
      </c>
      <c r="AQ12" s="22">
        <v>-19128.042904157272</v>
      </c>
      <c r="AR12" s="28">
        <v>15395.72370779992</v>
      </c>
      <c r="AS12" s="22">
        <v>-52288.258368148279</v>
      </c>
      <c r="AT12" s="16">
        <v>4677.540948488303</v>
      </c>
      <c r="AU12" s="22"/>
      <c r="AV12" s="16"/>
      <c r="AX12" s="16"/>
      <c r="AY12" s="16"/>
      <c r="AZ12" s="16"/>
    </row>
    <row r="13" spans="1:52" ht="15.75" x14ac:dyDescent="0.25">
      <c r="A13" s="9" t="s">
        <v>56</v>
      </c>
      <c r="B13" s="18">
        <v>51004.997807518157</v>
      </c>
      <c r="C13" s="18">
        <v>55276.832967394905</v>
      </c>
      <c r="D13" s="18">
        <v>59535.206614446914</v>
      </c>
      <c r="E13" s="18">
        <v>63001.50838456412</v>
      </c>
      <c r="F13" s="18">
        <v>67074.584659251646</v>
      </c>
      <c r="G13" s="18">
        <v>70756.99686048241</v>
      </c>
      <c r="H13" s="18">
        <v>73949.30690846128</v>
      </c>
      <c r="I13" s="18">
        <v>74497.781531244444</v>
      </c>
      <c r="J13" s="18">
        <v>74889.475440507769</v>
      </c>
      <c r="K13" s="18">
        <v>75600.028892448434</v>
      </c>
      <c r="L13" s="18">
        <v>76014.098399549228</v>
      </c>
      <c r="M13" s="18">
        <v>76238.357143375921</v>
      </c>
      <c r="N13" s="18">
        <v>77000.495397858263</v>
      </c>
      <c r="O13" s="18">
        <v>78141.220963320346</v>
      </c>
      <c r="P13" s="18">
        <v>78790.259611533838</v>
      </c>
      <c r="Q13" s="18">
        <v>79266.355542073958</v>
      </c>
      <c r="R13" s="18">
        <v>80040.271850265039</v>
      </c>
      <c r="S13" s="18"/>
      <c r="T13" s="45"/>
      <c r="U13" s="45"/>
      <c r="V13" s="45"/>
      <c r="W13" s="18"/>
      <c r="X13" s="18"/>
      <c r="Y13" s="17"/>
      <c r="Z13" s="28"/>
      <c r="AA13" s="28"/>
      <c r="AB13" s="28"/>
      <c r="AC13" s="28"/>
      <c r="AE13" s="18"/>
      <c r="AF13" s="18"/>
      <c r="AH13" s="16"/>
      <c r="AO13" s="16"/>
      <c r="AP13" s="1" t="s">
        <v>57</v>
      </c>
      <c r="AQ13" s="22">
        <v>-18090.993546504738</v>
      </c>
      <c r="AR13" s="28">
        <v>17503.064923813294</v>
      </c>
      <c r="AS13" s="22">
        <v>-36678.024351385684</v>
      </c>
      <c r="AT13" s="16">
        <v>3742.0155778455041</v>
      </c>
      <c r="AU13" s="22"/>
      <c r="AV13" s="16"/>
      <c r="AX13" s="16"/>
      <c r="AY13" s="16"/>
      <c r="AZ13" s="16"/>
    </row>
    <row r="14" spans="1:52" ht="15.75" x14ac:dyDescent="0.25">
      <c r="A14" s="9" t="s">
        <v>58</v>
      </c>
      <c r="B14" s="18">
        <v>35561.410765171429</v>
      </c>
      <c r="C14" s="18">
        <v>38206.56084243286</v>
      </c>
      <c r="D14" s="18">
        <v>40678.409964861647</v>
      </c>
      <c r="E14" s="18">
        <v>44218.996816034371</v>
      </c>
      <c r="F14" s="18">
        <v>47700.939755161264</v>
      </c>
      <c r="G14" s="18">
        <v>51484.602901486091</v>
      </c>
      <c r="H14" s="18">
        <v>55859.27968457737</v>
      </c>
      <c r="I14" s="18">
        <v>58360.425812280111</v>
      </c>
      <c r="J14" s="18">
        <v>59833.744260957727</v>
      </c>
      <c r="K14" s="18">
        <v>61662.645564627092</v>
      </c>
      <c r="L14" s="18">
        <v>62819.550679782202</v>
      </c>
      <c r="M14" s="18">
        <v>63174.891250024331</v>
      </c>
      <c r="N14" s="18">
        <v>63452.109877411975</v>
      </c>
      <c r="O14" s="18">
        <v>63571.66040070117</v>
      </c>
      <c r="P14" s="18">
        <v>63997.008180651443</v>
      </c>
      <c r="Q14" s="18">
        <v>64118.630392576393</v>
      </c>
      <c r="R14" s="18">
        <v>64047.016326323304</v>
      </c>
      <c r="S14" s="18"/>
      <c r="T14" s="45"/>
      <c r="U14" s="45"/>
      <c r="V14" s="45"/>
      <c r="W14" s="18"/>
      <c r="X14" s="18"/>
      <c r="Y14" s="17"/>
      <c r="Z14" s="28"/>
      <c r="AA14" s="28"/>
      <c r="AB14" s="28"/>
      <c r="AC14" s="28"/>
      <c r="AE14" s="18"/>
      <c r="AF14" s="18"/>
      <c r="AH14" s="16"/>
      <c r="AO14" s="16"/>
      <c r="AP14" s="1" t="s">
        <v>59</v>
      </c>
      <c r="AQ14" s="22">
        <v>-17709.589386045467</v>
      </c>
      <c r="AR14" s="28">
        <v>19119.641671646648</v>
      </c>
      <c r="AS14" s="22">
        <v>-23497.797187979537</v>
      </c>
      <c r="AT14" s="16">
        <v>2492.5224341105481</v>
      </c>
      <c r="AU14" s="22"/>
      <c r="AV14" s="16"/>
      <c r="AX14" s="16"/>
      <c r="AY14" s="16"/>
      <c r="AZ14" s="16"/>
    </row>
    <row r="15" spans="1:52" ht="15.75" x14ac:dyDescent="0.25">
      <c r="A15" s="9" t="s">
        <v>60</v>
      </c>
      <c r="B15" s="18">
        <v>27675.317185186352</v>
      </c>
      <c r="C15" s="18">
        <v>28900.509945283578</v>
      </c>
      <c r="D15" s="18">
        <v>30516.487201256932</v>
      </c>
      <c r="E15" s="18">
        <v>31841.531093177939</v>
      </c>
      <c r="F15" s="18">
        <v>33465.898512841646</v>
      </c>
      <c r="G15" s="18">
        <v>35540.923580856455</v>
      </c>
      <c r="H15" s="18">
        <v>38203.130900330922</v>
      </c>
      <c r="I15" s="18">
        <v>39532.644317375263</v>
      </c>
      <c r="J15" s="18">
        <v>41779.278143365475</v>
      </c>
      <c r="K15" s="18">
        <v>43809.28942041986</v>
      </c>
      <c r="L15" s="18">
        <v>45953.941719907627</v>
      </c>
      <c r="M15" s="18">
        <v>48480.505308322419</v>
      </c>
      <c r="N15" s="18">
        <v>50790.257317370371</v>
      </c>
      <c r="O15" s="18">
        <v>52074.481918379708</v>
      </c>
      <c r="P15" s="18">
        <v>53706.470501141768</v>
      </c>
      <c r="Q15" s="18">
        <v>54664.52185729616</v>
      </c>
      <c r="R15" s="18">
        <v>54818.94236837529</v>
      </c>
      <c r="S15" s="18"/>
      <c r="T15" s="45"/>
      <c r="U15" s="45"/>
      <c r="V15" s="45"/>
      <c r="W15" s="18"/>
      <c r="X15" s="18"/>
      <c r="Y15" s="9"/>
      <c r="Z15" s="28"/>
      <c r="AA15" s="28"/>
      <c r="AB15" s="22"/>
      <c r="AC15" s="22"/>
      <c r="AE15" s="18"/>
      <c r="AF15" s="18"/>
      <c r="AH15" s="16"/>
      <c r="AO15" s="16"/>
      <c r="AP15" s="1" t="s">
        <v>61</v>
      </c>
      <c r="AQ15" s="22">
        <v>-14345.633156579106</v>
      </c>
      <c r="AR15" s="28">
        <v>15572.157021213321</v>
      </c>
      <c r="AS15" s="22">
        <v>-14624.238015360868</v>
      </c>
      <c r="AT15" s="16">
        <v>1411.9135267543297</v>
      </c>
      <c r="AU15" s="22"/>
      <c r="AV15" s="16"/>
      <c r="AX15" s="16"/>
      <c r="AY15" s="16"/>
      <c r="AZ15" s="16"/>
    </row>
    <row r="16" spans="1:52" ht="15.75" x14ac:dyDescent="0.25">
      <c r="A16" s="9" t="s">
        <v>62</v>
      </c>
      <c r="B16" s="18">
        <v>22038.528598589248</v>
      </c>
      <c r="C16" s="18">
        <v>22651.333784540129</v>
      </c>
      <c r="D16" s="18">
        <v>23801.547974434401</v>
      </c>
      <c r="E16" s="18">
        <v>25238.541910561355</v>
      </c>
      <c r="F16" s="18">
        <v>25955.25023310072</v>
      </c>
      <c r="G16" s="18">
        <v>26892.230760810147</v>
      </c>
      <c r="H16" s="18">
        <v>28073.730005659148</v>
      </c>
      <c r="I16" s="18">
        <v>28970.47457168324</v>
      </c>
      <c r="J16" s="18">
        <v>29475.131876181025</v>
      </c>
      <c r="K16" s="18">
        <v>30187.852148250171</v>
      </c>
      <c r="L16" s="18">
        <v>31231.789434475359</v>
      </c>
      <c r="M16" s="18">
        <v>32735.101695948262</v>
      </c>
      <c r="N16" s="18">
        <v>33923.950907753591</v>
      </c>
      <c r="O16" s="18">
        <v>36024.503160983899</v>
      </c>
      <c r="P16" s="18">
        <v>37904.928767347417</v>
      </c>
      <c r="Q16" s="18">
        <v>39892.402366434937</v>
      </c>
      <c r="R16" s="18">
        <v>42262.103035713219</v>
      </c>
      <c r="S16" s="18"/>
      <c r="T16" s="45"/>
      <c r="U16" s="45"/>
      <c r="V16" s="45"/>
      <c r="W16" s="18"/>
      <c r="X16" s="18"/>
      <c r="Y16" s="9"/>
      <c r="Z16" s="22"/>
      <c r="AA16" s="22"/>
      <c r="AB16" s="22"/>
      <c r="AC16" s="22"/>
      <c r="AE16" s="18"/>
      <c r="AF16" s="18"/>
      <c r="AH16" s="16"/>
      <c r="AO16" s="16"/>
      <c r="AP16" s="1" t="s">
        <v>63</v>
      </c>
      <c r="AQ16" s="22">
        <v>-10610.192276679414</v>
      </c>
      <c r="AR16" s="28">
        <v>11345.187720346663</v>
      </c>
      <c r="AS16" s="22">
        <v>-8350.9349197116953</v>
      </c>
      <c r="AT16" s="16">
        <v>925.47451773758473</v>
      </c>
      <c r="AU16" s="22"/>
      <c r="AV16" s="16"/>
      <c r="AX16" s="16"/>
      <c r="AY16" s="16"/>
      <c r="AZ16" s="16"/>
    </row>
    <row r="17" spans="1:52" ht="15.75" x14ac:dyDescent="0.25">
      <c r="A17" s="9" t="s">
        <v>64</v>
      </c>
      <c r="B17" s="18">
        <v>17143.669658910429</v>
      </c>
      <c r="C17" s="18">
        <v>17990.75821957997</v>
      </c>
      <c r="D17" s="18">
        <v>18274.587545903865</v>
      </c>
      <c r="E17" s="18">
        <v>18652.735143190326</v>
      </c>
      <c r="F17" s="18">
        <v>19526.048949895681</v>
      </c>
      <c r="G17" s="18">
        <v>20613.675762325056</v>
      </c>
      <c r="H17" s="18">
        <v>21126.092648337049</v>
      </c>
      <c r="I17" s="18">
        <v>21838.765320420796</v>
      </c>
      <c r="J17" s="18">
        <v>22776.380409405021</v>
      </c>
      <c r="K17" s="18">
        <v>22938.012775633244</v>
      </c>
      <c r="L17" s="18">
        <v>23262.73918436504</v>
      </c>
      <c r="M17" s="18">
        <v>23753.638354257768</v>
      </c>
      <c r="N17" s="18">
        <v>24537.791007082495</v>
      </c>
      <c r="O17" s="18">
        <v>24944.279918705499</v>
      </c>
      <c r="P17" s="18">
        <v>25545.189971367461</v>
      </c>
      <c r="Q17" s="18">
        <v>26477.608207293564</v>
      </c>
      <c r="R17" s="18">
        <v>27854.623883668257</v>
      </c>
      <c r="S17" s="18"/>
      <c r="T17" s="45"/>
      <c r="U17" s="45"/>
      <c r="V17" s="45"/>
      <c r="W17" s="18"/>
      <c r="X17" s="18"/>
      <c r="Y17" s="9"/>
      <c r="Z17" s="22"/>
      <c r="AA17" s="22"/>
      <c r="AB17" s="33"/>
      <c r="AC17" s="33"/>
      <c r="AE17" s="18"/>
      <c r="AF17" s="18"/>
      <c r="AH17" s="16"/>
      <c r="AO17" s="16"/>
      <c r="AP17" s="1" t="s">
        <v>65</v>
      </c>
      <c r="AQ17" s="22">
        <v>-8998.0553779596084</v>
      </c>
      <c r="AR17" s="28">
        <v>9816.9693008666582</v>
      </c>
      <c r="AS17" s="22">
        <v>-3948.1556177502853</v>
      </c>
      <c r="AT17" s="16">
        <v>499.55888778848771</v>
      </c>
      <c r="AU17" s="22"/>
      <c r="AV17" s="16"/>
      <c r="AX17" s="16"/>
      <c r="AY17" s="16"/>
      <c r="AZ17" s="16"/>
    </row>
    <row r="18" spans="1:52" ht="15.75" x14ac:dyDescent="0.25">
      <c r="A18" s="9" t="s">
        <v>66</v>
      </c>
      <c r="B18" s="18">
        <v>12554.896489432478</v>
      </c>
      <c r="C18" s="18">
        <v>13577.596296204392</v>
      </c>
      <c r="D18" s="18">
        <v>14492.543450490453</v>
      </c>
      <c r="E18" s="18">
        <v>15229.803860938384</v>
      </c>
      <c r="F18" s="18">
        <v>15638.555227587151</v>
      </c>
      <c r="G18" s="18">
        <v>15752.09879087292</v>
      </c>
      <c r="H18" s="18">
        <v>16507.872316072826</v>
      </c>
      <c r="I18" s="18">
        <v>16577.631841814349</v>
      </c>
      <c r="J18" s="18">
        <v>16714.632542793923</v>
      </c>
      <c r="K18" s="18">
        <v>17304.906019209378</v>
      </c>
      <c r="L18" s="18">
        <v>18075.484675954754</v>
      </c>
      <c r="M18" s="18">
        <v>18251.401743115963</v>
      </c>
      <c r="N18" s="18">
        <v>18888.691296988578</v>
      </c>
      <c r="O18" s="18">
        <v>19751.388281631094</v>
      </c>
      <c r="P18" s="18">
        <v>19852.528530967211</v>
      </c>
      <c r="Q18" s="18">
        <v>20117.148791451273</v>
      </c>
      <c r="R18" s="18">
        <v>20534.28674531103</v>
      </c>
      <c r="S18" s="18"/>
      <c r="T18" s="45"/>
      <c r="U18" s="45"/>
      <c r="V18" s="45"/>
      <c r="W18" s="18"/>
      <c r="X18" s="18"/>
      <c r="Y18" s="9"/>
      <c r="Z18" s="33"/>
      <c r="AA18" s="33"/>
      <c r="AB18" s="28"/>
      <c r="AC18" s="28"/>
      <c r="AE18" s="18"/>
      <c r="AF18" s="18"/>
      <c r="AH18" s="16"/>
      <c r="AO18" s="16"/>
      <c r="AP18" s="1" t="s">
        <v>67</v>
      </c>
      <c r="AQ18" s="22">
        <v>-7851.246108459809</v>
      </c>
      <c r="AR18" s="28">
        <v>8385.8907902599967</v>
      </c>
      <c r="AS18" s="22">
        <v>-1556.1106644858362</v>
      </c>
      <c r="AT18" s="16">
        <v>282.23711274911142</v>
      </c>
      <c r="AU18" s="22"/>
      <c r="AV18" s="16"/>
      <c r="AX18" s="16"/>
      <c r="AY18" s="16"/>
      <c r="AZ18" s="16"/>
    </row>
    <row r="19" spans="1:52" ht="15.75" x14ac:dyDescent="0.25">
      <c r="A19" s="9" t="s">
        <v>68</v>
      </c>
      <c r="B19" s="18">
        <v>6563.4808796883444</v>
      </c>
      <c r="C19" s="18">
        <v>7069.0017113689464</v>
      </c>
      <c r="D19" s="18">
        <v>7999.4692631275966</v>
      </c>
      <c r="E19" s="18">
        <v>9043.2930908599756</v>
      </c>
      <c r="F19" s="18">
        <v>10164.925678316586</v>
      </c>
      <c r="G19" s="18">
        <v>11508.866948031653</v>
      </c>
      <c r="H19" s="18">
        <v>12457.669246569612</v>
      </c>
      <c r="I19" s="18">
        <v>13246.945520216905</v>
      </c>
      <c r="J19" s="18">
        <v>13866.712964956167</v>
      </c>
      <c r="K19" s="18">
        <v>14151.984098867815</v>
      </c>
      <c r="L19" s="18">
        <v>14143.771759142281</v>
      </c>
      <c r="M19" s="18">
        <v>14747.089110216619</v>
      </c>
      <c r="N19" s="18">
        <v>14800.949652118627</v>
      </c>
      <c r="O19" s="18">
        <v>14917.367229023788</v>
      </c>
      <c r="P19" s="18">
        <v>15464.356038030417</v>
      </c>
      <c r="Q19" s="18">
        <v>16190.930638158676</v>
      </c>
      <c r="R19" s="18">
        <v>16341.105959579016</v>
      </c>
      <c r="S19" s="18"/>
      <c r="T19" s="45"/>
      <c r="U19" s="45"/>
      <c r="V19" s="45"/>
      <c r="W19" s="18"/>
      <c r="X19" s="18"/>
      <c r="Y19" s="9"/>
      <c r="Z19" s="28"/>
      <c r="AA19" s="28"/>
      <c r="AB19" s="28"/>
      <c r="AC19" s="28"/>
      <c r="AE19" s="18"/>
      <c r="AF19" s="18"/>
      <c r="AH19" s="16"/>
      <c r="AO19" s="16"/>
      <c r="AP19" s="1" t="s">
        <v>69</v>
      </c>
      <c r="AQ19" s="22">
        <v>-6565.0991484932456</v>
      </c>
      <c r="AR19" s="28">
        <v>6872.8907902599976</v>
      </c>
      <c r="AS19" s="22">
        <v>-582.54608257701466</v>
      </c>
      <c r="AT19" s="16">
        <v>123.23573781202383</v>
      </c>
      <c r="AU19" s="22"/>
      <c r="AV19" s="16"/>
      <c r="AX19" s="16"/>
      <c r="AY19" s="16"/>
      <c r="AZ19" s="16"/>
    </row>
    <row r="20" spans="1:52" ht="15.75" x14ac:dyDescent="0.25">
      <c r="A20" s="9" t="s">
        <v>70</v>
      </c>
      <c r="B20" s="18">
        <v>4976.3943411769242</v>
      </c>
      <c r="C20" s="18">
        <v>5178.6884989958762</v>
      </c>
      <c r="D20" s="18">
        <v>5270.3987753567335</v>
      </c>
      <c r="E20" s="18">
        <v>5431.6718075220042</v>
      </c>
      <c r="F20" s="18">
        <v>5579.6695942186461</v>
      </c>
      <c r="G20" s="18">
        <v>5837.5711096234572</v>
      </c>
      <c r="H20" s="18">
        <v>6308.5740870508289</v>
      </c>
      <c r="I20" s="18">
        <v>7140.6512671316195</v>
      </c>
      <c r="J20" s="18">
        <v>8078.9089333727488</v>
      </c>
      <c r="K20" s="18">
        <v>9082.3516897442187</v>
      </c>
      <c r="L20" s="18">
        <v>10300.984257686468</v>
      </c>
      <c r="M20" s="18">
        <v>11136.811479108399</v>
      </c>
      <c r="N20" s="18">
        <v>11873.838319461922</v>
      </c>
      <c r="O20" s="18">
        <v>12452.069870895008</v>
      </c>
      <c r="P20" s="18">
        <v>12717.511355485231</v>
      </c>
      <c r="Q20" s="18">
        <v>12712.168128555835</v>
      </c>
      <c r="R20" s="18">
        <v>13284.045682076488</v>
      </c>
      <c r="S20" s="18"/>
      <c r="T20" s="45"/>
      <c r="U20" s="45"/>
      <c r="V20" s="45"/>
      <c r="W20" s="18"/>
      <c r="X20" s="18"/>
      <c r="Y20" s="9"/>
      <c r="Z20" s="28"/>
      <c r="AA20" s="28"/>
      <c r="AB20" s="28"/>
      <c r="AC20" s="28"/>
      <c r="AE20" s="18"/>
      <c r="AF20" s="18"/>
      <c r="AH20" s="16"/>
      <c r="AO20" s="16"/>
      <c r="AP20" s="1" t="s">
        <v>71</v>
      </c>
      <c r="AQ20" s="22">
        <v>-4992.4710636399623</v>
      </c>
      <c r="AR20" s="28">
        <v>5056</v>
      </c>
      <c r="AS20" s="22">
        <v>-207.70465279760805</v>
      </c>
      <c r="AT20" s="16">
        <v>44.808541248899026</v>
      </c>
      <c r="AU20" s="22"/>
      <c r="AV20" s="16"/>
      <c r="AX20" s="16"/>
      <c r="AY20" s="16"/>
      <c r="AZ20" s="16"/>
    </row>
    <row r="21" spans="1:52" ht="15.75" x14ac:dyDescent="0.25">
      <c r="A21" s="9" t="s">
        <v>72</v>
      </c>
      <c r="B21" s="18">
        <v>4884.7949582244364</v>
      </c>
      <c r="C21" s="18">
        <v>4695.0580794319949</v>
      </c>
      <c r="D21" s="18">
        <v>4531.9487520044586</v>
      </c>
      <c r="E21" s="18">
        <v>4367.5321556576419</v>
      </c>
      <c r="F21" s="18">
        <v>4281.8803035068113</v>
      </c>
      <c r="G21" s="18">
        <v>4247.0727601723238</v>
      </c>
      <c r="H21" s="18">
        <v>4432.1974353940968</v>
      </c>
      <c r="I21" s="18">
        <v>4506.232918056101</v>
      </c>
      <c r="J21" s="18">
        <v>4641.3457180752666</v>
      </c>
      <c r="K21" s="18">
        <v>4771.5378052287697</v>
      </c>
      <c r="L21" s="18">
        <v>4985.8111994876481</v>
      </c>
      <c r="M21" s="18">
        <v>5400.1679722961098</v>
      </c>
      <c r="N21" s="18">
        <v>6156.6102478834782</v>
      </c>
      <c r="O21" s="18">
        <v>7007.1402046095709</v>
      </c>
      <c r="P21" s="18">
        <v>7909.7600763443825</v>
      </c>
      <c r="Q21" s="18">
        <v>8998.4721538829326</v>
      </c>
      <c r="R21" s="18">
        <v>9751.2787863962039</v>
      </c>
      <c r="S21" s="18"/>
      <c r="T21" s="45"/>
      <c r="U21" s="45"/>
      <c r="V21" s="45"/>
      <c r="W21" s="18"/>
      <c r="X21" s="18"/>
      <c r="Y21" s="9"/>
      <c r="Z21" s="28"/>
      <c r="AA21" s="28"/>
      <c r="AB21" s="28"/>
      <c r="AC21" s="28"/>
      <c r="AE21" s="18"/>
      <c r="AF21" s="18"/>
      <c r="AH21" s="16"/>
      <c r="AO21" s="16"/>
      <c r="AP21" s="1" t="s">
        <v>73</v>
      </c>
      <c r="AQ21" s="22">
        <v>-2484.1570212133206</v>
      </c>
      <c r="AR21" s="28">
        <v>2389.2969300866657</v>
      </c>
      <c r="AS21" s="22">
        <v>-98.922385421738326</v>
      </c>
      <c r="AT21" s="16">
        <v>13.434862765923077</v>
      </c>
      <c r="AU21" s="22"/>
      <c r="AV21" s="16"/>
      <c r="AX21" s="16"/>
      <c r="AY21" s="16"/>
      <c r="AZ21" s="16"/>
    </row>
    <row r="22" spans="1:52" ht="15.75" x14ac:dyDescent="0.25">
      <c r="A22" s="9" t="s">
        <v>74</v>
      </c>
      <c r="B22" s="18">
        <v>3733.2165120949157</v>
      </c>
      <c r="C22" s="18">
        <v>3799.843380466139</v>
      </c>
      <c r="D22" s="18">
        <v>3855.6309657967145</v>
      </c>
      <c r="E22" s="18">
        <v>3918.595897357683</v>
      </c>
      <c r="F22" s="18">
        <v>3864.7565461320892</v>
      </c>
      <c r="G22" s="18">
        <v>3820.1332078026767</v>
      </c>
      <c r="H22" s="18">
        <v>3679.7483049795746</v>
      </c>
      <c r="I22" s="18">
        <v>3550.558012219512</v>
      </c>
      <c r="J22" s="18">
        <v>3427.3883752117263</v>
      </c>
      <c r="K22" s="18">
        <v>3358.2399210187282</v>
      </c>
      <c r="L22" s="18">
        <v>3338.1131901552531</v>
      </c>
      <c r="M22" s="18">
        <v>3496.0087369316843</v>
      </c>
      <c r="N22" s="18">
        <v>3562.927129806259</v>
      </c>
      <c r="O22" s="18">
        <v>3676.868951746259</v>
      </c>
      <c r="P22" s="18">
        <v>3794.834800598434</v>
      </c>
      <c r="Q22" s="18">
        <v>3982.8252894688735</v>
      </c>
      <c r="R22" s="18">
        <v>4344.8410471125899</v>
      </c>
      <c r="S22" s="18"/>
      <c r="T22" s="45"/>
      <c r="U22" s="45"/>
      <c r="V22" s="45"/>
      <c r="W22" s="18"/>
      <c r="X22" s="18"/>
      <c r="Y22" s="9"/>
      <c r="Z22" s="28"/>
      <c r="AA22" s="28"/>
      <c r="AB22" s="28"/>
      <c r="AC22" s="28"/>
      <c r="AE22" s="18"/>
      <c r="AF22" s="18"/>
      <c r="AH22" s="16"/>
      <c r="AO22" s="16"/>
      <c r="AP22" s="1" t="s">
        <v>75</v>
      </c>
      <c r="AQ22" s="22">
        <v>-3916.4846504333291</v>
      </c>
      <c r="AR22" s="16">
        <v>3985.2969300866657</v>
      </c>
      <c r="AS22" s="22">
        <v>-92.312549780247991</v>
      </c>
      <c r="AT22" s="16">
        <v>6.7279308494342214</v>
      </c>
      <c r="AU22" s="32"/>
      <c r="AV22" s="16"/>
      <c r="AX22" s="16"/>
      <c r="AY22" s="16"/>
      <c r="AZ22" s="16"/>
    </row>
    <row r="23" spans="1:52" ht="15.75" x14ac:dyDescent="0.25">
      <c r="A23" s="20" t="s">
        <v>76</v>
      </c>
      <c r="B23" s="21">
        <v>3012.9655350662219</v>
      </c>
      <c r="C23" s="21">
        <v>3209.6692334386162</v>
      </c>
      <c r="D23" s="21">
        <v>3414.7603767129431</v>
      </c>
      <c r="E23" s="21">
        <v>3602.2796581294174</v>
      </c>
      <c r="F23" s="21">
        <v>3812.2720492329472</v>
      </c>
      <c r="G23" s="21">
        <v>4012.7872497884164</v>
      </c>
      <c r="H23" s="21">
        <v>4176.8801850129657</v>
      </c>
      <c r="I23" s="21">
        <v>4330.5238337308037</v>
      </c>
      <c r="J23" s="21">
        <v>4479.2091231972145</v>
      </c>
      <c r="K23" s="21">
        <v>4567.9371083846981</v>
      </c>
      <c r="L23" s="21">
        <v>4662.7088709944246</v>
      </c>
      <c r="M23" s="21">
        <v>4658.5255201334494</v>
      </c>
      <c r="N23" s="21">
        <v>4673.388193009092</v>
      </c>
      <c r="O23" s="21">
        <v>4703.2980556409038</v>
      </c>
      <c r="P23" s="21">
        <v>4732.2563035906742</v>
      </c>
      <c r="Q23" s="21">
        <v>4803.2641627109424</v>
      </c>
      <c r="R23" s="21">
        <v>4940.3228899124642</v>
      </c>
      <c r="S23" s="18"/>
      <c r="T23" s="45"/>
      <c r="U23" s="45"/>
      <c r="V23" s="45"/>
      <c r="W23" s="18"/>
      <c r="X23" s="18"/>
      <c r="Z23" s="16"/>
      <c r="AA23" s="16"/>
      <c r="AB23" s="16"/>
      <c r="AC23" s="16"/>
      <c r="AE23" s="18"/>
      <c r="AF23" s="18"/>
      <c r="AH23" s="16"/>
      <c r="AO23" s="16"/>
      <c r="AP23" s="1" t="s">
        <v>77</v>
      </c>
      <c r="AQ23" s="22">
        <f>SUM(AQ7:AQ22)</f>
        <v>-207642.16662710815</v>
      </c>
      <c r="AR23" s="22">
        <f>SUM(AR7:AR22)</f>
        <v>196734.28738423291</v>
      </c>
      <c r="AS23" s="22">
        <f>SUM(AS7:AS22)</f>
        <v>-179269.58909490771</v>
      </c>
      <c r="AT23" s="22">
        <f>SUM(AT7:AT22)</f>
        <v>17623.068125310776</v>
      </c>
      <c r="AV23" s="16"/>
      <c r="AX23" s="16"/>
      <c r="AY23" s="16"/>
      <c r="AZ23" s="16"/>
    </row>
    <row r="24" spans="1:52" ht="15.75" x14ac:dyDescent="0.25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45"/>
      <c r="U24" s="45"/>
      <c r="V24" s="45"/>
      <c r="W24" s="22"/>
      <c r="X24" s="22"/>
      <c r="Y24" s="22"/>
      <c r="Z24" s="28"/>
      <c r="AA24" s="28"/>
      <c r="AB24" s="28"/>
      <c r="AC24" s="28"/>
      <c r="AE24" s="22"/>
      <c r="AF24" s="22"/>
      <c r="AH24" s="16"/>
      <c r="AO24" s="16"/>
      <c r="AP24" s="16"/>
      <c r="AQ24" s="16"/>
      <c r="AR24" s="16"/>
      <c r="AS24" s="16"/>
      <c r="AT24" s="16"/>
      <c r="AU24" s="16"/>
      <c r="AV24" s="16"/>
      <c r="AX24" s="16"/>
      <c r="AY24" s="16"/>
      <c r="AZ24" s="16"/>
    </row>
    <row r="25" spans="1:52" ht="15.75" x14ac:dyDescent="0.25">
      <c r="A25" s="8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45"/>
      <c r="U25" s="45"/>
      <c r="V25" s="45"/>
      <c r="W25" s="22"/>
      <c r="X25" s="22"/>
      <c r="Y25" s="22"/>
      <c r="Z25" s="28"/>
      <c r="AA25" s="28"/>
      <c r="AB25" s="28"/>
      <c r="AC25" s="28"/>
      <c r="AD25" s="22"/>
      <c r="AE25" s="22"/>
      <c r="AF25" s="22"/>
      <c r="AH25" s="16"/>
      <c r="AO25" s="16"/>
      <c r="AP25" s="16"/>
      <c r="AQ25" s="16"/>
      <c r="AR25" s="16"/>
      <c r="AS25" s="16"/>
      <c r="AT25" s="16"/>
      <c r="AU25" s="16"/>
      <c r="AV25" s="16"/>
      <c r="AX25" s="16"/>
      <c r="AY25" s="16"/>
      <c r="AZ25" s="16"/>
    </row>
    <row r="26" spans="1:52" ht="15.75" x14ac:dyDescent="0.25">
      <c r="A26" s="23" t="s">
        <v>78</v>
      </c>
      <c r="B26" s="24">
        <f>SUM(B27:B43)</f>
        <v>261708.64336125585</v>
      </c>
      <c r="C26" s="24">
        <f t="shared" ref="C26:R26" si="1">SUM(C27:C43)</f>
        <v>274606.88528707461</v>
      </c>
      <c r="D26" s="24">
        <f t="shared" si="1"/>
        <v>288501.98346805398</v>
      </c>
      <c r="E26" s="24">
        <f t="shared" si="1"/>
        <v>303477.73872504593</v>
      </c>
      <c r="F26" s="24">
        <f t="shared" si="1"/>
        <v>319662.84963689483</v>
      </c>
      <c r="G26" s="24">
        <f t="shared" si="1"/>
        <v>337167.05816533882</v>
      </c>
      <c r="H26" s="24">
        <f t="shared" si="1"/>
        <v>356149.41575310129</v>
      </c>
      <c r="I26" s="24">
        <f t="shared" si="1"/>
        <v>363750.28704979067</v>
      </c>
      <c r="J26" s="24">
        <f t="shared" si="1"/>
        <v>371418.84557737724</v>
      </c>
      <c r="K26" s="24">
        <f t="shared" si="1"/>
        <v>379135.00566837197</v>
      </c>
      <c r="L26" s="24">
        <f t="shared" si="1"/>
        <v>386911.75572201586</v>
      </c>
      <c r="M26" s="24">
        <f t="shared" si="1"/>
        <v>394739.16008692939</v>
      </c>
      <c r="N26" s="24">
        <f t="shared" si="1"/>
        <v>402610.36099162122</v>
      </c>
      <c r="O26" s="24">
        <f t="shared" si="1"/>
        <v>410549.5805240742</v>
      </c>
      <c r="P26" s="24">
        <f t="shared" si="1"/>
        <v>418572.1226616592</v>
      </c>
      <c r="Q26" s="24">
        <f t="shared" si="1"/>
        <v>426713.37535265094</v>
      </c>
      <c r="R26" s="24">
        <f t="shared" si="1"/>
        <v>434923.81265066349</v>
      </c>
      <c r="S26" s="15"/>
      <c r="T26" s="45"/>
      <c r="U26" s="45"/>
      <c r="V26" s="4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H26" s="16"/>
      <c r="AO26" s="16"/>
      <c r="AP26" s="16"/>
      <c r="AQ26" s="16"/>
      <c r="AR26" s="16"/>
      <c r="AS26" s="16"/>
      <c r="AT26" s="16"/>
      <c r="AU26" s="16"/>
      <c r="AV26" s="16"/>
      <c r="AX26" s="16"/>
      <c r="AY26" s="16"/>
      <c r="AZ26" s="16"/>
    </row>
    <row r="27" spans="1:52" s="2" customFormat="1" ht="15.75" x14ac:dyDescent="0.25">
      <c r="A27" s="19" t="s">
        <v>44</v>
      </c>
      <c r="B27" s="18">
        <v>19247.916018377269</v>
      </c>
      <c r="C27" s="18">
        <v>19508.045813245772</v>
      </c>
      <c r="D27" s="18">
        <v>19579.651917131185</v>
      </c>
      <c r="E27" s="18">
        <v>19708.310114393014</v>
      </c>
      <c r="F27" s="18">
        <v>20095.656740838236</v>
      </c>
      <c r="G27" s="18">
        <v>20540.395051858792</v>
      </c>
      <c r="H27" s="18">
        <v>20612.302260308905</v>
      </c>
      <c r="I27" s="18">
        <v>20578.223693183423</v>
      </c>
      <c r="J27" s="18">
        <v>20508.725479643297</v>
      </c>
      <c r="K27" s="18">
        <v>20383.822313905279</v>
      </c>
      <c r="L27" s="18">
        <v>20200.529262237731</v>
      </c>
      <c r="M27" s="18">
        <v>19968.861772380889</v>
      </c>
      <c r="N27" s="18">
        <v>19706.835683205645</v>
      </c>
      <c r="O27" s="18">
        <v>19433.467234616892</v>
      </c>
      <c r="P27" s="18">
        <v>19173.773077707618</v>
      </c>
      <c r="Q27" s="18">
        <v>18951.770285170103</v>
      </c>
      <c r="R27" s="18">
        <v>18770.476361970734</v>
      </c>
      <c r="S27" s="18"/>
      <c r="T27" s="45"/>
      <c r="U27" s="45"/>
      <c r="V27" s="45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H27" s="16"/>
      <c r="AI27" s="1"/>
      <c r="AJ27" s="1"/>
      <c r="AK27" s="1"/>
      <c r="AL27" s="1"/>
      <c r="AM27" s="1"/>
      <c r="AN27" s="1"/>
      <c r="AO27" s="16"/>
      <c r="AP27" s="16"/>
      <c r="AQ27" s="16"/>
      <c r="AR27" s="16"/>
      <c r="AS27" s="16"/>
      <c r="AT27" s="16"/>
      <c r="AU27" s="16"/>
      <c r="AV27" s="16"/>
      <c r="AX27" s="16"/>
      <c r="AY27" s="16"/>
      <c r="AZ27" s="16"/>
    </row>
    <row r="28" spans="1:52" ht="15.75" x14ac:dyDescent="0.25">
      <c r="A28" s="17" t="s">
        <v>46</v>
      </c>
      <c r="B28" s="18">
        <v>16551.870612207542</v>
      </c>
      <c r="C28" s="18">
        <v>17516.1727626047</v>
      </c>
      <c r="D28" s="18">
        <v>18435.651435697957</v>
      </c>
      <c r="E28" s="18">
        <v>19060.640435816425</v>
      </c>
      <c r="F28" s="18">
        <v>19138.508666593265</v>
      </c>
      <c r="G28" s="18">
        <v>19087.663822201968</v>
      </c>
      <c r="H28" s="18">
        <v>19344.556466798349</v>
      </c>
      <c r="I28" s="18">
        <v>19377.942932532249</v>
      </c>
      <c r="J28" s="18">
        <v>19458.668436175503</v>
      </c>
      <c r="K28" s="18">
        <v>19791.741564673313</v>
      </c>
      <c r="L28" s="18">
        <v>20175.171122459982</v>
      </c>
      <c r="M28" s="18">
        <v>20180.9661369676</v>
      </c>
      <c r="N28" s="18">
        <v>20143.135864274205</v>
      </c>
      <c r="O28" s="18">
        <v>20066.689794895014</v>
      </c>
      <c r="P28" s="18">
        <v>19935.637659720367</v>
      </c>
      <c r="Q28" s="18">
        <v>19750.98943610405</v>
      </c>
      <c r="R28" s="18">
        <v>19512.755354105815</v>
      </c>
      <c r="S28" s="18"/>
      <c r="T28" s="45"/>
      <c r="U28" s="45"/>
      <c r="V28" s="45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H28" s="16"/>
      <c r="AO28" s="16"/>
      <c r="AP28" s="16"/>
      <c r="AQ28" s="16"/>
      <c r="AR28" s="16"/>
      <c r="AS28" s="16"/>
      <c r="AT28" s="16"/>
      <c r="AU28" s="16"/>
      <c r="AV28" s="16"/>
      <c r="AX28" s="16"/>
      <c r="AY28" s="16"/>
      <c r="AZ28" s="16"/>
    </row>
    <row r="29" spans="1:52" ht="15.75" x14ac:dyDescent="0.25">
      <c r="A29" s="17" t="s">
        <v>48</v>
      </c>
      <c r="B29" s="18">
        <v>13640.364136086817</v>
      </c>
      <c r="C29" s="18">
        <v>13507.650656053596</v>
      </c>
      <c r="D29" s="18">
        <v>13738.746909370946</v>
      </c>
      <c r="E29" s="18">
        <v>14399.843008573516</v>
      </c>
      <c r="F29" s="18">
        <v>15434.149054742806</v>
      </c>
      <c r="G29" s="18">
        <v>16488.897239569185</v>
      </c>
      <c r="H29" s="18">
        <v>17446.344168485706</v>
      </c>
      <c r="I29" s="18">
        <v>18344.002843609123</v>
      </c>
      <c r="J29" s="18">
        <v>18939.855525349078</v>
      </c>
      <c r="K29" s="18">
        <v>18986.907128334169</v>
      </c>
      <c r="L29" s="18">
        <v>18898.16269169507</v>
      </c>
      <c r="M29" s="18">
        <v>19115.627382218619</v>
      </c>
      <c r="N29" s="18">
        <v>19139.306497581827</v>
      </c>
      <c r="O29" s="18">
        <v>19218.205469667791</v>
      </c>
      <c r="P29" s="18">
        <v>19548.329867965658</v>
      </c>
      <c r="Q29" s="18">
        <v>19924.685403056679</v>
      </c>
      <c r="R29" s="18">
        <v>19926.277930188615</v>
      </c>
      <c r="S29" s="18"/>
      <c r="T29" s="45"/>
      <c r="U29" s="45"/>
      <c r="V29" s="45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H29" s="16"/>
      <c r="AO29" s="16"/>
      <c r="AP29" s="16"/>
      <c r="AQ29" s="16"/>
      <c r="AR29" s="16"/>
      <c r="AS29" s="16"/>
      <c r="AT29" s="16"/>
      <c r="AU29" s="16"/>
      <c r="AV29" s="16"/>
      <c r="AX29" s="16"/>
      <c r="AY29" s="16"/>
      <c r="AZ29" s="16"/>
    </row>
    <row r="30" spans="1:52" ht="15.75" x14ac:dyDescent="0.25">
      <c r="A30" s="17" t="s">
        <v>50</v>
      </c>
      <c r="B30" s="18">
        <v>17363.376148933858</v>
      </c>
      <c r="C30" s="18">
        <v>17600.255815120032</v>
      </c>
      <c r="D30" s="18">
        <v>17478.026054095844</v>
      </c>
      <c r="E30" s="18">
        <v>17160.631324871891</v>
      </c>
      <c r="F30" s="18">
        <v>16981.21947330613</v>
      </c>
      <c r="G30" s="18">
        <v>17187.163093149647</v>
      </c>
      <c r="H30" s="18">
        <v>17354.083132880449</v>
      </c>
      <c r="I30" s="18">
        <v>17667.424553974266</v>
      </c>
      <c r="J30" s="18">
        <v>18412.330544035922</v>
      </c>
      <c r="K30" s="18">
        <v>19531.866668520561</v>
      </c>
      <c r="L30" s="18">
        <v>20667.100169620131</v>
      </c>
      <c r="M30" s="18">
        <v>21714.100009156376</v>
      </c>
      <c r="N30" s="18">
        <v>22715.93691257144</v>
      </c>
      <c r="O30" s="18">
        <v>23421.683414044121</v>
      </c>
      <c r="P30" s="18">
        <v>23580.41390276068</v>
      </c>
      <c r="Q30" s="18">
        <v>23609.204670369665</v>
      </c>
      <c r="R30" s="18">
        <v>23949.133959651121</v>
      </c>
      <c r="S30" s="18"/>
      <c r="T30" s="45"/>
      <c r="U30" s="45"/>
      <c r="V30" s="45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H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ht="15.75" x14ac:dyDescent="0.25">
      <c r="A31" s="17" t="s">
        <v>52</v>
      </c>
      <c r="B31" s="18">
        <v>34679.244823730041</v>
      </c>
      <c r="C31" s="18">
        <v>36159.544937477229</v>
      </c>
      <c r="D31" s="18">
        <v>38156.551929380847</v>
      </c>
      <c r="E31" s="18">
        <v>40584.871919982921</v>
      </c>
      <c r="F31" s="18">
        <v>42928.062883492734</v>
      </c>
      <c r="G31" s="18">
        <v>45324.839795137967</v>
      </c>
      <c r="H31" s="18">
        <v>48242.301350602982</v>
      </c>
      <c r="I31" s="18">
        <v>48748.767307105241</v>
      </c>
      <c r="J31" s="18">
        <v>49065.644006106377</v>
      </c>
      <c r="K31" s="18">
        <v>49516.476332463106</v>
      </c>
      <c r="L31" s="18">
        <v>50353.823040438889</v>
      </c>
      <c r="M31" s="18">
        <v>51141.257106800404</v>
      </c>
      <c r="N31" s="18">
        <v>52312.3660929053</v>
      </c>
      <c r="O31" s="18">
        <v>53937.752516010027</v>
      </c>
      <c r="P31" s="18">
        <v>55953.034230032543</v>
      </c>
      <c r="Q31" s="18">
        <v>58019.844816010838</v>
      </c>
      <c r="R31" s="18">
        <v>60010.833982504184</v>
      </c>
      <c r="S31" s="18"/>
      <c r="T31" s="45"/>
      <c r="U31" s="45"/>
      <c r="V31" s="45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H31" s="16"/>
      <c r="AO31" s="16"/>
      <c r="AV31" s="16"/>
      <c r="AW31" s="16"/>
      <c r="AX31" s="16"/>
      <c r="AY31" s="16"/>
      <c r="AZ31" s="16"/>
    </row>
    <row r="32" spans="1:52" ht="15.75" x14ac:dyDescent="0.25">
      <c r="A32" s="17" t="s">
        <v>54</v>
      </c>
      <c r="B32" s="18">
        <v>45081.580666470618</v>
      </c>
      <c r="C32" s="18">
        <v>47750.691834477664</v>
      </c>
      <c r="D32" s="18">
        <v>50709.121106438331</v>
      </c>
      <c r="E32" s="18">
        <v>53842.129620086969</v>
      </c>
      <c r="F32" s="18">
        <v>57577.156713420234</v>
      </c>
      <c r="G32" s="18">
        <v>61625.154063263573</v>
      </c>
      <c r="H32" s="18">
        <v>65934.954962450371</v>
      </c>
      <c r="I32" s="18">
        <v>67273.515175459863</v>
      </c>
      <c r="J32" s="18">
        <v>68885.867656463291</v>
      </c>
      <c r="K32" s="18">
        <v>70225.845081402746</v>
      </c>
      <c r="L32" s="18">
        <v>71416.301272305544</v>
      </c>
      <c r="M32" s="18">
        <v>72895.111734359438</v>
      </c>
      <c r="N32" s="18">
        <v>74027.174206629919</v>
      </c>
      <c r="O32" s="18">
        <v>74983.409226767166</v>
      </c>
      <c r="P32" s="18">
        <v>76093.760710056842</v>
      </c>
      <c r="Q32" s="18">
        <v>77604.196543180064</v>
      </c>
      <c r="R32" s="18">
        <v>79081.709193055896</v>
      </c>
      <c r="S32" s="18"/>
      <c r="T32" s="45"/>
      <c r="U32" s="45"/>
      <c r="V32" s="45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H32" s="16"/>
      <c r="AO32" s="16"/>
      <c r="AQ32" s="2" t="s">
        <v>79</v>
      </c>
      <c r="AS32" s="2" t="s">
        <v>80</v>
      </c>
      <c r="AU32" s="8"/>
      <c r="AV32" s="16"/>
      <c r="AX32" s="16"/>
      <c r="AY32" s="16"/>
      <c r="AZ32" s="16"/>
    </row>
    <row r="33" spans="1:52" ht="15.75" x14ac:dyDescent="0.25">
      <c r="A33" s="17" t="s">
        <v>56</v>
      </c>
      <c r="B33" s="18">
        <v>33516.767865001559</v>
      </c>
      <c r="C33" s="18">
        <v>36401.012274095352</v>
      </c>
      <c r="D33" s="18">
        <v>39415.210904690743</v>
      </c>
      <c r="E33" s="18">
        <v>42279.590933175161</v>
      </c>
      <c r="F33" s="18">
        <v>45530.608917092577</v>
      </c>
      <c r="G33" s="18">
        <v>48501.18517953714</v>
      </c>
      <c r="H33" s="18">
        <v>51582.962841817265</v>
      </c>
      <c r="I33" s="18">
        <v>52346.367928627587</v>
      </c>
      <c r="J33" s="18">
        <v>52992.786736460934</v>
      </c>
      <c r="K33" s="18">
        <v>53908.803650754147</v>
      </c>
      <c r="L33" s="18">
        <v>54769.017897890422</v>
      </c>
      <c r="M33" s="18">
        <v>55483.043922141871</v>
      </c>
      <c r="N33" s="18">
        <v>56565.511772187165</v>
      </c>
      <c r="O33" s="18">
        <v>57906.067497447439</v>
      </c>
      <c r="P33" s="18">
        <v>58965.37355448999</v>
      </c>
      <c r="Q33" s="18">
        <v>59876.109223755513</v>
      </c>
      <c r="R33" s="18">
        <v>61059.971036871168</v>
      </c>
      <c r="S33" s="18"/>
      <c r="T33" s="45"/>
      <c r="U33" s="45"/>
      <c r="V33" s="45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H33" s="16"/>
      <c r="AI33" s="16"/>
      <c r="AJ33" s="16"/>
      <c r="AK33" s="16"/>
      <c r="AL33" s="16"/>
      <c r="AN33" s="16"/>
      <c r="AO33" s="16"/>
      <c r="AQ33" s="1" t="s">
        <v>3</v>
      </c>
      <c r="AR33" s="1" t="s">
        <v>4</v>
      </c>
      <c r="AS33" s="1" t="s">
        <v>3</v>
      </c>
      <c r="AT33" s="1" t="s">
        <v>4</v>
      </c>
      <c r="AV33" s="16"/>
      <c r="AX33" s="16"/>
      <c r="AY33" s="16"/>
      <c r="AZ33" s="16"/>
    </row>
    <row r="34" spans="1:52" ht="15.75" x14ac:dyDescent="0.25">
      <c r="A34" s="9" t="s">
        <v>58</v>
      </c>
      <c r="B34" s="18">
        <v>22941.660755021738</v>
      </c>
      <c r="C34" s="18">
        <v>24757.135049346594</v>
      </c>
      <c r="D34" s="18">
        <v>26531.604549444281</v>
      </c>
      <c r="E34" s="18">
        <v>28824.667732741789</v>
      </c>
      <c r="F34" s="18">
        <v>31212.351311870829</v>
      </c>
      <c r="G34" s="18">
        <v>33870.260392659831</v>
      </c>
      <c r="H34" s="18">
        <v>36843.744423041368</v>
      </c>
      <c r="I34" s="18">
        <v>38262.211689822536</v>
      </c>
      <c r="J34" s="18">
        <v>39319.390530182194</v>
      </c>
      <c r="K34" s="18">
        <v>40528.654483334132</v>
      </c>
      <c r="L34" s="18">
        <v>41207.386574025004</v>
      </c>
      <c r="M34" s="18">
        <v>41708.979553434641</v>
      </c>
      <c r="N34" s="18">
        <v>42222.836146195172</v>
      </c>
      <c r="O34" s="18">
        <v>42613.369303684325</v>
      </c>
      <c r="P34" s="18">
        <v>43269.002463752331</v>
      </c>
      <c r="Q34" s="18">
        <v>43859.169817045891</v>
      </c>
      <c r="R34" s="18">
        <v>44299.316580096682</v>
      </c>
      <c r="S34" s="18"/>
      <c r="T34" s="45"/>
      <c r="U34" s="45"/>
      <c r="V34" s="45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H34" s="16"/>
      <c r="AI34" s="16"/>
      <c r="AJ34" s="16"/>
      <c r="AK34" s="16"/>
      <c r="AL34" s="16"/>
      <c r="AN34" s="16"/>
      <c r="AO34" s="16"/>
      <c r="AP34" s="1" t="s">
        <v>45</v>
      </c>
      <c r="AQ34" s="1">
        <v>-17612.54765760661</v>
      </c>
      <c r="AR34" s="16">
        <v>16348.547657606612</v>
      </c>
      <c r="AS34" s="1">
        <v>-1157.9287043641234</v>
      </c>
      <c r="AT34" s="16">
        <v>820.25353613593177</v>
      </c>
      <c r="AV34" s="16"/>
      <c r="AX34" s="16"/>
      <c r="AY34" s="16"/>
      <c r="AZ34" s="16"/>
    </row>
    <row r="35" spans="1:52" ht="15.75" x14ac:dyDescent="0.25">
      <c r="A35" s="9" t="s">
        <v>60</v>
      </c>
      <c r="B35" s="18">
        <v>17017.181677575853</v>
      </c>
      <c r="C35" s="18">
        <v>17969.266599363618</v>
      </c>
      <c r="D35" s="18">
        <v>19166.371098022249</v>
      </c>
      <c r="E35" s="18">
        <v>20249.961435704252</v>
      </c>
      <c r="F35" s="18">
        <v>21481.392839826236</v>
      </c>
      <c r="G35" s="18">
        <v>22994.002958449346</v>
      </c>
      <c r="H35" s="18">
        <v>24838.21514344923</v>
      </c>
      <c r="I35" s="18">
        <v>25582.956140955437</v>
      </c>
      <c r="J35" s="18">
        <v>26711.987467492498</v>
      </c>
      <c r="K35" s="18">
        <v>27785.545139958573</v>
      </c>
      <c r="L35" s="18">
        <v>28969.871171939973</v>
      </c>
      <c r="M35" s="18">
        <v>30277.213726094702</v>
      </c>
      <c r="N35" s="18">
        <v>31527.827270408794</v>
      </c>
      <c r="O35" s="18">
        <v>32413.972738423916</v>
      </c>
      <c r="P35" s="18">
        <v>33451.917693537049</v>
      </c>
      <c r="Q35" s="18">
        <v>33950.936497476003</v>
      </c>
      <c r="R35" s="18">
        <v>34271.310483056659</v>
      </c>
      <c r="S35" s="18"/>
      <c r="T35" s="45"/>
      <c r="U35" s="45"/>
      <c r="V35" s="45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H35" s="16"/>
      <c r="AI35" s="16"/>
      <c r="AJ35" s="16"/>
      <c r="AK35" s="16"/>
      <c r="AL35" s="16"/>
      <c r="AN35" s="16"/>
      <c r="AO35" s="16"/>
      <c r="AP35" s="1" t="s">
        <v>47</v>
      </c>
      <c r="AQ35" s="1">
        <v>-18841.579429344354</v>
      </c>
      <c r="AR35" s="16">
        <v>17330.51588586887</v>
      </c>
      <c r="AS35" s="1">
        <v>-671.17592476146115</v>
      </c>
      <c r="AT35" s="16">
        <v>387.98475842878872</v>
      </c>
      <c r="AV35" s="16"/>
      <c r="AX35" s="16"/>
      <c r="AY35" s="16"/>
      <c r="AZ35" s="16"/>
    </row>
    <row r="36" spans="1:52" ht="15.75" x14ac:dyDescent="0.25">
      <c r="A36" s="9" t="s">
        <v>62</v>
      </c>
      <c r="B36" s="18">
        <v>12893.951554047318</v>
      </c>
      <c r="C36" s="18">
        <v>13315.317236503342</v>
      </c>
      <c r="D36" s="18">
        <v>14063.00580167374</v>
      </c>
      <c r="E36" s="18">
        <v>14944.853298592003</v>
      </c>
      <c r="F36" s="18">
        <v>15489.203445764431</v>
      </c>
      <c r="G36" s="18">
        <v>16219.960998415074</v>
      </c>
      <c r="H36" s="18">
        <v>17123.650727759035</v>
      </c>
      <c r="I36" s="18">
        <v>17661.073159313615</v>
      </c>
      <c r="J36" s="18">
        <v>17994.868430605231</v>
      </c>
      <c r="K36" s="18">
        <v>18390.173099802232</v>
      </c>
      <c r="L36" s="18">
        <v>18961.127196391109</v>
      </c>
      <c r="M36" s="18">
        <v>19743.874309430856</v>
      </c>
      <c r="N36" s="18">
        <v>20360.561678051417</v>
      </c>
      <c r="O36" s="18">
        <v>21357.34028425334</v>
      </c>
      <c r="P36" s="18">
        <v>22294.364948067123</v>
      </c>
      <c r="Q36" s="18">
        <v>23334.794425132299</v>
      </c>
      <c r="R36" s="18">
        <v>24500.791506757767</v>
      </c>
      <c r="S36" s="18"/>
      <c r="T36" s="45"/>
      <c r="U36" s="45"/>
      <c r="V36" s="45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H36" s="16"/>
      <c r="AI36" s="16"/>
      <c r="AJ36" s="16"/>
      <c r="AK36" s="16"/>
      <c r="AL36" s="16"/>
      <c r="AN36" s="16"/>
      <c r="AO36" s="16"/>
      <c r="AP36" s="1" t="s">
        <v>49</v>
      </c>
      <c r="AQ36" s="1">
        <v>-19544.063543475484</v>
      </c>
      <c r="AR36" s="16">
        <v>17864.063543475484</v>
      </c>
      <c r="AS36" s="1">
        <v>-382.21438671313183</v>
      </c>
      <c r="AT36" s="16">
        <v>195.32092197208985</v>
      </c>
      <c r="AV36" s="16"/>
      <c r="AX36" s="16"/>
      <c r="AY36" s="16"/>
      <c r="AZ36" s="16"/>
    </row>
    <row r="37" spans="1:52" ht="15.75" x14ac:dyDescent="0.25">
      <c r="A37" s="9" t="s">
        <v>64</v>
      </c>
      <c r="B37" s="18">
        <v>9553.5960568562841</v>
      </c>
      <c r="C37" s="18">
        <v>10024.331079562722</v>
      </c>
      <c r="D37" s="18">
        <v>10135.056006703073</v>
      </c>
      <c r="E37" s="18">
        <v>10426.059579943734</v>
      </c>
      <c r="F37" s="18">
        <v>10966.870618969318</v>
      </c>
      <c r="G37" s="18">
        <v>11616.283254085942</v>
      </c>
      <c r="H37" s="18">
        <v>11939.3848121227</v>
      </c>
      <c r="I37" s="18">
        <v>12293.306674298692</v>
      </c>
      <c r="J37" s="18">
        <v>12724.873164374269</v>
      </c>
      <c r="K37" s="18">
        <v>12769.151595809204</v>
      </c>
      <c r="L37" s="18">
        <v>12946.210995709895</v>
      </c>
      <c r="M37" s="18">
        <v>13225.122148463339</v>
      </c>
      <c r="N37" s="18">
        <v>13660.957640482411</v>
      </c>
      <c r="O37" s="18">
        <v>13902.791906090682</v>
      </c>
      <c r="P37" s="18">
        <v>14196.701274575831</v>
      </c>
      <c r="Q37" s="18">
        <v>14666.76401844143</v>
      </c>
      <c r="R37" s="18">
        <v>15339.060402887628</v>
      </c>
      <c r="S37" s="18"/>
      <c r="T37" s="45"/>
      <c r="U37" s="45"/>
      <c r="V37" s="45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H37" s="16"/>
      <c r="AI37" s="16"/>
      <c r="AJ37" s="16"/>
      <c r="AK37" s="16"/>
      <c r="AL37" s="16"/>
      <c r="AN37" s="16"/>
      <c r="AO37" s="16"/>
      <c r="AP37" s="1" t="s">
        <v>51</v>
      </c>
      <c r="AQ37" s="1">
        <v>-20066.779776636948</v>
      </c>
      <c r="AR37" s="16">
        <v>17018.603663017082</v>
      </c>
      <c r="AS37" s="1">
        <v>-3882.3541830141735</v>
      </c>
      <c r="AT37" s="16">
        <v>336.03851480944616</v>
      </c>
      <c r="AV37" s="16"/>
      <c r="AX37" s="16"/>
      <c r="AY37" s="16"/>
      <c r="AZ37" s="16"/>
    </row>
    <row r="38" spans="1:52" ht="15.75" x14ac:dyDescent="0.25">
      <c r="A38" s="9" t="s">
        <v>66</v>
      </c>
      <c r="B38" s="18">
        <v>6774.7416870567504</v>
      </c>
      <c r="C38" s="18">
        <v>7273.6222617446774</v>
      </c>
      <c r="D38" s="18">
        <v>7779.1978610718061</v>
      </c>
      <c r="E38" s="18">
        <v>8104.371298551423</v>
      </c>
      <c r="F38" s="18">
        <v>8295.1400305452607</v>
      </c>
      <c r="G38" s="18">
        <v>8366.6061018553119</v>
      </c>
      <c r="H38" s="18">
        <v>8753.9871370897272</v>
      </c>
      <c r="I38" s="18">
        <v>8674.1893562795431</v>
      </c>
      <c r="J38" s="18">
        <v>8750.466656952196</v>
      </c>
      <c r="K38" s="18">
        <v>9039.8464321262873</v>
      </c>
      <c r="L38" s="18">
        <v>9407.3567729456445</v>
      </c>
      <c r="M38" s="18">
        <v>9429.0264864753826</v>
      </c>
      <c r="N38" s="18">
        <v>9718.8851139517283</v>
      </c>
      <c r="O38" s="18">
        <v>10086.962949497169</v>
      </c>
      <c r="P38" s="18">
        <v>10076.291059312782</v>
      </c>
      <c r="Q38" s="18">
        <v>10198.90130135992</v>
      </c>
      <c r="R38" s="18">
        <v>10410.826345543739</v>
      </c>
      <c r="S38" s="18"/>
      <c r="T38" s="45"/>
      <c r="U38" s="45"/>
      <c r="V38" s="45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H38" s="16"/>
      <c r="AI38" s="16"/>
      <c r="AJ38" s="16"/>
      <c r="AK38" s="16"/>
      <c r="AL38" s="16"/>
      <c r="AN38" s="16"/>
      <c r="AO38" s="16"/>
      <c r="AP38" s="1" t="s">
        <v>53</v>
      </c>
      <c r="AQ38" s="1">
        <v>-22716.290361734587</v>
      </c>
      <c r="AR38" s="16">
        <v>16906.541739019292</v>
      </c>
      <c r="AS38" s="1">
        <v>-37294.543620769597</v>
      </c>
      <c r="AT38" s="16">
        <v>2214.8190283280746</v>
      </c>
      <c r="AV38" s="16"/>
      <c r="AX38" s="16"/>
      <c r="AY38" s="16"/>
      <c r="AZ38" s="16"/>
    </row>
    <row r="39" spans="1:52" ht="15.75" x14ac:dyDescent="0.25">
      <c r="A39" s="9" t="s">
        <v>68</v>
      </c>
      <c r="B39" s="18">
        <v>3596.2838233890025</v>
      </c>
      <c r="C39" s="18">
        <v>3866.2894816296548</v>
      </c>
      <c r="D39" s="18">
        <v>4317.5628825447566</v>
      </c>
      <c r="E39" s="18">
        <v>4833.4423374405742</v>
      </c>
      <c r="F39" s="18">
        <v>5371.3015969415364</v>
      </c>
      <c r="G39" s="18">
        <v>6004.5535744567205</v>
      </c>
      <c r="H39" s="18">
        <v>6449.6544611487561</v>
      </c>
      <c r="I39" s="18">
        <v>6859.0155245972683</v>
      </c>
      <c r="J39" s="18">
        <v>7089.7938654906675</v>
      </c>
      <c r="K39" s="18">
        <v>7178.000128787</v>
      </c>
      <c r="L39" s="18">
        <v>7147.6452310702607</v>
      </c>
      <c r="M39" s="18">
        <v>7409.7403674832103</v>
      </c>
      <c r="N39" s="18">
        <v>7318.2970188371855</v>
      </c>
      <c r="O39" s="18">
        <v>7371.3269589034153</v>
      </c>
      <c r="P39" s="18">
        <v>7628.8422618904997</v>
      </c>
      <c r="Q39" s="18">
        <v>7961.8553101127836</v>
      </c>
      <c r="R39" s="18">
        <v>7965.3788018545092</v>
      </c>
      <c r="S39" s="18"/>
      <c r="T39" s="45"/>
      <c r="U39" s="45"/>
      <c r="V39" s="45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H39" s="16"/>
      <c r="AI39" s="16"/>
      <c r="AJ39" s="16"/>
      <c r="AK39" s="16"/>
      <c r="AL39" s="16"/>
      <c r="AN39" s="16"/>
      <c r="AO39" s="16"/>
      <c r="AP39" s="1" t="s">
        <v>55</v>
      </c>
      <c r="AQ39" s="1">
        <v>-18331.420128317488</v>
      </c>
      <c r="AR39" s="16">
        <v>12976.429728198351</v>
      </c>
      <c r="AS39" s="1">
        <v>-60750.289064738405</v>
      </c>
      <c r="AT39" s="16">
        <v>5434.5272457174424</v>
      </c>
      <c r="AV39" s="16"/>
      <c r="AX39" s="16"/>
      <c r="AY39" s="16"/>
      <c r="AZ39" s="16"/>
    </row>
    <row r="40" spans="1:52" ht="15.75" x14ac:dyDescent="0.25">
      <c r="A40" s="9" t="s">
        <v>70</v>
      </c>
      <c r="B40" s="18">
        <v>2537.1430781083895</v>
      </c>
      <c r="C40" s="18">
        <v>2673.0970501620818</v>
      </c>
      <c r="D40" s="18">
        <v>2726.221021272278</v>
      </c>
      <c r="E40" s="18">
        <v>2806.6357440892525</v>
      </c>
      <c r="F40" s="18">
        <v>2933.4746104192927</v>
      </c>
      <c r="G40" s="18">
        <v>3105.8849789024202</v>
      </c>
      <c r="H40" s="18">
        <v>3351.0296422812175</v>
      </c>
      <c r="I40" s="18">
        <v>3742.0804348560691</v>
      </c>
      <c r="J40" s="18">
        <v>4185.2857304678419</v>
      </c>
      <c r="K40" s="18">
        <v>4647.6494753206371</v>
      </c>
      <c r="L40" s="18">
        <v>5200.1757164375704</v>
      </c>
      <c r="M40" s="18">
        <v>5571.868604237261</v>
      </c>
      <c r="N40" s="18">
        <v>5947.7323951761809</v>
      </c>
      <c r="O40" s="18">
        <v>6153.7714544585597</v>
      </c>
      <c r="P40" s="18">
        <v>6231.9902588155537</v>
      </c>
      <c r="Q40" s="18">
        <v>6205.3933993554629</v>
      </c>
      <c r="R40" s="18">
        <v>6445.9855844868143</v>
      </c>
      <c r="S40" s="18"/>
      <c r="T40" s="45"/>
      <c r="U40" s="45"/>
      <c r="V40" s="45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H40" s="16"/>
      <c r="AI40" s="16"/>
      <c r="AJ40" s="16"/>
      <c r="AK40" s="16"/>
      <c r="AL40" s="16"/>
      <c r="AN40" s="16"/>
      <c r="AO40" s="16"/>
      <c r="AP40" s="1" t="s">
        <v>57</v>
      </c>
      <c r="AQ40" s="1">
        <v>-18446.18638980946</v>
      </c>
      <c r="AR40" s="16">
        <v>14632.698978230304</v>
      </c>
      <c r="AS40" s="1">
        <v>-42613.784647061708</v>
      </c>
      <c r="AT40" s="16">
        <v>4347.6018351635703</v>
      </c>
      <c r="AV40" s="16"/>
      <c r="AX40" s="16"/>
      <c r="AY40" s="16"/>
      <c r="AZ40" s="16"/>
    </row>
    <row r="41" spans="1:52" ht="15.75" x14ac:dyDescent="0.25">
      <c r="A41" s="9" t="s">
        <v>72</v>
      </c>
      <c r="B41" s="18">
        <v>2516.1234028164249</v>
      </c>
      <c r="C41" s="18">
        <v>2407.6585294682563</v>
      </c>
      <c r="D41" s="18">
        <v>2267.7467200853812</v>
      </c>
      <c r="E41" s="18">
        <v>2169.4453751712358</v>
      </c>
      <c r="F41" s="18">
        <v>2137.8179119225415</v>
      </c>
      <c r="G41" s="18">
        <v>2110.9343964791551</v>
      </c>
      <c r="H41" s="18">
        <v>2231.8722426542217</v>
      </c>
      <c r="I41" s="18">
        <v>2271.5691974414185</v>
      </c>
      <c r="J41" s="18">
        <v>2335.334868128642</v>
      </c>
      <c r="K41" s="18">
        <v>2442.1710059142169</v>
      </c>
      <c r="L41" s="18">
        <v>2583.0794066350591</v>
      </c>
      <c r="M41" s="18">
        <v>2791.0619119047856</v>
      </c>
      <c r="N41" s="18">
        <v>3140.1204102808551</v>
      </c>
      <c r="O41" s="18">
        <v>3534.2568384614674</v>
      </c>
      <c r="P41" s="18">
        <v>3944.4731825129884</v>
      </c>
      <c r="Q41" s="18">
        <v>4433.7714791286799</v>
      </c>
      <c r="R41" s="18">
        <v>4763.1538169195283</v>
      </c>
      <c r="S41" s="18"/>
      <c r="T41" s="45"/>
      <c r="U41" s="45"/>
      <c r="V41" s="45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H41" s="16"/>
      <c r="AI41" s="16"/>
      <c r="AJ41" s="16"/>
      <c r="AK41" s="16"/>
      <c r="AL41" s="16"/>
      <c r="AN41" s="16"/>
      <c r="AO41" s="16"/>
      <c r="AP41" s="1" t="s">
        <v>59</v>
      </c>
      <c r="AQ41" s="1">
        <v>-16998.77117841769</v>
      </c>
      <c r="AR41" s="16">
        <v>16851.801831508539</v>
      </c>
      <c r="AS41" s="1">
        <v>-27300.545401678988</v>
      </c>
      <c r="AT41" s="16">
        <v>2895.8979147180862</v>
      </c>
      <c r="AV41" s="16"/>
      <c r="AX41" s="16"/>
      <c r="AY41" s="16"/>
      <c r="AZ41" s="16"/>
    </row>
    <row r="42" spans="1:52" ht="15.75" x14ac:dyDescent="0.25">
      <c r="A42" s="9" t="s">
        <v>74</v>
      </c>
      <c r="B42" s="18">
        <v>1982.216512094916</v>
      </c>
      <c r="C42" s="18">
        <v>1961.8170395176655</v>
      </c>
      <c r="D42" s="18">
        <v>2010.5775900542012</v>
      </c>
      <c r="E42" s="18">
        <v>2038.5147746990135</v>
      </c>
      <c r="F42" s="18">
        <v>1957.6469456771738</v>
      </c>
      <c r="G42" s="18">
        <v>1903.9943794193521</v>
      </c>
      <c r="H42" s="18">
        <v>1831.5794787764848</v>
      </c>
      <c r="I42" s="18">
        <v>1721.3583980256326</v>
      </c>
      <c r="J42" s="18">
        <v>1647.1571620421769</v>
      </c>
      <c r="K42" s="18">
        <v>1618.9762765265202</v>
      </c>
      <c r="L42" s="18">
        <v>1597.8162600685869</v>
      </c>
      <c r="M42" s="18">
        <v>1696.6776444764319</v>
      </c>
      <c r="N42" s="18">
        <v>1733.5609751132292</v>
      </c>
      <c r="O42" s="18">
        <v>1784.466811242854</v>
      </c>
      <c r="P42" s="18">
        <v>1876.3957263842758</v>
      </c>
      <c r="Q42" s="18">
        <v>1997.3483086749907</v>
      </c>
      <c r="R42" s="18">
        <v>2177.3251612437202</v>
      </c>
      <c r="S42" s="18"/>
      <c r="T42" s="45"/>
      <c r="U42" s="45"/>
      <c r="V42" s="45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H42" s="16"/>
      <c r="AI42" s="16"/>
      <c r="AJ42" s="16"/>
      <c r="AK42" s="16"/>
      <c r="AL42" s="16"/>
      <c r="AM42" s="16"/>
      <c r="AN42" s="16"/>
      <c r="AO42" s="16"/>
      <c r="AP42" s="1" t="s">
        <v>61</v>
      </c>
      <c r="AQ42" s="1">
        <v>-17280.369983001696</v>
      </c>
      <c r="AR42" s="16">
        <v>18907.222402164189</v>
      </c>
      <c r="AS42" s="1">
        <v>-16990.940500054967</v>
      </c>
      <c r="AT42" s="16">
        <v>1640.4094831544364</v>
      </c>
      <c r="AV42" s="16"/>
      <c r="AX42" s="16"/>
      <c r="AY42" s="16"/>
      <c r="AZ42" s="16"/>
    </row>
    <row r="43" spans="1:52" ht="15.75" x14ac:dyDescent="0.25">
      <c r="A43" s="20" t="s">
        <v>76</v>
      </c>
      <c r="B43" s="21">
        <v>1814.6245434814682</v>
      </c>
      <c r="C43" s="21">
        <v>1914.9768667016108</v>
      </c>
      <c r="D43" s="21">
        <v>1991.6796803763345</v>
      </c>
      <c r="E43" s="21">
        <v>2043.7697912127001</v>
      </c>
      <c r="F43" s="21">
        <v>2132.2878754721996</v>
      </c>
      <c r="G43" s="21">
        <v>2219.2788858974022</v>
      </c>
      <c r="H43" s="21">
        <v>2268.7925014344401</v>
      </c>
      <c r="I43" s="21">
        <v>2346.2820397087721</v>
      </c>
      <c r="J43" s="21">
        <v>2395.8093174072264</v>
      </c>
      <c r="K43" s="21">
        <v>2389.3752907398034</v>
      </c>
      <c r="L43" s="21">
        <v>2410.9809401449902</v>
      </c>
      <c r="M43" s="21">
        <v>2386.6272709036821</v>
      </c>
      <c r="N43" s="21">
        <v>2369.3153137686654</v>
      </c>
      <c r="O43" s="21">
        <v>2364.0461256100507</v>
      </c>
      <c r="P43" s="21">
        <v>2351.8207900770553</v>
      </c>
      <c r="Q43" s="21">
        <v>2367.640418276565</v>
      </c>
      <c r="R43" s="21">
        <v>2439.5061494688839</v>
      </c>
      <c r="S43" s="18"/>
      <c r="T43" s="45"/>
      <c r="U43" s="45"/>
      <c r="V43" s="45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H43" s="16"/>
      <c r="AI43" s="16"/>
      <c r="AJ43" s="16"/>
      <c r="AK43" s="16"/>
      <c r="AL43" s="16"/>
      <c r="AM43" s="16"/>
      <c r="AN43" s="16"/>
      <c r="AO43" s="16"/>
      <c r="AP43" s="1" t="s">
        <v>63</v>
      </c>
      <c r="AQ43" s="1">
        <v>-14798.389358241351</v>
      </c>
      <c r="AR43" s="16">
        <v>16686.063543475484</v>
      </c>
      <c r="AS43" s="1">
        <v>-9702.4021485164158</v>
      </c>
      <c r="AT43" s="16">
        <v>1075.2479854799701</v>
      </c>
      <c r="AV43" s="16"/>
      <c r="AX43" s="16"/>
      <c r="AY43" s="16"/>
      <c r="AZ43" s="16"/>
    </row>
    <row r="44" spans="1:52" ht="15.75" x14ac:dyDescent="0.2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45"/>
      <c r="U44" s="45"/>
      <c r="V44" s="45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H44" s="16"/>
      <c r="AI44" s="16"/>
      <c r="AJ44" s="16"/>
      <c r="AK44" s="16"/>
      <c r="AL44" s="16"/>
      <c r="AM44" s="16"/>
      <c r="AN44" s="16"/>
      <c r="AO44" s="16"/>
      <c r="AP44" s="1" t="s">
        <v>65</v>
      </c>
      <c r="AQ44" s="1">
        <v>-10751.958010565308</v>
      </c>
      <c r="AR44" s="16">
        <v>11935.158858688706</v>
      </c>
      <c r="AS44" s="1">
        <v>-4587.1023923223202</v>
      </c>
      <c r="AT44" s="16">
        <v>580.40462209192083</v>
      </c>
      <c r="AV44" s="16"/>
      <c r="AX44" s="16"/>
      <c r="AY44" s="16"/>
      <c r="AZ44" s="16"/>
    </row>
    <row r="45" spans="1:52" ht="15.75" x14ac:dyDescent="0.25">
      <c r="A45" s="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45"/>
      <c r="U45" s="45"/>
      <c r="V45" s="45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H45" s="16"/>
      <c r="AI45" s="16"/>
      <c r="AJ45" s="16"/>
      <c r="AK45" s="16"/>
      <c r="AL45" s="16"/>
      <c r="AM45" s="16"/>
      <c r="AN45" s="16"/>
      <c r="AO45" s="16"/>
      <c r="AP45" s="1" t="s">
        <v>67</v>
      </c>
      <c r="AQ45" s="1">
        <v>-8602.8836900694314</v>
      </c>
      <c r="AR45" s="16">
        <v>9795.5476576066121</v>
      </c>
      <c r="AS45" s="1">
        <v>-1807.9426554743077</v>
      </c>
      <c r="AT45" s="16">
        <v>327.91274216068092</v>
      </c>
      <c r="AV45" s="16"/>
      <c r="AX45" s="16"/>
      <c r="AY45" s="16"/>
      <c r="AZ45" s="16"/>
    </row>
    <row r="46" spans="1:52" ht="15.75" x14ac:dyDescent="0.25">
      <c r="A46" s="23" t="s">
        <v>4</v>
      </c>
      <c r="B46" s="24">
        <f>SUM(B47:B63)</f>
        <v>175826.35663874418</v>
      </c>
      <c r="C46" s="24">
        <f t="shared" ref="C46:R46" si="2">SUM(C47:C63)</f>
        <v>179827.1495254953</v>
      </c>
      <c r="D46" s="24">
        <f t="shared" si="2"/>
        <v>183924.01455449819</v>
      </c>
      <c r="E46" s="24">
        <f t="shared" si="2"/>
        <v>188111.13928722221</v>
      </c>
      <c r="F46" s="24">
        <f t="shared" si="2"/>
        <v>192374.78215123707</v>
      </c>
      <c r="G46" s="24">
        <f t="shared" si="2"/>
        <v>196774.38504919349</v>
      </c>
      <c r="H46" s="24">
        <f t="shared" si="2"/>
        <v>201276.69781059847</v>
      </c>
      <c r="I46" s="24">
        <f t="shared" si="2"/>
        <v>204611.53426896397</v>
      </c>
      <c r="J46" s="24">
        <f t="shared" si="2"/>
        <v>207910.91015274805</v>
      </c>
      <c r="K46" s="24">
        <f t="shared" si="2"/>
        <v>211162.09259738823</v>
      </c>
      <c r="L46" s="24">
        <f t="shared" si="2"/>
        <v>214357.35550954379</v>
      </c>
      <c r="M46" s="24">
        <f t="shared" si="2"/>
        <v>217486.97973873786</v>
      </c>
      <c r="N46" s="24">
        <f t="shared" si="2"/>
        <v>220527.25325335152</v>
      </c>
      <c r="O46" s="24">
        <f t="shared" si="2"/>
        <v>223547.4713210777</v>
      </c>
      <c r="P46" s="24">
        <f t="shared" si="2"/>
        <v>226523.93669395187</v>
      </c>
      <c r="Q46" s="24">
        <f t="shared" si="2"/>
        <v>229463.95979807092</v>
      </c>
      <c r="R46" s="24">
        <f t="shared" si="2"/>
        <v>232379.85892812326</v>
      </c>
      <c r="S46" s="15"/>
      <c r="T46" s="45"/>
      <c r="U46" s="45"/>
      <c r="V46" s="4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H46" s="16"/>
      <c r="AI46" s="16"/>
      <c r="AJ46" s="16"/>
      <c r="AK46" s="16"/>
      <c r="AL46" s="16"/>
      <c r="AM46" s="16"/>
      <c r="AN46" s="16"/>
      <c r="AO46" s="16"/>
      <c r="AP46" s="1" t="s">
        <v>69</v>
      </c>
      <c r="AQ46" s="1">
        <v>-7288.5568151493153</v>
      </c>
      <c r="AR46" s="16">
        <v>8232.5476576066121</v>
      </c>
      <c r="AS46" s="1">
        <v>-676.82198670519392</v>
      </c>
      <c r="AT46" s="16">
        <v>143.17950011789392</v>
      </c>
      <c r="AV46" s="16"/>
      <c r="AX46" s="16"/>
      <c r="AY46" s="16"/>
      <c r="AZ46" s="16"/>
    </row>
    <row r="47" spans="1:52" ht="15.75" x14ac:dyDescent="0.25">
      <c r="A47" s="19" t="s">
        <v>44</v>
      </c>
      <c r="B47" s="18">
        <v>17440.588609328242</v>
      </c>
      <c r="C47" s="18">
        <v>17523.539358083577</v>
      </c>
      <c r="D47" s="18">
        <v>17776.370021640592</v>
      </c>
      <c r="E47" s="18">
        <v>17966.488490113559</v>
      </c>
      <c r="F47" s="18">
        <v>18357.345547472323</v>
      </c>
      <c r="G47" s="18">
        <v>18740.439382614622</v>
      </c>
      <c r="H47" s="18">
        <v>18798.320574869023</v>
      </c>
      <c r="I47" s="18">
        <v>18774.584594680913</v>
      </c>
      <c r="J47" s="18">
        <v>18715.260434864093</v>
      </c>
      <c r="K47" s="18">
        <v>18605.358523196701</v>
      </c>
      <c r="L47" s="18">
        <v>18446.889551503053</v>
      </c>
      <c r="M47" s="18">
        <v>18240.864482339777</v>
      </c>
      <c r="N47" s="18">
        <v>18007.294555851189</v>
      </c>
      <c r="O47" s="18">
        <v>17760.191296798286</v>
      </c>
      <c r="P47" s="18">
        <v>17528.566521765733</v>
      </c>
      <c r="Q47" s="18">
        <v>17330.432346551312</v>
      </c>
      <c r="R47" s="18">
        <v>17168.801193742544</v>
      </c>
      <c r="S47" s="18"/>
      <c r="T47" s="45"/>
      <c r="U47" s="45"/>
      <c r="V47" s="45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H47" s="16"/>
      <c r="AI47" s="16"/>
      <c r="AJ47" s="16"/>
      <c r="AK47" s="16"/>
      <c r="AL47" s="16"/>
      <c r="AM47" s="16"/>
      <c r="AN47" s="16"/>
      <c r="AO47" s="16"/>
      <c r="AP47" s="1" t="s">
        <v>71</v>
      </c>
      <c r="AQ47" s="1">
        <v>-6204.6672064925642</v>
      </c>
      <c r="AR47" s="16">
        <v>6786</v>
      </c>
      <c r="AS47" s="1">
        <v>-241.31837799425</v>
      </c>
      <c r="AT47" s="16">
        <v>52.060097589673653</v>
      </c>
      <c r="AV47" s="16"/>
      <c r="AX47" s="16"/>
      <c r="AY47" s="16"/>
      <c r="AZ47" s="16"/>
    </row>
    <row r="48" spans="1:52" ht="15.75" x14ac:dyDescent="0.25">
      <c r="A48" s="17" t="s">
        <v>46</v>
      </c>
      <c r="B48" s="18">
        <v>15677.830479120983</v>
      </c>
      <c r="C48" s="18">
        <v>16615.297363803533</v>
      </c>
      <c r="D48" s="18">
        <v>17130.599180327907</v>
      </c>
      <c r="E48" s="18">
        <v>17507.928855464677</v>
      </c>
      <c r="F48" s="18">
        <v>17467.499604829281</v>
      </c>
      <c r="G48" s="18">
        <v>17170.547066640484</v>
      </c>
      <c r="H48" s="18">
        <v>17242.331659887201</v>
      </c>
      <c r="I48" s="18">
        <v>17459.011736430708</v>
      </c>
      <c r="J48" s="18">
        <v>17613.886266620728</v>
      </c>
      <c r="K48" s="18">
        <v>17962.960173906697</v>
      </c>
      <c r="L48" s="18">
        <v>18300.238506397673</v>
      </c>
      <c r="M48" s="18">
        <v>18306.72644001869</v>
      </c>
      <c r="N48" s="18">
        <v>18276.429281747041</v>
      </c>
      <c r="O48" s="18">
        <v>18212.35247293047</v>
      </c>
      <c r="P48" s="18">
        <v>18096.501592689423</v>
      </c>
      <c r="Q48" s="18">
        <v>17929.882361405398</v>
      </c>
      <c r="R48" s="18">
        <v>17718.500644297659</v>
      </c>
      <c r="S48" s="18"/>
      <c r="T48" s="45"/>
      <c r="U48" s="45"/>
      <c r="V48" s="45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H48" s="16"/>
      <c r="AI48" s="16"/>
      <c r="AJ48" s="16"/>
      <c r="AK48" s="16"/>
      <c r="AL48" s="16"/>
      <c r="AM48" s="16"/>
      <c r="AN48" s="16"/>
      <c r="AO48" s="16"/>
      <c r="AP48" s="1" t="s">
        <v>73</v>
      </c>
      <c r="AQ48" s="1">
        <v>-4648.2224021641878</v>
      </c>
      <c r="AR48" s="16">
        <v>4972.515885868871</v>
      </c>
      <c r="AS48" s="1">
        <v>-114.93141475534074</v>
      </c>
      <c r="AT48" s="16">
        <v>15.609083607804646</v>
      </c>
      <c r="AV48" s="16"/>
      <c r="AX48" s="16"/>
      <c r="AY48" s="16"/>
      <c r="AZ48" s="16"/>
    </row>
    <row r="49" spans="1:52" ht="15.75" x14ac:dyDescent="0.25">
      <c r="A49" s="17" t="s">
        <v>48</v>
      </c>
      <c r="B49" s="18">
        <v>12783.483078572863</v>
      </c>
      <c r="C49" s="18">
        <v>12722.368434384045</v>
      </c>
      <c r="D49" s="18">
        <v>12958.179965398651</v>
      </c>
      <c r="E49" s="18">
        <v>13590.01485952982</v>
      </c>
      <c r="F49" s="18">
        <v>14543.980520269786</v>
      </c>
      <c r="G49" s="18">
        <v>15560.195640919908</v>
      </c>
      <c r="H49" s="18">
        <v>16494.79139179445</v>
      </c>
      <c r="I49" s="18">
        <v>16991.765380833269</v>
      </c>
      <c r="J49" s="18">
        <v>17350.840098216289</v>
      </c>
      <c r="K49" s="18">
        <v>17288.018097221418</v>
      </c>
      <c r="L49" s="18">
        <v>16970.301995850739</v>
      </c>
      <c r="M49" s="18">
        <v>17019.694478471345</v>
      </c>
      <c r="N49" s="18">
        <v>17228.198297497747</v>
      </c>
      <c r="O49" s="18">
        <v>17376.816275116915</v>
      </c>
      <c r="P49" s="18">
        <v>17719.551305057092</v>
      </c>
      <c r="Q49" s="18">
        <v>18053.406354401424</v>
      </c>
      <c r="R49" s="18">
        <v>18059.384465447572</v>
      </c>
      <c r="S49" s="18"/>
      <c r="T49" s="45"/>
      <c r="U49" s="45"/>
      <c r="V49" s="45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H49" s="16"/>
      <c r="AI49" s="16"/>
      <c r="AJ49" s="16"/>
      <c r="AK49" s="16"/>
      <c r="AL49" s="16"/>
      <c r="AM49" s="16"/>
      <c r="AN49" s="16"/>
      <c r="AO49" s="16"/>
      <c r="AP49" s="1" t="s">
        <v>75</v>
      </c>
      <c r="AQ49" s="1">
        <v>-4509.5794293443523</v>
      </c>
      <c r="AR49" s="16">
        <v>4660.5158858688701</v>
      </c>
      <c r="AS49" s="16">
        <v>-107.25188136825139</v>
      </c>
      <c r="AT49" s="16">
        <v>7.8167404435806649</v>
      </c>
      <c r="AV49" s="16"/>
      <c r="AX49" s="16"/>
      <c r="AY49" s="16"/>
      <c r="AZ49" s="16"/>
    </row>
    <row r="50" spans="1:52" ht="15.75" x14ac:dyDescent="0.25">
      <c r="A50" s="17" t="s">
        <v>50</v>
      </c>
      <c r="B50" s="18">
        <v>15365.627878939431</v>
      </c>
      <c r="C50" s="18">
        <v>14860.734310870739</v>
      </c>
      <c r="D50" s="18">
        <v>14309.455765700824</v>
      </c>
      <c r="E50" s="18">
        <v>13649.960018429312</v>
      </c>
      <c r="F50" s="18">
        <v>13220.432434358465</v>
      </c>
      <c r="G50" s="18">
        <v>13075.077817639318</v>
      </c>
      <c r="H50" s="18">
        <v>13032.122454193164</v>
      </c>
      <c r="I50" s="18">
        <v>13270.917543570591</v>
      </c>
      <c r="J50" s="18">
        <v>13902.911166736003</v>
      </c>
      <c r="K50" s="18">
        <v>14848.108381209542</v>
      </c>
      <c r="L50" s="18">
        <v>15866.51437337582</v>
      </c>
      <c r="M50" s="18">
        <v>16792.134461768052</v>
      </c>
      <c r="N50" s="18">
        <v>17299.974100435938</v>
      </c>
      <c r="O50" s="18">
        <v>17664.038882399389</v>
      </c>
      <c r="P50" s="18">
        <v>17609.334543190271</v>
      </c>
      <c r="Q50" s="18">
        <v>17297.866964484474</v>
      </c>
      <c r="R50" s="18">
        <v>17354.642177826528</v>
      </c>
      <c r="S50" s="18"/>
      <c r="T50" s="45"/>
      <c r="U50" s="45"/>
      <c r="V50" s="45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H50" s="16"/>
      <c r="AI50" s="16"/>
      <c r="AJ50" s="16"/>
      <c r="AK50" s="16"/>
      <c r="AL50" s="16"/>
      <c r="AM50" s="16"/>
      <c r="AN50" s="16"/>
      <c r="AO50" s="16"/>
      <c r="AQ50" s="1">
        <v>-226642.26536037083</v>
      </c>
      <c r="AR50" s="1">
        <v>211904.77491820382</v>
      </c>
      <c r="AS50" s="1">
        <v>-208281.54729029266</v>
      </c>
      <c r="AT50" s="1">
        <v>20475.084009919396</v>
      </c>
      <c r="AU50" s="16"/>
      <c r="AV50" s="16"/>
      <c r="AW50" s="16"/>
      <c r="AX50" s="16"/>
      <c r="AY50" s="16"/>
      <c r="AZ50" s="16"/>
    </row>
    <row r="51" spans="1:52" ht="15.75" x14ac:dyDescent="0.25">
      <c r="A51" s="17" t="s">
        <v>52</v>
      </c>
      <c r="B51" s="18">
        <v>18822.646724271588</v>
      </c>
      <c r="C51" s="18">
        <v>18343.420981112286</v>
      </c>
      <c r="D51" s="18">
        <v>18042.777038830747</v>
      </c>
      <c r="E51" s="18">
        <v>17871.819043808187</v>
      </c>
      <c r="F51" s="18">
        <v>17492.767035996054</v>
      </c>
      <c r="G51" s="18">
        <v>17108.969131477108</v>
      </c>
      <c r="H51" s="18">
        <v>16762.914986117732</v>
      </c>
      <c r="I51" s="18">
        <v>16241.507186757632</v>
      </c>
      <c r="J51" s="18">
        <v>15619.334558122307</v>
      </c>
      <c r="K51" s="18">
        <v>15225.428501816481</v>
      </c>
      <c r="L51" s="18">
        <v>15111.821217886492</v>
      </c>
      <c r="M51" s="18">
        <v>15099.545725125316</v>
      </c>
      <c r="N51" s="18">
        <v>15384.635881894004</v>
      </c>
      <c r="O51" s="18">
        <v>16070.126407472757</v>
      </c>
      <c r="P51" s="18">
        <v>17070.052903955031</v>
      </c>
      <c r="Q51" s="18">
        <v>18140.451878698554</v>
      </c>
      <c r="R51" s="18">
        <v>19121.360767347367</v>
      </c>
      <c r="S51" s="18"/>
      <c r="T51" s="45"/>
      <c r="U51" s="45"/>
      <c r="V51" s="45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ht="15.75" x14ac:dyDescent="0.25">
      <c r="A52" s="17" t="s">
        <v>54</v>
      </c>
      <c r="B52" s="18">
        <v>21730.798092901819</v>
      </c>
      <c r="C52" s="18">
        <v>21770.459586199278</v>
      </c>
      <c r="D52" s="18">
        <v>21739.875814145667</v>
      </c>
      <c r="E52" s="18">
        <v>21699.750503204574</v>
      </c>
      <c r="F52" s="18">
        <v>21736.071603567379</v>
      </c>
      <c r="G52" s="18">
        <v>21565.141177808138</v>
      </c>
      <c r="H52" s="18">
        <v>21386.608432865716</v>
      </c>
      <c r="I52" s="18">
        <v>21081.523424444291</v>
      </c>
      <c r="J52" s="18">
        <v>20894.223769768447</v>
      </c>
      <c r="K52" s="18">
        <v>20495.780055277748</v>
      </c>
      <c r="L52" s="18">
        <v>20073.264656288222</v>
      </c>
      <c r="M52" s="18">
        <v>19678.751782329942</v>
      </c>
      <c r="N52" s="18">
        <v>19235.317523633697</v>
      </c>
      <c r="O52" s="18">
        <v>18688.039898795887</v>
      </c>
      <c r="P52" s="18">
        <v>18371.998903651474</v>
      </c>
      <c r="Q52" s="18">
        <v>18340.276561385694</v>
      </c>
      <c r="R52" s="18">
        <v>18410.956973915792</v>
      </c>
      <c r="S52" s="18"/>
      <c r="T52" s="45"/>
      <c r="U52" s="45"/>
      <c r="V52" s="45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ht="15.75" x14ac:dyDescent="0.25">
      <c r="A53" s="17" t="s">
        <v>56</v>
      </c>
      <c r="B53" s="18">
        <v>17488.229942516595</v>
      </c>
      <c r="C53" s="18">
        <v>18875.820693299556</v>
      </c>
      <c r="D53" s="18">
        <v>20119.995709756171</v>
      </c>
      <c r="E53" s="18">
        <v>20721.917451388959</v>
      </c>
      <c r="F53" s="18">
        <v>21543.975742159062</v>
      </c>
      <c r="G53" s="18">
        <v>22255.811680945269</v>
      </c>
      <c r="H53" s="18">
        <v>22366.344066644018</v>
      </c>
      <c r="I53" s="18">
        <v>22151.413602616856</v>
      </c>
      <c r="J53" s="18">
        <v>21896.688704046835</v>
      </c>
      <c r="K53" s="18">
        <v>21691.22524169429</v>
      </c>
      <c r="L53" s="18">
        <v>21245.080501658798</v>
      </c>
      <c r="M53" s="18">
        <v>20755.313221234053</v>
      </c>
      <c r="N53" s="18">
        <v>20434.983625671099</v>
      </c>
      <c r="O53" s="18">
        <v>20235.1534658729</v>
      </c>
      <c r="P53" s="18">
        <v>19824.886057043845</v>
      </c>
      <c r="Q53" s="18">
        <v>19390.246318318437</v>
      </c>
      <c r="R53" s="18">
        <v>18980.300813393875</v>
      </c>
      <c r="S53" s="18"/>
      <c r="T53" s="45"/>
      <c r="U53" s="45"/>
      <c r="V53" s="45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ht="15.75" x14ac:dyDescent="0.25">
      <c r="A54" s="9" t="s">
        <v>58</v>
      </c>
      <c r="B54" s="18">
        <v>12619.75001014969</v>
      </c>
      <c r="C54" s="18">
        <v>13449.42579308627</v>
      </c>
      <c r="D54" s="18">
        <v>14146.805415417364</v>
      </c>
      <c r="E54" s="18">
        <v>15394.329083292578</v>
      </c>
      <c r="F54" s="18">
        <v>16488.588443290439</v>
      </c>
      <c r="G54" s="18">
        <v>17614.342508826259</v>
      </c>
      <c r="H54" s="18">
        <v>19015.535261536003</v>
      </c>
      <c r="I54" s="18">
        <v>20098.214122457568</v>
      </c>
      <c r="J54" s="18">
        <v>20514.353730775525</v>
      </c>
      <c r="K54" s="18">
        <v>21133.991081292952</v>
      </c>
      <c r="L54" s="18">
        <v>21612.164105757198</v>
      </c>
      <c r="M54" s="18">
        <v>21465.91169658969</v>
      </c>
      <c r="N54" s="18">
        <v>21229.273731216796</v>
      </c>
      <c r="O54" s="18">
        <v>20958.291097016845</v>
      </c>
      <c r="P54" s="18">
        <v>20728.005716899104</v>
      </c>
      <c r="Q54" s="18">
        <v>20259.460575530498</v>
      </c>
      <c r="R54" s="18">
        <v>19747.699746226626</v>
      </c>
      <c r="S54" s="18"/>
      <c r="T54" s="45"/>
      <c r="U54" s="45"/>
      <c r="V54" s="45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ht="15.75" x14ac:dyDescent="0.25">
      <c r="A55" s="9" t="s">
        <v>60</v>
      </c>
      <c r="B55" s="18">
        <v>10658.135507610499</v>
      </c>
      <c r="C55" s="18">
        <v>10931.243345919958</v>
      </c>
      <c r="D55" s="18">
        <v>11350.116103234681</v>
      </c>
      <c r="E55" s="18">
        <v>11591.569657473685</v>
      </c>
      <c r="F55" s="18">
        <v>11984.50567301541</v>
      </c>
      <c r="G55" s="18">
        <v>12546.920622407106</v>
      </c>
      <c r="H55" s="18">
        <v>13364.915756881692</v>
      </c>
      <c r="I55" s="18">
        <v>13949.688176419822</v>
      </c>
      <c r="J55" s="18">
        <v>15067.290675872977</v>
      </c>
      <c r="K55" s="18">
        <v>16023.744280461287</v>
      </c>
      <c r="L55" s="18">
        <v>16984.070547967651</v>
      </c>
      <c r="M55" s="18">
        <v>18203.291582227721</v>
      </c>
      <c r="N55" s="18">
        <v>19262.430046961574</v>
      </c>
      <c r="O55" s="18">
        <v>19660.509179955789</v>
      </c>
      <c r="P55" s="18">
        <v>20254.552807604723</v>
      </c>
      <c r="Q55" s="18">
        <v>20713.585359820154</v>
      </c>
      <c r="R55" s="18">
        <v>20547.631885318624</v>
      </c>
      <c r="S55" s="18"/>
      <c r="T55" s="45"/>
      <c r="U55" s="45"/>
      <c r="V55" s="45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ht="15.75" x14ac:dyDescent="0.25">
      <c r="A56" s="9" t="s">
        <v>62</v>
      </c>
      <c r="B56" s="18">
        <v>9144.5770445419257</v>
      </c>
      <c r="C56" s="18">
        <v>9336.0165480367868</v>
      </c>
      <c r="D56" s="18">
        <v>9738.5421727606608</v>
      </c>
      <c r="E56" s="18">
        <v>10293.68861196935</v>
      </c>
      <c r="F56" s="18">
        <v>10466.04678733629</v>
      </c>
      <c r="G56" s="18">
        <v>10672.269762395073</v>
      </c>
      <c r="H56" s="18">
        <v>10950.079277900109</v>
      </c>
      <c r="I56" s="18">
        <v>11309.401412369622</v>
      </c>
      <c r="J56" s="18">
        <v>11480.263445575794</v>
      </c>
      <c r="K56" s="18">
        <v>11797.679048447939</v>
      </c>
      <c r="L56" s="18">
        <v>12270.662238084247</v>
      </c>
      <c r="M56" s="18">
        <v>12991.22738651741</v>
      </c>
      <c r="N56" s="18">
        <v>13563.389229702181</v>
      </c>
      <c r="O56" s="18">
        <v>14667.162876730563</v>
      </c>
      <c r="P56" s="18">
        <v>15610.563819280296</v>
      </c>
      <c r="Q56" s="18">
        <v>16557.607941302642</v>
      </c>
      <c r="R56" s="18">
        <v>17761.311528955455</v>
      </c>
      <c r="S56" s="18"/>
      <c r="T56" s="45"/>
      <c r="U56" s="45"/>
      <c r="V56" s="45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ht="15.75" x14ac:dyDescent="0.25">
      <c r="A57" s="9" t="s">
        <v>64</v>
      </c>
      <c r="B57" s="18">
        <v>7590.0736020541444</v>
      </c>
      <c r="C57" s="18">
        <v>7966.4271400172465</v>
      </c>
      <c r="D57" s="18">
        <v>8139.5315392007942</v>
      </c>
      <c r="E57" s="18">
        <v>8226.6755632465938</v>
      </c>
      <c r="F57" s="18">
        <v>8559.178330926361</v>
      </c>
      <c r="G57" s="18">
        <v>8997.3925082391142</v>
      </c>
      <c r="H57" s="18">
        <v>9186.7078362143493</v>
      </c>
      <c r="I57" s="18">
        <v>9545.4586461221043</v>
      </c>
      <c r="J57" s="18">
        <v>10051.507245030749</v>
      </c>
      <c r="K57" s="18">
        <v>10168.86117982404</v>
      </c>
      <c r="L57" s="18">
        <v>10316.528188655146</v>
      </c>
      <c r="M57" s="18">
        <v>10528.516205794425</v>
      </c>
      <c r="N57" s="18">
        <v>10876.833366600085</v>
      </c>
      <c r="O57" s="18">
        <v>11041.488012614818</v>
      </c>
      <c r="P57" s="18">
        <v>11348.488696791634</v>
      </c>
      <c r="Q57" s="18">
        <v>11810.844188852136</v>
      </c>
      <c r="R57" s="18">
        <v>12515.563480780627</v>
      </c>
      <c r="S57" s="18"/>
      <c r="T57" s="45"/>
      <c r="U57" s="45"/>
      <c r="V57" s="45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ht="15.75" x14ac:dyDescent="0.25">
      <c r="A58" s="9" t="s">
        <v>66</v>
      </c>
      <c r="B58" s="18">
        <v>5780.1548023757277</v>
      </c>
      <c r="C58" s="18">
        <v>6303.9740344597149</v>
      </c>
      <c r="D58" s="18">
        <v>6713.3455894186473</v>
      </c>
      <c r="E58" s="18">
        <v>7125.4325623869609</v>
      </c>
      <c r="F58" s="18">
        <v>7343.4151970418889</v>
      </c>
      <c r="G58" s="18">
        <v>7385.4926890176084</v>
      </c>
      <c r="H58" s="18">
        <v>7753.8851789830996</v>
      </c>
      <c r="I58" s="18">
        <v>7903.4424855348052</v>
      </c>
      <c r="J58" s="18">
        <v>7964.1658858417268</v>
      </c>
      <c r="K58" s="18">
        <v>8265.0595870830894</v>
      </c>
      <c r="L58" s="18">
        <v>8668.1279030091082</v>
      </c>
      <c r="M58" s="18">
        <v>8822.3752566405783</v>
      </c>
      <c r="N58" s="18">
        <v>9169.8061830368497</v>
      </c>
      <c r="O58" s="18">
        <v>9664.425332133922</v>
      </c>
      <c r="P58" s="18">
        <v>9776.2374716544291</v>
      </c>
      <c r="Q58" s="18">
        <v>9918.2474900913512</v>
      </c>
      <c r="R58" s="18">
        <v>10123.460399767293</v>
      </c>
      <c r="S58" s="18"/>
      <c r="T58" s="45"/>
      <c r="U58" s="45"/>
      <c r="V58" s="45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ht="15.75" x14ac:dyDescent="0.25">
      <c r="A59" s="9" t="s">
        <v>68</v>
      </c>
      <c r="B59" s="18">
        <v>2967.1970562993424</v>
      </c>
      <c r="C59" s="18">
        <v>3202.7122297392916</v>
      </c>
      <c r="D59" s="18">
        <v>3681.90638058284</v>
      </c>
      <c r="E59" s="18">
        <v>4209.8507534194023</v>
      </c>
      <c r="F59" s="18">
        <v>4793.6240813750492</v>
      </c>
      <c r="G59" s="18">
        <v>5504.3133735749325</v>
      </c>
      <c r="H59" s="18">
        <v>6008.0147854208581</v>
      </c>
      <c r="I59" s="18">
        <v>6387.9299956196382</v>
      </c>
      <c r="J59" s="18">
        <v>6776.9190994654991</v>
      </c>
      <c r="K59" s="18">
        <v>6973.9839700808152</v>
      </c>
      <c r="L59" s="18">
        <v>6996.1265280720218</v>
      </c>
      <c r="M59" s="18">
        <v>7337.3487427334085</v>
      </c>
      <c r="N59" s="18">
        <v>7482.6526332814428</v>
      </c>
      <c r="O59" s="18">
        <v>7546.0402701203711</v>
      </c>
      <c r="P59" s="18">
        <v>7835.5137761399183</v>
      </c>
      <c r="Q59" s="18">
        <v>8229.0753280458921</v>
      </c>
      <c r="R59" s="18">
        <v>8375.7271577245065</v>
      </c>
      <c r="S59" s="18"/>
      <c r="T59" s="45"/>
      <c r="U59" s="45"/>
      <c r="V59" s="45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ht="15.75" x14ac:dyDescent="0.25">
      <c r="A60" s="9" t="s">
        <v>70</v>
      </c>
      <c r="B60" s="18">
        <v>2439.2512630685346</v>
      </c>
      <c r="C60" s="18">
        <v>2505.5914488337949</v>
      </c>
      <c r="D60" s="18">
        <v>2544.1777540844555</v>
      </c>
      <c r="E60" s="18">
        <v>2625.0360634327517</v>
      </c>
      <c r="F60" s="18">
        <v>2646.1949837993529</v>
      </c>
      <c r="G60" s="18">
        <v>2731.686130721037</v>
      </c>
      <c r="H60" s="18">
        <v>2957.5444447696118</v>
      </c>
      <c r="I60" s="18">
        <v>3398.5708322755504</v>
      </c>
      <c r="J60" s="18">
        <v>3893.6232029049065</v>
      </c>
      <c r="K60" s="18">
        <v>4434.7022144235816</v>
      </c>
      <c r="L60" s="18">
        <v>5100.808541248899</v>
      </c>
      <c r="M60" s="18">
        <v>5564.9428748711389</v>
      </c>
      <c r="N60" s="18">
        <v>5926.10592428574</v>
      </c>
      <c r="O60" s="18">
        <v>6298.2984164364489</v>
      </c>
      <c r="P60" s="18">
        <v>6485.5210966696759</v>
      </c>
      <c r="Q60" s="18">
        <v>6506.7747292003714</v>
      </c>
      <c r="R60" s="18">
        <v>6838.0600975896732</v>
      </c>
      <c r="S60" s="18"/>
      <c r="T60" s="45"/>
      <c r="U60" s="45"/>
      <c r="V60" s="45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ht="15.75" x14ac:dyDescent="0.25">
      <c r="A61" s="9" t="s">
        <v>72</v>
      </c>
      <c r="B61" s="18">
        <v>2368.671555408012</v>
      </c>
      <c r="C61" s="18">
        <v>2287.3995499637381</v>
      </c>
      <c r="D61" s="18">
        <v>2264.2020319190774</v>
      </c>
      <c r="E61" s="18">
        <v>2198.086780486406</v>
      </c>
      <c r="F61" s="18">
        <v>2144.0623915842698</v>
      </c>
      <c r="G61" s="18">
        <v>2136.1383636931682</v>
      </c>
      <c r="H61" s="18">
        <v>2200.3251927398751</v>
      </c>
      <c r="I61" s="18">
        <v>2234.6637206146829</v>
      </c>
      <c r="J61" s="18">
        <v>2306.0108499466241</v>
      </c>
      <c r="K61" s="18">
        <v>2329.3667993145527</v>
      </c>
      <c r="L61" s="18">
        <v>2402.731792852589</v>
      </c>
      <c r="M61" s="18">
        <v>2609.1060603913243</v>
      </c>
      <c r="N61" s="18">
        <v>3016.4898376026226</v>
      </c>
      <c r="O61" s="18">
        <v>3472.883366148104</v>
      </c>
      <c r="P61" s="18">
        <v>3965.2868938313936</v>
      </c>
      <c r="Q61" s="18">
        <v>4564.7006747542537</v>
      </c>
      <c r="R61" s="18">
        <v>4988.1249694766757</v>
      </c>
      <c r="S61" s="18"/>
      <c r="T61" s="45"/>
      <c r="U61" s="45"/>
      <c r="V61" s="45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ht="15.75" x14ac:dyDescent="0.25">
      <c r="A62" s="9" t="s">
        <v>74</v>
      </c>
      <c r="B62" s="18">
        <v>1751</v>
      </c>
      <c r="C62" s="18">
        <v>1838.0263409484735</v>
      </c>
      <c r="D62" s="18">
        <v>1845.0533757425133</v>
      </c>
      <c r="E62" s="18">
        <v>1880.08112265867</v>
      </c>
      <c r="F62" s="18">
        <v>1907.1096004549156</v>
      </c>
      <c r="G62" s="18">
        <v>1916.1388283833246</v>
      </c>
      <c r="H62" s="18">
        <v>1848.1688262030898</v>
      </c>
      <c r="I62" s="18">
        <v>1829.1996141938798</v>
      </c>
      <c r="J62" s="18">
        <v>1780.2312131695489</v>
      </c>
      <c r="K62" s="18">
        <v>1739.2636444922077</v>
      </c>
      <c r="L62" s="18">
        <v>1740.2969300866657</v>
      </c>
      <c r="M62" s="18">
        <v>1799.3310924552522</v>
      </c>
      <c r="N62" s="18">
        <v>1829.3661546930296</v>
      </c>
      <c r="O62" s="18">
        <v>1892.4021405034052</v>
      </c>
      <c r="P62" s="18">
        <v>1918.4390742141582</v>
      </c>
      <c r="Q62" s="18">
        <v>1985.4769807938826</v>
      </c>
      <c r="R62" s="18">
        <v>2167.5158858688706</v>
      </c>
      <c r="S62" s="18"/>
      <c r="T62" s="45"/>
      <c r="U62" s="45"/>
      <c r="V62" s="45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15.75" x14ac:dyDescent="0.25">
      <c r="A63" s="20" t="s">
        <v>76</v>
      </c>
      <c r="B63" s="21">
        <v>1198.340991584754</v>
      </c>
      <c r="C63" s="21">
        <v>1294.6923667370054</v>
      </c>
      <c r="D63" s="21">
        <v>1423.0806963366083</v>
      </c>
      <c r="E63" s="21">
        <v>1558.5098669167173</v>
      </c>
      <c r="F63" s="21">
        <v>1679.9841737607476</v>
      </c>
      <c r="G63" s="21">
        <v>1793.5083638910139</v>
      </c>
      <c r="H63" s="21">
        <v>1908.0876835785266</v>
      </c>
      <c r="I63" s="21">
        <v>1984.2417940220316</v>
      </c>
      <c r="J63" s="21">
        <v>2083.399805789988</v>
      </c>
      <c r="K63" s="21">
        <v>2178.5618176448943</v>
      </c>
      <c r="L63" s="21">
        <v>2251.7279308494344</v>
      </c>
      <c r="M63" s="21">
        <v>2271.8982492297678</v>
      </c>
      <c r="N63" s="21">
        <v>2304.0728792404266</v>
      </c>
      <c r="O63" s="21">
        <v>2339.2519300308531</v>
      </c>
      <c r="P63" s="21">
        <v>2380.4355135136188</v>
      </c>
      <c r="Q63" s="21">
        <v>2435.6237444343769</v>
      </c>
      <c r="R63" s="21">
        <v>2500.8167404435808</v>
      </c>
      <c r="S63" s="18"/>
      <c r="T63" s="45"/>
      <c r="U63" s="45"/>
      <c r="V63" s="45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5.75" x14ac:dyDescent="0.25">
      <c r="A64" s="9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45"/>
      <c r="U64" s="45"/>
      <c r="V64" s="45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ht="15.75" customHeight="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45"/>
      <c r="U65" s="45"/>
      <c r="V65" s="45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ht="18.75" x14ac:dyDescent="0.5">
      <c r="A66" s="134" t="s">
        <v>81</v>
      </c>
      <c r="B66" s="134"/>
      <c r="C66" s="1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37" t="s">
        <v>96</v>
      </c>
      <c r="S66" s="22"/>
      <c r="T66" s="45"/>
      <c r="U66" s="45"/>
      <c r="V66" s="45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ht="15.75" x14ac:dyDescent="0.25">
      <c r="A67" s="25" t="s">
        <v>43</v>
      </c>
      <c r="B67" s="26">
        <v>2014</v>
      </c>
      <c r="C67" s="26">
        <v>2015</v>
      </c>
      <c r="D67" s="26">
        <v>2016</v>
      </c>
      <c r="E67" s="26">
        <v>2017</v>
      </c>
      <c r="F67" s="26">
        <v>2018</v>
      </c>
      <c r="G67" s="26">
        <v>2019</v>
      </c>
      <c r="H67" s="26">
        <v>2020</v>
      </c>
      <c r="I67" s="26">
        <v>2021</v>
      </c>
      <c r="J67" s="26">
        <v>2022</v>
      </c>
      <c r="K67" s="26">
        <v>2023</v>
      </c>
      <c r="L67" s="26">
        <v>2024</v>
      </c>
      <c r="M67" s="26">
        <v>2025</v>
      </c>
      <c r="N67" s="26">
        <v>2026</v>
      </c>
      <c r="O67" s="26">
        <v>2027</v>
      </c>
      <c r="P67" s="26">
        <v>2028</v>
      </c>
      <c r="Q67" s="26">
        <v>2029</v>
      </c>
      <c r="R67" s="26">
        <v>2030</v>
      </c>
      <c r="S67" s="8"/>
      <c r="T67" s="45"/>
      <c r="U67" s="45"/>
      <c r="V67" s="45"/>
      <c r="W67" s="8"/>
      <c r="X67" s="8"/>
      <c r="Y67" s="8"/>
      <c r="Z67" s="8"/>
      <c r="AA67" s="8"/>
      <c r="AB67" s="8"/>
      <c r="AC67" s="8"/>
      <c r="AD67" s="8"/>
      <c r="AE67" s="8"/>
      <c r="AF67" s="8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15.75" x14ac:dyDescent="0.25">
      <c r="A68" s="10" t="s">
        <v>2</v>
      </c>
      <c r="B68" s="27">
        <f>SUM(B69:B85)</f>
        <v>339761</v>
      </c>
      <c r="C68" s="27">
        <f t="shared" ref="C68:R68" si="3">SUM(C69:C85)</f>
        <v>346377.05346864148</v>
      </c>
      <c r="D68" s="27">
        <f t="shared" si="3"/>
        <v>353004.56474619964</v>
      </c>
      <c r="E68" s="27">
        <f t="shared" si="3"/>
        <v>359607.78296033194</v>
      </c>
      <c r="F68" s="27">
        <f t="shared" si="3"/>
        <v>366175.96380095434</v>
      </c>
      <c r="G68" s="27">
        <f t="shared" si="3"/>
        <v>372739.36969309789</v>
      </c>
      <c r="H68" s="27">
        <f t="shared" si="3"/>
        <v>379270.26997431798</v>
      </c>
      <c r="I68" s="27">
        <f t="shared" si="3"/>
        <v>385695.94107677642</v>
      </c>
      <c r="J68" s="27">
        <f t="shared" si="3"/>
        <v>392039.6667141206</v>
      </c>
      <c r="K68" s="27">
        <f t="shared" si="3"/>
        <v>398265.73807328416</v>
      </c>
      <c r="L68" s="27">
        <f t="shared" si="3"/>
        <v>404376.45401134121</v>
      </c>
      <c r="M68" s="27">
        <f t="shared" si="3"/>
        <v>410349.12125754397</v>
      </c>
      <c r="N68" s="27">
        <f t="shared" si="3"/>
        <v>416150.05462068482</v>
      </c>
      <c r="O68" s="27">
        <f t="shared" si="3"/>
        <v>421869.57720191783</v>
      </c>
      <c r="P68" s="27">
        <f t="shared" si="3"/>
        <v>427496.02061318833</v>
      </c>
      <c r="Q68" s="27">
        <f t="shared" si="3"/>
        <v>433068.72520141437</v>
      </c>
      <c r="R68" s="27">
        <f t="shared" si="3"/>
        <v>438547.04027857468</v>
      </c>
      <c r="S68" s="33"/>
      <c r="T68" s="45"/>
      <c r="U68" s="45"/>
      <c r="V68" s="45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15.75" x14ac:dyDescent="0.25">
      <c r="A69" s="17" t="s">
        <v>44</v>
      </c>
      <c r="B69" s="28">
        <v>35843</v>
      </c>
      <c r="C69" s="28">
        <v>36097.158045690841</v>
      </c>
      <c r="D69" s="28">
        <v>36323.32025445508</v>
      </c>
      <c r="E69" s="28">
        <v>36533.486735952021</v>
      </c>
      <c r="F69" s="28">
        <v>37191.657602729494</v>
      </c>
      <c r="G69" s="28">
        <v>37886.832970299947</v>
      </c>
      <c r="H69" s="28">
        <v>37870.01295721854</v>
      </c>
      <c r="I69" s="28">
        <v>37773.197685163279</v>
      </c>
      <c r="J69" s="28">
        <v>37604.38727901729</v>
      </c>
      <c r="K69" s="28">
        <v>37328.581866953245</v>
      </c>
      <c r="L69" s="28">
        <v>36944.781580519993</v>
      </c>
      <c r="M69" s="28">
        <v>36463.986554731513</v>
      </c>
      <c r="N69" s="28">
        <v>35924.196928158177</v>
      </c>
      <c r="O69" s="28">
        <v>35358.412843020429</v>
      </c>
      <c r="P69" s="28">
        <v>34820.634445284952</v>
      </c>
      <c r="Q69" s="28">
        <v>34352.861884763297</v>
      </c>
      <c r="R69" s="28">
        <v>33961.095315213221</v>
      </c>
      <c r="S69" s="28"/>
      <c r="T69" s="45"/>
      <c r="U69" s="45"/>
      <c r="V69" s="45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15.75" x14ac:dyDescent="0.25">
      <c r="A70" s="17" t="s">
        <v>46</v>
      </c>
      <c r="B70" s="28">
        <v>31777</v>
      </c>
      <c r="C70" s="28">
        <v>33631.158045690841</v>
      </c>
      <c r="D70" s="28">
        <v>35013.32025445508</v>
      </c>
      <c r="E70" s="28">
        <v>35957.486735952021</v>
      </c>
      <c r="F70" s="28">
        <v>35930.657602729494</v>
      </c>
      <c r="G70" s="28">
        <v>35511.832970299947</v>
      </c>
      <c r="H70" s="28">
        <v>35762.01295721854</v>
      </c>
      <c r="I70" s="28">
        <v>35991.197685163279</v>
      </c>
      <c r="J70" s="28">
        <v>36205.38727901729</v>
      </c>
      <c r="K70" s="28">
        <v>36865.581866953245</v>
      </c>
      <c r="L70" s="28">
        <v>37563.781580519993</v>
      </c>
      <c r="M70" s="28">
        <v>37552.986554731513</v>
      </c>
      <c r="N70" s="28">
        <v>37461.196928158177</v>
      </c>
      <c r="O70" s="28">
        <v>37296.412843020429</v>
      </c>
      <c r="P70" s="28">
        <v>37024.634445284944</v>
      </c>
      <c r="Q70" s="28">
        <v>36647.861884763297</v>
      </c>
      <c r="R70" s="28">
        <v>36172.095315213228</v>
      </c>
      <c r="S70" s="28"/>
      <c r="T70" s="45"/>
      <c r="U70" s="45"/>
      <c r="V70" s="45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15.75" x14ac:dyDescent="0.25">
      <c r="A71" s="17" t="s">
        <v>48</v>
      </c>
      <c r="B71" s="28">
        <v>26177</v>
      </c>
      <c r="C71" s="28">
        <v>25957.210727587786</v>
      </c>
      <c r="D71" s="28">
        <v>26395.427005940106</v>
      </c>
      <c r="E71" s="28">
        <v>27656.648981269362</v>
      </c>
      <c r="F71" s="28">
        <v>29609.876803639323</v>
      </c>
      <c r="G71" s="28">
        <v>31642.110627066599</v>
      </c>
      <c r="H71" s="28">
        <v>33491.350609624722</v>
      </c>
      <c r="I71" s="28">
        <v>34874.596913551039</v>
      </c>
      <c r="J71" s="28">
        <v>35817.849705356391</v>
      </c>
      <c r="K71" s="28">
        <v>35790.109155937665</v>
      </c>
      <c r="L71" s="28">
        <v>35371.375440693329</v>
      </c>
      <c r="M71" s="28">
        <v>35625.64873964202</v>
      </c>
      <c r="N71" s="28">
        <v>35844.929237544238</v>
      </c>
      <c r="O71" s="28">
        <v>36059.217124027244</v>
      </c>
      <c r="P71" s="28">
        <v>36718.512593713262</v>
      </c>
      <c r="Q71" s="28">
        <v>37414.815846351063</v>
      </c>
      <c r="R71" s="28">
        <v>37408.127086950968</v>
      </c>
      <c r="S71" s="28"/>
      <c r="T71" s="45"/>
      <c r="U71" s="45"/>
      <c r="V71" s="45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15.75" x14ac:dyDescent="0.25">
      <c r="A72" s="17" t="s">
        <v>50</v>
      </c>
      <c r="B72" s="28">
        <v>30926</v>
      </c>
      <c r="C72" s="28">
        <v>30468.362509211962</v>
      </c>
      <c r="D72" s="28">
        <v>29585.28772717834</v>
      </c>
      <c r="E72" s="28">
        <v>28376.790476181435</v>
      </c>
      <c r="F72" s="28">
        <v>27511.885968936534</v>
      </c>
      <c r="G72" s="28">
        <v>27289.589818876269</v>
      </c>
      <c r="H72" s="28">
        <v>27100.918050705885</v>
      </c>
      <c r="I72" s="28">
        <v>27569.887111236574</v>
      </c>
      <c r="J72" s="28">
        <v>28861.513880504132</v>
      </c>
      <c r="K72" s="28">
        <v>30838.815683180506</v>
      </c>
      <c r="L72" s="28">
        <v>32902.810300285943</v>
      </c>
      <c r="M72" s="28">
        <v>34783.51598120961</v>
      </c>
      <c r="N72" s="28">
        <v>36198.951456046911</v>
      </c>
      <c r="O72" s="28">
        <v>37172.135948261712</v>
      </c>
      <c r="P72" s="28">
        <v>37177.08918768217</v>
      </c>
      <c r="Q72" s="28">
        <v>36792.831423838827</v>
      </c>
      <c r="R72" s="28">
        <v>37085.383439654033</v>
      </c>
      <c r="S72" s="28"/>
      <c r="T72" s="45"/>
      <c r="U72" s="45"/>
      <c r="V72" s="45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15.75" x14ac:dyDescent="0.25">
      <c r="A73" s="17" t="s">
        <v>52</v>
      </c>
      <c r="B73" s="28">
        <v>36615</v>
      </c>
      <c r="C73" s="28">
        <v>35840.064483040653</v>
      </c>
      <c r="D73" s="28">
        <v>35573.63305473073</v>
      </c>
      <c r="E73" s="28">
        <v>35661.771675140328</v>
      </c>
      <c r="F73" s="28">
        <v>35228.548041790331</v>
      </c>
      <c r="G73" s="28">
        <v>34592.031635418556</v>
      </c>
      <c r="H73" s="28">
        <v>34235.293766951334</v>
      </c>
      <c r="I73" s="28">
        <v>33441.40762571244</v>
      </c>
      <c r="J73" s="28">
        <v>32337.448328901861</v>
      </c>
      <c r="K73" s="28">
        <v>31575.492972377866</v>
      </c>
      <c r="L73" s="28">
        <v>31459.620682776767</v>
      </c>
      <c r="M73" s="28">
        <v>31373.912671005517</v>
      </c>
      <c r="N73" s="28">
        <v>31947.452287143387</v>
      </c>
      <c r="O73" s="28">
        <v>33353.325076789799</v>
      </c>
      <c r="P73" s="28">
        <v>35440.618838896378</v>
      </c>
      <c r="Q73" s="28">
        <v>37626.423685122449</v>
      </c>
      <c r="R73" s="28">
        <v>39622.832100753876</v>
      </c>
      <c r="S73" s="28"/>
      <c r="T73" s="45"/>
      <c r="U73" s="45"/>
      <c r="V73" s="45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15.75" x14ac:dyDescent="0.25">
      <c r="A74" s="17" t="s">
        <v>54</v>
      </c>
      <c r="B74" s="28">
        <v>38524</v>
      </c>
      <c r="C74" s="28">
        <v>38257.657896309662</v>
      </c>
      <c r="D74" s="28">
        <v>37897.493080006941</v>
      </c>
      <c r="E74" s="28">
        <v>37356.56290290672</v>
      </c>
      <c r="F74" s="28">
        <v>37111.926227525095</v>
      </c>
      <c r="G74" s="28">
        <v>36550.643466872658</v>
      </c>
      <c r="H74" s="28">
        <v>35776.776625296006</v>
      </c>
      <c r="I74" s="28">
        <v>35505.389340395021</v>
      </c>
      <c r="J74" s="28">
        <v>35592.546926044342</v>
      </c>
      <c r="K74" s="28">
        <v>35162.316416548005</v>
      </c>
      <c r="L74" s="28">
        <v>34523.766611957195</v>
      </c>
      <c r="M74" s="28">
        <v>34165.96812458169</v>
      </c>
      <c r="N74" s="28">
        <v>33375.993426726505</v>
      </c>
      <c r="O74" s="28">
        <v>32268.916899685893</v>
      </c>
      <c r="P74" s="28">
        <v>31508.814884027946</v>
      </c>
      <c r="Q74" s="28">
        <v>31393.765731203726</v>
      </c>
      <c r="R74" s="28">
        <v>31307.849856515837</v>
      </c>
      <c r="S74" s="28"/>
      <c r="T74" s="45"/>
      <c r="U74" s="45"/>
      <c r="V74" s="45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X74" s="16"/>
      <c r="AY74" s="16"/>
      <c r="AZ74" s="16"/>
    </row>
    <row r="75" spans="1:52" ht="15.75" x14ac:dyDescent="0.25">
      <c r="A75" s="9" t="s">
        <v>56</v>
      </c>
      <c r="B75" s="28">
        <v>30933</v>
      </c>
      <c r="C75" s="28">
        <v>33093.84472284768</v>
      </c>
      <c r="D75" s="28">
        <v>35019.21313055935</v>
      </c>
      <c r="E75" s="28">
        <v>35907.145358439506</v>
      </c>
      <c r="F75" s="28">
        <v>37130.682598994623</v>
      </c>
      <c r="G75" s="28">
        <v>37663.867129780869</v>
      </c>
      <c r="H75" s="28">
        <v>37375.742341985351</v>
      </c>
      <c r="I75" s="28">
        <v>36998.352769760189</v>
      </c>
      <c r="J75" s="28">
        <v>36440.744120329313</v>
      </c>
      <c r="K75" s="28">
        <v>36177.963304888282</v>
      </c>
      <c r="L75" s="28">
        <v>35594.058470318036</v>
      </c>
      <c r="M75" s="28">
        <v>34795.079031734029</v>
      </c>
      <c r="N75" s="28">
        <v>34508.075705892734</v>
      </c>
      <c r="O75" s="28">
        <v>34573.100545478082</v>
      </c>
      <c r="P75" s="28">
        <v>34119.206974291068</v>
      </c>
      <c r="Q75" s="28">
        <v>33464.449823366282</v>
      </c>
      <c r="R75" s="28">
        <v>33078.885368039766</v>
      </c>
      <c r="S75" s="28"/>
      <c r="T75" s="45"/>
      <c r="U75" s="45"/>
      <c r="V75" s="45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X75" s="16"/>
      <c r="AY75" s="16"/>
      <c r="AZ75" s="16"/>
    </row>
    <row r="76" spans="1:52" ht="15.75" x14ac:dyDescent="0.25">
      <c r="A76" s="9" t="s">
        <v>58</v>
      </c>
      <c r="B76" s="28">
        <v>22655</v>
      </c>
      <c r="C76" s="28">
        <v>23942.771008026932</v>
      </c>
      <c r="D76" s="28">
        <v>24914.484258333148</v>
      </c>
      <c r="E76" s="28">
        <v>26797.164570473971</v>
      </c>
      <c r="F76" s="28">
        <v>28446.837417775361</v>
      </c>
      <c r="G76" s="28">
        <v>30205.528944554833</v>
      </c>
      <c r="H76" s="28">
        <v>32342.265983796042</v>
      </c>
      <c r="I76" s="28">
        <v>34248.07607528886</v>
      </c>
      <c r="J76" s="28">
        <v>35110.987484247366</v>
      </c>
      <c r="K76" s="28">
        <v>36314.029220418161</v>
      </c>
      <c r="L76" s="28">
        <v>36829.231057692115</v>
      </c>
      <c r="M76" s="28">
        <v>36526.62355423261</v>
      </c>
      <c r="N76" s="28">
        <v>36129.238073134038</v>
      </c>
      <c r="O76" s="28">
        <v>35557.106803624425</v>
      </c>
      <c r="P76" s="28">
        <v>35273.262782826627</v>
      </c>
      <c r="Q76" s="28">
        <v>34667.73991809263</v>
      </c>
      <c r="R76" s="28">
        <v>33850.573009926229</v>
      </c>
      <c r="S76" s="28"/>
      <c r="T76" s="45"/>
      <c r="U76" s="45"/>
      <c r="V76" s="45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X76" s="16"/>
      <c r="AY76" s="16"/>
      <c r="AZ76" s="16"/>
    </row>
    <row r="77" spans="1:52" ht="15.75" x14ac:dyDescent="0.25">
      <c r="A77" s="9" t="s">
        <v>60</v>
      </c>
      <c r="B77" s="28">
        <v>19712</v>
      </c>
      <c r="C77" s="28">
        <v>20099.683380803595</v>
      </c>
      <c r="D77" s="28">
        <v>20790.069627166038</v>
      </c>
      <c r="E77" s="28">
        <v>21092.177253232796</v>
      </c>
      <c r="F77" s="28">
        <v>21586.025260829483</v>
      </c>
      <c r="G77" s="28">
        <v>22411.633152307841</v>
      </c>
      <c r="H77" s="28">
        <v>23693.020943730036</v>
      </c>
      <c r="I77" s="28">
        <v>24655.209178400306</v>
      </c>
      <c r="J77" s="28">
        <v>26525.218940753002</v>
      </c>
      <c r="K77" s="28">
        <v>28169.07187060648</v>
      </c>
      <c r="L77" s="28">
        <v>29917.790177792427</v>
      </c>
      <c r="M77" s="28">
        <v>32038.396657170571</v>
      </c>
      <c r="N77" s="28">
        <v>33931.914704038863</v>
      </c>
      <c r="O77" s="28">
        <v>34789.36832994959</v>
      </c>
      <c r="P77" s="28">
        <v>35983.7821789421</v>
      </c>
      <c r="Q77" s="28">
        <v>36493.181544203115</v>
      </c>
      <c r="R77" s="28">
        <v>36187.592385165888</v>
      </c>
      <c r="S77" s="28"/>
      <c r="T77" s="45"/>
      <c r="U77" s="45"/>
      <c r="V77" s="45"/>
      <c r="W77" s="28"/>
      <c r="X77" s="28"/>
      <c r="AD77" s="28"/>
      <c r="AE77" s="28"/>
      <c r="AF77" s="28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X77" s="16"/>
      <c r="AY77" s="16"/>
      <c r="AZ77" s="16"/>
    </row>
    <row r="78" spans="1:52" ht="15.75" x14ac:dyDescent="0.25">
      <c r="A78" s="9" t="s">
        <v>62</v>
      </c>
      <c r="B78" s="28">
        <v>17432</v>
      </c>
      <c r="C78" s="28">
        <v>17560.332344095525</v>
      </c>
      <c r="D78" s="28">
        <v>18175.121238573796</v>
      </c>
      <c r="E78" s="28">
        <v>19020.378709404915</v>
      </c>
      <c r="F78" s="28">
        <v>19083.117099334453</v>
      </c>
      <c r="G78" s="28">
        <v>19297.349076227601</v>
      </c>
      <c r="H78" s="28">
        <v>19680.087641633134</v>
      </c>
      <c r="I78" s="28">
        <v>20364.346139572954</v>
      </c>
      <c r="J78" s="28">
        <v>20651.138265563153</v>
      </c>
      <c r="K78" s="28">
        <v>21140.478075872717</v>
      </c>
      <c r="L78" s="28">
        <v>21955.379997026077</v>
      </c>
      <c r="M78" s="28">
        <v>23223.858835556006</v>
      </c>
      <c r="N78" s="28">
        <v>24171.929788013396</v>
      </c>
      <c r="O78" s="28">
        <v>26025.6084512407</v>
      </c>
      <c r="P78" s="28">
        <v>27652.910832915994</v>
      </c>
      <c r="Q78" s="28">
        <v>29380.853362374779</v>
      </c>
      <c r="R78" s="28">
        <v>31484.452901716835</v>
      </c>
      <c r="S78" s="28"/>
      <c r="T78" s="45"/>
      <c r="U78" s="45"/>
      <c r="V78" s="45"/>
      <c r="W78" s="28"/>
      <c r="X78" s="28"/>
      <c r="AF78" s="28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X78" s="16"/>
      <c r="AY78" s="16"/>
      <c r="AZ78" s="16"/>
    </row>
    <row r="79" spans="1:52" ht="15.75" x14ac:dyDescent="0.25">
      <c r="A79" s="9" t="s">
        <v>64</v>
      </c>
      <c r="B79" s="28">
        <v>14935</v>
      </c>
      <c r="C79" s="28">
        <v>15549.800744916101</v>
      </c>
      <c r="D79" s="28">
        <v>15576.912332645988</v>
      </c>
      <c r="E79" s="28">
        <v>15671.342951084196</v>
      </c>
      <c r="F79" s="28">
        <v>16231.101003802181</v>
      </c>
      <c r="G79" s="28">
        <v>16972.195115729432</v>
      </c>
      <c r="H79" s="28">
        <v>17101.634138984264</v>
      </c>
      <c r="I79" s="28">
        <v>17712.42715885818</v>
      </c>
      <c r="J79" s="28">
        <v>18545.583499957895</v>
      </c>
      <c r="K79" s="28">
        <v>18600.112732509086</v>
      </c>
      <c r="L79" s="28">
        <v>18815.024678826267</v>
      </c>
      <c r="M79" s="28">
        <v>19193.329419953028</v>
      </c>
      <c r="N79" s="28">
        <v>19862.037302477205</v>
      </c>
      <c r="O79" s="28">
        <v>20150.158945525582</v>
      </c>
      <c r="P79" s="28">
        <v>20629.705247942802</v>
      </c>
      <c r="Q79" s="28">
        <v>21437.687395659421</v>
      </c>
      <c r="R79" s="28">
        <v>22687.116869254016</v>
      </c>
      <c r="S79" s="28"/>
      <c r="T79" s="45"/>
      <c r="U79" s="45"/>
      <c r="V79" s="45"/>
      <c r="W79" s="28"/>
      <c r="X79" s="28"/>
      <c r="AF79" s="28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X79" s="16"/>
      <c r="AY79" s="16"/>
      <c r="AZ79" s="16"/>
    </row>
    <row r="80" spans="1:52" ht="15.75" x14ac:dyDescent="0.25">
      <c r="A80" s="9" t="s">
        <v>66</v>
      </c>
      <c r="B80" s="28">
        <v>11642</v>
      </c>
      <c r="C80" s="28">
        <v>12568.689644870265</v>
      </c>
      <c r="D80" s="28">
        <v>13377.529160382888</v>
      </c>
      <c r="E80" s="28">
        <v>13997.522494272738</v>
      </c>
      <c r="F80" s="28">
        <v>14276.673698261766</v>
      </c>
      <c r="G80" s="28">
        <v>14246.986930798117</v>
      </c>
      <c r="H80" s="28">
        <v>14844.466459867412</v>
      </c>
      <c r="I80" s="28">
        <v>14872.116665878051</v>
      </c>
      <c r="J80" s="28">
        <v>14965.942044622556</v>
      </c>
      <c r="K80" s="28">
        <v>15511.947210316881</v>
      </c>
      <c r="L80" s="28">
        <v>16237.136898719806</v>
      </c>
      <c r="M80" s="28">
        <v>16366.515970334494</v>
      </c>
      <c r="N80" s="28">
        <v>16956.089413694368</v>
      </c>
      <c r="O80" s="28">
        <v>17769.862348735551</v>
      </c>
      <c r="P80" s="28">
        <v>17820.840030258136</v>
      </c>
      <c r="Q80" s="28">
        <v>18034.027851478651</v>
      </c>
      <c r="R80" s="28">
        <v>18398.431347676044</v>
      </c>
      <c r="S80" s="28"/>
      <c r="T80" s="45"/>
      <c r="U80" s="45"/>
      <c r="V80" s="45"/>
      <c r="W80" s="28"/>
      <c r="X80" s="28"/>
      <c r="AF80" s="28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X80" s="16"/>
      <c r="AY80" s="16"/>
      <c r="AZ80" s="16"/>
    </row>
    <row r="81" spans="1:52" ht="15.75" x14ac:dyDescent="0.25">
      <c r="A81" s="9" t="s">
        <v>68</v>
      </c>
      <c r="B81" s="28">
        <v>6213</v>
      </c>
      <c r="C81" s="28">
        <v>6681.6604357958176</v>
      </c>
      <c r="D81" s="28">
        <v>7571.39094999385</v>
      </c>
      <c r="E81" s="28">
        <v>8570.1933885256785</v>
      </c>
      <c r="F81" s="28">
        <v>9642.0696459464743</v>
      </c>
      <c r="G81" s="28">
        <v>10931.021666715787</v>
      </c>
      <c r="H81" s="28">
        <v>11819.051446512076</v>
      </c>
      <c r="I81" s="28">
        <v>12592.161033581866</v>
      </c>
      <c r="J81" s="28">
        <v>13195.352530124435</v>
      </c>
      <c r="K81" s="28">
        <v>13463.628093712985</v>
      </c>
      <c r="L81" s="28">
        <v>13437.989938753242</v>
      </c>
      <c r="M81" s="28">
        <v>14023.440337980481</v>
      </c>
      <c r="N81" s="28">
        <v>14058.981623995976</v>
      </c>
      <c r="O81" s="28">
        <v>14156.616190843939</v>
      </c>
      <c r="P81" s="28">
        <v>14684.346495629961</v>
      </c>
      <c r="Q81" s="28">
        <v>15391.175060182148</v>
      </c>
      <c r="R81" s="28">
        <v>15521.104472755927</v>
      </c>
      <c r="S81" s="28"/>
      <c r="T81" s="45"/>
      <c r="U81" s="45"/>
      <c r="V81" s="45"/>
      <c r="W81" s="28"/>
      <c r="X81" s="28"/>
      <c r="AF81" s="28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X81" s="16"/>
      <c r="AY81" s="16"/>
      <c r="AZ81" s="16"/>
    </row>
    <row r="82" spans="1:52" ht="15.75" x14ac:dyDescent="0.25">
      <c r="A82" s="9" t="s">
        <v>70</v>
      </c>
      <c r="B82" s="28">
        <v>4851</v>
      </c>
      <c r="C82" s="28">
        <v>5040.1063198358843</v>
      </c>
      <c r="D82" s="28">
        <v>5117.2417811855612</v>
      </c>
      <c r="E82" s="28">
        <v>5262.4071516641434</v>
      </c>
      <c r="F82" s="28">
        <v>5392.6032191064551</v>
      </c>
      <c r="G82" s="28">
        <v>5630.830792099634</v>
      </c>
      <c r="H82" s="28">
        <v>6080.090700529774</v>
      </c>
      <c r="I82" s="28">
        <v>6906.3837961429545</v>
      </c>
      <c r="J82" s="28">
        <v>7838.7109531210526</v>
      </c>
      <c r="K82" s="28">
        <v>8836.0730686727256</v>
      </c>
      <c r="L82" s="28">
        <v>10048.471063639961</v>
      </c>
      <c r="M82" s="28">
        <v>10877.905883120597</v>
      </c>
      <c r="N82" s="28">
        <v>11608.378497107238</v>
      </c>
      <c r="O82" s="28">
        <v>12179.889901143022</v>
      </c>
      <c r="P82" s="28">
        <v>12438.441116994638</v>
      </c>
      <c r="Q82" s="28">
        <v>12426.033193343072</v>
      </c>
      <c r="R82" s="28">
        <v>12990.667206492564</v>
      </c>
      <c r="S82" s="28"/>
      <c r="T82" s="45"/>
      <c r="U82" s="45"/>
      <c r="V82" s="45"/>
      <c r="W82" s="28"/>
      <c r="X82" s="28"/>
      <c r="AF82" s="28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X82" s="16"/>
      <c r="AY82" s="16"/>
      <c r="AZ82" s="16"/>
    </row>
    <row r="83" spans="1:52" ht="15.75" x14ac:dyDescent="0.25">
      <c r="A83" s="9" t="s">
        <v>72</v>
      </c>
      <c r="B83" s="28">
        <v>4829</v>
      </c>
      <c r="C83" s="28">
        <v>4633.3951142271017</v>
      </c>
      <c r="D83" s="28">
        <v>4463.8006361377002</v>
      </c>
      <c r="E83" s="28">
        <v>4292.2168398800513</v>
      </c>
      <c r="F83" s="28">
        <v>4198.6440068237334</v>
      </c>
      <c r="G83" s="28">
        <v>4155.0824257498698</v>
      </c>
      <c r="H83" s="28">
        <v>4330.5323930463474</v>
      </c>
      <c r="I83" s="28">
        <v>4401.9942129081974</v>
      </c>
      <c r="J83" s="28">
        <v>4534.4681975432331</v>
      </c>
      <c r="K83" s="28">
        <v>4661.9546673831164</v>
      </c>
      <c r="L83" s="28">
        <v>4873.4539512999863</v>
      </c>
      <c r="M83" s="28">
        <v>5284.9663868287844</v>
      </c>
      <c r="N83" s="28">
        <v>6038.4923203954422</v>
      </c>
      <c r="O83" s="28">
        <v>6886.0321075510801</v>
      </c>
      <c r="P83" s="28">
        <v>7785.5861132123709</v>
      </c>
      <c r="Q83" s="28">
        <v>8871.1547119082388</v>
      </c>
      <c r="R83" s="28">
        <v>9620.7382880330588</v>
      </c>
      <c r="S83" s="28"/>
      <c r="T83" s="45"/>
      <c r="U83" s="45"/>
      <c r="V83" s="45"/>
      <c r="W83" s="28"/>
      <c r="X83" s="28"/>
      <c r="AF83" s="28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X83" s="16"/>
      <c r="AY83" s="16"/>
      <c r="AZ83" s="16"/>
    </row>
    <row r="84" spans="1:52" ht="15.75" x14ac:dyDescent="0.25">
      <c r="A84" s="9" t="s">
        <v>74</v>
      </c>
      <c r="B84" s="28">
        <v>3719</v>
      </c>
      <c r="C84" s="28">
        <v>3784.1317047423672</v>
      </c>
      <c r="D84" s="28">
        <v>3838.2668787125667</v>
      </c>
      <c r="E84" s="28">
        <v>3899.4056132933501</v>
      </c>
      <c r="F84" s="28">
        <v>3843.5480022745778</v>
      </c>
      <c r="G84" s="28">
        <v>3796.6941419166233</v>
      </c>
      <c r="H84" s="28">
        <v>3653.8441310154494</v>
      </c>
      <c r="I84" s="28">
        <v>3523.9980709693991</v>
      </c>
      <c r="J84" s="28">
        <v>3400.1560658477447</v>
      </c>
      <c r="K84" s="28">
        <v>3330.3182224610391</v>
      </c>
      <c r="L84" s="28">
        <v>3309.4846504333291</v>
      </c>
      <c r="M84" s="28">
        <v>3466.6554622762615</v>
      </c>
      <c r="N84" s="28">
        <v>3532.8307734651476</v>
      </c>
      <c r="O84" s="28">
        <v>3646.0107025170264</v>
      </c>
      <c r="P84" s="28">
        <v>3763.1953710707903</v>
      </c>
      <c r="Q84" s="28">
        <v>3950.3849039694132</v>
      </c>
      <c r="R84" s="28">
        <v>4311.5794293443523</v>
      </c>
      <c r="S84" s="28"/>
      <c r="T84" s="45"/>
      <c r="U84" s="45"/>
      <c r="V84" s="45"/>
      <c r="W84" s="28"/>
      <c r="X84" s="28"/>
      <c r="AF84" s="28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X84" s="16"/>
      <c r="AY84" s="16"/>
      <c r="AZ84" s="16"/>
    </row>
    <row r="85" spans="1:52" ht="15.75" x14ac:dyDescent="0.25">
      <c r="A85" s="20" t="s">
        <v>76</v>
      </c>
      <c r="B85" s="29">
        <v>2978</v>
      </c>
      <c r="C85" s="29">
        <v>3171.0263409484733</v>
      </c>
      <c r="D85" s="29">
        <v>3372.0533757425133</v>
      </c>
      <c r="E85" s="29">
        <v>3555.0811226586702</v>
      </c>
      <c r="F85" s="29">
        <v>3760.1096004549154</v>
      </c>
      <c r="G85" s="29">
        <v>3955.1388283833248</v>
      </c>
      <c r="H85" s="29">
        <v>4113.1688262030893</v>
      </c>
      <c r="I85" s="29">
        <v>4265.1996141938798</v>
      </c>
      <c r="J85" s="29">
        <v>4412.2312131695489</v>
      </c>
      <c r="K85" s="29">
        <v>4499.2636444922082</v>
      </c>
      <c r="L85" s="29">
        <v>4592.2969300866662</v>
      </c>
      <c r="M85" s="29">
        <v>4586.3310924552525</v>
      </c>
      <c r="N85" s="29">
        <v>4599.3661546930289</v>
      </c>
      <c r="O85" s="29">
        <v>4627.4021405034055</v>
      </c>
      <c r="P85" s="29">
        <v>4654.4390742141586</v>
      </c>
      <c r="Q85" s="29">
        <v>4723.4769807938828</v>
      </c>
      <c r="R85" s="29">
        <v>4858.5158858688701</v>
      </c>
      <c r="S85" s="28"/>
      <c r="T85" s="45"/>
      <c r="U85" s="45"/>
      <c r="V85" s="45"/>
      <c r="W85" s="28"/>
      <c r="X85" s="28"/>
      <c r="AF85" s="28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X85" s="16"/>
      <c r="AY85" s="16"/>
      <c r="AZ85" s="16"/>
    </row>
    <row r="86" spans="1:52" ht="15.75" x14ac:dyDescent="0.2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45"/>
      <c r="U86" s="45"/>
      <c r="V86" s="45"/>
      <c r="W86" s="22"/>
      <c r="X86" s="22"/>
      <c r="AF86" s="22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X86" s="16"/>
      <c r="AY86" s="16"/>
      <c r="AZ86" s="16"/>
    </row>
    <row r="87" spans="1:52" ht="15.75" x14ac:dyDescent="0.25">
      <c r="A87" s="8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45"/>
      <c r="U87" s="45"/>
      <c r="V87" s="45"/>
      <c r="W87" s="22"/>
      <c r="X87" s="22"/>
      <c r="AF87" s="22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X87" s="16"/>
      <c r="AY87" s="16"/>
      <c r="AZ87" s="16"/>
    </row>
    <row r="88" spans="1:52" ht="15.75" x14ac:dyDescent="0.25">
      <c r="A88" s="23" t="s">
        <v>78</v>
      </c>
      <c r="B88" s="27">
        <f>SUM(B89:B105)</f>
        <v>172686</v>
      </c>
      <c r="C88" s="27">
        <f t="shared" ref="C88:R88" si="4">SUM(C89:C105)</f>
        <v>176221.64879399445</v>
      </c>
      <c r="D88" s="27">
        <f t="shared" si="4"/>
        <v>179769.48132790686</v>
      </c>
      <c r="E88" s="27">
        <f t="shared" si="4"/>
        <v>183309.7395101572</v>
      </c>
      <c r="F88" s="27">
        <f t="shared" si="4"/>
        <v>186856.67162126265</v>
      </c>
      <c r="G88" s="27">
        <f t="shared" si="4"/>
        <v>190393.53248168467</v>
      </c>
      <c r="H88" s="27">
        <f t="shared" si="4"/>
        <v>193939.58362409749</v>
      </c>
      <c r="I88" s="27">
        <f t="shared" si="4"/>
        <v>197434.09347019394</v>
      </c>
      <c r="J88" s="27">
        <f t="shared" si="4"/>
        <v>200892.33751214881</v>
      </c>
      <c r="K88" s="27">
        <f t="shared" si="4"/>
        <v>204291.59849886212</v>
      </c>
      <c r="L88" s="27">
        <f t="shared" si="4"/>
        <v>207642.16662710815</v>
      </c>
      <c r="M88" s="27">
        <f t="shared" si="4"/>
        <v>210931.3397377193</v>
      </c>
      <c r="N88" s="27">
        <f t="shared" si="4"/>
        <v>214149.4235169382</v>
      </c>
      <c r="O88" s="27">
        <f t="shared" si="4"/>
        <v>217317.73170307279</v>
      </c>
      <c r="P88" s="27">
        <f t="shared" si="4"/>
        <v>220448.58629859582</v>
      </c>
      <c r="Q88" s="27">
        <f t="shared" si="4"/>
        <v>223574.31778783057</v>
      </c>
      <c r="R88" s="27">
        <f t="shared" si="4"/>
        <v>226642.26536037083</v>
      </c>
      <c r="S88" s="33"/>
      <c r="T88" s="45"/>
      <c r="U88" s="45"/>
      <c r="V88" s="45"/>
      <c r="AF88" s="33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X88" s="16"/>
      <c r="AY88" s="16"/>
      <c r="AZ88" s="16"/>
    </row>
    <row r="89" spans="1:52" ht="15.75" x14ac:dyDescent="0.25">
      <c r="A89" s="19" t="s">
        <v>44</v>
      </c>
      <c r="B89" s="28">
        <v>18753</v>
      </c>
      <c r="C89" s="28">
        <v>18961.079022845421</v>
      </c>
      <c r="D89" s="28">
        <v>18975.16012722754</v>
      </c>
      <c r="E89" s="28">
        <v>19040.243367976011</v>
      </c>
      <c r="F89" s="28">
        <v>19357.328801364747</v>
      </c>
      <c r="G89" s="28">
        <v>19724.416485149974</v>
      </c>
      <c r="H89" s="28">
        <v>19710.50647860927</v>
      </c>
      <c r="I89" s="28">
        <v>19653.598842581639</v>
      </c>
      <c r="J89" s="28">
        <v>19560.693639508645</v>
      </c>
      <c r="K89" s="28">
        <v>19411.790933476623</v>
      </c>
      <c r="L89" s="28">
        <v>19203.890790259997</v>
      </c>
      <c r="M89" s="28">
        <v>18946.993277365757</v>
      </c>
      <c r="N89" s="28">
        <v>18659.098464079088</v>
      </c>
      <c r="O89" s="28">
        <v>18359.206421510215</v>
      </c>
      <c r="P89" s="28">
        <v>18072.317222642476</v>
      </c>
      <c r="Q89" s="28">
        <v>17822.430942381648</v>
      </c>
      <c r="R89" s="28">
        <v>17612.54765760661</v>
      </c>
      <c r="S89" s="28"/>
      <c r="T89" s="45"/>
      <c r="U89" s="45"/>
      <c r="V89" s="45"/>
      <c r="AF89" s="28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X89" s="16"/>
      <c r="AY89" s="16"/>
      <c r="AZ89" s="16"/>
    </row>
    <row r="90" spans="1:52" ht="15.75" x14ac:dyDescent="0.25">
      <c r="A90" s="17" t="s">
        <v>46</v>
      </c>
      <c r="B90" s="28">
        <v>16265</v>
      </c>
      <c r="C90" s="28">
        <v>17199.131704742365</v>
      </c>
      <c r="D90" s="28">
        <v>18085.266878712566</v>
      </c>
      <c r="E90" s="28">
        <v>18673.405613293351</v>
      </c>
      <c r="F90" s="28">
        <v>18710.54800227458</v>
      </c>
      <c r="G90" s="28">
        <v>18614.694141916621</v>
      </c>
      <c r="H90" s="28">
        <v>18821.844131015449</v>
      </c>
      <c r="I90" s="28">
        <v>18841.998070969399</v>
      </c>
      <c r="J90" s="28">
        <v>18909.156065847743</v>
      </c>
      <c r="K90" s="28">
        <v>19228.318222461039</v>
      </c>
      <c r="L90" s="28">
        <v>19597.484650433329</v>
      </c>
      <c r="M90" s="28">
        <v>19588.65546227626</v>
      </c>
      <c r="N90" s="28">
        <v>19535.830773465146</v>
      </c>
      <c r="O90" s="28">
        <v>19444.010702517025</v>
      </c>
      <c r="P90" s="28">
        <v>19297.195371070789</v>
      </c>
      <c r="Q90" s="28">
        <v>19096.384903969414</v>
      </c>
      <c r="R90" s="28">
        <v>18841.579429344354</v>
      </c>
      <c r="S90" s="28"/>
      <c r="T90" s="45"/>
      <c r="U90" s="45"/>
      <c r="V90" s="45"/>
      <c r="AF90" s="28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X90" s="16"/>
      <c r="AY90" s="16"/>
      <c r="AZ90" s="16"/>
    </row>
    <row r="91" spans="1:52" ht="15.75" x14ac:dyDescent="0.25">
      <c r="A91" s="17" t="s">
        <v>48</v>
      </c>
      <c r="B91" s="28">
        <v>13477</v>
      </c>
      <c r="C91" s="28">
        <v>13327.105363793893</v>
      </c>
      <c r="D91" s="28">
        <v>13539.213502970053</v>
      </c>
      <c r="E91" s="28">
        <v>14179.324490634681</v>
      </c>
      <c r="F91" s="28">
        <v>15190.438401819662</v>
      </c>
      <c r="G91" s="28">
        <v>16219.555313533299</v>
      </c>
      <c r="H91" s="28">
        <v>17148.675304812361</v>
      </c>
      <c r="I91" s="28">
        <v>18038.798456775519</v>
      </c>
      <c r="J91" s="28">
        <v>18626.924852678196</v>
      </c>
      <c r="K91" s="28">
        <v>18666.054577968833</v>
      </c>
      <c r="L91" s="28">
        <v>18569.187720346665</v>
      </c>
      <c r="M91" s="28">
        <v>18778.32436982101</v>
      </c>
      <c r="N91" s="28">
        <v>18793.464618772119</v>
      </c>
      <c r="O91" s="28">
        <v>18863.608562013622</v>
      </c>
      <c r="P91" s="28">
        <v>19184.756296856631</v>
      </c>
      <c r="Q91" s="28">
        <v>19551.907923175531</v>
      </c>
      <c r="R91" s="28">
        <v>19544.063543475484</v>
      </c>
      <c r="S91" s="28"/>
      <c r="T91" s="45"/>
      <c r="U91" s="45"/>
      <c r="V91" s="45"/>
      <c r="AF91" s="28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X91" s="16"/>
      <c r="AY91" s="16"/>
      <c r="AZ91" s="16"/>
    </row>
    <row r="92" spans="1:52" ht="15.75" x14ac:dyDescent="0.25">
      <c r="A92" s="17" t="s">
        <v>50</v>
      </c>
      <c r="B92" s="28">
        <v>15704</v>
      </c>
      <c r="C92" s="28">
        <v>15766.361553169971</v>
      </c>
      <c r="D92" s="28">
        <v>15451.259448962832</v>
      </c>
      <c r="E92" s="28">
        <v>14920.707815151975</v>
      </c>
      <c r="F92" s="28">
        <v>14505.721151649745</v>
      </c>
      <c r="G92" s="28">
        <v>14451.314340309933</v>
      </c>
      <c r="H92" s="28">
        <v>14330.502654988468</v>
      </c>
      <c r="I92" s="28">
        <v>14567.301771869137</v>
      </c>
      <c r="J92" s="28">
        <v>15233.727780061274</v>
      </c>
      <c r="K92" s="28">
        <v>16272.797192476612</v>
      </c>
      <c r="L92" s="28">
        <v>17325.526956992642</v>
      </c>
      <c r="M92" s="28">
        <v>18287.934467910021</v>
      </c>
      <c r="N92" s="28">
        <v>19203.037577711788</v>
      </c>
      <c r="O92" s="28">
        <v>19819.854609132311</v>
      </c>
      <c r="P92" s="28">
        <v>19887.404367544168</v>
      </c>
      <c r="Q92" s="28">
        <v>19822.706153671283</v>
      </c>
      <c r="R92" s="28">
        <v>20066.779776636948</v>
      </c>
      <c r="S92" s="28"/>
      <c r="T92" s="45"/>
      <c r="U92" s="45"/>
      <c r="V92" s="45"/>
      <c r="AF92" s="28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X92" s="16"/>
      <c r="AY92" s="16"/>
      <c r="AZ92" s="16"/>
    </row>
    <row r="93" spans="1:52" ht="15.75" x14ac:dyDescent="0.25">
      <c r="A93" s="17" t="s">
        <v>52</v>
      </c>
      <c r="B93" s="28">
        <v>18739</v>
      </c>
      <c r="C93" s="28">
        <v>18542.849931284902</v>
      </c>
      <c r="D93" s="28">
        <v>18687.092935928595</v>
      </c>
      <c r="E93" s="28">
        <v>19067.792049753116</v>
      </c>
      <c r="F93" s="28">
        <v>19148.011969003841</v>
      </c>
      <c r="G93" s="28">
        <v>19043.819094086619</v>
      </c>
      <c r="H93" s="28">
        <v>19197.281574456956</v>
      </c>
      <c r="I93" s="28">
        <v>18968.469354691664</v>
      </c>
      <c r="J93" s="28">
        <v>18531.454221774042</v>
      </c>
      <c r="K93" s="28">
        <v>18209.309853624622</v>
      </c>
      <c r="L93" s="28">
        <v>18254.111868910244</v>
      </c>
      <c r="M93" s="28">
        <v>18228.93787816515</v>
      </c>
      <c r="N93" s="28">
        <v>18566.867536258673</v>
      </c>
      <c r="O93" s="28">
        <v>19337.982596244947</v>
      </c>
      <c r="P93" s="28">
        <v>20477.366964631095</v>
      </c>
      <c r="Q93" s="28">
        <v>21646.106758101228</v>
      </c>
      <c r="R93" s="28">
        <v>22716.290361734587</v>
      </c>
      <c r="S93" s="28"/>
      <c r="T93" s="45"/>
      <c r="U93" s="45"/>
      <c r="V93" s="45"/>
      <c r="AF93" s="28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X93" s="16"/>
      <c r="AY93" s="16"/>
      <c r="AZ93" s="16"/>
    </row>
    <row r="94" spans="1:52" ht="15.75" x14ac:dyDescent="0.25">
      <c r="A94" s="17" t="s">
        <v>54</v>
      </c>
      <c r="B94" s="28">
        <v>19116</v>
      </c>
      <c r="C94" s="28">
        <v>19054.287210947052</v>
      </c>
      <c r="D94" s="28">
        <v>18994.689263180735</v>
      </c>
      <c r="E94" s="28">
        <v>18792.261863626412</v>
      </c>
      <c r="F94" s="28">
        <v>18841.062186582694</v>
      </c>
      <c r="G94" s="28">
        <v>18815.148912373446</v>
      </c>
      <c r="H94" s="28">
        <v>18622.582267017919</v>
      </c>
      <c r="I94" s="28">
        <v>18763.424062945836</v>
      </c>
      <c r="J94" s="28">
        <v>19147.737740784945</v>
      </c>
      <c r="K94" s="28">
        <v>19228.588412249304</v>
      </c>
      <c r="L94" s="28">
        <v>19128.042904157272</v>
      </c>
      <c r="M94" s="28">
        <v>19283.16980360898</v>
      </c>
      <c r="N94" s="28">
        <v>19058.039504353852</v>
      </c>
      <c r="O94" s="28">
        <v>18622.724254379413</v>
      </c>
      <c r="P94" s="28">
        <v>18306.298204753723</v>
      </c>
      <c r="Q94" s="28">
        <v>18353.83745975429</v>
      </c>
      <c r="R94" s="28">
        <v>18331.420128317488</v>
      </c>
      <c r="S94" s="28"/>
      <c r="T94" s="45"/>
      <c r="U94" s="45"/>
      <c r="V94" s="45"/>
      <c r="AF94" s="28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X94" s="16"/>
      <c r="AY94" s="16"/>
      <c r="AZ94" s="16"/>
    </row>
    <row r="95" spans="1:52" ht="15.75" x14ac:dyDescent="0.25">
      <c r="A95" s="17" t="s">
        <v>56</v>
      </c>
      <c r="B95" s="28">
        <v>15303</v>
      </c>
      <c r="C95" s="28">
        <v>16271.685721114847</v>
      </c>
      <c r="D95" s="28">
        <v>17168.864597888758</v>
      </c>
      <c r="E95" s="28">
        <v>17693.57596145802</v>
      </c>
      <c r="F95" s="28">
        <v>18358.860178978335</v>
      </c>
      <c r="G95" s="28">
        <v>18471.758680914587</v>
      </c>
      <c r="H95" s="28">
        <v>18395.313989049399</v>
      </c>
      <c r="I95" s="28">
        <v>18318.569745229473</v>
      </c>
      <c r="J95" s="28">
        <v>18103.57074086916</v>
      </c>
      <c r="K95" s="28">
        <v>18136.362947231137</v>
      </c>
      <c r="L95" s="28">
        <v>18090.993546504738</v>
      </c>
      <c r="M95" s="28">
        <v>17876.510963702931</v>
      </c>
      <c r="N95" s="28">
        <v>18006.964899399438</v>
      </c>
      <c r="O95" s="28">
        <v>18371.406363328246</v>
      </c>
      <c r="P95" s="28">
        <v>18429.887708868111</v>
      </c>
      <c r="Q95" s="28">
        <v>18314.462668435444</v>
      </c>
      <c r="R95" s="28">
        <v>18446.18638980946</v>
      </c>
      <c r="S95" s="28"/>
      <c r="T95" s="45"/>
      <c r="U95" s="45"/>
      <c r="V95" s="45"/>
      <c r="AF95" s="28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X95" s="16"/>
      <c r="AY95" s="16"/>
      <c r="AZ95" s="16"/>
    </row>
    <row r="96" spans="1:52" ht="15.75" x14ac:dyDescent="0.25">
      <c r="A96" s="9" t="s">
        <v>58</v>
      </c>
      <c r="B96" s="28">
        <v>11273</v>
      </c>
      <c r="C96" s="28">
        <v>11861.270530005939</v>
      </c>
      <c r="D96" s="28">
        <v>12279.470119225396</v>
      </c>
      <c r="E96" s="28">
        <v>13073.623239959241</v>
      </c>
      <c r="F96" s="28">
        <v>13804.755009131964</v>
      </c>
      <c r="G96" s="28">
        <v>14631.891205271668</v>
      </c>
      <c r="H96" s="28">
        <v>15582.058285937335</v>
      </c>
      <c r="I96" s="28">
        <v>16462.283405605143</v>
      </c>
      <c r="J96" s="28">
        <v>16967.594434025934</v>
      </c>
      <c r="K96" s="28">
        <v>17611.019975066214</v>
      </c>
      <c r="L96" s="28">
        <v>17709.589386045467</v>
      </c>
      <c r="M96" s="28">
        <v>17616.332797582818</v>
      </c>
      <c r="N96" s="28">
        <v>17520.281133966473</v>
      </c>
      <c r="O96" s="28">
        <v>17285.466134059723</v>
      </c>
      <c r="P96" s="28">
        <v>17299.92037275762</v>
      </c>
      <c r="Q96" s="28">
        <v>17232.677283008856</v>
      </c>
      <c r="R96" s="28">
        <v>16998.77117841769</v>
      </c>
      <c r="S96" s="28"/>
      <c r="T96" s="45"/>
      <c r="U96" s="45"/>
      <c r="V96" s="45"/>
      <c r="AD96" s="28"/>
      <c r="AE96" s="28"/>
      <c r="AF96" s="28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X96" s="16"/>
      <c r="AY96" s="16"/>
      <c r="AZ96" s="16"/>
    </row>
    <row r="97" spans="1:52" ht="15.75" x14ac:dyDescent="0.25">
      <c r="A97" s="9" t="s">
        <v>60</v>
      </c>
      <c r="B97" s="28">
        <v>9755</v>
      </c>
      <c r="C97" s="28">
        <v>9943.3146075249679</v>
      </c>
      <c r="D97" s="28">
        <v>10296.322366770852</v>
      </c>
      <c r="E97" s="28">
        <v>10447.041536011413</v>
      </c>
      <c r="F97" s="28">
        <v>10647.490854460666</v>
      </c>
      <c r="G97" s="28">
        <v>11020.689554941297</v>
      </c>
      <c r="H97" s="28">
        <v>11605.657376886778</v>
      </c>
      <c r="I97" s="28">
        <v>12015.414579685988</v>
      </c>
      <c r="J97" s="28">
        <v>12800.981956379317</v>
      </c>
      <c r="K97" s="28">
        <v>13522.380847715569</v>
      </c>
      <c r="L97" s="28">
        <v>14345.633156579106</v>
      </c>
      <c r="M97" s="28">
        <v>15282.761362797039</v>
      </c>
      <c r="N97" s="28">
        <v>16153.788538336448</v>
      </c>
      <c r="O97" s="28">
        <v>16650.738362901913</v>
      </c>
      <c r="P97" s="28">
        <v>17289.635139943886</v>
      </c>
      <c r="Q97" s="28">
        <v>17379.503813088759</v>
      </c>
      <c r="R97" s="28">
        <v>17280.369983001696</v>
      </c>
      <c r="S97" s="28"/>
      <c r="T97" s="45"/>
      <c r="U97" s="45"/>
      <c r="V97" s="45"/>
      <c r="AD97" s="28"/>
      <c r="AE97" s="28"/>
      <c r="AF97" s="28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X97" s="16"/>
      <c r="AY97" s="16"/>
      <c r="AZ97" s="16"/>
    </row>
    <row r="98" spans="1:52" ht="15.75" x14ac:dyDescent="0.25">
      <c r="A98" s="9" t="s">
        <v>62</v>
      </c>
      <c r="B98" s="28">
        <v>8747</v>
      </c>
      <c r="C98" s="28">
        <v>8732.2269803016316</v>
      </c>
      <c r="D98" s="28">
        <v>8997.9077356037415</v>
      </c>
      <c r="E98" s="28">
        <v>9347.054218770234</v>
      </c>
      <c r="F98" s="28">
        <v>9302.6786975147916</v>
      </c>
      <c r="G98" s="28">
        <v>9382.7937626943021</v>
      </c>
      <c r="H98" s="28">
        <v>9567.4123368207747</v>
      </c>
      <c r="I98" s="28">
        <v>9913.5476827974326</v>
      </c>
      <c r="J98" s="28">
        <v>10051.213412884959</v>
      </c>
      <c r="K98" s="28">
        <v>10245.423497903887</v>
      </c>
      <c r="L98" s="28">
        <v>10610.192276679414</v>
      </c>
      <c r="M98" s="28">
        <v>11181.534465734998</v>
      </c>
      <c r="N98" s="28">
        <v>11581.465169241279</v>
      </c>
      <c r="O98" s="28">
        <v>12355.999889227078</v>
      </c>
      <c r="P98" s="28">
        <v>13065.154536059361</v>
      </c>
      <c r="Q98" s="28">
        <v>13871.945439199248</v>
      </c>
      <c r="R98" s="28">
        <v>14798.389358241351</v>
      </c>
      <c r="S98" s="28"/>
      <c r="T98" s="45"/>
      <c r="U98" s="45"/>
      <c r="V98" s="45"/>
      <c r="AD98" s="28"/>
      <c r="AE98" s="28"/>
      <c r="AF98" s="28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X98" s="16"/>
      <c r="AY98" s="16"/>
      <c r="AZ98" s="16"/>
    </row>
    <row r="99" spans="1:52" ht="15.75" x14ac:dyDescent="0.25">
      <c r="A99" s="9" t="s">
        <v>64</v>
      </c>
      <c r="B99" s="28">
        <v>7593</v>
      </c>
      <c r="C99" s="28">
        <v>7857.5373354313679</v>
      </c>
      <c r="D99" s="28">
        <v>7740.3785752208541</v>
      </c>
      <c r="E99" s="28">
        <v>7779.5317244974958</v>
      </c>
      <c r="F99" s="28">
        <v>8042.0049992530248</v>
      </c>
      <c r="G99" s="28">
        <v>8383.806831896185</v>
      </c>
      <c r="H99" s="28">
        <v>8366.945876953363</v>
      </c>
      <c r="I99" s="28">
        <v>8630.4310169193814</v>
      </c>
      <c r="J99" s="28">
        <v>8969.2713682624035</v>
      </c>
      <c r="K99" s="28">
        <v>8918.4762875870056</v>
      </c>
      <c r="L99" s="28">
        <v>8998.0553779596084</v>
      </c>
      <c r="M99" s="28">
        <v>9177.0184954005035</v>
      </c>
      <c r="N99" s="28">
        <v>9510.375755546911</v>
      </c>
      <c r="O99" s="28">
        <v>9647.1375404915289</v>
      </c>
      <c r="P99" s="28">
        <v>9833.3145058012233</v>
      </c>
      <c r="Q99" s="28">
        <v>10192.917587720596</v>
      </c>
      <c r="R99" s="28">
        <v>10751.958010565308</v>
      </c>
      <c r="S99" s="28"/>
      <c r="T99" s="45"/>
      <c r="U99" s="45"/>
      <c r="V99" s="45"/>
      <c r="AD99" s="28"/>
      <c r="AE99" s="28"/>
      <c r="AF99" s="28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X99" s="16"/>
      <c r="AY99" s="16"/>
      <c r="AZ99" s="16"/>
    </row>
    <row r="100" spans="1:52" ht="15.75" x14ac:dyDescent="0.25">
      <c r="A100" s="9" t="s">
        <v>66</v>
      </c>
      <c r="B100" s="28">
        <v>6002</v>
      </c>
      <c r="C100" s="28">
        <v>6419.610622024843</v>
      </c>
      <c r="D100" s="28">
        <v>6835.3690331553471</v>
      </c>
      <c r="E100" s="28">
        <v>7061.2791262967276</v>
      </c>
      <c r="F100" s="28">
        <v>7142.3448968970188</v>
      </c>
      <c r="G100" s="28">
        <v>7092.5704456481444</v>
      </c>
      <c r="H100" s="28">
        <v>7345.9599812581419</v>
      </c>
      <c r="I100" s="28">
        <v>7230.5178232964117</v>
      </c>
      <c r="J100" s="28">
        <v>7270.248405113909</v>
      </c>
      <c r="K100" s="28">
        <v>7522.1562768402564</v>
      </c>
      <c r="L100" s="28">
        <v>7851.246108459809</v>
      </c>
      <c r="M100" s="28">
        <v>7833.5226929687378</v>
      </c>
      <c r="N100" s="28">
        <v>8082.9909496152786</v>
      </c>
      <c r="O100" s="28">
        <v>8409.6559272253326</v>
      </c>
      <c r="P100" s="28">
        <v>8356.5228076156636</v>
      </c>
      <c r="Q100" s="28">
        <v>8435.5969090970029</v>
      </c>
      <c r="R100" s="28">
        <v>8602.8836900694314</v>
      </c>
      <c r="S100" s="28"/>
      <c r="T100" s="45"/>
      <c r="U100" s="45"/>
      <c r="V100" s="45"/>
      <c r="AD100" s="28"/>
      <c r="AE100" s="28"/>
      <c r="AF100" s="28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X100" s="16"/>
      <c r="AY100" s="16"/>
      <c r="AZ100" s="16"/>
    </row>
    <row r="101" spans="1:52" ht="15.75" x14ac:dyDescent="0.25">
      <c r="A101" s="9" t="s">
        <v>68</v>
      </c>
      <c r="B101" s="28">
        <v>3307</v>
      </c>
      <c r="C101" s="28">
        <v>3546.5814129503974</v>
      </c>
      <c r="D101" s="28">
        <v>3964.2308227663098</v>
      </c>
      <c r="E101" s="28">
        <v>4442.9500205496679</v>
      </c>
      <c r="F101" s="28">
        <v>4939.7408445817273</v>
      </c>
      <c r="G101" s="28">
        <v>5527.6051815658129</v>
      </c>
      <c r="H101" s="28">
        <v>5922.544967902807</v>
      </c>
      <c r="I101" s="28">
        <v>6318.5621910002274</v>
      </c>
      <c r="J101" s="28">
        <v>6535.6588906157886</v>
      </c>
      <c r="K101" s="28">
        <v>6609.8371602363623</v>
      </c>
      <c r="L101" s="28">
        <v>6565.0991484932456</v>
      </c>
      <c r="M101" s="28">
        <v>6812.4470606147243</v>
      </c>
      <c r="N101" s="28">
        <v>6705.8831599168889</v>
      </c>
      <c r="O101" s="28">
        <v>6743.4097693337217</v>
      </c>
      <c r="P101" s="28">
        <v>6985.0292729874882</v>
      </c>
      <c r="Q101" s="28">
        <v>7301.7441178004992</v>
      </c>
      <c r="R101" s="28">
        <v>7288.5568151493153</v>
      </c>
      <c r="S101" s="28"/>
      <c r="T101" s="45"/>
      <c r="U101" s="45"/>
      <c r="V101" s="45"/>
      <c r="AD101" s="28"/>
      <c r="AE101" s="28"/>
      <c r="AF101" s="28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X101" s="16"/>
      <c r="AY101" s="16"/>
      <c r="AZ101" s="16"/>
    </row>
    <row r="102" spans="1:52" ht="15.75" x14ac:dyDescent="0.25">
      <c r="A102" s="9" t="s">
        <v>70</v>
      </c>
      <c r="B102" s="28">
        <v>2434</v>
      </c>
      <c r="C102" s="28">
        <v>2559.1063198358847</v>
      </c>
      <c r="D102" s="28">
        <v>2600.2417811855612</v>
      </c>
      <c r="E102" s="28">
        <v>2667.4071516641434</v>
      </c>
      <c r="F102" s="28">
        <v>2779.6032191064546</v>
      </c>
      <c r="G102" s="28">
        <v>2935.830792099634</v>
      </c>
      <c r="H102" s="28">
        <v>3163.0907005297745</v>
      </c>
      <c r="I102" s="28">
        <v>3549.3837961429545</v>
      </c>
      <c r="J102" s="28">
        <v>3987.7109531210526</v>
      </c>
      <c r="K102" s="28">
        <v>4445.0730686727265</v>
      </c>
      <c r="L102" s="28">
        <v>4992.4710636399623</v>
      </c>
      <c r="M102" s="28">
        <v>5358.9058831205966</v>
      </c>
      <c r="N102" s="28">
        <v>5729.3784971072382</v>
      </c>
      <c r="O102" s="28">
        <v>5929.8899011430231</v>
      </c>
      <c r="P102" s="28">
        <v>6002.4411169946379</v>
      </c>
      <c r="Q102" s="28">
        <v>5970.0331933430707</v>
      </c>
      <c r="R102" s="28">
        <v>6204.6672064925642</v>
      </c>
      <c r="S102" s="28"/>
      <c r="T102" s="45"/>
      <c r="U102" s="45"/>
      <c r="V102" s="45"/>
      <c r="AD102" s="28"/>
      <c r="AE102" s="28"/>
      <c r="AF102" s="28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X102" s="16"/>
      <c r="AY102" s="16"/>
      <c r="AZ102" s="16"/>
    </row>
    <row r="103" spans="1:52" ht="15.75" x14ac:dyDescent="0.25">
      <c r="A103" s="9" t="s">
        <v>72</v>
      </c>
      <c r="B103" s="28">
        <v>2467</v>
      </c>
      <c r="C103" s="28">
        <v>2353.3687732786284</v>
      </c>
      <c r="D103" s="28">
        <v>2207.7472603951869</v>
      </c>
      <c r="E103" s="28">
        <v>2103.1357172213811</v>
      </c>
      <c r="F103" s="28">
        <v>2064.5344063688181</v>
      </c>
      <c r="G103" s="28">
        <v>2029.9435973665447</v>
      </c>
      <c r="H103" s="28">
        <v>2142.363566843258</v>
      </c>
      <c r="I103" s="28">
        <v>2179.794598714318</v>
      </c>
      <c r="J103" s="28">
        <v>2241.2369843736842</v>
      </c>
      <c r="K103" s="28">
        <v>2345.6910228909087</v>
      </c>
      <c r="L103" s="28">
        <v>2484.1570212133206</v>
      </c>
      <c r="M103" s="28">
        <v>2689.6352943735319</v>
      </c>
      <c r="N103" s="28">
        <v>3036.1261657024129</v>
      </c>
      <c r="O103" s="28">
        <v>3427.6299670476747</v>
      </c>
      <c r="P103" s="28">
        <v>3835.1470389982128</v>
      </c>
      <c r="Q103" s="28">
        <v>4321.6777311143569</v>
      </c>
      <c r="R103" s="28">
        <v>4648.2224021641878</v>
      </c>
      <c r="S103" s="28"/>
      <c r="T103" s="45"/>
      <c r="U103" s="45"/>
      <c r="V103" s="45"/>
      <c r="AD103" s="28"/>
      <c r="AE103" s="28"/>
      <c r="AF103" s="28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X103" s="16"/>
      <c r="AY103" s="16"/>
      <c r="AZ103" s="16"/>
    </row>
    <row r="104" spans="1:52" ht="15.75" x14ac:dyDescent="0.25">
      <c r="A104" s="9" t="s">
        <v>74</v>
      </c>
      <c r="B104" s="28">
        <v>1968</v>
      </c>
      <c r="C104" s="28">
        <v>1946.1053637938937</v>
      </c>
      <c r="D104" s="28">
        <v>1993.2135029700535</v>
      </c>
      <c r="E104" s="28">
        <v>2019.3244906346804</v>
      </c>
      <c r="F104" s="28">
        <v>1936.4384018196624</v>
      </c>
      <c r="G104" s="28">
        <v>1880.5553135332984</v>
      </c>
      <c r="H104" s="28">
        <v>1805.6753048123594</v>
      </c>
      <c r="I104" s="28">
        <v>1694.7984567755195</v>
      </c>
      <c r="J104" s="28">
        <v>1619.9248526781955</v>
      </c>
      <c r="K104" s="28">
        <v>1591.0545779688312</v>
      </c>
      <c r="L104" s="28">
        <v>1569.1877203466631</v>
      </c>
      <c r="M104" s="28">
        <v>1667.3243698210092</v>
      </c>
      <c r="N104" s="28">
        <v>1703.464618772118</v>
      </c>
      <c r="O104" s="28">
        <v>1753.6085620136212</v>
      </c>
      <c r="P104" s="28">
        <v>1844.7562968566322</v>
      </c>
      <c r="Q104" s="28">
        <v>1964.9079231755306</v>
      </c>
      <c r="R104" s="28">
        <v>2144.0635434754822</v>
      </c>
      <c r="S104" s="28"/>
      <c r="T104" s="45"/>
      <c r="U104" s="45"/>
      <c r="V104" s="45"/>
      <c r="AD104" s="28"/>
      <c r="AE104" s="28"/>
      <c r="AF104" s="28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X104" s="16"/>
      <c r="AY104" s="16"/>
      <c r="AZ104" s="16"/>
    </row>
    <row r="105" spans="1:52" ht="15.75" x14ac:dyDescent="0.25">
      <c r="A105" s="20" t="s">
        <v>76</v>
      </c>
      <c r="B105" s="29">
        <v>1783</v>
      </c>
      <c r="C105" s="29">
        <v>1880.0263409484735</v>
      </c>
      <c r="D105" s="29">
        <v>1953.0533757425133</v>
      </c>
      <c r="E105" s="29">
        <v>2001.08112265867</v>
      </c>
      <c r="F105" s="29">
        <v>2085.1096004549154</v>
      </c>
      <c r="G105" s="29">
        <v>2167.1388283833248</v>
      </c>
      <c r="H105" s="29">
        <v>2211.1688262030898</v>
      </c>
      <c r="I105" s="29">
        <v>2287.1996141938798</v>
      </c>
      <c r="J105" s="29">
        <v>2335.2312131695489</v>
      </c>
      <c r="K105" s="29">
        <v>2327.2636444922077</v>
      </c>
      <c r="L105" s="29">
        <v>2347.2969300866657</v>
      </c>
      <c r="M105" s="29">
        <v>2321.3310924552525</v>
      </c>
      <c r="N105" s="29">
        <v>2302.3661546930293</v>
      </c>
      <c r="O105" s="29">
        <v>2295.4021405034055</v>
      </c>
      <c r="P105" s="29">
        <v>2281.4390742141582</v>
      </c>
      <c r="Q105" s="29">
        <v>2295.4769807938828</v>
      </c>
      <c r="R105" s="29">
        <v>2365.5158858688706</v>
      </c>
      <c r="S105" s="28"/>
      <c r="T105" s="45"/>
      <c r="U105" s="45"/>
      <c r="V105" s="45"/>
      <c r="AD105" s="28"/>
      <c r="AE105" s="28"/>
      <c r="AF105" s="28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X105" s="16"/>
      <c r="AY105" s="16"/>
      <c r="AZ105" s="16"/>
    </row>
    <row r="106" spans="1:52" ht="15.75" x14ac:dyDescent="0.2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45"/>
      <c r="U106" s="45"/>
      <c r="V106" s="45"/>
      <c r="W106" s="22"/>
      <c r="X106" s="22"/>
      <c r="AD106" s="22"/>
      <c r="AE106" s="22"/>
      <c r="AF106" s="22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X106" s="16"/>
      <c r="AY106" s="16"/>
      <c r="AZ106" s="16"/>
    </row>
    <row r="107" spans="1:52" ht="15.75" x14ac:dyDescent="0.25">
      <c r="A107" s="8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45"/>
      <c r="U107" s="45"/>
      <c r="V107" s="45"/>
      <c r="W107" s="22"/>
      <c r="X107" s="22"/>
      <c r="AD107" s="22"/>
      <c r="AE107" s="22"/>
      <c r="AF107" s="22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X107" s="16"/>
      <c r="AY107" s="16"/>
      <c r="AZ107" s="16"/>
    </row>
    <row r="108" spans="1:52" ht="15.75" x14ac:dyDescent="0.25">
      <c r="A108" s="23" t="s">
        <v>4</v>
      </c>
      <c r="B108" s="27">
        <f>SUM(B109:B125)</f>
        <v>167075</v>
      </c>
      <c r="C108" s="27">
        <f t="shared" ref="C108:R108" si="5">SUM(C109:C125)</f>
        <v>170155.40467464703</v>
      </c>
      <c r="D108" s="27">
        <f t="shared" si="5"/>
        <v>173235.08341829278</v>
      </c>
      <c r="E108" s="27">
        <f t="shared" si="5"/>
        <v>176298.04345017474</v>
      </c>
      <c r="F108" s="27">
        <f t="shared" si="5"/>
        <v>179319.29217969166</v>
      </c>
      <c r="G108" s="27">
        <f t="shared" si="5"/>
        <v>182345.83721141322</v>
      </c>
      <c r="H108" s="27">
        <f t="shared" si="5"/>
        <v>185330.68635022052</v>
      </c>
      <c r="I108" s="27">
        <f t="shared" si="5"/>
        <v>188261.84760658257</v>
      </c>
      <c r="J108" s="27">
        <f t="shared" si="5"/>
        <v>191147.32920197179</v>
      </c>
      <c r="K108" s="27">
        <f t="shared" si="5"/>
        <v>193974.13957442204</v>
      </c>
      <c r="L108" s="27">
        <f t="shared" si="5"/>
        <v>196734.28738423291</v>
      </c>
      <c r="M108" s="27">
        <f t="shared" si="5"/>
        <v>199417.78151982464</v>
      </c>
      <c r="N108" s="27">
        <f t="shared" si="5"/>
        <v>202000.63110374665</v>
      </c>
      <c r="O108" s="27">
        <f t="shared" si="5"/>
        <v>204551.84549884513</v>
      </c>
      <c r="P108" s="27">
        <f t="shared" si="5"/>
        <v>207047.43431459245</v>
      </c>
      <c r="Q108" s="27">
        <f t="shared" si="5"/>
        <v>209494.4074135836</v>
      </c>
      <c r="R108" s="27">
        <f t="shared" si="5"/>
        <v>211904.77491820382</v>
      </c>
      <c r="S108" s="33"/>
      <c r="T108" s="45"/>
      <c r="U108" s="45"/>
      <c r="V108" s="45"/>
      <c r="W108" s="33"/>
      <c r="X108" s="33"/>
      <c r="AD108" s="33"/>
      <c r="AE108" s="33"/>
      <c r="AF108" s="33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X108" s="16"/>
      <c r="AY108" s="16"/>
      <c r="AZ108" s="16"/>
    </row>
    <row r="109" spans="1:52" ht="15.75" x14ac:dyDescent="0.25">
      <c r="A109" s="19" t="s">
        <v>44</v>
      </c>
      <c r="B109" s="28">
        <v>17090</v>
      </c>
      <c r="C109" s="28">
        <v>17136.079022845421</v>
      </c>
      <c r="D109" s="28">
        <v>17348.16012722754</v>
      </c>
      <c r="E109" s="28">
        <v>17493.243367976011</v>
      </c>
      <c r="F109" s="28">
        <v>17834.328801364747</v>
      </c>
      <c r="G109" s="28">
        <v>18162.416485149974</v>
      </c>
      <c r="H109" s="28">
        <v>18159.50647860927</v>
      </c>
      <c r="I109" s="28">
        <v>18119.598842581639</v>
      </c>
      <c r="J109" s="28">
        <v>18043.693639508645</v>
      </c>
      <c r="K109" s="28">
        <v>17916.790933476623</v>
      </c>
      <c r="L109" s="28">
        <v>17740.890790259997</v>
      </c>
      <c r="M109" s="28">
        <v>17516.993277365757</v>
      </c>
      <c r="N109" s="28">
        <v>17265.098464079088</v>
      </c>
      <c r="O109" s="28">
        <v>16999.206421510215</v>
      </c>
      <c r="P109" s="28">
        <v>16748.317222642476</v>
      </c>
      <c r="Q109" s="28">
        <v>16530.430942381648</v>
      </c>
      <c r="R109" s="28">
        <v>16348.547657606612</v>
      </c>
      <c r="S109" s="28"/>
      <c r="T109" s="45"/>
      <c r="U109" s="45"/>
      <c r="V109" s="45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X109" s="16"/>
      <c r="AY109" s="16"/>
      <c r="AZ109" s="16"/>
    </row>
    <row r="110" spans="1:52" ht="15.75" x14ac:dyDescent="0.25">
      <c r="A110" s="17" t="s">
        <v>46</v>
      </c>
      <c r="B110" s="28">
        <v>15512</v>
      </c>
      <c r="C110" s="28">
        <v>16432.026340948472</v>
      </c>
      <c r="D110" s="28">
        <v>16928.053375742515</v>
      </c>
      <c r="E110" s="28">
        <v>17284.08112265867</v>
      </c>
      <c r="F110" s="28">
        <v>17220.109600454914</v>
      </c>
      <c r="G110" s="28">
        <v>16897.138828383326</v>
      </c>
      <c r="H110" s="28">
        <v>16940.168826203091</v>
      </c>
      <c r="I110" s="28">
        <v>17149.19961419388</v>
      </c>
      <c r="J110" s="28">
        <v>17296.231213169547</v>
      </c>
      <c r="K110" s="28">
        <v>17637.263644492206</v>
      </c>
      <c r="L110" s="28">
        <v>17966.296930086664</v>
      </c>
      <c r="M110" s="28">
        <v>17964.331092455253</v>
      </c>
      <c r="N110" s="28">
        <v>17925.366154693031</v>
      </c>
      <c r="O110" s="28">
        <v>17852.402140503404</v>
      </c>
      <c r="P110" s="28">
        <v>17727.439074214159</v>
      </c>
      <c r="Q110" s="28">
        <v>17551.476980793883</v>
      </c>
      <c r="R110" s="28">
        <v>17330.51588586887</v>
      </c>
      <c r="S110" s="28"/>
      <c r="T110" s="45"/>
      <c r="U110" s="45"/>
      <c r="V110" s="45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X110" s="16"/>
      <c r="AY110" s="16"/>
      <c r="AZ110" s="16"/>
    </row>
    <row r="111" spans="1:52" ht="15.75" x14ac:dyDescent="0.25">
      <c r="A111" s="17" t="s">
        <v>48</v>
      </c>
      <c r="B111" s="28">
        <v>12700</v>
      </c>
      <c r="C111" s="28">
        <v>12630.105363793893</v>
      </c>
      <c r="D111" s="28">
        <v>12856.213502970053</v>
      </c>
      <c r="E111" s="28">
        <v>13477.324490634681</v>
      </c>
      <c r="F111" s="28">
        <v>14419.438401819662</v>
      </c>
      <c r="G111" s="28">
        <v>15422.555313533299</v>
      </c>
      <c r="H111" s="28">
        <v>16342.675304812359</v>
      </c>
      <c r="I111" s="28">
        <v>16835.798456775519</v>
      </c>
      <c r="J111" s="28">
        <v>17190.924852678196</v>
      </c>
      <c r="K111" s="28">
        <v>17124.054577968833</v>
      </c>
      <c r="L111" s="28">
        <v>16802.187720346665</v>
      </c>
      <c r="M111" s="28">
        <v>16847.32436982101</v>
      </c>
      <c r="N111" s="28">
        <v>17051.464618772119</v>
      </c>
      <c r="O111" s="28">
        <v>17195.608562013622</v>
      </c>
      <c r="P111" s="28">
        <v>17533.756296856631</v>
      </c>
      <c r="Q111" s="28">
        <v>17862.907923175531</v>
      </c>
      <c r="R111" s="28">
        <v>17864.063543475484</v>
      </c>
      <c r="S111" s="28"/>
      <c r="T111" s="45"/>
      <c r="U111" s="45"/>
      <c r="V111" s="45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X111" s="16"/>
      <c r="AY111" s="16"/>
      <c r="AZ111" s="16"/>
    </row>
    <row r="112" spans="1:52" ht="15.75" x14ac:dyDescent="0.25">
      <c r="A112" s="17" t="s">
        <v>50</v>
      </c>
      <c r="B112" s="28">
        <v>15222</v>
      </c>
      <c r="C112" s="28">
        <v>14702.000956041991</v>
      </c>
      <c r="D112" s="28">
        <v>14134.028278215508</v>
      </c>
      <c r="E112" s="28">
        <v>13456.082661029463</v>
      </c>
      <c r="F112" s="28">
        <v>13006.164817286792</v>
      </c>
      <c r="G112" s="28">
        <v>12838.275478566336</v>
      </c>
      <c r="H112" s="28">
        <v>12770.415395717415</v>
      </c>
      <c r="I112" s="28">
        <v>13002.585339367435</v>
      </c>
      <c r="J112" s="28">
        <v>13627.786100442858</v>
      </c>
      <c r="K112" s="28">
        <v>14566.018490703895</v>
      </c>
      <c r="L112" s="28">
        <v>15577.283343293298</v>
      </c>
      <c r="M112" s="28">
        <v>16495.581513299589</v>
      </c>
      <c r="N112" s="28">
        <v>16995.913878335119</v>
      </c>
      <c r="O112" s="28">
        <v>17352.281339129404</v>
      </c>
      <c r="P112" s="28">
        <v>17289.684820138005</v>
      </c>
      <c r="Q112" s="28">
        <v>16970.12527016754</v>
      </c>
      <c r="R112" s="28">
        <v>17018.603663017082</v>
      </c>
      <c r="S112" s="28"/>
      <c r="T112" s="45"/>
      <c r="U112" s="45"/>
      <c r="V112" s="45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X112" s="16"/>
      <c r="AY112" s="16"/>
      <c r="AZ112" s="16"/>
    </row>
    <row r="113" spans="1:52" ht="15.75" x14ac:dyDescent="0.25">
      <c r="A113" s="17" t="s">
        <v>52</v>
      </c>
      <c r="B113" s="28">
        <v>17876</v>
      </c>
      <c r="C113" s="28">
        <v>17297.214551755751</v>
      </c>
      <c r="D113" s="28">
        <v>16886.540118802139</v>
      </c>
      <c r="E113" s="28">
        <v>16593.979625387212</v>
      </c>
      <c r="F113" s="28">
        <v>16080.536072786494</v>
      </c>
      <c r="G113" s="28">
        <v>15548.212541331939</v>
      </c>
      <c r="H113" s="28">
        <v>15038.01219249438</v>
      </c>
      <c r="I113" s="28">
        <v>14472.938271020779</v>
      </c>
      <c r="J113" s="28">
        <v>13805.994107127819</v>
      </c>
      <c r="K113" s="28">
        <v>13366.183118753244</v>
      </c>
      <c r="L113" s="28">
        <v>13205.508813866523</v>
      </c>
      <c r="M113" s="28">
        <v>13144.974792840367</v>
      </c>
      <c r="N113" s="28">
        <v>13380.584750884716</v>
      </c>
      <c r="O113" s="28">
        <v>14015.34248054485</v>
      </c>
      <c r="P113" s="28">
        <v>14963.251874265286</v>
      </c>
      <c r="Q113" s="28">
        <v>15980.316927021222</v>
      </c>
      <c r="R113" s="28">
        <v>16906.541739019292</v>
      </c>
      <c r="S113" s="28"/>
      <c r="T113" s="45"/>
      <c r="U113" s="45"/>
      <c r="V113" s="45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X113" s="16"/>
      <c r="AY113" s="16"/>
      <c r="AZ113" s="16"/>
    </row>
    <row r="114" spans="1:52" ht="15.75" x14ac:dyDescent="0.25">
      <c r="A114" s="17" t="s">
        <v>54</v>
      </c>
      <c r="B114" s="28">
        <v>19408</v>
      </c>
      <c r="C114" s="28">
        <v>19203.37068536261</v>
      </c>
      <c r="D114" s="28">
        <v>18902.803816826203</v>
      </c>
      <c r="E114" s="28">
        <v>18564.301039280308</v>
      </c>
      <c r="F114" s="28">
        <v>18270.864040942401</v>
      </c>
      <c r="G114" s="28">
        <v>17735.494554499215</v>
      </c>
      <c r="H114" s="28">
        <v>17154.194358278088</v>
      </c>
      <c r="I114" s="28">
        <v>16741.965277449188</v>
      </c>
      <c r="J114" s="28">
        <v>16444.809185259397</v>
      </c>
      <c r="K114" s="28">
        <v>15933.7280042987</v>
      </c>
      <c r="L114" s="28">
        <v>15395.72370779992</v>
      </c>
      <c r="M114" s="28">
        <v>14882.798320972706</v>
      </c>
      <c r="N114" s="28">
        <v>14317.953922372653</v>
      </c>
      <c r="O114" s="28">
        <v>13646.192645306479</v>
      </c>
      <c r="P114" s="28">
        <v>13202.516679274224</v>
      </c>
      <c r="Q114" s="28">
        <v>13039.928271449438</v>
      </c>
      <c r="R114" s="28">
        <v>12976.429728198351</v>
      </c>
      <c r="S114" s="28"/>
      <c r="T114" s="45"/>
      <c r="U114" s="45"/>
      <c r="V114" s="45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X114" s="16"/>
      <c r="AY114" s="16"/>
      <c r="AZ114" s="16"/>
    </row>
    <row r="115" spans="1:52" ht="15.75" x14ac:dyDescent="0.25">
      <c r="A115" s="17" t="s">
        <v>56</v>
      </c>
      <c r="B115" s="28">
        <v>15630</v>
      </c>
      <c r="C115" s="28">
        <v>16822.159001732831</v>
      </c>
      <c r="D115" s="28">
        <v>17850.348532670589</v>
      </c>
      <c r="E115" s="28">
        <v>18213.569396981482</v>
      </c>
      <c r="F115" s="28">
        <v>18771.822420016284</v>
      </c>
      <c r="G115" s="28">
        <v>19192.108448866282</v>
      </c>
      <c r="H115" s="28">
        <v>18980.428352935953</v>
      </c>
      <c r="I115" s="28">
        <v>18679.783024530716</v>
      </c>
      <c r="J115" s="28">
        <v>18337.17337946015</v>
      </c>
      <c r="K115" s="28">
        <v>18041.600357657142</v>
      </c>
      <c r="L115" s="28">
        <v>17503.064923813294</v>
      </c>
      <c r="M115" s="28">
        <v>16918.568068031102</v>
      </c>
      <c r="N115" s="28">
        <v>16501.110806493296</v>
      </c>
      <c r="O115" s="28">
        <v>16201.694182149835</v>
      </c>
      <c r="P115" s="28">
        <v>15689.319265422953</v>
      </c>
      <c r="Q115" s="28">
        <v>15149.987154930835</v>
      </c>
      <c r="R115" s="28">
        <v>14632.698978230304</v>
      </c>
      <c r="S115" s="28"/>
      <c r="T115" s="45"/>
      <c r="U115" s="45"/>
      <c r="V115" s="45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X115" s="16"/>
      <c r="AY115" s="16"/>
      <c r="AZ115" s="16"/>
    </row>
    <row r="116" spans="1:52" ht="15.75" x14ac:dyDescent="0.25">
      <c r="A116" s="9" t="s">
        <v>58</v>
      </c>
      <c r="B116" s="28">
        <v>11382</v>
      </c>
      <c r="C116" s="28">
        <v>12081.500478020995</v>
      </c>
      <c r="D116" s="28">
        <v>12635.014139107754</v>
      </c>
      <c r="E116" s="28">
        <v>13723.541330514732</v>
      </c>
      <c r="F116" s="28">
        <v>14642.082408643397</v>
      </c>
      <c r="G116" s="28">
        <v>15573.637739283167</v>
      </c>
      <c r="H116" s="28">
        <v>16760.207697858707</v>
      </c>
      <c r="I116" s="28">
        <v>17785.792669683717</v>
      </c>
      <c r="J116" s="28">
        <v>18143.393050221428</v>
      </c>
      <c r="K116" s="28">
        <v>18703.009245351946</v>
      </c>
      <c r="L116" s="28">
        <v>19119.641671646648</v>
      </c>
      <c r="M116" s="28">
        <v>18910.290756649792</v>
      </c>
      <c r="N116" s="28">
        <v>18608.956939167561</v>
      </c>
      <c r="O116" s="28">
        <v>18271.640669564702</v>
      </c>
      <c r="P116" s="28">
        <v>17973.342410069003</v>
      </c>
      <c r="Q116" s="28">
        <v>17435.06263508377</v>
      </c>
      <c r="R116" s="28">
        <v>16851.801831508539</v>
      </c>
      <c r="S116" s="28"/>
      <c r="T116" s="45"/>
      <c r="U116" s="45"/>
      <c r="V116" s="45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X116" s="16"/>
      <c r="AY116" s="16"/>
      <c r="AZ116" s="16"/>
    </row>
    <row r="117" spans="1:52" ht="15.75" x14ac:dyDescent="0.25">
      <c r="A117" s="9" t="s">
        <v>60</v>
      </c>
      <c r="B117" s="28">
        <v>9957</v>
      </c>
      <c r="C117" s="28">
        <v>10156.368773278627</v>
      </c>
      <c r="D117" s="28">
        <v>10493.747260395186</v>
      </c>
      <c r="E117" s="28">
        <v>10645.135717221381</v>
      </c>
      <c r="F117" s="28">
        <v>10938.534406368819</v>
      </c>
      <c r="G117" s="28">
        <v>11390.943597366544</v>
      </c>
      <c r="H117" s="28">
        <v>12087.363566843258</v>
      </c>
      <c r="I117" s="28">
        <v>12639.794598714318</v>
      </c>
      <c r="J117" s="28">
        <v>13724.236984373683</v>
      </c>
      <c r="K117" s="28">
        <v>14646.691022890909</v>
      </c>
      <c r="L117" s="28">
        <v>15572.157021213321</v>
      </c>
      <c r="M117" s="28">
        <v>16755.635294373533</v>
      </c>
      <c r="N117" s="28">
        <v>17778.126165702412</v>
      </c>
      <c r="O117" s="28">
        <v>18138.629967047673</v>
      </c>
      <c r="P117" s="28">
        <v>18694.147038998213</v>
      </c>
      <c r="Q117" s="28">
        <v>19113.677731114356</v>
      </c>
      <c r="R117" s="28">
        <v>18907.222402164189</v>
      </c>
      <c r="S117" s="28"/>
      <c r="T117" s="45"/>
      <c r="U117" s="45"/>
      <c r="V117" s="45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X117" s="16"/>
      <c r="AY117" s="16"/>
      <c r="AZ117" s="16"/>
    </row>
    <row r="118" spans="1:52" ht="15.75" x14ac:dyDescent="0.25">
      <c r="A118" s="9" t="s">
        <v>62</v>
      </c>
      <c r="B118" s="28">
        <v>8685</v>
      </c>
      <c r="C118" s="28">
        <v>8828.105363793893</v>
      </c>
      <c r="D118" s="28">
        <v>9177.213502970053</v>
      </c>
      <c r="E118" s="28">
        <v>9673.3244906346808</v>
      </c>
      <c r="F118" s="28">
        <v>9780.4384018196615</v>
      </c>
      <c r="G118" s="28">
        <v>9914.5553135332993</v>
      </c>
      <c r="H118" s="28">
        <v>10112.675304812359</v>
      </c>
      <c r="I118" s="28">
        <v>10450.798456775519</v>
      </c>
      <c r="J118" s="28">
        <v>10599.924852678196</v>
      </c>
      <c r="K118" s="28">
        <v>10895.054577968831</v>
      </c>
      <c r="L118" s="28">
        <v>11345.187720346663</v>
      </c>
      <c r="M118" s="28">
        <v>12042.32436982101</v>
      </c>
      <c r="N118" s="28">
        <v>12590.464618772117</v>
      </c>
      <c r="O118" s="28">
        <v>13669.608562013622</v>
      </c>
      <c r="P118" s="28">
        <v>14587.756296856633</v>
      </c>
      <c r="Q118" s="28">
        <v>15508.907923175531</v>
      </c>
      <c r="R118" s="28">
        <v>16686.063543475484</v>
      </c>
      <c r="S118" s="28"/>
      <c r="T118" s="45"/>
      <c r="U118" s="45"/>
      <c r="V118" s="45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X118" s="16"/>
      <c r="AY118" s="16"/>
      <c r="AZ118" s="16"/>
    </row>
    <row r="119" spans="1:52" ht="15.75" x14ac:dyDescent="0.25">
      <c r="A119" s="9" t="s">
        <v>64</v>
      </c>
      <c r="B119" s="28">
        <v>7342</v>
      </c>
      <c r="C119" s="28">
        <v>7692.2634094847344</v>
      </c>
      <c r="D119" s="28">
        <v>7836.5337574251334</v>
      </c>
      <c r="E119" s="28">
        <v>7891.8112265867012</v>
      </c>
      <c r="F119" s="28">
        <v>8189.0960045491556</v>
      </c>
      <c r="G119" s="28">
        <v>8588.3882838332465</v>
      </c>
      <c r="H119" s="28">
        <v>8734.6882620308988</v>
      </c>
      <c r="I119" s="28">
        <v>9081.9961419387982</v>
      </c>
      <c r="J119" s="28">
        <v>9576.3121316954894</v>
      </c>
      <c r="K119" s="28">
        <v>9681.6364449220782</v>
      </c>
      <c r="L119" s="28">
        <v>9816.9693008666582</v>
      </c>
      <c r="M119" s="28">
        <v>10016.310924552523</v>
      </c>
      <c r="N119" s="28">
        <v>10351.661546930294</v>
      </c>
      <c r="O119" s="28">
        <v>10503.021405034053</v>
      </c>
      <c r="P119" s="28">
        <v>10796.390742141581</v>
      </c>
      <c r="Q119" s="28">
        <v>11244.769807938826</v>
      </c>
      <c r="R119" s="28">
        <v>11935.158858688706</v>
      </c>
      <c r="S119" s="28"/>
      <c r="T119" s="45"/>
      <c r="U119" s="45"/>
      <c r="V119" s="45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X119" s="16"/>
      <c r="AY119" s="16"/>
      <c r="AZ119" s="16"/>
    </row>
    <row r="120" spans="1:52" ht="15.75" x14ac:dyDescent="0.25">
      <c r="A120" s="9" t="s">
        <v>66</v>
      </c>
      <c r="B120" s="28">
        <v>5640</v>
      </c>
      <c r="C120" s="28">
        <v>6149.0790228454207</v>
      </c>
      <c r="D120" s="28">
        <v>6542.1601272275402</v>
      </c>
      <c r="E120" s="28">
        <v>6936.2433679760106</v>
      </c>
      <c r="F120" s="28">
        <v>7134.3288013647471</v>
      </c>
      <c r="G120" s="28">
        <v>7154.4164851499736</v>
      </c>
      <c r="H120" s="28">
        <v>7498.5064786092698</v>
      </c>
      <c r="I120" s="28">
        <v>7641.5988425816395</v>
      </c>
      <c r="J120" s="28">
        <v>7695.6936395086468</v>
      </c>
      <c r="K120" s="28">
        <v>7989.7909334766236</v>
      </c>
      <c r="L120" s="28">
        <v>8385.8907902599967</v>
      </c>
      <c r="M120" s="28">
        <v>8532.9932773657565</v>
      </c>
      <c r="N120" s="28">
        <v>8873.0984640790884</v>
      </c>
      <c r="O120" s="28">
        <v>9360.2064215102164</v>
      </c>
      <c r="P120" s="28">
        <v>9464.317222642474</v>
      </c>
      <c r="Q120" s="28">
        <v>9598.4309423816485</v>
      </c>
      <c r="R120" s="28">
        <v>9795.5476576066121</v>
      </c>
      <c r="S120" s="28"/>
      <c r="T120" s="45"/>
      <c r="U120" s="45"/>
      <c r="V120" s="45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X120" s="16"/>
      <c r="AY120" s="16"/>
      <c r="AZ120" s="16"/>
    </row>
    <row r="121" spans="1:52" ht="15.75" x14ac:dyDescent="0.25">
      <c r="A121" s="9" t="s">
        <v>68</v>
      </c>
      <c r="B121" s="28">
        <v>2906</v>
      </c>
      <c r="C121" s="28">
        <v>3135.0790228454202</v>
      </c>
      <c r="D121" s="28">
        <v>3607.1601272275402</v>
      </c>
      <c r="E121" s="28">
        <v>4127.2433679760106</v>
      </c>
      <c r="F121" s="28">
        <v>4702.3288013647471</v>
      </c>
      <c r="G121" s="28">
        <v>5403.4164851499736</v>
      </c>
      <c r="H121" s="28">
        <v>5896.5064786092698</v>
      </c>
      <c r="I121" s="28">
        <v>6273.5988425816395</v>
      </c>
      <c r="J121" s="28">
        <v>6659.6936395086468</v>
      </c>
      <c r="K121" s="28">
        <v>6853.7909334766236</v>
      </c>
      <c r="L121" s="28">
        <v>6872.8907902599976</v>
      </c>
      <c r="M121" s="28">
        <v>7210.9932773657565</v>
      </c>
      <c r="N121" s="28">
        <v>7353.0984640790884</v>
      </c>
      <c r="O121" s="28">
        <v>7413.2064215102164</v>
      </c>
      <c r="P121" s="28">
        <v>7699.317222642474</v>
      </c>
      <c r="Q121" s="28">
        <v>8089.4309423816476</v>
      </c>
      <c r="R121" s="28">
        <v>8232.5476576066121</v>
      </c>
      <c r="S121" s="28"/>
      <c r="T121" s="45"/>
      <c r="U121" s="45"/>
      <c r="V121" s="45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X121" s="16"/>
      <c r="AY121" s="16"/>
      <c r="AZ121" s="16"/>
    </row>
    <row r="122" spans="1:52" ht="15.75" x14ac:dyDescent="0.25">
      <c r="A122" s="9" t="s">
        <v>70</v>
      </c>
      <c r="B122" s="28">
        <v>2417</v>
      </c>
      <c r="C122" s="28">
        <v>2481</v>
      </c>
      <c r="D122" s="28">
        <v>2517</v>
      </c>
      <c r="E122" s="28">
        <v>2595</v>
      </c>
      <c r="F122" s="28">
        <v>2613</v>
      </c>
      <c r="G122" s="28">
        <v>2695</v>
      </c>
      <c r="H122" s="28">
        <v>2917</v>
      </c>
      <c r="I122" s="28">
        <v>3357</v>
      </c>
      <c r="J122" s="28">
        <v>3851</v>
      </c>
      <c r="K122" s="28">
        <v>4391</v>
      </c>
      <c r="L122" s="28">
        <v>5056</v>
      </c>
      <c r="M122" s="28">
        <v>5519</v>
      </c>
      <c r="N122" s="28">
        <v>5879</v>
      </c>
      <c r="O122" s="28">
        <v>6250</v>
      </c>
      <c r="P122" s="28">
        <v>6436</v>
      </c>
      <c r="Q122" s="28">
        <v>6456</v>
      </c>
      <c r="R122" s="28">
        <v>6786</v>
      </c>
      <c r="S122" s="28"/>
      <c r="T122" s="45"/>
      <c r="U122" s="45"/>
      <c r="V122" s="45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X122" s="16"/>
      <c r="AY122" s="16"/>
      <c r="AZ122" s="16"/>
    </row>
    <row r="123" spans="1:52" ht="15.75" x14ac:dyDescent="0.25">
      <c r="A123" s="9" t="s">
        <v>72</v>
      </c>
      <c r="B123" s="28">
        <v>2362</v>
      </c>
      <c r="C123" s="28">
        <v>2280.0263409484733</v>
      </c>
      <c r="D123" s="28">
        <v>2256.0533757425133</v>
      </c>
      <c r="E123" s="28">
        <v>2189.0811226586702</v>
      </c>
      <c r="F123" s="28">
        <v>2134.1096004549154</v>
      </c>
      <c r="G123" s="28">
        <v>2125.1388283833248</v>
      </c>
      <c r="H123" s="28">
        <v>2188.1688262030898</v>
      </c>
      <c r="I123" s="28">
        <v>2222.1996141938798</v>
      </c>
      <c r="J123" s="28">
        <v>2293.2312131695489</v>
      </c>
      <c r="K123" s="28">
        <v>2316.2636444922077</v>
      </c>
      <c r="L123" s="28">
        <v>2389.2969300866657</v>
      </c>
      <c r="M123" s="28">
        <v>2595.3310924552525</v>
      </c>
      <c r="N123" s="28">
        <v>3002.3661546930293</v>
      </c>
      <c r="O123" s="28">
        <v>3458.4021405034055</v>
      </c>
      <c r="P123" s="28">
        <v>3950.4390742141582</v>
      </c>
      <c r="Q123" s="28">
        <v>4549.4769807938828</v>
      </c>
      <c r="R123" s="28">
        <v>4972.515885868871</v>
      </c>
      <c r="S123" s="28"/>
      <c r="T123" s="45"/>
      <c r="U123" s="45"/>
      <c r="V123" s="45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X123" s="16"/>
      <c r="AY123" s="16"/>
      <c r="AZ123" s="16"/>
    </row>
    <row r="124" spans="1:52" ht="15.75" x14ac:dyDescent="0.25">
      <c r="A124" s="9" t="s">
        <v>74</v>
      </c>
      <c r="B124" s="28">
        <v>1751</v>
      </c>
      <c r="C124" s="28">
        <v>1838.0263409484735</v>
      </c>
      <c r="D124" s="28">
        <v>1845.0533757425133</v>
      </c>
      <c r="E124" s="28">
        <v>1880.08112265867</v>
      </c>
      <c r="F124" s="28">
        <v>1907.1096004549156</v>
      </c>
      <c r="G124" s="28">
        <v>1916.1388283833246</v>
      </c>
      <c r="H124" s="28">
        <v>1848.1688262030898</v>
      </c>
      <c r="I124" s="28">
        <v>1829.1996141938798</v>
      </c>
      <c r="J124" s="28">
        <v>1780.2312131695489</v>
      </c>
      <c r="K124" s="28">
        <v>1739.2636444922077</v>
      </c>
      <c r="L124" s="28">
        <v>1740.2969300866657</v>
      </c>
      <c r="M124" s="28">
        <v>1799.3310924552522</v>
      </c>
      <c r="N124" s="28">
        <v>1829.3661546930296</v>
      </c>
      <c r="O124" s="28">
        <v>1892.4021405034052</v>
      </c>
      <c r="P124" s="28">
        <v>1918.4390742141582</v>
      </c>
      <c r="Q124" s="28">
        <v>1985.4769807938826</v>
      </c>
      <c r="R124" s="28">
        <v>2167.5158858688706</v>
      </c>
      <c r="S124" s="28"/>
      <c r="T124" s="45"/>
      <c r="U124" s="45"/>
      <c r="V124" s="45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X124" s="16"/>
      <c r="AY124" s="16"/>
      <c r="AZ124" s="16"/>
    </row>
    <row r="125" spans="1:52" ht="15.75" x14ac:dyDescent="0.25">
      <c r="A125" s="20" t="s">
        <v>76</v>
      </c>
      <c r="B125" s="29">
        <v>1195</v>
      </c>
      <c r="C125" s="29">
        <v>1291</v>
      </c>
      <c r="D125" s="29">
        <v>1419</v>
      </c>
      <c r="E125" s="29">
        <v>1554</v>
      </c>
      <c r="F125" s="29">
        <v>1675</v>
      </c>
      <c r="G125" s="29">
        <v>1788</v>
      </c>
      <c r="H125" s="29">
        <v>1902</v>
      </c>
      <c r="I125" s="29">
        <v>1978</v>
      </c>
      <c r="J125" s="29">
        <v>2077</v>
      </c>
      <c r="K125" s="29">
        <v>2172</v>
      </c>
      <c r="L125" s="29">
        <v>2245</v>
      </c>
      <c r="M125" s="29">
        <v>2265</v>
      </c>
      <c r="N125" s="29">
        <v>2297</v>
      </c>
      <c r="O125" s="29">
        <v>2332</v>
      </c>
      <c r="P125" s="29">
        <v>2373</v>
      </c>
      <c r="Q125" s="29">
        <v>2428</v>
      </c>
      <c r="R125" s="29">
        <v>2493</v>
      </c>
      <c r="S125" s="28"/>
      <c r="T125" s="45"/>
      <c r="U125" s="45"/>
      <c r="V125" s="45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X125" s="16"/>
      <c r="AY125" s="16"/>
      <c r="AZ125" s="16"/>
    </row>
    <row r="126" spans="1:52" ht="15.75" x14ac:dyDescent="0.25">
      <c r="A126" s="9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45"/>
      <c r="U126" s="45"/>
      <c r="V126" s="45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X126" s="16"/>
      <c r="AY126" s="16"/>
      <c r="AZ126" s="16"/>
    </row>
    <row r="127" spans="1:52" ht="15.75" x14ac:dyDescent="0.2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45"/>
      <c r="U127" s="45"/>
      <c r="V127" s="45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X127" s="16"/>
      <c r="AY127" s="16"/>
      <c r="AZ127" s="16"/>
    </row>
    <row r="128" spans="1:52" ht="18.75" x14ac:dyDescent="0.5">
      <c r="A128" s="134" t="s">
        <v>82</v>
      </c>
      <c r="B128" s="134"/>
      <c r="C128" s="1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37" t="s">
        <v>97</v>
      </c>
      <c r="S128" s="22"/>
      <c r="T128" s="45"/>
      <c r="U128" s="45"/>
      <c r="V128" s="45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X128" s="16"/>
      <c r="AY128" s="16"/>
      <c r="AZ128" s="16"/>
    </row>
    <row r="129" spans="1:52" ht="15.75" x14ac:dyDescent="0.25">
      <c r="A129" s="25" t="s">
        <v>43</v>
      </c>
      <c r="B129" s="26">
        <v>2014</v>
      </c>
      <c r="C129" s="26">
        <v>2015</v>
      </c>
      <c r="D129" s="26">
        <v>2016</v>
      </c>
      <c r="E129" s="26">
        <v>2017</v>
      </c>
      <c r="F129" s="26">
        <v>2018</v>
      </c>
      <c r="G129" s="26">
        <v>2019</v>
      </c>
      <c r="H129" s="26">
        <v>2020</v>
      </c>
      <c r="I129" s="26">
        <v>2021</v>
      </c>
      <c r="J129" s="26">
        <v>2022</v>
      </c>
      <c r="K129" s="26">
        <v>2023</v>
      </c>
      <c r="L129" s="26">
        <v>2024</v>
      </c>
      <c r="M129" s="26">
        <v>2025</v>
      </c>
      <c r="N129" s="26">
        <v>2026</v>
      </c>
      <c r="O129" s="26">
        <v>2027</v>
      </c>
      <c r="P129" s="26">
        <v>2028</v>
      </c>
      <c r="Q129" s="26">
        <v>2029</v>
      </c>
      <c r="R129" s="26">
        <v>2030</v>
      </c>
      <c r="S129" s="8"/>
      <c r="T129" s="45"/>
      <c r="U129" s="45"/>
      <c r="V129" s="45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X129" s="16"/>
      <c r="AY129" s="16"/>
      <c r="AZ129" s="16"/>
    </row>
    <row r="130" spans="1:52" ht="15.75" x14ac:dyDescent="0.25">
      <c r="A130" s="10" t="s">
        <v>2</v>
      </c>
      <c r="B130" s="27">
        <f>SUM(B131:B147)</f>
        <v>97774</v>
      </c>
      <c r="C130" s="27">
        <f t="shared" ref="C130:R130" si="6">SUM(C131:C147)</f>
        <v>108056.98134392835</v>
      </c>
      <c r="D130" s="27">
        <f t="shared" si="6"/>
        <v>119421.4332763525</v>
      </c>
      <c r="E130" s="27">
        <f t="shared" si="6"/>
        <v>131981.09505193616</v>
      </c>
      <c r="F130" s="27">
        <f t="shared" si="6"/>
        <v>145861.66798717761</v>
      </c>
      <c r="G130" s="27">
        <f t="shared" si="6"/>
        <v>161202.07352143439</v>
      </c>
      <c r="H130" s="27">
        <f t="shared" si="6"/>
        <v>178155.84358938172</v>
      </c>
      <c r="I130" s="27">
        <f t="shared" si="6"/>
        <v>182665.88024197822</v>
      </c>
      <c r="J130" s="27">
        <f t="shared" si="6"/>
        <v>187290.08901600479</v>
      </c>
      <c r="K130" s="27">
        <f t="shared" si="6"/>
        <v>192031.36019247593</v>
      </c>
      <c r="L130" s="27">
        <f t="shared" si="6"/>
        <v>196892.65722021848</v>
      </c>
      <c r="M130" s="27">
        <f t="shared" si="6"/>
        <v>201877.0185681234</v>
      </c>
      <c r="N130" s="27">
        <f t="shared" si="6"/>
        <v>206987.55962428782</v>
      </c>
      <c r="O130" s="27">
        <f t="shared" si="6"/>
        <v>212227.47464323408</v>
      </c>
      <c r="P130" s="27">
        <f t="shared" si="6"/>
        <v>217600.03874242277</v>
      </c>
      <c r="Q130" s="27">
        <f t="shared" si="6"/>
        <v>223108.60994930752</v>
      </c>
      <c r="R130" s="27">
        <f t="shared" si="6"/>
        <v>228756.631300212</v>
      </c>
      <c r="S130" s="33"/>
      <c r="T130" s="45"/>
      <c r="U130" s="45"/>
      <c r="V130" s="45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X130" s="16"/>
      <c r="AY130" s="16"/>
      <c r="AZ130" s="16"/>
    </row>
    <row r="131" spans="1:52" ht="15.75" x14ac:dyDescent="0.25">
      <c r="A131" s="17" t="s">
        <v>44</v>
      </c>
      <c r="B131" s="28">
        <v>845.50462770551007</v>
      </c>
      <c r="C131" s="28">
        <v>934.42712563850739</v>
      </c>
      <c r="D131" s="28">
        <v>1032.701684316698</v>
      </c>
      <c r="E131" s="28">
        <v>1141.3118685545526</v>
      </c>
      <c r="F131" s="28">
        <v>1261.3446855810676</v>
      </c>
      <c r="G131" s="28">
        <v>1394.0014641734674</v>
      </c>
      <c r="H131" s="28">
        <v>1540.609877959389</v>
      </c>
      <c r="I131" s="28">
        <v>1579.610602701056</v>
      </c>
      <c r="J131" s="28">
        <v>1619.5986354900997</v>
      </c>
      <c r="K131" s="28">
        <v>1660.5989701487315</v>
      </c>
      <c r="L131" s="28">
        <v>1702.6372332207889</v>
      </c>
      <c r="M131" s="28">
        <v>1745.7396999891535</v>
      </c>
      <c r="N131" s="28">
        <v>1789.9333108986591</v>
      </c>
      <c r="O131" s="28">
        <v>1835.2456883947484</v>
      </c>
      <c r="P131" s="28">
        <v>1881.7051541884002</v>
      </c>
      <c r="Q131" s="28">
        <v>1929.3407469581182</v>
      </c>
      <c r="R131" s="28">
        <v>1978.1822405000553</v>
      </c>
      <c r="S131" s="28"/>
      <c r="T131" s="45"/>
      <c r="U131" s="45"/>
      <c r="V131" s="45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X131" s="16"/>
      <c r="AY131" s="16"/>
      <c r="AZ131" s="16"/>
    </row>
    <row r="132" spans="1:52" ht="15.75" x14ac:dyDescent="0.25">
      <c r="A132" s="17" t="s">
        <v>46</v>
      </c>
      <c r="B132" s="28">
        <v>452.70109132852735</v>
      </c>
      <c r="C132" s="28">
        <v>500.31208071739616</v>
      </c>
      <c r="D132" s="28">
        <v>552.93036157078245</v>
      </c>
      <c r="E132" s="28">
        <v>611.08255532908163</v>
      </c>
      <c r="F132" s="28">
        <v>675.35066869305354</v>
      </c>
      <c r="G132" s="28">
        <v>746.37791854250463</v>
      </c>
      <c r="H132" s="28">
        <v>824.87516946701089</v>
      </c>
      <c r="I132" s="28">
        <v>845.75698379967685</v>
      </c>
      <c r="J132" s="28">
        <v>867.1674237789432</v>
      </c>
      <c r="K132" s="28">
        <v>889.11987162676553</v>
      </c>
      <c r="L132" s="28">
        <v>911.62804833766188</v>
      </c>
      <c r="M132" s="28">
        <v>934.70602225477978</v>
      </c>
      <c r="N132" s="28">
        <v>958.36821786306905</v>
      </c>
      <c r="O132" s="28">
        <v>982.62942480505467</v>
      </c>
      <c r="P132" s="28">
        <v>1007.5048071248445</v>
      </c>
      <c r="Q132" s="28">
        <v>1033.0099127461517</v>
      </c>
      <c r="R132" s="28">
        <v>1059.16068319025</v>
      </c>
      <c r="S132" s="28"/>
      <c r="T132" s="45"/>
      <c r="U132" s="45"/>
      <c r="V132" s="45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X132" s="16"/>
      <c r="AY132" s="16"/>
      <c r="AZ132" s="16"/>
    </row>
    <row r="133" spans="1:52" ht="15.75" x14ac:dyDescent="0.25">
      <c r="A133" s="17" t="s">
        <v>48</v>
      </c>
      <c r="B133" s="28">
        <v>246.84721465968079</v>
      </c>
      <c r="C133" s="28">
        <v>272.80836284985594</v>
      </c>
      <c r="D133" s="28">
        <v>301.49986882948969</v>
      </c>
      <c r="E133" s="28">
        <v>333.20888683397453</v>
      </c>
      <c r="F133" s="28">
        <v>368.2527713732681</v>
      </c>
      <c r="G133" s="28">
        <v>406.98225342249629</v>
      </c>
      <c r="H133" s="28">
        <v>449.78495065543609</v>
      </c>
      <c r="I133" s="28">
        <v>461.17131089135279</v>
      </c>
      <c r="J133" s="28">
        <v>472.8459182089764</v>
      </c>
      <c r="K133" s="28">
        <v>484.81606961792079</v>
      </c>
      <c r="L133" s="28">
        <v>497.08924685247825</v>
      </c>
      <c r="M133" s="28">
        <v>509.67312104794661</v>
      </c>
      <c r="N133" s="28">
        <v>522.575557535337</v>
      </c>
      <c r="O133" s="28">
        <v>535.80462075746482</v>
      </c>
      <c r="P133" s="28">
        <v>549.36857930948588</v>
      </c>
      <c r="Q133" s="28">
        <v>563.27591110703986</v>
      </c>
      <c r="R133" s="28">
        <v>577.53530868522171</v>
      </c>
      <c r="S133" s="28"/>
      <c r="T133" s="45"/>
      <c r="U133" s="45"/>
      <c r="V133" s="45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X133" s="16"/>
      <c r="AY133" s="16"/>
      <c r="AZ133" s="16"/>
    </row>
    <row r="134" spans="1:52" ht="15.75" x14ac:dyDescent="0.25">
      <c r="A134" s="17" t="s">
        <v>50</v>
      </c>
      <c r="B134" s="28">
        <v>1803.0040278732868</v>
      </c>
      <c r="C134" s="28">
        <v>1992.6276167788105</v>
      </c>
      <c r="D134" s="28">
        <v>2202.1940926183283</v>
      </c>
      <c r="E134" s="28">
        <v>2433.8008671197658</v>
      </c>
      <c r="F134" s="28">
        <v>2689.7659387280587</v>
      </c>
      <c r="G134" s="28">
        <v>2972.6510919126958</v>
      </c>
      <c r="H134" s="28">
        <v>3285.2875363677313</v>
      </c>
      <c r="I134" s="28">
        <v>3368.4549863082843</v>
      </c>
      <c r="J134" s="28">
        <v>3453.7278302677914</v>
      </c>
      <c r="K134" s="28">
        <v>3541.1593665495948</v>
      </c>
      <c r="L134" s="28">
        <v>3630.8042427100081</v>
      </c>
      <c r="M134" s="28">
        <v>3722.7184897148181</v>
      </c>
      <c r="N134" s="28">
        <v>3816.9595569604694</v>
      </c>
      <c r="O134" s="28">
        <v>3913.5863481817928</v>
      </c>
      <c r="P134" s="28">
        <v>4012.6592582687758</v>
      </c>
      <c r="Q134" s="28">
        <v>4114.2402110153143</v>
      </c>
      <c r="R134" s="28">
        <v>4218.3926978236195</v>
      </c>
      <c r="S134" s="28"/>
      <c r="T134" s="45"/>
      <c r="U134" s="45"/>
      <c r="V134" s="45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X134" s="16"/>
      <c r="AY134" s="16"/>
      <c r="AZ134" s="16"/>
    </row>
    <row r="135" spans="1:52" ht="15.75" x14ac:dyDescent="0.25">
      <c r="A135" s="17" t="s">
        <v>52</v>
      </c>
      <c r="B135" s="28">
        <v>16886.891548001633</v>
      </c>
      <c r="C135" s="28">
        <v>18662.901435548858</v>
      </c>
      <c r="D135" s="28">
        <v>20625.69591348086</v>
      </c>
      <c r="E135" s="28">
        <v>22794.919288650777</v>
      </c>
      <c r="F135" s="28">
        <v>25192.281877698457</v>
      </c>
      <c r="G135" s="28">
        <v>27841.777291196515</v>
      </c>
      <c r="H135" s="28">
        <v>30769.922569769376</v>
      </c>
      <c r="I135" s="28">
        <v>31548.866868150431</v>
      </c>
      <c r="J135" s="28">
        <v>32347.53023532682</v>
      </c>
      <c r="K135" s="28">
        <v>33166.411861901724</v>
      </c>
      <c r="L135" s="28">
        <v>34006.023575548614</v>
      </c>
      <c r="M135" s="28">
        <v>34866.8901609202</v>
      </c>
      <c r="N135" s="28">
        <v>35749.549687655919</v>
      </c>
      <c r="O135" s="28">
        <v>36654.553846692987</v>
      </c>
      <c r="P135" s="28">
        <v>37582.468295091196</v>
      </c>
      <c r="Q135" s="28">
        <v>38533.873009586947</v>
      </c>
      <c r="R135" s="28">
        <v>39509.362649097675</v>
      </c>
      <c r="S135" s="28"/>
      <c r="T135" s="45"/>
      <c r="U135" s="45"/>
      <c r="V135" s="45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X135" s="16"/>
      <c r="AY135" s="16"/>
      <c r="AZ135" s="16"/>
    </row>
    <row r="136" spans="1:52" ht="15.75" x14ac:dyDescent="0.25">
      <c r="A136" s="17" t="s">
        <v>54</v>
      </c>
      <c r="B136" s="28">
        <v>28288.378759372434</v>
      </c>
      <c r="C136" s="28">
        <v>31263.493524367284</v>
      </c>
      <c r="D136" s="28">
        <v>34551.503840577061</v>
      </c>
      <c r="E136" s="28">
        <v>38185.317220384823</v>
      </c>
      <c r="F136" s="28">
        <v>42201.302089462522</v>
      </c>
      <c r="G136" s="28">
        <v>46639.651774199054</v>
      </c>
      <c r="H136" s="28">
        <v>51544.786770020088</v>
      </c>
      <c r="I136" s="28">
        <v>52849.649259509126</v>
      </c>
      <c r="J136" s="28">
        <v>54187.544500187403</v>
      </c>
      <c r="K136" s="28">
        <v>55559.308720132489</v>
      </c>
      <c r="L136" s="28">
        <v>56965.799316636585</v>
      </c>
      <c r="M136" s="28">
        <v>58407.89539210769</v>
      </c>
      <c r="N136" s="28">
        <v>59886.498303537119</v>
      </c>
      <c r="O136" s="28">
        <v>61402.53222587717</v>
      </c>
      <c r="P136" s="28">
        <v>62956.94472968037</v>
      </c>
      <c r="Q136" s="28">
        <v>64550.707373362035</v>
      </c>
      <c r="R136" s="28">
        <v>66184.816310455848</v>
      </c>
      <c r="S136" s="28"/>
      <c r="T136" s="45"/>
      <c r="U136" s="45"/>
      <c r="V136" s="45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X136" s="16"/>
      <c r="AY136" s="16"/>
      <c r="AZ136" s="16"/>
    </row>
    <row r="137" spans="1:52" ht="15.75" x14ac:dyDescent="0.25">
      <c r="A137" s="9" t="s">
        <v>56</v>
      </c>
      <c r="B137" s="28">
        <v>20071.997807518157</v>
      </c>
      <c r="C137" s="28">
        <v>22182.988244547229</v>
      </c>
      <c r="D137" s="28">
        <v>24515.993483887571</v>
      </c>
      <c r="E137" s="28">
        <v>27094.363026124614</v>
      </c>
      <c r="F137" s="28">
        <v>29943.90206025702</v>
      </c>
      <c r="G137" s="28">
        <v>33093.129730701541</v>
      </c>
      <c r="H137" s="28">
        <v>36573.564566475929</v>
      </c>
      <c r="I137" s="28">
        <v>37499.428761484254</v>
      </c>
      <c r="J137" s="28">
        <v>38448.731320178456</v>
      </c>
      <c r="K137" s="28">
        <v>39422.065587560159</v>
      </c>
      <c r="L137" s="28">
        <v>40420.039929231185</v>
      </c>
      <c r="M137" s="28">
        <v>41443.278111641892</v>
      </c>
      <c r="N137" s="28">
        <v>42492.419691965537</v>
      </c>
      <c r="O137" s="28">
        <v>43568.120417842256</v>
      </c>
      <c r="P137" s="28">
        <v>44671.05263724277</v>
      </c>
      <c r="Q137" s="28">
        <v>45801.905718707669</v>
      </c>
      <c r="R137" s="28">
        <v>46961.38648222528</v>
      </c>
      <c r="S137" s="28"/>
      <c r="T137" s="45"/>
      <c r="U137" s="45"/>
      <c r="V137" s="45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X137" s="16"/>
      <c r="AY137" s="16"/>
      <c r="AZ137" s="16"/>
    </row>
    <row r="138" spans="1:52" ht="15.75" x14ac:dyDescent="0.25">
      <c r="A138" s="9" t="s">
        <v>58</v>
      </c>
      <c r="B138" s="28">
        <v>12906.410765171428</v>
      </c>
      <c r="C138" s="28">
        <v>14263.789834405929</v>
      </c>
      <c r="D138" s="28">
        <v>15763.925706528495</v>
      </c>
      <c r="E138" s="28">
        <v>17421.832245560396</v>
      </c>
      <c r="F138" s="28">
        <v>19254.102337385906</v>
      </c>
      <c r="G138" s="28">
        <v>21279.073956931257</v>
      </c>
      <c r="H138" s="28">
        <v>23517.013700781325</v>
      </c>
      <c r="I138" s="28">
        <v>24112.349736991247</v>
      </c>
      <c r="J138" s="28">
        <v>24722.756776710361</v>
      </c>
      <c r="K138" s="28">
        <v>25348.616344208927</v>
      </c>
      <c r="L138" s="28">
        <v>25990.319622090086</v>
      </c>
      <c r="M138" s="28">
        <v>26648.267695791721</v>
      </c>
      <c r="N138" s="28">
        <v>27322.871804277936</v>
      </c>
      <c r="O138" s="28">
        <v>28014.553597076745</v>
      </c>
      <c r="P138" s="28">
        <v>28723.745397824816</v>
      </c>
      <c r="Q138" s="28">
        <v>29450.890474483764</v>
      </c>
      <c r="R138" s="28">
        <v>30196.443316397075</v>
      </c>
      <c r="S138" s="28"/>
      <c r="T138" s="45"/>
      <c r="U138" s="45"/>
      <c r="V138" s="45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X138" s="16"/>
      <c r="AY138" s="16"/>
      <c r="AZ138" s="16"/>
    </row>
    <row r="139" spans="1:52" ht="15.75" x14ac:dyDescent="0.25">
      <c r="A139" s="9" t="s">
        <v>60</v>
      </c>
      <c r="B139" s="28">
        <v>7963.3171851863499</v>
      </c>
      <c r="C139" s="28">
        <v>8800.8265644799812</v>
      </c>
      <c r="D139" s="28">
        <v>9726.4175740908922</v>
      </c>
      <c r="E139" s="28">
        <v>10749.353839945143</v>
      </c>
      <c r="F139" s="28">
        <v>11879.873252012161</v>
      </c>
      <c r="G139" s="28">
        <v>13129.290428548613</v>
      </c>
      <c r="H139" s="28">
        <v>14510.109956600885</v>
      </c>
      <c r="I139" s="28">
        <v>14877.435138974954</v>
      </c>
      <c r="J139" s="28">
        <v>15254.059202612476</v>
      </c>
      <c r="K139" s="28">
        <v>15640.217549813382</v>
      </c>
      <c r="L139" s="28">
        <v>16036.151542115198</v>
      </c>
      <c r="M139" s="28">
        <v>16442.108651151852</v>
      </c>
      <c r="N139" s="28">
        <v>16858.342613331508</v>
      </c>
      <c r="O139" s="28">
        <v>17285.113588430118</v>
      </c>
      <c r="P139" s="28">
        <v>17722.688322199669</v>
      </c>
      <c r="Q139" s="28">
        <v>18171.340313093042</v>
      </c>
      <c r="R139" s="28">
        <v>18631.349983209402</v>
      </c>
      <c r="S139" s="28"/>
      <c r="T139" s="45"/>
      <c r="U139" s="45"/>
      <c r="V139" s="45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X139" s="16"/>
      <c r="AY139" s="16"/>
      <c r="AZ139" s="16"/>
    </row>
    <row r="140" spans="1:52" ht="15.75" x14ac:dyDescent="0.25">
      <c r="A140" s="9" t="s">
        <v>62</v>
      </c>
      <c r="B140" s="28">
        <v>4606.528598589246</v>
      </c>
      <c r="C140" s="28">
        <v>5091.0014404446047</v>
      </c>
      <c r="D140" s="28">
        <v>5626.4267358606066</v>
      </c>
      <c r="E140" s="28">
        <v>6218.1632011564379</v>
      </c>
      <c r="F140" s="28">
        <v>6872.1331337662677</v>
      </c>
      <c r="G140" s="28">
        <v>7594.8816845825468</v>
      </c>
      <c r="H140" s="28">
        <v>8393.6423640260127</v>
      </c>
      <c r="I140" s="28">
        <v>8606.1284321102848</v>
      </c>
      <c r="J140" s="28">
        <v>8823.9936106178702</v>
      </c>
      <c r="K140" s="28">
        <v>9047.3740723774536</v>
      </c>
      <c r="L140" s="28">
        <v>9276.4094374492797</v>
      </c>
      <c r="M140" s="28">
        <v>9511.2428603922563</v>
      </c>
      <c r="N140" s="28">
        <v>9752.0211197401986</v>
      </c>
      <c r="O140" s="28">
        <v>9998.894709743201</v>
      </c>
      <c r="P140" s="28">
        <v>10252.017934431424</v>
      </c>
      <c r="Q140" s="28">
        <v>10511.549004060162</v>
      </c>
      <c r="R140" s="28">
        <v>10777.650133996385</v>
      </c>
      <c r="S140" s="28"/>
      <c r="T140" s="45"/>
      <c r="U140" s="45"/>
      <c r="V140" s="45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X140" s="16"/>
      <c r="AY140" s="16"/>
      <c r="AZ140" s="16"/>
    </row>
    <row r="141" spans="1:52" ht="15.75" x14ac:dyDescent="0.25">
      <c r="A141" s="9" t="s">
        <v>64</v>
      </c>
      <c r="B141" s="28">
        <v>2208.669658910429</v>
      </c>
      <c r="C141" s="28">
        <v>2440.9574746638664</v>
      </c>
      <c r="D141" s="28">
        <v>2697.6752132578799</v>
      </c>
      <c r="E141" s="28">
        <v>2981.3921921061296</v>
      </c>
      <c r="F141" s="28">
        <v>3294.947946093499</v>
      </c>
      <c r="G141" s="28">
        <v>3641.4806465956231</v>
      </c>
      <c r="H141" s="28">
        <v>4024.4585093527871</v>
      </c>
      <c r="I141" s="28">
        <v>4126.3381615626176</v>
      </c>
      <c r="J141" s="28">
        <v>4230.7969094471246</v>
      </c>
      <c r="K141" s="28">
        <v>4337.9000431241593</v>
      </c>
      <c r="L141" s="28">
        <v>4447.7145055387728</v>
      </c>
      <c r="M141" s="28">
        <v>4560.3089343047377</v>
      </c>
      <c r="N141" s="28">
        <v>4675.7537046052903</v>
      </c>
      <c r="O141" s="28">
        <v>4794.120973179919</v>
      </c>
      <c r="P141" s="28">
        <v>4915.4847234246599</v>
      </c>
      <c r="Q141" s="28">
        <v>5039.9208116341442</v>
      </c>
      <c r="R141" s="28">
        <v>5167.507014414241</v>
      </c>
      <c r="S141" s="28"/>
      <c r="T141" s="45"/>
      <c r="U141" s="45"/>
      <c r="V141" s="45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X141" s="16"/>
      <c r="AY141" s="16"/>
      <c r="AZ141" s="16"/>
    </row>
    <row r="142" spans="1:52" ht="15.75" x14ac:dyDescent="0.25">
      <c r="A142" s="9" t="s">
        <v>66</v>
      </c>
      <c r="B142" s="28">
        <v>912.89648943247857</v>
      </c>
      <c r="C142" s="28">
        <v>1008.9066513341281</v>
      </c>
      <c r="D142" s="28">
        <v>1115.014290107566</v>
      </c>
      <c r="E142" s="28">
        <v>1232.2813666656452</v>
      </c>
      <c r="F142" s="28">
        <v>1361.8815293253847</v>
      </c>
      <c r="G142" s="28">
        <v>1505.1118600748027</v>
      </c>
      <c r="H142" s="28">
        <v>1663.4058562054154</v>
      </c>
      <c r="I142" s="28">
        <v>1705.5151759362964</v>
      </c>
      <c r="J142" s="28">
        <v>1748.6904981713669</v>
      </c>
      <c r="K142" s="28">
        <v>1792.9588088924982</v>
      </c>
      <c r="L142" s="28">
        <v>1838.3477772349477</v>
      </c>
      <c r="M142" s="28">
        <v>1884.8857727814668</v>
      </c>
      <c r="N142" s="28">
        <v>1932.6018832942109</v>
      </c>
      <c r="O142" s="28">
        <v>1981.5259328955417</v>
      </c>
      <c r="P142" s="28">
        <v>2031.6885007090732</v>
      </c>
      <c r="Q142" s="28">
        <v>2083.1209399726199</v>
      </c>
      <c r="R142" s="28">
        <v>2135.8553976349885</v>
      </c>
      <c r="S142" s="28"/>
      <c r="T142" s="45"/>
      <c r="U142" s="45"/>
      <c r="V142" s="45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X142" s="16"/>
      <c r="AY142" s="16"/>
      <c r="AZ142" s="16"/>
    </row>
    <row r="143" spans="1:52" ht="15.75" x14ac:dyDescent="0.25">
      <c r="A143" s="9" t="s">
        <v>68</v>
      </c>
      <c r="B143" s="28">
        <v>350.48087968834454</v>
      </c>
      <c r="C143" s="28">
        <v>387.34127557312843</v>
      </c>
      <c r="D143" s="28">
        <v>428.0783131337468</v>
      </c>
      <c r="E143" s="28">
        <v>473.0997023342976</v>
      </c>
      <c r="F143" s="28">
        <v>522.85603237011117</v>
      </c>
      <c r="G143" s="28">
        <v>577.84528131586649</v>
      </c>
      <c r="H143" s="28">
        <v>638.61780005753712</v>
      </c>
      <c r="I143" s="28">
        <v>654.78448663503912</v>
      </c>
      <c r="J143" s="28">
        <v>671.36043483173148</v>
      </c>
      <c r="K143" s="28">
        <v>688.35600515482975</v>
      </c>
      <c r="L143" s="28">
        <v>705.78182038903844</v>
      </c>
      <c r="M143" s="28">
        <v>723.64877223613803</v>
      </c>
      <c r="N143" s="28">
        <v>741.96802812265082</v>
      </c>
      <c r="O143" s="28">
        <v>760.75103817984848</v>
      </c>
      <c r="P143" s="28">
        <v>780.00954240045598</v>
      </c>
      <c r="Q143" s="28">
        <v>799.75557797652777</v>
      </c>
      <c r="R143" s="28">
        <v>820.00148682308782</v>
      </c>
      <c r="S143" s="28"/>
      <c r="T143" s="45"/>
      <c r="U143" s="45"/>
      <c r="V143" s="45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X143" s="16"/>
      <c r="AY143" s="16"/>
      <c r="AZ143" s="16"/>
    </row>
    <row r="144" spans="1:52" ht="15.75" x14ac:dyDescent="0.25">
      <c r="A144" s="9" t="s">
        <v>70</v>
      </c>
      <c r="B144" s="28">
        <v>125.39434117692382</v>
      </c>
      <c r="C144" s="28">
        <v>138.58217915999188</v>
      </c>
      <c r="D144" s="28">
        <v>153.15699417117216</v>
      </c>
      <c r="E144" s="28">
        <v>169.26465585786096</v>
      </c>
      <c r="F144" s="28">
        <v>187.06637511219071</v>
      </c>
      <c r="G144" s="28">
        <v>206.74031752382328</v>
      </c>
      <c r="H144" s="28">
        <v>228.48338652105474</v>
      </c>
      <c r="I144" s="28">
        <v>234.26747098866488</v>
      </c>
      <c r="J144" s="28">
        <v>240.19798025169615</v>
      </c>
      <c r="K144" s="28">
        <v>246.27862107149218</v>
      </c>
      <c r="L144" s="28">
        <v>252.51319404650707</v>
      </c>
      <c r="M144" s="28">
        <v>258.90559598780294</v>
      </c>
      <c r="N144" s="28">
        <v>265.4598223546833</v>
      </c>
      <c r="O144" s="28">
        <v>272.17996975198554</v>
      </c>
      <c r="P144" s="28">
        <v>279.07023849059249</v>
      </c>
      <c r="Q144" s="28">
        <v>286.13493521276291</v>
      </c>
      <c r="R144" s="28">
        <v>293.37847558392366</v>
      </c>
      <c r="S144" s="28"/>
      <c r="T144" s="45"/>
      <c r="U144" s="45"/>
      <c r="V144" s="45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X144" s="16"/>
      <c r="AY144" s="16"/>
      <c r="AZ144" s="16"/>
    </row>
    <row r="145" spans="1:52" ht="15.75" x14ac:dyDescent="0.25">
      <c r="A145" s="9" t="s">
        <v>72</v>
      </c>
      <c r="B145" s="28">
        <v>55.794958224436613</v>
      </c>
      <c r="C145" s="28">
        <v>61.662965204893013</v>
      </c>
      <c r="D145" s="28">
        <v>68.148115866758332</v>
      </c>
      <c r="E145" s="28">
        <v>75.315315777590939</v>
      </c>
      <c r="F145" s="28">
        <v>83.23629668307747</v>
      </c>
      <c r="G145" s="28">
        <v>91.990334422453728</v>
      </c>
      <c r="H145" s="28">
        <v>101.66504234774905</v>
      </c>
      <c r="I145" s="28">
        <v>104.23870514790347</v>
      </c>
      <c r="J145" s="28">
        <v>106.87752053203303</v>
      </c>
      <c r="K145" s="28">
        <v>109.5831378456536</v>
      </c>
      <c r="L145" s="28">
        <v>112.3572481876614</v>
      </c>
      <c r="M145" s="28">
        <v>115.20158546732522</v>
      </c>
      <c r="N145" s="28">
        <v>118.11792748803585</v>
      </c>
      <c r="O145" s="28">
        <v>121.10809705849121</v>
      </c>
      <c r="P145" s="28">
        <v>124.1739631320112</v>
      </c>
      <c r="Q145" s="28">
        <v>127.31744197469402</v>
      </c>
      <c r="R145" s="28">
        <v>130.54049836314539</v>
      </c>
      <c r="S145" s="28"/>
      <c r="T145" s="45"/>
      <c r="U145" s="45"/>
      <c r="V145" s="45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X145" s="16"/>
      <c r="AY145" s="16"/>
      <c r="AZ145" s="16"/>
    </row>
    <row r="146" spans="1:52" ht="15.75" x14ac:dyDescent="0.25">
      <c r="A146" s="9" t="s">
        <v>74</v>
      </c>
      <c r="B146" s="28">
        <v>14.216512094915931</v>
      </c>
      <c r="C146" s="28">
        <v>15.711675723771789</v>
      </c>
      <c r="D146" s="28">
        <v>17.364087084147734</v>
      </c>
      <c r="E146" s="28">
        <v>19.190284064333049</v>
      </c>
      <c r="F146" s="28">
        <v>21.20854385751143</v>
      </c>
      <c r="G146" s="28">
        <v>23.439065886053545</v>
      </c>
      <c r="H146" s="28">
        <v>25.904173964125391</v>
      </c>
      <c r="I146" s="28">
        <v>26.559941250112999</v>
      </c>
      <c r="J146" s="28">
        <v>27.232309363981358</v>
      </c>
      <c r="K146" s="28">
        <v>27.921698557689076</v>
      </c>
      <c r="L146" s="28">
        <v>28.628539721923747</v>
      </c>
      <c r="M146" s="28">
        <v>29.353274655422645</v>
      </c>
      <c r="N146" s="28">
        <v>30.096356341111331</v>
      </c>
      <c r="O146" s="28">
        <v>30.858249229232722</v>
      </c>
      <c r="P146" s="28">
        <v>31.639429527643614</v>
      </c>
      <c r="Q146" s="28">
        <v>32.440385499460085</v>
      </c>
      <c r="R146" s="28">
        <v>33.261617768237848</v>
      </c>
      <c r="S146" s="28"/>
      <c r="T146" s="45"/>
      <c r="U146" s="45"/>
      <c r="V146" s="45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X146" s="16"/>
      <c r="AY146" s="16"/>
      <c r="AZ146" s="16"/>
    </row>
    <row r="147" spans="1:52" ht="15.75" x14ac:dyDescent="0.25">
      <c r="A147" s="20" t="s">
        <v>76</v>
      </c>
      <c r="B147" s="29">
        <v>34.965535066222003</v>
      </c>
      <c r="C147" s="29">
        <v>38.64289249014282</v>
      </c>
      <c r="D147" s="29">
        <v>42.707000970429689</v>
      </c>
      <c r="E147" s="29">
        <v>47.198535470747373</v>
      </c>
      <c r="F147" s="29">
        <v>52.16244877803188</v>
      </c>
      <c r="G147" s="29">
        <v>57.648421405091455</v>
      </c>
      <c r="H147" s="29">
        <v>63.711358809876742</v>
      </c>
      <c r="I147" s="29">
        <v>65.324219536923891</v>
      </c>
      <c r="J147" s="29">
        <v>66.977910027665374</v>
      </c>
      <c r="K147" s="29">
        <v>68.673463892490076</v>
      </c>
      <c r="L147" s="29">
        <v>70.411940907758463</v>
      </c>
      <c r="M147" s="29">
        <v>72.194427678197343</v>
      </c>
      <c r="N147" s="29">
        <v>74.022038316063075</v>
      </c>
      <c r="O147" s="29">
        <v>75.895915137498093</v>
      </c>
      <c r="P147" s="29">
        <v>77.817229376515684</v>
      </c>
      <c r="Q147" s="29">
        <v>79.787181917059314</v>
      </c>
      <c r="R147" s="29">
        <v>81.807004043594205</v>
      </c>
      <c r="S147" s="28"/>
      <c r="T147" s="45"/>
      <c r="U147" s="45"/>
      <c r="V147" s="45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X147" s="16"/>
      <c r="AY147" s="16"/>
      <c r="AZ147" s="16"/>
    </row>
    <row r="148" spans="1:52" ht="15.75" x14ac:dyDescent="0.2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45"/>
      <c r="U148" s="45"/>
      <c r="V148" s="45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X148" s="16"/>
      <c r="AY148" s="16"/>
      <c r="AZ148" s="16"/>
    </row>
    <row r="149" spans="1:52" ht="15.75" x14ac:dyDescent="0.25">
      <c r="A149" s="8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45"/>
      <c r="U149" s="45"/>
      <c r="V149" s="45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X149" s="16"/>
      <c r="AY149" s="16"/>
      <c r="AZ149" s="16"/>
    </row>
    <row r="150" spans="1:52" ht="15.75" x14ac:dyDescent="0.25">
      <c r="A150" s="23" t="s">
        <v>78</v>
      </c>
      <c r="B150" s="27">
        <f>SUM(B151:B167)</f>
        <v>89022.643361255847</v>
      </c>
      <c r="C150" s="27">
        <f t="shared" ref="C150:R150" si="7">SUM(C151:C167)</f>
        <v>98385.236493080098</v>
      </c>
      <c r="D150" s="27">
        <f t="shared" si="7"/>
        <v>108732.50214014707</v>
      </c>
      <c r="E150" s="27">
        <f t="shared" si="7"/>
        <v>120167.99921488861</v>
      </c>
      <c r="F150" s="27">
        <f t="shared" si="7"/>
        <v>132806.17801563215</v>
      </c>
      <c r="G150" s="27">
        <f t="shared" si="7"/>
        <v>146773.52568365415</v>
      </c>
      <c r="H150" s="27">
        <f t="shared" si="7"/>
        <v>162209.83212900371</v>
      </c>
      <c r="I150" s="27">
        <f t="shared" si="7"/>
        <v>166316.19357959685</v>
      </c>
      <c r="J150" s="27">
        <f t="shared" si="7"/>
        <v>170526.50806522858</v>
      </c>
      <c r="K150" s="27">
        <f t="shared" si="7"/>
        <v>174843.40716950977</v>
      </c>
      <c r="L150" s="27">
        <f t="shared" si="7"/>
        <v>179269.58909490771</v>
      </c>
      <c r="M150" s="27">
        <f t="shared" si="7"/>
        <v>183807.82034921017</v>
      </c>
      <c r="N150" s="27">
        <f t="shared" si="7"/>
        <v>188460.93747468296</v>
      </c>
      <c r="O150" s="27">
        <f t="shared" si="7"/>
        <v>193231.84882100142</v>
      </c>
      <c r="P150" s="27">
        <f t="shared" si="7"/>
        <v>198123.53636306332</v>
      </c>
      <c r="Q150" s="27">
        <f t="shared" si="7"/>
        <v>203139.05756482034</v>
      </c>
      <c r="R150" s="27">
        <f t="shared" si="7"/>
        <v>208281.54729029266</v>
      </c>
      <c r="S150" s="33"/>
      <c r="T150" s="45"/>
      <c r="U150" s="45"/>
      <c r="V150" s="45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X150" s="16"/>
      <c r="AY150" s="16"/>
      <c r="AZ150" s="16"/>
    </row>
    <row r="151" spans="1:52" ht="15.75" x14ac:dyDescent="0.25">
      <c r="A151" s="19" t="s">
        <v>44</v>
      </c>
      <c r="B151" s="28">
        <v>494.9160183772687</v>
      </c>
      <c r="C151" s="28">
        <v>546.96679040035031</v>
      </c>
      <c r="D151" s="28">
        <v>604.49178990364544</v>
      </c>
      <c r="E151" s="28">
        <v>668.06674641700329</v>
      </c>
      <c r="F151" s="28">
        <v>738.32793947349023</v>
      </c>
      <c r="G151" s="28">
        <v>815.97856670881845</v>
      </c>
      <c r="H151" s="28">
        <v>901.79578169963645</v>
      </c>
      <c r="I151" s="28">
        <v>924.62485060178403</v>
      </c>
      <c r="J151" s="28">
        <v>948.03184013465068</v>
      </c>
      <c r="K151" s="28">
        <v>972.03138042865521</v>
      </c>
      <c r="L151" s="28">
        <v>996.63847197773327</v>
      </c>
      <c r="M151" s="28">
        <v>1021.8684950151323</v>
      </c>
      <c r="N151" s="28">
        <v>1047.7372191265572</v>
      </c>
      <c r="O151" s="28">
        <v>1074.2608131066756</v>
      </c>
      <c r="P151" s="28">
        <v>1101.4558550651423</v>
      </c>
      <c r="Q151" s="28">
        <v>1129.3393427884539</v>
      </c>
      <c r="R151" s="28">
        <v>1157.9287043641234</v>
      </c>
      <c r="S151" s="28"/>
      <c r="T151" s="45"/>
      <c r="U151" s="45"/>
      <c r="V151" s="45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X151" s="16"/>
      <c r="AY151" s="16"/>
      <c r="AZ151" s="16"/>
    </row>
    <row r="152" spans="1:52" ht="15.75" x14ac:dyDescent="0.25">
      <c r="A152" s="17" t="s">
        <v>46</v>
      </c>
      <c r="B152" s="28">
        <v>286.87061220754356</v>
      </c>
      <c r="C152" s="28">
        <v>317.04105786233407</v>
      </c>
      <c r="D152" s="28">
        <v>350.38455698539036</v>
      </c>
      <c r="E152" s="28">
        <v>387.23482252307303</v>
      </c>
      <c r="F152" s="28">
        <v>427.96066431868485</v>
      </c>
      <c r="G152" s="28">
        <v>472.96968028534508</v>
      </c>
      <c r="H152" s="28">
        <v>522.71233578290037</v>
      </c>
      <c r="I152" s="28">
        <v>535.94486156285018</v>
      </c>
      <c r="J152" s="28">
        <v>549.51237032776214</v>
      </c>
      <c r="K152" s="28">
        <v>563.42334221227406</v>
      </c>
      <c r="L152" s="28">
        <v>577.6864720266542</v>
      </c>
      <c r="M152" s="28">
        <v>592.31067469134121</v>
      </c>
      <c r="N152" s="28">
        <v>607.30509080905824</v>
      </c>
      <c r="O152" s="28">
        <v>622.67909237798881</v>
      </c>
      <c r="P152" s="28">
        <v>638.44228864957927</v>
      </c>
      <c r="Q152" s="28">
        <v>654.60453213463597</v>
      </c>
      <c r="R152" s="28">
        <v>671.17592476146115</v>
      </c>
      <c r="S152" s="28"/>
      <c r="T152" s="45"/>
      <c r="U152" s="45"/>
      <c r="V152" s="45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X152" s="16"/>
      <c r="AY152" s="16"/>
      <c r="AZ152" s="16"/>
    </row>
    <row r="153" spans="1:52" ht="15.75" x14ac:dyDescent="0.25">
      <c r="A153" s="17" t="s">
        <v>48</v>
      </c>
      <c r="B153" s="28">
        <v>163.3641360868175</v>
      </c>
      <c r="C153" s="28">
        <v>180.54529225970322</v>
      </c>
      <c r="D153" s="28">
        <v>199.53340640089226</v>
      </c>
      <c r="E153" s="28">
        <v>220.51851793883549</v>
      </c>
      <c r="F153" s="28">
        <v>243.71065292314387</v>
      </c>
      <c r="G153" s="28">
        <v>269.3419260358865</v>
      </c>
      <c r="H153" s="28">
        <v>297.66886367334376</v>
      </c>
      <c r="I153" s="28">
        <v>305.2043868336043</v>
      </c>
      <c r="J153" s="28">
        <v>312.93067267088156</v>
      </c>
      <c r="K153" s="28">
        <v>320.85255036533545</v>
      </c>
      <c r="L153" s="28">
        <v>328.97497134840421</v>
      </c>
      <c r="M153" s="28">
        <v>337.30301239760985</v>
      </c>
      <c r="N153" s="28">
        <v>345.84187880970808</v>
      </c>
      <c r="O153" s="28">
        <v>354.59690765417088</v>
      </c>
      <c r="P153" s="28">
        <v>363.57357110902598</v>
      </c>
      <c r="Q153" s="28">
        <v>372.77747988114805</v>
      </c>
      <c r="R153" s="28">
        <v>382.21438671313183</v>
      </c>
      <c r="S153" s="28"/>
      <c r="T153" s="45"/>
      <c r="U153" s="45"/>
      <c r="V153" s="45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X153" s="16"/>
      <c r="AY153" s="16"/>
      <c r="AZ153" s="16"/>
    </row>
    <row r="154" spans="1:52" ht="15.75" x14ac:dyDescent="0.25">
      <c r="A154" s="17" t="s">
        <v>50</v>
      </c>
      <c r="B154" s="28">
        <v>1659.376148933856</v>
      </c>
      <c r="C154" s="28">
        <v>1833.8942619500622</v>
      </c>
      <c r="D154" s="28">
        <v>2026.7666051330129</v>
      </c>
      <c r="E154" s="28">
        <v>2239.9235097199153</v>
      </c>
      <c r="F154" s="28">
        <v>2475.4983216563855</v>
      </c>
      <c r="G154" s="28">
        <v>2735.8487528397136</v>
      </c>
      <c r="H154" s="28">
        <v>3023.5804778919824</v>
      </c>
      <c r="I154" s="28">
        <v>3100.1227821051284</v>
      </c>
      <c r="J154" s="28">
        <v>3178.6027639746471</v>
      </c>
      <c r="K154" s="28">
        <v>3259.0694760439478</v>
      </c>
      <c r="L154" s="28">
        <v>3341.5732126274879</v>
      </c>
      <c r="M154" s="28">
        <v>3426.1655412463542</v>
      </c>
      <c r="N154" s="28">
        <v>3512.8993348596514</v>
      </c>
      <c r="O154" s="28">
        <v>3601.8288049118082</v>
      </c>
      <c r="P154" s="28">
        <v>3693.0095352165117</v>
      </c>
      <c r="Q154" s="28">
        <v>3786.498516698382</v>
      </c>
      <c r="R154" s="28">
        <v>3882.3541830141735</v>
      </c>
      <c r="S154" s="28"/>
      <c r="T154" s="45"/>
      <c r="U154" s="45"/>
      <c r="V154" s="45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X154" s="16"/>
      <c r="AY154" s="16"/>
      <c r="AZ154" s="16"/>
    </row>
    <row r="155" spans="1:52" ht="15.75" x14ac:dyDescent="0.25">
      <c r="A155" s="17" t="s">
        <v>52</v>
      </c>
      <c r="B155" s="28">
        <v>15940.244823730043</v>
      </c>
      <c r="C155" s="28">
        <v>17616.695006192323</v>
      </c>
      <c r="D155" s="28">
        <v>19469.458993452252</v>
      </c>
      <c r="E155" s="28">
        <v>21517.079870229802</v>
      </c>
      <c r="F155" s="28">
        <v>23780.050914488897</v>
      </c>
      <c r="G155" s="28">
        <v>26281.020701051348</v>
      </c>
      <c r="H155" s="28">
        <v>29045.019776146022</v>
      </c>
      <c r="I155" s="28">
        <v>29780.297952413581</v>
      </c>
      <c r="J155" s="28">
        <v>30534.189784332331</v>
      </c>
      <c r="K155" s="28">
        <v>31307.166478838488</v>
      </c>
      <c r="L155" s="28">
        <v>32099.711171528645</v>
      </c>
      <c r="M155" s="28">
        <v>32912.31922863525</v>
      </c>
      <c r="N155" s="28">
        <v>33745.498556646628</v>
      </c>
      <c r="O155" s="28">
        <v>34599.76991976508</v>
      </c>
      <c r="P155" s="28">
        <v>35475.667265401447</v>
      </c>
      <c r="Q155" s="28">
        <v>36373.738057909613</v>
      </c>
      <c r="R155" s="28">
        <v>37294.543620769597</v>
      </c>
      <c r="S155" s="28"/>
      <c r="T155" s="45"/>
      <c r="U155" s="45"/>
      <c r="V155" s="45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X155" s="16"/>
      <c r="AY155" s="16"/>
      <c r="AZ155" s="16"/>
    </row>
    <row r="156" spans="1:52" ht="15.75" x14ac:dyDescent="0.25">
      <c r="A156" s="17" t="s">
        <v>54</v>
      </c>
      <c r="B156" s="28">
        <v>25965.580666470614</v>
      </c>
      <c r="C156" s="28">
        <v>28696.404623530616</v>
      </c>
      <c r="D156" s="28">
        <v>31714.431843257596</v>
      </c>
      <c r="E156" s="28">
        <v>35049.867756460553</v>
      </c>
      <c r="F156" s="28">
        <v>38736.094526837544</v>
      </c>
      <c r="G156" s="28">
        <v>42810.005150890131</v>
      </c>
      <c r="H156" s="28">
        <v>47312.372695432459</v>
      </c>
      <c r="I156" s="28">
        <v>48510.091112514026</v>
      </c>
      <c r="J156" s="28">
        <v>49738.12991567835</v>
      </c>
      <c r="K156" s="28">
        <v>50997.256669153438</v>
      </c>
      <c r="L156" s="28">
        <v>52288.258368148279</v>
      </c>
      <c r="M156" s="28">
        <v>53611.941930750458</v>
      </c>
      <c r="N156" s="28">
        <v>54969.134702276075</v>
      </c>
      <c r="O156" s="28">
        <v>56360.68497238776</v>
      </c>
      <c r="P156" s="28">
        <v>57787.46250530312</v>
      </c>
      <c r="Q156" s="28">
        <v>59250.359083425777</v>
      </c>
      <c r="R156" s="28">
        <v>60750.289064738405</v>
      </c>
      <c r="S156" s="28"/>
      <c r="T156" s="45"/>
      <c r="U156" s="45"/>
      <c r="V156" s="45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X156" s="16"/>
      <c r="AY156" s="16"/>
      <c r="AZ156" s="16"/>
    </row>
    <row r="157" spans="1:52" ht="15.75" x14ac:dyDescent="0.25">
      <c r="A157" s="17" t="s">
        <v>56</v>
      </c>
      <c r="B157" s="28">
        <v>18213.767865001562</v>
      </c>
      <c r="C157" s="28">
        <v>20129.326552980503</v>
      </c>
      <c r="D157" s="28">
        <v>22246.346306801985</v>
      </c>
      <c r="E157" s="28">
        <v>24586.014971717137</v>
      </c>
      <c r="F157" s="28">
        <v>27171.748738114242</v>
      </c>
      <c r="G157" s="28">
        <v>30029.426498622553</v>
      </c>
      <c r="H157" s="28">
        <v>33187.648852767867</v>
      </c>
      <c r="I157" s="28">
        <v>34027.79818339811</v>
      </c>
      <c r="J157" s="28">
        <v>34889.215995591774</v>
      </c>
      <c r="K157" s="28">
        <v>35772.440703523011</v>
      </c>
      <c r="L157" s="28">
        <v>36678.024351385684</v>
      </c>
      <c r="M157" s="28">
        <v>37606.53295843894</v>
      </c>
      <c r="N157" s="28">
        <v>38558.546872787731</v>
      </c>
      <c r="O157" s="28">
        <v>39534.661134119189</v>
      </c>
      <c r="P157" s="28">
        <v>40535.485845621879</v>
      </c>
      <c r="Q157" s="28">
        <v>41561.646555320069</v>
      </c>
      <c r="R157" s="28">
        <v>42613.784647061708</v>
      </c>
      <c r="S157" s="28"/>
      <c r="T157" s="45"/>
      <c r="U157" s="45"/>
      <c r="V157" s="45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X157" s="16"/>
      <c r="AY157" s="16"/>
      <c r="AZ157" s="16"/>
    </row>
    <row r="158" spans="1:52" ht="15.75" x14ac:dyDescent="0.25">
      <c r="A158" s="9" t="s">
        <v>58</v>
      </c>
      <c r="B158" s="28">
        <v>11668.660755021738</v>
      </c>
      <c r="C158" s="28">
        <v>12895.864519340654</v>
      </c>
      <c r="D158" s="28">
        <v>14252.134430218885</v>
      </c>
      <c r="E158" s="28">
        <v>15751.044492782548</v>
      </c>
      <c r="F158" s="28">
        <v>17407.596302738864</v>
      </c>
      <c r="G158" s="28">
        <v>19238.369187388162</v>
      </c>
      <c r="H158" s="28">
        <v>21261.686137104029</v>
      </c>
      <c r="I158" s="28">
        <v>21799.928284217396</v>
      </c>
      <c r="J158" s="28">
        <v>22351.796096156264</v>
      </c>
      <c r="K158" s="28">
        <v>22917.634508267922</v>
      </c>
      <c r="L158" s="28">
        <v>23497.797187979537</v>
      </c>
      <c r="M158" s="28">
        <v>24092.646755851823</v>
      </c>
      <c r="N158" s="28">
        <v>24702.555012228702</v>
      </c>
      <c r="O158" s="28">
        <v>25327.903169624602</v>
      </c>
      <c r="P158" s="28">
        <v>25969.082090994711</v>
      </c>
      <c r="Q158" s="28">
        <v>26626.492534037036</v>
      </c>
      <c r="R158" s="28">
        <v>27300.545401678988</v>
      </c>
      <c r="S158" s="28"/>
      <c r="T158" s="45"/>
      <c r="U158" s="45"/>
      <c r="V158" s="45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X158" s="16"/>
      <c r="AY158" s="16"/>
      <c r="AZ158" s="16"/>
    </row>
    <row r="159" spans="1:52" ht="15.75" x14ac:dyDescent="0.25">
      <c r="A159" s="9" t="s">
        <v>60</v>
      </c>
      <c r="B159" s="28">
        <v>7262.1816775758516</v>
      </c>
      <c r="C159" s="28">
        <v>8025.9519918386504</v>
      </c>
      <c r="D159" s="28">
        <v>8870.0487312513978</v>
      </c>
      <c r="E159" s="28">
        <v>9802.919899692839</v>
      </c>
      <c r="F159" s="28">
        <v>10833.90198536557</v>
      </c>
      <c r="G159" s="28">
        <v>11973.313403508051</v>
      </c>
      <c r="H159" s="28">
        <v>13232.557766562451</v>
      </c>
      <c r="I159" s="28">
        <v>13567.541561269449</v>
      </c>
      <c r="J159" s="28">
        <v>13911.005511113181</v>
      </c>
      <c r="K159" s="28">
        <v>14263.164292243004</v>
      </c>
      <c r="L159" s="28">
        <v>14624.238015360868</v>
      </c>
      <c r="M159" s="28">
        <v>14994.452363297663</v>
      </c>
      <c r="N159" s="28">
        <v>15374.038732072346</v>
      </c>
      <c r="O159" s="28">
        <v>15763.234375522001</v>
      </c>
      <c r="P159" s="28">
        <v>16162.282553593159</v>
      </c>
      <c r="Q159" s="28">
        <v>16571.432684387244</v>
      </c>
      <c r="R159" s="28">
        <v>16990.940500054967</v>
      </c>
      <c r="S159" s="28"/>
      <c r="T159" s="45"/>
      <c r="U159" s="45"/>
      <c r="V159" s="45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X159" s="16"/>
      <c r="AY159" s="16"/>
      <c r="AZ159" s="16"/>
    </row>
    <row r="160" spans="1:52" ht="15.75" x14ac:dyDescent="0.25">
      <c r="A160" s="9" t="s">
        <v>62</v>
      </c>
      <c r="B160" s="28">
        <v>4146.9515540473194</v>
      </c>
      <c r="C160" s="28">
        <v>4583.0902562017109</v>
      </c>
      <c r="D160" s="28">
        <v>5065.0980660699988</v>
      </c>
      <c r="E160" s="28">
        <v>5597.7990798217688</v>
      </c>
      <c r="F160" s="28">
        <v>6186.5247482496397</v>
      </c>
      <c r="G160" s="28">
        <v>6837.1672357207717</v>
      </c>
      <c r="H160" s="28">
        <v>7556.2383909382625</v>
      </c>
      <c r="I160" s="28">
        <v>7747.5254765161826</v>
      </c>
      <c r="J160" s="28">
        <v>7943.6550177202716</v>
      </c>
      <c r="K160" s="28">
        <v>8144.7496018983456</v>
      </c>
      <c r="L160" s="28">
        <v>8350.9349197116953</v>
      </c>
      <c r="M160" s="28">
        <v>8562.3398436958578</v>
      </c>
      <c r="N160" s="28">
        <v>8779.0965088101366</v>
      </c>
      <c r="O160" s="28">
        <v>9001.34039502626</v>
      </c>
      <c r="P160" s="28">
        <v>9229.2104120077602</v>
      </c>
      <c r="Q160" s="28">
        <v>9462.8489859330512</v>
      </c>
      <c r="R160" s="28">
        <v>9702.4021485164158</v>
      </c>
      <c r="S160" s="28"/>
      <c r="T160" s="45"/>
      <c r="U160" s="45"/>
      <c r="V160" s="45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X160" s="16"/>
      <c r="AY160" s="16"/>
      <c r="AZ160" s="16"/>
    </row>
    <row r="161" spans="1:52" ht="15.75" x14ac:dyDescent="0.25">
      <c r="A161" s="9" t="s">
        <v>64</v>
      </c>
      <c r="B161" s="28">
        <v>1960.5960568562846</v>
      </c>
      <c r="C161" s="28">
        <v>2166.7937441313543</v>
      </c>
      <c r="D161" s="28">
        <v>2394.6774314822192</v>
      </c>
      <c r="E161" s="28">
        <v>2646.5278554462379</v>
      </c>
      <c r="F161" s="28">
        <v>2924.8656197162936</v>
      </c>
      <c r="G161" s="28">
        <v>3232.4764221897558</v>
      </c>
      <c r="H161" s="28">
        <v>3572.4389351693367</v>
      </c>
      <c r="I161" s="28">
        <v>3662.8756573793116</v>
      </c>
      <c r="J161" s="28">
        <v>3755.601796111865</v>
      </c>
      <c r="K161" s="28">
        <v>3850.6753082221981</v>
      </c>
      <c r="L161" s="28">
        <v>3948.1556177502853</v>
      </c>
      <c r="M161" s="28">
        <v>4048.1036530628344</v>
      </c>
      <c r="N161" s="28">
        <v>4150.5818849355001</v>
      </c>
      <c r="O161" s="28">
        <v>4255.6543655991536</v>
      </c>
      <c r="P161" s="28">
        <v>4363.3867687746078</v>
      </c>
      <c r="Q161" s="28">
        <v>4473.8464307208351</v>
      </c>
      <c r="R161" s="28">
        <v>4587.1023923223202</v>
      </c>
      <c r="S161" s="28"/>
      <c r="T161" s="45"/>
      <c r="U161" s="45"/>
      <c r="V161" s="45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X161" s="16"/>
      <c r="AY161" s="16"/>
      <c r="AZ161" s="16"/>
    </row>
    <row r="162" spans="1:52" ht="15.75" x14ac:dyDescent="0.25">
      <c r="A162" s="9" t="s">
        <v>66</v>
      </c>
      <c r="B162" s="28">
        <v>772.74168705675083</v>
      </c>
      <c r="C162" s="28">
        <v>854.01163971983431</v>
      </c>
      <c r="D162" s="28">
        <v>943.82882791645875</v>
      </c>
      <c r="E162" s="28">
        <v>1043.092172254695</v>
      </c>
      <c r="F162" s="28">
        <v>1152.7951336482427</v>
      </c>
      <c r="G162" s="28">
        <v>1274.0356562071674</v>
      </c>
      <c r="H162" s="28">
        <v>1408.0271558315853</v>
      </c>
      <c r="I162" s="28">
        <v>1443.6715329831309</v>
      </c>
      <c r="J162" s="28">
        <v>1480.2182518382865</v>
      </c>
      <c r="K162" s="28">
        <v>1517.6901552860318</v>
      </c>
      <c r="L162" s="28">
        <v>1556.1106644858362</v>
      </c>
      <c r="M162" s="28">
        <v>1595.5037935066448</v>
      </c>
      <c r="N162" s="28">
        <v>1635.894164336449</v>
      </c>
      <c r="O162" s="28">
        <v>1677.3070222718356</v>
      </c>
      <c r="P162" s="28">
        <v>1719.7682516971176</v>
      </c>
      <c r="Q162" s="28">
        <v>1763.3043922629172</v>
      </c>
      <c r="R162" s="28">
        <v>1807.9426554743077</v>
      </c>
      <c r="S162" s="28"/>
      <c r="T162" s="45"/>
      <c r="U162" s="45"/>
      <c r="V162" s="45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X162" s="16"/>
      <c r="AY162" s="16"/>
      <c r="AZ162" s="16"/>
    </row>
    <row r="163" spans="1:52" ht="15.75" x14ac:dyDescent="0.25">
      <c r="A163" s="9" t="s">
        <v>68</v>
      </c>
      <c r="B163" s="28">
        <v>289.28382338900224</v>
      </c>
      <c r="C163" s="28">
        <v>319.70806867925717</v>
      </c>
      <c r="D163" s="28">
        <v>353.33205977844693</v>
      </c>
      <c r="E163" s="28">
        <v>390.49231689090584</v>
      </c>
      <c r="F163" s="28">
        <v>431.56075235980904</v>
      </c>
      <c r="G163" s="28">
        <v>476.94839289090748</v>
      </c>
      <c r="H163" s="28">
        <v>527.10949324594901</v>
      </c>
      <c r="I163" s="28">
        <v>540.45333359704068</v>
      </c>
      <c r="J163" s="28">
        <v>554.13497487487928</v>
      </c>
      <c r="K163" s="28">
        <v>568.1629685506382</v>
      </c>
      <c r="L163" s="28">
        <v>582.54608257701466</v>
      </c>
      <c r="M163" s="28">
        <v>597.29330686848584</v>
      </c>
      <c r="N163" s="28">
        <v>612.41385892029632</v>
      </c>
      <c r="O163" s="28">
        <v>627.91718956969407</v>
      </c>
      <c r="P163" s="28">
        <v>643.81298890301173</v>
      </c>
      <c r="Q163" s="28">
        <v>660.11119231228406</v>
      </c>
      <c r="R163" s="28">
        <v>676.82198670519392</v>
      </c>
      <c r="S163" s="28"/>
      <c r="T163" s="45"/>
      <c r="U163" s="45"/>
      <c r="V163" s="45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X163" s="16"/>
      <c r="AY163" s="16"/>
      <c r="AZ163" s="16"/>
    </row>
    <row r="164" spans="1:52" ht="15.75" x14ac:dyDescent="0.25">
      <c r="A164" s="9" t="s">
        <v>70</v>
      </c>
      <c r="B164" s="28">
        <v>103.1430781083894</v>
      </c>
      <c r="C164" s="28">
        <v>113.99073032619694</v>
      </c>
      <c r="D164" s="28">
        <v>125.9792400867167</v>
      </c>
      <c r="E164" s="28">
        <v>139.22859242510913</v>
      </c>
      <c r="F164" s="28">
        <v>153.87139131283797</v>
      </c>
      <c r="G164" s="28">
        <v>170.05418680278638</v>
      </c>
      <c r="H164" s="28">
        <v>187.93894175144317</v>
      </c>
      <c r="I164" s="28">
        <v>192.69663871311454</v>
      </c>
      <c r="J164" s="28">
        <v>197.5747773467894</v>
      </c>
      <c r="K164" s="28">
        <v>202.57640664791055</v>
      </c>
      <c r="L164" s="28">
        <v>207.70465279760805</v>
      </c>
      <c r="M164" s="28">
        <v>212.96272111666417</v>
      </c>
      <c r="N164" s="28">
        <v>218.3538980689429</v>
      </c>
      <c r="O164" s="28">
        <v>223.88155331553702</v>
      </c>
      <c r="P164" s="28">
        <v>229.54914182091622</v>
      </c>
      <c r="Q164" s="28">
        <v>235.36020601239187</v>
      </c>
      <c r="R164" s="28">
        <v>241.31837799425</v>
      </c>
      <c r="S164" s="28"/>
      <c r="T164" s="45"/>
      <c r="U164" s="45"/>
      <c r="V164" s="45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X164" s="16"/>
      <c r="AY164" s="16"/>
      <c r="AZ164" s="16"/>
    </row>
    <row r="165" spans="1:52" ht="15.75" x14ac:dyDescent="0.25">
      <c r="A165" s="9" t="s">
        <v>72</v>
      </c>
      <c r="B165" s="28">
        <v>49.123402816424807</v>
      </c>
      <c r="C165" s="28">
        <v>54.289756189628058</v>
      </c>
      <c r="D165" s="28">
        <v>59.999459690194321</v>
      </c>
      <c r="E165" s="28">
        <v>66.309657949854895</v>
      </c>
      <c r="F165" s="28">
        <v>73.283505553723273</v>
      </c>
      <c r="G165" s="28">
        <v>80.99079911261019</v>
      </c>
      <c r="H165" s="28">
        <v>89.508675810963766</v>
      </c>
      <c r="I165" s="28">
        <v>91.77459872710034</v>
      </c>
      <c r="J165" s="28">
        <v>94.097883754957962</v>
      </c>
      <c r="K165" s="28">
        <v>96.479983023308435</v>
      </c>
      <c r="L165" s="28">
        <v>98.922385421738326</v>
      </c>
      <c r="M165" s="28">
        <v>101.42661753125364</v>
      </c>
      <c r="N165" s="28">
        <v>103.99424457844248</v>
      </c>
      <c r="O165" s="28">
        <v>106.62687141379267</v>
      </c>
      <c r="P165" s="28">
        <v>109.32614351477565</v>
      </c>
      <c r="Q165" s="28">
        <v>112.09374801432318</v>
      </c>
      <c r="R165" s="28">
        <v>114.93141475534074</v>
      </c>
      <c r="S165" s="28"/>
      <c r="T165" s="45"/>
      <c r="U165" s="45"/>
      <c r="V165" s="45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X165" s="16"/>
      <c r="AY165" s="16"/>
      <c r="AZ165" s="16"/>
    </row>
    <row r="166" spans="1:52" ht="15.75" x14ac:dyDescent="0.25">
      <c r="A166" s="9" t="s">
        <v>74</v>
      </c>
      <c r="B166" s="28">
        <v>14.216512094915931</v>
      </c>
      <c r="C166" s="28">
        <v>15.711675723771789</v>
      </c>
      <c r="D166" s="28">
        <v>17.364087084147734</v>
      </c>
      <c r="E166" s="28">
        <v>19.190284064333049</v>
      </c>
      <c r="F166" s="28">
        <v>21.20854385751143</v>
      </c>
      <c r="G166" s="28">
        <v>23.439065886053545</v>
      </c>
      <c r="H166" s="28">
        <v>25.904173964125391</v>
      </c>
      <c r="I166" s="28">
        <v>26.559941250112999</v>
      </c>
      <c r="J166" s="28">
        <v>27.232309363981358</v>
      </c>
      <c r="K166" s="28">
        <v>27.921698557689076</v>
      </c>
      <c r="L166" s="28">
        <v>28.628539721923747</v>
      </c>
      <c r="M166" s="28">
        <v>29.353274655422645</v>
      </c>
      <c r="N166" s="28">
        <v>30.096356341111331</v>
      </c>
      <c r="O166" s="28">
        <v>30.858249229232722</v>
      </c>
      <c r="P166" s="28">
        <v>31.639429527643614</v>
      </c>
      <c r="Q166" s="28">
        <v>32.440385499460085</v>
      </c>
      <c r="R166" s="28">
        <v>33.261617768237848</v>
      </c>
      <c r="S166" s="28"/>
      <c r="T166" s="45"/>
      <c r="U166" s="45"/>
      <c r="V166" s="45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X166" s="16"/>
      <c r="AY166" s="16"/>
      <c r="AZ166" s="16"/>
    </row>
    <row r="167" spans="1:52" ht="15.75" x14ac:dyDescent="0.25">
      <c r="A167" s="20" t="s">
        <v>76</v>
      </c>
      <c r="B167" s="29">
        <v>31.624543481468116</v>
      </c>
      <c r="C167" s="29">
        <v>34.950525753137356</v>
      </c>
      <c r="D167" s="29">
        <v>38.626304633821377</v>
      </c>
      <c r="E167" s="29">
        <v>42.688668554030031</v>
      </c>
      <c r="F167" s="29">
        <v>47.178275017284385</v>
      </c>
      <c r="G167" s="29">
        <v>52.14005751407759</v>
      </c>
      <c r="H167" s="29">
        <v>57.623675231350205</v>
      </c>
      <c r="I167" s="29">
        <v>59.082425514892371</v>
      </c>
      <c r="J167" s="29">
        <v>60.578104237677458</v>
      </c>
      <c r="K167" s="29">
        <v>62.111646247595687</v>
      </c>
      <c r="L167" s="29">
        <v>63.684010058324247</v>
      </c>
      <c r="M167" s="29">
        <v>65.296178448429671</v>
      </c>
      <c r="N167" s="29">
        <v>66.949159075636288</v>
      </c>
      <c r="O167" s="29">
        <v>68.643985106645175</v>
      </c>
      <c r="P167" s="29">
        <v>70.381715862896996</v>
      </c>
      <c r="Q167" s="29">
        <v>72.16343748268234</v>
      </c>
      <c r="R167" s="29">
        <v>73.990263600013535</v>
      </c>
      <c r="S167" s="28"/>
      <c r="T167" s="45"/>
      <c r="U167" s="45"/>
      <c r="V167" s="45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X167" s="16"/>
      <c r="AY167" s="16"/>
      <c r="AZ167" s="16"/>
    </row>
    <row r="168" spans="1:52" ht="15.75" x14ac:dyDescent="0.25"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45"/>
      <c r="U168" s="45"/>
      <c r="V168" s="45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X168" s="16"/>
      <c r="AY168" s="16"/>
      <c r="AZ168" s="16"/>
    </row>
    <row r="169" spans="1:52" ht="15.75" x14ac:dyDescent="0.25">
      <c r="A169" s="8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45"/>
      <c r="U169" s="45"/>
      <c r="V169" s="45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X169" s="16"/>
      <c r="AY169" s="16"/>
      <c r="AZ169" s="16"/>
    </row>
    <row r="170" spans="1:52" ht="15.75" x14ac:dyDescent="0.25">
      <c r="A170" s="23" t="s">
        <v>4</v>
      </c>
      <c r="B170" s="27">
        <f>SUM(B171:B187)</f>
        <v>8751.3566387441515</v>
      </c>
      <c r="C170" s="27">
        <f t="shared" ref="C170:R170" si="8">SUM(C171:C187)</f>
        <v>9671.7448508482885</v>
      </c>
      <c r="D170" s="27">
        <f t="shared" si="8"/>
        <v>10688.931136205423</v>
      </c>
      <c r="E170" s="27">
        <f t="shared" si="8"/>
        <v>11813.095837047525</v>
      </c>
      <c r="F170" s="27">
        <f t="shared" si="8"/>
        <v>13055.489971545423</v>
      </c>
      <c r="G170" s="27">
        <f t="shared" si="8"/>
        <v>14428.547837780268</v>
      </c>
      <c r="H170" s="27">
        <f t="shared" si="8"/>
        <v>15946.011460378018</v>
      </c>
      <c r="I170" s="27">
        <f t="shared" si="8"/>
        <v>16349.686662381411</v>
      </c>
      <c r="J170" s="27">
        <f t="shared" si="8"/>
        <v>16763.580950776242</v>
      </c>
      <c r="K170" s="27">
        <f t="shared" si="8"/>
        <v>17187.953022966161</v>
      </c>
      <c r="L170" s="27">
        <f t="shared" si="8"/>
        <v>17623.068125310776</v>
      </c>
      <c r="M170" s="27">
        <f t="shared" si="8"/>
        <v>18069.19821891324</v>
      </c>
      <c r="N170" s="27">
        <f t="shared" si="8"/>
        <v>18526.622149604824</v>
      </c>
      <c r="O170" s="27">
        <f t="shared" si="8"/>
        <v>18995.625822232625</v>
      </c>
      <c r="P170" s="27">
        <f t="shared" si="8"/>
        <v>19476.502379359394</v>
      </c>
      <c r="Q170" s="27">
        <f t="shared" si="8"/>
        <v>19969.552384487204</v>
      </c>
      <c r="R170" s="27">
        <f t="shared" si="8"/>
        <v>20475.084009919396</v>
      </c>
      <c r="S170" s="33"/>
      <c r="T170" s="45"/>
      <c r="U170" s="45"/>
      <c r="V170" s="45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X170" s="16"/>
      <c r="AY170" s="16"/>
      <c r="AZ170" s="16"/>
    </row>
    <row r="171" spans="1:52" ht="15.75" x14ac:dyDescent="0.25">
      <c r="A171" s="19" t="s">
        <v>44</v>
      </c>
      <c r="B171" s="28">
        <v>350.58860932824143</v>
      </c>
      <c r="C171" s="28">
        <v>387.46033523815709</v>
      </c>
      <c r="D171" s="28">
        <v>428.20989441305244</v>
      </c>
      <c r="E171" s="28">
        <v>473.24512213754929</v>
      </c>
      <c r="F171" s="28">
        <v>523.01674610757721</v>
      </c>
      <c r="G171" s="28">
        <v>578.02289746464908</v>
      </c>
      <c r="H171" s="28">
        <v>638.81409625975243</v>
      </c>
      <c r="I171" s="28">
        <v>654.98575209927196</v>
      </c>
      <c r="J171" s="28">
        <v>671.56679535544902</v>
      </c>
      <c r="K171" s="28">
        <v>688.5675897200764</v>
      </c>
      <c r="L171" s="28">
        <v>705.99876124305558</v>
      </c>
      <c r="M171" s="28">
        <v>723.871204974021</v>
      </c>
      <c r="N171" s="28">
        <v>742.19609177210191</v>
      </c>
      <c r="O171" s="28">
        <v>760.98487528807289</v>
      </c>
      <c r="P171" s="28">
        <v>780.24929912325797</v>
      </c>
      <c r="Q171" s="28">
        <v>800.00140416966428</v>
      </c>
      <c r="R171" s="28">
        <v>820.25353613593177</v>
      </c>
      <c r="S171" s="28"/>
      <c r="T171" s="45"/>
      <c r="U171" s="45"/>
      <c r="V171" s="45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X171" s="16"/>
      <c r="AY171" s="16"/>
      <c r="AZ171" s="16"/>
    </row>
    <row r="172" spans="1:52" ht="15.75" x14ac:dyDescent="0.25">
      <c r="A172" s="17" t="s">
        <v>46</v>
      </c>
      <c r="B172" s="28">
        <v>165.8304791209838</v>
      </c>
      <c r="C172" s="28">
        <v>183.27102285506209</v>
      </c>
      <c r="D172" s="28">
        <v>202.54580458539206</v>
      </c>
      <c r="E172" s="28">
        <v>223.84773280600859</v>
      </c>
      <c r="F172" s="28">
        <v>247.39000437436866</v>
      </c>
      <c r="G172" s="28">
        <v>273.40823825715955</v>
      </c>
      <c r="H172" s="28">
        <v>302.16283368411058</v>
      </c>
      <c r="I172" s="28">
        <v>309.81212223682661</v>
      </c>
      <c r="J172" s="28">
        <v>317.655053451181</v>
      </c>
      <c r="K172" s="28">
        <v>325.69652941449147</v>
      </c>
      <c r="L172" s="28">
        <v>333.94157631100768</v>
      </c>
      <c r="M172" s="28">
        <v>342.39534756343858</v>
      </c>
      <c r="N172" s="28">
        <v>351.06312705401075</v>
      </c>
      <c r="O172" s="28">
        <v>359.95033242706592</v>
      </c>
      <c r="P172" s="28">
        <v>369.06251847526522</v>
      </c>
      <c r="Q172" s="28">
        <v>378.40538061151562</v>
      </c>
      <c r="R172" s="28">
        <v>387.98475842878872</v>
      </c>
      <c r="S172" s="28"/>
      <c r="T172" s="45"/>
      <c r="U172" s="45"/>
      <c r="V172" s="45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spans="1:52" ht="15.75" x14ac:dyDescent="0.25">
      <c r="A173" s="17" t="s">
        <v>48</v>
      </c>
      <c r="B173" s="28">
        <v>83.483078572863306</v>
      </c>
      <c r="C173" s="28">
        <v>92.263070590152736</v>
      </c>
      <c r="D173" s="28">
        <v>101.96646242859741</v>
      </c>
      <c r="E173" s="28">
        <v>112.69036889513904</v>
      </c>
      <c r="F173" s="28">
        <v>124.54211845012424</v>
      </c>
      <c r="G173" s="28">
        <v>137.64032738660978</v>
      </c>
      <c r="H173" s="28">
        <v>152.11608698209236</v>
      </c>
      <c r="I173" s="28">
        <v>155.96692405774849</v>
      </c>
      <c r="J173" s="28">
        <v>159.91524553809484</v>
      </c>
      <c r="K173" s="28">
        <v>163.96351925258534</v>
      </c>
      <c r="L173" s="28">
        <v>168.11427550407407</v>
      </c>
      <c r="M173" s="28">
        <v>172.37010865033676</v>
      </c>
      <c r="N173" s="28">
        <v>176.73367872562892</v>
      </c>
      <c r="O173" s="28">
        <v>181.20771310329394</v>
      </c>
      <c r="P173" s="28">
        <v>185.79500820045993</v>
      </c>
      <c r="Q173" s="28">
        <v>190.49843122589178</v>
      </c>
      <c r="R173" s="28">
        <v>195.32092197208985</v>
      </c>
      <c r="S173" s="28"/>
      <c r="T173" s="45"/>
      <c r="U173" s="45"/>
      <c r="V173" s="45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spans="1:52" ht="15.75" x14ac:dyDescent="0.25">
      <c r="A174" s="17" t="s">
        <v>50</v>
      </c>
      <c r="B174" s="28">
        <v>143.62787893943062</v>
      </c>
      <c r="C174" s="28">
        <v>158.73335482874839</v>
      </c>
      <c r="D174" s="28">
        <v>175.42748748531542</v>
      </c>
      <c r="E174" s="28">
        <v>193.87735739985033</v>
      </c>
      <c r="F174" s="28">
        <v>214.26761707167299</v>
      </c>
      <c r="G174" s="28">
        <v>236.80233907298222</v>
      </c>
      <c r="H174" s="28">
        <v>261.70705847574868</v>
      </c>
      <c r="I174" s="28">
        <v>268.33220420315592</v>
      </c>
      <c r="J174" s="28">
        <v>275.12506629314436</v>
      </c>
      <c r="K174" s="28">
        <v>282.08989050564685</v>
      </c>
      <c r="L174" s="28">
        <v>289.23103008252031</v>
      </c>
      <c r="M174" s="28">
        <v>296.55294846846402</v>
      </c>
      <c r="N174" s="28">
        <v>304.0602221008179</v>
      </c>
      <c r="O174" s="28">
        <v>311.75754326998475</v>
      </c>
      <c r="P174" s="28">
        <v>319.64972305226411</v>
      </c>
      <c r="Q174" s="28">
        <v>327.74169431693247</v>
      </c>
      <c r="R174" s="28">
        <v>336.03851480944616</v>
      </c>
      <c r="S174" s="28"/>
      <c r="T174" s="45"/>
      <c r="U174" s="45"/>
      <c r="V174" s="45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spans="1:52" ht="15.75" x14ac:dyDescent="0.25">
      <c r="A175" s="17" t="s">
        <v>52</v>
      </c>
      <c r="B175" s="28">
        <v>946.6467242715886</v>
      </c>
      <c r="C175" s="28">
        <v>1046.2064293565361</v>
      </c>
      <c r="D175" s="28">
        <v>1156.2369200286082</v>
      </c>
      <c r="E175" s="28">
        <v>1277.8394184209767</v>
      </c>
      <c r="F175" s="28">
        <v>1412.2309632095619</v>
      </c>
      <c r="G175" s="28">
        <v>1560.756590145168</v>
      </c>
      <c r="H175" s="28">
        <v>1724.9027936233529</v>
      </c>
      <c r="I175" s="28">
        <v>1768.5689157368517</v>
      </c>
      <c r="J175" s="28">
        <v>1813.3404509944885</v>
      </c>
      <c r="K175" s="28">
        <v>1859.2453830632357</v>
      </c>
      <c r="L175" s="28">
        <v>1906.31240401997</v>
      </c>
      <c r="M175" s="28">
        <v>1954.5709322849493</v>
      </c>
      <c r="N175" s="28">
        <v>2004.0511310092884</v>
      </c>
      <c r="O175" s="28">
        <v>2054.783926927907</v>
      </c>
      <c r="P175" s="28">
        <v>2106.8010296897455</v>
      </c>
      <c r="Q175" s="28">
        <v>2160.1349516773321</v>
      </c>
      <c r="R175" s="28">
        <v>2214.8190283280746</v>
      </c>
      <c r="S175" s="28"/>
      <c r="T175" s="45"/>
      <c r="U175" s="45"/>
      <c r="V175" s="45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spans="1:52" ht="15.75" x14ac:dyDescent="0.25">
      <c r="A176" s="17" t="s">
        <v>54</v>
      </c>
      <c r="B176" s="28">
        <v>2322.7980929018204</v>
      </c>
      <c r="C176" s="28">
        <v>2567.0889008366685</v>
      </c>
      <c r="D176" s="28">
        <v>2837.071997319465</v>
      </c>
      <c r="E176" s="28">
        <v>3135.4494639242657</v>
      </c>
      <c r="F176" s="28">
        <v>3465.2075626249784</v>
      </c>
      <c r="G176" s="28">
        <v>3829.646623308925</v>
      </c>
      <c r="H176" s="28">
        <v>4232.4140745876284</v>
      </c>
      <c r="I176" s="28">
        <v>4339.558146995103</v>
      </c>
      <c r="J176" s="28">
        <v>4449.4145845090516</v>
      </c>
      <c r="K176" s="28">
        <v>4562.0520509790495</v>
      </c>
      <c r="L176" s="28">
        <v>4677.540948488303</v>
      </c>
      <c r="M176" s="28">
        <v>4795.9534613572359</v>
      </c>
      <c r="N176" s="28">
        <v>4917.363601261045</v>
      </c>
      <c r="O176" s="28">
        <v>5041.8472534894072</v>
      </c>
      <c r="P176" s="28">
        <v>5169.4822243772524</v>
      </c>
      <c r="Q176" s="28">
        <v>5300.3482899362552</v>
      </c>
      <c r="R176" s="28">
        <v>5434.5272457174424</v>
      </c>
      <c r="S176" s="28"/>
      <c r="T176" s="45"/>
      <c r="U176" s="45"/>
      <c r="V176" s="45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spans="1:32" ht="15.75" x14ac:dyDescent="0.25">
      <c r="A177" s="17" t="s">
        <v>56</v>
      </c>
      <c r="B177" s="28">
        <v>1858.2299425165957</v>
      </c>
      <c r="C177" s="28">
        <v>2053.6616915667246</v>
      </c>
      <c r="D177" s="28">
        <v>2269.6471770855842</v>
      </c>
      <c r="E177" s="28">
        <v>2508.3480544074773</v>
      </c>
      <c r="F177" s="28">
        <v>2772.1533221427767</v>
      </c>
      <c r="G177" s="28">
        <v>3063.7032320789885</v>
      </c>
      <c r="H177" s="28">
        <v>3385.9157137080647</v>
      </c>
      <c r="I177" s="28">
        <v>3471.6305780861421</v>
      </c>
      <c r="J177" s="28">
        <v>3559.5153245866859</v>
      </c>
      <c r="K177" s="28">
        <v>3649.6248840371481</v>
      </c>
      <c r="L177" s="28">
        <v>3742.0155778455041</v>
      </c>
      <c r="M177" s="28">
        <v>3836.7451532029527</v>
      </c>
      <c r="N177" s="28">
        <v>3933.8728191778036</v>
      </c>
      <c r="O177" s="28">
        <v>4033.4592837230653</v>
      </c>
      <c r="P177" s="28">
        <v>4135.5667916208904</v>
      </c>
      <c r="Q177" s="28">
        <v>4240.2591633876</v>
      </c>
      <c r="R177" s="28">
        <v>4347.6018351635703</v>
      </c>
      <c r="S177" s="28"/>
      <c r="T177" s="45"/>
      <c r="U177" s="45"/>
      <c r="V177" s="45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spans="1:32" ht="15.75" x14ac:dyDescent="0.25">
      <c r="A178" s="9" t="s">
        <v>58</v>
      </c>
      <c r="B178" s="28">
        <v>1237.7500101496896</v>
      </c>
      <c r="C178" s="28">
        <v>1367.9253150652751</v>
      </c>
      <c r="D178" s="28">
        <v>1511.7912763096094</v>
      </c>
      <c r="E178" s="28">
        <v>1670.787752777846</v>
      </c>
      <c r="F178" s="28">
        <v>1846.5060346470402</v>
      </c>
      <c r="G178" s="28">
        <v>2040.7047695430938</v>
      </c>
      <c r="H178" s="28">
        <v>2255.3275636772942</v>
      </c>
      <c r="I178" s="28">
        <v>2312.4214527738513</v>
      </c>
      <c r="J178" s="28">
        <v>2370.9606805540952</v>
      </c>
      <c r="K178" s="28">
        <v>2430.9818359410042</v>
      </c>
      <c r="L178" s="28">
        <v>2492.5224341105481</v>
      </c>
      <c r="M178" s="28">
        <v>2555.6209399398995</v>
      </c>
      <c r="N178" s="28">
        <v>2620.3167920492324</v>
      </c>
      <c r="O178" s="28">
        <v>2686.6504274521449</v>
      </c>
      <c r="P178" s="28">
        <v>2754.6633068301035</v>
      </c>
      <c r="Q178" s="28">
        <v>2824.3979404467291</v>
      </c>
      <c r="R178" s="28">
        <v>2895.8979147180862</v>
      </c>
      <c r="S178" s="28"/>
      <c r="T178" s="45"/>
      <c r="U178" s="45"/>
      <c r="V178" s="45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spans="1:32" ht="15.75" x14ac:dyDescent="0.25">
      <c r="A179" s="9" t="s">
        <v>60</v>
      </c>
      <c r="B179" s="28">
        <v>701.13550761049873</v>
      </c>
      <c r="C179" s="28">
        <v>774.87457264133025</v>
      </c>
      <c r="D179" s="28">
        <v>856.36884283949428</v>
      </c>
      <c r="E179" s="28">
        <v>946.4339402523043</v>
      </c>
      <c r="F179" s="28">
        <v>1045.9712666465914</v>
      </c>
      <c r="G179" s="28">
        <v>1155.9770250405613</v>
      </c>
      <c r="H179" s="28">
        <v>1277.5521900384333</v>
      </c>
      <c r="I179" s="28">
        <v>1309.8935777055044</v>
      </c>
      <c r="J179" s="28">
        <v>1343.0536914992945</v>
      </c>
      <c r="K179" s="28">
        <v>1377.0532575703778</v>
      </c>
      <c r="L179" s="28">
        <v>1411.9135267543297</v>
      </c>
      <c r="M179" s="28">
        <v>1447.6562878541868</v>
      </c>
      <c r="N179" s="28">
        <v>1484.3038812591631</v>
      </c>
      <c r="O179" s="28">
        <v>1521.8792129081166</v>
      </c>
      <c r="P179" s="28">
        <v>1560.4057686065084</v>
      </c>
      <c r="Q179" s="28">
        <v>1599.9076287057962</v>
      </c>
      <c r="R179" s="28">
        <v>1640.4094831544364</v>
      </c>
      <c r="S179" s="28"/>
      <c r="T179" s="45"/>
      <c r="U179" s="45"/>
      <c r="V179" s="45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spans="1:32" ht="15.75" x14ac:dyDescent="0.25">
      <c r="A180" s="9" t="s">
        <v>62</v>
      </c>
      <c r="B180" s="28">
        <v>459.57704454192645</v>
      </c>
      <c r="C180" s="28">
        <v>507.91118424289363</v>
      </c>
      <c r="D180" s="28">
        <v>561.32866979060827</v>
      </c>
      <c r="E180" s="28">
        <v>620.36412133466899</v>
      </c>
      <c r="F180" s="28">
        <v>685.60838551662823</v>
      </c>
      <c r="G180" s="28">
        <v>757.71444886177483</v>
      </c>
      <c r="H180" s="28">
        <v>837.40397308775107</v>
      </c>
      <c r="I180" s="28">
        <v>858.60295559410304</v>
      </c>
      <c r="J180" s="28">
        <v>880.33859289759903</v>
      </c>
      <c r="K180" s="28">
        <v>902.62447047910746</v>
      </c>
      <c r="L180" s="28">
        <v>925.47451773758473</v>
      </c>
      <c r="M180" s="28">
        <v>948.90301669639939</v>
      </c>
      <c r="N180" s="28">
        <v>972.92461093006295</v>
      </c>
      <c r="O180" s="28">
        <v>997.55431471694078</v>
      </c>
      <c r="P180" s="28">
        <v>1022.8075224236638</v>
      </c>
      <c r="Q180" s="28">
        <v>1048.7000181271112</v>
      </c>
      <c r="R180" s="28">
        <v>1075.2479854799701</v>
      </c>
      <c r="S180" s="28"/>
      <c r="T180" s="45"/>
      <c r="U180" s="45"/>
      <c r="V180" s="45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spans="1:32" ht="15.75" x14ac:dyDescent="0.25">
      <c r="A181" s="9" t="s">
        <v>64</v>
      </c>
      <c r="B181" s="28">
        <v>248.07360205414457</v>
      </c>
      <c r="C181" s="28">
        <v>274.16373053251186</v>
      </c>
      <c r="D181" s="28">
        <v>302.9977817756606</v>
      </c>
      <c r="E181" s="28">
        <v>334.86433665989176</v>
      </c>
      <c r="F181" s="28">
        <v>370.08232637720516</v>
      </c>
      <c r="G181" s="28">
        <v>409.00422440586743</v>
      </c>
      <c r="H181" s="28">
        <v>452.01957418345063</v>
      </c>
      <c r="I181" s="28">
        <v>463.46250418330567</v>
      </c>
      <c r="J181" s="28">
        <v>475.19511333525975</v>
      </c>
      <c r="K181" s="28">
        <v>487.22473490196143</v>
      </c>
      <c r="L181" s="28">
        <v>499.55888778848771</v>
      </c>
      <c r="M181" s="28">
        <v>512.20528124190287</v>
      </c>
      <c r="N181" s="28">
        <v>525.17181966979035</v>
      </c>
      <c r="O181" s="28">
        <v>538.46660758076496</v>
      </c>
      <c r="P181" s="28">
        <v>552.0979546500522</v>
      </c>
      <c r="Q181" s="28">
        <v>566.07438091330891</v>
      </c>
      <c r="R181" s="28">
        <v>580.40462209192083</v>
      </c>
      <c r="S181" s="28"/>
      <c r="T181" s="45"/>
      <c r="U181" s="45"/>
      <c r="V181" s="45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spans="1:32" ht="15.75" x14ac:dyDescent="0.25">
      <c r="A182" s="9" t="s">
        <v>66</v>
      </c>
      <c r="B182" s="28">
        <v>140.15480237572777</v>
      </c>
      <c r="C182" s="28">
        <v>154.89501161429388</v>
      </c>
      <c r="D182" s="28">
        <v>171.18546219110738</v>
      </c>
      <c r="E182" s="28">
        <v>189.18919441095031</v>
      </c>
      <c r="F182" s="28">
        <v>209.08639567714201</v>
      </c>
      <c r="G182" s="28">
        <v>231.07620386763517</v>
      </c>
      <c r="H182" s="28">
        <v>255.37870037383004</v>
      </c>
      <c r="I182" s="28">
        <v>261.84364295316544</v>
      </c>
      <c r="J182" s="28">
        <v>268.47224633308036</v>
      </c>
      <c r="K182" s="28">
        <v>275.26865360646639</v>
      </c>
      <c r="L182" s="28">
        <v>282.23711274911142</v>
      </c>
      <c r="M182" s="28">
        <v>289.38197927482196</v>
      </c>
      <c r="N182" s="28">
        <v>296.70771895776198</v>
      </c>
      <c r="O182" s="28">
        <v>304.21891062370605</v>
      </c>
      <c r="P182" s="28">
        <v>311.92024901195543</v>
      </c>
      <c r="Q182" s="28">
        <v>319.81654770970289</v>
      </c>
      <c r="R182" s="28">
        <v>327.91274216068092</v>
      </c>
      <c r="S182" s="28"/>
      <c r="T182" s="45"/>
      <c r="U182" s="45"/>
      <c r="V182" s="45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spans="1:32" ht="15.75" x14ac:dyDescent="0.25">
      <c r="A183" s="9" t="s">
        <v>68</v>
      </c>
      <c r="B183" s="28">
        <v>61.197056299342321</v>
      </c>
      <c r="C183" s="28">
        <v>67.633206893871233</v>
      </c>
      <c r="D183" s="28">
        <v>74.746253355299885</v>
      </c>
      <c r="E183" s="28">
        <v>82.607385443391763</v>
      </c>
      <c r="F183" s="28">
        <v>91.295280010302122</v>
      </c>
      <c r="G183" s="28">
        <v>100.89688842495897</v>
      </c>
      <c r="H183" s="28">
        <v>111.50830681158813</v>
      </c>
      <c r="I183" s="28">
        <v>114.33115303799846</v>
      </c>
      <c r="J183" s="28">
        <v>117.22545995685222</v>
      </c>
      <c r="K183" s="28">
        <v>120.19303660419159</v>
      </c>
      <c r="L183" s="28">
        <v>123.23573781202383</v>
      </c>
      <c r="M183" s="28">
        <v>126.35546536765213</v>
      </c>
      <c r="N183" s="28">
        <v>129.55416920235447</v>
      </c>
      <c r="O183" s="28">
        <v>132.8338486101544</v>
      </c>
      <c r="P183" s="28">
        <v>136.1965534974442</v>
      </c>
      <c r="Q183" s="28">
        <v>139.64438566424377</v>
      </c>
      <c r="R183" s="28">
        <v>143.17950011789392</v>
      </c>
      <c r="S183" s="28"/>
      <c r="T183" s="45"/>
      <c r="U183" s="45"/>
      <c r="V183" s="45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spans="1:32" ht="15.75" x14ac:dyDescent="0.25">
      <c r="A184" s="9" t="s">
        <v>70</v>
      </c>
      <c r="B184" s="28">
        <v>22.251263068534417</v>
      </c>
      <c r="C184" s="28">
        <v>24.591448833794939</v>
      </c>
      <c r="D184" s="28">
        <v>27.177754084455465</v>
      </c>
      <c r="E184" s="28">
        <v>30.036063432751831</v>
      </c>
      <c r="F184" s="28">
        <v>33.194983799352734</v>
      </c>
      <c r="G184" s="28">
        <v>36.686130721036911</v>
      </c>
      <c r="H184" s="28">
        <v>40.544444769611587</v>
      </c>
      <c r="I184" s="28">
        <v>41.570832275550352</v>
      </c>
      <c r="J184" s="28">
        <v>42.623202904906734</v>
      </c>
      <c r="K184" s="28">
        <v>43.702214423581623</v>
      </c>
      <c r="L184" s="28">
        <v>44.808541248899026</v>
      </c>
      <c r="M184" s="28">
        <v>45.942874871138756</v>
      </c>
      <c r="N184" s="28">
        <v>47.105924285740386</v>
      </c>
      <c r="O184" s="28">
        <v>48.298416436448527</v>
      </c>
      <c r="P184" s="28">
        <v>49.521096669676282</v>
      </c>
      <c r="Q184" s="28">
        <v>50.774729200371027</v>
      </c>
      <c r="R184" s="28">
        <v>52.060097589673653</v>
      </c>
      <c r="S184" s="28"/>
      <c r="T184" s="45"/>
      <c r="U184" s="45"/>
      <c r="V184" s="45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 spans="1:32" ht="15.75" x14ac:dyDescent="0.25">
      <c r="A185" s="9" t="s">
        <v>72</v>
      </c>
      <c r="B185" s="28">
        <v>6.6715554080118027</v>
      </c>
      <c r="C185" s="28">
        <v>7.3732090152649565</v>
      </c>
      <c r="D185" s="28">
        <v>8.148656176564014</v>
      </c>
      <c r="E185" s="28">
        <v>9.0056578277360497</v>
      </c>
      <c r="F185" s="28">
        <v>9.9527911293541926</v>
      </c>
      <c r="G185" s="28">
        <v>10.999535309843537</v>
      </c>
      <c r="H185" s="28">
        <v>12.156366536785285</v>
      </c>
      <c r="I185" s="28">
        <v>12.464106420803137</v>
      </c>
      <c r="J185" s="28">
        <v>12.779636777075076</v>
      </c>
      <c r="K185" s="28">
        <v>13.103154822345157</v>
      </c>
      <c r="L185" s="28">
        <v>13.434862765923077</v>
      </c>
      <c r="M185" s="28">
        <v>13.774967936071581</v>
      </c>
      <c r="N185" s="28">
        <v>14.123682909593375</v>
      </c>
      <c r="O185" s="28">
        <v>14.481225644698547</v>
      </c>
      <c r="P185" s="28">
        <v>14.84781961723554</v>
      </c>
      <c r="Q185" s="28">
        <v>15.223693960370838</v>
      </c>
      <c r="R185" s="28">
        <v>15.609083607804646</v>
      </c>
      <c r="S185" s="28"/>
      <c r="T185" s="45"/>
      <c r="U185" s="45"/>
      <c r="V185" s="45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 spans="1:32" ht="15.75" x14ac:dyDescent="0.25">
      <c r="A186" s="9" t="s">
        <v>74</v>
      </c>
      <c r="B186" s="28">
        <v>0</v>
      </c>
      <c r="C186" s="28">
        <v>0</v>
      </c>
      <c r="D186" s="28">
        <v>0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/>
      <c r="T186" s="45"/>
      <c r="U186" s="45"/>
      <c r="V186" s="45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 spans="1:32" ht="15.75" x14ac:dyDescent="0.25">
      <c r="A187" s="20" t="s">
        <v>76</v>
      </c>
      <c r="B187" s="29">
        <v>3.340991584753886</v>
      </c>
      <c r="C187" s="29">
        <v>3.6923667370054658</v>
      </c>
      <c r="D187" s="29">
        <v>4.0806963366083142</v>
      </c>
      <c r="E187" s="29">
        <v>4.5098669167173426</v>
      </c>
      <c r="F187" s="29">
        <v>4.9841737607474972</v>
      </c>
      <c r="G187" s="29">
        <v>5.5083638910138646</v>
      </c>
      <c r="H187" s="29">
        <v>6.0876835785265397</v>
      </c>
      <c r="I187" s="29">
        <v>6.2417940220315256</v>
      </c>
      <c r="J187" s="29">
        <v>6.3998057899879131</v>
      </c>
      <c r="K187" s="29">
        <v>6.5618176448943952</v>
      </c>
      <c r="L187" s="29">
        <v>6.7279308494342214</v>
      </c>
      <c r="M187" s="29">
        <v>6.8982492297676714</v>
      </c>
      <c r="N187" s="29">
        <v>7.0728792404267882</v>
      </c>
      <c r="O187" s="29">
        <v>7.2519300308529244</v>
      </c>
      <c r="P187" s="29">
        <v>7.4355135136186918</v>
      </c>
      <c r="Q187" s="29">
        <v>7.6237444343769685</v>
      </c>
      <c r="R187" s="29">
        <v>7.8167404435806649</v>
      </c>
      <c r="S187" s="28"/>
      <c r="T187" s="45"/>
      <c r="U187" s="45"/>
      <c r="V187" s="45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 spans="1:32" ht="15.75" x14ac:dyDescent="0.25">
      <c r="A188" s="30" t="s">
        <v>24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45"/>
      <c r="U188" s="45"/>
      <c r="V188" s="45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spans="1:32" ht="15.75" x14ac:dyDescent="0.25">
      <c r="A189" s="30" t="s">
        <v>83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45"/>
      <c r="U189" s="45"/>
      <c r="V189" s="45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spans="1:32" ht="15.75" x14ac:dyDescent="0.25">
      <c r="A190" s="31" t="s">
        <v>84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45"/>
      <c r="U190" s="45"/>
      <c r="V190" s="45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ht="15.75" x14ac:dyDescent="0.25">
      <c r="A191" s="31" t="s">
        <v>85</v>
      </c>
      <c r="G191" s="34"/>
      <c r="T191" s="45"/>
      <c r="U191" s="45"/>
      <c r="V191" s="45"/>
    </row>
    <row r="192" spans="1:32" x14ac:dyDescent="0.25">
      <c r="A192" s="31" t="s">
        <v>132</v>
      </c>
      <c r="G192" s="34"/>
    </row>
    <row r="193" spans="7:7" x14ac:dyDescent="0.25">
      <c r="G193" s="34"/>
    </row>
    <row r="194" spans="7:7" x14ac:dyDescent="0.25">
      <c r="G194" s="34"/>
    </row>
    <row r="195" spans="7:7" x14ac:dyDescent="0.25">
      <c r="G195" s="34"/>
    </row>
    <row r="196" spans="7:7" x14ac:dyDescent="0.25">
      <c r="G196" s="34"/>
    </row>
    <row r="197" spans="7:7" x14ac:dyDescent="0.25">
      <c r="G197" s="34"/>
    </row>
  </sheetData>
  <mergeCells count="7">
    <mergeCell ref="A128:C128"/>
    <mergeCell ref="A1:R1"/>
    <mergeCell ref="A2:R2"/>
    <mergeCell ref="AV4:AW4"/>
    <mergeCell ref="AQ5:AR5"/>
    <mergeCell ref="AS5:AT5"/>
    <mergeCell ref="A66:C66"/>
  </mergeCells>
  <pageMargins left="0.7" right="0.7" top="0.75" bottom="0.75" header="0.3" footer="0.3"/>
  <pageSetup scale="46" orientation="portrait" r:id="rId1"/>
  <rowBreaks count="2" manualBreakCount="2">
    <brk id="92" max="18" man="1"/>
    <brk id="187" max="18" man="1"/>
  </rowBreaks>
  <colBreaks count="1" manualBreakCount="1">
    <brk id="1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W221"/>
  <sheetViews>
    <sheetView view="pageBreakPreview" topLeftCell="A189" zoomScale="136" zoomScaleNormal="93" zoomScaleSheetLayoutView="136" workbookViewId="0">
      <selection activeCell="J213" sqref="J213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6" width="9.140625" style="1"/>
    <col min="27" max="27" width="9.140625" style="1" customWidth="1"/>
    <col min="28" max="226" width="9.140625" style="1"/>
    <col min="227" max="227" width="11.85546875" style="1" customWidth="1"/>
    <col min="228" max="268" width="8.85546875" style="1" customWidth="1"/>
    <col min="269" max="482" width="9.140625" style="1"/>
    <col min="483" max="483" width="11.85546875" style="1" customWidth="1"/>
    <col min="484" max="524" width="8.85546875" style="1" customWidth="1"/>
    <col min="525" max="738" width="9.140625" style="1"/>
    <col min="739" max="739" width="11.85546875" style="1" customWidth="1"/>
    <col min="740" max="780" width="8.85546875" style="1" customWidth="1"/>
    <col min="781" max="994" width="9.140625" style="1"/>
    <col min="995" max="995" width="11.85546875" style="1" customWidth="1"/>
    <col min="996" max="1036" width="8.85546875" style="1" customWidth="1"/>
    <col min="1037" max="1250" width="9.140625" style="1"/>
    <col min="1251" max="1251" width="11.85546875" style="1" customWidth="1"/>
    <col min="1252" max="1292" width="8.85546875" style="1" customWidth="1"/>
    <col min="1293" max="1506" width="9.140625" style="1"/>
    <col min="1507" max="1507" width="11.85546875" style="1" customWidth="1"/>
    <col min="1508" max="1548" width="8.85546875" style="1" customWidth="1"/>
    <col min="1549" max="1762" width="9.140625" style="1"/>
    <col min="1763" max="1763" width="11.85546875" style="1" customWidth="1"/>
    <col min="1764" max="1804" width="8.85546875" style="1" customWidth="1"/>
    <col min="1805" max="2018" width="9.140625" style="1"/>
    <col min="2019" max="2019" width="11.85546875" style="1" customWidth="1"/>
    <col min="2020" max="2060" width="8.85546875" style="1" customWidth="1"/>
    <col min="2061" max="2274" width="9.140625" style="1"/>
    <col min="2275" max="2275" width="11.85546875" style="1" customWidth="1"/>
    <col min="2276" max="2316" width="8.85546875" style="1" customWidth="1"/>
    <col min="2317" max="2530" width="9.140625" style="1"/>
    <col min="2531" max="2531" width="11.85546875" style="1" customWidth="1"/>
    <col min="2532" max="2572" width="8.85546875" style="1" customWidth="1"/>
    <col min="2573" max="2786" width="9.140625" style="1"/>
    <col min="2787" max="2787" width="11.85546875" style="1" customWidth="1"/>
    <col min="2788" max="2828" width="8.85546875" style="1" customWidth="1"/>
    <col min="2829" max="3042" width="9.140625" style="1"/>
    <col min="3043" max="3043" width="11.85546875" style="1" customWidth="1"/>
    <col min="3044" max="3084" width="8.85546875" style="1" customWidth="1"/>
    <col min="3085" max="3298" width="9.140625" style="1"/>
    <col min="3299" max="3299" width="11.85546875" style="1" customWidth="1"/>
    <col min="3300" max="3340" width="8.85546875" style="1" customWidth="1"/>
    <col min="3341" max="3554" width="9.140625" style="1"/>
    <col min="3555" max="3555" width="11.85546875" style="1" customWidth="1"/>
    <col min="3556" max="3596" width="8.85546875" style="1" customWidth="1"/>
    <col min="3597" max="3810" width="9.140625" style="1"/>
    <col min="3811" max="3811" width="11.85546875" style="1" customWidth="1"/>
    <col min="3812" max="3852" width="8.85546875" style="1" customWidth="1"/>
    <col min="3853" max="4066" width="9.140625" style="1"/>
    <col min="4067" max="4067" width="11.85546875" style="1" customWidth="1"/>
    <col min="4068" max="4108" width="8.85546875" style="1" customWidth="1"/>
    <col min="4109" max="4322" width="9.140625" style="1"/>
    <col min="4323" max="4323" width="11.85546875" style="1" customWidth="1"/>
    <col min="4324" max="4364" width="8.85546875" style="1" customWidth="1"/>
    <col min="4365" max="4578" width="9.140625" style="1"/>
    <col min="4579" max="4579" width="11.85546875" style="1" customWidth="1"/>
    <col min="4580" max="4620" width="8.85546875" style="1" customWidth="1"/>
    <col min="4621" max="4834" width="9.140625" style="1"/>
    <col min="4835" max="4835" width="11.85546875" style="1" customWidth="1"/>
    <col min="4836" max="4876" width="8.85546875" style="1" customWidth="1"/>
    <col min="4877" max="5090" width="9.140625" style="1"/>
    <col min="5091" max="5091" width="11.85546875" style="1" customWidth="1"/>
    <col min="5092" max="5132" width="8.85546875" style="1" customWidth="1"/>
    <col min="5133" max="5346" width="9.140625" style="1"/>
    <col min="5347" max="5347" width="11.85546875" style="1" customWidth="1"/>
    <col min="5348" max="5388" width="8.85546875" style="1" customWidth="1"/>
    <col min="5389" max="5602" width="9.140625" style="1"/>
    <col min="5603" max="5603" width="11.85546875" style="1" customWidth="1"/>
    <col min="5604" max="5644" width="8.85546875" style="1" customWidth="1"/>
    <col min="5645" max="5858" width="9.140625" style="1"/>
    <col min="5859" max="5859" width="11.85546875" style="1" customWidth="1"/>
    <col min="5860" max="5900" width="8.85546875" style="1" customWidth="1"/>
    <col min="5901" max="6114" width="9.140625" style="1"/>
    <col min="6115" max="6115" width="11.85546875" style="1" customWidth="1"/>
    <col min="6116" max="6156" width="8.85546875" style="1" customWidth="1"/>
    <col min="6157" max="6370" width="9.140625" style="1"/>
    <col min="6371" max="6371" width="11.85546875" style="1" customWidth="1"/>
    <col min="6372" max="6412" width="8.85546875" style="1" customWidth="1"/>
    <col min="6413" max="6626" width="9.140625" style="1"/>
    <col min="6627" max="6627" width="11.85546875" style="1" customWidth="1"/>
    <col min="6628" max="6668" width="8.85546875" style="1" customWidth="1"/>
    <col min="6669" max="6882" width="9.140625" style="1"/>
    <col min="6883" max="6883" width="11.85546875" style="1" customWidth="1"/>
    <col min="6884" max="6924" width="8.85546875" style="1" customWidth="1"/>
    <col min="6925" max="7138" width="9.140625" style="1"/>
    <col min="7139" max="7139" width="11.85546875" style="1" customWidth="1"/>
    <col min="7140" max="7180" width="8.85546875" style="1" customWidth="1"/>
    <col min="7181" max="7394" width="9.140625" style="1"/>
    <col min="7395" max="7395" width="11.85546875" style="1" customWidth="1"/>
    <col min="7396" max="7436" width="8.85546875" style="1" customWidth="1"/>
    <col min="7437" max="7650" width="9.140625" style="1"/>
    <col min="7651" max="7651" width="11.85546875" style="1" customWidth="1"/>
    <col min="7652" max="7692" width="8.85546875" style="1" customWidth="1"/>
    <col min="7693" max="7906" width="9.140625" style="1"/>
    <col min="7907" max="7907" width="11.85546875" style="1" customWidth="1"/>
    <col min="7908" max="7948" width="8.85546875" style="1" customWidth="1"/>
    <col min="7949" max="8162" width="9.140625" style="1"/>
    <col min="8163" max="8163" width="11.85546875" style="1" customWidth="1"/>
    <col min="8164" max="8204" width="8.85546875" style="1" customWidth="1"/>
    <col min="8205" max="8418" width="9.140625" style="1"/>
    <col min="8419" max="8419" width="11.85546875" style="1" customWidth="1"/>
    <col min="8420" max="8460" width="8.85546875" style="1" customWidth="1"/>
    <col min="8461" max="8674" width="9.140625" style="1"/>
    <col min="8675" max="8675" width="11.85546875" style="1" customWidth="1"/>
    <col min="8676" max="8716" width="8.85546875" style="1" customWidth="1"/>
    <col min="8717" max="8930" width="9.140625" style="1"/>
    <col min="8931" max="8931" width="11.85546875" style="1" customWidth="1"/>
    <col min="8932" max="8972" width="8.85546875" style="1" customWidth="1"/>
    <col min="8973" max="9186" width="9.140625" style="1"/>
    <col min="9187" max="9187" width="11.85546875" style="1" customWidth="1"/>
    <col min="9188" max="9228" width="8.85546875" style="1" customWidth="1"/>
    <col min="9229" max="9442" width="9.140625" style="1"/>
    <col min="9443" max="9443" width="11.85546875" style="1" customWidth="1"/>
    <col min="9444" max="9484" width="8.85546875" style="1" customWidth="1"/>
    <col min="9485" max="9698" width="9.140625" style="1"/>
    <col min="9699" max="9699" width="11.85546875" style="1" customWidth="1"/>
    <col min="9700" max="9740" width="8.85546875" style="1" customWidth="1"/>
    <col min="9741" max="9954" width="9.140625" style="1"/>
    <col min="9955" max="9955" width="11.85546875" style="1" customWidth="1"/>
    <col min="9956" max="9996" width="8.85546875" style="1" customWidth="1"/>
    <col min="9997" max="10210" width="9.140625" style="1"/>
    <col min="10211" max="10211" width="11.85546875" style="1" customWidth="1"/>
    <col min="10212" max="10252" width="8.85546875" style="1" customWidth="1"/>
    <col min="10253" max="10466" width="9.140625" style="1"/>
    <col min="10467" max="10467" width="11.85546875" style="1" customWidth="1"/>
    <col min="10468" max="10508" width="8.85546875" style="1" customWidth="1"/>
    <col min="10509" max="10722" width="9.140625" style="1"/>
    <col min="10723" max="10723" width="11.85546875" style="1" customWidth="1"/>
    <col min="10724" max="10764" width="8.85546875" style="1" customWidth="1"/>
    <col min="10765" max="10978" width="9.140625" style="1"/>
    <col min="10979" max="10979" width="11.85546875" style="1" customWidth="1"/>
    <col min="10980" max="11020" width="8.85546875" style="1" customWidth="1"/>
    <col min="11021" max="11234" width="9.140625" style="1"/>
    <col min="11235" max="11235" width="11.85546875" style="1" customWidth="1"/>
    <col min="11236" max="11276" width="8.85546875" style="1" customWidth="1"/>
    <col min="11277" max="11490" width="9.140625" style="1"/>
    <col min="11491" max="11491" width="11.85546875" style="1" customWidth="1"/>
    <col min="11492" max="11532" width="8.85546875" style="1" customWidth="1"/>
    <col min="11533" max="11746" width="9.140625" style="1"/>
    <col min="11747" max="11747" width="11.85546875" style="1" customWidth="1"/>
    <col min="11748" max="11788" width="8.85546875" style="1" customWidth="1"/>
    <col min="11789" max="12002" width="9.140625" style="1"/>
    <col min="12003" max="12003" width="11.85546875" style="1" customWidth="1"/>
    <col min="12004" max="12044" width="8.85546875" style="1" customWidth="1"/>
    <col min="12045" max="12258" width="9.140625" style="1"/>
    <col min="12259" max="12259" width="11.85546875" style="1" customWidth="1"/>
    <col min="12260" max="12300" width="8.85546875" style="1" customWidth="1"/>
    <col min="12301" max="12514" width="9.140625" style="1"/>
    <col min="12515" max="12515" width="11.85546875" style="1" customWidth="1"/>
    <col min="12516" max="12556" width="8.85546875" style="1" customWidth="1"/>
    <col min="12557" max="12770" width="9.140625" style="1"/>
    <col min="12771" max="12771" width="11.85546875" style="1" customWidth="1"/>
    <col min="12772" max="12812" width="8.85546875" style="1" customWidth="1"/>
    <col min="12813" max="13026" width="9.140625" style="1"/>
    <col min="13027" max="13027" width="11.85546875" style="1" customWidth="1"/>
    <col min="13028" max="13068" width="8.85546875" style="1" customWidth="1"/>
    <col min="13069" max="13282" width="9.140625" style="1"/>
    <col min="13283" max="13283" width="11.85546875" style="1" customWidth="1"/>
    <col min="13284" max="13324" width="8.85546875" style="1" customWidth="1"/>
    <col min="13325" max="13538" width="9.140625" style="1"/>
    <col min="13539" max="13539" width="11.85546875" style="1" customWidth="1"/>
    <col min="13540" max="13580" width="8.85546875" style="1" customWidth="1"/>
    <col min="13581" max="13794" width="9.140625" style="1"/>
    <col min="13795" max="13795" width="11.85546875" style="1" customWidth="1"/>
    <col min="13796" max="13836" width="8.85546875" style="1" customWidth="1"/>
    <col min="13837" max="14050" width="9.140625" style="1"/>
    <col min="14051" max="14051" width="11.85546875" style="1" customWidth="1"/>
    <col min="14052" max="14092" width="8.85546875" style="1" customWidth="1"/>
    <col min="14093" max="14306" width="9.140625" style="1"/>
    <col min="14307" max="14307" width="11.85546875" style="1" customWidth="1"/>
    <col min="14308" max="14348" width="8.85546875" style="1" customWidth="1"/>
    <col min="14349" max="14562" width="9.140625" style="1"/>
    <col min="14563" max="14563" width="11.85546875" style="1" customWidth="1"/>
    <col min="14564" max="14604" width="8.85546875" style="1" customWidth="1"/>
    <col min="14605" max="14818" width="9.140625" style="1"/>
    <col min="14819" max="14819" width="11.85546875" style="1" customWidth="1"/>
    <col min="14820" max="14860" width="8.85546875" style="1" customWidth="1"/>
    <col min="14861" max="15074" width="9.140625" style="1"/>
    <col min="15075" max="15075" width="11.85546875" style="1" customWidth="1"/>
    <col min="15076" max="15116" width="8.85546875" style="1" customWidth="1"/>
    <col min="15117" max="15330" width="9.140625" style="1"/>
    <col min="15331" max="15331" width="11.85546875" style="1" customWidth="1"/>
    <col min="15332" max="15372" width="8.85546875" style="1" customWidth="1"/>
    <col min="15373" max="15586" width="9.140625" style="1"/>
    <col min="15587" max="15587" width="11.85546875" style="1" customWidth="1"/>
    <col min="15588" max="15628" width="8.85546875" style="1" customWidth="1"/>
    <col min="15629" max="15842" width="9.140625" style="1"/>
    <col min="15843" max="15843" width="11.85546875" style="1" customWidth="1"/>
    <col min="15844" max="15884" width="8.85546875" style="1" customWidth="1"/>
    <col min="15885" max="16098" width="9.140625" style="1"/>
    <col min="16099" max="16099" width="11.85546875" style="1" customWidth="1"/>
    <col min="16100" max="16140" width="8.85546875" style="1" customWidth="1"/>
    <col min="16141" max="16371" width="9.140625" style="1"/>
    <col min="16372" max="16384" width="9.140625" style="1" customWidth="1"/>
  </cols>
  <sheetData>
    <row r="1" spans="1:49" ht="18.75" x14ac:dyDescent="0.25">
      <c r="A1" s="135" t="s">
        <v>94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2" spans="1:49" ht="15.75" x14ac:dyDescent="0.25">
      <c r="A2" s="136" t="s">
        <v>93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spans="1:49" ht="15.7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49" ht="18.75" x14ac:dyDescent="0.5">
      <c r="A4" s="35" t="s">
        <v>88</v>
      </c>
      <c r="B4" s="9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 t="s">
        <v>95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P4" s="10"/>
    </row>
    <row r="5" spans="1:49" s="13" customFormat="1" x14ac:dyDescent="0.25">
      <c r="A5" s="11" t="s">
        <v>43</v>
      </c>
      <c r="B5" s="12">
        <v>2014</v>
      </c>
      <c r="C5" s="12">
        <v>2015</v>
      </c>
      <c r="D5" s="12">
        <v>2016</v>
      </c>
      <c r="E5" s="12">
        <v>2017</v>
      </c>
      <c r="F5" s="12">
        <v>2018</v>
      </c>
      <c r="G5" s="12">
        <v>2019</v>
      </c>
      <c r="H5" s="12">
        <v>2020</v>
      </c>
      <c r="I5" s="12">
        <v>2021</v>
      </c>
      <c r="J5" s="12">
        <v>2022</v>
      </c>
      <c r="K5" s="12">
        <v>2023</v>
      </c>
      <c r="L5" s="12">
        <v>2024</v>
      </c>
      <c r="M5" s="12">
        <v>2025</v>
      </c>
      <c r="N5" s="12">
        <v>2026</v>
      </c>
      <c r="O5" s="12">
        <v>2027</v>
      </c>
      <c r="P5" s="12">
        <v>2028</v>
      </c>
      <c r="Q5" s="12">
        <v>2029</v>
      </c>
      <c r="R5" s="12">
        <v>2030</v>
      </c>
      <c r="AA5" s="14"/>
      <c r="AB5" s="14"/>
      <c r="AC5" s="14"/>
      <c r="AD5" s="14"/>
      <c r="AE5" s="14"/>
      <c r="AF5" s="14"/>
      <c r="AG5" s="14"/>
      <c r="AH5" s="14"/>
      <c r="AI5" s="14"/>
      <c r="AK5" s="138" t="s">
        <v>131</v>
      </c>
      <c r="AL5" s="139"/>
      <c r="AM5" s="140" t="s">
        <v>130</v>
      </c>
      <c r="AN5" s="140"/>
      <c r="AO5" s="14"/>
      <c r="AP5" s="14"/>
      <c r="AR5" s="1"/>
      <c r="AS5" s="1"/>
      <c r="AT5" s="1"/>
      <c r="AU5" s="1"/>
      <c r="AV5" s="1"/>
      <c r="AW5" s="1"/>
    </row>
    <row r="6" spans="1:49" x14ac:dyDescent="0.25">
      <c r="A6" s="36" t="s">
        <v>2</v>
      </c>
      <c r="B6" s="36">
        <f>SUM(B7:B23)</f>
        <v>167507.41794725877</v>
      </c>
      <c r="C6" s="36">
        <f t="shared" ref="C6:R6" si="0">SUM(C7:C23)</f>
        <v>176012.20305051381</v>
      </c>
      <c r="D6" s="36">
        <f t="shared" si="0"/>
        <v>185066.71144970364</v>
      </c>
      <c r="E6" s="36">
        <f t="shared" si="0"/>
        <v>194707.03412001871</v>
      </c>
      <c r="F6" s="36">
        <f t="shared" si="0"/>
        <v>204964.79395407095</v>
      </c>
      <c r="G6" s="36">
        <f t="shared" si="0"/>
        <v>215878.62238780971</v>
      </c>
      <c r="H6" s="36">
        <f t="shared" si="0"/>
        <v>227485.68615362304</v>
      </c>
      <c r="I6" s="36">
        <f t="shared" si="0"/>
        <v>234454.34758348102</v>
      </c>
      <c r="J6" s="36">
        <f t="shared" si="0"/>
        <v>241524.26398337135</v>
      </c>
      <c r="K6" s="36">
        <f t="shared" si="0"/>
        <v>248670.53035807353</v>
      </c>
      <c r="L6" s="36">
        <f t="shared" si="0"/>
        <v>255885.26943254535</v>
      </c>
      <c r="M6" s="36">
        <f t="shared" si="0"/>
        <v>263149.63235366205</v>
      </c>
      <c r="N6" s="36">
        <f t="shared" si="0"/>
        <v>270447.79940972052</v>
      </c>
      <c r="O6" s="36">
        <f t="shared" si="0"/>
        <v>277798.98076815862</v>
      </c>
      <c r="P6" s="36">
        <f t="shared" si="0"/>
        <v>285190.41723194858</v>
      </c>
      <c r="Q6" s="36">
        <f t="shared" si="0"/>
        <v>292641.38101513882</v>
      </c>
      <c r="R6" s="36">
        <f t="shared" si="0"/>
        <v>300142.17653803091</v>
      </c>
      <c r="AA6" s="16"/>
      <c r="AB6" s="16"/>
      <c r="AC6" s="16"/>
      <c r="AD6" s="16"/>
      <c r="AE6" s="16"/>
      <c r="AF6" s="16"/>
      <c r="AG6" s="16"/>
      <c r="AH6" s="16"/>
      <c r="AI6" s="16"/>
      <c r="AJ6" s="13"/>
      <c r="AK6" s="13" t="s">
        <v>3</v>
      </c>
      <c r="AL6" s="13" t="s">
        <v>4</v>
      </c>
      <c r="AM6" s="13" t="s">
        <v>3</v>
      </c>
      <c r="AN6" s="13" t="s">
        <v>4</v>
      </c>
      <c r="AP6" s="16"/>
    </row>
    <row r="7" spans="1:49" x14ac:dyDescent="0.25">
      <c r="A7" s="17" t="s">
        <v>44</v>
      </c>
      <c r="B7" s="17">
        <v>12793.742710219483</v>
      </c>
      <c r="C7" s="17">
        <v>13133.306367524567</v>
      </c>
      <c r="D7" s="17">
        <v>13533.767167417387</v>
      </c>
      <c r="E7" s="17">
        <v>14098.640146879839</v>
      </c>
      <c r="F7" s="17">
        <v>14922.494509806058</v>
      </c>
      <c r="G7" s="17">
        <v>15696.959323786286</v>
      </c>
      <c r="H7" s="17">
        <v>16259.729816026769</v>
      </c>
      <c r="I7" s="17">
        <v>16698.152278550137</v>
      </c>
      <c r="J7" s="17">
        <v>17065.091738173691</v>
      </c>
      <c r="K7" s="17">
        <v>17352.561282741328</v>
      </c>
      <c r="L7" s="17">
        <v>17553.574331417301</v>
      </c>
      <c r="M7" s="17">
        <v>17669.144643073618</v>
      </c>
      <c r="N7" s="17">
        <v>17709.286324889788</v>
      </c>
      <c r="O7" s="17">
        <v>17687.013841170272</v>
      </c>
      <c r="P7" s="17">
        <v>17624.342022385143</v>
      </c>
      <c r="Q7" s="17">
        <v>17549.286074439606</v>
      </c>
      <c r="R7" s="17">
        <v>17475.861588178195</v>
      </c>
      <c r="AA7" s="16"/>
      <c r="AB7" s="22"/>
      <c r="AC7" s="22"/>
      <c r="AD7" s="22"/>
      <c r="AE7" s="22"/>
      <c r="AF7" s="16"/>
      <c r="AH7" s="16"/>
      <c r="AI7" s="16"/>
      <c r="AJ7" s="13" t="s">
        <v>45</v>
      </c>
      <c r="AK7" s="38">
        <v>-8532</v>
      </c>
      <c r="AL7" s="38">
        <v>7951</v>
      </c>
      <c r="AM7" s="38">
        <v>-505.046820078449</v>
      </c>
      <c r="AN7" s="22">
        <v>364.51446266287985</v>
      </c>
      <c r="AO7" s="22"/>
      <c r="AP7" s="22"/>
    </row>
    <row r="8" spans="1:49" x14ac:dyDescent="0.25">
      <c r="A8" s="17" t="s">
        <v>46</v>
      </c>
      <c r="B8" s="17">
        <v>10787.287884562995</v>
      </c>
      <c r="C8" s="17">
        <v>11663.557429428378</v>
      </c>
      <c r="D8" s="17">
        <v>12388.694937362759</v>
      </c>
      <c r="E8" s="17">
        <v>12814.00203467511</v>
      </c>
      <c r="F8" s="17">
        <v>12865.812069990236</v>
      </c>
      <c r="G8" s="17">
        <v>12996.49345051385</v>
      </c>
      <c r="H8" s="17">
        <v>13337.453329175718</v>
      </c>
      <c r="I8" s="17">
        <v>13701.413542145969</v>
      </c>
      <c r="J8" s="17">
        <v>14227.676529349061</v>
      </c>
      <c r="K8" s="17">
        <v>15004.249955551186</v>
      </c>
      <c r="L8" s="17">
        <v>15728.141679553026</v>
      </c>
      <c r="M8" s="17">
        <v>16234.359759101737</v>
      </c>
      <c r="N8" s="17">
        <v>16670.912455927326</v>
      </c>
      <c r="O8" s="17">
        <v>17036.808240906488</v>
      </c>
      <c r="P8" s="17">
        <v>17325.055799357178</v>
      </c>
      <c r="Q8" s="17">
        <v>17525.664036467224</v>
      </c>
      <c r="R8" s="17">
        <v>17642.642082860362</v>
      </c>
      <c r="AA8" s="13"/>
      <c r="AB8" s="22"/>
      <c r="AC8" s="22"/>
      <c r="AD8" s="22"/>
      <c r="AE8" s="22"/>
      <c r="AF8" s="16"/>
      <c r="AH8" s="16"/>
      <c r="AI8" s="16"/>
      <c r="AJ8" s="13" t="s">
        <v>47</v>
      </c>
      <c r="AK8" s="38">
        <v>-7511</v>
      </c>
      <c r="AL8" s="38">
        <v>6984</v>
      </c>
      <c r="AM8" s="38">
        <v>-334.63224888633414</v>
      </c>
      <c r="AN8" s="22">
        <v>174.61770666485262</v>
      </c>
      <c r="AO8" s="22"/>
      <c r="AP8" s="22"/>
    </row>
    <row r="9" spans="1:49" x14ac:dyDescent="0.25">
      <c r="A9" s="17" t="s">
        <v>48</v>
      </c>
      <c r="B9" s="17">
        <v>8149.8874965938785</v>
      </c>
      <c r="C9" s="17">
        <v>8198.3375420210523</v>
      </c>
      <c r="D9" s="17">
        <v>8598.2021410739617</v>
      </c>
      <c r="E9" s="17">
        <v>9343.6300636560936</v>
      </c>
      <c r="F9" s="17">
        <v>10249.785725938262</v>
      </c>
      <c r="G9" s="17">
        <v>11150.850835890918</v>
      </c>
      <c r="H9" s="17">
        <v>12030.026211878583</v>
      </c>
      <c r="I9" s="17">
        <v>12737.925298517641</v>
      </c>
      <c r="J9" s="17">
        <v>13142.973721245949</v>
      </c>
      <c r="K9" s="17">
        <v>13172.175260524609</v>
      </c>
      <c r="L9" s="17">
        <v>13276.533792517544</v>
      </c>
      <c r="M9" s="17">
        <v>13587.053291514239</v>
      </c>
      <c r="N9" s="17">
        <v>13954.737832413794</v>
      </c>
      <c r="O9" s="17">
        <v>14482.591593271873</v>
      </c>
      <c r="P9" s="17">
        <v>15263.618857912117</v>
      </c>
      <c r="Q9" s="17">
        <v>15987.824018603689</v>
      </c>
      <c r="R9" s="17">
        <v>16497.211578806564</v>
      </c>
      <c r="AA9" s="13"/>
      <c r="AB9" s="22"/>
      <c r="AC9" s="22"/>
      <c r="AD9" s="22"/>
      <c r="AE9" s="22"/>
      <c r="AF9" s="16"/>
      <c r="AH9" s="16"/>
      <c r="AI9" s="16"/>
      <c r="AJ9" s="13" t="s">
        <v>49</v>
      </c>
      <c r="AK9" s="38">
        <v>-6676</v>
      </c>
      <c r="AL9" s="38">
        <v>6245</v>
      </c>
      <c r="AM9" s="38">
        <v>-170.41457119211464</v>
      </c>
      <c r="AN9" s="22">
        <v>80.760689332494337</v>
      </c>
      <c r="AO9" s="22"/>
      <c r="AP9" s="22"/>
    </row>
    <row r="10" spans="1:49" x14ac:dyDescent="0.25">
      <c r="A10" s="17" t="s">
        <v>50</v>
      </c>
      <c r="B10" s="17">
        <v>13854.396288124255</v>
      </c>
      <c r="C10" s="17">
        <v>12662.419573028354</v>
      </c>
      <c r="D10" s="17">
        <v>11390.964151191321</v>
      </c>
      <c r="E10" s="17">
        <v>10214.926214848387</v>
      </c>
      <c r="F10" s="17">
        <v>9946.2962095949242</v>
      </c>
      <c r="G10" s="17">
        <v>10137.168747098884</v>
      </c>
      <c r="H10" s="17">
        <v>10320.753560342269</v>
      </c>
      <c r="I10" s="17">
        <v>10756.289750908929</v>
      </c>
      <c r="J10" s="17">
        <v>11536.725544422765</v>
      </c>
      <c r="K10" s="17">
        <v>12476.083714440805</v>
      </c>
      <c r="L10" s="17">
        <v>13410.387611035425</v>
      </c>
      <c r="M10" s="17">
        <v>14322.661175388892</v>
      </c>
      <c r="N10" s="17">
        <v>15080.928954757392</v>
      </c>
      <c r="O10" s="17">
        <v>15537.216117813856</v>
      </c>
      <c r="P10" s="17">
        <v>15619.548470379206</v>
      </c>
      <c r="Q10" s="17">
        <v>15777.952471551831</v>
      </c>
      <c r="R10" s="17">
        <v>16144.455250245383</v>
      </c>
      <c r="AA10" s="13"/>
      <c r="AB10" s="22"/>
      <c r="AC10" s="22"/>
      <c r="AD10" s="22"/>
      <c r="AE10" s="22"/>
      <c r="AF10" s="16"/>
      <c r="AH10" s="16"/>
      <c r="AI10" s="16"/>
      <c r="AJ10" s="13" t="s">
        <v>51</v>
      </c>
      <c r="AK10" s="38">
        <v>-5561</v>
      </c>
      <c r="AL10" s="38">
        <v>5402</v>
      </c>
      <c r="AM10" s="38">
        <v>-1397.3994837753403</v>
      </c>
      <c r="AN10" s="22">
        <v>115.68423066546485</v>
      </c>
      <c r="AO10" s="22"/>
      <c r="AP10" s="22"/>
    </row>
    <row r="11" spans="1:49" x14ac:dyDescent="0.25">
      <c r="A11" s="17" t="s">
        <v>52</v>
      </c>
      <c r="B11" s="17">
        <v>23842.77680014036</v>
      </c>
      <c r="C11" s="17">
        <v>24945.285428452597</v>
      </c>
      <c r="D11" s="17">
        <v>26018.144669343863</v>
      </c>
      <c r="E11" s="17">
        <v>27017.910241425117</v>
      </c>
      <c r="F11" s="17">
        <v>27098.037676088425</v>
      </c>
      <c r="G11" s="17">
        <v>26802.976951643243</v>
      </c>
      <c r="H11" s="17">
        <v>26836.277080211705</v>
      </c>
      <c r="I11" s="17">
        <v>25843.53202467853</v>
      </c>
      <c r="J11" s="17">
        <v>24948.375248953045</v>
      </c>
      <c r="K11" s="17">
        <v>24957.024166373671</v>
      </c>
      <c r="L11" s="17">
        <v>25422.701694123709</v>
      </c>
      <c r="M11" s="17">
        <v>25877.636392561813</v>
      </c>
      <c r="N11" s="17">
        <v>26692.062608079665</v>
      </c>
      <c r="O11" s="17">
        <v>27861.220619576106</v>
      </c>
      <c r="P11" s="17">
        <v>29198.356788639248</v>
      </c>
      <c r="Q11" s="17">
        <v>30541.723713530504</v>
      </c>
      <c r="R11" s="17">
        <v>31869.580387066719</v>
      </c>
      <c r="AA11" s="13"/>
      <c r="AB11" s="22"/>
      <c r="AC11" s="22"/>
      <c r="AD11" s="22"/>
      <c r="AE11" s="22"/>
      <c r="AF11" s="16"/>
      <c r="AH11" s="16"/>
      <c r="AI11" s="16"/>
      <c r="AJ11" s="13" t="s">
        <v>53</v>
      </c>
      <c r="AK11" s="38">
        <v>-5276</v>
      </c>
      <c r="AL11" s="38">
        <v>5236</v>
      </c>
      <c r="AM11" s="38">
        <v>-13846.95852104655</v>
      </c>
      <c r="AN11" s="22">
        <v>598.06564532712002</v>
      </c>
      <c r="AO11" s="22"/>
      <c r="AP11" s="22"/>
    </row>
    <row r="12" spans="1:49" x14ac:dyDescent="0.25">
      <c r="A12" s="17" t="s">
        <v>54</v>
      </c>
      <c r="B12" s="17">
        <v>27167.104976097085</v>
      </c>
      <c r="C12" s="17">
        <v>28516.689365390303</v>
      </c>
      <c r="D12" s="17">
        <v>30135.861087556696</v>
      </c>
      <c r="E12" s="17">
        <v>31854.302423102825</v>
      </c>
      <c r="F12" s="17">
        <v>33987.029459619429</v>
      </c>
      <c r="G12" s="17">
        <v>36299.532369496985</v>
      </c>
      <c r="H12" s="17">
        <v>38550.930440777433</v>
      </c>
      <c r="I12" s="17">
        <v>39304.81354909511</v>
      </c>
      <c r="J12" s="17">
        <v>39908.427203909545</v>
      </c>
      <c r="K12" s="17">
        <v>39509.093680539649</v>
      </c>
      <c r="L12" s="17">
        <v>38640.14341274288</v>
      </c>
      <c r="M12" s="17">
        <v>37990.915199247058</v>
      </c>
      <c r="N12" s="17">
        <v>37267.756415510667</v>
      </c>
      <c r="O12" s="17">
        <v>36646.023230843784</v>
      </c>
      <c r="P12" s="17">
        <v>36936.08083102548</v>
      </c>
      <c r="Q12" s="17">
        <v>37686.303646556844</v>
      </c>
      <c r="R12" s="17">
        <v>38435.075586692248</v>
      </c>
      <c r="AA12" s="13"/>
      <c r="AB12" s="22"/>
      <c r="AC12" s="22"/>
      <c r="AD12" s="22"/>
      <c r="AE12" s="22"/>
      <c r="AF12" s="16"/>
      <c r="AH12" s="16"/>
      <c r="AI12" s="16"/>
      <c r="AJ12" s="13" t="s">
        <v>55</v>
      </c>
      <c r="AK12" s="38">
        <v>-8635</v>
      </c>
      <c r="AL12" s="38">
        <v>9462</v>
      </c>
      <c r="AM12" s="38">
        <v>-19703.022876557407</v>
      </c>
      <c r="AN12" s="22">
        <v>1709.0708039822448</v>
      </c>
      <c r="AO12" s="22"/>
      <c r="AP12" s="22"/>
    </row>
    <row r="13" spans="1:49" x14ac:dyDescent="0.25">
      <c r="A13" s="9" t="s">
        <v>56</v>
      </c>
      <c r="B13" s="17">
        <v>20195.072930507929</v>
      </c>
      <c r="C13" s="17">
        <v>22216.497884381464</v>
      </c>
      <c r="D13" s="17">
        <v>24136.111275730789</v>
      </c>
      <c r="E13" s="17">
        <v>25676.925912471983</v>
      </c>
      <c r="F13" s="17">
        <v>27628.797316886012</v>
      </c>
      <c r="G13" s="17">
        <v>29211.512354662191</v>
      </c>
      <c r="H13" s="17">
        <v>30636.887185139451</v>
      </c>
      <c r="I13" s="17">
        <v>31336.614406919769</v>
      </c>
      <c r="J13" s="17">
        <v>32009.384931613342</v>
      </c>
      <c r="K13" s="17">
        <v>32957.402376402839</v>
      </c>
      <c r="L13" s="17">
        <v>33929.875513064449</v>
      </c>
      <c r="M13" s="17">
        <v>34673.018398457025</v>
      </c>
      <c r="N13" s="17">
        <v>35316.050508314613</v>
      </c>
      <c r="O13" s="17">
        <v>35806.196874425907</v>
      </c>
      <c r="P13" s="17">
        <v>35290.68822528646</v>
      </c>
      <c r="Q13" s="17">
        <v>34302.761130311505</v>
      </c>
      <c r="R13" s="17">
        <v>33531.65814769952</v>
      </c>
      <c r="AA13" s="13"/>
      <c r="AB13" s="22"/>
      <c r="AC13" s="22"/>
      <c r="AD13" s="22"/>
      <c r="AE13" s="22"/>
      <c r="AF13" s="16"/>
      <c r="AH13" s="16"/>
      <c r="AI13" s="16"/>
      <c r="AJ13" s="13" t="s">
        <v>57</v>
      </c>
      <c r="AK13" s="38">
        <v>-9491</v>
      </c>
      <c r="AL13" s="38">
        <v>9938</v>
      </c>
      <c r="AM13" s="38">
        <v>-12015.776492418558</v>
      </c>
      <c r="AN13" s="22">
        <v>1512.6258839842853</v>
      </c>
      <c r="AO13" s="22"/>
      <c r="AP13" s="22"/>
    </row>
    <row r="14" spans="1:49" x14ac:dyDescent="0.25">
      <c r="A14" s="9" t="s">
        <v>58</v>
      </c>
      <c r="B14" s="17">
        <v>14242.772631814225</v>
      </c>
      <c r="C14" s="17">
        <v>15490.600672074623</v>
      </c>
      <c r="D14" s="17">
        <v>16641.735787748814</v>
      </c>
      <c r="E14" s="17">
        <v>18411.363649225692</v>
      </c>
      <c r="F14" s="17">
        <v>20002.21530860979</v>
      </c>
      <c r="G14" s="17">
        <v>21855.624558017007</v>
      </c>
      <c r="H14" s="17">
        <v>23943.591320294981</v>
      </c>
      <c r="I14" s="17">
        <v>25289.21569853893</v>
      </c>
      <c r="J14" s="17">
        <v>26176.045482700883</v>
      </c>
      <c r="K14" s="17">
        <v>27386.212448259037</v>
      </c>
      <c r="L14" s="17">
        <v>28133.851706603695</v>
      </c>
      <c r="M14" s="17">
        <v>28617.101789486289</v>
      </c>
      <c r="N14" s="17">
        <v>29254.104735606248</v>
      </c>
      <c r="O14" s="17">
        <v>29864.006179389777</v>
      </c>
      <c r="P14" s="17">
        <v>30747.955442016151</v>
      </c>
      <c r="Q14" s="17">
        <v>31654.105624748277</v>
      </c>
      <c r="R14" s="17">
        <v>32328.613704625997</v>
      </c>
      <c r="AA14" s="13"/>
      <c r="AB14" s="22"/>
      <c r="AC14" s="22"/>
      <c r="AD14" s="22"/>
      <c r="AE14" s="22"/>
      <c r="AF14" s="16"/>
      <c r="AH14" s="16"/>
      <c r="AI14" s="16"/>
      <c r="AJ14" s="13" t="s">
        <v>59</v>
      </c>
      <c r="AK14" s="38">
        <v>-9216</v>
      </c>
      <c r="AL14" s="38">
        <v>9415</v>
      </c>
      <c r="AM14" s="38">
        <v>-7541.6193869383105</v>
      </c>
      <c r="AN14" s="22">
        <v>1213.5930613207256</v>
      </c>
      <c r="AO14" s="22"/>
      <c r="AP14" s="22"/>
    </row>
    <row r="15" spans="1:49" x14ac:dyDescent="0.25">
      <c r="A15" s="9" t="s">
        <v>60</v>
      </c>
      <c r="B15" s="17">
        <v>10708.917001319096</v>
      </c>
      <c r="C15" s="17">
        <v>11494.233467897733</v>
      </c>
      <c r="D15" s="17">
        <v>12463.977612880848</v>
      </c>
      <c r="E15" s="17">
        <v>13186.34954314115</v>
      </c>
      <c r="F15" s="17">
        <v>14117.885923729093</v>
      </c>
      <c r="G15" s="17">
        <v>15219.495374005408</v>
      </c>
      <c r="H15" s="17">
        <v>16490.497586417412</v>
      </c>
      <c r="I15" s="17">
        <v>17264.389566945974</v>
      </c>
      <c r="J15" s="17">
        <v>18604.493833255205</v>
      </c>
      <c r="K15" s="17">
        <v>19709.891704746795</v>
      </c>
      <c r="L15" s="17">
        <v>21014.666559432899</v>
      </c>
      <c r="M15" s="17">
        <v>22483.903886050088</v>
      </c>
      <c r="N15" s="17">
        <v>23780.691337492619</v>
      </c>
      <c r="O15" s="17">
        <v>24622.118785598315</v>
      </c>
      <c r="P15" s="17">
        <v>25782.278377321421</v>
      </c>
      <c r="Q15" s="17">
        <v>26480.264592327418</v>
      </c>
      <c r="R15" s="17">
        <v>26916.174302045914</v>
      </c>
      <c r="AA15" s="13"/>
      <c r="AB15" s="22"/>
      <c r="AC15" s="22"/>
      <c r="AD15" s="22"/>
      <c r="AE15" s="22"/>
      <c r="AF15" s="16"/>
      <c r="AH15" s="16"/>
      <c r="AI15" s="16"/>
      <c r="AJ15" s="13" t="s">
        <v>61</v>
      </c>
      <c r="AK15" s="38">
        <v>-7023</v>
      </c>
      <c r="AL15" s="38">
        <v>7284</v>
      </c>
      <c r="AM15" s="38">
        <v>-4647.6701234213078</v>
      </c>
      <c r="AN15" s="22">
        <v>755.22158132548748</v>
      </c>
      <c r="AO15" s="22"/>
      <c r="AP15" s="22"/>
    </row>
    <row r="16" spans="1:49" x14ac:dyDescent="0.25">
      <c r="A16" s="9" t="s">
        <v>62</v>
      </c>
      <c r="B16" s="17">
        <v>8426.0470578800596</v>
      </c>
      <c r="C16" s="17">
        <v>8823.1063713025796</v>
      </c>
      <c r="D16" s="17">
        <v>9481.8923461896666</v>
      </c>
      <c r="E16" s="17">
        <v>10346.374482720039</v>
      </c>
      <c r="F16" s="17">
        <v>10870.729415214362</v>
      </c>
      <c r="G16" s="17">
        <v>11446.362696623128</v>
      </c>
      <c r="H16" s="17">
        <v>12246.932874109098</v>
      </c>
      <c r="I16" s="17">
        <v>12986.028321626942</v>
      </c>
      <c r="J16" s="17">
        <v>13447.10076481111</v>
      </c>
      <c r="K16" s="17">
        <v>14080.200251545171</v>
      </c>
      <c r="L16" s="17">
        <v>14845.378096680897</v>
      </c>
      <c r="M16" s="17">
        <v>15736.686914111722</v>
      </c>
      <c r="N16" s="17">
        <v>16484.18064965813</v>
      </c>
      <c r="O16" s="17">
        <v>17793.91461478555</v>
      </c>
      <c r="P16" s="17">
        <v>18867.945521175832</v>
      </c>
      <c r="Q16" s="17">
        <v>20141.331516173879</v>
      </c>
      <c r="R16" s="17">
        <v>21577.132219131647</v>
      </c>
      <c r="AA16" s="13"/>
      <c r="AB16" s="22"/>
      <c r="AC16" s="22"/>
      <c r="AD16" s="22"/>
      <c r="AE16" s="22"/>
      <c r="AF16" s="16"/>
      <c r="AH16" s="16"/>
      <c r="AI16" s="16"/>
      <c r="AJ16" s="13" t="s">
        <v>63</v>
      </c>
      <c r="AK16" s="38">
        <v>-5423</v>
      </c>
      <c r="AL16" s="38">
        <v>5332</v>
      </c>
      <c r="AM16" s="38">
        <v>-2794.7989675506806</v>
      </c>
      <c r="AN16" s="22">
        <v>530.40128399448975</v>
      </c>
      <c r="AO16" s="22"/>
      <c r="AP16" s="22"/>
    </row>
    <row r="17" spans="1:49" x14ac:dyDescent="0.25">
      <c r="A17" s="9" t="s">
        <v>64</v>
      </c>
      <c r="B17" s="17">
        <v>6196.8321444882804</v>
      </c>
      <c r="C17" s="17">
        <v>6783.4271233967111</v>
      </c>
      <c r="D17" s="17">
        <v>7081.6035211473045</v>
      </c>
      <c r="E17" s="17">
        <v>7390.2638534380831</v>
      </c>
      <c r="F17" s="17">
        <v>7868.4055543716067</v>
      </c>
      <c r="G17" s="17">
        <v>8509.1309591107238</v>
      </c>
      <c r="H17" s="17">
        <v>8871.6583364193812</v>
      </c>
      <c r="I17" s="17">
        <v>9376.4452675862012</v>
      </c>
      <c r="J17" s="17">
        <v>10064.138149228709</v>
      </c>
      <c r="K17" s="17">
        <v>10393.759915592385</v>
      </c>
      <c r="L17" s="17">
        <v>10752.3340815059</v>
      </c>
      <c r="M17" s="17">
        <v>11305.884757078646</v>
      </c>
      <c r="N17" s="17">
        <v>12012.436662770337</v>
      </c>
      <c r="O17" s="17">
        <v>12446.015144842107</v>
      </c>
      <c r="P17" s="17">
        <v>13045.64619119875</v>
      </c>
      <c r="Q17" s="17">
        <v>13777.356447631992</v>
      </c>
      <c r="R17" s="17">
        <v>14632.173234474996</v>
      </c>
      <c r="AA17" s="13"/>
      <c r="AB17" s="22"/>
      <c r="AC17" s="22"/>
      <c r="AD17" s="22"/>
      <c r="AE17" s="22"/>
      <c r="AF17" s="16"/>
      <c r="AH17" s="16"/>
      <c r="AI17" s="16"/>
      <c r="AJ17" s="13" t="s">
        <v>65</v>
      </c>
      <c r="AK17" s="38">
        <v>-4451</v>
      </c>
      <c r="AL17" s="38">
        <v>4419</v>
      </c>
      <c r="AM17" s="38">
        <v>-1189.8035515958552</v>
      </c>
      <c r="AN17" s="22">
        <v>333.95636399653063</v>
      </c>
      <c r="AO17" s="22"/>
      <c r="AP17" s="22"/>
    </row>
    <row r="18" spans="1:49" x14ac:dyDescent="0.25">
      <c r="A18" s="9" t="s">
        <v>66</v>
      </c>
      <c r="B18" s="17">
        <v>4276.9706769578297</v>
      </c>
      <c r="C18" s="17">
        <v>4721.0412179265113</v>
      </c>
      <c r="D18" s="17">
        <v>5194.905330804354</v>
      </c>
      <c r="E18" s="17">
        <v>5636.9619890318309</v>
      </c>
      <c r="F18" s="17">
        <v>6018.6521264524363</v>
      </c>
      <c r="G18" s="17">
        <v>6289.4630503267963</v>
      </c>
      <c r="H18" s="17">
        <v>6850.9333184675224</v>
      </c>
      <c r="I18" s="17">
        <v>7081.7535807442591</v>
      </c>
      <c r="J18" s="17">
        <v>7311.9743348672591</v>
      </c>
      <c r="K18" s="17">
        <v>7698.6057193358802</v>
      </c>
      <c r="L18" s="17">
        <v>8232.658129306812</v>
      </c>
      <c r="M18" s="17">
        <v>8487.1422230913904</v>
      </c>
      <c r="N18" s="17">
        <v>8973.0689288173871</v>
      </c>
      <c r="O18" s="17">
        <v>9641.449451259441</v>
      </c>
      <c r="P18" s="17">
        <v>9955.2952788424191</v>
      </c>
      <c r="Q18" s="17">
        <v>10301.618190822042</v>
      </c>
      <c r="R18" s="17">
        <v>10838.430264647313</v>
      </c>
      <c r="AA18" s="13"/>
      <c r="AB18" s="22"/>
      <c r="AC18" s="22"/>
      <c r="AD18" s="22"/>
      <c r="AE18" s="22"/>
      <c r="AF18" s="16"/>
      <c r="AH18" s="16"/>
      <c r="AI18" s="16"/>
      <c r="AJ18" s="13" t="s">
        <v>67</v>
      </c>
      <c r="AK18" s="38">
        <v>-3513</v>
      </c>
      <c r="AL18" s="38">
        <v>3512</v>
      </c>
      <c r="AM18" s="38">
        <v>-477.16079933792105</v>
      </c>
      <c r="AN18" s="22">
        <v>196.44491999795918</v>
      </c>
      <c r="AO18" s="22"/>
      <c r="AP18" s="22"/>
    </row>
    <row r="19" spans="1:49" x14ac:dyDescent="0.25">
      <c r="A19" s="9" t="s">
        <v>68</v>
      </c>
      <c r="B19" s="17">
        <v>2290.1742092992199</v>
      </c>
      <c r="C19" s="17">
        <v>2478.6009468275197</v>
      </c>
      <c r="D19" s="17">
        <v>2843.5449575865073</v>
      </c>
      <c r="E19" s="17">
        <v>3290.1658145948259</v>
      </c>
      <c r="F19" s="17">
        <v>3702.639873311989</v>
      </c>
      <c r="G19" s="17">
        <v>4248.162036663095</v>
      </c>
      <c r="H19" s="17">
        <v>4667.9477056928108</v>
      </c>
      <c r="I19" s="17">
        <v>5097.2751619872288</v>
      </c>
      <c r="J19" s="17">
        <v>5493.7627986003536</v>
      </c>
      <c r="K19" s="17">
        <v>5823.4146705162575</v>
      </c>
      <c r="L19" s="17">
        <v>6047.2349353714253</v>
      </c>
      <c r="M19" s="17">
        <v>6546.2278560534114</v>
      </c>
      <c r="N19" s="17">
        <v>6770.3978033652784</v>
      </c>
      <c r="O19" s="17">
        <v>6993.7492587574998</v>
      </c>
      <c r="P19" s="17">
        <v>7364.2868171290056</v>
      </c>
      <c r="Q19" s="17">
        <v>7881.0151896991456</v>
      </c>
      <c r="R19" s="17">
        <v>8128.9392069523565</v>
      </c>
      <c r="AA19" s="13"/>
      <c r="AB19" s="22"/>
      <c r="AC19" s="22"/>
      <c r="AD19" s="22"/>
      <c r="AE19" s="22"/>
      <c r="AF19" s="16"/>
      <c r="AH19" s="16"/>
      <c r="AI19" s="16"/>
      <c r="AJ19" s="13" t="s">
        <v>69</v>
      </c>
      <c r="AK19" s="38">
        <v>-2775</v>
      </c>
      <c r="AL19" s="38">
        <v>2779</v>
      </c>
      <c r="AM19" s="38">
        <v>-195.20214518369494</v>
      </c>
      <c r="AN19" s="22">
        <v>74.21252533256235</v>
      </c>
      <c r="AO19" s="22"/>
      <c r="AP19" s="22"/>
    </row>
    <row r="20" spans="1:49" x14ac:dyDescent="0.25">
      <c r="A20" s="9" t="s">
        <v>70</v>
      </c>
      <c r="B20" s="17">
        <v>1687.9305153526698</v>
      </c>
      <c r="C20" s="17">
        <v>1854.7593172634349</v>
      </c>
      <c r="D20" s="17">
        <v>1978.306310540512</v>
      </c>
      <c r="E20" s="17">
        <v>2040.6470280292501</v>
      </c>
      <c r="F20" s="17">
        <v>2151.8649464336886</v>
      </c>
      <c r="G20" s="17">
        <v>2234.052321779468</v>
      </c>
      <c r="H20" s="17">
        <v>2414.3111127431439</v>
      </c>
      <c r="I20" s="17">
        <v>2747.3061728216162</v>
      </c>
      <c r="J20" s="17">
        <v>3155.3770532069525</v>
      </c>
      <c r="K20" s="17">
        <v>3527.5256732993598</v>
      </c>
      <c r="L20" s="17">
        <v>4024.754001088892</v>
      </c>
      <c r="M20" s="17">
        <v>4403.0640543855088</v>
      </c>
      <c r="N20" s="17">
        <v>4809.4579020802712</v>
      </c>
      <c r="O20" s="17">
        <v>5183.9376654384687</v>
      </c>
      <c r="P20" s="17">
        <v>5493.5055194254746</v>
      </c>
      <c r="Q20" s="17">
        <v>5710.1636940661765</v>
      </c>
      <c r="R20" s="17">
        <v>6184.9144758388056</v>
      </c>
      <c r="AA20" s="13"/>
      <c r="AB20" s="22"/>
      <c r="AC20" s="22"/>
      <c r="AD20" s="22"/>
      <c r="AE20" s="22"/>
      <c r="AF20" s="16"/>
      <c r="AH20" s="16"/>
      <c r="AI20" s="16"/>
      <c r="AJ20" s="13" t="s">
        <v>71</v>
      </c>
      <c r="AK20" s="38">
        <v>-1659</v>
      </c>
      <c r="AL20" s="38">
        <v>1741</v>
      </c>
      <c r="AM20" s="38">
        <v>-99.150295966321238</v>
      </c>
      <c r="AN20" s="22">
        <v>28.375377333038546</v>
      </c>
      <c r="AO20" s="22"/>
      <c r="AP20" s="22"/>
    </row>
    <row r="21" spans="1:49" x14ac:dyDescent="0.25">
      <c r="A21" s="9" t="s">
        <v>72</v>
      </c>
      <c r="B21" s="17">
        <v>1336.5310199728683</v>
      </c>
      <c r="C21" s="17">
        <v>1374.267849963579</v>
      </c>
      <c r="D21" s="17">
        <v>1375.3976857951054</v>
      </c>
      <c r="E21" s="17">
        <v>1427.9618602525352</v>
      </c>
      <c r="F21" s="17">
        <v>1466.00605312791</v>
      </c>
      <c r="G21" s="17">
        <v>1595.580748398939</v>
      </c>
      <c r="H21" s="17">
        <v>1746.741739489614</v>
      </c>
      <c r="I21" s="17">
        <v>1853.3806844277547</v>
      </c>
      <c r="J21" s="17">
        <v>1908.0611194545374</v>
      </c>
      <c r="K21" s="17">
        <v>2000.7840948965566</v>
      </c>
      <c r="L21" s="17">
        <v>2073.5506876695508</v>
      </c>
      <c r="M21" s="17">
        <v>2233.3620019515115</v>
      </c>
      <c r="N21" s="17">
        <v>2538.2191698728275</v>
      </c>
      <c r="O21" s="17">
        <v>2911.1233522239054</v>
      </c>
      <c r="P21" s="17">
        <v>3247.0757391807015</v>
      </c>
      <c r="Q21" s="17">
        <v>3698.0775510486196</v>
      </c>
      <c r="R21" s="17">
        <v>4043.1300390252409</v>
      </c>
      <c r="AA21" s="13"/>
      <c r="AB21" s="22"/>
      <c r="AC21" s="22"/>
      <c r="AD21" s="22"/>
      <c r="AE21" s="22"/>
      <c r="AF21" s="16"/>
      <c r="AH21" s="16"/>
      <c r="AI21" s="16"/>
      <c r="AJ21" s="13" t="s">
        <v>73</v>
      </c>
      <c r="AK21" s="38">
        <v>-966</v>
      </c>
      <c r="AL21" s="38">
        <v>965</v>
      </c>
      <c r="AM21" s="38">
        <v>-58.870488230003232</v>
      </c>
      <c r="AN21" s="22">
        <v>10.913606666553289</v>
      </c>
      <c r="AO21" s="22"/>
      <c r="AP21" s="22"/>
    </row>
    <row r="22" spans="1:49" x14ac:dyDescent="0.25">
      <c r="A22" s="9" t="s">
        <v>74</v>
      </c>
      <c r="B22" s="17">
        <v>887.62075244909784</v>
      </c>
      <c r="C22" s="17">
        <v>930.94808857097485</v>
      </c>
      <c r="D22" s="17">
        <v>1018.4150218513848</v>
      </c>
      <c r="E22" s="17">
        <v>1100.0362338516511</v>
      </c>
      <c r="F22" s="17">
        <v>1138.8279502063806</v>
      </c>
      <c r="G22" s="17">
        <v>1153.8081030150684</v>
      </c>
      <c r="H22" s="17">
        <v>1185.9965103125758</v>
      </c>
      <c r="I22" s="17">
        <v>1189.5786697427798</v>
      </c>
      <c r="J22" s="17">
        <v>1238.175566609124</v>
      </c>
      <c r="K22" s="17">
        <v>1269.7875739915803</v>
      </c>
      <c r="L22" s="17">
        <v>1378.4150744146855</v>
      </c>
      <c r="M22" s="17">
        <v>1504.0584600866305</v>
      </c>
      <c r="N22" s="17">
        <v>1593.7181331444044</v>
      </c>
      <c r="O22" s="17">
        <v>1644.3945059051428</v>
      </c>
      <c r="P22" s="17">
        <v>1724.0880011238387</v>
      </c>
      <c r="Q22" s="17">
        <v>1791.799052257579</v>
      </c>
      <c r="R22" s="17">
        <v>1934.5281037364689</v>
      </c>
      <c r="AA22" s="13"/>
      <c r="AB22" s="22"/>
      <c r="AC22" s="22"/>
      <c r="AD22" s="22"/>
      <c r="AE22" s="22"/>
      <c r="AF22" s="16"/>
      <c r="AH22" s="16"/>
      <c r="AI22" s="16"/>
      <c r="AJ22" s="13" t="s">
        <v>75</v>
      </c>
      <c r="AK22" s="38">
        <v>-1171</v>
      </c>
      <c r="AL22" s="38">
        <v>1374</v>
      </c>
      <c r="AM22" s="38">
        <v>-74.362721974740936</v>
      </c>
      <c r="AN22" s="22">
        <v>2.1827213333106577</v>
      </c>
      <c r="AO22" s="32"/>
      <c r="AP22" s="22"/>
    </row>
    <row r="23" spans="1:49" x14ac:dyDescent="0.25">
      <c r="A23" s="20" t="s">
        <v>76</v>
      </c>
      <c r="B23" s="39">
        <v>663.35285147944785</v>
      </c>
      <c r="C23" s="39">
        <v>725.12440506345251</v>
      </c>
      <c r="D23" s="39">
        <v>785.18744548238283</v>
      </c>
      <c r="E23" s="39">
        <v>856.57262867427494</v>
      </c>
      <c r="F23" s="39">
        <v>929.31383469031255</v>
      </c>
      <c r="G23" s="39">
        <v>1031.4485067777669</v>
      </c>
      <c r="H23" s="39">
        <v>1095.0180261246007</v>
      </c>
      <c r="I23" s="39">
        <v>1190.2336082432901</v>
      </c>
      <c r="J23" s="39">
        <v>1286.4799629698216</v>
      </c>
      <c r="K23" s="39">
        <v>1351.7578693164712</v>
      </c>
      <c r="L23" s="39">
        <v>1421.0681260163053</v>
      </c>
      <c r="M23" s="39">
        <v>1477.4115520224136</v>
      </c>
      <c r="N23" s="39">
        <v>1539.7889870197823</v>
      </c>
      <c r="O23" s="39">
        <v>1641.201291950124</v>
      </c>
      <c r="P23" s="39">
        <v>1704.6493495499944</v>
      </c>
      <c r="Q23" s="39">
        <v>1834.1340649025319</v>
      </c>
      <c r="R23" s="39">
        <v>1961.6563660031634</v>
      </c>
      <c r="AA23" s="13"/>
      <c r="AB23" s="22"/>
      <c r="AC23" s="22"/>
      <c r="AD23" s="22"/>
      <c r="AE23" s="22"/>
      <c r="AF23" s="16"/>
      <c r="AH23" s="16"/>
      <c r="AI23" s="16"/>
      <c r="AJ23" s="1" t="s">
        <v>77</v>
      </c>
      <c r="AK23" s="22">
        <f>SUM(AK7:AK22)</f>
        <v>-87879</v>
      </c>
      <c r="AL23" s="22">
        <f>SUM(AL7:AL22)</f>
        <v>88039</v>
      </c>
      <c r="AM23" s="22">
        <f>SUM(AM7:AM22)</f>
        <v>-65051.889494153591</v>
      </c>
      <c r="AN23" s="22">
        <f>SUM(AN7:AN22)</f>
        <v>7700.640863919999</v>
      </c>
      <c r="AO23" s="22"/>
      <c r="AP23" s="16"/>
    </row>
    <row r="24" spans="1:49" x14ac:dyDescent="0.25">
      <c r="A24" s="9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AA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9" x14ac:dyDescent="0.25">
      <c r="A25" s="3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AA25" s="16"/>
      <c r="AB25" s="22"/>
      <c r="AC25" s="22"/>
      <c r="AD25" s="22"/>
      <c r="AE25" s="22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  <row r="26" spans="1:49" x14ac:dyDescent="0.25">
      <c r="A26" s="40" t="s">
        <v>78</v>
      </c>
      <c r="B26" s="41">
        <f>SUM(B27:B43)</f>
        <v>98105.587208601049</v>
      </c>
      <c r="C26" s="41">
        <f t="shared" ref="C26:R26" si="1">SUM(C27:C43)</f>
        <v>103909.01494345226</v>
      </c>
      <c r="D26" s="41">
        <f t="shared" si="1"/>
        <v>110146.79797122792</v>
      </c>
      <c r="E26" s="41">
        <f t="shared" si="1"/>
        <v>116857.46621442682</v>
      </c>
      <c r="F26" s="41">
        <f t="shared" si="1"/>
        <v>124079.60182287023</v>
      </c>
      <c r="G26" s="41">
        <f t="shared" si="1"/>
        <v>131846.26535016985</v>
      </c>
      <c r="H26" s="41">
        <f t="shared" si="1"/>
        <v>140204.46675156575</v>
      </c>
      <c r="I26" s="41">
        <f t="shared" si="1"/>
        <v>144383.27140620776</v>
      </c>
      <c r="J26" s="41">
        <f t="shared" si="1"/>
        <v>148628.75261981977</v>
      </c>
      <c r="K26" s="41">
        <f t="shared" si="1"/>
        <v>152930.88949415361</v>
      </c>
      <c r="L26" s="41">
        <f t="shared" si="1"/>
        <v>157283.6859170399</v>
      </c>
      <c r="M26" s="41">
        <f t="shared" si="1"/>
        <v>161678.17118985084</v>
      </c>
      <c r="N26" s="41">
        <f t="shared" si="1"/>
        <v>166108.40067084663</v>
      </c>
      <c r="O26" s="41">
        <f t="shared" si="1"/>
        <v>170579.45643480928</v>
      </c>
      <c r="P26" s="41">
        <f t="shared" si="1"/>
        <v>175090.44794937427</v>
      </c>
      <c r="Q26" s="41">
        <f t="shared" si="1"/>
        <v>179649.51276848392</v>
      </c>
      <c r="R26" s="41">
        <f t="shared" si="1"/>
        <v>184254.81724339569</v>
      </c>
      <c r="AA26" s="16"/>
      <c r="AB26" s="22"/>
      <c r="AC26" s="22"/>
      <c r="AD26" s="22"/>
      <c r="AE26" s="22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9" s="2" customFormat="1" x14ac:dyDescent="0.25">
      <c r="A27" s="42" t="s">
        <v>44</v>
      </c>
      <c r="B27" s="17">
        <v>6668.1478311503679</v>
      </c>
      <c r="C27" s="17">
        <v>6913.1923046336133</v>
      </c>
      <c r="D27" s="17">
        <v>7054.0810702219651</v>
      </c>
      <c r="E27" s="17">
        <v>7327.1132647273907</v>
      </c>
      <c r="F27" s="17">
        <v>7766.6194854550058</v>
      </c>
      <c r="G27" s="17">
        <v>8173.9650989320162</v>
      </c>
      <c r="H27" s="17">
        <v>8469.553897618729</v>
      </c>
      <c r="I27" s="17">
        <v>8697.4153960091389</v>
      </c>
      <c r="J27" s="17">
        <v>8887.5771696609008</v>
      </c>
      <c r="K27" s="17">
        <v>9037.0468200784489</v>
      </c>
      <c r="L27" s="17">
        <v>9140.8321411992147</v>
      </c>
      <c r="M27" s="17">
        <v>9199.9411242650949</v>
      </c>
      <c r="N27" s="17">
        <v>9220.3819628172423</v>
      </c>
      <c r="O27" s="17">
        <v>9208.1630578172862</v>
      </c>
      <c r="P27" s="17">
        <v>9175.293022898215</v>
      </c>
      <c r="Q27" s="17">
        <v>9135.7806897481714</v>
      </c>
      <c r="R27" s="17">
        <v>9097.6351136305548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R27" s="1"/>
      <c r="AS27" s="1"/>
      <c r="AT27" s="1"/>
      <c r="AU27" s="1"/>
      <c r="AV27" s="1"/>
      <c r="AW27" s="1"/>
    </row>
    <row r="28" spans="1:49" x14ac:dyDescent="0.25">
      <c r="A28" s="17" t="s">
        <v>46</v>
      </c>
      <c r="B28" s="17">
        <v>5541.3801580628206</v>
      </c>
      <c r="C28" s="17">
        <v>5933.2991957081613</v>
      </c>
      <c r="D28" s="17">
        <v>6396.1027949936943</v>
      </c>
      <c r="E28" s="17">
        <v>6675.9891569972897</v>
      </c>
      <c r="F28" s="17">
        <v>6699.1773277861384</v>
      </c>
      <c r="G28" s="17">
        <v>6809.9093907034221</v>
      </c>
      <c r="H28" s="17">
        <v>7059.4528892197714</v>
      </c>
      <c r="I28" s="17">
        <v>7180.3120415275271</v>
      </c>
      <c r="J28" s="17">
        <v>7432.3701492231739</v>
      </c>
      <c r="K28" s="17">
        <v>7845.6322488863343</v>
      </c>
      <c r="L28" s="17">
        <v>8225.1035045982517</v>
      </c>
      <c r="M28" s="17">
        <v>8488.789211169511</v>
      </c>
      <c r="N28" s="17">
        <v>8716.6947974494615</v>
      </c>
      <c r="O28" s="17">
        <v>8906.8258297194279</v>
      </c>
      <c r="P28" s="17">
        <v>9057.1880151718233</v>
      </c>
      <c r="Q28" s="17">
        <v>9161.7872054773161</v>
      </c>
      <c r="R28" s="17">
        <v>9222.6294004423307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9" x14ac:dyDescent="0.25">
      <c r="A29" s="17" t="s">
        <v>48</v>
      </c>
      <c r="B29" s="17">
        <v>4167.7676730875473</v>
      </c>
      <c r="C29" s="17">
        <v>4198.893108925452</v>
      </c>
      <c r="D29" s="17">
        <v>4396.9782752282699</v>
      </c>
      <c r="E29" s="17">
        <v>4771.1241077301011</v>
      </c>
      <c r="F29" s="17">
        <v>5256.4421576688674</v>
      </c>
      <c r="G29" s="17">
        <v>5729.0557082285941</v>
      </c>
      <c r="H29" s="17">
        <v>6122.1010083989577</v>
      </c>
      <c r="I29" s="17">
        <v>6573.1033544816109</v>
      </c>
      <c r="J29" s="17">
        <v>6839.2070204377269</v>
      </c>
      <c r="K29" s="17">
        <v>6846.4145711921146</v>
      </c>
      <c r="L29" s="17">
        <v>6938.7286366009621</v>
      </c>
      <c r="M29" s="17">
        <v>7167.151913095584</v>
      </c>
      <c r="N29" s="17">
        <v>7289.6871653677808</v>
      </c>
      <c r="O29" s="17">
        <v>7542.3372280978574</v>
      </c>
      <c r="P29" s="17">
        <v>7957.1050077263917</v>
      </c>
      <c r="Q29" s="17">
        <v>8335.9934842708553</v>
      </c>
      <c r="R29" s="17">
        <v>8601.005713188224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 spans="1:49" x14ac:dyDescent="0.25">
      <c r="A30" s="17" t="s">
        <v>50</v>
      </c>
      <c r="B30" s="17">
        <v>6997.4949193178891</v>
      </c>
      <c r="C30" s="17">
        <v>6548.32349318871</v>
      </c>
      <c r="D30" s="17">
        <v>6040.0218568718165</v>
      </c>
      <c r="E30" s="17">
        <v>5600.4176833868296</v>
      </c>
      <c r="F30" s="17">
        <v>5524.4256928847099</v>
      </c>
      <c r="G30" s="17">
        <v>5659.0568074744751</v>
      </c>
      <c r="H30" s="17">
        <v>5811.4282688714538</v>
      </c>
      <c r="I30" s="17">
        <v>6040.2475067492114</v>
      </c>
      <c r="J30" s="17">
        <v>6443.8975675893644</v>
      </c>
      <c r="K30" s="17">
        <v>6958.3994837753398</v>
      </c>
      <c r="L30" s="17">
        <v>7459.7748201278882</v>
      </c>
      <c r="M30" s="17">
        <v>7882.045687383792</v>
      </c>
      <c r="N30" s="17">
        <v>8373.234756015805</v>
      </c>
      <c r="O30" s="17">
        <v>8681.3652704024298</v>
      </c>
      <c r="P30" s="17">
        <v>8731.461063356408</v>
      </c>
      <c r="Q30" s="17">
        <v>8867.5465710210174</v>
      </c>
      <c r="R30" s="17">
        <v>9141.6468481434367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9" x14ac:dyDescent="0.25">
      <c r="A31" s="17" t="s">
        <v>52</v>
      </c>
      <c r="B31" s="17">
        <v>15088.267836877261</v>
      </c>
      <c r="C31" s="17">
        <v>15889.750977960852</v>
      </c>
      <c r="D31" s="17">
        <v>16752.216581729823</v>
      </c>
      <c r="E31" s="17">
        <v>17651.866135378586</v>
      </c>
      <c r="F31" s="17">
        <v>18201.763684039393</v>
      </c>
      <c r="G31" s="17">
        <v>18664.926546792522</v>
      </c>
      <c r="H31" s="17">
        <v>19378.425573362587</v>
      </c>
      <c r="I31" s="17">
        <v>19126.634385060366</v>
      </c>
      <c r="J31" s="17">
        <v>18944.075897021881</v>
      </c>
      <c r="K31" s="17">
        <v>19122.958521046552</v>
      </c>
      <c r="L31" s="17">
        <v>19511.495944903611</v>
      </c>
      <c r="M31" s="17">
        <v>19913.907265893933</v>
      </c>
      <c r="N31" s="17">
        <v>20492.417127792974</v>
      </c>
      <c r="O31" s="17">
        <v>21255.255861260426</v>
      </c>
      <c r="P31" s="17">
        <v>22136.659627804409</v>
      </c>
      <c r="Q31" s="17">
        <v>23015.870567390069</v>
      </c>
      <c r="R31" s="17">
        <v>23823.136949784959</v>
      </c>
      <c r="AA31" s="16"/>
      <c r="AB31" s="16"/>
      <c r="AC31" s="16"/>
      <c r="AD31" s="16"/>
      <c r="AE31" s="16"/>
      <c r="AF31" s="16"/>
      <c r="AG31" s="16"/>
      <c r="AH31" s="16"/>
      <c r="AI31" s="16"/>
      <c r="AP31" s="16"/>
    </row>
    <row r="32" spans="1:49" x14ac:dyDescent="0.25">
      <c r="A32" s="17" t="s">
        <v>54</v>
      </c>
      <c r="B32" s="17">
        <v>18036.920602976617</v>
      </c>
      <c r="C32" s="17">
        <v>19231.986902853674</v>
      </c>
      <c r="D32" s="17">
        <v>20576.015494119478</v>
      </c>
      <c r="E32" s="17">
        <v>21938.67638283116</v>
      </c>
      <c r="F32" s="17">
        <v>23628.86692029683</v>
      </c>
      <c r="G32" s="17">
        <v>25463.840884102414</v>
      </c>
      <c r="H32" s="17">
        <v>27279.351134708599</v>
      </c>
      <c r="I32" s="17">
        <v>27801.095111792103</v>
      </c>
      <c r="J32" s="17">
        <v>28285.553508427431</v>
      </c>
      <c r="K32" s="17">
        <v>28338.022876557407</v>
      </c>
      <c r="L32" s="17">
        <v>28212.807275373038</v>
      </c>
      <c r="M32" s="17">
        <v>28233.218461360389</v>
      </c>
      <c r="N32" s="17">
        <v>28199.576083158554</v>
      </c>
      <c r="O32" s="17">
        <v>28239.207881350441</v>
      </c>
      <c r="P32" s="17">
        <v>28646.449893311321</v>
      </c>
      <c r="Q32" s="17">
        <v>29266.646663243118</v>
      </c>
      <c r="R32" s="17">
        <v>29908.151457525757</v>
      </c>
      <c r="AA32" s="16"/>
      <c r="AB32" s="16"/>
      <c r="AC32" s="16"/>
      <c r="AD32" s="16"/>
      <c r="AE32" s="16"/>
      <c r="AF32" s="16"/>
      <c r="AG32" s="16"/>
      <c r="AH32" s="16"/>
      <c r="AI32" s="16"/>
      <c r="AK32" s="137" t="s">
        <v>79</v>
      </c>
      <c r="AL32" s="137"/>
      <c r="AM32" s="141" t="s">
        <v>80</v>
      </c>
      <c r="AN32" s="141"/>
      <c r="AO32" s="8"/>
      <c r="AP32" s="16"/>
    </row>
    <row r="33" spans="1:42" x14ac:dyDescent="0.25">
      <c r="A33" s="17" t="s">
        <v>56</v>
      </c>
      <c r="B33" s="17">
        <v>12639.90974970016</v>
      </c>
      <c r="C33" s="17">
        <v>13901.335934780083</v>
      </c>
      <c r="D33" s="17">
        <v>15144.431842458773</v>
      </c>
      <c r="E33" s="17">
        <v>16334.314359587865</v>
      </c>
      <c r="F33" s="17">
        <v>17719.848862543025</v>
      </c>
      <c r="G33" s="17">
        <v>18862.727936554358</v>
      </c>
      <c r="H33" s="17">
        <v>20077.558374021064</v>
      </c>
      <c r="I33" s="17">
        <v>20552.76015781251</v>
      </c>
      <c r="J33" s="17">
        <v>20930.105913772852</v>
      </c>
      <c r="K33" s="17">
        <v>21506.776492418558</v>
      </c>
      <c r="L33" s="17">
        <v>22085.957322518734</v>
      </c>
      <c r="M33" s="17">
        <v>22488.838526994114</v>
      </c>
      <c r="N33" s="17">
        <v>22883.615041750094</v>
      </c>
      <c r="O33" s="17">
        <v>23237.486737518004</v>
      </c>
      <c r="P33" s="17">
        <v>23156.658544780825</v>
      </c>
      <c r="Q33" s="17">
        <v>22894.340581861423</v>
      </c>
      <c r="R33" s="17">
        <v>22773.748286253322</v>
      </c>
      <c r="AA33" s="16"/>
      <c r="AB33" s="16"/>
      <c r="AC33" s="16"/>
      <c r="AD33" s="16"/>
      <c r="AE33" s="16"/>
      <c r="AF33" s="16"/>
      <c r="AG33" s="16"/>
      <c r="AH33" s="16"/>
      <c r="AI33" s="16"/>
      <c r="AK33" s="1" t="s">
        <v>3</v>
      </c>
      <c r="AL33" s="1" t="s">
        <v>4</v>
      </c>
      <c r="AM33" s="1" t="s">
        <v>3</v>
      </c>
      <c r="AN33" s="1" t="s">
        <v>4</v>
      </c>
      <c r="AP33" s="16"/>
    </row>
    <row r="34" spans="1:42" x14ac:dyDescent="0.25">
      <c r="A34" s="9" t="s">
        <v>58</v>
      </c>
      <c r="B34" s="17">
        <v>8766.8639326380071</v>
      </c>
      <c r="C34" s="17">
        <v>9515.7059477191142</v>
      </c>
      <c r="D34" s="17">
        <v>10256.020398283819</v>
      </c>
      <c r="E34" s="17">
        <v>11258.274149364843</v>
      </c>
      <c r="F34" s="17">
        <v>12276.403850291317</v>
      </c>
      <c r="G34" s="17">
        <v>13436.865342334529</v>
      </c>
      <c r="H34" s="17">
        <v>14729.688262601152</v>
      </c>
      <c r="I34" s="17">
        <v>15448.810269240756</v>
      </c>
      <c r="J34" s="17">
        <v>16044.416140825972</v>
      </c>
      <c r="K34" s="17">
        <v>16757.61938693831</v>
      </c>
      <c r="L34" s="17">
        <v>17143.536390668021</v>
      </c>
      <c r="M34" s="17">
        <v>17505.286481357318</v>
      </c>
      <c r="N34" s="17">
        <v>17909.992009185076</v>
      </c>
      <c r="O34" s="17">
        <v>18215.778421639716</v>
      </c>
      <c r="P34" s="17">
        <v>18718.774341927936</v>
      </c>
      <c r="Q34" s="17">
        <v>19222.111649368409</v>
      </c>
      <c r="R34" s="17">
        <v>19547.925561820673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" t="s">
        <v>45</v>
      </c>
      <c r="AK34" s="38">
        <v>-8496</v>
      </c>
      <c r="AL34" s="38">
        <v>7944</v>
      </c>
      <c r="AM34" s="38">
        <v>-601.63511363055454</v>
      </c>
      <c r="AN34" s="38">
        <v>434.22647454764228</v>
      </c>
      <c r="AP34" s="16"/>
    </row>
    <row r="35" spans="1:42" x14ac:dyDescent="0.25">
      <c r="A35" s="9" t="s">
        <v>60</v>
      </c>
      <c r="B35" s="17">
        <v>6403.3910842058385</v>
      </c>
      <c r="C35" s="17">
        <v>6903.2666070577943</v>
      </c>
      <c r="D35" s="17">
        <v>7539.3165971346461</v>
      </c>
      <c r="E35" s="17">
        <v>8055.2938471845791</v>
      </c>
      <c r="F35" s="17">
        <v>8584.2406636963733</v>
      </c>
      <c r="G35" s="17">
        <v>9274.5193153253058</v>
      </c>
      <c r="H35" s="17">
        <v>10037.84568360794</v>
      </c>
      <c r="I35" s="17">
        <v>10448.000576771214</v>
      </c>
      <c r="J35" s="17">
        <v>11075.918739210745</v>
      </c>
      <c r="K35" s="17">
        <v>11670.670123421307</v>
      </c>
      <c r="L35" s="17">
        <v>12353.326452753507</v>
      </c>
      <c r="M35" s="17">
        <v>13107.96126624321</v>
      </c>
      <c r="N35" s="17">
        <v>13780.649964575849</v>
      </c>
      <c r="O35" s="17">
        <v>14329.469857214286</v>
      </c>
      <c r="P35" s="17">
        <v>14993.500210719762</v>
      </c>
      <c r="Q35" s="17">
        <v>15330.822298296061</v>
      </c>
      <c r="R35" s="17">
        <v>15644.519450587926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" t="s">
        <v>47</v>
      </c>
      <c r="AK35" s="38">
        <v>-8824</v>
      </c>
      <c r="AL35" s="38">
        <v>8212</v>
      </c>
      <c r="AM35" s="38">
        <v>-398.62940044233051</v>
      </c>
      <c r="AN35" s="38">
        <v>208.01268241803223</v>
      </c>
      <c r="AP35" s="16"/>
    </row>
    <row r="36" spans="1:42" x14ac:dyDescent="0.25">
      <c r="A36" s="9" t="s">
        <v>62</v>
      </c>
      <c r="B36" s="17">
        <v>4830.9898386357772</v>
      </c>
      <c r="C36" s="17">
        <v>5104.64698637742</v>
      </c>
      <c r="D36" s="17">
        <v>5525.0437137436338</v>
      </c>
      <c r="E36" s="17">
        <v>5994.8353667736601</v>
      </c>
      <c r="F36" s="17">
        <v>6321.8513857694197</v>
      </c>
      <c r="G36" s="17">
        <v>6730.1136149489503</v>
      </c>
      <c r="H36" s="17">
        <v>7233.8565377429077</v>
      </c>
      <c r="I36" s="17">
        <v>7665.4950134984228</v>
      </c>
      <c r="J36" s="17">
        <v>7950.7951351787287</v>
      </c>
      <c r="K36" s="17">
        <v>8217.7989675506797</v>
      </c>
      <c r="L36" s="17">
        <v>8613.5496402557765</v>
      </c>
      <c r="M36" s="17">
        <v>9045.0913747675841</v>
      </c>
      <c r="N36" s="17">
        <v>9426.4695120316101</v>
      </c>
      <c r="O36" s="17">
        <v>10023.730540804858</v>
      </c>
      <c r="P36" s="17">
        <v>10585.922126712818</v>
      </c>
      <c r="Q36" s="17">
        <v>11236.093142042033</v>
      </c>
      <c r="R36" s="17">
        <v>11957.293696286873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" t="s">
        <v>49</v>
      </c>
      <c r="AK36" s="38">
        <v>-8398</v>
      </c>
      <c r="AL36" s="38">
        <v>7800</v>
      </c>
      <c r="AM36" s="38">
        <v>-203.00571318822398</v>
      </c>
      <c r="AN36" s="38">
        <v>96.205865618339914</v>
      </c>
      <c r="AP36" s="16"/>
    </row>
    <row r="37" spans="1:42" x14ac:dyDescent="0.25">
      <c r="A37" s="9" t="s">
        <v>64</v>
      </c>
      <c r="B37" s="17">
        <v>3328.7961175566948</v>
      </c>
      <c r="C37" s="17">
        <v>3649.5082514067954</v>
      </c>
      <c r="D37" s="17">
        <v>3768.9210488664694</v>
      </c>
      <c r="E37" s="17">
        <v>3987.7392248792521</v>
      </c>
      <c r="F37" s="17">
        <v>4274.7416099062721</v>
      </c>
      <c r="G37" s="17">
        <v>4645.7889447232783</v>
      </c>
      <c r="H37" s="17">
        <v>4878.8324950036331</v>
      </c>
      <c r="I37" s="17">
        <v>5164.7761476534306</v>
      </c>
      <c r="J37" s="17">
        <v>5482.4271972379511</v>
      </c>
      <c r="K37" s="17">
        <v>5640.8035515958554</v>
      </c>
      <c r="L37" s="17">
        <v>5860.9235719048975</v>
      </c>
      <c r="M37" s="17">
        <v>6151.8060841582619</v>
      </c>
      <c r="N37" s="17">
        <v>6551.4703909314176</v>
      </c>
      <c r="O37" s="17">
        <v>6806.9362834468575</v>
      </c>
      <c r="P37" s="17">
        <v>7042.2240539442591</v>
      </c>
      <c r="Q37" s="17">
        <v>7404.3545083637919</v>
      </c>
      <c r="R37" s="17">
        <v>7800.3489793505087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" t="s">
        <v>51</v>
      </c>
      <c r="AK37" s="38">
        <v>-7477</v>
      </c>
      <c r="AL37" s="38">
        <v>6865</v>
      </c>
      <c r="AM37" s="38">
        <v>-1664.646848143437</v>
      </c>
      <c r="AN37" s="38">
        <v>137.80840210194634</v>
      </c>
      <c r="AP37" s="16"/>
    </row>
    <row r="38" spans="1:42" x14ac:dyDescent="0.25">
      <c r="A38" s="9" t="s">
        <v>66</v>
      </c>
      <c r="B38" s="17">
        <v>2165.9494846451325</v>
      </c>
      <c r="C38" s="17">
        <v>2375.500704991267</v>
      </c>
      <c r="D38" s="17">
        <v>2638.7391706391572</v>
      </c>
      <c r="E38" s="17">
        <v>2883.9475016442834</v>
      </c>
      <c r="F38" s="17">
        <v>3128.4380414728275</v>
      </c>
      <c r="G38" s="17">
        <v>3260.5559830400648</v>
      </c>
      <c r="H38" s="17">
        <v>3557.6828235170819</v>
      </c>
      <c r="I38" s="17">
        <v>3622.8893925485113</v>
      </c>
      <c r="J38" s="17">
        <v>3776.3796572256365</v>
      </c>
      <c r="K38" s="17">
        <v>3990.1607993379212</v>
      </c>
      <c r="L38" s="17">
        <v>4275.2401824826929</v>
      </c>
      <c r="M38" s="17">
        <v>4420.625356667636</v>
      </c>
      <c r="N38" s="17">
        <v>4689.3240630297869</v>
      </c>
      <c r="O38" s="17">
        <v>4990.3442386739998</v>
      </c>
      <c r="P38" s="17">
        <v>5134.6940216338953</v>
      </c>
      <c r="Q38" s="17">
        <v>5341.3817559583958</v>
      </c>
      <c r="R38" s="17">
        <v>5616.4159969270268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" t="s">
        <v>53</v>
      </c>
      <c r="AK38" s="38">
        <v>-7328</v>
      </c>
      <c r="AL38" s="38">
        <v>7334</v>
      </c>
      <c r="AM38" s="38">
        <v>-16495.136949784959</v>
      </c>
      <c r="AN38" s="38">
        <v>712.44343728176045</v>
      </c>
      <c r="AP38" s="16"/>
    </row>
    <row r="39" spans="1:42" x14ac:dyDescent="0.25">
      <c r="A39" s="9" t="s">
        <v>68</v>
      </c>
      <c r="B39" s="17">
        <v>1226.3884255366452</v>
      </c>
      <c r="C39" s="17">
        <v>1344.8411974964274</v>
      </c>
      <c r="D39" s="17">
        <v>1515.3932970796552</v>
      </c>
      <c r="E39" s="17">
        <v>1703.1603415817524</v>
      </c>
      <c r="F39" s="17">
        <v>1869.2701078752477</v>
      </c>
      <c r="G39" s="17">
        <v>2122.8638112436629</v>
      </c>
      <c r="H39" s="17">
        <v>2318.0975187115337</v>
      </c>
      <c r="I39" s="17">
        <v>2550.6820242243912</v>
      </c>
      <c r="J39" s="17">
        <v>2763.3825870468513</v>
      </c>
      <c r="K39" s="17">
        <v>2970.2021451836949</v>
      </c>
      <c r="L39" s="17">
        <v>3070.1437110156498</v>
      </c>
      <c r="M39" s="17">
        <v>3323.2103731822149</v>
      </c>
      <c r="N39" s="17">
        <v>3385.4052985121857</v>
      </c>
      <c r="O39" s="17">
        <v>3532.7317340029999</v>
      </c>
      <c r="P39" s="17">
        <v>3736.1930088502299</v>
      </c>
      <c r="Q39" s="17">
        <v>4008.7925365284345</v>
      </c>
      <c r="R39" s="17">
        <v>4148.5338169246925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" t="s">
        <v>55</v>
      </c>
      <c r="AK39" s="38">
        <v>-6437</v>
      </c>
      <c r="AL39" s="38">
        <v>6491</v>
      </c>
      <c r="AM39" s="38">
        <v>-23471.151457525757</v>
      </c>
      <c r="AN39" s="38">
        <v>2035.9241291664905</v>
      </c>
      <c r="AP39" s="16"/>
    </row>
    <row r="40" spans="1:42" x14ac:dyDescent="0.25">
      <c r="A40" s="9" t="s">
        <v>70</v>
      </c>
      <c r="B40" s="17">
        <v>810.48300979639123</v>
      </c>
      <c r="C40" s="17">
        <v>903.79235428389961</v>
      </c>
      <c r="D40" s="17">
        <v>988.66008740553912</v>
      </c>
      <c r="E40" s="17">
        <v>1027.1449354066044</v>
      </c>
      <c r="F40" s="17">
        <v>1122.3118008255226</v>
      </c>
      <c r="G40" s="17">
        <v>1185.2324120602732</v>
      </c>
      <c r="H40" s="17">
        <v>1296.9860412503026</v>
      </c>
      <c r="I40" s="17">
        <v>1448.3146789711193</v>
      </c>
      <c r="J40" s="17">
        <v>1613.7022664364958</v>
      </c>
      <c r="K40" s="17">
        <v>1758.1502959663212</v>
      </c>
      <c r="L40" s="17">
        <v>1983.6602976587415</v>
      </c>
      <c r="M40" s="17">
        <v>2154.2338403465219</v>
      </c>
      <c r="N40" s="17">
        <v>2372.8725325776181</v>
      </c>
      <c r="O40" s="17">
        <v>2570.5780236205715</v>
      </c>
      <c r="P40" s="17">
        <v>2763.3520044953548</v>
      </c>
      <c r="Q40" s="17">
        <v>2859.1962090303159</v>
      </c>
      <c r="R40" s="17">
        <v>3098.1124149458756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" t="s">
        <v>57</v>
      </c>
      <c r="AK40" s="38">
        <v>-8460</v>
      </c>
      <c r="AL40" s="38">
        <v>8956</v>
      </c>
      <c r="AM40" s="38">
        <v>-14313.74828625332</v>
      </c>
      <c r="AN40" s="38">
        <v>1801.9098614462039</v>
      </c>
      <c r="AP40" s="16"/>
    </row>
    <row r="41" spans="1:42" x14ac:dyDescent="0.25">
      <c r="A41" s="9" t="s">
        <v>72</v>
      </c>
      <c r="B41" s="17">
        <v>650.9742870666073</v>
      </c>
      <c r="C41" s="17">
        <v>672.12671035606536</v>
      </c>
      <c r="D41" s="17">
        <v>645.61067689703884</v>
      </c>
      <c r="E41" s="17">
        <v>669.46105539767132</v>
      </c>
      <c r="F41" s="17">
        <v>686.71638174015402</v>
      </c>
      <c r="G41" s="17">
        <v>758.41924466078717</v>
      </c>
      <c r="H41" s="17">
        <v>842.61671199236719</v>
      </c>
      <c r="I41" s="17">
        <v>913.999340639102</v>
      </c>
      <c r="J41" s="17">
        <v>946.41697069666941</v>
      </c>
      <c r="K41" s="17">
        <v>1024.8704882300033</v>
      </c>
      <c r="L41" s="17">
        <v>1078.3608017348777</v>
      </c>
      <c r="M41" s="17">
        <v>1174.8888427057473</v>
      </c>
      <c r="N41" s="17">
        <v>1311.4555662179607</v>
      </c>
      <c r="O41" s="17">
        <v>1460.0619515247142</v>
      </c>
      <c r="P41" s="17">
        <v>1588.7090026691169</v>
      </c>
      <c r="Q41" s="17">
        <v>1791.39774911175</v>
      </c>
      <c r="R41" s="17">
        <v>1947.1292463741138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" t="s">
        <v>59</v>
      </c>
      <c r="AK41" s="38">
        <v>-10564</v>
      </c>
      <c r="AL41" s="38">
        <v>11335</v>
      </c>
      <c r="AM41" s="38">
        <v>-8983.9255618206753</v>
      </c>
      <c r="AN41" s="38">
        <v>1445.6881428053243</v>
      </c>
      <c r="AP41" s="16"/>
    </row>
    <row r="42" spans="1:42" x14ac:dyDescent="0.25">
      <c r="A42" s="9" t="s">
        <v>74</v>
      </c>
      <c r="B42" s="17">
        <v>419.62075244909778</v>
      </c>
      <c r="C42" s="17">
        <v>429.9480885709749</v>
      </c>
      <c r="D42" s="17">
        <v>485.41502185138478</v>
      </c>
      <c r="E42" s="17">
        <v>532.0362338516511</v>
      </c>
      <c r="F42" s="17">
        <v>545.82795020638071</v>
      </c>
      <c r="G42" s="17">
        <v>548.80810301506824</v>
      </c>
      <c r="H42" s="17">
        <v>565.99651031257565</v>
      </c>
      <c r="I42" s="17">
        <v>545.57866974277977</v>
      </c>
      <c r="J42" s="17">
        <v>567.17556660912396</v>
      </c>
      <c r="K42" s="17">
        <v>579.7875739915803</v>
      </c>
      <c r="L42" s="17">
        <v>637.41507441468536</v>
      </c>
      <c r="M42" s="17">
        <v>705.05846008663048</v>
      </c>
      <c r="N42" s="17">
        <v>764.71813314440453</v>
      </c>
      <c r="O42" s="17">
        <v>793.39450590514286</v>
      </c>
      <c r="P42" s="17">
        <v>859.08800112383869</v>
      </c>
      <c r="Q42" s="17">
        <v>906.79905225757898</v>
      </c>
      <c r="R42" s="17">
        <v>990.52810373646889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" t="s">
        <v>61</v>
      </c>
      <c r="AK42" s="38">
        <v>-10108</v>
      </c>
      <c r="AL42" s="38">
        <v>10372</v>
      </c>
      <c r="AM42" s="38">
        <v>-5536.5194505879253</v>
      </c>
      <c r="AN42" s="38">
        <v>899.65485145798948</v>
      </c>
      <c r="AP42" s="16"/>
    </row>
    <row r="43" spans="1:42" x14ac:dyDescent="0.25">
      <c r="A43" s="20" t="s">
        <v>76</v>
      </c>
      <c r="B43" s="39">
        <v>362.24150489819561</v>
      </c>
      <c r="C43" s="39">
        <v>392.89617714194981</v>
      </c>
      <c r="D43" s="39">
        <v>423.83004370276956</v>
      </c>
      <c r="E43" s="39">
        <v>446.07246770330215</v>
      </c>
      <c r="F43" s="39">
        <v>472.6559004127613</v>
      </c>
      <c r="G43" s="39">
        <v>519.6162060301366</v>
      </c>
      <c r="H43" s="39">
        <v>544.9930206251513</v>
      </c>
      <c r="I43" s="39">
        <v>603.15733948555965</v>
      </c>
      <c r="J43" s="39">
        <v>645.35113321824792</v>
      </c>
      <c r="K43" s="39">
        <v>665.5751479831606</v>
      </c>
      <c r="L43" s="39">
        <v>692.83014882937073</v>
      </c>
      <c r="M43" s="39">
        <v>716.11692017326095</v>
      </c>
      <c r="N43" s="39">
        <v>740.43626628880907</v>
      </c>
      <c r="O43" s="39">
        <v>785.78901181028573</v>
      </c>
      <c r="P43" s="39">
        <v>807.1760022476775</v>
      </c>
      <c r="Q43" s="39">
        <v>870.59810451515796</v>
      </c>
      <c r="R43" s="39">
        <v>936.0562074729379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" t="s">
        <v>63</v>
      </c>
      <c r="AK43" s="38">
        <v>-8628</v>
      </c>
      <c r="AL43" s="38">
        <v>8988</v>
      </c>
      <c r="AM43" s="38">
        <v>-3329.2936962868739</v>
      </c>
      <c r="AN43" s="38">
        <v>631.83852284477291</v>
      </c>
      <c r="AP43" s="16"/>
    </row>
    <row r="44" spans="1:42" x14ac:dyDescent="0.25">
      <c r="A44" s="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AA44" s="16"/>
      <c r="AB44" s="16"/>
      <c r="AC44" s="16"/>
      <c r="AD44" s="16"/>
      <c r="AE44" s="16"/>
      <c r="AF44" s="16"/>
      <c r="AG44" s="16"/>
      <c r="AH44" s="16"/>
      <c r="AI44" s="16"/>
      <c r="AJ44" s="1" t="s">
        <v>65</v>
      </c>
      <c r="AK44" s="38">
        <v>-6383</v>
      </c>
      <c r="AL44" s="38">
        <v>6434</v>
      </c>
      <c r="AM44" s="38">
        <v>-1417.3489793505089</v>
      </c>
      <c r="AN44" s="38">
        <v>397.82425512448663</v>
      </c>
      <c r="AP44" s="16"/>
    </row>
    <row r="45" spans="1:42" x14ac:dyDescent="0.25">
      <c r="A45" s="35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AA45" s="16"/>
      <c r="AB45" s="16"/>
      <c r="AC45" s="16"/>
      <c r="AD45" s="16"/>
      <c r="AE45" s="16"/>
      <c r="AF45" s="16"/>
      <c r="AG45" s="16"/>
      <c r="AH45" s="16"/>
      <c r="AI45" s="16"/>
      <c r="AJ45" s="1" t="s">
        <v>67</v>
      </c>
      <c r="AK45" s="38">
        <v>-5048</v>
      </c>
      <c r="AL45" s="38">
        <v>4988</v>
      </c>
      <c r="AM45" s="38">
        <v>-568.41599692702709</v>
      </c>
      <c r="AN45" s="38">
        <v>234.01426772028626</v>
      </c>
      <c r="AP45" s="16"/>
    </row>
    <row r="46" spans="1:42" x14ac:dyDescent="0.25">
      <c r="A46" s="40" t="s">
        <v>4</v>
      </c>
      <c r="B46" s="41">
        <f>SUM(B47:B63)</f>
        <v>69401.830738657722</v>
      </c>
      <c r="C46" s="41">
        <f t="shared" ref="C46:R46" si="2">SUM(C47:C63)</f>
        <v>72103.188107061578</v>
      </c>
      <c r="D46" s="41">
        <f t="shared" si="2"/>
        <v>74919.913478475733</v>
      </c>
      <c r="E46" s="41">
        <f t="shared" si="2"/>
        <v>77849.567905591888</v>
      </c>
      <c r="F46" s="41">
        <f t="shared" si="2"/>
        <v>80885.192131200674</v>
      </c>
      <c r="G46" s="41">
        <f t="shared" si="2"/>
        <v>84032.3570376399</v>
      </c>
      <c r="H46" s="41">
        <f t="shared" si="2"/>
        <v>87281.21940205725</v>
      </c>
      <c r="I46" s="41">
        <f t="shared" si="2"/>
        <v>90071.076177273324</v>
      </c>
      <c r="J46" s="41">
        <f t="shared" si="2"/>
        <v>92895.511363551588</v>
      </c>
      <c r="K46" s="41">
        <f t="shared" si="2"/>
        <v>95739.640863920009</v>
      </c>
      <c r="L46" s="41">
        <f t="shared" si="2"/>
        <v>98601.583515505466</v>
      </c>
      <c r="M46" s="41">
        <f t="shared" si="2"/>
        <v>101471.4611638112</v>
      </c>
      <c r="N46" s="41">
        <f t="shared" si="2"/>
        <v>104339.39873887392</v>
      </c>
      <c r="O46" s="41">
        <f t="shared" si="2"/>
        <v>107219.52433334931</v>
      </c>
      <c r="P46" s="41">
        <f t="shared" si="2"/>
        <v>110099.96928257414</v>
      </c>
      <c r="Q46" s="41">
        <f t="shared" si="2"/>
        <v>112991.86824665498</v>
      </c>
      <c r="R46" s="41">
        <f t="shared" si="2"/>
        <v>115887.35929463524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" t="s">
        <v>69</v>
      </c>
      <c r="AK46" s="38">
        <v>-3916</v>
      </c>
      <c r="AL46" s="38">
        <v>3892</v>
      </c>
      <c r="AM46" s="38">
        <v>-232.53381692469284</v>
      </c>
      <c r="AN46" s="38">
        <v>88.405390027663685</v>
      </c>
      <c r="AP46" s="16"/>
    </row>
    <row r="47" spans="1:42" x14ac:dyDescent="0.25">
      <c r="A47" s="42" t="s">
        <v>44</v>
      </c>
      <c r="B47" s="17">
        <v>6125.5948790691164</v>
      </c>
      <c r="C47" s="17">
        <v>6220.1140628909534</v>
      </c>
      <c r="D47" s="17">
        <v>6479.6860971954211</v>
      </c>
      <c r="E47" s="17">
        <v>6771.5268821524496</v>
      </c>
      <c r="F47" s="17">
        <v>7155.8750243510522</v>
      </c>
      <c r="G47" s="17">
        <v>7522.9942248542693</v>
      </c>
      <c r="H47" s="17">
        <v>7790.1759184080393</v>
      </c>
      <c r="I47" s="17">
        <v>8000.7368825409985</v>
      </c>
      <c r="J47" s="17">
        <v>8177.5145685127882</v>
      </c>
      <c r="K47" s="17">
        <v>8315.5144626628789</v>
      </c>
      <c r="L47" s="17">
        <v>8412.7421902180886</v>
      </c>
      <c r="M47" s="17">
        <v>8469.2035188085229</v>
      </c>
      <c r="N47" s="17">
        <v>8488.9043620725461</v>
      </c>
      <c r="O47" s="17">
        <v>8478.8507833529857</v>
      </c>
      <c r="P47" s="17">
        <v>8449.0489994869276</v>
      </c>
      <c r="Q47" s="17">
        <v>8413.5053846914343</v>
      </c>
      <c r="R47" s="17">
        <v>8378.2264745476423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" t="s">
        <v>71</v>
      </c>
      <c r="AK47" s="38">
        <v>-2980</v>
      </c>
      <c r="AL47" s="38">
        <v>3053</v>
      </c>
      <c r="AM47" s="38">
        <v>-118.11241494587573</v>
      </c>
      <c r="AN47" s="38">
        <v>33.802060892930243</v>
      </c>
      <c r="AP47" s="16"/>
    </row>
    <row r="48" spans="1:42" x14ac:dyDescent="0.25">
      <c r="A48" s="17" t="s">
        <v>46</v>
      </c>
      <c r="B48" s="17">
        <v>5245.9077265001752</v>
      </c>
      <c r="C48" s="17">
        <v>5730.2582337202175</v>
      </c>
      <c r="D48" s="17">
        <v>5992.5921423690643</v>
      </c>
      <c r="E48" s="17">
        <v>6138.0128776778201</v>
      </c>
      <c r="F48" s="17">
        <v>6166.6347422040972</v>
      </c>
      <c r="G48" s="17">
        <v>6186.5840598104287</v>
      </c>
      <c r="H48" s="17">
        <v>6278.0004399559466</v>
      </c>
      <c r="I48" s="17">
        <v>6521.1015006184425</v>
      </c>
      <c r="J48" s="17">
        <v>6795.3063801258868</v>
      </c>
      <c r="K48" s="17">
        <v>7158.6177066648524</v>
      </c>
      <c r="L48" s="17">
        <v>7503.0381749547723</v>
      </c>
      <c r="M48" s="17">
        <v>7745.5705479322269</v>
      </c>
      <c r="N48" s="17">
        <v>7954.2176584778663</v>
      </c>
      <c r="O48" s="17">
        <v>8129.9824111870594</v>
      </c>
      <c r="P48" s="17">
        <v>8267.867784185355</v>
      </c>
      <c r="Q48" s="17">
        <v>8363.8768309899078</v>
      </c>
      <c r="R48" s="17">
        <v>8420.0126824180315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" t="s">
        <v>73</v>
      </c>
      <c r="AK48" s="38">
        <v>-1877</v>
      </c>
      <c r="AL48" s="38">
        <v>2083</v>
      </c>
      <c r="AM48" s="38">
        <v>-70.129246374113734</v>
      </c>
      <c r="AN48" s="38">
        <v>13.000792651127014</v>
      </c>
      <c r="AP48" s="16"/>
    </row>
    <row r="49" spans="1:42" x14ac:dyDescent="0.25">
      <c r="A49" s="17" t="s">
        <v>48</v>
      </c>
      <c r="B49" s="17">
        <v>3982.1198235063312</v>
      </c>
      <c r="C49" s="17">
        <v>3999.4444330956003</v>
      </c>
      <c r="D49" s="17">
        <v>4201.2238658456918</v>
      </c>
      <c r="E49" s="17">
        <v>4572.5059559259917</v>
      </c>
      <c r="F49" s="17">
        <v>4993.3435682693944</v>
      </c>
      <c r="G49" s="17">
        <v>5421.7951276623235</v>
      </c>
      <c r="H49" s="17">
        <v>5907.9252034796255</v>
      </c>
      <c r="I49" s="17">
        <v>6164.8219440360299</v>
      </c>
      <c r="J49" s="17">
        <v>6303.7667008082226</v>
      </c>
      <c r="K49" s="17">
        <v>6325.7606893324946</v>
      </c>
      <c r="L49" s="17">
        <v>6337.8051559165824</v>
      </c>
      <c r="M49" s="17">
        <v>6419.9013784186545</v>
      </c>
      <c r="N49" s="17">
        <v>6665.0506670460136</v>
      </c>
      <c r="O49" s="17">
        <v>6940.2543651740152</v>
      </c>
      <c r="P49" s="17">
        <v>7306.5138501857264</v>
      </c>
      <c r="Q49" s="17">
        <v>7651.8305343328329</v>
      </c>
      <c r="R49" s="17">
        <v>7896.2058656183399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" t="s">
        <v>75</v>
      </c>
      <c r="AK49" s="38">
        <v>-1838</v>
      </c>
      <c r="AL49" s="38">
        <v>1967</v>
      </c>
      <c r="AM49" s="38">
        <v>-88.584311209406792</v>
      </c>
      <c r="AN49" s="38">
        <v>2.6001585302254036</v>
      </c>
      <c r="AP49" s="16"/>
    </row>
    <row r="50" spans="1:42" x14ac:dyDescent="0.25">
      <c r="A50" s="17" t="s">
        <v>50</v>
      </c>
      <c r="B50" s="17">
        <v>6856.901368806366</v>
      </c>
      <c r="C50" s="17">
        <v>6114.0960798396436</v>
      </c>
      <c r="D50" s="17">
        <v>5350.942294319505</v>
      </c>
      <c r="E50" s="17">
        <v>4614.5085314615562</v>
      </c>
      <c r="F50" s="17">
        <v>4421.8705167102144</v>
      </c>
      <c r="G50" s="17">
        <v>4478.1119396244085</v>
      </c>
      <c r="H50" s="17">
        <v>4509.3252914708146</v>
      </c>
      <c r="I50" s="17">
        <v>4716.0422441597184</v>
      </c>
      <c r="J50" s="17">
        <v>5092.8279768333996</v>
      </c>
      <c r="K50" s="17">
        <v>5517.6842306654653</v>
      </c>
      <c r="L50" s="17">
        <v>5950.6127909075367</v>
      </c>
      <c r="M50" s="17">
        <v>6440.6154880050999</v>
      </c>
      <c r="N50" s="17">
        <v>6707.6941987415867</v>
      </c>
      <c r="O50" s="17">
        <v>6855.8508474114269</v>
      </c>
      <c r="P50" s="17">
        <v>6888.0874070227974</v>
      </c>
      <c r="Q50" s="17">
        <v>6910.4059005308145</v>
      </c>
      <c r="R50" s="17">
        <v>7002.8084021019467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" t="s">
        <v>77</v>
      </c>
      <c r="AK50" s="22">
        <f>SUM(AK34:AK49)</f>
        <v>-106762</v>
      </c>
      <c r="AL50" s="22">
        <f>SUM(AL34:AL49)</f>
        <v>106714</v>
      </c>
      <c r="AM50" s="22">
        <f>SUM(AM34:AM49)</f>
        <v>-77492.817243395679</v>
      </c>
      <c r="AN50" s="22">
        <f>SUM(AN34:AN49)</f>
        <v>9173.3592946352219</v>
      </c>
      <c r="AO50" s="16"/>
      <c r="AP50" s="16"/>
    </row>
    <row r="51" spans="1:42" x14ac:dyDescent="0.25">
      <c r="A51" s="17" t="s">
        <v>52</v>
      </c>
      <c r="B51" s="17">
        <v>8754.5089632631007</v>
      </c>
      <c r="C51" s="17">
        <v>9055.5344504917448</v>
      </c>
      <c r="D51" s="17">
        <v>9265.9280876140438</v>
      </c>
      <c r="E51" s="17">
        <v>9366.0441060465328</v>
      </c>
      <c r="F51" s="17">
        <v>8896.2739920490312</v>
      </c>
      <c r="G51" s="17">
        <v>8138.0504048507173</v>
      </c>
      <c r="H51" s="17">
        <v>7457.8515068491179</v>
      </c>
      <c r="I51" s="17">
        <v>6716.8976396181642</v>
      </c>
      <c r="J51" s="17">
        <v>6004.2993519311613</v>
      </c>
      <c r="K51" s="17">
        <v>5834.0656453271204</v>
      </c>
      <c r="L51" s="17">
        <v>5911.2057492200965</v>
      </c>
      <c r="M51" s="17">
        <v>5963.7291266678758</v>
      </c>
      <c r="N51" s="17">
        <v>6199.645480286692</v>
      </c>
      <c r="O51" s="17">
        <v>6605.9647583156784</v>
      </c>
      <c r="P51" s="17">
        <v>7061.6971608348395</v>
      </c>
      <c r="Q51" s="17">
        <v>7525.8531461404364</v>
      </c>
      <c r="R51" s="17">
        <v>8046.4434372817605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</row>
    <row r="52" spans="1:42" x14ac:dyDescent="0.25">
      <c r="A52" s="17" t="s">
        <v>54</v>
      </c>
      <c r="B52" s="17">
        <v>9130.1843731204663</v>
      </c>
      <c r="C52" s="17">
        <v>9284.7024625366266</v>
      </c>
      <c r="D52" s="17">
        <v>9559.8455934372159</v>
      </c>
      <c r="E52" s="17">
        <v>9915.6260402716634</v>
      </c>
      <c r="F52" s="17">
        <v>10358.162539322597</v>
      </c>
      <c r="G52" s="17">
        <v>10835.691485394569</v>
      </c>
      <c r="H52" s="17">
        <v>11271.57930606883</v>
      </c>
      <c r="I52" s="17">
        <v>11503.718437303003</v>
      </c>
      <c r="J52" s="17">
        <v>11622.873695482114</v>
      </c>
      <c r="K52" s="17">
        <v>11171.070803982246</v>
      </c>
      <c r="L52" s="17">
        <v>10427.336137369837</v>
      </c>
      <c r="M52" s="17">
        <v>9757.6967378866684</v>
      </c>
      <c r="N52" s="17">
        <v>9068.1803323521162</v>
      </c>
      <c r="O52" s="17">
        <v>8406.8153494933431</v>
      </c>
      <c r="P52" s="17">
        <v>8289.6309377141588</v>
      </c>
      <c r="Q52" s="17">
        <v>8419.6569833137291</v>
      </c>
      <c r="R52" s="17">
        <v>8526.9241291664912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</row>
    <row r="53" spans="1:42" x14ac:dyDescent="0.25">
      <c r="A53" s="17" t="s">
        <v>56</v>
      </c>
      <c r="B53" s="17">
        <v>7555.1631808077682</v>
      </c>
      <c r="C53" s="17">
        <v>8315.1619496013827</v>
      </c>
      <c r="D53" s="17">
        <v>8991.6794332720183</v>
      </c>
      <c r="E53" s="17">
        <v>9342.6115528841165</v>
      </c>
      <c r="F53" s="17">
        <v>9908.948454342988</v>
      </c>
      <c r="G53" s="17">
        <v>10348.784418107836</v>
      </c>
      <c r="H53" s="17">
        <v>10559.32881111839</v>
      </c>
      <c r="I53" s="17">
        <v>10783.854249107255</v>
      </c>
      <c r="J53" s="17">
        <v>11079.279017840492</v>
      </c>
      <c r="K53" s="17">
        <v>11450.625883984285</v>
      </c>
      <c r="L53" s="17">
        <v>11843.918190545719</v>
      </c>
      <c r="M53" s="17">
        <v>12184.179871462911</v>
      </c>
      <c r="N53" s="17">
        <v>12432.435466564517</v>
      </c>
      <c r="O53" s="17">
        <v>12568.710136907901</v>
      </c>
      <c r="P53" s="17">
        <v>12134.029680505633</v>
      </c>
      <c r="Q53" s="17">
        <v>11408.420548450082</v>
      </c>
      <c r="R53" s="17">
        <v>10757.909861446204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</row>
    <row r="54" spans="1:42" x14ac:dyDescent="0.25">
      <c r="A54" s="9" t="s">
        <v>58</v>
      </c>
      <c r="B54" s="17">
        <v>5475.9086991762179</v>
      </c>
      <c r="C54" s="17">
        <v>5974.8947243555103</v>
      </c>
      <c r="D54" s="17">
        <v>6385.7153894649955</v>
      </c>
      <c r="E54" s="17">
        <v>7153.0894998608492</v>
      </c>
      <c r="F54" s="17">
        <v>7725.8114583184724</v>
      </c>
      <c r="G54" s="17">
        <v>8418.7592156824776</v>
      </c>
      <c r="H54" s="17">
        <v>9213.9030576938312</v>
      </c>
      <c r="I54" s="17">
        <v>9840.4054292981746</v>
      </c>
      <c r="J54" s="17">
        <v>10131.629341874912</v>
      </c>
      <c r="K54" s="17">
        <v>10628.593061320726</v>
      </c>
      <c r="L54" s="17">
        <v>10990.31531593567</v>
      </c>
      <c r="M54" s="17">
        <v>11111.815308128975</v>
      </c>
      <c r="N54" s="17">
        <v>11344.112726421172</v>
      </c>
      <c r="O54" s="17">
        <v>11648.227757750063</v>
      </c>
      <c r="P54" s="17">
        <v>12029.181100088215</v>
      </c>
      <c r="Q54" s="17">
        <v>12431.993975379864</v>
      </c>
      <c r="R54" s="17">
        <v>12780.688142805324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</row>
    <row r="55" spans="1:42" x14ac:dyDescent="0.25">
      <c r="A55" s="9" t="s">
        <v>60</v>
      </c>
      <c r="B55" s="17">
        <v>4305.5259171132584</v>
      </c>
      <c r="C55" s="17">
        <v>4590.9668608399397</v>
      </c>
      <c r="D55" s="17">
        <v>4924.6610157462028</v>
      </c>
      <c r="E55" s="17">
        <v>5131.055695956572</v>
      </c>
      <c r="F55" s="17">
        <v>5533.6452600327184</v>
      </c>
      <c r="G55" s="17">
        <v>5944.9760586801031</v>
      </c>
      <c r="H55" s="17">
        <v>6452.6519028094708</v>
      </c>
      <c r="I55" s="17">
        <v>6816.3889901747625</v>
      </c>
      <c r="J55" s="17">
        <v>7528.5750940444595</v>
      </c>
      <c r="K55" s="17">
        <v>8039.2215813254879</v>
      </c>
      <c r="L55" s="17">
        <v>8661.3401066793922</v>
      </c>
      <c r="M55" s="17">
        <v>9375.9426198068795</v>
      </c>
      <c r="N55" s="17">
        <v>10000.041372916772</v>
      </c>
      <c r="O55" s="17">
        <v>10292.648928384031</v>
      </c>
      <c r="P55" s="17">
        <v>10788.778166601658</v>
      </c>
      <c r="Q55" s="17">
        <v>11149.442294031354</v>
      </c>
      <c r="R55" s="17">
        <v>11271.65485145799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</row>
    <row r="56" spans="1:42" x14ac:dyDescent="0.25">
      <c r="A56" s="9" t="s">
        <v>62</v>
      </c>
      <c r="B56" s="17">
        <v>3595.0572192442824</v>
      </c>
      <c r="C56" s="17">
        <v>3718.4593849251601</v>
      </c>
      <c r="D56" s="17">
        <v>3956.8486324460323</v>
      </c>
      <c r="E56" s="17">
        <v>4351.5391159463779</v>
      </c>
      <c r="F56" s="17">
        <v>4548.8780294449443</v>
      </c>
      <c r="G56" s="17">
        <v>4716.2490816741765</v>
      </c>
      <c r="H56" s="17">
        <v>5013.076336366189</v>
      </c>
      <c r="I56" s="17">
        <v>5320.533308128518</v>
      </c>
      <c r="J56" s="17">
        <v>5496.3056296323803</v>
      </c>
      <c r="K56" s="17">
        <v>5862.4012839944899</v>
      </c>
      <c r="L56" s="17">
        <v>6231.8284564251226</v>
      </c>
      <c r="M56" s="17">
        <v>6691.5955393441382</v>
      </c>
      <c r="N56" s="17">
        <v>7057.7111376265193</v>
      </c>
      <c r="O56" s="17">
        <v>7770.1840739806921</v>
      </c>
      <c r="P56" s="17">
        <v>8282.0233944630145</v>
      </c>
      <c r="Q56" s="17">
        <v>8905.2383741318463</v>
      </c>
      <c r="R56" s="17">
        <v>9619.8385228447733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</row>
    <row r="57" spans="1:42" x14ac:dyDescent="0.25">
      <c r="A57" s="9" t="s">
        <v>64</v>
      </c>
      <c r="B57" s="17">
        <v>2868.0360269315852</v>
      </c>
      <c r="C57" s="17">
        <v>3133.9188719899157</v>
      </c>
      <c r="D57" s="17">
        <v>3312.6824722808351</v>
      </c>
      <c r="E57" s="17">
        <v>3402.524628558831</v>
      </c>
      <c r="F57" s="17">
        <v>3593.6639444653351</v>
      </c>
      <c r="G57" s="17">
        <v>3863.3420143874446</v>
      </c>
      <c r="H57" s="17">
        <v>3992.8258414157485</v>
      </c>
      <c r="I57" s="17">
        <v>4211.6691199327706</v>
      </c>
      <c r="J57" s="17">
        <v>4581.7109519907581</v>
      </c>
      <c r="K57" s="17">
        <v>4752.9563639965309</v>
      </c>
      <c r="L57" s="17">
        <v>4891.4105096010026</v>
      </c>
      <c r="M57" s="17">
        <v>5154.0786729203837</v>
      </c>
      <c r="N57" s="17">
        <v>5460.9662718389191</v>
      </c>
      <c r="O57" s="17">
        <v>5639.0788613952509</v>
      </c>
      <c r="P57" s="17">
        <v>6003.4221372544907</v>
      </c>
      <c r="Q57" s="17">
        <v>6373.0019392681997</v>
      </c>
      <c r="R57" s="17">
        <v>6831.8242551244866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spans="1:42" x14ac:dyDescent="0.25">
      <c r="A58" s="9" t="s">
        <v>66</v>
      </c>
      <c r="B58" s="17">
        <v>2111.0211923126972</v>
      </c>
      <c r="C58" s="17">
        <v>2345.5405129352444</v>
      </c>
      <c r="D58" s="17">
        <v>2556.1661601651972</v>
      </c>
      <c r="E58" s="17">
        <v>2753.0144873875474</v>
      </c>
      <c r="F58" s="17">
        <v>2890.2140849796087</v>
      </c>
      <c r="G58" s="17">
        <v>3028.9070672867319</v>
      </c>
      <c r="H58" s="17">
        <v>3293.2504949504405</v>
      </c>
      <c r="I58" s="17">
        <v>3458.8641881957474</v>
      </c>
      <c r="J58" s="17">
        <v>3535.5946776416222</v>
      </c>
      <c r="K58" s="17">
        <v>3708.444919997959</v>
      </c>
      <c r="L58" s="17">
        <v>3957.4179468241191</v>
      </c>
      <c r="M58" s="17">
        <v>4066.5168664237549</v>
      </c>
      <c r="N58" s="17">
        <v>4283.7448657875993</v>
      </c>
      <c r="O58" s="17">
        <v>4651.1052125854421</v>
      </c>
      <c r="P58" s="17">
        <v>4820.6012572085237</v>
      </c>
      <c r="Q58" s="17">
        <v>4960.2364348636474</v>
      </c>
      <c r="R58" s="17">
        <v>5222.0142677202866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</row>
    <row r="59" spans="1:42" x14ac:dyDescent="0.25">
      <c r="A59" s="9" t="s">
        <v>68</v>
      </c>
      <c r="B59" s="17">
        <v>1063.7857837625745</v>
      </c>
      <c r="C59" s="17">
        <v>1133.7597493310923</v>
      </c>
      <c r="D59" s="17">
        <v>1328.1516605068523</v>
      </c>
      <c r="E59" s="17">
        <v>1587.0054730130735</v>
      </c>
      <c r="F59" s="17">
        <v>1833.3697654367411</v>
      </c>
      <c r="G59" s="17">
        <v>2125.2982254194321</v>
      </c>
      <c r="H59" s="17">
        <v>2349.8501869812776</v>
      </c>
      <c r="I59" s="17">
        <v>2546.5931377628381</v>
      </c>
      <c r="J59" s="17">
        <v>2730.3802115535018</v>
      </c>
      <c r="K59" s="17">
        <v>2853.2125253325626</v>
      </c>
      <c r="L59" s="17">
        <v>2977.0912243557782</v>
      </c>
      <c r="M59" s="17">
        <v>3223.0174828711961</v>
      </c>
      <c r="N59" s="17">
        <v>3384.9925048530931</v>
      </c>
      <c r="O59" s="17">
        <v>3461.0175247545003</v>
      </c>
      <c r="P59" s="17">
        <v>3628.0938082787757</v>
      </c>
      <c r="Q59" s="17">
        <v>3872.2226531707111</v>
      </c>
      <c r="R59" s="17">
        <v>3980.4053900276635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 spans="1:42" x14ac:dyDescent="0.25">
      <c r="A60" s="9" t="s">
        <v>70</v>
      </c>
      <c r="B60" s="17">
        <v>877.44750555627843</v>
      </c>
      <c r="C60" s="17">
        <v>950.96696297953531</v>
      </c>
      <c r="D60" s="17">
        <v>989.64622313497296</v>
      </c>
      <c r="E60" s="17">
        <v>1013.5020926226457</v>
      </c>
      <c r="F60" s="17">
        <v>1029.5531456081658</v>
      </c>
      <c r="G60" s="17">
        <v>1048.8199097191946</v>
      </c>
      <c r="H60" s="17">
        <v>1117.3250714928413</v>
      </c>
      <c r="I60" s="17">
        <v>1298.9914938504969</v>
      </c>
      <c r="J60" s="17">
        <v>1541.6747867704566</v>
      </c>
      <c r="K60" s="17">
        <v>1769.3753773330386</v>
      </c>
      <c r="L60" s="17">
        <v>2041.0937034301505</v>
      </c>
      <c r="M60" s="17">
        <v>2248.8302140389869</v>
      </c>
      <c r="N60" s="17">
        <v>2436.5853695026531</v>
      </c>
      <c r="O60" s="17">
        <v>2613.3596418178972</v>
      </c>
      <c r="P60" s="17">
        <v>2730.1535149301203</v>
      </c>
      <c r="Q60" s="17">
        <v>2850.9674850358601</v>
      </c>
      <c r="R60" s="17">
        <v>3086.8020608929301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</row>
    <row r="61" spans="1:42" x14ac:dyDescent="0.25">
      <c r="A61" s="9" t="s">
        <v>72</v>
      </c>
      <c r="B61" s="17">
        <v>685.556732906261</v>
      </c>
      <c r="C61" s="17">
        <v>702.14113960751354</v>
      </c>
      <c r="D61" s="17">
        <v>729.78700889806646</v>
      </c>
      <c r="E61" s="17">
        <v>758.50080485486376</v>
      </c>
      <c r="F61" s="17">
        <v>779.28967138775602</v>
      </c>
      <c r="G61" s="17">
        <v>837.16150373815174</v>
      </c>
      <c r="H61" s="17">
        <v>904.12502749724672</v>
      </c>
      <c r="I61" s="17">
        <v>939.38134378865266</v>
      </c>
      <c r="J61" s="17">
        <v>961.64414875786792</v>
      </c>
      <c r="K61" s="17">
        <v>975.91360666655328</v>
      </c>
      <c r="L61" s="17">
        <v>995.18988593467327</v>
      </c>
      <c r="M61" s="17">
        <v>1058.4731592457642</v>
      </c>
      <c r="N61" s="17">
        <v>1226.7636036548668</v>
      </c>
      <c r="O61" s="17">
        <v>1451.0614006991912</v>
      </c>
      <c r="P61" s="17">
        <v>1658.3667365115846</v>
      </c>
      <c r="Q61" s="17">
        <v>1906.6798019368694</v>
      </c>
      <c r="R61" s="17">
        <v>2096.0007926511271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</row>
    <row r="62" spans="1:42" x14ac:dyDescent="0.25">
      <c r="A62" s="9" t="s">
        <v>74</v>
      </c>
      <c r="B62" s="17">
        <v>468</v>
      </c>
      <c r="C62" s="17">
        <v>501</v>
      </c>
      <c r="D62" s="17">
        <v>533</v>
      </c>
      <c r="E62" s="17">
        <v>568</v>
      </c>
      <c r="F62" s="17">
        <v>593</v>
      </c>
      <c r="G62" s="17">
        <v>605</v>
      </c>
      <c r="H62" s="17">
        <v>620</v>
      </c>
      <c r="I62" s="17">
        <v>644</v>
      </c>
      <c r="J62" s="17">
        <v>671</v>
      </c>
      <c r="K62" s="17">
        <v>690</v>
      </c>
      <c r="L62" s="17">
        <v>741</v>
      </c>
      <c r="M62" s="17">
        <v>799</v>
      </c>
      <c r="N62" s="17">
        <v>829</v>
      </c>
      <c r="O62" s="17">
        <v>851</v>
      </c>
      <c r="P62" s="17">
        <v>865</v>
      </c>
      <c r="Q62" s="17">
        <v>885</v>
      </c>
      <c r="R62" s="17">
        <v>944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</row>
    <row r="63" spans="1:42" x14ac:dyDescent="0.25">
      <c r="A63" s="20" t="s">
        <v>76</v>
      </c>
      <c r="B63" s="39">
        <v>301.11134658125218</v>
      </c>
      <c r="C63" s="39">
        <v>332.22822792150271</v>
      </c>
      <c r="D63" s="39">
        <v>361.35740177961333</v>
      </c>
      <c r="E63" s="39">
        <v>410.50016097097273</v>
      </c>
      <c r="F63" s="39">
        <v>456.65793427755119</v>
      </c>
      <c r="G63" s="39">
        <v>511.83230074763037</v>
      </c>
      <c r="H63" s="39">
        <v>550.02500549944932</v>
      </c>
      <c r="I63" s="39">
        <v>587.07626875773053</v>
      </c>
      <c r="J63" s="39">
        <v>641.12882975157356</v>
      </c>
      <c r="K63" s="39">
        <v>686.18272133331061</v>
      </c>
      <c r="L63" s="39">
        <v>728.2379771869347</v>
      </c>
      <c r="M63" s="39">
        <v>761.29463184915278</v>
      </c>
      <c r="N63" s="39">
        <v>799.35272073097337</v>
      </c>
      <c r="O63" s="39">
        <v>855.41228013983823</v>
      </c>
      <c r="P63" s="39">
        <v>897.47334730231694</v>
      </c>
      <c r="Q63" s="39">
        <v>963.53596038737385</v>
      </c>
      <c r="R63" s="39">
        <v>1025.6001585302254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</row>
    <row r="64" spans="1:42" x14ac:dyDescent="0.25">
      <c r="A64" s="9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</row>
    <row r="65" spans="1:42" ht="18.75" x14ac:dyDescent="0.5">
      <c r="A65" s="134" t="s">
        <v>81</v>
      </c>
      <c r="B65" s="134"/>
      <c r="C65" s="134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44" t="s">
        <v>91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</row>
    <row r="66" spans="1:42" x14ac:dyDescent="0.25">
      <c r="A66" s="11" t="s">
        <v>43</v>
      </c>
      <c r="B66" s="12">
        <v>2014</v>
      </c>
      <c r="C66" s="12">
        <v>2015</v>
      </c>
      <c r="D66" s="12">
        <v>2016</v>
      </c>
      <c r="E66" s="12">
        <v>2017</v>
      </c>
      <c r="F66" s="12">
        <v>2018</v>
      </c>
      <c r="G66" s="12">
        <v>2019</v>
      </c>
      <c r="H66" s="12">
        <v>2020</v>
      </c>
      <c r="I66" s="12">
        <v>2021</v>
      </c>
      <c r="J66" s="12">
        <v>2022</v>
      </c>
      <c r="K66" s="12">
        <v>2023</v>
      </c>
      <c r="L66" s="12">
        <v>2024</v>
      </c>
      <c r="M66" s="12">
        <v>2025</v>
      </c>
      <c r="N66" s="12">
        <v>2026</v>
      </c>
      <c r="O66" s="12">
        <v>2027</v>
      </c>
      <c r="P66" s="12">
        <v>2028</v>
      </c>
      <c r="Q66" s="12">
        <v>2029</v>
      </c>
      <c r="R66" s="12">
        <v>2030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</row>
    <row r="67" spans="1:42" x14ac:dyDescent="0.25">
      <c r="A67" s="36" t="s">
        <v>2</v>
      </c>
      <c r="B67" s="36">
        <f>SUM(B68:B84)</f>
        <v>130465</v>
      </c>
      <c r="C67" s="36">
        <f t="shared" ref="C67:R67" si="3">SUM(C68:C84)</f>
        <v>135074</v>
      </c>
      <c r="D67" s="36">
        <f t="shared" si="3"/>
        <v>139823</v>
      </c>
      <c r="E67" s="36">
        <f t="shared" si="3"/>
        <v>144705</v>
      </c>
      <c r="F67" s="36">
        <f t="shared" si="3"/>
        <v>149704</v>
      </c>
      <c r="G67" s="36">
        <f t="shared" si="3"/>
        <v>154806</v>
      </c>
      <c r="H67" s="36">
        <f t="shared" si="3"/>
        <v>159990</v>
      </c>
      <c r="I67" s="36">
        <f t="shared" si="3"/>
        <v>165250</v>
      </c>
      <c r="J67" s="36">
        <f t="shared" si="3"/>
        <v>170568</v>
      </c>
      <c r="K67" s="36">
        <f t="shared" si="3"/>
        <v>175918</v>
      </c>
      <c r="L67" s="36">
        <f t="shared" si="3"/>
        <v>181291</v>
      </c>
      <c r="M67" s="36">
        <f t="shared" si="3"/>
        <v>186667</v>
      </c>
      <c r="N67" s="36">
        <f t="shared" si="3"/>
        <v>192029</v>
      </c>
      <c r="O67" s="36">
        <f t="shared" si="3"/>
        <v>197395</v>
      </c>
      <c r="P67" s="36">
        <f t="shared" si="3"/>
        <v>202751</v>
      </c>
      <c r="Q67" s="36">
        <f t="shared" si="3"/>
        <v>208115</v>
      </c>
      <c r="R67" s="36">
        <f t="shared" si="3"/>
        <v>213476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</row>
    <row r="68" spans="1:42" x14ac:dyDescent="0.25">
      <c r="A68" s="17" t="s">
        <v>44</v>
      </c>
      <c r="B68" s="17">
        <v>12351</v>
      </c>
      <c r="C68" s="17">
        <v>12644</v>
      </c>
      <c r="D68" s="17">
        <v>12993</v>
      </c>
      <c r="E68" s="17">
        <v>13501</v>
      </c>
      <c r="F68" s="17">
        <v>14262</v>
      </c>
      <c r="G68" s="17">
        <v>14967</v>
      </c>
      <c r="H68" s="17">
        <v>15453</v>
      </c>
      <c r="I68" s="17">
        <v>15871</v>
      </c>
      <c r="J68" s="17">
        <v>16217</v>
      </c>
      <c r="K68" s="17">
        <v>16483</v>
      </c>
      <c r="L68" s="17">
        <v>16662</v>
      </c>
      <c r="M68" s="17">
        <v>16755</v>
      </c>
      <c r="N68" s="17">
        <v>16772</v>
      </c>
      <c r="O68" s="17">
        <v>16726</v>
      </c>
      <c r="P68" s="17">
        <v>16639</v>
      </c>
      <c r="Q68" s="17">
        <v>16539</v>
      </c>
      <c r="R68" s="17">
        <v>16440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</row>
    <row r="69" spans="1:42" x14ac:dyDescent="0.25">
      <c r="A69" s="17" t="s">
        <v>46</v>
      </c>
      <c r="B69" s="17">
        <v>10528</v>
      </c>
      <c r="C69" s="17">
        <v>11377</v>
      </c>
      <c r="D69" s="17">
        <v>12072</v>
      </c>
      <c r="E69" s="17">
        <v>12464</v>
      </c>
      <c r="F69" s="17">
        <v>12479</v>
      </c>
      <c r="G69" s="17">
        <v>12569</v>
      </c>
      <c r="H69" s="17">
        <v>12865</v>
      </c>
      <c r="I69" s="17">
        <v>13217</v>
      </c>
      <c r="J69" s="17">
        <v>13731</v>
      </c>
      <c r="K69" s="17">
        <v>14495</v>
      </c>
      <c r="L69" s="17">
        <v>15206</v>
      </c>
      <c r="M69" s="17">
        <v>15699</v>
      </c>
      <c r="N69" s="17">
        <v>16122</v>
      </c>
      <c r="O69" s="17">
        <v>16474</v>
      </c>
      <c r="P69" s="17">
        <v>16748</v>
      </c>
      <c r="Q69" s="17">
        <v>16934</v>
      </c>
      <c r="R69" s="17">
        <v>17036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</row>
    <row r="70" spans="1:42" x14ac:dyDescent="0.25">
      <c r="A70" s="17" t="s">
        <v>48</v>
      </c>
      <c r="B70" s="17">
        <v>8022</v>
      </c>
      <c r="C70" s="17">
        <v>8057</v>
      </c>
      <c r="D70" s="17">
        <v>8442</v>
      </c>
      <c r="E70" s="17">
        <v>9171</v>
      </c>
      <c r="F70" s="17">
        <v>10059</v>
      </c>
      <c r="G70" s="17">
        <v>10940</v>
      </c>
      <c r="H70" s="17">
        <v>11797</v>
      </c>
      <c r="I70" s="17">
        <v>12499</v>
      </c>
      <c r="J70" s="17">
        <v>12898</v>
      </c>
      <c r="K70" s="17">
        <v>12921</v>
      </c>
      <c r="L70" s="17">
        <v>13019</v>
      </c>
      <c r="M70" s="17">
        <v>13323</v>
      </c>
      <c r="N70" s="17">
        <v>13684</v>
      </c>
      <c r="O70" s="17">
        <v>14205</v>
      </c>
      <c r="P70" s="17">
        <v>14979</v>
      </c>
      <c r="Q70" s="17">
        <v>15696</v>
      </c>
      <c r="R70" s="17">
        <v>16198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</row>
    <row r="71" spans="1:42" x14ac:dyDescent="0.25">
      <c r="A71" s="17" t="s">
        <v>50</v>
      </c>
      <c r="B71" s="17">
        <v>13084</v>
      </c>
      <c r="C71" s="17">
        <v>11811</v>
      </c>
      <c r="D71" s="17">
        <v>10450</v>
      </c>
      <c r="E71" s="17">
        <v>9175</v>
      </c>
      <c r="F71" s="17">
        <v>8797</v>
      </c>
      <c r="G71" s="17">
        <v>8867</v>
      </c>
      <c r="H71" s="17">
        <v>8917</v>
      </c>
      <c r="I71" s="17">
        <v>9317</v>
      </c>
      <c r="J71" s="17">
        <v>10061</v>
      </c>
      <c r="K71" s="17">
        <v>10963</v>
      </c>
      <c r="L71" s="17">
        <v>11859</v>
      </c>
      <c r="M71" s="17">
        <v>12732</v>
      </c>
      <c r="N71" s="17">
        <v>13450</v>
      </c>
      <c r="O71" s="17">
        <v>13865</v>
      </c>
      <c r="P71" s="17">
        <v>13905</v>
      </c>
      <c r="Q71" s="17">
        <v>14020</v>
      </c>
      <c r="R71" s="17">
        <v>14342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</row>
    <row r="72" spans="1:42" x14ac:dyDescent="0.25">
      <c r="A72" s="17" t="s">
        <v>52</v>
      </c>
      <c r="B72" s="17">
        <v>16488</v>
      </c>
      <c r="C72" s="17">
        <v>16817</v>
      </c>
      <c r="D72" s="17">
        <v>17035</v>
      </c>
      <c r="E72" s="17">
        <v>17090</v>
      </c>
      <c r="F72" s="17">
        <v>16126</v>
      </c>
      <c r="G72" s="17">
        <v>14677</v>
      </c>
      <c r="H72" s="17">
        <v>13435</v>
      </c>
      <c r="I72" s="17">
        <v>12103</v>
      </c>
      <c r="J72" s="17">
        <v>10860</v>
      </c>
      <c r="K72" s="17">
        <v>10512</v>
      </c>
      <c r="L72" s="17">
        <v>10612</v>
      </c>
      <c r="M72" s="17">
        <v>10692</v>
      </c>
      <c r="N72" s="17">
        <v>11122</v>
      </c>
      <c r="O72" s="17">
        <v>11897</v>
      </c>
      <c r="P72" s="17">
        <v>12830</v>
      </c>
      <c r="Q72" s="17">
        <v>13759</v>
      </c>
      <c r="R72" s="17">
        <v>14662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</row>
    <row r="73" spans="1:42" x14ac:dyDescent="0.25">
      <c r="A73" s="17" t="s">
        <v>54</v>
      </c>
      <c r="B73" s="17">
        <v>16265</v>
      </c>
      <c r="C73" s="17">
        <v>16468</v>
      </c>
      <c r="D73" s="17">
        <v>16820</v>
      </c>
      <c r="E73" s="17">
        <v>17138</v>
      </c>
      <c r="F73" s="17">
        <v>17723</v>
      </c>
      <c r="G73" s="17">
        <v>18325</v>
      </c>
      <c r="H73" s="17">
        <v>18686</v>
      </c>
      <c r="I73" s="17">
        <v>18937</v>
      </c>
      <c r="J73" s="17">
        <v>19025</v>
      </c>
      <c r="K73" s="17">
        <v>18097</v>
      </c>
      <c r="L73" s="17">
        <v>16686</v>
      </c>
      <c r="M73" s="17">
        <v>15481</v>
      </c>
      <c r="N73" s="17">
        <v>14188</v>
      </c>
      <c r="O73" s="17">
        <v>12982</v>
      </c>
      <c r="P73" s="17">
        <v>12673</v>
      </c>
      <c r="Q73" s="17">
        <v>12809</v>
      </c>
      <c r="R73" s="17">
        <v>12928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</row>
    <row r="74" spans="1:42" x14ac:dyDescent="0.25">
      <c r="A74" s="9" t="s">
        <v>56</v>
      </c>
      <c r="B74" s="17">
        <v>13307</v>
      </c>
      <c r="C74" s="17">
        <v>14604</v>
      </c>
      <c r="D74" s="17">
        <v>15723</v>
      </c>
      <c r="E74" s="17">
        <v>16379</v>
      </c>
      <c r="F74" s="17">
        <v>17353</v>
      </c>
      <c r="G74" s="17">
        <v>17855</v>
      </c>
      <c r="H74" s="17">
        <v>18086</v>
      </c>
      <c r="I74" s="17">
        <v>18468</v>
      </c>
      <c r="J74" s="17">
        <v>18815</v>
      </c>
      <c r="K74" s="17">
        <v>19429</v>
      </c>
      <c r="L74" s="17">
        <v>20059</v>
      </c>
      <c r="M74" s="17">
        <v>20451</v>
      </c>
      <c r="N74" s="17">
        <v>20734</v>
      </c>
      <c r="O74" s="17">
        <v>20855</v>
      </c>
      <c r="P74" s="17">
        <v>19961</v>
      </c>
      <c r="Q74" s="17">
        <v>18585</v>
      </c>
      <c r="R74" s="17">
        <v>17416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</row>
    <row r="75" spans="1:42" x14ac:dyDescent="0.25">
      <c r="A75" s="9" t="s">
        <v>58</v>
      </c>
      <c r="B75" s="17">
        <v>9785</v>
      </c>
      <c r="C75" s="17">
        <v>10564</v>
      </c>
      <c r="D75" s="17">
        <v>11197</v>
      </c>
      <c r="E75" s="17">
        <v>12394</v>
      </c>
      <c r="F75" s="17">
        <v>13352</v>
      </c>
      <c r="G75" s="17">
        <v>14506</v>
      </c>
      <c r="H75" s="17">
        <v>15821</v>
      </c>
      <c r="I75" s="17">
        <v>16961</v>
      </c>
      <c r="J75" s="17">
        <v>17637</v>
      </c>
      <c r="K75" s="17">
        <v>18631</v>
      </c>
      <c r="L75" s="17">
        <v>19157</v>
      </c>
      <c r="M75" s="17">
        <v>19413</v>
      </c>
      <c r="N75" s="17">
        <v>19817</v>
      </c>
      <c r="O75" s="17">
        <v>20188</v>
      </c>
      <c r="P75" s="17">
        <v>20827</v>
      </c>
      <c r="Q75" s="17">
        <v>21482</v>
      </c>
      <c r="R75" s="17">
        <v>21899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</row>
    <row r="76" spans="1:42" x14ac:dyDescent="0.25">
      <c r="A76" s="9" t="s">
        <v>60</v>
      </c>
      <c r="B76" s="17">
        <v>7958</v>
      </c>
      <c r="C76" s="17">
        <v>8454</v>
      </c>
      <c r="D76" s="17">
        <v>9104</v>
      </c>
      <c r="E76" s="17">
        <v>9473</v>
      </c>
      <c r="F76" s="17">
        <v>10014</v>
      </c>
      <c r="G76" s="17">
        <v>10684</v>
      </c>
      <c r="H76" s="17">
        <v>11478</v>
      </c>
      <c r="I76" s="17">
        <v>12125</v>
      </c>
      <c r="J76" s="17">
        <v>13335</v>
      </c>
      <c r="K76" s="17">
        <v>14307</v>
      </c>
      <c r="L76" s="17">
        <v>15475</v>
      </c>
      <c r="M76" s="17">
        <v>16804</v>
      </c>
      <c r="N76" s="17">
        <v>17957</v>
      </c>
      <c r="O76" s="17">
        <v>18651</v>
      </c>
      <c r="P76" s="17">
        <v>19660</v>
      </c>
      <c r="Q76" s="17">
        <v>20203</v>
      </c>
      <c r="R76" s="17">
        <v>20480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</row>
    <row r="77" spans="1:42" x14ac:dyDescent="0.25">
      <c r="A77" s="9" t="s">
        <v>62</v>
      </c>
      <c r="B77" s="17">
        <v>6733</v>
      </c>
      <c r="C77" s="17">
        <v>6952</v>
      </c>
      <c r="D77" s="17">
        <v>7414</v>
      </c>
      <c r="E77" s="17">
        <v>8061</v>
      </c>
      <c r="F77" s="17">
        <v>8345</v>
      </c>
      <c r="G77" s="17">
        <v>8655</v>
      </c>
      <c r="H77" s="17">
        <v>9162</v>
      </c>
      <c r="I77" s="17">
        <v>9823</v>
      </c>
      <c r="J77" s="17">
        <v>10204</v>
      </c>
      <c r="K77" s="17">
        <v>10755</v>
      </c>
      <c r="L77" s="17">
        <v>11436</v>
      </c>
      <c r="M77" s="17">
        <v>12241</v>
      </c>
      <c r="N77" s="17">
        <v>12900</v>
      </c>
      <c r="O77" s="17">
        <v>14119</v>
      </c>
      <c r="P77" s="17">
        <v>15100</v>
      </c>
      <c r="Q77" s="17">
        <v>16278</v>
      </c>
      <c r="R77" s="17">
        <v>17616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</row>
    <row r="78" spans="1:42" x14ac:dyDescent="0.25">
      <c r="A78" s="9" t="s">
        <v>64</v>
      </c>
      <c r="B78" s="17">
        <v>5421</v>
      </c>
      <c r="C78" s="17">
        <v>5926</v>
      </c>
      <c r="D78" s="17">
        <v>6134</v>
      </c>
      <c r="E78" s="17">
        <v>6343</v>
      </c>
      <c r="F78" s="17">
        <v>6711</v>
      </c>
      <c r="G78" s="17">
        <v>7230</v>
      </c>
      <c r="H78" s="17">
        <v>7458</v>
      </c>
      <c r="I78" s="17">
        <v>7927</v>
      </c>
      <c r="J78" s="17">
        <v>8578</v>
      </c>
      <c r="K78" s="17">
        <v>8870</v>
      </c>
      <c r="L78" s="17">
        <v>9190</v>
      </c>
      <c r="M78" s="17">
        <v>9704</v>
      </c>
      <c r="N78" s="17">
        <v>10370</v>
      </c>
      <c r="O78" s="17">
        <v>10762</v>
      </c>
      <c r="P78" s="17">
        <v>11319</v>
      </c>
      <c r="Q78" s="17">
        <v>12007</v>
      </c>
      <c r="R78" s="17">
        <v>12817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</row>
    <row r="79" spans="1:42" x14ac:dyDescent="0.25">
      <c r="A79" s="9" t="s">
        <v>66</v>
      </c>
      <c r="B79" s="17">
        <v>3934</v>
      </c>
      <c r="C79" s="17">
        <v>4342</v>
      </c>
      <c r="D79" s="17">
        <v>4776</v>
      </c>
      <c r="E79" s="17">
        <v>5174</v>
      </c>
      <c r="F79" s="17">
        <v>5507</v>
      </c>
      <c r="G79" s="17">
        <v>5724</v>
      </c>
      <c r="H79" s="17">
        <v>6226</v>
      </c>
      <c r="I79" s="17">
        <v>6441</v>
      </c>
      <c r="J79" s="17">
        <v>6655</v>
      </c>
      <c r="K79" s="17">
        <v>7025</v>
      </c>
      <c r="L79" s="17">
        <v>7542</v>
      </c>
      <c r="M79" s="17">
        <v>7779</v>
      </c>
      <c r="N79" s="17">
        <v>8247</v>
      </c>
      <c r="O79" s="17">
        <v>8897</v>
      </c>
      <c r="P79" s="17">
        <v>9192</v>
      </c>
      <c r="Q79" s="17">
        <v>9519</v>
      </c>
      <c r="R79" s="17">
        <v>10036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</row>
    <row r="80" spans="1:42" x14ac:dyDescent="0.25">
      <c r="A80" s="9" t="s">
        <v>68</v>
      </c>
      <c r="B80" s="17">
        <v>2153</v>
      </c>
      <c r="C80" s="17">
        <v>2327</v>
      </c>
      <c r="D80" s="17">
        <v>2676</v>
      </c>
      <c r="E80" s="17">
        <v>3105</v>
      </c>
      <c r="F80" s="17">
        <v>3498</v>
      </c>
      <c r="G80" s="17">
        <v>4022</v>
      </c>
      <c r="H80" s="17">
        <v>4418</v>
      </c>
      <c r="I80" s="17">
        <v>4841</v>
      </c>
      <c r="J80" s="17">
        <v>5231</v>
      </c>
      <c r="K80" s="17">
        <v>5554</v>
      </c>
      <c r="L80" s="17">
        <v>5771</v>
      </c>
      <c r="M80" s="17">
        <v>6263</v>
      </c>
      <c r="N80" s="17">
        <v>6480</v>
      </c>
      <c r="O80" s="17">
        <v>6696</v>
      </c>
      <c r="P80" s="17">
        <v>7059</v>
      </c>
      <c r="Q80" s="17">
        <v>7568</v>
      </c>
      <c r="R80" s="17">
        <v>7808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</row>
    <row r="81" spans="1:42" x14ac:dyDescent="0.25">
      <c r="A81" s="9" t="s">
        <v>70</v>
      </c>
      <c r="B81" s="17">
        <v>1623</v>
      </c>
      <c r="C81" s="17">
        <v>1783</v>
      </c>
      <c r="D81" s="17">
        <v>1899</v>
      </c>
      <c r="E81" s="17">
        <v>1953</v>
      </c>
      <c r="F81" s="17">
        <v>2055</v>
      </c>
      <c r="G81" s="17">
        <v>2127</v>
      </c>
      <c r="H81" s="17">
        <v>2296</v>
      </c>
      <c r="I81" s="17">
        <v>2626</v>
      </c>
      <c r="J81" s="17">
        <v>3031</v>
      </c>
      <c r="K81" s="17">
        <v>3400</v>
      </c>
      <c r="L81" s="17">
        <v>3894</v>
      </c>
      <c r="M81" s="17">
        <v>4269</v>
      </c>
      <c r="N81" s="17">
        <v>4672</v>
      </c>
      <c r="O81" s="17">
        <v>5043</v>
      </c>
      <c r="P81" s="17">
        <v>5349</v>
      </c>
      <c r="Q81" s="17">
        <v>5562</v>
      </c>
      <c r="R81" s="17">
        <v>6033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</row>
    <row r="82" spans="1:42" x14ac:dyDescent="0.25">
      <c r="A82" s="9" t="s">
        <v>72</v>
      </c>
      <c r="B82" s="17">
        <v>1301</v>
      </c>
      <c r="C82" s="17">
        <v>1335</v>
      </c>
      <c r="D82" s="17">
        <v>1332</v>
      </c>
      <c r="E82" s="17">
        <v>1380</v>
      </c>
      <c r="F82" s="17">
        <v>1413</v>
      </c>
      <c r="G82" s="17">
        <v>1537</v>
      </c>
      <c r="H82" s="17">
        <v>1682</v>
      </c>
      <c r="I82" s="17">
        <v>1787</v>
      </c>
      <c r="J82" s="17">
        <v>1840</v>
      </c>
      <c r="K82" s="17">
        <v>1931</v>
      </c>
      <c r="L82" s="17">
        <v>2002</v>
      </c>
      <c r="M82" s="17">
        <v>2160</v>
      </c>
      <c r="N82" s="17">
        <v>2463</v>
      </c>
      <c r="O82" s="17">
        <v>2834</v>
      </c>
      <c r="P82" s="17">
        <v>3168</v>
      </c>
      <c r="Q82" s="17">
        <v>3617</v>
      </c>
      <c r="R82" s="17">
        <v>3960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</row>
    <row r="83" spans="1:42" x14ac:dyDescent="0.25">
      <c r="A83" s="9" t="s">
        <v>74</v>
      </c>
      <c r="B83" s="17">
        <v>875</v>
      </c>
      <c r="C83" s="17">
        <v>917</v>
      </c>
      <c r="D83" s="17">
        <v>1003</v>
      </c>
      <c r="E83" s="17">
        <v>1083</v>
      </c>
      <c r="F83" s="17">
        <v>1120</v>
      </c>
      <c r="G83" s="17">
        <v>1133</v>
      </c>
      <c r="H83" s="17">
        <v>1163</v>
      </c>
      <c r="I83" s="17">
        <v>1166</v>
      </c>
      <c r="J83" s="17">
        <v>1214</v>
      </c>
      <c r="K83" s="17">
        <v>1245</v>
      </c>
      <c r="L83" s="17">
        <v>1353</v>
      </c>
      <c r="M83" s="17">
        <v>1478</v>
      </c>
      <c r="N83" s="17">
        <v>1567</v>
      </c>
      <c r="O83" s="17">
        <v>1617</v>
      </c>
      <c r="P83" s="17">
        <v>1696</v>
      </c>
      <c r="Q83" s="17">
        <v>1763</v>
      </c>
      <c r="R83" s="17">
        <v>1905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</row>
    <row r="84" spans="1:42" x14ac:dyDescent="0.25">
      <c r="A84" s="20" t="s">
        <v>76</v>
      </c>
      <c r="B84" s="39">
        <v>637</v>
      </c>
      <c r="C84" s="39">
        <v>696</v>
      </c>
      <c r="D84" s="39">
        <v>753</v>
      </c>
      <c r="E84" s="39">
        <v>821</v>
      </c>
      <c r="F84" s="39">
        <v>890</v>
      </c>
      <c r="G84" s="39">
        <v>988</v>
      </c>
      <c r="H84" s="39">
        <v>1047</v>
      </c>
      <c r="I84" s="39">
        <v>1141</v>
      </c>
      <c r="J84" s="39">
        <v>1236</v>
      </c>
      <c r="K84" s="39">
        <v>1300</v>
      </c>
      <c r="L84" s="39">
        <v>1368</v>
      </c>
      <c r="M84" s="39">
        <v>1423</v>
      </c>
      <c r="N84" s="39">
        <v>1484</v>
      </c>
      <c r="O84" s="39">
        <v>1584</v>
      </c>
      <c r="P84" s="39">
        <v>1646</v>
      </c>
      <c r="Q84" s="39">
        <v>1774</v>
      </c>
      <c r="R84" s="39">
        <v>1900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</row>
    <row r="85" spans="1:42" x14ac:dyDescent="0.25">
      <c r="A85" s="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</row>
    <row r="86" spans="1:42" x14ac:dyDescent="0.25">
      <c r="A86" s="35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</row>
    <row r="87" spans="1:42" x14ac:dyDescent="0.25">
      <c r="A87" s="40" t="s">
        <v>78</v>
      </c>
      <c r="B87" s="41">
        <f>SUM(B88:B104)</f>
        <v>64984</v>
      </c>
      <c r="C87" s="41">
        <f t="shared" ref="C87:R87" si="4">SUM(C88:C104)</f>
        <v>67304</v>
      </c>
      <c r="D87" s="41">
        <f t="shared" si="4"/>
        <v>69692</v>
      </c>
      <c r="E87" s="41">
        <f t="shared" si="4"/>
        <v>72148</v>
      </c>
      <c r="F87" s="41">
        <f t="shared" si="4"/>
        <v>74668</v>
      </c>
      <c r="G87" s="41">
        <f t="shared" si="4"/>
        <v>77238</v>
      </c>
      <c r="H87" s="41">
        <f t="shared" si="4"/>
        <v>79853</v>
      </c>
      <c r="I87" s="41">
        <f t="shared" si="4"/>
        <v>82504</v>
      </c>
      <c r="J87" s="41">
        <f t="shared" si="4"/>
        <v>85183</v>
      </c>
      <c r="K87" s="41">
        <f t="shared" si="4"/>
        <v>87879</v>
      </c>
      <c r="L87" s="41">
        <f t="shared" si="4"/>
        <v>90585</v>
      </c>
      <c r="M87" s="41">
        <f t="shared" si="4"/>
        <v>93291</v>
      </c>
      <c r="N87" s="41">
        <f t="shared" si="4"/>
        <v>95990</v>
      </c>
      <c r="O87" s="41">
        <f t="shared" si="4"/>
        <v>98686</v>
      </c>
      <c r="P87" s="41">
        <f t="shared" si="4"/>
        <v>101377</v>
      </c>
      <c r="Q87" s="41">
        <f t="shared" si="4"/>
        <v>104070</v>
      </c>
      <c r="R87" s="41">
        <f t="shared" si="4"/>
        <v>106762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</row>
    <row r="88" spans="1:42" x14ac:dyDescent="0.25">
      <c r="A88" s="42" t="s">
        <v>44</v>
      </c>
      <c r="B88" s="17">
        <v>6411</v>
      </c>
      <c r="C88" s="17">
        <v>6629</v>
      </c>
      <c r="D88" s="17">
        <v>6740</v>
      </c>
      <c r="E88" s="17">
        <v>6980</v>
      </c>
      <c r="F88" s="17">
        <v>7383</v>
      </c>
      <c r="G88" s="17">
        <v>7750</v>
      </c>
      <c r="H88" s="17">
        <v>8001</v>
      </c>
      <c r="I88" s="17">
        <v>8217</v>
      </c>
      <c r="J88" s="17">
        <v>8395</v>
      </c>
      <c r="K88" s="17">
        <v>8532</v>
      </c>
      <c r="L88" s="17">
        <v>8623</v>
      </c>
      <c r="M88" s="17">
        <v>8669</v>
      </c>
      <c r="N88" s="17">
        <v>8676</v>
      </c>
      <c r="O88" s="17">
        <v>8650</v>
      </c>
      <c r="P88" s="17">
        <v>8603</v>
      </c>
      <c r="Q88" s="17">
        <v>8549</v>
      </c>
      <c r="R88" s="17">
        <v>8496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</row>
    <row r="89" spans="1:42" x14ac:dyDescent="0.25">
      <c r="A89" s="17" t="s">
        <v>46</v>
      </c>
      <c r="B89" s="17">
        <v>5371</v>
      </c>
      <c r="C89" s="17">
        <v>5745</v>
      </c>
      <c r="D89" s="17">
        <v>6188</v>
      </c>
      <c r="E89" s="17">
        <v>6446</v>
      </c>
      <c r="F89" s="17">
        <v>6445</v>
      </c>
      <c r="G89" s="17">
        <v>6529</v>
      </c>
      <c r="H89" s="17">
        <v>6749</v>
      </c>
      <c r="I89" s="17">
        <v>6862</v>
      </c>
      <c r="J89" s="17">
        <v>7106</v>
      </c>
      <c r="K89" s="17">
        <v>7511</v>
      </c>
      <c r="L89" s="17">
        <v>7882</v>
      </c>
      <c r="M89" s="17">
        <v>8137</v>
      </c>
      <c r="N89" s="17">
        <v>8356</v>
      </c>
      <c r="O89" s="17">
        <v>8537</v>
      </c>
      <c r="P89" s="17">
        <v>8678</v>
      </c>
      <c r="Q89" s="17">
        <v>8773</v>
      </c>
      <c r="R89" s="17">
        <v>8824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</row>
    <row r="90" spans="1:42" x14ac:dyDescent="0.25">
      <c r="A90" s="17" t="s">
        <v>48</v>
      </c>
      <c r="B90" s="17">
        <v>4081</v>
      </c>
      <c r="C90" s="17">
        <v>4103</v>
      </c>
      <c r="D90" s="17">
        <v>4291</v>
      </c>
      <c r="E90" s="17">
        <v>4654</v>
      </c>
      <c r="F90" s="17">
        <v>5127</v>
      </c>
      <c r="G90" s="17">
        <v>5586</v>
      </c>
      <c r="H90" s="17">
        <v>5964</v>
      </c>
      <c r="I90" s="17">
        <v>6411</v>
      </c>
      <c r="J90" s="17">
        <v>6673</v>
      </c>
      <c r="K90" s="17">
        <v>6676</v>
      </c>
      <c r="L90" s="17">
        <v>6764</v>
      </c>
      <c r="M90" s="17">
        <v>6988</v>
      </c>
      <c r="N90" s="17">
        <v>7106</v>
      </c>
      <c r="O90" s="17">
        <v>7354</v>
      </c>
      <c r="P90" s="17">
        <v>7764</v>
      </c>
      <c r="Q90" s="17">
        <v>8138</v>
      </c>
      <c r="R90" s="17">
        <v>8398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</row>
    <row r="91" spans="1:42" x14ac:dyDescent="0.25">
      <c r="A91" s="17" t="s">
        <v>50</v>
      </c>
      <c r="B91" s="17">
        <v>6286</v>
      </c>
      <c r="C91" s="17">
        <v>5762</v>
      </c>
      <c r="D91" s="17">
        <v>5171</v>
      </c>
      <c r="E91" s="17">
        <v>4640</v>
      </c>
      <c r="F91" s="17">
        <v>4463</v>
      </c>
      <c r="G91" s="17">
        <v>4486</v>
      </c>
      <c r="H91" s="17">
        <v>4515</v>
      </c>
      <c r="I91" s="17">
        <v>4711</v>
      </c>
      <c r="J91" s="17">
        <v>5081</v>
      </c>
      <c r="K91" s="17">
        <v>5561</v>
      </c>
      <c r="L91" s="17">
        <v>6027</v>
      </c>
      <c r="M91" s="17">
        <v>6413</v>
      </c>
      <c r="N91" s="17">
        <v>6867</v>
      </c>
      <c r="O91" s="17">
        <v>7137</v>
      </c>
      <c r="P91" s="17">
        <v>7148</v>
      </c>
      <c r="Q91" s="17">
        <v>7244</v>
      </c>
      <c r="R91" s="17">
        <v>7477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</row>
    <row r="92" spans="1:42" x14ac:dyDescent="0.25">
      <c r="A92" s="17" t="s">
        <v>52</v>
      </c>
      <c r="B92" s="17">
        <v>8038</v>
      </c>
      <c r="C92" s="17">
        <v>8098</v>
      </c>
      <c r="D92" s="17">
        <v>8141</v>
      </c>
      <c r="E92" s="17">
        <v>8135</v>
      </c>
      <c r="F92" s="17">
        <v>7684</v>
      </c>
      <c r="G92" s="17">
        <v>7041</v>
      </c>
      <c r="H92" s="17">
        <v>6532</v>
      </c>
      <c r="I92" s="17">
        <v>5955</v>
      </c>
      <c r="J92" s="17">
        <v>5439</v>
      </c>
      <c r="K92" s="17">
        <v>5276</v>
      </c>
      <c r="L92" s="17">
        <v>5314</v>
      </c>
      <c r="M92" s="17">
        <v>5357</v>
      </c>
      <c r="N92" s="17">
        <v>5567</v>
      </c>
      <c r="O92" s="17">
        <v>5952</v>
      </c>
      <c r="P92" s="17">
        <v>6446</v>
      </c>
      <c r="Q92" s="17">
        <v>6928</v>
      </c>
      <c r="R92" s="17">
        <v>7328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</row>
    <row r="93" spans="1:42" x14ac:dyDescent="0.25">
      <c r="A93" s="17" t="s">
        <v>54</v>
      </c>
      <c r="B93" s="17">
        <v>8005</v>
      </c>
      <c r="C93" s="17">
        <v>8145</v>
      </c>
      <c r="D93" s="17">
        <v>8323</v>
      </c>
      <c r="E93" s="17">
        <v>8397</v>
      </c>
      <c r="F93" s="17">
        <v>8663</v>
      </c>
      <c r="G93" s="17">
        <v>8924</v>
      </c>
      <c r="H93" s="17">
        <v>9000</v>
      </c>
      <c r="I93" s="17">
        <v>9059</v>
      </c>
      <c r="J93" s="17">
        <v>9069</v>
      </c>
      <c r="K93" s="17">
        <v>8635</v>
      </c>
      <c r="L93" s="17">
        <v>8011</v>
      </c>
      <c r="M93" s="17">
        <v>7520</v>
      </c>
      <c r="N93" s="17">
        <v>6962</v>
      </c>
      <c r="O93" s="17">
        <v>6464</v>
      </c>
      <c r="P93" s="17">
        <v>6320</v>
      </c>
      <c r="Q93" s="17">
        <v>6375</v>
      </c>
      <c r="R93" s="17">
        <v>6437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</row>
    <row r="94" spans="1:42" x14ac:dyDescent="0.25">
      <c r="A94" s="17" t="s">
        <v>56</v>
      </c>
      <c r="B94" s="17">
        <v>6522</v>
      </c>
      <c r="C94" s="17">
        <v>7140</v>
      </c>
      <c r="D94" s="17">
        <v>7672</v>
      </c>
      <c r="E94" s="17">
        <v>8076</v>
      </c>
      <c r="F94" s="17">
        <v>8593</v>
      </c>
      <c r="G94" s="17">
        <v>8776</v>
      </c>
      <c r="H94" s="17">
        <v>8930</v>
      </c>
      <c r="I94" s="17">
        <v>9123</v>
      </c>
      <c r="J94" s="17">
        <v>9211</v>
      </c>
      <c r="K94" s="17">
        <v>9491</v>
      </c>
      <c r="L94" s="17">
        <v>9766</v>
      </c>
      <c r="M94" s="17">
        <v>9857</v>
      </c>
      <c r="N94" s="17">
        <v>9932</v>
      </c>
      <c r="O94" s="17">
        <v>9958</v>
      </c>
      <c r="P94" s="17">
        <v>9541</v>
      </c>
      <c r="Q94" s="17">
        <v>8934</v>
      </c>
      <c r="R94" s="17">
        <v>8460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</row>
    <row r="95" spans="1:42" x14ac:dyDescent="0.25">
      <c r="A95" s="9" t="s">
        <v>58</v>
      </c>
      <c r="B95" s="17">
        <v>4927</v>
      </c>
      <c r="C95" s="17">
        <v>5272</v>
      </c>
      <c r="D95" s="17">
        <v>5566</v>
      </c>
      <c r="E95" s="17">
        <v>6075</v>
      </c>
      <c r="F95" s="17">
        <v>6548</v>
      </c>
      <c r="G95" s="17">
        <v>7106</v>
      </c>
      <c r="H95" s="17">
        <v>7733</v>
      </c>
      <c r="I95" s="17">
        <v>8275</v>
      </c>
      <c r="J95" s="17">
        <v>8689</v>
      </c>
      <c r="K95" s="17">
        <v>9216</v>
      </c>
      <c r="L95" s="17">
        <v>9411</v>
      </c>
      <c r="M95" s="17">
        <v>9577</v>
      </c>
      <c r="N95" s="17">
        <v>9781</v>
      </c>
      <c r="O95" s="17">
        <v>9881</v>
      </c>
      <c r="P95" s="17">
        <v>10173</v>
      </c>
      <c r="Q95" s="17">
        <v>10460</v>
      </c>
      <c r="R95" s="17">
        <v>10564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</row>
    <row r="96" spans="1:42" x14ac:dyDescent="0.25">
      <c r="A96" s="9" t="s">
        <v>60</v>
      </c>
      <c r="B96" s="17">
        <v>4037</v>
      </c>
      <c r="C96" s="17">
        <v>4288</v>
      </c>
      <c r="D96" s="17">
        <v>4649</v>
      </c>
      <c r="E96" s="17">
        <v>4861</v>
      </c>
      <c r="F96" s="17">
        <v>5054</v>
      </c>
      <c r="G96" s="17">
        <v>5373</v>
      </c>
      <c r="H96" s="17">
        <v>5726</v>
      </c>
      <c r="I96" s="17">
        <v>6027</v>
      </c>
      <c r="J96" s="17">
        <v>6543</v>
      </c>
      <c r="K96" s="17">
        <v>7023</v>
      </c>
      <c r="L96" s="17">
        <v>7588</v>
      </c>
      <c r="M96" s="17">
        <v>8222</v>
      </c>
      <c r="N96" s="17">
        <v>8771</v>
      </c>
      <c r="O96" s="17">
        <v>9193</v>
      </c>
      <c r="P96" s="17">
        <v>9727</v>
      </c>
      <c r="Q96" s="17">
        <v>9931</v>
      </c>
      <c r="R96" s="17">
        <v>10108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</row>
    <row r="97" spans="1:42" x14ac:dyDescent="0.25">
      <c r="A97" s="9" t="s">
        <v>62</v>
      </c>
      <c r="B97" s="17">
        <v>3408</v>
      </c>
      <c r="C97" s="17">
        <v>3532</v>
      </c>
      <c r="D97" s="17">
        <v>3787</v>
      </c>
      <c r="E97" s="17">
        <v>4074</v>
      </c>
      <c r="F97" s="17">
        <v>4199</v>
      </c>
      <c r="G97" s="17">
        <v>4384</v>
      </c>
      <c r="H97" s="17">
        <v>4641</v>
      </c>
      <c r="I97" s="17">
        <v>5007</v>
      </c>
      <c r="J97" s="17">
        <v>5225</v>
      </c>
      <c r="K97" s="17">
        <v>5423</v>
      </c>
      <c r="L97" s="17">
        <v>5748</v>
      </c>
      <c r="M97" s="17">
        <v>6107</v>
      </c>
      <c r="N97" s="17">
        <v>6414</v>
      </c>
      <c r="O97" s="17">
        <v>6935</v>
      </c>
      <c r="P97" s="17">
        <v>7419</v>
      </c>
      <c r="Q97" s="17">
        <v>7989</v>
      </c>
      <c r="R97" s="17">
        <v>8628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</row>
    <row r="98" spans="1:42" x14ac:dyDescent="0.25">
      <c r="A98" s="9" t="s">
        <v>64</v>
      </c>
      <c r="B98" s="17">
        <v>2723</v>
      </c>
      <c r="C98" s="17">
        <v>2980</v>
      </c>
      <c r="D98" s="17">
        <v>3029</v>
      </c>
      <c r="E98" s="17">
        <v>3170</v>
      </c>
      <c r="F98" s="17">
        <v>3371</v>
      </c>
      <c r="G98" s="17">
        <v>3647</v>
      </c>
      <c r="H98" s="17">
        <v>3775</v>
      </c>
      <c r="I98" s="17">
        <v>4033</v>
      </c>
      <c r="J98" s="17">
        <v>4322</v>
      </c>
      <c r="K98" s="17">
        <v>4451</v>
      </c>
      <c r="L98" s="17">
        <v>4641</v>
      </c>
      <c r="M98" s="17">
        <v>4901</v>
      </c>
      <c r="N98" s="17">
        <v>5269</v>
      </c>
      <c r="O98" s="17">
        <v>5492</v>
      </c>
      <c r="P98" s="17">
        <v>5694</v>
      </c>
      <c r="Q98" s="17">
        <v>6022</v>
      </c>
      <c r="R98" s="17">
        <v>6383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</row>
    <row r="99" spans="1:42" x14ac:dyDescent="0.25">
      <c r="A99" s="9" t="s">
        <v>66</v>
      </c>
      <c r="B99" s="17">
        <v>1923</v>
      </c>
      <c r="C99" s="17">
        <v>2107</v>
      </c>
      <c r="D99" s="17">
        <v>2342</v>
      </c>
      <c r="E99" s="17">
        <v>2556</v>
      </c>
      <c r="F99" s="17">
        <v>2766</v>
      </c>
      <c r="G99" s="17">
        <v>2860</v>
      </c>
      <c r="H99" s="17">
        <v>3115</v>
      </c>
      <c r="I99" s="17">
        <v>3169</v>
      </c>
      <c r="J99" s="17">
        <v>3311</v>
      </c>
      <c r="K99" s="17">
        <v>3513</v>
      </c>
      <c r="L99" s="17">
        <v>3786</v>
      </c>
      <c r="M99" s="17">
        <v>3919</v>
      </c>
      <c r="N99" s="17">
        <v>4175</v>
      </c>
      <c r="O99" s="17">
        <v>4463</v>
      </c>
      <c r="P99" s="17">
        <v>4594</v>
      </c>
      <c r="Q99" s="17">
        <v>4787</v>
      </c>
      <c r="R99" s="17">
        <v>5048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</row>
    <row r="100" spans="1:42" x14ac:dyDescent="0.25">
      <c r="A100" s="9" t="s">
        <v>68</v>
      </c>
      <c r="B100" s="17">
        <v>1127</v>
      </c>
      <c r="C100" s="17">
        <v>1235</v>
      </c>
      <c r="D100" s="17">
        <v>1394</v>
      </c>
      <c r="E100" s="17">
        <v>1569</v>
      </c>
      <c r="F100" s="17">
        <v>1721</v>
      </c>
      <c r="G100" s="17">
        <v>1959</v>
      </c>
      <c r="H100" s="17">
        <v>2137</v>
      </c>
      <c r="I100" s="17">
        <v>2365</v>
      </c>
      <c r="J100" s="17">
        <v>2573</v>
      </c>
      <c r="K100" s="17">
        <v>2775</v>
      </c>
      <c r="L100" s="17">
        <v>2870</v>
      </c>
      <c r="M100" s="17">
        <v>3118</v>
      </c>
      <c r="N100" s="17">
        <v>3175</v>
      </c>
      <c r="O100" s="17">
        <v>3317</v>
      </c>
      <c r="P100" s="17">
        <v>3515</v>
      </c>
      <c r="Q100" s="17">
        <v>3782</v>
      </c>
      <c r="R100" s="17">
        <v>3916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</row>
    <row r="101" spans="1:42" x14ac:dyDescent="0.25">
      <c r="A101" s="9" t="s">
        <v>70</v>
      </c>
      <c r="B101" s="17">
        <v>760</v>
      </c>
      <c r="C101" s="17">
        <v>848</v>
      </c>
      <c r="D101" s="17">
        <v>927</v>
      </c>
      <c r="E101" s="17">
        <v>959</v>
      </c>
      <c r="F101" s="17">
        <v>1047</v>
      </c>
      <c r="G101" s="17">
        <v>1102</v>
      </c>
      <c r="H101" s="17">
        <v>1205</v>
      </c>
      <c r="I101" s="17">
        <v>1354</v>
      </c>
      <c r="J101" s="17">
        <v>1517</v>
      </c>
      <c r="K101" s="17">
        <v>1659</v>
      </c>
      <c r="L101" s="17">
        <v>1882</v>
      </c>
      <c r="M101" s="17">
        <v>2050</v>
      </c>
      <c r="N101" s="17">
        <v>2266</v>
      </c>
      <c r="O101" s="17">
        <v>2461</v>
      </c>
      <c r="P101" s="17">
        <v>2651</v>
      </c>
      <c r="Q101" s="17">
        <v>2744</v>
      </c>
      <c r="R101" s="17">
        <v>2980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</row>
    <row r="102" spans="1:42" x14ac:dyDescent="0.25">
      <c r="A102" s="9" t="s">
        <v>72</v>
      </c>
      <c r="B102" s="17">
        <v>621</v>
      </c>
      <c r="C102" s="17">
        <v>639</v>
      </c>
      <c r="D102" s="17">
        <v>609</v>
      </c>
      <c r="E102" s="17">
        <v>629</v>
      </c>
      <c r="F102" s="17">
        <v>642</v>
      </c>
      <c r="G102" s="17">
        <v>709</v>
      </c>
      <c r="H102" s="17">
        <v>788</v>
      </c>
      <c r="I102" s="17">
        <v>858</v>
      </c>
      <c r="J102" s="17">
        <v>889</v>
      </c>
      <c r="K102" s="17">
        <v>966</v>
      </c>
      <c r="L102" s="17">
        <v>1018</v>
      </c>
      <c r="M102" s="17">
        <v>1113</v>
      </c>
      <c r="N102" s="17">
        <v>1248</v>
      </c>
      <c r="O102" s="17">
        <v>1395</v>
      </c>
      <c r="P102" s="17">
        <v>1522</v>
      </c>
      <c r="Q102" s="17">
        <v>1723</v>
      </c>
      <c r="R102" s="17">
        <v>1877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</row>
    <row r="103" spans="1:42" x14ac:dyDescent="0.25">
      <c r="A103" s="9" t="s">
        <v>74</v>
      </c>
      <c r="B103" s="17">
        <v>407</v>
      </c>
      <c r="C103" s="17">
        <v>416</v>
      </c>
      <c r="D103" s="17">
        <v>470</v>
      </c>
      <c r="E103" s="17">
        <v>515</v>
      </c>
      <c r="F103" s="17">
        <v>527</v>
      </c>
      <c r="G103" s="17">
        <v>528</v>
      </c>
      <c r="H103" s="17">
        <v>543</v>
      </c>
      <c r="I103" s="17">
        <v>522</v>
      </c>
      <c r="J103" s="17">
        <v>543</v>
      </c>
      <c r="K103" s="17">
        <v>555</v>
      </c>
      <c r="L103" s="17">
        <v>612</v>
      </c>
      <c r="M103" s="17">
        <v>679</v>
      </c>
      <c r="N103" s="17">
        <v>738</v>
      </c>
      <c r="O103" s="17">
        <v>766</v>
      </c>
      <c r="P103" s="17">
        <v>831</v>
      </c>
      <c r="Q103" s="17">
        <v>878</v>
      </c>
      <c r="R103" s="17">
        <v>961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</row>
    <row r="104" spans="1:42" x14ac:dyDescent="0.25">
      <c r="A104" s="20" t="s">
        <v>76</v>
      </c>
      <c r="B104" s="39">
        <v>337</v>
      </c>
      <c r="C104" s="39">
        <v>365</v>
      </c>
      <c r="D104" s="39">
        <v>393</v>
      </c>
      <c r="E104" s="39">
        <v>412</v>
      </c>
      <c r="F104" s="39">
        <v>435</v>
      </c>
      <c r="G104" s="39">
        <v>478</v>
      </c>
      <c r="H104" s="39">
        <v>499</v>
      </c>
      <c r="I104" s="39">
        <v>556</v>
      </c>
      <c r="J104" s="39">
        <v>597</v>
      </c>
      <c r="K104" s="39">
        <v>616</v>
      </c>
      <c r="L104" s="39">
        <v>642</v>
      </c>
      <c r="M104" s="39">
        <v>664</v>
      </c>
      <c r="N104" s="39">
        <v>687</v>
      </c>
      <c r="O104" s="39">
        <v>731</v>
      </c>
      <c r="P104" s="39">
        <v>751</v>
      </c>
      <c r="Q104" s="39">
        <v>813</v>
      </c>
      <c r="R104" s="39">
        <v>877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</row>
    <row r="105" spans="1:42" x14ac:dyDescent="0.25">
      <c r="A105" s="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</row>
    <row r="106" spans="1:42" x14ac:dyDescent="0.25">
      <c r="A106" s="3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</row>
    <row r="107" spans="1:42" x14ac:dyDescent="0.25">
      <c r="A107" s="40" t="s">
        <v>4</v>
      </c>
      <c r="B107" s="41">
        <f>SUM(B108:B124)</f>
        <v>65481</v>
      </c>
      <c r="C107" s="41">
        <f t="shared" ref="C107:R107" si="5">SUM(C108:C124)</f>
        <v>67770</v>
      </c>
      <c r="D107" s="41">
        <f t="shared" si="5"/>
        <v>70131</v>
      </c>
      <c r="E107" s="41">
        <f t="shared" si="5"/>
        <v>72557</v>
      </c>
      <c r="F107" s="41">
        <f t="shared" si="5"/>
        <v>75036</v>
      </c>
      <c r="G107" s="41">
        <f t="shared" si="5"/>
        <v>77568</v>
      </c>
      <c r="H107" s="41">
        <f t="shared" si="5"/>
        <v>80137</v>
      </c>
      <c r="I107" s="41">
        <f t="shared" si="5"/>
        <v>82746</v>
      </c>
      <c r="J107" s="41">
        <f t="shared" si="5"/>
        <v>85385</v>
      </c>
      <c r="K107" s="41">
        <f t="shared" si="5"/>
        <v>88039</v>
      </c>
      <c r="L107" s="41">
        <f t="shared" si="5"/>
        <v>90706</v>
      </c>
      <c r="M107" s="41">
        <f t="shared" si="5"/>
        <v>93376</v>
      </c>
      <c r="N107" s="41">
        <f t="shared" si="5"/>
        <v>96039</v>
      </c>
      <c r="O107" s="41">
        <f t="shared" si="5"/>
        <v>98709</v>
      </c>
      <c r="P107" s="41">
        <f t="shared" si="5"/>
        <v>101374</v>
      </c>
      <c r="Q107" s="41">
        <f t="shared" si="5"/>
        <v>104045</v>
      </c>
      <c r="R107" s="41">
        <f t="shared" si="5"/>
        <v>106714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</row>
    <row r="108" spans="1:42" x14ac:dyDescent="0.25">
      <c r="A108" s="42" t="s">
        <v>44</v>
      </c>
      <c r="B108" s="17">
        <v>5940</v>
      </c>
      <c r="C108" s="17">
        <v>6015</v>
      </c>
      <c r="D108" s="17">
        <v>6253</v>
      </c>
      <c r="E108" s="17">
        <v>6521</v>
      </c>
      <c r="F108" s="17">
        <v>6879</v>
      </c>
      <c r="G108" s="17">
        <v>7217</v>
      </c>
      <c r="H108" s="17">
        <v>7452</v>
      </c>
      <c r="I108" s="17">
        <v>7654</v>
      </c>
      <c r="J108" s="17">
        <v>7822</v>
      </c>
      <c r="K108" s="17">
        <v>7951</v>
      </c>
      <c r="L108" s="17">
        <v>8039</v>
      </c>
      <c r="M108" s="17">
        <v>8086</v>
      </c>
      <c r="N108" s="17">
        <v>8096</v>
      </c>
      <c r="O108" s="17">
        <v>8076</v>
      </c>
      <c r="P108" s="17">
        <v>8036</v>
      </c>
      <c r="Q108" s="17">
        <v>7990</v>
      </c>
      <c r="R108" s="17">
        <v>7944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</row>
    <row r="109" spans="1:42" x14ac:dyDescent="0.25">
      <c r="A109" s="17" t="s">
        <v>46</v>
      </c>
      <c r="B109" s="17">
        <v>5157</v>
      </c>
      <c r="C109" s="17">
        <v>5632</v>
      </c>
      <c r="D109" s="17">
        <v>5884</v>
      </c>
      <c r="E109" s="17">
        <v>6018</v>
      </c>
      <c r="F109" s="17">
        <v>6034</v>
      </c>
      <c r="G109" s="17">
        <v>6040</v>
      </c>
      <c r="H109" s="17">
        <v>6116</v>
      </c>
      <c r="I109" s="17">
        <v>6355</v>
      </c>
      <c r="J109" s="17">
        <v>6625</v>
      </c>
      <c r="K109" s="17">
        <v>6984</v>
      </c>
      <c r="L109" s="17">
        <v>7324</v>
      </c>
      <c r="M109" s="17">
        <v>7562</v>
      </c>
      <c r="N109" s="17">
        <v>7766</v>
      </c>
      <c r="O109" s="17">
        <v>7937</v>
      </c>
      <c r="P109" s="17">
        <v>8070</v>
      </c>
      <c r="Q109" s="17">
        <v>8161</v>
      </c>
      <c r="R109" s="17">
        <v>8212</v>
      </c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</row>
    <row r="110" spans="1:42" x14ac:dyDescent="0.25">
      <c r="A110" s="17" t="s">
        <v>48</v>
      </c>
      <c r="B110" s="17">
        <v>3941</v>
      </c>
      <c r="C110" s="17">
        <v>3954</v>
      </c>
      <c r="D110" s="17">
        <v>4151</v>
      </c>
      <c r="E110" s="17">
        <v>4517</v>
      </c>
      <c r="F110" s="17">
        <v>4932</v>
      </c>
      <c r="G110" s="17">
        <v>5354</v>
      </c>
      <c r="H110" s="17">
        <v>5833</v>
      </c>
      <c r="I110" s="17">
        <v>6088</v>
      </c>
      <c r="J110" s="17">
        <v>6225</v>
      </c>
      <c r="K110" s="17">
        <v>6245</v>
      </c>
      <c r="L110" s="17">
        <v>6255</v>
      </c>
      <c r="M110" s="17">
        <v>6335</v>
      </c>
      <c r="N110" s="17">
        <v>6578</v>
      </c>
      <c r="O110" s="17">
        <v>6851</v>
      </c>
      <c r="P110" s="17">
        <v>7215</v>
      </c>
      <c r="Q110" s="17">
        <v>7558</v>
      </c>
      <c r="R110" s="17">
        <v>7800</v>
      </c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</row>
    <row r="111" spans="1:42" x14ac:dyDescent="0.25">
      <c r="A111" s="17" t="s">
        <v>50</v>
      </c>
      <c r="B111" s="17">
        <v>6798</v>
      </c>
      <c r="C111" s="17">
        <v>6049</v>
      </c>
      <c r="D111" s="17">
        <v>5279</v>
      </c>
      <c r="E111" s="17">
        <v>4535</v>
      </c>
      <c r="F111" s="17">
        <v>4334</v>
      </c>
      <c r="G111" s="17">
        <v>4381</v>
      </c>
      <c r="H111" s="17">
        <v>4402</v>
      </c>
      <c r="I111" s="17">
        <v>4606</v>
      </c>
      <c r="J111" s="17">
        <v>4980</v>
      </c>
      <c r="K111" s="17">
        <v>5402</v>
      </c>
      <c r="L111" s="17">
        <v>5832</v>
      </c>
      <c r="M111" s="17">
        <v>6319</v>
      </c>
      <c r="N111" s="17">
        <v>6583</v>
      </c>
      <c r="O111" s="17">
        <v>6728</v>
      </c>
      <c r="P111" s="17">
        <v>6757</v>
      </c>
      <c r="Q111" s="17">
        <v>6776</v>
      </c>
      <c r="R111" s="17">
        <v>6865</v>
      </c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</row>
    <row r="112" spans="1:42" x14ac:dyDescent="0.25">
      <c r="A112" s="17" t="s">
        <v>52</v>
      </c>
      <c r="B112" s="17">
        <v>8450</v>
      </c>
      <c r="C112" s="17">
        <v>8719</v>
      </c>
      <c r="D112" s="17">
        <v>8894</v>
      </c>
      <c r="E112" s="17">
        <v>8955</v>
      </c>
      <c r="F112" s="17">
        <v>8442</v>
      </c>
      <c r="G112" s="17">
        <v>7636</v>
      </c>
      <c r="H112" s="17">
        <v>6903</v>
      </c>
      <c r="I112" s="17">
        <v>6148</v>
      </c>
      <c r="J112" s="17">
        <v>5421</v>
      </c>
      <c r="K112" s="17">
        <v>5236</v>
      </c>
      <c r="L112" s="17">
        <v>5298</v>
      </c>
      <c r="M112" s="17">
        <v>5335</v>
      </c>
      <c r="N112" s="17">
        <v>5555</v>
      </c>
      <c r="O112" s="17">
        <v>5945</v>
      </c>
      <c r="P112" s="17">
        <v>6384</v>
      </c>
      <c r="Q112" s="17">
        <v>6831</v>
      </c>
      <c r="R112" s="17">
        <v>7334</v>
      </c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</row>
    <row r="113" spans="1:42" x14ac:dyDescent="0.25">
      <c r="A113" s="17" t="s">
        <v>54</v>
      </c>
      <c r="B113" s="17">
        <v>8260</v>
      </c>
      <c r="C113" s="17">
        <v>8323</v>
      </c>
      <c r="D113" s="17">
        <v>8497</v>
      </c>
      <c r="E113" s="17">
        <v>8741</v>
      </c>
      <c r="F113" s="17">
        <v>9060</v>
      </c>
      <c r="G113" s="17">
        <v>9401</v>
      </c>
      <c r="H113" s="17">
        <v>9686</v>
      </c>
      <c r="I113" s="17">
        <v>9878</v>
      </c>
      <c r="J113" s="17">
        <v>9956</v>
      </c>
      <c r="K113" s="17">
        <v>9462</v>
      </c>
      <c r="L113" s="17">
        <v>8675</v>
      </c>
      <c r="M113" s="17">
        <v>7961</v>
      </c>
      <c r="N113" s="17">
        <v>7226</v>
      </c>
      <c r="O113" s="17">
        <v>6518</v>
      </c>
      <c r="P113" s="17">
        <v>6353</v>
      </c>
      <c r="Q113" s="17">
        <v>6434</v>
      </c>
      <c r="R113" s="17">
        <v>6491</v>
      </c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</row>
    <row r="114" spans="1:42" x14ac:dyDescent="0.25">
      <c r="A114" s="17" t="s">
        <v>56</v>
      </c>
      <c r="B114" s="17">
        <v>6785</v>
      </c>
      <c r="C114" s="17">
        <v>7464</v>
      </c>
      <c r="D114" s="17">
        <v>8051</v>
      </c>
      <c r="E114" s="17">
        <v>8303</v>
      </c>
      <c r="F114" s="17">
        <v>8760</v>
      </c>
      <c r="G114" s="17">
        <v>9079</v>
      </c>
      <c r="H114" s="17">
        <v>9156</v>
      </c>
      <c r="I114" s="17">
        <v>9345</v>
      </c>
      <c r="J114" s="17">
        <v>9604</v>
      </c>
      <c r="K114" s="17">
        <v>9938</v>
      </c>
      <c r="L114" s="17">
        <v>10293</v>
      </c>
      <c r="M114" s="17">
        <v>10594</v>
      </c>
      <c r="N114" s="17">
        <v>10802</v>
      </c>
      <c r="O114" s="17">
        <v>10897</v>
      </c>
      <c r="P114" s="17">
        <v>10420</v>
      </c>
      <c r="Q114" s="17">
        <v>9651</v>
      </c>
      <c r="R114" s="17">
        <v>8956</v>
      </c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</row>
    <row r="115" spans="1:42" x14ac:dyDescent="0.25">
      <c r="A115" s="9" t="s">
        <v>58</v>
      </c>
      <c r="B115" s="17">
        <v>4858</v>
      </c>
      <c r="C115" s="17">
        <v>5292</v>
      </c>
      <c r="D115" s="17">
        <v>5631</v>
      </c>
      <c r="E115" s="17">
        <v>6319</v>
      </c>
      <c r="F115" s="17">
        <v>6804</v>
      </c>
      <c r="G115" s="17">
        <v>7400</v>
      </c>
      <c r="H115" s="17">
        <v>8088</v>
      </c>
      <c r="I115" s="17">
        <v>8686</v>
      </c>
      <c r="J115" s="17">
        <v>8948</v>
      </c>
      <c r="K115" s="17">
        <v>9415</v>
      </c>
      <c r="L115" s="17">
        <v>9746</v>
      </c>
      <c r="M115" s="17">
        <v>9836</v>
      </c>
      <c r="N115" s="17">
        <v>10036</v>
      </c>
      <c r="O115" s="17">
        <v>10307</v>
      </c>
      <c r="P115" s="17">
        <v>10654</v>
      </c>
      <c r="Q115" s="17">
        <v>11022</v>
      </c>
      <c r="R115" s="17">
        <v>11335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</row>
    <row r="116" spans="1:42" x14ac:dyDescent="0.25">
      <c r="A116" s="9" t="s">
        <v>60</v>
      </c>
      <c r="B116" s="17">
        <v>3921</v>
      </c>
      <c r="C116" s="17">
        <v>4166</v>
      </c>
      <c r="D116" s="17">
        <v>4455</v>
      </c>
      <c r="E116" s="17">
        <v>4612</v>
      </c>
      <c r="F116" s="17">
        <v>4960</v>
      </c>
      <c r="G116" s="17">
        <v>5311</v>
      </c>
      <c r="H116" s="17">
        <v>5752</v>
      </c>
      <c r="I116" s="17">
        <v>6098</v>
      </c>
      <c r="J116" s="17">
        <v>6792</v>
      </c>
      <c r="K116" s="17">
        <v>7284</v>
      </c>
      <c r="L116" s="17">
        <v>7887</v>
      </c>
      <c r="M116" s="17">
        <v>8582</v>
      </c>
      <c r="N116" s="17">
        <v>9186</v>
      </c>
      <c r="O116" s="17">
        <v>9458</v>
      </c>
      <c r="P116" s="17">
        <v>9933</v>
      </c>
      <c r="Q116" s="17">
        <v>10272</v>
      </c>
      <c r="R116" s="17">
        <v>10372</v>
      </c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</row>
    <row r="117" spans="1:42" x14ac:dyDescent="0.25">
      <c r="A117" s="9" t="s">
        <v>62</v>
      </c>
      <c r="B117" s="17">
        <v>3325</v>
      </c>
      <c r="C117" s="17">
        <v>3420</v>
      </c>
      <c r="D117" s="17">
        <v>3627</v>
      </c>
      <c r="E117" s="17">
        <v>3987</v>
      </c>
      <c r="F117" s="17">
        <v>4146</v>
      </c>
      <c r="G117" s="17">
        <v>4271</v>
      </c>
      <c r="H117" s="17">
        <v>4521</v>
      </c>
      <c r="I117" s="17">
        <v>4816</v>
      </c>
      <c r="J117" s="17">
        <v>4979</v>
      </c>
      <c r="K117" s="17">
        <v>5332</v>
      </c>
      <c r="L117" s="17">
        <v>5688</v>
      </c>
      <c r="M117" s="17">
        <v>6134</v>
      </c>
      <c r="N117" s="17">
        <v>6486</v>
      </c>
      <c r="O117" s="17">
        <v>7184</v>
      </c>
      <c r="P117" s="17">
        <v>7681</v>
      </c>
      <c r="Q117" s="17">
        <v>8289</v>
      </c>
      <c r="R117" s="17">
        <v>8988</v>
      </c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</row>
    <row r="118" spans="1:42" x14ac:dyDescent="0.25">
      <c r="A118" s="9" t="s">
        <v>64</v>
      </c>
      <c r="B118" s="17">
        <v>2698</v>
      </c>
      <c r="C118" s="17">
        <v>2946</v>
      </c>
      <c r="D118" s="17">
        <v>3105</v>
      </c>
      <c r="E118" s="17">
        <v>3173</v>
      </c>
      <c r="F118" s="17">
        <v>3340</v>
      </c>
      <c r="G118" s="17">
        <v>3583</v>
      </c>
      <c r="H118" s="17">
        <v>3683</v>
      </c>
      <c r="I118" s="17">
        <v>3894</v>
      </c>
      <c r="J118" s="17">
        <v>4256</v>
      </c>
      <c r="K118" s="17">
        <v>4419</v>
      </c>
      <c r="L118" s="17">
        <v>4549</v>
      </c>
      <c r="M118" s="17">
        <v>4803</v>
      </c>
      <c r="N118" s="17">
        <v>5101</v>
      </c>
      <c r="O118" s="17">
        <v>5270</v>
      </c>
      <c r="P118" s="17">
        <v>5625</v>
      </c>
      <c r="Q118" s="17">
        <v>5985</v>
      </c>
      <c r="R118" s="17">
        <v>6434</v>
      </c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</row>
    <row r="119" spans="1:42" x14ac:dyDescent="0.25">
      <c r="A119" s="9" t="s">
        <v>66</v>
      </c>
      <c r="B119" s="17">
        <v>2011</v>
      </c>
      <c r="C119" s="17">
        <v>2235</v>
      </c>
      <c r="D119" s="17">
        <v>2434</v>
      </c>
      <c r="E119" s="17">
        <v>2618</v>
      </c>
      <c r="F119" s="17">
        <v>2741</v>
      </c>
      <c r="G119" s="17">
        <v>2864</v>
      </c>
      <c r="H119" s="17">
        <v>3111</v>
      </c>
      <c r="I119" s="17">
        <v>3272</v>
      </c>
      <c r="J119" s="17">
        <v>3344</v>
      </c>
      <c r="K119" s="17">
        <v>3512</v>
      </c>
      <c r="L119" s="17">
        <v>3756</v>
      </c>
      <c r="M119" s="17">
        <v>3860</v>
      </c>
      <c r="N119" s="17">
        <v>4072</v>
      </c>
      <c r="O119" s="17">
        <v>4434</v>
      </c>
      <c r="P119" s="17">
        <v>4598</v>
      </c>
      <c r="Q119" s="17">
        <v>4732</v>
      </c>
      <c r="R119" s="17">
        <v>4988</v>
      </c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</row>
    <row r="120" spans="1:42" x14ac:dyDescent="0.25">
      <c r="A120" s="9" t="s">
        <v>68</v>
      </c>
      <c r="B120" s="17">
        <v>1026</v>
      </c>
      <c r="C120" s="17">
        <v>1092</v>
      </c>
      <c r="D120" s="17">
        <v>1282</v>
      </c>
      <c r="E120" s="17">
        <v>1536</v>
      </c>
      <c r="F120" s="17">
        <v>1777</v>
      </c>
      <c r="G120" s="17">
        <v>2063</v>
      </c>
      <c r="H120" s="17">
        <v>2281</v>
      </c>
      <c r="I120" s="17">
        <v>2476</v>
      </c>
      <c r="J120" s="17">
        <v>2658</v>
      </c>
      <c r="K120" s="17">
        <v>2779</v>
      </c>
      <c r="L120" s="17">
        <v>2901</v>
      </c>
      <c r="M120" s="17">
        <v>3145</v>
      </c>
      <c r="N120" s="17">
        <v>3305</v>
      </c>
      <c r="O120" s="17">
        <v>3379</v>
      </c>
      <c r="P120" s="17">
        <v>3544</v>
      </c>
      <c r="Q120" s="17">
        <v>3786</v>
      </c>
      <c r="R120" s="17">
        <v>3892</v>
      </c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</row>
    <row r="121" spans="1:42" x14ac:dyDescent="0.25">
      <c r="A121" s="9" t="s">
        <v>70</v>
      </c>
      <c r="B121" s="17">
        <v>863</v>
      </c>
      <c r="C121" s="17">
        <v>935</v>
      </c>
      <c r="D121" s="17">
        <v>972</v>
      </c>
      <c r="E121" s="17">
        <v>994</v>
      </c>
      <c r="F121" s="17">
        <v>1008</v>
      </c>
      <c r="G121" s="17">
        <v>1025</v>
      </c>
      <c r="H121" s="17">
        <v>1091</v>
      </c>
      <c r="I121" s="17">
        <v>1272</v>
      </c>
      <c r="J121" s="17">
        <v>1514</v>
      </c>
      <c r="K121" s="17">
        <v>1741</v>
      </c>
      <c r="L121" s="17">
        <v>2012</v>
      </c>
      <c r="M121" s="17">
        <v>2219</v>
      </c>
      <c r="N121" s="17">
        <v>2406</v>
      </c>
      <c r="O121" s="17">
        <v>2582</v>
      </c>
      <c r="P121" s="17">
        <v>2698</v>
      </c>
      <c r="Q121" s="17">
        <v>2818</v>
      </c>
      <c r="R121" s="17">
        <v>3053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</row>
    <row r="122" spans="1:42" x14ac:dyDescent="0.25">
      <c r="A122" s="9" t="s">
        <v>72</v>
      </c>
      <c r="B122" s="17">
        <v>680</v>
      </c>
      <c r="C122" s="17">
        <v>696</v>
      </c>
      <c r="D122" s="17">
        <v>723</v>
      </c>
      <c r="E122" s="17">
        <v>751</v>
      </c>
      <c r="F122" s="17">
        <v>771</v>
      </c>
      <c r="G122" s="17">
        <v>828</v>
      </c>
      <c r="H122" s="17">
        <v>894</v>
      </c>
      <c r="I122" s="17">
        <v>929</v>
      </c>
      <c r="J122" s="17">
        <v>951</v>
      </c>
      <c r="K122" s="17">
        <v>965</v>
      </c>
      <c r="L122" s="17">
        <v>984</v>
      </c>
      <c r="M122" s="17">
        <v>1047</v>
      </c>
      <c r="N122" s="17">
        <v>1215</v>
      </c>
      <c r="O122" s="17">
        <v>1439</v>
      </c>
      <c r="P122" s="17">
        <v>1646</v>
      </c>
      <c r="Q122" s="17">
        <v>1894</v>
      </c>
      <c r="R122" s="17">
        <v>2083</v>
      </c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</row>
    <row r="123" spans="1:42" x14ac:dyDescent="0.25">
      <c r="A123" s="9" t="s">
        <v>74</v>
      </c>
      <c r="B123" s="17">
        <v>468</v>
      </c>
      <c r="C123" s="17">
        <v>501</v>
      </c>
      <c r="D123" s="17">
        <v>533</v>
      </c>
      <c r="E123" s="17">
        <v>568</v>
      </c>
      <c r="F123" s="17">
        <v>593</v>
      </c>
      <c r="G123" s="17">
        <v>605</v>
      </c>
      <c r="H123" s="17">
        <v>620</v>
      </c>
      <c r="I123" s="17">
        <v>644</v>
      </c>
      <c r="J123" s="17">
        <v>671</v>
      </c>
      <c r="K123" s="17">
        <v>690</v>
      </c>
      <c r="L123" s="17">
        <v>741</v>
      </c>
      <c r="M123" s="17">
        <v>799</v>
      </c>
      <c r="N123" s="17">
        <v>829</v>
      </c>
      <c r="O123" s="17">
        <v>851</v>
      </c>
      <c r="P123" s="17">
        <v>865</v>
      </c>
      <c r="Q123" s="17">
        <v>885</v>
      </c>
      <c r="R123" s="17">
        <v>944</v>
      </c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</row>
    <row r="124" spans="1:42" x14ac:dyDescent="0.25">
      <c r="A124" s="20" t="s">
        <v>76</v>
      </c>
      <c r="B124" s="39">
        <v>300</v>
      </c>
      <c r="C124" s="39">
        <v>331</v>
      </c>
      <c r="D124" s="39">
        <v>360</v>
      </c>
      <c r="E124" s="39">
        <v>409</v>
      </c>
      <c r="F124" s="39">
        <v>455</v>
      </c>
      <c r="G124" s="39">
        <v>510</v>
      </c>
      <c r="H124" s="39">
        <v>548</v>
      </c>
      <c r="I124" s="39">
        <v>585</v>
      </c>
      <c r="J124" s="39">
        <v>639</v>
      </c>
      <c r="K124" s="39">
        <v>684</v>
      </c>
      <c r="L124" s="39">
        <v>726</v>
      </c>
      <c r="M124" s="39">
        <v>759</v>
      </c>
      <c r="N124" s="39">
        <v>797</v>
      </c>
      <c r="O124" s="39">
        <v>853</v>
      </c>
      <c r="P124" s="39">
        <v>895</v>
      </c>
      <c r="Q124" s="39">
        <v>961</v>
      </c>
      <c r="R124" s="39">
        <v>1023</v>
      </c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</row>
    <row r="125" spans="1:42" x14ac:dyDescent="0.25">
      <c r="A125" s="9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</row>
    <row r="126" spans="1:42" ht="18.75" x14ac:dyDescent="0.5">
      <c r="A126" s="134" t="s">
        <v>82</v>
      </c>
      <c r="B126" s="134"/>
      <c r="C126" s="134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37" t="s">
        <v>92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</row>
    <row r="127" spans="1:42" x14ac:dyDescent="0.25">
      <c r="A127" s="11" t="s">
        <v>43</v>
      </c>
      <c r="B127" s="12">
        <v>2014</v>
      </c>
      <c r="C127" s="12">
        <v>2015</v>
      </c>
      <c r="D127" s="12">
        <v>2016</v>
      </c>
      <c r="E127" s="12">
        <v>2017</v>
      </c>
      <c r="F127" s="12">
        <v>2018</v>
      </c>
      <c r="G127" s="12">
        <v>2019</v>
      </c>
      <c r="H127" s="12">
        <v>2020</v>
      </c>
      <c r="I127" s="12">
        <v>2021</v>
      </c>
      <c r="J127" s="12">
        <v>2022</v>
      </c>
      <c r="K127" s="12">
        <v>2023</v>
      </c>
      <c r="L127" s="12">
        <v>2024</v>
      </c>
      <c r="M127" s="12">
        <v>2025</v>
      </c>
      <c r="N127" s="12">
        <v>2026</v>
      </c>
      <c r="O127" s="12">
        <v>2027</v>
      </c>
      <c r="P127" s="12">
        <v>2028</v>
      </c>
      <c r="Q127" s="12">
        <v>2029</v>
      </c>
      <c r="R127" s="12">
        <v>2030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</row>
    <row r="128" spans="1:42" x14ac:dyDescent="0.25">
      <c r="A128" s="36" t="s">
        <v>2</v>
      </c>
      <c r="B128" s="36">
        <f>SUM(B129:B145)</f>
        <v>37042.417947258786</v>
      </c>
      <c r="C128" s="36">
        <f t="shared" ref="C128:R128" si="6">SUM(C129:C145)</f>
        <v>40938.203050513846</v>
      </c>
      <c r="D128" s="36">
        <f t="shared" si="6"/>
        <v>45243.711449703653</v>
      </c>
      <c r="E128" s="36">
        <f t="shared" si="6"/>
        <v>50002.034120018674</v>
      </c>
      <c r="F128" s="36">
        <f t="shared" si="6"/>
        <v>55260.793954070912</v>
      </c>
      <c r="G128" s="36">
        <f t="shared" si="6"/>
        <v>61072.622387809759</v>
      </c>
      <c r="H128" s="36">
        <f t="shared" si="6"/>
        <v>67495.686153623072</v>
      </c>
      <c r="I128" s="36">
        <f t="shared" si="6"/>
        <v>69204.347583481052</v>
      </c>
      <c r="J128" s="36">
        <f t="shared" si="6"/>
        <v>70956.263983371333</v>
      </c>
      <c r="K128" s="36">
        <f t="shared" si="6"/>
        <v>72752.530358073578</v>
      </c>
      <c r="L128" s="36">
        <f t="shared" si="6"/>
        <v>74594.269432545421</v>
      </c>
      <c r="M128" s="36">
        <f t="shared" si="6"/>
        <v>76482.632353662004</v>
      </c>
      <c r="N128" s="36">
        <f t="shared" si="6"/>
        <v>78418.799409720552</v>
      </c>
      <c r="O128" s="36">
        <f t="shared" si="6"/>
        <v>80403.980768158624</v>
      </c>
      <c r="P128" s="36">
        <f t="shared" si="6"/>
        <v>82439.417231948391</v>
      </c>
      <c r="Q128" s="36">
        <f t="shared" si="6"/>
        <v>84526.381015138861</v>
      </c>
      <c r="R128" s="36">
        <f t="shared" si="6"/>
        <v>86666.176538030879</v>
      </c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</row>
    <row r="129" spans="1:42" x14ac:dyDescent="0.25">
      <c r="A129" s="17" t="s">
        <v>44</v>
      </c>
      <c r="B129" s="17">
        <v>442.74271021948368</v>
      </c>
      <c r="C129" s="17">
        <v>489.30636752456724</v>
      </c>
      <c r="D129" s="17">
        <v>540.7671674173863</v>
      </c>
      <c r="E129" s="17">
        <v>597.64014687984036</v>
      </c>
      <c r="F129" s="17">
        <v>660.49450980605809</v>
      </c>
      <c r="G129" s="17">
        <v>729.95932378628618</v>
      </c>
      <c r="H129" s="17">
        <v>806.72981602676884</v>
      </c>
      <c r="I129" s="17">
        <v>827.15227855013677</v>
      </c>
      <c r="J129" s="17">
        <v>848.09173817368946</v>
      </c>
      <c r="K129" s="17">
        <v>869.5612827413288</v>
      </c>
      <c r="L129" s="17">
        <v>891.57433141730257</v>
      </c>
      <c r="M129" s="17">
        <v>914.14464307361857</v>
      </c>
      <c r="N129" s="17">
        <v>937.28632488978815</v>
      </c>
      <c r="O129" s="17">
        <v>961.01384117027214</v>
      </c>
      <c r="P129" s="17">
        <v>985.34202238514172</v>
      </c>
      <c r="Q129" s="17">
        <v>1010.2860744396062</v>
      </c>
      <c r="R129" s="17">
        <v>1035.8615881781968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</row>
    <row r="130" spans="1:42" x14ac:dyDescent="0.25">
      <c r="A130" s="17" t="s">
        <v>46</v>
      </c>
      <c r="B130" s="17">
        <v>259.2878845629956</v>
      </c>
      <c r="C130" s="17">
        <v>286.55742942837844</v>
      </c>
      <c r="D130" s="17">
        <v>316.69493736275865</v>
      </c>
      <c r="E130" s="17">
        <v>350.00203467510971</v>
      </c>
      <c r="F130" s="17">
        <v>386.81206999023567</v>
      </c>
      <c r="G130" s="17">
        <v>427.49345051385046</v>
      </c>
      <c r="H130" s="17">
        <v>472.45332917571858</v>
      </c>
      <c r="I130" s="17">
        <v>484.41354214596953</v>
      </c>
      <c r="J130" s="17">
        <v>496.67652934906027</v>
      </c>
      <c r="K130" s="17">
        <v>509.24995555118676</v>
      </c>
      <c r="L130" s="17">
        <v>522.14167955302514</v>
      </c>
      <c r="M130" s="17">
        <v>535.35975910173761</v>
      </c>
      <c r="N130" s="17">
        <v>548.9124559273273</v>
      </c>
      <c r="O130" s="17">
        <v>562.80824090648775</v>
      </c>
      <c r="P130" s="17">
        <v>577.05579935717731</v>
      </c>
      <c r="Q130" s="17">
        <v>591.66403646722483</v>
      </c>
      <c r="R130" s="17">
        <v>606.64208286036273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</row>
    <row r="131" spans="1:42" x14ac:dyDescent="0.25">
      <c r="A131" s="17" t="s">
        <v>48</v>
      </c>
      <c r="B131" s="17">
        <v>127.88749659387847</v>
      </c>
      <c r="C131" s="17">
        <v>141.33754202105294</v>
      </c>
      <c r="D131" s="17">
        <v>156.20214107396251</v>
      </c>
      <c r="E131" s="17">
        <v>172.630063656093</v>
      </c>
      <c r="F131" s="17">
        <v>190.78572593826181</v>
      </c>
      <c r="G131" s="17">
        <v>210.85083589091772</v>
      </c>
      <c r="H131" s="17">
        <v>233.02621187858324</v>
      </c>
      <c r="I131" s="17">
        <v>238.92529851764067</v>
      </c>
      <c r="J131" s="17">
        <v>244.97372124594989</v>
      </c>
      <c r="K131" s="17">
        <v>251.17526052460897</v>
      </c>
      <c r="L131" s="17">
        <v>257.53379251754427</v>
      </c>
      <c r="M131" s="17">
        <v>264.05329151423916</v>
      </c>
      <c r="N131" s="17">
        <v>270.73783241379431</v>
      </c>
      <c r="O131" s="17">
        <v>277.59159327187211</v>
      </c>
      <c r="P131" s="17">
        <v>284.61885791211779</v>
      </c>
      <c r="Q131" s="17">
        <v>291.82401860368833</v>
      </c>
      <c r="R131" s="17">
        <v>299.21157880656392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</row>
    <row r="132" spans="1:42" x14ac:dyDescent="0.25">
      <c r="A132" s="17" t="s">
        <v>50</v>
      </c>
      <c r="B132" s="17">
        <v>770.39628812425474</v>
      </c>
      <c r="C132" s="17">
        <v>851.41957302835385</v>
      </c>
      <c r="D132" s="17">
        <v>940.96415119132178</v>
      </c>
      <c r="E132" s="17">
        <v>1039.9262148483858</v>
      </c>
      <c r="F132" s="17">
        <v>1149.2962095949238</v>
      </c>
      <c r="G132" s="17">
        <v>1270.1687470988841</v>
      </c>
      <c r="H132" s="17">
        <v>1403.7535603422689</v>
      </c>
      <c r="I132" s="17">
        <v>1439.2897509089296</v>
      </c>
      <c r="J132" s="17">
        <v>1475.7255444227644</v>
      </c>
      <c r="K132" s="17">
        <v>1513.0837144408051</v>
      </c>
      <c r="L132" s="17">
        <v>1551.3876110354247</v>
      </c>
      <c r="M132" s="17">
        <v>1590.6611753888922</v>
      </c>
      <c r="N132" s="17">
        <v>1630.9289547573917</v>
      </c>
      <c r="O132" s="17">
        <v>1672.2161178138558</v>
      </c>
      <c r="P132" s="17">
        <v>1714.5484703792063</v>
      </c>
      <c r="Q132" s="17">
        <v>1757.952471551831</v>
      </c>
      <c r="R132" s="17">
        <v>1802.4552502453832</v>
      </c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</row>
    <row r="133" spans="1:42" x14ac:dyDescent="0.25">
      <c r="A133" s="17" t="s">
        <v>52</v>
      </c>
      <c r="B133" s="17">
        <v>7354.776800140361</v>
      </c>
      <c r="C133" s="17">
        <v>8128.2854284525965</v>
      </c>
      <c r="D133" s="17">
        <v>8983.1446693438647</v>
      </c>
      <c r="E133" s="17">
        <v>9927.9102414251192</v>
      </c>
      <c r="F133" s="17">
        <v>10972.037676088425</v>
      </c>
      <c r="G133" s="17">
        <v>12125.976951643241</v>
      </c>
      <c r="H133" s="17">
        <v>13401.277080211705</v>
      </c>
      <c r="I133" s="17">
        <v>13740.53202467853</v>
      </c>
      <c r="J133" s="17">
        <v>14088.375248953043</v>
      </c>
      <c r="K133" s="17">
        <v>14445.024166373671</v>
      </c>
      <c r="L133" s="17">
        <v>14810.701694123707</v>
      </c>
      <c r="M133" s="17">
        <v>15185.636392561812</v>
      </c>
      <c r="N133" s="17">
        <v>15570.062608079666</v>
      </c>
      <c r="O133" s="17">
        <v>15964.220619576106</v>
      </c>
      <c r="P133" s="17">
        <v>16368.356788639248</v>
      </c>
      <c r="Q133" s="17">
        <v>16782.723713530504</v>
      </c>
      <c r="R133" s="17">
        <v>17207.580387066719</v>
      </c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</row>
    <row r="134" spans="1:42" x14ac:dyDescent="0.25">
      <c r="A134" s="17" t="s">
        <v>54</v>
      </c>
      <c r="B134" s="17">
        <v>10902.104976097084</v>
      </c>
      <c r="C134" s="17">
        <v>12048.689365390301</v>
      </c>
      <c r="D134" s="17">
        <v>13315.861087556694</v>
      </c>
      <c r="E134" s="17">
        <v>14716.302423102823</v>
      </c>
      <c r="F134" s="17">
        <v>16264.029459619425</v>
      </c>
      <c r="G134" s="17">
        <v>17974.532369496985</v>
      </c>
      <c r="H134" s="17">
        <v>19864.930440777429</v>
      </c>
      <c r="I134" s="17">
        <v>20367.813549095106</v>
      </c>
      <c r="J134" s="17">
        <v>20883.427203909545</v>
      </c>
      <c r="K134" s="17">
        <v>21412.093680539652</v>
      </c>
      <c r="L134" s="17">
        <v>21954.143412742877</v>
      </c>
      <c r="M134" s="17">
        <v>22509.915199247058</v>
      </c>
      <c r="N134" s="17">
        <v>23079.75641551067</v>
      </c>
      <c r="O134" s="17">
        <v>23664.023230843784</v>
      </c>
      <c r="P134" s="17">
        <v>24263.08083102548</v>
      </c>
      <c r="Q134" s="17">
        <v>24877.303646556848</v>
      </c>
      <c r="R134" s="17">
        <v>25507.075586692248</v>
      </c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</row>
    <row r="135" spans="1:42" x14ac:dyDescent="0.25">
      <c r="A135" s="9" t="s">
        <v>56</v>
      </c>
      <c r="B135" s="17">
        <v>6888.0729305079285</v>
      </c>
      <c r="C135" s="17">
        <v>7612.4978843814652</v>
      </c>
      <c r="D135" s="17">
        <v>8413.1112757307892</v>
      </c>
      <c r="E135" s="17">
        <v>9297.9259124719811</v>
      </c>
      <c r="F135" s="17">
        <v>10275.797316886014</v>
      </c>
      <c r="G135" s="17">
        <v>11356.512354662193</v>
      </c>
      <c r="H135" s="17">
        <v>12550.887185139452</v>
      </c>
      <c r="I135" s="17">
        <v>12868.614406919767</v>
      </c>
      <c r="J135" s="17">
        <v>13194.384931613344</v>
      </c>
      <c r="K135" s="17">
        <v>13528.402376402842</v>
      </c>
      <c r="L135" s="17">
        <v>13870.875513064451</v>
      </c>
      <c r="M135" s="17">
        <v>14222.018398457025</v>
      </c>
      <c r="N135" s="17">
        <v>14582.050508314611</v>
      </c>
      <c r="O135" s="17">
        <v>14951.196874425905</v>
      </c>
      <c r="P135" s="17">
        <v>15329.68822528646</v>
      </c>
      <c r="Q135" s="17">
        <v>15717.761130311505</v>
      </c>
      <c r="R135" s="17">
        <v>16115.658147699523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</row>
    <row r="136" spans="1:42" x14ac:dyDescent="0.25">
      <c r="A136" s="9" t="s">
        <v>58</v>
      </c>
      <c r="B136" s="17">
        <v>4457.772631814225</v>
      </c>
      <c r="C136" s="17">
        <v>4926.6006720746236</v>
      </c>
      <c r="D136" s="17">
        <v>5444.7357877488148</v>
      </c>
      <c r="E136" s="17">
        <v>6017.3636492256928</v>
      </c>
      <c r="F136" s="17">
        <v>6650.2153086097896</v>
      </c>
      <c r="G136" s="17">
        <v>7349.624558017008</v>
      </c>
      <c r="H136" s="17">
        <v>8122.5913202949832</v>
      </c>
      <c r="I136" s="17">
        <v>8328.2156985389302</v>
      </c>
      <c r="J136" s="17">
        <v>8539.0454827008834</v>
      </c>
      <c r="K136" s="17">
        <v>8755.212448259037</v>
      </c>
      <c r="L136" s="17">
        <v>8976.8517066036929</v>
      </c>
      <c r="M136" s="17">
        <v>9204.1017894862907</v>
      </c>
      <c r="N136" s="17">
        <v>9437.1047356062481</v>
      </c>
      <c r="O136" s="17">
        <v>9676.0061793897785</v>
      </c>
      <c r="P136" s="17">
        <v>9920.9554420161494</v>
      </c>
      <c r="Q136" s="17">
        <v>10172.105624748276</v>
      </c>
      <c r="R136" s="17">
        <v>10429.613704625999</v>
      </c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</row>
    <row r="137" spans="1:42" x14ac:dyDescent="0.25">
      <c r="A137" s="9" t="s">
        <v>60</v>
      </c>
      <c r="B137" s="17">
        <v>2750.9170013190965</v>
      </c>
      <c r="C137" s="17">
        <v>3040.2334678977336</v>
      </c>
      <c r="D137" s="17">
        <v>3359.9776128808485</v>
      </c>
      <c r="E137" s="17">
        <v>3713.3495431411502</v>
      </c>
      <c r="F137" s="17">
        <v>4103.8859237290926</v>
      </c>
      <c r="G137" s="17">
        <v>4535.4953740054088</v>
      </c>
      <c r="H137" s="17">
        <v>5012.4975864174112</v>
      </c>
      <c r="I137" s="17">
        <v>5139.3895669459762</v>
      </c>
      <c r="J137" s="17">
        <v>5269.4938332552056</v>
      </c>
      <c r="K137" s="17">
        <v>5402.8917047467949</v>
      </c>
      <c r="L137" s="17">
        <v>5539.6665594328979</v>
      </c>
      <c r="M137" s="17">
        <v>5679.9038860500896</v>
      </c>
      <c r="N137" s="17">
        <v>5823.6913374926198</v>
      </c>
      <c r="O137" s="17">
        <v>5971.1187855983171</v>
      </c>
      <c r="P137" s="17">
        <v>6122.2783773214205</v>
      </c>
      <c r="Q137" s="17">
        <v>6277.2645923274167</v>
      </c>
      <c r="R137" s="17">
        <v>6436.1743020459144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</row>
    <row r="138" spans="1:42" x14ac:dyDescent="0.25">
      <c r="A138" s="9" t="s">
        <v>62</v>
      </c>
      <c r="B138" s="17">
        <v>1693.0470578800596</v>
      </c>
      <c r="C138" s="17">
        <v>1871.1063713025799</v>
      </c>
      <c r="D138" s="17">
        <v>2067.8923461896657</v>
      </c>
      <c r="E138" s="17">
        <v>2285.374482720038</v>
      </c>
      <c r="F138" s="17">
        <v>2525.7294152143631</v>
      </c>
      <c r="G138" s="17">
        <v>2791.3626966231268</v>
      </c>
      <c r="H138" s="17">
        <v>3084.9328741090967</v>
      </c>
      <c r="I138" s="17">
        <v>3163.0283216269418</v>
      </c>
      <c r="J138" s="17">
        <v>3243.1007648111099</v>
      </c>
      <c r="K138" s="17">
        <v>3325.2002515451704</v>
      </c>
      <c r="L138" s="17">
        <v>3409.3780966808977</v>
      </c>
      <c r="M138" s="17">
        <v>3495.6869141117222</v>
      </c>
      <c r="N138" s="17">
        <v>3584.1806496581294</v>
      </c>
      <c r="O138" s="17">
        <v>3674.9146147855508</v>
      </c>
      <c r="P138" s="17">
        <v>3767.9455211758323</v>
      </c>
      <c r="Q138" s="17">
        <v>3863.3315161738806</v>
      </c>
      <c r="R138" s="17">
        <v>3961.1322191316467</v>
      </c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</row>
    <row r="139" spans="1:42" x14ac:dyDescent="0.25">
      <c r="A139" s="9" t="s">
        <v>64</v>
      </c>
      <c r="B139" s="17">
        <v>775.83214448827994</v>
      </c>
      <c r="C139" s="17">
        <v>857.42712339671084</v>
      </c>
      <c r="D139" s="17">
        <v>947.60352114730472</v>
      </c>
      <c r="E139" s="17">
        <v>1047.2638534380833</v>
      </c>
      <c r="F139" s="17">
        <v>1157.405554371607</v>
      </c>
      <c r="G139" s="17">
        <v>1279.1309591107229</v>
      </c>
      <c r="H139" s="17">
        <v>1413.6583364193814</v>
      </c>
      <c r="I139" s="17">
        <v>1449.4452675862017</v>
      </c>
      <c r="J139" s="17">
        <v>1486.1381492287094</v>
      </c>
      <c r="K139" s="17">
        <v>1523.7599155923858</v>
      </c>
      <c r="L139" s="17">
        <v>1562.3340815059005</v>
      </c>
      <c r="M139" s="17">
        <v>1601.8847570786452</v>
      </c>
      <c r="N139" s="17">
        <v>1642.4366627703364</v>
      </c>
      <c r="O139" s="17">
        <v>1684.0151448421082</v>
      </c>
      <c r="P139" s="17">
        <v>1726.6461911987494</v>
      </c>
      <c r="Q139" s="17">
        <v>1770.3564476319918</v>
      </c>
      <c r="R139" s="17">
        <v>1815.1732344749955</v>
      </c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</row>
    <row r="140" spans="1:42" x14ac:dyDescent="0.25">
      <c r="A140" s="9" t="s">
        <v>66</v>
      </c>
      <c r="B140" s="17">
        <v>342.97067695782994</v>
      </c>
      <c r="C140" s="17">
        <v>379.04121792651131</v>
      </c>
      <c r="D140" s="17">
        <v>418.90533080435421</v>
      </c>
      <c r="E140" s="17">
        <v>462.96198903183097</v>
      </c>
      <c r="F140" s="17">
        <v>511.65212645243662</v>
      </c>
      <c r="G140" s="17">
        <v>565.46305032679675</v>
      </c>
      <c r="H140" s="17">
        <v>624.93331846752221</v>
      </c>
      <c r="I140" s="17">
        <v>640.75358074425878</v>
      </c>
      <c r="J140" s="17">
        <v>656.97433486725913</v>
      </c>
      <c r="K140" s="17">
        <v>673.60571933588017</v>
      </c>
      <c r="L140" s="17">
        <v>690.65812930681261</v>
      </c>
      <c r="M140" s="17">
        <v>708.1422230913912</v>
      </c>
      <c r="N140" s="17">
        <v>726.06892881738668</v>
      </c>
      <c r="O140" s="17">
        <v>744.44945125944184</v>
      </c>
      <c r="P140" s="17">
        <v>763.29527884241952</v>
      </c>
      <c r="Q140" s="17">
        <v>782.61819082204295</v>
      </c>
      <c r="R140" s="17">
        <v>802.43026464731338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</row>
    <row r="141" spans="1:42" x14ac:dyDescent="0.25">
      <c r="A141" s="9" t="s">
        <v>68</v>
      </c>
      <c r="B141" s="17">
        <v>137.17420929921971</v>
      </c>
      <c r="C141" s="17">
        <v>151.60094682751969</v>
      </c>
      <c r="D141" s="17">
        <v>167.54495758650739</v>
      </c>
      <c r="E141" s="17">
        <v>185.16581459482583</v>
      </c>
      <c r="F141" s="17">
        <v>204.63987331198885</v>
      </c>
      <c r="G141" s="17">
        <v>226.16203666309497</v>
      </c>
      <c r="H141" s="17">
        <v>249.94770569281093</v>
      </c>
      <c r="I141" s="17">
        <v>256.2751619872289</v>
      </c>
      <c r="J141" s="17">
        <v>262.76279860035311</v>
      </c>
      <c r="K141" s="17">
        <v>269.41467051625727</v>
      </c>
      <c r="L141" s="17">
        <v>276.23493537142565</v>
      </c>
      <c r="M141" s="17">
        <v>283.22785605341107</v>
      </c>
      <c r="N141" s="17">
        <v>290.39780336527878</v>
      </c>
      <c r="O141" s="17">
        <v>297.74925875750023</v>
      </c>
      <c r="P141" s="17">
        <v>305.28681712900567</v>
      </c>
      <c r="Q141" s="17">
        <v>313.01518969914571</v>
      </c>
      <c r="R141" s="17">
        <v>320.93920695235653</v>
      </c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</row>
    <row r="142" spans="1:42" x14ac:dyDescent="0.25">
      <c r="A142" s="9" t="s">
        <v>70</v>
      </c>
      <c r="B142" s="17">
        <v>64.930515352669701</v>
      </c>
      <c r="C142" s="17">
        <v>71.759317263434909</v>
      </c>
      <c r="D142" s="17">
        <v>79.306310540512044</v>
      </c>
      <c r="E142" s="17">
        <v>87.647028029250109</v>
      </c>
      <c r="F142" s="17">
        <v>96.864946433688374</v>
      </c>
      <c r="G142" s="17">
        <v>107.0523217794678</v>
      </c>
      <c r="H142" s="17">
        <v>118.31111274314409</v>
      </c>
      <c r="I142" s="17">
        <v>121.30617282161609</v>
      </c>
      <c r="J142" s="17">
        <v>124.3770532069525</v>
      </c>
      <c r="K142" s="17">
        <v>127.52567329935978</v>
      </c>
      <c r="L142" s="17">
        <v>130.75400108889201</v>
      </c>
      <c r="M142" s="17">
        <v>134.06405438550863</v>
      </c>
      <c r="N142" s="17">
        <v>137.45790208027137</v>
      </c>
      <c r="O142" s="17">
        <v>140.93766543846857</v>
      </c>
      <c r="P142" s="17">
        <v>144.50551942547503</v>
      </c>
      <c r="Q142" s="17">
        <v>148.16369406617611</v>
      </c>
      <c r="R142" s="17">
        <v>151.91447583880597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</row>
    <row r="143" spans="1:42" x14ac:dyDescent="0.25">
      <c r="A143" s="9" t="s">
        <v>72</v>
      </c>
      <c r="B143" s="17">
        <v>35.531019972868243</v>
      </c>
      <c r="C143" s="17">
        <v>39.267849963578968</v>
      </c>
      <c r="D143" s="17">
        <v>43.39768579510536</v>
      </c>
      <c r="E143" s="17">
        <v>47.961860252535082</v>
      </c>
      <c r="F143" s="17">
        <v>53.006053127910114</v>
      </c>
      <c r="G143" s="17">
        <v>58.580748398938979</v>
      </c>
      <c r="H143" s="17">
        <v>64.74173948961392</v>
      </c>
      <c r="I143" s="17">
        <v>66.380684427754673</v>
      </c>
      <c r="J143" s="17">
        <v>68.061119454537362</v>
      </c>
      <c r="K143" s="17">
        <v>69.784094896556525</v>
      </c>
      <c r="L143" s="17">
        <v>71.550687669551024</v>
      </c>
      <c r="M143" s="17">
        <v>73.362001951511473</v>
      </c>
      <c r="N143" s="17">
        <v>75.219169872827379</v>
      </c>
      <c r="O143" s="17">
        <v>77.123352223905499</v>
      </c>
      <c r="P143" s="17">
        <v>79.075739180701646</v>
      </c>
      <c r="Q143" s="17">
        <v>81.077551048619412</v>
      </c>
      <c r="R143" s="17">
        <v>83.130039025240748</v>
      </c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</row>
    <row r="144" spans="1:42" x14ac:dyDescent="0.25">
      <c r="A144" s="9" t="s">
        <v>74</v>
      </c>
      <c r="B144" s="17">
        <v>12.620752449097804</v>
      </c>
      <c r="C144" s="17">
        <v>13.9480885709749</v>
      </c>
      <c r="D144" s="17">
        <v>15.415021851384779</v>
      </c>
      <c r="E144" s="17">
        <v>17.036233851651087</v>
      </c>
      <c r="F144" s="17">
        <v>18.82795020638066</v>
      </c>
      <c r="G144" s="17">
        <v>20.808103015068294</v>
      </c>
      <c r="H144" s="17">
        <v>22.99651031257568</v>
      </c>
      <c r="I144" s="17">
        <v>23.578669742779805</v>
      </c>
      <c r="J144" s="17">
        <v>24.17556660912398</v>
      </c>
      <c r="K144" s="17">
        <v>24.787573991580309</v>
      </c>
      <c r="L144" s="17">
        <v>25.415074414685364</v>
      </c>
      <c r="M144" s="17">
        <v>26.058460086630451</v>
      </c>
      <c r="N144" s="17">
        <v>26.718133144404518</v>
      </c>
      <c r="O144" s="17">
        <v>27.394505905142857</v>
      </c>
      <c r="P144" s="17">
        <v>28.088001123838726</v>
      </c>
      <c r="Q144" s="17">
        <v>28.799052257578996</v>
      </c>
      <c r="R144" s="17">
        <v>29.528103736468932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</row>
    <row r="145" spans="1:42" x14ac:dyDescent="0.25">
      <c r="A145" s="20" t="s">
        <v>76</v>
      </c>
      <c r="B145" s="39">
        <v>26.3528514794478</v>
      </c>
      <c r="C145" s="39">
        <v>29.124405063452517</v>
      </c>
      <c r="D145" s="39">
        <v>32.187445482382863</v>
      </c>
      <c r="E145" s="39">
        <v>35.572628674274924</v>
      </c>
      <c r="F145" s="39">
        <v>39.313834690312532</v>
      </c>
      <c r="G145" s="39">
        <v>43.448506777766944</v>
      </c>
      <c r="H145" s="39">
        <v>48.018026124600695</v>
      </c>
      <c r="I145" s="39">
        <v>49.233608243290135</v>
      </c>
      <c r="J145" s="39">
        <v>50.479962969821543</v>
      </c>
      <c r="K145" s="39">
        <v>51.757869316471279</v>
      </c>
      <c r="L145" s="39">
        <v>53.068126016305385</v>
      </c>
      <c r="M145" s="39">
        <v>54.41155202241373</v>
      </c>
      <c r="N145" s="39">
        <v>55.788987019782368</v>
      </c>
      <c r="O145" s="39">
        <v>57.201291950123959</v>
      </c>
      <c r="P145" s="39">
        <v>58.649349549994383</v>
      </c>
      <c r="Q145" s="39">
        <v>60.134064902531847</v>
      </c>
      <c r="R145" s="39">
        <v>61.656366003163271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</row>
    <row r="146" spans="1:42" x14ac:dyDescent="0.25">
      <c r="A146" s="9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</row>
    <row r="147" spans="1:42" x14ac:dyDescent="0.25">
      <c r="A147" s="3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</row>
    <row r="148" spans="1:42" x14ac:dyDescent="0.25">
      <c r="A148" s="40" t="s">
        <v>78</v>
      </c>
      <c r="B148" s="41">
        <f>SUM(B149:B165)</f>
        <v>33121.587208601049</v>
      </c>
      <c r="C148" s="41">
        <f t="shared" ref="C148:R148" si="7">SUM(C149:C165)</f>
        <v>36605.014943452254</v>
      </c>
      <c r="D148" s="41">
        <f t="shared" si="7"/>
        <v>40454.797971227927</v>
      </c>
      <c r="E148" s="41">
        <f t="shared" si="7"/>
        <v>44709.466214426815</v>
      </c>
      <c r="F148" s="41">
        <f t="shared" si="7"/>
        <v>49411.601822870252</v>
      </c>
      <c r="G148" s="41">
        <f t="shared" si="7"/>
        <v>54608.265350169859</v>
      </c>
      <c r="H148" s="41">
        <f t="shared" si="7"/>
        <v>60351.466751565815</v>
      </c>
      <c r="I148" s="41">
        <f t="shared" si="7"/>
        <v>61879.27140620775</v>
      </c>
      <c r="J148" s="41">
        <f t="shared" si="7"/>
        <v>63445.752619819767</v>
      </c>
      <c r="K148" s="41">
        <f t="shared" si="7"/>
        <v>65051.889494153591</v>
      </c>
      <c r="L148" s="41">
        <f t="shared" si="7"/>
        <v>66698.685917039911</v>
      </c>
      <c r="M148" s="41">
        <f t="shared" si="7"/>
        <v>68387.171189850807</v>
      </c>
      <c r="N148" s="41">
        <f t="shared" si="7"/>
        <v>70118.400670846619</v>
      </c>
      <c r="O148" s="41">
        <f t="shared" si="7"/>
        <v>71893.456434809312</v>
      </c>
      <c r="P148" s="41">
        <f t="shared" si="7"/>
        <v>73713.447949374284</v>
      </c>
      <c r="Q148" s="41">
        <f t="shared" si="7"/>
        <v>75579.51276848391</v>
      </c>
      <c r="R148" s="41">
        <f t="shared" si="7"/>
        <v>77492.817243395679</v>
      </c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</row>
    <row r="149" spans="1:42" x14ac:dyDescent="0.25">
      <c r="A149" s="42" t="s">
        <v>44</v>
      </c>
      <c r="B149" s="17">
        <v>257.14783115036778</v>
      </c>
      <c r="C149" s="17">
        <v>284.19230463361362</v>
      </c>
      <c r="D149" s="17">
        <v>314.08107022196492</v>
      </c>
      <c r="E149" s="17">
        <v>347.11326472739097</v>
      </c>
      <c r="F149" s="17">
        <v>383.61948545500604</v>
      </c>
      <c r="G149" s="17">
        <v>423.96509893201659</v>
      </c>
      <c r="H149" s="17">
        <v>468.55389761872959</v>
      </c>
      <c r="I149" s="17">
        <v>480.41539600913865</v>
      </c>
      <c r="J149" s="17">
        <v>492.57716966090123</v>
      </c>
      <c r="K149" s="17">
        <v>505.046820078449</v>
      </c>
      <c r="L149" s="17">
        <v>517.83214119921445</v>
      </c>
      <c r="M149" s="17">
        <v>530.9411242650956</v>
      </c>
      <c r="N149" s="17">
        <v>544.3819628172422</v>
      </c>
      <c r="O149" s="17">
        <v>558.16305781728579</v>
      </c>
      <c r="P149" s="17">
        <v>572.29302289821408</v>
      </c>
      <c r="Q149" s="17">
        <v>586.78068974817211</v>
      </c>
      <c r="R149" s="17">
        <v>601.63511363055454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</row>
    <row r="150" spans="1:42" x14ac:dyDescent="0.25">
      <c r="A150" s="17" t="s">
        <v>46</v>
      </c>
      <c r="B150" s="17">
        <v>170.38015806282033</v>
      </c>
      <c r="C150" s="17">
        <v>188.29919570816111</v>
      </c>
      <c r="D150" s="17">
        <v>208.10279499369449</v>
      </c>
      <c r="E150" s="17">
        <v>229.98915699728965</v>
      </c>
      <c r="F150" s="17">
        <v>254.17732778613887</v>
      </c>
      <c r="G150" s="17">
        <v>280.90939070342193</v>
      </c>
      <c r="H150" s="17">
        <v>310.45288921977163</v>
      </c>
      <c r="I150" s="17">
        <v>318.3120415275273</v>
      </c>
      <c r="J150" s="17">
        <v>326.37014922317366</v>
      </c>
      <c r="K150" s="17">
        <v>334.63224888633414</v>
      </c>
      <c r="L150" s="17">
        <v>343.10350459825236</v>
      </c>
      <c r="M150" s="17">
        <v>351.78921116951102</v>
      </c>
      <c r="N150" s="17">
        <v>360.69479744946096</v>
      </c>
      <c r="O150" s="17">
        <v>369.8258297194285</v>
      </c>
      <c r="P150" s="17">
        <v>379.18801517182271</v>
      </c>
      <c r="Q150" s="17">
        <v>388.78720547731638</v>
      </c>
      <c r="R150" s="17">
        <v>398.62940044233051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</row>
    <row r="151" spans="1:42" x14ac:dyDescent="0.25">
      <c r="A151" s="17" t="s">
        <v>48</v>
      </c>
      <c r="B151" s="17">
        <v>86.767673087547394</v>
      </c>
      <c r="C151" s="17">
        <v>95.893108925452424</v>
      </c>
      <c r="D151" s="17">
        <v>105.97827522827035</v>
      </c>
      <c r="E151" s="17">
        <v>117.12410773010122</v>
      </c>
      <c r="F151" s="17">
        <v>129.44215766886703</v>
      </c>
      <c r="G151" s="17">
        <v>143.05570822859451</v>
      </c>
      <c r="H151" s="17">
        <v>158.10100839895779</v>
      </c>
      <c r="I151" s="17">
        <v>162.10335448161115</v>
      </c>
      <c r="J151" s="17">
        <v>166.20702043772735</v>
      </c>
      <c r="K151" s="17">
        <v>170.41457119211464</v>
      </c>
      <c r="L151" s="17">
        <v>174.72863660096189</v>
      </c>
      <c r="M151" s="17">
        <v>179.15191309558438</v>
      </c>
      <c r="N151" s="17">
        <v>183.68716536778109</v>
      </c>
      <c r="O151" s="17">
        <v>188.33722809785718</v>
      </c>
      <c r="P151" s="17">
        <v>193.10500772639128</v>
      </c>
      <c r="Q151" s="17">
        <v>197.99348427085565</v>
      </c>
      <c r="R151" s="17">
        <v>203.00571318822398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</row>
    <row r="152" spans="1:42" x14ac:dyDescent="0.25">
      <c r="A152" s="17" t="s">
        <v>50</v>
      </c>
      <c r="B152" s="17">
        <v>711.49491931788862</v>
      </c>
      <c r="C152" s="17">
        <v>786.3234931887099</v>
      </c>
      <c r="D152" s="17">
        <v>869.02185687181679</v>
      </c>
      <c r="E152" s="17">
        <v>960.41768338682994</v>
      </c>
      <c r="F152" s="17">
        <v>1061.4256928847096</v>
      </c>
      <c r="G152" s="17">
        <v>1173.0568074744751</v>
      </c>
      <c r="H152" s="17">
        <v>1296.4282688714541</v>
      </c>
      <c r="I152" s="17">
        <v>1329.2475067492117</v>
      </c>
      <c r="J152" s="17">
        <v>1362.8975675893646</v>
      </c>
      <c r="K152" s="17">
        <v>1397.3994837753403</v>
      </c>
      <c r="L152" s="17">
        <v>1432.7748201278878</v>
      </c>
      <c r="M152" s="17">
        <v>1469.045687383792</v>
      </c>
      <c r="N152" s="17">
        <v>1506.2347560158053</v>
      </c>
      <c r="O152" s="17">
        <v>1544.3652704024291</v>
      </c>
      <c r="P152" s="17">
        <v>1583.4610633564089</v>
      </c>
      <c r="Q152" s="17">
        <v>1623.5465710210167</v>
      </c>
      <c r="R152" s="17">
        <v>1664.646848143437</v>
      </c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</row>
    <row r="153" spans="1:42" x14ac:dyDescent="0.25">
      <c r="A153" s="17" t="s">
        <v>52</v>
      </c>
      <c r="B153" s="17">
        <v>7050.2678368772604</v>
      </c>
      <c r="C153" s="17">
        <v>7791.7509779608527</v>
      </c>
      <c r="D153" s="17">
        <v>8611.216581729821</v>
      </c>
      <c r="E153" s="17">
        <v>9516.8661353785865</v>
      </c>
      <c r="F153" s="17">
        <v>10517.763684039393</v>
      </c>
      <c r="G153" s="17">
        <v>11623.926546792523</v>
      </c>
      <c r="H153" s="17">
        <v>12846.425573362587</v>
      </c>
      <c r="I153" s="17">
        <v>13171.634385060366</v>
      </c>
      <c r="J153" s="17">
        <v>13505.075897021881</v>
      </c>
      <c r="K153" s="17">
        <v>13846.95852104655</v>
      </c>
      <c r="L153" s="17">
        <v>14197.495944903611</v>
      </c>
      <c r="M153" s="17">
        <v>14556.907265893935</v>
      </c>
      <c r="N153" s="17">
        <v>14925.417127792974</v>
      </c>
      <c r="O153" s="17">
        <v>15303.255861260428</v>
      </c>
      <c r="P153" s="17">
        <v>15690.659627804409</v>
      </c>
      <c r="Q153" s="17">
        <v>16087.870567390068</v>
      </c>
      <c r="R153" s="17">
        <v>16495.136949784959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</row>
    <row r="154" spans="1:42" x14ac:dyDescent="0.25">
      <c r="A154" s="17" t="s">
        <v>54</v>
      </c>
      <c r="B154" s="17">
        <v>10031.920602976617</v>
      </c>
      <c r="C154" s="17">
        <v>11086.986902853674</v>
      </c>
      <c r="D154" s="17">
        <v>12253.015494119478</v>
      </c>
      <c r="E154" s="17">
        <v>13541.67638283116</v>
      </c>
      <c r="F154" s="17">
        <v>14965.866920296829</v>
      </c>
      <c r="G154" s="17">
        <v>16539.840884102414</v>
      </c>
      <c r="H154" s="17">
        <v>18279.351134708599</v>
      </c>
      <c r="I154" s="17">
        <v>18742.095111792103</v>
      </c>
      <c r="J154" s="17">
        <v>19216.553508427431</v>
      </c>
      <c r="K154" s="17">
        <v>19703.022876557407</v>
      </c>
      <c r="L154" s="17">
        <v>20201.807275373038</v>
      </c>
      <c r="M154" s="17">
        <v>20713.218461360389</v>
      </c>
      <c r="N154" s="17">
        <v>21237.576083158554</v>
      </c>
      <c r="O154" s="17">
        <v>21775.207881350441</v>
      </c>
      <c r="P154" s="17">
        <v>22326.449893311321</v>
      </c>
      <c r="Q154" s="17">
        <v>22891.646663243118</v>
      </c>
      <c r="R154" s="17">
        <v>23471.151457525757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</row>
    <row r="155" spans="1:42" x14ac:dyDescent="0.25">
      <c r="A155" s="17" t="s">
        <v>56</v>
      </c>
      <c r="B155" s="17">
        <v>6117.9097497001603</v>
      </c>
      <c r="C155" s="17">
        <v>6761.3359347800824</v>
      </c>
      <c r="D155" s="17">
        <v>7472.4318424587718</v>
      </c>
      <c r="E155" s="17">
        <v>8258.3143595878646</v>
      </c>
      <c r="F155" s="17">
        <v>9126.8488625430255</v>
      </c>
      <c r="G155" s="17">
        <v>10086.727936554356</v>
      </c>
      <c r="H155" s="17">
        <v>11147.558374021062</v>
      </c>
      <c r="I155" s="17">
        <v>11429.760157812512</v>
      </c>
      <c r="J155" s="17">
        <v>11719.105913772852</v>
      </c>
      <c r="K155" s="17">
        <v>12015.776492418558</v>
      </c>
      <c r="L155" s="17">
        <v>12319.957322518732</v>
      </c>
      <c r="M155" s="17">
        <v>12631.838526994114</v>
      </c>
      <c r="N155" s="17">
        <v>12951.615041750094</v>
      </c>
      <c r="O155" s="17">
        <v>13279.486737518004</v>
      </c>
      <c r="P155" s="17">
        <v>13615.658544780827</v>
      </c>
      <c r="Q155" s="17">
        <v>13960.340581861423</v>
      </c>
      <c r="R155" s="17">
        <v>14313.74828625332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</row>
    <row r="156" spans="1:42" x14ac:dyDescent="0.25">
      <c r="A156" s="9" t="s">
        <v>58</v>
      </c>
      <c r="B156" s="17">
        <v>3839.8639326380071</v>
      </c>
      <c r="C156" s="17">
        <v>4243.7059477191133</v>
      </c>
      <c r="D156" s="17">
        <v>4690.0203982838193</v>
      </c>
      <c r="E156" s="17">
        <v>5183.2741493648437</v>
      </c>
      <c r="F156" s="17">
        <v>5728.4038502913163</v>
      </c>
      <c r="G156" s="17">
        <v>6330.8653423345295</v>
      </c>
      <c r="H156" s="17">
        <v>6996.688262601152</v>
      </c>
      <c r="I156" s="17">
        <v>7173.8102692407565</v>
      </c>
      <c r="J156" s="17">
        <v>7355.4161408259715</v>
      </c>
      <c r="K156" s="17">
        <v>7541.6193869383105</v>
      </c>
      <c r="L156" s="17">
        <v>7732.5363906680232</v>
      </c>
      <c r="M156" s="17">
        <v>7928.286481357316</v>
      </c>
      <c r="N156" s="17">
        <v>8128.9920091850763</v>
      </c>
      <c r="O156" s="17">
        <v>8334.7784216397158</v>
      </c>
      <c r="P156" s="17">
        <v>8545.7743419279341</v>
      </c>
      <c r="Q156" s="17">
        <v>8762.1116493684112</v>
      </c>
      <c r="R156" s="17">
        <v>8983.9255618206753</v>
      </c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</row>
    <row r="157" spans="1:42" x14ac:dyDescent="0.25">
      <c r="A157" s="9" t="s">
        <v>60</v>
      </c>
      <c r="B157" s="17">
        <v>2366.3910842058385</v>
      </c>
      <c r="C157" s="17">
        <v>2615.2666070577939</v>
      </c>
      <c r="D157" s="17">
        <v>2890.3165971346461</v>
      </c>
      <c r="E157" s="17">
        <v>3194.2938471845787</v>
      </c>
      <c r="F157" s="17">
        <v>3530.2406636963738</v>
      </c>
      <c r="G157" s="17">
        <v>3901.5193153253053</v>
      </c>
      <c r="H157" s="17">
        <v>4311.8456836079404</v>
      </c>
      <c r="I157" s="17">
        <v>4421.0005767712137</v>
      </c>
      <c r="J157" s="17">
        <v>4532.918739210746</v>
      </c>
      <c r="K157" s="17">
        <v>4647.6701234213078</v>
      </c>
      <c r="L157" s="17">
        <v>4765.3264527535057</v>
      </c>
      <c r="M157" s="17">
        <v>4885.96126624321</v>
      </c>
      <c r="N157" s="17">
        <v>5009.6499645758477</v>
      </c>
      <c r="O157" s="17">
        <v>5136.4698572142861</v>
      </c>
      <c r="P157" s="17">
        <v>5266.5002107197615</v>
      </c>
      <c r="Q157" s="17">
        <v>5399.8222982960624</v>
      </c>
      <c r="R157" s="17">
        <v>5536.5194505879253</v>
      </c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</row>
    <row r="158" spans="1:42" x14ac:dyDescent="0.25">
      <c r="A158" s="9" t="s">
        <v>62</v>
      </c>
      <c r="B158" s="17">
        <v>1422.9898386357772</v>
      </c>
      <c r="C158" s="17">
        <v>1572.6469863774198</v>
      </c>
      <c r="D158" s="17">
        <v>1738.0437137436336</v>
      </c>
      <c r="E158" s="17">
        <v>1920.8353667736599</v>
      </c>
      <c r="F158" s="17">
        <v>2122.8513857694193</v>
      </c>
      <c r="G158" s="17">
        <v>2346.1136149489503</v>
      </c>
      <c r="H158" s="17">
        <v>2592.8565377429081</v>
      </c>
      <c r="I158" s="17">
        <v>2658.4950134984233</v>
      </c>
      <c r="J158" s="17">
        <v>2725.7951351787292</v>
      </c>
      <c r="K158" s="17">
        <v>2794.7989675506806</v>
      </c>
      <c r="L158" s="17">
        <v>2865.5496402557756</v>
      </c>
      <c r="M158" s="17">
        <v>2938.0913747675841</v>
      </c>
      <c r="N158" s="17">
        <v>3012.4695120316105</v>
      </c>
      <c r="O158" s="17">
        <v>3088.7305408048583</v>
      </c>
      <c r="P158" s="17">
        <v>3166.9221267128178</v>
      </c>
      <c r="Q158" s="17">
        <v>3247.0931420420334</v>
      </c>
      <c r="R158" s="17">
        <v>3329.2936962868739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</row>
    <row r="159" spans="1:42" x14ac:dyDescent="0.25">
      <c r="A159" s="9" t="s">
        <v>64</v>
      </c>
      <c r="B159" s="17">
        <v>605.79611755669464</v>
      </c>
      <c r="C159" s="17">
        <v>669.50825140679524</v>
      </c>
      <c r="D159" s="17">
        <v>739.9210488664695</v>
      </c>
      <c r="E159" s="17">
        <v>817.73922487925233</v>
      </c>
      <c r="F159" s="17">
        <v>903.74160990627183</v>
      </c>
      <c r="G159" s="17">
        <v>998.78894472327829</v>
      </c>
      <c r="H159" s="17">
        <v>1103.8324950036329</v>
      </c>
      <c r="I159" s="17">
        <v>1131.7761476534308</v>
      </c>
      <c r="J159" s="17">
        <v>1160.4271972379513</v>
      </c>
      <c r="K159" s="17">
        <v>1189.8035515958552</v>
      </c>
      <c r="L159" s="17">
        <v>1219.9235719048977</v>
      </c>
      <c r="M159" s="17">
        <v>1250.8060841582619</v>
      </c>
      <c r="N159" s="17">
        <v>1282.4703909314171</v>
      </c>
      <c r="O159" s="17">
        <v>1314.9362834468573</v>
      </c>
      <c r="P159" s="17">
        <v>1348.2240539442589</v>
      </c>
      <c r="Q159" s="17">
        <v>1382.3545083637919</v>
      </c>
      <c r="R159" s="17">
        <v>1417.3489793505089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</row>
    <row r="160" spans="1:42" x14ac:dyDescent="0.25">
      <c r="A160" s="9" t="s">
        <v>66</v>
      </c>
      <c r="B160" s="17">
        <v>242.94948464513274</v>
      </c>
      <c r="C160" s="17">
        <v>268.50070499126684</v>
      </c>
      <c r="D160" s="17">
        <v>296.73917063915701</v>
      </c>
      <c r="E160" s="17">
        <v>327.94750164428342</v>
      </c>
      <c r="F160" s="17">
        <v>362.43804147282771</v>
      </c>
      <c r="G160" s="17">
        <v>400.55598304006469</v>
      </c>
      <c r="H160" s="17">
        <v>442.68282351708189</v>
      </c>
      <c r="I160" s="17">
        <v>453.8893925485113</v>
      </c>
      <c r="J160" s="17">
        <v>465.37965722563666</v>
      </c>
      <c r="K160" s="17">
        <v>477.16079933792105</v>
      </c>
      <c r="L160" s="17">
        <v>489.24018248269334</v>
      </c>
      <c r="M160" s="17">
        <v>501.62535666763631</v>
      </c>
      <c r="N160" s="17">
        <v>514.32406302978711</v>
      </c>
      <c r="O160" s="17">
        <v>527.34423867400017</v>
      </c>
      <c r="P160" s="17">
        <v>540.69402163389566</v>
      </c>
      <c r="Q160" s="17">
        <v>554.38175595839584</v>
      </c>
      <c r="R160" s="17">
        <v>568.41599692702709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</row>
    <row r="161" spans="1:42" x14ac:dyDescent="0.25">
      <c r="A161" s="9" t="s">
        <v>68</v>
      </c>
      <c r="B161" s="17">
        <v>99.388425536645215</v>
      </c>
      <c r="C161" s="17">
        <v>109.84119749642734</v>
      </c>
      <c r="D161" s="17">
        <v>121.39329707965514</v>
      </c>
      <c r="E161" s="17">
        <v>134.16034158175231</v>
      </c>
      <c r="F161" s="17">
        <v>148.2701078752477</v>
      </c>
      <c r="G161" s="17">
        <v>163.86381124366284</v>
      </c>
      <c r="H161" s="17">
        <v>181.0975187115335</v>
      </c>
      <c r="I161" s="17">
        <v>185.68202422439097</v>
      </c>
      <c r="J161" s="17">
        <v>190.38258704685134</v>
      </c>
      <c r="K161" s="17">
        <v>195.20214518369494</v>
      </c>
      <c r="L161" s="17">
        <v>200.14371101564723</v>
      </c>
      <c r="M161" s="17">
        <v>205.21037318221479</v>
      </c>
      <c r="N161" s="17">
        <v>210.4052985121856</v>
      </c>
      <c r="O161" s="17">
        <v>215.73173400300001</v>
      </c>
      <c r="P161" s="17">
        <v>221.19300885022997</v>
      </c>
      <c r="Q161" s="17">
        <v>226.7925365284346</v>
      </c>
      <c r="R161" s="17">
        <v>232.53381692469284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</row>
    <row r="162" spans="1:42" x14ac:dyDescent="0.25">
      <c r="A162" s="9" t="s">
        <v>70</v>
      </c>
      <c r="B162" s="17">
        <v>50.483009796391215</v>
      </c>
      <c r="C162" s="17">
        <v>55.792354283899598</v>
      </c>
      <c r="D162" s="17">
        <v>61.660087405539116</v>
      </c>
      <c r="E162" s="17">
        <v>68.144935406604347</v>
      </c>
      <c r="F162" s="17">
        <v>75.311800825522639</v>
      </c>
      <c r="G162" s="17">
        <v>83.232412060273177</v>
      </c>
      <c r="H162" s="17">
        <v>91.986041250302719</v>
      </c>
      <c r="I162" s="17">
        <v>94.314678971119221</v>
      </c>
      <c r="J162" s="17">
        <v>96.702266436495918</v>
      </c>
      <c r="K162" s="17">
        <v>99.150295966321238</v>
      </c>
      <c r="L162" s="17">
        <v>101.66029765874146</v>
      </c>
      <c r="M162" s="17">
        <v>104.2338403465218</v>
      </c>
      <c r="N162" s="17">
        <v>106.87253257761807</v>
      </c>
      <c r="O162" s="17">
        <v>109.57802362057143</v>
      </c>
      <c r="P162" s="17">
        <v>112.3520044953549</v>
      </c>
      <c r="Q162" s="17">
        <v>115.19620903031598</v>
      </c>
      <c r="R162" s="17">
        <v>118.11241494587573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</row>
    <row r="163" spans="1:42" x14ac:dyDescent="0.25">
      <c r="A163" s="9" t="s">
        <v>72</v>
      </c>
      <c r="B163" s="17">
        <v>29.974287066607285</v>
      </c>
      <c r="C163" s="17">
        <v>33.126710356065388</v>
      </c>
      <c r="D163" s="17">
        <v>36.61067689703885</v>
      </c>
      <c r="E163" s="17">
        <v>40.461055397671331</v>
      </c>
      <c r="F163" s="17">
        <v>44.716381740154063</v>
      </c>
      <c r="G163" s="17">
        <v>49.419244660787193</v>
      </c>
      <c r="H163" s="17">
        <v>54.616711992367236</v>
      </c>
      <c r="I163" s="17">
        <v>55.99934063910203</v>
      </c>
      <c r="J163" s="17">
        <v>57.416970696669445</v>
      </c>
      <c r="K163" s="17">
        <v>58.870488230003232</v>
      </c>
      <c r="L163" s="17">
        <v>60.360801734877732</v>
      </c>
      <c r="M163" s="17">
        <v>61.888842705747315</v>
      </c>
      <c r="N163" s="17">
        <v>63.45556621796073</v>
      </c>
      <c r="O163" s="17">
        <v>65.061951524714289</v>
      </c>
      <c r="P163" s="17">
        <v>66.709002669116984</v>
      </c>
      <c r="Q163" s="17">
        <v>68.39774911175013</v>
      </c>
      <c r="R163" s="17">
        <v>70.129246374113734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</row>
    <row r="164" spans="1:42" x14ac:dyDescent="0.25">
      <c r="A164" s="9" t="s">
        <v>74</v>
      </c>
      <c r="B164" s="17">
        <v>12.620752449097804</v>
      </c>
      <c r="C164" s="17">
        <v>13.9480885709749</v>
      </c>
      <c r="D164" s="17">
        <v>15.415021851384779</v>
      </c>
      <c r="E164" s="17">
        <v>17.036233851651087</v>
      </c>
      <c r="F164" s="17">
        <v>18.82795020638066</v>
      </c>
      <c r="G164" s="17">
        <v>20.808103015068294</v>
      </c>
      <c r="H164" s="17">
        <v>22.99651031257568</v>
      </c>
      <c r="I164" s="17">
        <v>23.578669742779805</v>
      </c>
      <c r="J164" s="17">
        <v>24.17556660912398</v>
      </c>
      <c r="K164" s="17">
        <v>24.787573991580309</v>
      </c>
      <c r="L164" s="17">
        <v>25.415074414685364</v>
      </c>
      <c r="M164" s="17">
        <v>26.058460086630451</v>
      </c>
      <c r="N164" s="17">
        <v>26.718133144404518</v>
      </c>
      <c r="O164" s="17">
        <v>27.394505905142857</v>
      </c>
      <c r="P164" s="17">
        <v>28.088001123838726</v>
      </c>
      <c r="Q164" s="17">
        <v>28.799052257578996</v>
      </c>
      <c r="R164" s="17">
        <v>29.528103736468932</v>
      </c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</row>
    <row r="165" spans="1:42" x14ac:dyDescent="0.25">
      <c r="A165" s="20" t="s">
        <v>76</v>
      </c>
      <c r="B165" s="39">
        <v>25.241504898195608</v>
      </c>
      <c r="C165" s="39">
        <v>27.896177141949799</v>
      </c>
      <c r="D165" s="39">
        <v>30.830043702769558</v>
      </c>
      <c r="E165" s="39">
        <v>34.072467703302173</v>
      </c>
      <c r="F165" s="39">
        <v>37.655900412761319</v>
      </c>
      <c r="G165" s="39">
        <v>41.616206030136588</v>
      </c>
      <c r="H165" s="39">
        <v>45.99302062515136</v>
      </c>
      <c r="I165" s="39">
        <v>47.157339485559611</v>
      </c>
      <c r="J165" s="39">
        <v>48.351133218247959</v>
      </c>
      <c r="K165" s="39">
        <v>49.575147983160619</v>
      </c>
      <c r="L165" s="39">
        <v>50.830148829370728</v>
      </c>
      <c r="M165" s="39">
        <v>52.116920173260901</v>
      </c>
      <c r="N165" s="39">
        <v>53.436266288809037</v>
      </c>
      <c r="O165" s="39">
        <v>54.789011810285714</v>
      </c>
      <c r="P165" s="39">
        <v>56.176002247677452</v>
      </c>
      <c r="Q165" s="39">
        <v>57.598104515157992</v>
      </c>
      <c r="R165" s="39">
        <v>59.056207472937864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</row>
    <row r="166" spans="1:42" x14ac:dyDescent="0.25">
      <c r="A166" s="9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</row>
    <row r="167" spans="1:42" x14ac:dyDescent="0.25">
      <c r="A167" s="3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</row>
    <row r="168" spans="1:42" x14ac:dyDescent="0.25">
      <c r="A168" s="40" t="s">
        <v>4</v>
      </c>
      <c r="B168" s="41">
        <f>SUM(B169:B185)</f>
        <v>3920.8307386577299</v>
      </c>
      <c r="C168" s="41">
        <f t="shared" ref="C168:R168" si="8">SUM(C169:C185)</f>
        <v>4333.1881070615837</v>
      </c>
      <c r="D168" s="41">
        <f t="shared" si="8"/>
        <v>4788.913478475728</v>
      </c>
      <c r="E168" s="41">
        <f t="shared" si="8"/>
        <v>5292.5679055918654</v>
      </c>
      <c r="F168" s="41">
        <f t="shared" si="8"/>
        <v>5849.1921312006689</v>
      </c>
      <c r="G168" s="41">
        <f t="shared" si="8"/>
        <v>6464.3570376398966</v>
      </c>
      <c r="H168" s="41">
        <f t="shared" si="8"/>
        <v>7144.2194020572597</v>
      </c>
      <c r="I168" s="41">
        <f t="shared" si="8"/>
        <v>7325.0761772733022</v>
      </c>
      <c r="J168" s="41">
        <f t="shared" si="8"/>
        <v>7510.5113635515972</v>
      </c>
      <c r="K168" s="41">
        <f t="shared" si="8"/>
        <v>7700.640863919999</v>
      </c>
      <c r="L168" s="41">
        <f t="shared" si="8"/>
        <v>7895.5835155054765</v>
      </c>
      <c r="M168" s="41">
        <f t="shared" si="8"/>
        <v>8095.461163811191</v>
      </c>
      <c r="N168" s="41">
        <f t="shared" si="8"/>
        <v>8300.3987388739042</v>
      </c>
      <c r="O168" s="41">
        <f t="shared" si="8"/>
        <v>8510.5243333493127</v>
      </c>
      <c r="P168" s="41">
        <f t="shared" si="8"/>
        <v>8725.9692825741386</v>
      </c>
      <c r="Q168" s="41">
        <f t="shared" si="8"/>
        <v>8946.8682466549653</v>
      </c>
      <c r="R168" s="41">
        <f t="shared" si="8"/>
        <v>9173.3592946352219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</row>
    <row r="169" spans="1:42" x14ac:dyDescent="0.25">
      <c r="A169" s="42" t="s">
        <v>44</v>
      </c>
      <c r="B169" s="17">
        <v>185.5948790691159</v>
      </c>
      <c r="C169" s="17">
        <v>205.11406289095365</v>
      </c>
      <c r="D169" s="17">
        <v>226.68609719542138</v>
      </c>
      <c r="E169" s="17">
        <v>250.52688215244936</v>
      </c>
      <c r="F169" s="17">
        <v>276.87502435105205</v>
      </c>
      <c r="G169" s="17">
        <v>305.99422485426953</v>
      </c>
      <c r="H169" s="17">
        <v>338.17591840803925</v>
      </c>
      <c r="I169" s="17">
        <v>346.73688254099818</v>
      </c>
      <c r="J169" s="17">
        <v>355.51456851278829</v>
      </c>
      <c r="K169" s="17">
        <v>364.51446266287985</v>
      </c>
      <c r="L169" s="17">
        <v>373.74219021808807</v>
      </c>
      <c r="M169" s="17">
        <v>383.20351880852297</v>
      </c>
      <c r="N169" s="17">
        <v>392.90436207254595</v>
      </c>
      <c r="O169" s="17">
        <v>402.8507833529863</v>
      </c>
      <c r="P169" s="17">
        <v>413.0489994869277</v>
      </c>
      <c r="Q169" s="17">
        <v>423.50538469143402</v>
      </c>
      <c r="R169" s="17">
        <v>434.22647454764228</v>
      </c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</row>
    <row r="170" spans="1:42" x14ac:dyDescent="0.25">
      <c r="A170" s="17" t="s">
        <v>46</v>
      </c>
      <c r="B170" s="17">
        <v>88.907726500175286</v>
      </c>
      <c r="C170" s="17">
        <v>98.258233720217319</v>
      </c>
      <c r="D170" s="17">
        <v>108.59214236906413</v>
      </c>
      <c r="E170" s="17">
        <v>120.01287767782006</v>
      </c>
      <c r="F170" s="17">
        <v>132.6347422040968</v>
      </c>
      <c r="G170" s="17">
        <v>146.58405981042853</v>
      </c>
      <c r="H170" s="17">
        <v>162.00043995594694</v>
      </c>
      <c r="I170" s="17">
        <v>166.10150061844223</v>
      </c>
      <c r="J170" s="17">
        <v>170.30638012588659</v>
      </c>
      <c r="K170" s="17">
        <v>174.61770666485262</v>
      </c>
      <c r="L170" s="17">
        <v>179.03817495477273</v>
      </c>
      <c r="M170" s="17">
        <v>183.57054793222659</v>
      </c>
      <c r="N170" s="17">
        <v>188.21765847786634</v>
      </c>
      <c r="O170" s="17">
        <v>192.98241118705931</v>
      </c>
      <c r="P170" s="17">
        <v>197.86778418535459</v>
      </c>
      <c r="Q170" s="17">
        <v>202.87683098990851</v>
      </c>
      <c r="R170" s="17">
        <v>208.01268241803223</v>
      </c>
    </row>
    <row r="171" spans="1:42" x14ac:dyDescent="0.25">
      <c r="A171" s="17" t="s">
        <v>48</v>
      </c>
      <c r="B171" s="17">
        <v>41.119823506331073</v>
      </c>
      <c r="C171" s="17">
        <v>45.444433095600509</v>
      </c>
      <c r="D171" s="17">
        <v>50.223865845692167</v>
      </c>
      <c r="E171" s="17">
        <v>55.505955925991778</v>
      </c>
      <c r="F171" s="17">
        <v>61.343568269394773</v>
      </c>
      <c r="G171" s="17">
        <v>67.795127662323196</v>
      </c>
      <c r="H171" s="17">
        <v>74.925203479625466</v>
      </c>
      <c r="I171" s="17">
        <v>76.821944036029535</v>
      </c>
      <c r="J171" s="17">
        <v>78.766700808222552</v>
      </c>
      <c r="K171" s="17">
        <v>80.760689332494337</v>
      </c>
      <c r="L171" s="17">
        <v>82.805155916582393</v>
      </c>
      <c r="M171" s="17">
        <v>84.901378418654801</v>
      </c>
      <c r="N171" s="17">
        <v>87.050667046013189</v>
      </c>
      <c r="O171" s="17">
        <v>89.254365174014936</v>
      </c>
      <c r="P171" s="17">
        <v>91.513850185726511</v>
      </c>
      <c r="Q171" s="17">
        <v>93.830534332832698</v>
      </c>
      <c r="R171" s="17">
        <v>96.205865618339914</v>
      </c>
    </row>
    <row r="172" spans="1:42" x14ac:dyDescent="0.25">
      <c r="A172" s="17" t="s">
        <v>50</v>
      </c>
      <c r="B172" s="17">
        <v>58.901368806366129</v>
      </c>
      <c r="C172" s="17">
        <v>65.096079839643977</v>
      </c>
      <c r="D172" s="17">
        <v>71.942294319504995</v>
      </c>
      <c r="E172" s="17">
        <v>79.508531461555791</v>
      </c>
      <c r="F172" s="17">
        <v>87.870516710214133</v>
      </c>
      <c r="G172" s="17">
        <v>97.11193962440889</v>
      </c>
      <c r="H172" s="17">
        <v>107.32529147081485</v>
      </c>
      <c r="I172" s="17">
        <v>110.04224415971798</v>
      </c>
      <c r="J172" s="17">
        <v>112.82797683339987</v>
      </c>
      <c r="K172" s="17">
        <v>115.68423066546485</v>
      </c>
      <c r="L172" s="17">
        <v>118.61279090753692</v>
      </c>
      <c r="M172" s="17">
        <v>121.61548800510009</v>
      </c>
      <c r="N172" s="17">
        <v>124.69419874158643</v>
      </c>
      <c r="O172" s="17">
        <v>127.85084741142678</v>
      </c>
      <c r="P172" s="17">
        <v>131.08740702279741</v>
      </c>
      <c r="Q172" s="17">
        <v>134.40590053081439</v>
      </c>
      <c r="R172" s="17">
        <v>137.80840210194634</v>
      </c>
    </row>
    <row r="173" spans="1:42" x14ac:dyDescent="0.25">
      <c r="A173" s="17" t="s">
        <v>52</v>
      </c>
      <c r="B173" s="17">
        <v>304.50896326310033</v>
      </c>
      <c r="C173" s="17">
        <v>336.53445049174428</v>
      </c>
      <c r="D173" s="17">
        <v>371.92808761404461</v>
      </c>
      <c r="E173" s="17">
        <v>411.04410604653361</v>
      </c>
      <c r="F173" s="17">
        <v>454.27399204903145</v>
      </c>
      <c r="G173" s="17">
        <v>502.0504048507176</v>
      </c>
      <c r="H173" s="17">
        <v>554.85150684911821</v>
      </c>
      <c r="I173" s="17">
        <v>568.89763961816459</v>
      </c>
      <c r="J173" s="17">
        <v>583.29935193116148</v>
      </c>
      <c r="K173" s="17">
        <v>598.06564532712002</v>
      </c>
      <c r="L173" s="17">
        <v>613.20574922009644</v>
      </c>
      <c r="M173" s="17">
        <v>628.7291266678759</v>
      </c>
      <c r="N173" s="17">
        <v>644.64548028669208</v>
      </c>
      <c r="O173" s="17">
        <v>660.96475831567807</v>
      </c>
      <c r="P173" s="17">
        <v>677.69716083483945</v>
      </c>
      <c r="Q173" s="17">
        <v>694.85314614043671</v>
      </c>
      <c r="R173" s="17">
        <v>712.44343728176045</v>
      </c>
    </row>
    <row r="174" spans="1:42" x14ac:dyDescent="0.25">
      <c r="A174" s="17" t="s">
        <v>54</v>
      </c>
      <c r="B174" s="17">
        <v>870.18437312046569</v>
      </c>
      <c r="C174" s="17">
        <v>961.70246253662708</v>
      </c>
      <c r="D174" s="17">
        <v>1062.8455934372153</v>
      </c>
      <c r="E174" s="17">
        <v>1174.6260402716639</v>
      </c>
      <c r="F174" s="17">
        <v>1298.1625393225975</v>
      </c>
      <c r="G174" s="17">
        <v>1434.6914853945691</v>
      </c>
      <c r="H174" s="17">
        <v>1585.5793060688306</v>
      </c>
      <c r="I174" s="17">
        <v>1625.7184373030034</v>
      </c>
      <c r="J174" s="17">
        <v>1666.873695482115</v>
      </c>
      <c r="K174" s="17">
        <v>1709.0708039822448</v>
      </c>
      <c r="L174" s="17">
        <v>1752.3361373698378</v>
      </c>
      <c r="M174" s="17">
        <v>1796.6967378866675</v>
      </c>
      <c r="N174" s="17">
        <v>1842.1803323521167</v>
      </c>
      <c r="O174" s="17">
        <v>1888.8153494933429</v>
      </c>
      <c r="P174" s="17">
        <v>1936.6309377141581</v>
      </c>
      <c r="Q174" s="17">
        <v>1985.6569833137296</v>
      </c>
      <c r="R174" s="17">
        <v>2035.9241291664905</v>
      </c>
    </row>
    <row r="175" spans="1:42" x14ac:dyDescent="0.25">
      <c r="A175" s="17" t="s">
        <v>56</v>
      </c>
      <c r="B175" s="17">
        <v>770.16318080776841</v>
      </c>
      <c r="C175" s="17">
        <v>851.1619496013825</v>
      </c>
      <c r="D175" s="17">
        <v>940.67943327201806</v>
      </c>
      <c r="E175" s="17">
        <v>1039.6115528841162</v>
      </c>
      <c r="F175" s="17">
        <v>1148.9484543429885</v>
      </c>
      <c r="G175" s="17">
        <v>1269.7844181078369</v>
      </c>
      <c r="H175" s="17">
        <v>1403.3288111183901</v>
      </c>
      <c r="I175" s="17">
        <v>1438.8542491072556</v>
      </c>
      <c r="J175" s="17">
        <v>1475.2790178404923</v>
      </c>
      <c r="K175" s="17">
        <v>1512.6258839842853</v>
      </c>
      <c r="L175" s="17">
        <v>1550.9181905457183</v>
      </c>
      <c r="M175" s="17">
        <v>1590.1798714629122</v>
      </c>
      <c r="N175" s="17">
        <v>1630.4354665645167</v>
      </c>
      <c r="O175" s="17">
        <v>1671.7101369079007</v>
      </c>
      <c r="P175" s="17">
        <v>1714.0296805056337</v>
      </c>
      <c r="Q175" s="17">
        <v>1757.4205484500822</v>
      </c>
      <c r="R175" s="17">
        <v>1801.9098614462039</v>
      </c>
    </row>
    <row r="176" spans="1:42" x14ac:dyDescent="0.25">
      <c r="A176" s="9" t="s">
        <v>58</v>
      </c>
      <c r="B176" s="17">
        <v>617.90869917621831</v>
      </c>
      <c r="C176" s="17">
        <v>682.89472435551045</v>
      </c>
      <c r="D176" s="17">
        <v>754.71538946499584</v>
      </c>
      <c r="E176" s="17">
        <v>834.08949986084951</v>
      </c>
      <c r="F176" s="17">
        <v>921.81145831847289</v>
      </c>
      <c r="G176" s="17">
        <v>1018.7592156824784</v>
      </c>
      <c r="H176" s="17">
        <v>1125.9030576938314</v>
      </c>
      <c r="I176" s="17">
        <v>1154.4054292981737</v>
      </c>
      <c r="J176" s="17">
        <v>1183.6293418749119</v>
      </c>
      <c r="K176" s="17">
        <v>1213.5930613207256</v>
      </c>
      <c r="L176" s="17">
        <v>1244.3153159356705</v>
      </c>
      <c r="M176" s="17">
        <v>1275.8153081289747</v>
      </c>
      <c r="N176" s="17">
        <v>1308.1127264211711</v>
      </c>
      <c r="O176" s="17">
        <v>1341.2277577500624</v>
      </c>
      <c r="P176" s="17">
        <v>1375.1811000882146</v>
      </c>
      <c r="Q176" s="17">
        <v>1409.9939753798644</v>
      </c>
      <c r="R176" s="17">
        <v>1445.6881428053243</v>
      </c>
    </row>
    <row r="177" spans="1:18" x14ac:dyDescent="0.25">
      <c r="A177" s="9" t="s">
        <v>60</v>
      </c>
      <c r="B177" s="17">
        <v>384.52591711325812</v>
      </c>
      <c r="C177" s="17">
        <v>424.9668608399399</v>
      </c>
      <c r="D177" s="17">
        <v>469.66101574620239</v>
      </c>
      <c r="E177" s="17">
        <v>519.05569595657175</v>
      </c>
      <c r="F177" s="17">
        <v>573.64526003271862</v>
      </c>
      <c r="G177" s="17">
        <v>633.97605868010328</v>
      </c>
      <c r="H177" s="17">
        <v>700.65190280947047</v>
      </c>
      <c r="I177" s="17">
        <v>718.38899017476263</v>
      </c>
      <c r="J177" s="17">
        <v>736.57509404445943</v>
      </c>
      <c r="K177" s="17">
        <v>755.22158132548748</v>
      </c>
      <c r="L177" s="17">
        <v>774.34010667939197</v>
      </c>
      <c r="M177" s="17">
        <v>793.94261980687986</v>
      </c>
      <c r="N177" s="17">
        <v>814.04137291677182</v>
      </c>
      <c r="O177" s="17">
        <v>834.64892838403148</v>
      </c>
      <c r="P177" s="17">
        <v>855.77816660165865</v>
      </c>
      <c r="Q177" s="17">
        <v>877.44229403135444</v>
      </c>
      <c r="R177" s="17">
        <v>899.65485145798948</v>
      </c>
    </row>
    <row r="178" spans="1:18" x14ac:dyDescent="0.25">
      <c r="A178" s="9" t="s">
        <v>62</v>
      </c>
      <c r="B178" s="17">
        <v>270.05721924428241</v>
      </c>
      <c r="C178" s="17">
        <v>298.45938492516007</v>
      </c>
      <c r="D178" s="17">
        <v>329.8486324460323</v>
      </c>
      <c r="E178" s="17">
        <v>364.53911594637839</v>
      </c>
      <c r="F178" s="17">
        <v>402.87802944494399</v>
      </c>
      <c r="G178" s="17">
        <v>445.24908167417658</v>
      </c>
      <c r="H178" s="17">
        <v>492.0763363661888</v>
      </c>
      <c r="I178" s="17">
        <v>504.53330812851829</v>
      </c>
      <c r="J178" s="17">
        <v>517.30562963238049</v>
      </c>
      <c r="K178" s="17">
        <v>530.40128399448975</v>
      </c>
      <c r="L178" s="17">
        <v>543.82845642512211</v>
      </c>
      <c r="M178" s="17">
        <v>557.59553934413816</v>
      </c>
      <c r="N178" s="17">
        <v>571.71113762651896</v>
      </c>
      <c r="O178" s="17">
        <v>586.18407398069257</v>
      </c>
      <c r="P178" s="17">
        <v>601.02339446301448</v>
      </c>
      <c r="Q178" s="17">
        <v>616.23837413184708</v>
      </c>
      <c r="R178" s="17">
        <v>631.83852284477291</v>
      </c>
    </row>
    <row r="179" spans="1:18" x14ac:dyDescent="0.25">
      <c r="A179" s="9" t="s">
        <v>64</v>
      </c>
      <c r="B179" s="17">
        <v>170.03602693158524</v>
      </c>
      <c r="C179" s="17">
        <v>187.91887198991563</v>
      </c>
      <c r="D179" s="17">
        <v>207.68247228083519</v>
      </c>
      <c r="E179" s="17">
        <v>229.52462855883087</v>
      </c>
      <c r="F179" s="17">
        <v>253.66394446533513</v>
      </c>
      <c r="G179" s="17">
        <v>280.34201438744452</v>
      </c>
      <c r="H179" s="17">
        <v>309.82584141574853</v>
      </c>
      <c r="I179" s="17">
        <v>317.6691199327708</v>
      </c>
      <c r="J179" s="17">
        <v>325.71095199075813</v>
      </c>
      <c r="K179" s="17">
        <v>333.95636399653063</v>
      </c>
      <c r="L179" s="17">
        <v>342.41050960100284</v>
      </c>
      <c r="M179" s="17">
        <v>351.07867292038333</v>
      </c>
      <c r="N179" s="17">
        <v>359.96627183891934</v>
      </c>
      <c r="O179" s="17">
        <v>369.0788613952509</v>
      </c>
      <c r="P179" s="17">
        <v>378.42213725449062</v>
      </c>
      <c r="Q179" s="17">
        <v>388.00193926820003</v>
      </c>
      <c r="R179" s="17">
        <v>397.82425512448663</v>
      </c>
    </row>
    <row r="180" spans="1:18" x14ac:dyDescent="0.25">
      <c r="A180" s="9" t="s">
        <v>66</v>
      </c>
      <c r="B180" s="17">
        <v>100.02119231269721</v>
      </c>
      <c r="C180" s="17">
        <v>110.54051293524449</v>
      </c>
      <c r="D180" s="17">
        <v>122.16616016519717</v>
      </c>
      <c r="E180" s="17">
        <v>135.01448738754758</v>
      </c>
      <c r="F180" s="17">
        <v>149.21408497960891</v>
      </c>
      <c r="G180" s="17">
        <v>164.90706728673209</v>
      </c>
      <c r="H180" s="17">
        <v>182.2504949504403</v>
      </c>
      <c r="I180" s="17">
        <v>186.86418819574752</v>
      </c>
      <c r="J180" s="17">
        <v>191.59467764162241</v>
      </c>
      <c r="K180" s="17">
        <v>196.44491999795918</v>
      </c>
      <c r="L180" s="17">
        <v>201.4179468241193</v>
      </c>
      <c r="M180" s="17">
        <v>206.51686642375489</v>
      </c>
      <c r="N180" s="17">
        <v>211.74486578759962</v>
      </c>
      <c r="O180" s="17">
        <v>217.10521258544171</v>
      </c>
      <c r="P180" s="17">
        <v>222.60125720852392</v>
      </c>
      <c r="Q180" s="17">
        <v>228.23643486364708</v>
      </c>
      <c r="R180" s="17">
        <v>234.01426772028626</v>
      </c>
    </row>
    <row r="181" spans="1:18" x14ac:dyDescent="0.25">
      <c r="A181" s="9" t="s">
        <v>68</v>
      </c>
      <c r="B181" s="17">
        <v>37.785783762574496</v>
      </c>
      <c r="C181" s="17">
        <v>41.759749331092358</v>
      </c>
      <c r="D181" s="17">
        <v>46.151660506852259</v>
      </c>
      <c r="E181" s="17">
        <v>51.005473013073527</v>
      </c>
      <c r="F181" s="17">
        <v>56.36976543674114</v>
      </c>
      <c r="G181" s="17">
        <v>62.298225419432121</v>
      </c>
      <c r="H181" s="17">
        <v>68.850186981277446</v>
      </c>
      <c r="I181" s="17">
        <v>70.593137762837941</v>
      </c>
      <c r="J181" s="17">
        <v>72.380211553501795</v>
      </c>
      <c r="K181" s="17">
        <v>74.21252533256235</v>
      </c>
      <c r="L181" s="17">
        <v>76.091224355778394</v>
      </c>
      <c r="M181" s="17">
        <v>78.017482871196279</v>
      </c>
      <c r="N181" s="17">
        <v>79.99250485309318</v>
      </c>
      <c r="O181" s="17">
        <v>82.017524754500201</v>
      </c>
      <c r="P181" s="17">
        <v>84.093808278775697</v>
      </c>
      <c r="Q181" s="17">
        <v>86.222653170711112</v>
      </c>
      <c r="R181" s="17">
        <v>88.405390027663685</v>
      </c>
    </row>
    <row r="182" spans="1:18" x14ac:dyDescent="0.25">
      <c r="A182" s="9" t="s">
        <v>70</v>
      </c>
      <c r="B182" s="17">
        <v>14.447505556278484</v>
      </c>
      <c r="C182" s="17">
        <v>15.966962979535314</v>
      </c>
      <c r="D182" s="17">
        <v>17.646223134972921</v>
      </c>
      <c r="E182" s="17">
        <v>19.502092622645758</v>
      </c>
      <c r="F182" s="17">
        <v>21.553145608165728</v>
      </c>
      <c r="G182" s="17">
        <v>23.819909719194634</v>
      </c>
      <c r="H182" s="17">
        <v>26.325071492841378</v>
      </c>
      <c r="I182" s="17">
        <v>26.991493850496862</v>
      </c>
      <c r="J182" s="17">
        <v>27.674786770456571</v>
      </c>
      <c r="K182" s="17">
        <v>28.375377333038546</v>
      </c>
      <c r="L182" s="17">
        <v>29.093703430150565</v>
      </c>
      <c r="M182" s="17">
        <v>29.830214038986817</v>
      </c>
      <c r="N182" s="17">
        <v>30.585369502653279</v>
      </c>
      <c r="O182" s="17">
        <v>31.359641817897138</v>
      </c>
      <c r="P182" s="17">
        <v>32.153514930120124</v>
      </c>
      <c r="Q182" s="17">
        <v>32.967485035860136</v>
      </c>
      <c r="R182" s="17">
        <v>33.802060892930243</v>
      </c>
    </row>
    <row r="183" spans="1:18" x14ac:dyDescent="0.25">
      <c r="A183" s="9" t="s">
        <v>72</v>
      </c>
      <c r="B183" s="17">
        <v>5.5567329062609554</v>
      </c>
      <c r="C183" s="17">
        <v>6.1411396075135825</v>
      </c>
      <c r="D183" s="17">
        <v>6.7870088980665084</v>
      </c>
      <c r="E183" s="17">
        <v>7.5008048548637536</v>
      </c>
      <c r="F183" s="17">
        <v>8.2896713877560497</v>
      </c>
      <c r="G183" s="17">
        <v>9.161503738151783</v>
      </c>
      <c r="H183" s="17">
        <v>10.125027497246684</v>
      </c>
      <c r="I183" s="17">
        <v>10.381343788652639</v>
      </c>
      <c r="J183" s="17">
        <v>10.644148757867912</v>
      </c>
      <c r="K183" s="17">
        <v>10.913606666553289</v>
      </c>
      <c r="L183" s="17">
        <v>11.189885934673296</v>
      </c>
      <c r="M183" s="17">
        <v>11.473159245764162</v>
      </c>
      <c r="N183" s="17">
        <v>11.763603654866646</v>
      </c>
      <c r="O183" s="17">
        <v>12.061400699191207</v>
      </c>
      <c r="P183" s="17">
        <v>12.366736511584662</v>
      </c>
      <c r="Q183" s="17">
        <v>12.679801936869282</v>
      </c>
      <c r="R183" s="17">
        <v>13.000792651127014</v>
      </c>
    </row>
    <row r="184" spans="1:18" x14ac:dyDescent="0.25">
      <c r="A184" s="9" t="s">
        <v>74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</row>
    <row r="185" spans="1:18" x14ac:dyDescent="0.25">
      <c r="A185" s="20" t="s">
        <v>76</v>
      </c>
      <c r="B185" s="39">
        <v>1.1113465812521912</v>
      </c>
      <c r="C185" s="39">
        <v>1.2282279215027165</v>
      </c>
      <c r="D185" s="39">
        <v>1.3574017796133018</v>
      </c>
      <c r="E185" s="39">
        <v>1.5001609709727508</v>
      </c>
      <c r="F185" s="39">
        <v>1.65793427755121</v>
      </c>
      <c r="G185" s="39">
        <v>1.8323007476303566</v>
      </c>
      <c r="H185" s="39">
        <v>2.0250054994493367</v>
      </c>
      <c r="I185" s="39">
        <v>2.0762687577305279</v>
      </c>
      <c r="J185" s="39">
        <v>2.1288297515735826</v>
      </c>
      <c r="K185" s="39">
        <v>2.1827213333106577</v>
      </c>
      <c r="L185" s="39">
        <v>2.2379771869346592</v>
      </c>
      <c r="M185" s="39">
        <v>2.2946318491528324</v>
      </c>
      <c r="N185" s="39">
        <v>2.3527207309733296</v>
      </c>
      <c r="O185" s="39">
        <v>2.4122801398382419</v>
      </c>
      <c r="P185" s="39">
        <v>2.4733473023169332</v>
      </c>
      <c r="Q185" s="39">
        <v>2.5359603873738572</v>
      </c>
      <c r="R185" s="39">
        <v>2.6001585302254036</v>
      </c>
    </row>
    <row r="186" spans="1:18" x14ac:dyDescent="0.25">
      <c r="A186" s="30" t="s">
        <v>24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</row>
    <row r="187" spans="1:18" x14ac:dyDescent="0.25">
      <c r="A187" s="30" t="s">
        <v>83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</row>
    <row r="188" spans="1:18" x14ac:dyDescent="0.25">
      <c r="A188" s="31" t="s">
        <v>84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x14ac:dyDescent="0.25">
      <c r="A189" s="31" t="s">
        <v>85</v>
      </c>
      <c r="G189" s="34"/>
    </row>
    <row r="190" spans="1:18" x14ac:dyDescent="0.25">
      <c r="A190" s="31" t="s">
        <v>132</v>
      </c>
      <c r="G190" s="34"/>
    </row>
    <row r="191" spans="1:18" ht="3" customHeight="1" x14ac:dyDescent="0.25">
      <c r="G191" s="34"/>
    </row>
    <row r="192" spans="1:18" x14ac:dyDescent="0.25">
      <c r="G192" s="34"/>
    </row>
    <row r="193" spans="7:7" x14ac:dyDescent="0.25">
      <c r="G193" s="34"/>
    </row>
    <row r="194" spans="7:7" x14ac:dyDescent="0.25">
      <c r="G194" s="34"/>
    </row>
    <row r="195" spans="7:7" x14ac:dyDescent="0.25">
      <c r="G195" s="34"/>
    </row>
    <row r="221" spans="16:16" x14ac:dyDescent="0.25">
      <c r="P221" s="43"/>
    </row>
  </sheetData>
  <mergeCells count="8">
    <mergeCell ref="A1:R1"/>
    <mergeCell ref="A2:R2"/>
    <mergeCell ref="AK5:AL5"/>
    <mergeCell ref="AM5:AN5"/>
    <mergeCell ref="AK32:AL32"/>
    <mergeCell ref="AM32:AN32"/>
    <mergeCell ref="A65:C65"/>
    <mergeCell ref="A126:C126"/>
  </mergeCells>
  <pageMargins left="0.7" right="0.7" top="0.75" bottom="0.75" header="0.3" footer="0.3"/>
  <pageSetup paperSize="9" scale="39" orientation="portrait" horizontalDpi="4294967295" verticalDpi="4294967295" r:id="rId1"/>
  <rowBreaks count="2" manualBreakCount="2">
    <brk id="63" max="17" man="1"/>
    <brk id="124" max="1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S223"/>
  <sheetViews>
    <sheetView view="pageBreakPreview" topLeftCell="A179" zoomScale="91" zoomScaleNormal="100" zoomScaleSheetLayoutView="91" workbookViewId="0">
      <selection activeCell="U197" sqref="U197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18" width="9.140625" style="1"/>
    <col min="219" max="219" width="11.85546875" style="1" customWidth="1"/>
    <col min="220" max="260" width="8.85546875" style="1" customWidth="1"/>
    <col min="261" max="474" width="9.140625" style="1"/>
    <col min="475" max="475" width="11.85546875" style="1" customWidth="1"/>
    <col min="476" max="516" width="8.85546875" style="1" customWidth="1"/>
    <col min="517" max="730" width="9.140625" style="1"/>
    <col min="731" max="731" width="11.85546875" style="1" customWidth="1"/>
    <col min="732" max="772" width="8.85546875" style="1" customWidth="1"/>
    <col min="773" max="986" width="9.140625" style="1"/>
    <col min="987" max="987" width="11.85546875" style="1" customWidth="1"/>
    <col min="988" max="1028" width="8.85546875" style="1" customWidth="1"/>
    <col min="1029" max="1242" width="9.140625" style="1"/>
    <col min="1243" max="1243" width="11.85546875" style="1" customWidth="1"/>
    <col min="1244" max="1284" width="8.85546875" style="1" customWidth="1"/>
    <col min="1285" max="1498" width="9.140625" style="1"/>
    <col min="1499" max="1499" width="11.85546875" style="1" customWidth="1"/>
    <col min="1500" max="1540" width="8.85546875" style="1" customWidth="1"/>
    <col min="1541" max="1754" width="9.140625" style="1"/>
    <col min="1755" max="1755" width="11.85546875" style="1" customWidth="1"/>
    <col min="1756" max="1796" width="8.85546875" style="1" customWidth="1"/>
    <col min="1797" max="2010" width="9.140625" style="1"/>
    <col min="2011" max="2011" width="11.85546875" style="1" customWidth="1"/>
    <col min="2012" max="2052" width="8.85546875" style="1" customWidth="1"/>
    <col min="2053" max="2266" width="9.140625" style="1"/>
    <col min="2267" max="2267" width="11.85546875" style="1" customWidth="1"/>
    <col min="2268" max="2308" width="8.85546875" style="1" customWidth="1"/>
    <col min="2309" max="2522" width="9.140625" style="1"/>
    <col min="2523" max="2523" width="11.85546875" style="1" customWidth="1"/>
    <col min="2524" max="2564" width="8.85546875" style="1" customWidth="1"/>
    <col min="2565" max="2778" width="9.140625" style="1"/>
    <col min="2779" max="2779" width="11.85546875" style="1" customWidth="1"/>
    <col min="2780" max="2820" width="8.85546875" style="1" customWidth="1"/>
    <col min="2821" max="3034" width="9.140625" style="1"/>
    <col min="3035" max="3035" width="11.85546875" style="1" customWidth="1"/>
    <col min="3036" max="3076" width="8.85546875" style="1" customWidth="1"/>
    <col min="3077" max="3290" width="9.140625" style="1"/>
    <col min="3291" max="3291" width="11.85546875" style="1" customWidth="1"/>
    <col min="3292" max="3332" width="8.85546875" style="1" customWidth="1"/>
    <col min="3333" max="3546" width="9.140625" style="1"/>
    <col min="3547" max="3547" width="11.85546875" style="1" customWidth="1"/>
    <col min="3548" max="3588" width="8.85546875" style="1" customWidth="1"/>
    <col min="3589" max="3802" width="9.140625" style="1"/>
    <col min="3803" max="3803" width="11.85546875" style="1" customWidth="1"/>
    <col min="3804" max="3844" width="8.85546875" style="1" customWidth="1"/>
    <col min="3845" max="4058" width="9.140625" style="1"/>
    <col min="4059" max="4059" width="11.85546875" style="1" customWidth="1"/>
    <col min="4060" max="4100" width="8.85546875" style="1" customWidth="1"/>
    <col min="4101" max="4314" width="9.140625" style="1"/>
    <col min="4315" max="4315" width="11.85546875" style="1" customWidth="1"/>
    <col min="4316" max="4356" width="8.85546875" style="1" customWidth="1"/>
    <col min="4357" max="4570" width="9.140625" style="1"/>
    <col min="4571" max="4571" width="11.85546875" style="1" customWidth="1"/>
    <col min="4572" max="4612" width="8.85546875" style="1" customWidth="1"/>
    <col min="4613" max="4826" width="9.140625" style="1"/>
    <col min="4827" max="4827" width="11.85546875" style="1" customWidth="1"/>
    <col min="4828" max="4868" width="8.85546875" style="1" customWidth="1"/>
    <col min="4869" max="5082" width="9.140625" style="1"/>
    <col min="5083" max="5083" width="11.85546875" style="1" customWidth="1"/>
    <col min="5084" max="5124" width="8.85546875" style="1" customWidth="1"/>
    <col min="5125" max="5338" width="9.140625" style="1"/>
    <col min="5339" max="5339" width="11.85546875" style="1" customWidth="1"/>
    <col min="5340" max="5380" width="8.85546875" style="1" customWidth="1"/>
    <col min="5381" max="5594" width="9.140625" style="1"/>
    <col min="5595" max="5595" width="11.85546875" style="1" customWidth="1"/>
    <col min="5596" max="5636" width="8.85546875" style="1" customWidth="1"/>
    <col min="5637" max="5850" width="9.140625" style="1"/>
    <col min="5851" max="5851" width="11.85546875" style="1" customWidth="1"/>
    <col min="5852" max="5892" width="8.85546875" style="1" customWidth="1"/>
    <col min="5893" max="6106" width="9.140625" style="1"/>
    <col min="6107" max="6107" width="11.85546875" style="1" customWidth="1"/>
    <col min="6108" max="6148" width="8.85546875" style="1" customWidth="1"/>
    <col min="6149" max="6362" width="9.140625" style="1"/>
    <col min="6363" max="6363" width="11.85546875" style="1" customWidth="1"/>
    <col min="6364" max="6404" width="8.85546875" style="1" customWidth="1"/>
    <col min="6405" max="6618" width="9.140625" style="1"/>
    <col min="6619" max="6619" width="11.85546875" style="1" customWidth="1"/>
    <col min="6620" max="6660" width="8.85546875" style="1" customWidth="1"/>
    <col min="6661" max="6874" width="9.140625" style="1"/>
    <col min="6875" max="6875" width="11.85546875" style="1" customWidth="1"/>
    <col min="6876" max="6916" width="8.85546875" style="1" customWidth="1"/>
    <col min="6917" max="7130" width="9.140625" style="1"/>
    <col min="7131" max="7131" width="11.85546875" style="1" customWidth="1"/>
    <col min="7132" max="7172" width="8.85546875" style="1" customWidth="1"/>
    <col min="7173" max="7386" width="9.140625" style="1"/>
    <col min="7387" max="7387" width="11.85546875" style="1" customWidth="1"/>
    <col min="7388" max="7428" width="8.85546875" style="1" customWidth="1"/>
    <col min="7429" max="7642" width="9.140625" style="1"/>
    <col min="7643" max="7643" width="11.85546875" style="1" customWidth="1"/>
    <col min="7644" max="7684" width="8.85546875" style="1" customWidth="1"/>
    <col min="7685" max="7898" width="9.140625" style="1"/>
    <col min="7899" max="7899" width="11.85546875" style="1" customWidth="1"/>
    <col min="7900" max="7940" width="8.85546875" style="1" customWidth="1"/>
    <col min="7941" max="8154" width="9.140625" style="1"/>
    <col min="8155" max="8155" width="11.85546875" style="1" customWidth="1"/>
    <col min="8156" max="8196" width="8.85546875" style="1" customWidth="1"/>
    <col min="8197" max="8410" width="9.140625" style="1"/>
    <col min="8411" max="8411" width="11.85546875" style="1" customWidth="1"/>
    <col min="8412" max="8452" width="8.85546875" style="1" customWidth="1"/>
    <col min="8453" max="8666" width="9.140625" style="1"/>
    <col min="8667" max="8667" width="11.85546875" style="1" customWidth="1"/>
    <col min="8668" max="8708" width="8.85546875" style="1" customWidth="1"/>
    <col min="8709" max="8922" width="9.140625" style="1"/>
    <col min="8923" max="8923" width="11.85546875" style="1" customWidth="1"/>
    <col min="8924" max="8964" width="8.85546875" style="1" customWidth="1"/>
    <col min="8965" max="9178" width="9.140625" style="1"/>
    <col min="9179" max="9179" width="11.85546875" style="1" customWidth="1"/>
    <col min="9180" max="9220" width="8.85546875" style="1" customWidth="1"/>
    <col min="9221" max="9434" width="9.140625" style="1"/>
    <col min="9435" max="9435" width="11.85546875" style="1" customWidth="1"/>
    <col min="9436" max="9476" width="8.85546875" style="1" customWidth="1"/>
    <col min="9477" max="9690" width="9.140625" style="1"/>
    <col min="9691" max="9691" width="11.85546875" style="1" customWidth="1"/>
    <col min="9692" max="9732" width="8.85546875" style="1" customWidth="1"/>
    <col min="9733" max="9946" width="9.140625" style="1"/>
    <col min="9947" max="9947" width="11.85546875" style="1" customWidth="1"/>
    <col min="9948" max="9988" width="8.85546875" style="1" customWidth="1"/>
    <col min="9989" max="10202" width="9.140625" style="1"/>
    <col min="10203" max="10203" width="11.85546875" style="1" customWidth="1"/>
    <col min="10204" max="10244" width="8.85546875" style="1" customWidth="1"/>
    <col min="10245" max="10458" width="9.140625" style="1"/>
    <col min="10459" max="10459" width="11.85546875" style="1" customWidth="1"/>
    <col min="10460" max="10500" width="8.85546875" style="1" customWidth="1"/>
    <col min="10501" max="10714" width="9.140625" style="1"/>
    <col min="10715" max="10715" width="11.85546875" style="1" customWidth="1"/>
    <col min="10716" max="10756" width="8.85546875" style="1" customWidth="1"/>
    <col min="10757" max="10970" width="9.140625" style="1"/>
    <col min="10971" max="10971" width="11.85546875" style="1" customWidth="1"/>
    <col min="10972" max="11012" width="8.85546875" style="1" customWidth="1"/>
    <col min="11013" max="11226" width="9.140625" style="1"/>
    <col min="11227" max="11227" width="11.85546875" style="1" customWidth="1"/>
    <col min="11228" max="11268" width="8.85546875" style="1" customWidth="1"/>
    <col min="11269" max="11482" width="9.140625" style="1"/>
    <col min="11483" max="11483" width="11.85546875" style="1" customWidth="1"/>
    <col min="11484" max="11524" width="8.85546875" style="1" customWidth="1"/>
    <col min="11525" max="11738" width="9.140625" style="1"/>
    <col min="11739" max="11739" width="11.85546875" style="1" customWidth="1"/>
    <col min="11740" max="11780" width="8.85546875" style="1" customWidth="1"/>
    <col min="11781" max="11994" width="9.140625" style="1"/>
    <col min="11995" max="11995" width="11.85546875" style="1" customWidth="1"/>
    <col min="11996" max="12036" width="8.85546875" style="1" customWidth="1"/>
    <col min="12037" max="12250" width="9.140625" style="1"/>
    <col min="12251" max="12251" width="11.85546875" style="1" customWidth="1"/>
    <col min="12252" max="12292" width="8.85546875" style="1" customWidth="1"/>
    <col min="12293" max="12506" width="9.140625" style="1"/>
    <col min="12507" max="12507" width="11.85546875" style="1" customWidth="1"/>
    <col min="12508" max="12548" width="8.85546875" style="1" customWidth="1"/>
    <col min="12549" max="12762" width="9.140625" style="1"/>
    <col min="12763" max="12763" width="11.85546875" style="1" customWidth="1"/>
    <col min="12764" max="12804" width="8.85546875" style="1" customWidth="1"/>
    <col min="12805" max="13018" width="9.140625" style="1"/>
    <col min="13019" max="13019" width="11.85546875" style="1" customWidth="1"/>
    <col min="13020" max="13060" width="8.85546875" style="1" customWidth="1"/>
    <col min="13061" max="13274" width="9.140625" style="1"/>
    <col min="13275" max="13275" width="11.85546875" style="1" customWidth="1"/>
    <col min="13276" max="13316" width="8.85546875" style="1" customWidth="1"/>
    <col min="13317" max="13530" width="9.140625" style="1"/>
    <col min="13531" max="13531" width="11.85546875" style="1" customWidth="1"/>
    <col min="13532" max="13572" width="8.85546875" style="1" customWidth="1"/>
    <col min="13573" max="13786" width="9.140625" style="1"/>
    <col min="13787" max="13787" width="11.85546875" style="1" customWidth="1"/>
    <col min="13788" max="13828" width="8.85546875" style="1" customWidth="1"/>
    <col min="13829" max="14042" width="9.140625" style="1"/>
    <col min="14043" max="14043" width="11.85546875" style="1" customWidth="1"/>
    <col min="14044" max="14084" width="8.85546875" style="1" customWidth="1"/>
    <col min="14085" max="14298" width="9.140625" style="1"/>
    <col min="14299" max="14299" width="11.85546875" style="1" customWidth="1"/>
    <col min="14300" max="14340" width="8.85546875" style="1" customWidth="1"/>
    <col min="14341" max="14554" width="9.140625" style="1"/>
    <col min="14555" max="14555" width="11.85546875" style="1" customWidth="1"/>
    <col min="14556" max="14596" width="8.85546875" style="1" customWidth="1"/>
    <col min="14597" max="14810" width="9.140625" style="1"/>
    <col min="14811" max="14811" width="11.85546875" style="1" customWidth="1"/>
    <col min="14812" max="14852" width="8.85546875" style="1" customWidth="1"/>
    <col min="14853" max="15066" width="9.140625" style="1"/>
    <col min="15067" max="15067" width="11.85546875" style="1" customWidth="1"/>
    <col min="15068" max="15108" width="8.85546875" style="1" customWidth="1"/>
    <col min="15109" max="15322" width="9.140625" style="1"/>
    <col min="15323" max="15323" width="11.85546875" style="1" customWidth="1"/>
    <col min="15324" max="15364" width="8.85546875" style="1" customWidth="1"/>
    <col min="15365" max="15578" width="9.140625" style="1"/>
    <col min="15579" max="15579" width="11.85546875" style="1" customWidth="1"/>
    <col min="15580" max="15620" width="8.85546875" style="1" customWidth="1"/>
    <col min="15621" max="15834" width="9.140625" style="1"/>
    <col min="15835" max="15835" width="11.85546875" style="1" customWidth="1"/>
    <col min="15836" max="15876" width="8.85546875" style="1" customWidth="1"/>
    <col min="15877" max="16090" width="9.140625" style="1"/>
    <col min="16091" max="16091" width="11.85546875" style="1" customWidth="1"/>
    <col min="16092" max="16132" width="8.85546875" style="1" customWidth="1"/>
    <col min="16133" max="16365" width="9.140625" style="1"/>
    <col min="16366" max="16378" width="9.140625" style="1" customWidth="1"/>
    <col min="16379" max="16384" width="9.140625" style="1"/>
  </cols>
  <sheetData>
    <row r="1" spans="1:38" ht="18.75" x14ac:dyDescent="0.25">
      <c r="A1" s="135" t="s">
        <v>103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2" spans="1:38" ht="15.75" x14ac:dyDescent="0.25">
      <c r="A2" s="136" t="s">
        <v>104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spans="1:38" ht="15.7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38" ht="18.75" x14ac:dyDescent="0.5">
      <c r="A4" s="35" t="s">
        <v>99</v>
      </c>
      <c r="B4" s="9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 t="s">
        <v>100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8" s="46" customFormat="1" x14ac:dyDescent="0.25">
      <c r="A5" s="11" t="s">
        <v>43</v>
      </c>
      <c r="B5" s="12">
        <v>2014</v>
      </c>
      <c r="C5" s="12">
        <v>2015</v>
      </c>
      <c r="D5" s="12">
        <v>2016</v>
      </c>
      <c r="E5" s="12">
        <v>2017</v>
      </c>
      <c r="F5" s="12">
        <v>2018</v>
      </c>
      <c r="G5" s="12">
        <v>2019</v>
      </c>
      <c r="H5" s="12">
        <v>2020</v>
      </c>
      <c r="I5" s="12">
        <v>2021</v>
      </c>
      <c r="J5" s="12">
        <v>2022</v>
      </c>
      <c r="K5" s="12">
        <v>2023</v>
      </c>
      <c r="L5" s="12">
        <v>2024</v>
      </c>
      <c r="M5" s="12">
        <v>2025</v>
      </c>
      <c r="N5" s="12">
        <v>2026</v>
      </c>
      <c r="O5" s="12">
        <v>2027</v>
      </c>
      <c r="P5" s="12">
        <v>2028</v>
      </c>
      <c r="Q5" s="12">
        <v>2029</v>
      </c>
      <c r="R5" s="12">
        <v>2030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I5" s="138" t="s">
        <v>141</v>
      </c>
      <c r="AJ5" s="139"/>
      <c r="AK5" s="140" t="s">
        <v>140</v>
      </c>
      <c r="AL5" s="140"/>
    </row>
    <row r="6" spans="1:38" x14ac:dyDescent="0.25">
      <c r="A6" s="41" t="s">
        <v>2</v>
      </c>
      <c r="B6" s="41">
        <f>SUM(B7:B23)</f>
        <v>220179.62219195405</v>
      </c>
      <c r="C6" s="41">
        <f t="shared" ref="C6:R6" si="0">SUM(C7:C23)</f>
        <v>224405.84751415948</v>
      </c>
      <c r="D6" s="41">
        <f t="shared" si="0"/>
        <v>228765.22716050717</v>
      </c>
      <c r="E6" s="41">
        <f t="shared" si="0"/>
        <v>233257.27868020732</v>
      </c>
      <c r="F6" s="41">
        <f t="shared" si="0"/>
        <v>237918.5188393018</v>
      </c>
      <c r="G6" s="41">
        <f t="shared" si="0"/>
        <v>242827.77905105206</v>
      </c>
      <c r="H6" s="41">
        <f t="shared" si="0"/>
        <v>248016.55398042992</v>
      </c>
      <c r="I6" s="41">
        <f t="shared" si="0"/>
        <v>249893.34380809646</v>
      </c>
      <c r="J6" s="41">
        <f t="shared" si="0"/>
        <v>251647.75971653825</v>
      </c>
      <c r="K6" s="41">
        <f t="shared" si="0"/>
        <v>253270.52637844003</v>
      </c>
      <c r="L6" s="41">
        <f t="shared" si="0"/>
        <v>254773.38681166337</v>
      </c>
      <c r="M6" s="41">
        <f t="shared" si="0"/>
        <v>256154.10284365615</v>
      </c>
      <c r="N6" s="41">
        <f t="shared" si="0"/>
        <v>257396.45558762024</v>
      </c>
      <c r="O6" s="41">
        <f t="shared" si="0"/>
        <v>258573.24593073202</v>
      </c>
      <c r="P6" s="41">
        <f t="shared" si="0"/>
        <v>259687.29503472356</v>
      </c>
      <c r="Q6" s="41">
        <f t="shared" si="0"/>
        <v>260760.44484913498</v>
      </c>
      <c r="R6" s="41">
        <f t="shared" si="0"/>
        <v>261763.55863756043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3"/>
      <c r="AI6" s="13" t="s">
        <v>3</v>
      </c>
      <c r="AJ6" s="13" t="s">
        <v>4</v>
      </c>
      <c r="AK6" s="13" t="s">
        <v>3</v>
      </c>
      <c r="AL6" s="13" t="s">
        <v>4</v>
      </c>
    </row>
    <row r="7" spans="1:38" x14ac:dyDescent="0.25">
      <c r="A7" s="17" t="s">
        <v>44</v>
      </c>
      <c r="B7" s="17">
        <v>23875.99584031948</v>
      </c>
      <c r="C7" s="17">
        <v>23878.012060891564</v>
      </c>
      <c r="D7" s="17">
        <v>23800.341995037208</v>
      </c>
      <c r="E7" s="17">
        <v>23552.439319973255</v>
      </c>
      <c r="F7" s="17">
        <v>23504.805426565963</v>
      </c>
      <c r="G7" s="17">
        <v>23555.9944374193</v>
      </c>
      <c r="H7" s="17">
        <v>23120.618752720224</v>
      </c>
      <c r="I7" s="17">
        <v>22623.608152092253</v>
      </c>
      <c r="J7" s="17">
        <v>22127.052955277552</v>
      </c>
      <c r="K7" s="17">
        <v>21603.964690878533</v>
      </c>
      <c r="L7" s="17">
        <v>21060.355179345581</v>
      </c>
      <c r="M7" s="17">
        <v>20506.236540365197</v>
      </c>
      <c r="N7" s="17">
        <v>19969.621200435216</v>
      </c>
      <c r="O7" s="17">
        <v>19470.521900631757</v>
      </c>
      <c r="P7" s="17">
        <v>19040.951704572821</v>
      </c>
      <c r="Q7" s="17">
        <v>18694.924006583464</v>
      </c>
      <c r="R7" s="17">
        <v>18424.452540067705</v>
      </c>
      <c r="T7" s="16"/>
      <c r="U7" s="16"/>
      <c r="V7" s="16"/>
      <c r="W7" s="16"/>
      <c r="X7" s="16"/>
      <c r="Y7" s="16"/>
      <c r="Z7" s="16"/>
      <c r="AE7" s="16"/>
      <c r="AF7" s="16"/>
      <c r="AG7" s="16"/>
      <c r="AH7" s="13" t="s">
        <v>45</v>
      </c>
      <c r="AI7" s="47">
        <v>-10577</v>
      </c>
      <c r="AJ7" s="17">
        <v>9962</v>
      </c>
      <c r="AK7" s="47">
        <v>-453.0986083206119</v>
      </c>
      <c r="AL7" s="16">
        <v>324.05312705719649</v>
      </c>
    </row>
    <row r="8" spans="1:38" x14ac:dyDescent="0.25">
      <c r="A8" s="17" t="s">
        <v>46</v>
      </c>
      <c r="B8" s="17">
        <v>21430.358157112711</v>
      </c>
      <c r="C8" s="17">
        <v>22455.062786505216</v>
      </c>
      <c r="D8" s="17">
        <v>23163.839769861272</v>
      </c>
      <c r="E8" s="17">
        <v>23739.907058549801</v>
      </c>
      <c r="F8" s="17">
        <v>23724.505526085293</v>
      </c>
      <c r="G8" s="17">
        <v>23244.901378870902</v>
      </c>
      <c r="H8" s="17">
        <v>23231.388820481588</v>
      </c>
      <c r="I8" s="17">
        <v>23117.031119617772</v>
      </c>
      <c r="J8" s="17">
        <v>22825.892199598198</v>
      </c>
      <c r="K8" s="17">
        <v>22730.977598886304</v>
      </c>
      <c r="L8" s="17">
        <v>22727.292996152399</v>
      </c>
      <c r="M8" s="17">
        <v>22232.84421382302</v>
      </c>
      <c r="N8" s="17">
        <v>21727.637221720128</v>
      </c>
      <c r="O8" s="17">
        <v>21220.678140792446</v>
      </c>
      <c r="P8" s="17">
        <v>20684.973246941259</v>
      </c>
      <c r="Q8" s="17">
        <v>20132.528974943038</v>
      </c>
      <c r="R8" s="17">
        <v>19565.351922471407</v>
      </c>
      <c r="T8" s="16"/>
      <c r="U8" s="16"/>
      <c r="V8" s="16"/>
      <c r="W8" s="16"/>
      <c r="X8" s="16"/>
      <c r="Y8" s="16"/>
      <c r="Z8" s="16"/>
      <c r="AE8" s="16"/>
      <c r="AF8" s="16"/>
      <c r="AG8" s="16"/>
      <c r="AH8" s="13" t="s">
        <v>47</v>
      </c>
      <c r="AI8" s="47">
        <v>-11709</v>
      </c>
      <c r="AJ8" s="17">
        <v>10652</v>
      </c>
      <c r="AK8" s="47">
        <v>-231.36950212116358</v>
      </c>
      <c r="AL8" s="16">
        <v>142.32063012647146</v>
      </c>
    </row>
    <row r="9" spans="1:38" x14ac:dyDescent="0.25">
      <c r="A9" s="17" t="s">
        <v>48</v>
      </c>
      <c r="B9" s="17">
        <v>18264.363958419985</v>
      </c>
      <c r="C9" s="17">
        <v>18021.707233676007</v>
      </c>
      <c r="D9" s="17">
        <v>18088.348662522763</v>
      </c>
      <c r="E9" s="17">
        <v>18635.424772965198</v>
      </c>
      <c r="F9" s="17">
        <v>19717.086451783875</v>
      </c>
      <c r="G9" s="17">
        <v>20886.500454660592</v>
      </c>
      <c r="H9" s="17">
        <v>21898.851075125302</v>
      </c>
      <c r="I9" s="17">
        <v>22585.26474086638</v>
      </c>
      <c r="J9" s="17">
        <v>23134.815454208168</v>
      </c>
      <c r="K9" s="17">
        <v>23089.506684527201</v>
      </c>
      <c r="L9" s="17">
        <v>22578.341989027696</v>
      </c>
      <c r="M9" s="17">
        <v>22534.325014964914</v>
      </c>
      <c r="N9" s="17">
        <v>22398.459501924837</v>
      </c>
      <c r="O9" s="17">
        <v>22097.749284161502</v>
      </c>
      <c r="P9" s="17">
        <v>21989.198292993562</v>
      </c>
      <c r="Q9" s="17">
        <v>21974.81055926147</v>
      </c>
      <c r="R9" s="17">
        <v>21472.590215846889</v>
      </c>
      <c r="T9" s="16"/>
      <c r="U9" s="16"/>
      <c r="V9" s="16"/>
      <c r="W9" s="16"/>
      <c r="X9" s="16"/>
      <c r="Y9" s="16"/>
      <c r="Z9" s="16"/>
      <c r="AE9" s="16"/>
      <c r="AF9" s="16"/>
      <c r="AG9" s="16"/>
      <c r="AH9" s="13" t="s">
        <v>49</v>
      </c>
      <c r="AI9" s="47">
        <v>-11800</v>
      </c>
      <c r="AJ9" s="17">
        <v>10874</v>
      </c>
      <c r="AK9" s="47">
        <v>-151.03286944020402</v>
      </c>
      <c r="AL9" s="16">
        <v>83.202829920091006</v>
      </c>
    </row>
    <row r="10" spans="1:38" x14ac:dyDescent="0.25">
      <c r="A10" s="17" t="s">
        <v>50</v>
      </c>
      <c r="B10" s="17">
        <v>17636.054617185866</v>
      </c>
      <c r="C10" s="17">
        <v>18493.688766761214</v>
      </c>
      <c r="D10" s="17">
        <v>19020.015378268363</v>
      </c>
      <c r="E10" s="17">
        <v>19141.738304072867</v>
      </c>
      <c r="F10" s="17">
        <v>18717.635421339761</v>
      </c>
      <c r="G10" s="17">
        <v>18496.566417289661</v>
      </c>
      <c r="H10" s="17">
        <v>18338.481393237449</v>
      </c>
      <c r="I10" s="17">
        <v>18410.390842583194</v>
      </c>
      <c r="J10" s="17">
        <v>18961.006823002899</v>
      </c>
      <c r="K10" s="17">
        <v>20039.347220415853</v>
      </c>
      <c r="L10" s="17">
        <v>21210.430373525553</v>
      </c>
      <c r="M10" s="17">
        <v>22221.275085281974</v>
      </c>
      <c r="N10" s="17">
        <v>22921.900634634054</v>
      </c>
      <c r="O10" s="17">
        <v>23483.326788579634</v>
      </c>
      <c r="P10" s="17">
        <v>23451.573814520489</v>
      </c>
      <c r="Q10" s="17">
        <v>22955.662492930114</v>
      </c>
      <c r="R10" s="17">
        <v>22929.614130342197</v>
      </c>
      <c r="T10" s="16"/>
      <c r="U10" s="16"/>
      <c r="V10" s="16"/>
      <c r="W10" s="16"/>
      <c r="X10" s="16"/>
      <c r="Y10" s="16"/>
      <c r="Z10" s="16"/>
      <c r="AE10" s="16"/>
      <c r="AF10" s="16"/>
      <c r="AG10" s="16"/>
      <c r="AH10" s="13" t="s">
        <v>51</v>
      </c>
      <c r="AI10" s="47">
        <v>-10296</v>
      </c>
      <c r="AJ10" s="17">
        <v>9116</v>
      </c>
      <c r="AK10" s="47">
        <v>-1160.0609759130564</v>
      </c>
      <c r="AL10" s="16">
        <v>56.928252050588583</v>
      </c>
    </row>
    <row r="11" spans="1:38" x14ac:dyDescent="0.25">
      <c r="A11" s="17" t="s">
        <v>52</v>
      </c>
      <c r="B11" s="17">
        <v>20873.502745183963</v>
      </c>
      <c r="C11" s="17">
        <v>20132.574967575965</v>
      </c>
      <c r="D11" s="17">
        <v>20056.823066141886</v>
      </c>
      <c r="E11" s="17">
        <v>20549.313742008031</v>
      </c>
      <c r="F11" s="17">
        <v>21595.646565909788</v>
      </c>
      <c r="G11" s="17">
        <v>22986.010020577603</v>
      </c>
      <c r="H11" s="17">
        <v>24518.243437152174</v>
      </c>
      <c r="I11" s="17">
        <v>25146.15039627489</v>
      </c>
      <c r="J11" s="17">
        <v>25377.143339281996</v>
      </c>
      <c r="K11" s="17">
        <v>25057.351018468504</v>
      </c>
      <c r="L11" s="17">
        <v>24937.905445509306</v>
      </c>
      <c r="M11" s="17">
        <v>24870.941973970741</v>
      </c>
      <c r="N11" s="17">
        <v>25115.599383911009</v>
      </c>
      <c r="O11" s="17">
        <v>25850.019968622186</v>
      </c>
      <c r="P11" s="17">
        <v>27110.349623568218</v>
      </c>
      <c r="Q11" s="17">
        <v>28475.737937574271</v>
      </c>
      <c r="R11" s="17">
        <v>29680.338286324677</v>
      </c>
      <c r="T11" s="16"/>
      <c r="U11" s="16"/>
      <c r="V11" s="16"/>
      <c r="W11" s="16"/>
      <c r="X11" s="16"/>
      <c r="Y11" s="16"/>
      <c r="Z11" s="16"/>
      <c r="AE11" s="16"/>
      <c r="AF11" s="16"/>
      <c r="AG11" s="16"/>
      <c r="AH11" s="13" t="s">
        <v>53</v>
      </c>
      <c r="AI11" s="47">
        <v>-8467</v>
      </c>
      <c r="AJ11" s="17">
        <v>7928</v>
      </c>
      <c r="AK11" s="47">
        <v>-8483.5484111093319</v>
      </c>
      <c r="AL11" s="16">
        <v>280.26216394135918</v>
      </c>
    </row>
    <row r="12" spans="1:38" x14ac:dyDescent="0.25">
      <c r="A12" s="17" t="s">
        <v>54</v>
      </c>
      <c r="B12" s="17">
        <v>26453.282752339721</v>
      </c>
      <c r="C12" s="17">
        <v>26672.425660993526</v>
      </c>
      <c r="D12" s="17">
        <v>26727.670377317976</v>
      </c>
      <c r="E12" s="17">
        <v>26723.546452883391</v>
      </c>
      <c r="F12" s="17">
        <v>26845.480500029509</v>
      </c>
      <c r="G12" s="17">
        <v>26740.890536570183</v>
      </c>
      <c r="H12" s="17">
        <v>26783.290252817278</v>
      </c>
      <c r="I12" s="17">
        <v>26502.507610808701</v>
      </c>
      <c r="J12" s="17">
        <v>26749.286981981124</v>
      </c>
      <c r="K12" s="17">
        <v>27500.845114730171</v>
      </c>
      <c r="L12" s="17">
        <v>28533.404244463192</v>
      </c>
      <c r="M12" s="17">
        <v>29647.192232503694</v>
      </c>
      <c r="N12" s="17">
        <v>30423.442708512022</v>
      </c>
      <c r="O12" s="17">
        <v>30802.395216511548</v>
      </c>
      <c r="P12" s="17">
        <v>30638.295364611455</v>
      </c>
      <c r="Q12" s="17">
        <v>30681.394978519824</v>
      </c>
      <c r="R12" s="17">
        <v>30777.952258942878</v>
      </c>
      <c r="T12" s="16"/>
      <c r="U12" s="16"/>
      <c r="V12" s="16"/>
      <c r="W12" s="16"/>
      <c r="X12" s="16"/>
      <c r="Y12" s="16"/>
      <c r="Z12" s="16"/>
      <c r="AE12" s="16"/>
      <c r="AF12" s="16"/>
      <c r="AG12" s="16"/>
      <c r="AH12" s="13" t="s">
        <v>55</v>
      </c>
      <c r="AI12" s="47">
        <v>-7164</v>
      </c>
      <c r="AJ12" s="17">
        <v>6358</v>
      </c>
      <c r="AK12" s="47">
        <v>-13393.723400569583</v>
      </c>
      <c r="AL12" s="16">
        <v>1337.8139231888313</v>
      </c>
    </row>
    <row r="13" spans="1:38" x14ac:dyDescent="0.25">
      <c r="A13" s="9" t="s">
        <v>56</v>
      </c>
      <c r="B13" s="17">
        <v>20436.127431995566</v>
      </c>
      <c r="C13" s="17">
        <v>21768.626450022224</v>
      </c>
      <c r="D13" s="17">
        <v>23097.497853140674</v>
      </c>
      <c r="E13" s="17">
        <v>23911.565205927054</v>
      </c>
      <c r="F13" s="17">
        <v>24809.264542590459</v>
      </c>
      <c r="G13" s="17">
        <v>25561.708780966503</v>
      </c>
      <c r="H13" s="17">
        <v>25844.758910989785</v>
      </c>
      <c r="I13" s="17">
        <v>25248.677337216272</v>
      </c>
      <c r="J13" s="17">
        <v>24511.441491234</v>
      </c>
      <c r="K13" s="17">
        <v>23806.199358346545</v>
      </c>
      <c r="L13" s="17">
        <v>22768.102670123299</v>
      </c>
      <c r="M13" s="17">
        <v>21757.306999236615</v>
      </c>
      <c r="N13" s="17">
        <v>21371.971856699784</v>
      </c>
      <c r="O13" s="17">
        <v>21505.260791566645</v>
      </c>
      <c r="P13" s="17">
        <v>22139.341493155032</v>
      </c>
      <c r="Q13" s="17">
        <v>23059.385895858071</v>
      </c>
      <c r="R13" s="17">
        <v>24046.570286608781</v>
      </c>
      <c r="T13" s="16"/>
      <c r="U13" s="16"/>
      <c r="V13" s="16"/>
      <c r="W13" s="16"/>
      <c r="X13" s="16"/>
      <c r="Y13" s="16"/>
      <c r="Z13" s="16"/>
      <c r="AE13" s="16"/>
      <c r="AF13" s="16"/>
      <c r="AG13" s="16"/>
      <c r="AH13" s="13" t="s">
        <v>57</v>
      </c>
      <c r="AI13" s="47">
        <v>-5534</v>
      </c>
      <c r="AJ13" s="17">
        <v>8048</v>
      </c>
      <c r="AK13" s="47">
        <v>-9016.9836521109046</v>
      </c>
      <c r="AL13" s="16">
        <v>1037.8458258453456</v>
      </c>
    </row>
    <row r="14" spans="1:38" x14ac:dyDescent="0.25">
      <c r="A14" s="9" t="s">
        <v>58</v>
      </c>
      <c r="B14" s="17">
        <v>14492.588417228597</v>
      </c>
      <c r="C14" s="17">
        <v>15279.059637474169</v>
      </c>
      <c r="D14" s="17">
        <v>15927.498913743264</v>
      </c>
      <c r="E14" s="17">
        <v>16958.37352675504</v>
      </c>
      <c r="F14" s="17">
        <v>18034.515414325127</v>
      </c>
      <c r="G14" s="17">
        <v>19067.159522687216</v>
      </c>
      <c r="H14" s="17">
        <v>20364.986191258417</v>
      </c>
      <c r="I14" s="17">
        <v>21226.472261256633</v>
      </c>
      <c r="J14" s="17">
        <v>21511.438807687286</v>
      </c>
      <c r="K14" s="17">
        <v>21820.973939230738</v>
      </c>
      <c r="L14" s="17">
        <v>21913.167995049233</v>
      </c>
      <c r="M14" s="17">
        <v>21460.113601251775</v>
      </c>
      <c r="N14" s="17">
        <v>20766.90572878849</v>
      </c>
      <c r="O14" s="17">
        <v>19934.641752810552</v>
      </c>
      <c r="P14" s="17">
        <v>19125.42151353283</v>
      </c>
      <c r="Q14" s="17">
        <v>17981.347378637249</v>
      </c>
      <c r="R14" s="17">
        <v>16866.524307255964</v>
      </c>
      <c r="T14" s="16"/>
      <c r="U14" s="16"/>
      <c r="V14" s="16"/>
      <c r="W14" s="16"/>
      <c r="X14" s="16"/>
      <c r="Y14" s="16"/>
      <c r="Z14" s="16"/>
      <c r="AE14" s="16"/>
      <c r="AF14" s="16"/>
      <c r="AG14" s="16"/>
      <c r="AH14" s="13" t="s">
        <v>59</v>
      </c>
      <c r="AI14" s="47">
        <v>-6562</v>
      </c>
      <c r="AJ14" s="17">
        <v>9264</v>
      </c>
      <c r="AK14" s="47">
        <v>-5382.5543896242916</v>
      </c>
      <c r="AL14" s="16">
        <v>604.31529099855561</v>
      </c>
    </row>
    <row r="15" spans="1:38" x14ac:dyDescent="0.25">
      <c r="A15" s="9" t="s">
        <v>60</v>
      </c>
      <c r="B15" s="17">
        <v>12432.807722376621</v>
      </c>
      <c r="C15" s="17">
        <v>12475.736693746441</v>
      </c>
      <c r="D15" s="17">
        <v>12685.378618387482</v>
      </c>
      <c r="E15" s="17">
        <v>12807.701554775182</v>
      </c>
      <c r="F15" s="17">
        <v>12971.880543901672</v>
      </c>
      <c r="G15" s="17">
        <v>13363.319377817075</v>
      </c>
      <c r="H15" s="17">
        <v>14113.674657588292</v>
      </c>
      <c r="I15" s="17">
        <v>14475.712938082741</v>
      </c>
      <c r="J15" s="17">
        <v>15183.726767053427</v>
      </c>
      <c r="K15" s="17">
        <v>15904.766155748128</v>
      </c>
      <c r="L15" s="17">
        <v>16535.882381455383</v>
      </c>
      <c r="M15" s="17">
        <v>17379.128019554482</v>
      </c>
      <c r="N15" s="17">
        <v>18172.556976376763</v>
      </c>
      <c r="O15" s="17">
        <v>18390.224522898847</v>
      </c>
      <c r="P15" s="17">
        <v>18631.187329288798</v>
      </c>
      <c r="Q15" s="17">
        <v>18654.503500326795</v>
      </c>
      <c r="R15" s="17">
        <v>18130.232611722546</v>
      </c>
      <c r="T15" s="16"/>
      <c r="U15" s="16"/>
      <c r="V15" s="16"/>
      <c r="W15" s="16"/>
      <c r="X15" s="16"/>
      <c r="Y15" s="16"/>
      <c r="Z15" s="16"/>
      <c r="AE15" s="16"/>
      <c r="AF15" s="16"/>
      <c r="AG15" s="16"/>
      <c r="AH15" s="13" t="s">
        <v>61</v>
      </c>
      <c r="AI15" s="47">
        <v>-5462</v>
      </c>
      <c r="AJ15" s="17">
        <v>7345</v>
      </c>
      <c r="AK15" s="47">
        <v>-3065.6459031054178</v>
      </c>
      <c r="AL15" s="16">
        <v>332.81131968036397</v>
      </c>
    </row>
    <row r="16" spans="1:38" x14ac:dyDescent="0.25">
      <c r="A16" s="9" t="s">
        <v>62</v>
      </c>
      <c r="B16" s="17">
        <v>11045.451673972333</v>
      </c>
      <c r="C16" s="17">
        <v>11043.090778686626</v>
      </c>
      <c r="D16" s="17">
        <v>11294.840045028408</v>
      </c>
      <c r="E16" s="17">
        <v>11603.867938896015</v>
      </c>
      <c r="F16" s="17">
        <v>11506.465814819046</v>
      </c>
      <c r="G16" s="17">
        <v>11549.060840268538</v>
      </c>
      <c r="H16" s="17">
        <v>11579.230279228708</v>
      </c>
      <c r="I16" s="17">
        <v>11628.562779334843</v>
      </c>
      <c r="J16" s="17">
        <v>11561.068192265362</v>
      </c>
      <c r="K16" s="17">
        <v>11526.77621044978</v>
      </c>
      <c r="L16" s="17">
        <v>11688.717277985041</v>
      </c>
      <c r="M16" s="17">
        <v>12180.922609664078</v>
      </c>
      <c r="N16" s="17">
        <v>12499.42421048606</v>
      </c>
      <c r="O16" s="17">
        <v>13164.254895660579</v>
      </c>
      <c r="P16" s="17">
        <v>13841.448311118203</v>
      </c>
      <c r="Q16" s="17">
        <v>14423.03895454029</v>
      </c>
      <c r="R16" s="17">
        <v>15221.062196921164</v>
      </c>
      <c r="T16" s="16"/>
      <c r="U16" s="16"/>
      <c r="V16" s="16"/>
      <c r="W16" s="16"/>
      <c r="X16" s="16"/>
      <c r="Y16" s="16"/>
      <c r="Z16" s="16"/>
      <c r="AE16" s="16"/>
      <c r="AF16" s="16"/>
      <c r="AG16" s="16"/>
      <c r="AH16" s="13" t="s">
        <v>63</v>
      </c>
      <c r="AI16" s="47">
        <v>-4014</v>
      </c>
      <c r="AJ16" s="17">
        <v>5558</v>
      </c>
      <c r="AK16" s="47">
        <v>-1780.2597802100647</v>
      </c>
      <c r="AL16" s="16">
        <v>236.47120082552178</v>
      </c>
    </row>
    <row r="17" spans="1:38" x14ac:dyDescent="0.25">
      <c r="A17" s="9" t="s">
        <v>64</v>
      </c>
      <c r="B17" s="17">
        <v>9543.9835458716625</v>
      </c>
      <c r="C17" s="17">
        <v>9692.2535142160377</v>
      </c>
      <c r="D17" s="17">
        <v>9554.8104212828275</v>
      </c>
      <c r="E17" s="17">
        <v>9489.2102992712717</v>
      </c>
      <c r="F17" s="17">
        <v>9736.0676587974958</v>
      </c>
      <c r="G17" s="17">
        <v>10020.06163912328</v>
      </c>
      <c r="H17" s="17">
        <v>9990.9428052100757</v>
      </c>
      <c r="I17" s="17">
        <v>10140.990827293854</v>
      </c>
      <c r="J17" s="17">
        <v>10331.596997714007</v>
      </c>
      <c r="K17" s="17">
        <v>10102.775446062942</v>
      </c>
      <c r="L17" s="17">
        <v>10006.5406596254</v>
      </c>
      <c r="M17" s="17">
        <v>9879.90749243348</v>
      </c>
      <c r="N17" s="17">
        <v>9891.8911745508958</v>
      </c>
      <c r="O17" s="17">
        <v>9797.5073215922566</v>
      </c>
      <c r="P17" s="17">
        <v>9729.7719444833419</v>
      </c>
      <c r="Q17" s="17">
        <v>9859.7014594684442</v>
      </c>
      <c r="R17" s="17">
        <v>10309.312698371059</v>
      </c>
      <c r="T17" s="16"/>
      <c r="U17" s="16"/>
      <c r="V17" s="16"/>
      <c r="W17" s="16"/>
      <c r="X17" s="16"/>
      <c r="Y17" s="16"/>
      <c r="Z17" s="16"/>
      <c r="AE17" s="16"/>
      <c r="AF17" s="16"/>
      <c r="AG17" s="16"/>
      <c r="AH17" s="13" t="s">
        <v>65</v>
      </c>
      <c r="AI17" s="47">
        <v>-3789</v>
      </c>
      <c r="AJ17" s="17">
        <v>5250</v>
      </c>
      <c r="AK17" s="47">
        <v>-854.78177172541007</v>
      </c>
      <c r="AL17" s="16">
        <v>105.09831147800969</v>
      </c>
    </row>
    <row r="18" spans="1:38" x14ac:dyDescent="0.25">
      <c r="A18" s="9" t="s">
        <v>66</v>
      </c>
      <c r="B18" s="17">
        <v>7713.2633761149973</v>
      </c>
      <c r="C18" s="17">
        <v>8249.5338485175289</v>
      </c>
      <c r="D18" s="17">
        <v>8644.2516978666881</v>
      </c>
      <c r="E18" s="17">
        <v>8888.6743170428308</v>
      </c>
      <c r="F18" s="17">
        <v>8860.0861691718419</v>
      </c>
      <c r="G18" s="17">
        <v>8641.8016346277182</v>
      </c>
      <c r="H18" s="17">
        <v>8769.1681574570121</v>
      </c>
      <c r="I18" s="17">
        <v>8585.3744079546486</v>
      </c>
      <c r="J18" s="17">
        <v>8468.8390309137358</v>
      </c>
      <c r="K18" s="17">
        <v>8648.5685670642742</v>
      </c>
      <c r="L18" s="17">
        <v>8860.5697227156343</v>
      </c>
      <c r="M18" s="17">
        <v>8756.8493739482165</v>
      </c>
      <c r="N18" s="17">
        <v>8882.4145709112254</v>
      </c>
      <c r="O18" s="17">
        <v>9050.2725422292424</v>
      </c>
      <c r="P18" s="17">
        <v>8810.4306995203497</v>
      </c>
      <c r="Q18" s="17">
        <v>8700.8966420286361</v>
      </c>
      <c r="R18" s="17">
        <v>8552.6781613739695</v>
      </c>
      <c r="T18" s="16"/>
      <c r="U18" s="16"/>
      <c r="V18" s="16"/>
      <c r="W18" s="16"/>
      <c r="X18" s="16"/>
      <c r="Y18" s="16"/>
      <c r="Z18" s="16"/>
      <c r="AE18" s="16"/>
      <c r="AF18" s="16"/>
      <c r="AG18" s="16"/>
      <c r="AH18" s="13" t="s">
        <v>67</v>
      </c>
      <c r="AI18" s="47">
        <v>-3789</v>
      </c>
      <c r="AJ18" s="17">
        <v>4474</v>
      </c>
      <c r="AK18" s="47">
        <v>-375.97544094689079</v>
      </c>
      <c r="AL18" s="16">
        <v>67.875992829547926</v>
      </c>
    </row>
    <row r="19" spans="1:38" x14ac:dyDescent="0.25">
      <c r="A19" s="9" t="s">
        <v>68</v>
      </c>
      <c r="B19" s="17">
        <v>4067.3145226955794</v>
      </c>
      <c r="C19" s="17">
        <v>4370.7060604883991</v>
      </c>
      <c r="D19" s="17">
        <v>4921.2956567691836</v>
      </c>
      <c r="E19" s="17">
        <v>5502.2093124490193</v>
      </c>
      <c r="F19" s="17">
        <v>6193.5862800704917</v>
      </c>
      <c r="G19" s="17">
        <v>6972.5804574939339</v>
      </c>
      <c r="H19" s="17">
        <v>7480.3619281589399</v>
      </c>
      <c r="I19" s="17">
        <v>7832.3581691572172</v>
      </c>
      <c r="J19" s="17">
        <v>8047.4808905985346</v>
      </c>
      <c r="K19" s="17">
        <v>7994.7332943505526</v>
      </c>
      <c r="L19" s="17">
        <v>7754.118663336596</v>
      </c>
      <c r="M19" s="17">
        <v>7849.6403635875886</v>
      </c>
      <c r="N19" s="17">
        <v>7670.3018463459357</v>
      </c>
      <c r="O19" s="17">
        <v>7554.1066502226577</v>
      </c>
      <c r="P19" s="17">
        <v>7721.0584034091389</v>
      </c>
      <c r="Q19" s="17">
        <v>7921.1608259448676</v>
      </c>
      <c r="R19" s="17">
        <v>7813.4177320425788</v>
      </c>
      <c r="T19" s="16"/>
      <c r="U19" s="16"/>
      <c r="V19" s="16"/>
      <c r="W19" s="16"/>
      <c r="X19" s="16"/>
      <c r="Y19" s="16"/>
      <c r="Z19" s="16"/>
      <c r="AE19" s="16"/>
      <c r="AF19" s="16"/>
      <c r="AG19" s="16"/>
      <c r="AH19" s="13" t="s">
        <v>69</v>
      </c>
      <c r="AI19" s="47">
        <v>-3568</v>
      </c>
      <c r="AJ19" s="17">
        <v>4071</v>
      </c>
      <c r="AK19" s="47">
        <v>-179.9540572053495</v>
      </c>
      <c r="AL19" s="16">
        <v>37.222318648461766</v>
      </c>
    </row>
    <row r="20" spans="1:38" x14ac:dyDescent="0.25">
      <c r="A20" s="9" t="s">
        <v>70</v>
      </c>
      <c r="B20" s="17">
        <v>3210.7232282585719</v>
      </c>
      <c r="C20" s="17">
        <v>3241.3233928723193</v>
      </c>
      <c r="D20" s="17">
        <v>3204.1970191856431</v>
      </c>
      <c r="E20" s="17">
        <v>3297.372867416545</v>
      </c>
      <c r="F20" s="17">
        <v>3327.88272252156</v>
      </c>
      <c r="G20" s="17">
        <v>3496.7617123102818</v>
      </c>
      <c r="H20" s="17">
        <v>3780.0486590162895</v>
      </c>
      <c r="I20" s="17">
        <v>4276.1890712487511</v>
      </c>
      <c r="J20" s="17">
        <v>4803.3583531543245</v>
      </c>
      <c r="K20" s="17">
        <v>5431.5572355722643</v>
      </c>
      <c r="L20" s="17">
        <v>6149.7864678431097</v>
      </c>
      <c r="M20" s="17">
        <v>6604.0468182770437</v>
      </c>
      <c r="N20" s="17">
        <v>6931.3390746341156</v>
      </c>
      <c r="O20" s="17">
        <v>7131.6640446166148</v>
      </c>
      <c r="P20" s="17">
        <v>7084.0225563739132</v>
      </c>
      <c r="Q20" s="17">
        <v>6858.4154590200806</v>
      </c>
      <c r="R20" s="17">
        <v>6951.8436231646156</v>
      </c>
      <c r="T20" s="16"/>
      <c r="U20" s="16"/>
      <c r="V20" s="16"/>
      <c r="W20" s="16"/>
      <c r="X20" s="16"/>
      <c r="Y20" s="16"/>
      <c r="Z20" s="16"/>
      <c r="AE20" s="16"/>
      <c r="AF20" s="16"/>
      <c r="AG20" s="16"/>
      <c r="AH20" s="13" t="s">
        <v>71</v>
      </c>
      <c r="AI20" s="47">
        <v>-3056</v>
      </c>
      <c r="AJ20" s="17">
        <v>2650</v>
      </c>
      <c r="AK20" s="47">
        <v>-38.561583686860587</v>
      </c>
      <c r="AL20" s="16">
        <v>10.947740778959343</v>
      </c>
    </row>
    <row r="21" spans="1:38" x14ac:dyDescent="0.25">
      <c r="A21" s="9" t="s">
        <v>72</v>
      </c>
      <c r="B21" s="17">
        <v>3518.9021014392051</v>
      </c>
      <c r="C21" s="17">
        <v>3289.5228308661422</v>
      </c>
      <c r="D21" s="17">
        <v>3123.2088429767864</v>
      </c>
      <c r="E21" s="17">
        <v>2903.9670036109183</v>
      </c>
      <c r="F21" s="17">
        <v>2777.8049006949905</v>
      </c>
      <c r="G21" s="17">
        <v>2610.7309201846474</v>
      </c>
      <c r="H21" s="17">
        <v>2641.7543299941876</v>
      </c>
      <c r="I21" s="17">
        <v>2608.0265771541499</v>
      </c>
      <c r="J21" s="17">
        <v>2687.3057162837795</v>
      </c>
      <c r="K21" s="17">
        <v>2723.591921854118</v>
      </c>
      <c r="L21" s="17">
        <v>2863.8853727529649</v>
      </c>
      <c r="M21" s="17">
        <v>3117.1862523966838</v>
      </c>
      <c r="N21" s="17">
        <v>3567.494748844847</v>
      </c>
      <c r="O21" s="17">
        <v>4043.8110549177768</v>
      </c>
      <c r="P21" s="17">
        <v>4609.1353683170655</v>
      </c>
      <c r="Q21" s="17">
        <v>5245.4678917491447</v>
      </c>
      <c r="R21" s="17">
        <v>5651.808833051984</v>
      </c>
      <c r="T21" s="16"/>
      <c r="U21" s="16"/>
      <c r="V21" s="16"/>
      <c r="W21" s="16"/>
      <c r="X21" s="16"/>
      <c r="Y21" s="16"/>
      <c r="Z21" s="16"/>
      <c r="AE21" s="16"/>
      <c r="AF21" s="16"/>
      <c r="AG21" s="16"/>
      <c r="AH21" s="13" t="s">
        <v>73</v>
      </c>
      <c r="AI21" s="47">
        <v>-1448</v>
      </c>
      <c r="AJ21" s="17">
        <v>1350</v>
      </c>
      <c r="AK21" s="47">
        <v>-9.6403959217151503</v>
      </c>
      <c r="AL21" s="16">
        <v>2.1895481557918686</v>
      </c>
    </row>
    <row r="22" spans="1:38" x14ac:dyDescent="0.25">
      <c r="A22" s="9" t="s">
        <v>74</v>
      </c>
      <c r="B22" s="17">
        <v>2839</v>
      </c>
      <c r="C22" s="17">
        <v>2862</v>
      </c>
      <c r="D22" s="17">
        <v>2830</v>
      </c>
      <c r="E22" s="17">
        <v>2811</v>
      </c>
      <c r="F22" s="17">
        <v>2718</v>
      </c>
      <c r="G22" s="17">
        <v>2658</v>
      </c>
      <c r="H22" s="17">
        <v>2485</v>
      </c>
      <c r="I22" s="17">
        <v>2352</v>
      </c>
      <c r="J22" s="17">
        <v>2180</v>
      </c>
      <c r="K22" s="17">
        <v>2079</v>
      </c>
      <c r="L22" s="17">
        <v>1950</v>
      </c>
      <c r="M22" s="17">
        <v>1982</v>
      </c>
      <c r="N22" s="17">
        <v>1959</v>
      </c>
      <c r="O22" s="17">
        <v>2022</v>
      </c>
      <c r="P22" s="17">
        <v>2060</v>
      </c>
      <c r="Q22" s="17">
        <v>2180</v>
      </c>
      <c r="R22" s="17">
        <v>2399</v>
      </c>
      <c r="T22" s="16"/>
      <c r="U22" s="16"/>
      <c r="V22" s="16"/>
      <c r="W22" s="16"/>
      <c r="X22" s="16"/>
      <c r="Y22" s="16"/>
      <c r="Z22" s="16"/>
      <c r="AE22" s="16"/>
      <c r="AF22" s="16"/>
      <c r="AG22" s="16"/>
      <c r="AH22" s="13" t="s">
        <v>75</v>
      </c>
      <c r="AI22" s="47">
        <v>-2656</v>
      </c>
      <c r="AJ22" s="17">
        <v>2536</v>
      </c>
      <c r="AK22" s="47">
        <v>-9.6403959217151503</v>
      </c>
      <c r="AL22" s="16">
        <v>2.1895481557918686</v>
      </c>
    </row>
    <row r="23" spans="1:38" x14ac:dyDescent="0.25">
      <c r="A23" s="20" t="s">
        <v>76</v>
      </c>
      <c r="B23" s="39">
        <v>2345.9021014392051</v>
      </c>
      <c r="C23" s="39">
        <v>2480.5228308661422</v>
      </c>
      <c r="D23" s="39">
        <v>2625.2088429767864</v>
      </c>
      <c r="E23" s="39">
        <v>2740.9670036109183</v>
      </c>
      <c r="F23" s="39">
        <v>2877.8049006949905</v>
      </c>
      <c r="G23" s="39">
        <v>2975.7309201846474</v>
      </c>
      <c r="H23" s="39">
        <v>3075.7543299941876</v>
      </c>
      <c r="I23" s="39">
        <v>3134.0265771541499</v>
      </c>
      <c r="J23" s="39">
        <v>3186.3057162837795</v>
      </c>
      <c r="K23" s="39">
        <v>3209.591921854118</v>
      </c>
      <c r="L23" s="39">
        <v>3234.8853727529649</v>
      </c>
      <c r="M23" s="39">
        <v>3174.1862523966838</v>
      </c>
      <c r="N23" s="39">
        <v>3126.494748844847</v>
      </c>
      <c r="O23" s="39">
        <v>3054.8110549177768</v>
      </c>
      <c r="P23" s="39">
        <v>3020.1353683170655</v>
      </c>
      <c r="Q23" s="39">
        <v>2961.4678917491447</v>
      </c>
      <c r="R23" s="39">
        <v>2970.8088330519845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" t="s">
        <v>77</v>
      </c>
      <c r="AI23" s="22">
        <f>SUM(AI7:AI22)</f>
        <v>-99891</v>
      </c>
      <c r="AJ23" s="22">
        <f>SUM(AJ7:AJ22)</f>
        <v>105436</v>
      </c>
      <c r="AK23" s="22">
        <f>SUM(AK7:AK22)</f>
        <v>-44586.831137932561</v>
      </c>
      <c r="AL23" s="22">
        <f>SUM(AL7:AL22)</f>
        <v>4661.5480236808871</v>
      </c>
    </row>
    <row r="24" spans="1:38" x14ac:dyDescent="0.25">
      <c r="A24" s="9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x14ac:dyDescent="0.25">
      <c r="A25" s="3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x14ac:dyDescent="0.25">
      <c r="A26" s="41" t="s">
        <v>78</v>
      </c>
      <c r="B26" s="41">
        <f>SUM(B27:B43)</f>
        <v>116607.16508572652</v>
      </c>
      <c r="C26" s="41">
        <f t="shared" ref="C26:R26" si="1">SUM(C27:C43)</f>
        <v>119802.77174505685</v>
      </c>
      <c r="D26" s="41">
        <f t="shared" si="1"/>
        <v>123178.28010458603</v>
      </c>
      <c r="E26" s="41">
        <f t="shared" si="1"/>
        <v>126739.44670096223</v>
      </c>
      <c r="F26" s="41">
        <f t="shared" si="1"/>
        <v>130532.73690943942</v>
      </c>
      <c r="G26" s="41">
        <f t="shared" si="1"/>
        <v>134586.60983492032</v>
      </c>
      <c r="H26" s="41">
        <f t="shared" si="1"/>
        <v>138959.83316525223</v>
      </c>
      <c r="I26" s="41">
        <f t="shared" si="1"/>
        <v>140417.14216424804</v>
      </c>
      <c r="J26" s="41">
        <f t="shared" si="1"/>
        <v>141825.30572364613</v>
      </c>
      <c r="K26" s="41">
        <f t="shared" si="1"/>
        <v>143172.97835475917</v>
      </c>
      <c r="L26" s="41">
        <f t="shared" si="1"/>
        <v>144477.83113793258</v>
      </c>
      <c r="M26" s="41">
        <f t="shared" si="1"/>
        <v>145737.55214199168</v>
      </c>
      <c r="N26" s="41">
        <f t="shared" si="1"/>
        <v>146949.84685430708</v>
      </c>
      <c r="O26" s="41">
        <f t="shared" si="1"/>
        <v>148132.43862174693</v>
      </c>
      <c r="P26" s="41">
        <f t="shared" si="1"/>
        <v>149300.0691027928</v>
      </c>
      <c r="Q26" s="41">
        <f t="shared" si="1"/>
        <v>150478.49873110009</v>
      </c>
      <c r="R26" s="41">
        <f t="shared" si="1"/>
        <v>151618.50719079378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s="2" customFormat="1" x14ac:dyDescent="0.25">
      <c r="A27" s="17" t="s">
        <v>44</v>
      </c>
      <c r="B27" s="17">
        <v>12564.002110060355</v>
      </c>
      <c r="C27" s="17">
        <v>12577.665788544362</v>
      </c>
      <c r="D27" s="17">
        <v>12506.818197819577</v>
      </c>
      <c r="E27" s="17">
        <v>12360.721079988156</v>
      </c>
      <c r="F27" s="17">
        <v>12306.663704809438</v>
      </c>
      <c r="G27" s="17">
        <v>12341.96576480892</v>
      </c>
      <c r="H27" s="17">
        <v>12115.980574868508</v>
      </c>
      <c r="I27" s="17">
        <v>11853.35928253398</v>
      </c>
      <c r="J27" s="17">
        <v>11593.00072843489</v>
      </c>
      <c r="K27" s="17">
        <v>11317.911563821337</v>
      </c>
      <c r="L27" s="17">
        <v>11030.098608320612</v>
      </c>
      <c r="M27" s="17">
        <v>10738.568854199699</v>
      </c>
      <c r="N27" s="17">
        <v>10455.32947073566</v>
      </c>
      <c r="O27" s="17">
        <v>10193.387808696671</v>
      </c>
      <c r="P27" s="17">
        <v>9965.7514049364891</v>
      </c>
      <c r="Q27" s="17">
        <v>9782.4279871052331</v>
      </c>
      <c r="R27" s="17">
        <v>9638.4254784794175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x14ac:dyDescent="0.25">
      <c r="A28" s="17" t="s">
        <v>46</v>
      </c>
      <c r="B28" s="17">
        <v>11003.894694498906</v>
      </c>
      <c r="C28" s="17">
        <v>11575.978275001376</v>
      </c>
      <c r="D28" s="17">
        <v>12032.332696758933</v>
      </c>
      <c r="E28" s="17">
        <v>12377.091615313102</v>
      </c>
      <c r="F28" s="17">
        <v>12431.402742881415</v>
      </c>
      <c r="G28" s="17">
        <v>12269.429326710939</v>
      </c>
      <c r="H28" s="17">
        <v>12276.351782911579</v>
      </c>
      <c r="I28" s="17">
        <v>12188.651548527991</v>
      </c>
      <c r="J28" s="17">
        <v>12017.085478349731</v>
      </c>
      <c r="K28" s="17">
        <v>11936.656968759831</v>
      </c>
      <c r="L28" s="17">
        <v>11940.369502121164</v>
      </c>
      <c r="M28" s="17">
        <v>11682.226648953038</v>
      </c>
      <c r="N28" s="17">
        <v>11416.232070162891</v>
      </c>
      <c r="O28" s="17">
        <v>11149.389519334471</v>
      </c>
      <c r="P28" s="17">
        <v>10867.702845073953</v>
      </c>
      <c r="Q28" s="17">
        <v>10578.175993415438</v>
      </c>
      <c r="R28" s="17">
        <v>10278.813010287362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x14ac:dyDescent="0.25">
      <c r="A29" s="17" t="s">
        <v>48</v>
      </c>
      <c r="B29" s="17">
        <v>9467.0007033534512</v>
      </c>
      <c r="C29" s="17">
        <v>9302.888596181454</v>
      </c>
      <c r="D29" s="17">
        <v>9335.606065939859</v>
      </c>
      <c r="E29" s="17">
        <v>9622.2403599960526</v>
      </c>
      <c r="F29" s="17">
        <v>10170.887901603146</v>
      </c>
      <c r="G29" s="17">
        <v>10752.655254936306</v>
      </c>
      <c r="H29" s="17">
        <v>11316.660191622836</v>
      </c>
      <c r="I29" s="17">
        <v>11763.11976084466</v>
      </c>
      <c r="J29" s="17">
        <v>12092.666909478297</v>
      </c>
      <c r="K29" s="17">
        <v>12132.303854607111</v>
      </c>
      <c r="L29" s="17">
        <v>11951.032869440203</v>
      </c>
      <c r="M29" s="17">
        <v>11939.856284733232</v>
      </c>
      <c r="N29" s="17">
        <v>11840.77649024522</v>
      </c>
      <c r="O29" s="17">
        <v>11666.795936232224</v>
      </c>
      <c r="P29" s="17">
        <v>11581.91713497883</v>
      </c>
      <c r="Q29" s="17">
        <v>11579.142662368411</v>
      </c>
      <c r="R29" s="17">
        <v>11315.475159493139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x14ac:dyDescent="0.25">
      <c r="A30" s="17" t="s">
        <v>50</v>
      </c>
      <c r="B30" s="17">
        <v>9221.069232140344</v>
      </c>
      <c r="C30" s="17">
        <v>9847.6549621596769</v>
      </c>
      <c r="D30" s="17">
        <v>10169.612549027428</v>
      </c>
      <c r="E30" s="17">
        <v>10222.612126778189</v>
      </c>
      <c r="F30" s="17">
        <v>10044.394308058207</v>
      </c>
      <c r="G30" s="17">
        <v>10034.777596425674</v>
      </c>
      <c r="H30" s="17">
        <v>9961.666578209446</v>
      </c>
      <c r="I30" s="17">
        <v>10005.239014147282</v>
      </c>
      <c r="J30" s="17">
        <v>10304.484134503513</v>
      </c>
      <c r="K30" s="17">
        <v>10866.418968365266</v>
      </c>
      <c r="L30" s="17">
        <v>11456.060975913057</v>
      </c>
      <c r="M30" s="17">
        <v>12035.428059333983</v>
      </c>
      <c r="N30" s="17">
        <v>12499.53857401116</v>
      </c>
      <c r="O30" s="17">
        <v>12849.411339996443</v>
      </c>
      <c r="P30" s="17">
        <v>12909.065653773565</v>
      </c>
      <c r="Q30" s="17">
        <v>12751.521300319073</v>
      </c>
      <c r="R30" s="17">
        <v>12765.79856546858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x14ac:dyDescent="0.25">
      <c r="A31" s="17" t="s">
        <v>52</v>
      </c>
      <c r="B31" s="17">
        <v>11464.805464959856</v>
      </c>
      <c r="C31" s="17">
        <v>11560.87008338379</v>
      </c>
      <c r="D31" s="17">
        <v>12058.532214494204</v>
      </c>
      <c r="E31" s="17">
        <v>12890.69256148038</v>
      </c>
      <c r="F31" s="17">
        <v>13921.767238985227</v>
      </c>
      <c r="G31" s="17">
        <v>15020.74197940106</v>
      </c>
      <c r="H31" s="17">
        <v>16310.232040091236</v>
      </c>
      <c r="I31" s="17">
        <v>16746.556779359627</v>
      </c>
      <c r="J31" s="17">
        <v>16915.800872823478</v>
      </c>
      <c r="K31" s="17">
        <v>16849.088854527145</v>
      </c>
      <c r="L31" s="17">
        <v>16950.548411109332</v>
      </c>
      <c r="M31" s="17">
        <v>16979.310461611392</v>
      </c>
      <c r="N31" s="17">
        <v>17206.509239305986</v>
      </c>
      <c r="O31" s="17">
        <v>17694.282375597249</v>
      </c>
      <c r="P31" s="17">
        <v>18443.770986044903</v>
      </c>
      <c r="Q31" s="17">
        <v>19237.11975856607</v>
      </c>
      <c r="R31" s="17">
        <v>20016.477043869942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8" x14ac:dyDescent="0.25">
      <c r="A32" s="17" t="s">
        <v>54</v>
      </c>
      <c r="B32" s="17">
        <v>14714.126203769953</v>
      </c>
      <c r="C32" s="17">
        <v>15131.631252857438</v>
      </c>
      <c r="D32" s="17">
        <v>15584.703890156003</v>
      </c>
      <c r="E32" s="17">
        <v>16078.081286458419</v>
      </c>
      <c r="F32" s="17">
        <v>16718.314337913042</v>
      </c>
      <c r="G32" s="17">
        <v>17385.853246266517</v>
      </c>
      <c r="H32" s="17">
        <v>18179.142099659191</v>
      </c>
      <c r="I32" s="17">
        <v>18473.939642564743</v>
      </c>
      <c r="J32" s="17">
        <v>19066.503802245548</v>
      </c>
      <c r="K32" s="17">
        <v>19805.03119154134</v>
      </c>
      <c r="L32" s="17">
        <v>20557.723400569583</v>
      </c>
      <c r="M32" s="17">
        <v>21438.787122725862</v>
      </c>
      <c r="N32" s="17">
        <v>22012.434283873998</v>
      </c>
      <c r="O32" s="17">
        <v>22321.882174806567</v>
      </c>
      <c r="P32" s="17">
        <v>22402.353587058773</v>
      </c>
      <c r="Q32" s="17">
        <v>22654.076952160372</v>
      </c>
      <c r="R32" s="17">
        <v>22835.286484412845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I32" s="137" t="s">
        <v>79</v>
      </c>
      <c r="AJ32" s="137"/>
      <c r="AK32" s="141" t="s">
        <v>80</v>
      </c>
      <c r="AL32" s="141"/>
    </row>
    <row r="33" spans="1:38" x14ac:dyDescent="0.25">
      <c r="A33" s="9" t="s">
        <v>56</v>
      </c>
      <c r="B33" s="17">
        <v>11106.701566165664</v>
      </c>
      <c r="C33" s="17">
        <v>11871.625550748073</v>
      </c>
      <c r="D33" s="17">
        <v>12699.077043132856</v>
      </c>
      <c r="E33" s="17">
        <v>13335.264896785586</v>
      </c>
      <c r="F33" s="17">
        <v>14057.945785072938</v>
      </c>
      <c r="G33" s="17">
        <v>14627.481815984611</v>
      </c>
      <c r="H33" s="17">
        <v>15108.904206248488</v>
      </c>
      <c r="I33" s="17">
        <v>14979.447849576936</v>
      </c>
      <c r="J33" s="17">
        <v>14820.220170129802</v>
      </c>
      <c r="K33" s="17">
        <v>14720.3535325012</v>
      </c>
      <c r="L33" s="17">
        <v>14550.983652110905</v>
      </c>
      <c r="M33" s="17">
        <v>14400.249680030896</v>
      </c>
      <c r="N33" s="17">
        <v>14614.294289959316</v>
      </c>
      <c r="O33" s="17">
        <v>15115.263767396167</v>
      </c>
      <c r="P33" s="17">
        <v>15757.308101076515</v>
      </c>
      <c r="Q33" s="17">
        <v>16419.581076718336</v>
      </c>
      <c r="R33" s="17">
        <v>17200.240373143584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I33" s="1" t="s">
        <v>3</v>
      </c>
      <c r="AJ33" s="1" t="s">
        <v>4</v>
      </c>
      <c r="AK33" s="1" t="s">
        <v>3</v>
      </c>
      <c r="AL33" s="1" t="s">
        <v>4</v>
      </c>
    </row>
    <row r="34" spans="1:38" x14ac:dyDescent="0.25">
      <c r="A34" s="9" t="s">
        <v>58</v>
      </c>
      <c r="B34" s="17">
        <v>7679.8974067453619</v>
      </c>
      <c r="C34" s="17">
        <v>8169.00848093479</v>
      </c>
      <c r="D34" s="17">
        <v>8567.6842648779511</v>
      </c>
      <c r="E34" s="17">
        <v>9159.0341062422867</v>
      </c>
      <c r="F34" s="17">
        <v>9758.4943656440373</v>
      </c>
      <c r="G34" s="17">
        <v>10407.862808900292</v>
      </c>
      <c r="H34" s="17">
        <v>11154.336616345765</v>
      </c>
      <c r="I34" s="17">
        <v>11574.629774783098</v>
      </c>
      <c r="J34" s="17">
        <v>11750.044114386106</v>
      </c>
      <c r="K34" s="17">
        <v>11952.658648232184</v>
      </c>
      <c r="L34" s="17">
        <v>11944.554389624293</v>
      </c>
      <c r="M34" s="17">
        <v>11775.814402726925</v>
      </c>
      <c r="N34" s="17">
        <v>11568.523854483909</v>
      </c>
      <c r="O34" s="17">
        <v>11328.770067850526</v>
      </c>
      <c r="P34" s="17">
        <v>11148.642576373186</v>
      </c>
      <c r="Q34" s="17">
        <v>10894.233180150823</v>
      </c>
      <c r="R34" s="17">
        <v>10658.636003212936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" t="s">
        <v>45</v>
      </c>
      <c r="AI34" s="47">
        <v>-9112</v>
      </c>
      <c r="AJ34" s="47">
        <v>8400</v>
      </c>
      <c r="AK34" s="47">
        <v>-526.42547847941728</v>
      </c>
      <c r="AL34" s="47">
        <v>386.0270615882892</v>
      </c>
    </row>
    <row r="35" spans="1:38" x14ac:dyDescent="0.25">
      <c r="A35" s="9" t="s">
        <v>60</v>
      </c>
      <c r="B35" s="17">
        <v>6241.3547021104932</v>
      </c>
      <c r="C35" s="17">
        <v>6312.4621437682326</v>
      </c>
      <c r="D35" s="17">
        <v>6454.40823205586</v>
      </c>
      <c r="E35" s="17">
        <v>6560.9639028985921</v>
      </c>
      <c r="F35" s="17">
        <v>6756.0863431787529</v>
      </c>
      <c r="G35" s="17">
        <v>7019.9385789199277</v>
      </c>
      <c r="H35" s="17">
        <v>7485.9111235784239</v>
      </c>
      <c r="I35" s="17">
        <v>7634.1330179958659</v>
      </c>
      <c r="J35" s="17">
        <v>7944.132588133938</v>
      </c>
      <c r="K35" s="17">
        <v>8226.9548360677636</v>
      </c>
      <c r="L35" s="17">
        <v>8527.6459031054183</v>
      </c>
      <c r="M35" s="17">
        <v>8874.2530986277543</v>
      </c>
      <c r="N35" s="17">
        <v>9240.8249296582999</v>
      </c>
      <c r="O35" s="17">
        <v>9361.4111311817323</v>
      </c>
      <c r="P35" s="17">
        <v>9513.0626972298633</v>
      </c>
      <c r="Q35" s="17">
        <v>9446.8319127545583</v>
      </c>
      <c r="R35" s="17">
        <v>9219.772386307548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" t="s">
        <v>47</v>
      </c>
      <c r="AI35" s="47">
        <v>-10010</v>
      </c>
      <c r="AJ35" s="47">
        <v>9117</v>
      </c>
      <c r="AK35" s="47">
        <v>-268.81301028736203</v>
      </c>
      <c r="AL35" s="47">
        <v>169.53891218404596</v>
      </c>
    </row>
    <row r="36" spans="1:38" x14ac:dyDescent="0.25">
      <c r="A36" s="9" t="s">
        <v>62</v>
      </c>
      <c r="B36" s="17">
        <v>5569.0508437832423</v>
      </c>
      <c r="C36" s="17">
        <v>5506.0272826494765</v>
      </c>
      <c r="D36" s="17">
        <v>5601.782138950678</v>
      </c>
      <c r="E36" s="17">
        <v>5759.3438178258075</v>
      </c>
      <c r="F36" s="17">
        <v>5696.8488827264464</v>
      </c>
      <c r="G36" s="17">
        <v>5711.5534305258279</v>
      </c>
      <c r="H36" s="17">
        <v>5772.8456629585398</v>
      </c>
      <c r="I36" s="17">
        <v>5773.624415062588</v>
      </c>
      <c r="J36" s="17">
        <v>5714.4354861909869</v>
      </c>
      <c r="K36" s="17">
        <v>5732.3050096242569</v>
      </c>
      <c r="L36" s="17">
        <v>5794.2597802100645</v>
      </c>
      <c r="M36" s="17">
        <v>6029.3272711108757</v>
      </c>
      <c r="N36" s="17">
        <v>6145.5356509755738</v>
      </c>
      <c r="O36" s="17">
        <v>6422.9138015457866</v>
      </c>
      <c r="P36" s="17">
        <v>6672.4913357079076</v>
      </c>
      <c r="Q36" s="17">
        <v>6934.2986160021228</v>
      </c>
      <c r="R36" s="17">
        <v>7247.3667735999798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" t="s">
        <v>49</v>
      </c>
      <c r="AI36" s="47">
        <v>-11140</v>
      </c>
      <c r="AJ36" s="47">
        <v>10058</v>
      </c>
      <c r="AK36" s="47">
        <v>-175.47515949313913</v>
      </c>
      <c r="AL36" s="47">
        <v>99.115056353749964</v>
      </c>
    </row>
    <row r="37" spans="1:38" x14ac:dyDescent="0.25">
      <c r="A37" s="9" t="s">
        <v>64</v>
      </c>
      <c r="B37" s="17">
        <v>4856.4720657876214</v>
      </c>
      <c r="C37" s="17">
        <v>4897.1141826439725</v>
      </c>
      <c r="D37" s="17">
        <v>4768.4513519149468</v>
      </c>
      <c r="E37" s="17">
        <v>4708.9773565734022</v>
      </c>
      <c r="F37" s="17">
        <v>4818.2379112007839</v>
      </c>
      <c r="G37" s="17">
        <v>4937.8361236820765</v>
      </c>
      <c r="H37" s="17">
        <v>4853.4385313122229</v>
      </c>
      <c r="I37" s="17">
        <v>4865.0182209506293</v>
      </c>
      <c r="J37" s="17">
        <v>4921.0935727920623</v>
      </c>
      <c r="K37" s="17">
        <v>4747.677134584932</v>
      </c>
      <c r="L37" s="17">
        <v>4643.7817717254102</v>
      </c>
      <c r="M37" s="17">
        <v>4569.4206752987238</v>
      </c>
      <c r="N37" s="17">
        <v>4541.6073703240127</v>
      </c>
      <c r="O37" s="17">
        <v>4462.3557242079041</v>
      </c>
      <c r="P37" s="17">
        <v>4453.6799554120998</v>
      </c>
      <c r="Q37" s="17">
        <v>4492.5946423403693</v>
      </c>
      <c r="R37" s="17">
        <v>4698.1147324505318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" t="s">
        <v>51</v>
      </c>
      <c r="AI37" s="47">
        <v>-11418</v>
      </c>
      <c r="AJ37" s="47">
        <v>10096</v>
      </c>
      <c r="AK37" s="47">
        <v>-1347.798565468579</v>
      </c>
      <c r="AL37" s="47">
        <v>67.815564873618385</v>
      </c>
    </row>
    <row r="38" spans="1:38" x14ac:dyDescent="0.25">
      <c r="A38" s="9" t="s">
        <v>66</v>
      </c>
      <c r="B38" s="17">
        <v>4052.703878560721</v>
      </c>
      <c r="C38" s="17">
        <v>4300.3396968772358</v>
      </c>
      <c r="D38" s="17">
        <v>4497.0406322332656</v>
      </c>
      <c r="E38" s="17">
        <v>4527.0238748837892</v>
      </c>
      <c r="F38" s="17">
        <v>4418.5294571822997</v>
      </c>
      <c r="G38" s="17">
        <v>4297.8226559052746</v>
      </c>
      <c r="H38" s="17">
        <v>4322.1966472313161</v>
      </c>
      <c r="I38" s="17">
        <v>4154.8087663579836</v>
      </c>
      <c r="J38" s="17">
        <v>4054.6389023183133</v>
      </c>
      <c r="K38" s="17">
        <v>4106.6925742347257</v>
      </c>
      <c r="L38" s="17">
        <v>4164.9754409468906</v>
      </c>
      <c r="M38" s="17">
        <v>4016.4933045486869</v>
      </c>
      <c r="N38" s="17">
        <v>4012.2521140146973</v>
      </c>
      <c r="O38" s="17">
        <v>4053.2579689185145</v>
      </c>
      <c r="P38" s="17">
        <v>3871.5171232451721</v>
      </c>
      <c r="Q38" s="17">
        <v>3760.0359893000873</v>
      </c>
      <c r="R38" s="17">
        <v>3668.8211417169632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" t="s">
        <v>53</v>
      </c>
      <c r="AI38" s="47">
        <v>-10160</v>
      </c>
      <c r="AJ38" s="47">
        <v>9330</v>
      </c>
      <c r="AK38" s="47">
        <v>-9856.4770438699416</v>
      </c>
      <c r="AL38" s="47">
        <v>333.86124245473661</v>
      </c>
    </row>
    <row r="39" spans="1:38" x14ac:dyDescent="0.25">
      <c r="A39" s="9" t="s">
        <v>68</v>
      </c>
      <c r="B39" s="17">
        <v>2171.3625401658151</v>
      </c>
      <c r="C39" s="17">
        <v>2309.760880556626</v>
      </c>
      <c r="D39" s="17">
        <v>2576.1476530347254</v>
      </c>
      <c r="E39" s="17">
        <v>2888.6268119101901</v>
      </c>
      <c r="F39" s="17">
        <v>3243.3132444633229</v>
      </c>
      <c r="G39" s="17">
        <v>3604.3339207751742</v>
      </c>
      <c r="H39" s="17">
        <v>3833.8291644867836</v>
      </c>
      <c r="I39" s="17">
        <v>4002.9512044106586</v>
      </c>
      <c r="J39" s="17">
        <v>4013.1775942720133</v>
      </c>
      <c r="K39" s="17">
        <v>3886.5109757020909</v>
      </c>
      <c r="L39" s="17">
        <v>3747.9540572053493</v>
      </c>
      <c r="M39" s="17">
        <v>3748.5096158523629</v>
      </c>
      <c r="N39" s="17">
        <v>3586.1804990155815</v>
      </c>
      <c r="O39" s="17">
        <v>3482.9696261490326</v>
      </c>
      <c r="P39" s="17">
        <v>3527.8799906130735</v>
      </c>
      <c r="Q39" s="17">
        <v>3578.914661545341</v>
      </c>
      <c r="R39" s="17">
        <v>3433.0767857790593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" t="s">
        <v>55</v>
      </c>
      <c r="AI39" s="47">
        <v>-7274</v>
      </c>
      <c r="AJ39" s="47">
        <v>6349</v>
      </c>
      <c r="AK39" s="47">
        <v>-15561.286484412845</v>
      </c>
      <c r="AL39" s="47">
        <v>1593.6657745300322</v>
      </c>
    </row>
    <row r="40" spans="1:38" x14ac:dyDescent="0.25">
      <c r="A40" s="9" t="s">
        <v>70</v>
      </c>
      <c r="B40" s="17">
        <v>1651.1491157498176</v>
      </c>
      <c r="C40" s="17">
        <v>1689.1630458335626</v>
      </c>
      <c r="D40" s="17">
        <v>1652.3887827931555</v>
      </c>
      <c r="E40" s="17">
        <v>1688.8486025521836</v>
      </c>
      <c r="F40" s="17">
        <v>1714.5671238135692</v>
      </c>
      <c r="G40" s="17">
        <v>1817.571554451823</v>
      </c>
      <c r="H40" s="17">
        <v>1943.8919638185964</v>
      </c>
      <c r="I40" s="17">
        <v>2180.7752580879983</v>
      </c>
      <c r="J40" s="17">
        <v>2455.6809130582888</v>
      </c>
      <c r="K40" s="17">
        <v>2770.6094947933052</v>
      </c>
      <c r="L40" s="17">
        <v>3094.5615836868606</v>
      </c>
      <c r="M40" s="17">
        <v>3292.5377748255064</v>
      </c>
      <c r="N40" s="17">
        <v>3446.5386783604818</v>
      </c>
      <c r="O40" s="17">
        <v>3451.5649198890783</v>
      </c>
      <c r="P40" s="17">
        <v>3333.6171408456585</v>
      </c>
      <c r="Q40" s="17">
        <v>3207.6959989025731</v>
      </c>
      <c r="R40" s="17">
        <v>3205.8021683812271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" t="s">
        <v>57</v>
      </c>
      <c r="AI40" s="47">
        <v>-6724</v>
      </c>
      <c r="AJ40" s="47">
        <v>5610</v>
      </c>
      <c r="AK40" s="47">
        <v>-10476.240373143582</v>
      </c>
      <c r="AL40" s="47">
        <v>1236.3299134651966</v>
      </c>
    </row>
    <row r="41" spans="1:38" x14ac:dyDescent="0.25">
      <c r="A41" s="9" t="s">
        <v>72</v>
      </c>
      <c r="B41" s="17">
        <v>1836.7872789374544</v>
      </c>
      <c r="C41" s="17">
        <v>1705.2907614583908</v>
      </c>
      <c r="D41" s="17">
        <v>1589.8471956982889</v>
      </c>
      <c r="E41" s="17">
        <v>1465.4621506380458</v>
      </c>
      <c r="F41" s="17">
        <v>1414.1417809533923</v>
      </c>
      <c r="G41" s="17">
        <v>1312.8928886129559</v>
      </c>
      <c r="H41" s="17">
        <v>1346.722990954649</v>
      </c>
      <c r="I41" s="17">
        <v>1313.9438145219997</v>
      </c>
      <c r="J41" s="17">
        <v>1344.1702282645722</v>
      </c>
      <c r="K41" s="17">
        <v>1371.4023736983263</v>
      </c>
      <c r="L41" s="17">
        <v>1457.6403959217153</v>
      </c>
      <c r="M41" s="17">
        <v>1567.8844437063765</v>
      </c>
      <c r="N41" s="17">
        <v>1779.1346695901204</v>
      </c>
      <c r="O41" s="17">
        <v>2023.3912299722697</v>
      </c>
      <c r="P41" s="17">
        <v>2303.6542852114148</v>
      </c>
      <c r="Q41" s="17">
        <v>2588.9239997256432</v>
      </c>
      <c r="R41" s="17">
        <v>2761.2005420953069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" t="s">
        <v>59</v>
      </c>
      <c r="AI41" s="47">
        <v>-4405</v>
      </c>
      <c r="AJ41" s="47">
        <v>5488</v>
      </c>
      <c r="AK41" s="47">
        <v>-6253.636003212936</v>
      </c>
      <c r="AL41" s="47">
        <v>719.88830404302587</v>
      </c>
    </row>
    <row r="42" spans="1:38" x14ac:dyDescent="0.25">
      <c r="A42" s="9" t="s">
        <v>74</v>
      </c>
      <c r="B42" s="17">
        <v>1557</v>
      </c>
      <c r="C42" s="17">
        <v>1526</v>
      </c>
      <c r="D42" s="17">
        <v>1519</v>
      </c>
      <c r="E42" s="17">
        <v>1500</v>
      </c>
      <c r="F42" s="17">
        <v>1405</v>
      </c>
      <c r="G42" s="17">
        <v>1348</v>
      </c>
      <c r="H42" s="17">
        <v>1258</v>
      </c>
      <c r="I42" s="17">
        <v>1168</v>
      </c>
      <c r="J42" s="17">
        <v>1072</v>
      </c>
      <c r="K42" s="17">
        <v>1031</v>
      </c>
      <c r="L42" s="17">
        <v>952</v>
      </c>
      <c r="M42" s="17">
        <v>983</v>
      </c>
      <c r="N42" s="17">
        <v>960</v>
      </c>
      <c r="O42" s="17">
        <v>982</v>
      </c>
      <c r="P42" s="17">
        <v>1008</v>
      </c>
      <c r="Q42" s="17">
        <v>1081</v>
      </c>
      <c r="R42" s="17">
        <v>1177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" t="s">
        <v>61</v>
      </c>
      <c r="AI42" s="47">
        <v>-5658</v>
      </c>
      <c r="AJ42" s="47">
        <v>8514</v>
      </c>
      <c r="AK42" s="47">
        <v>-3561.7723863075475</v>
      </c>
      <c r="AL42" s="47">
        <v>396.46022541499963</v>
      </c>
    </row>
    <row r="43" spans="1:38" x14ac:dyDescent="0.25">
      <c r="A43" s="20" t="s">
        <v>76</v>
      </c>
      <c r="B43" s="39">
        <v>1449.7872789374544</v>
      </c>
      <c r="C43" s="39">
        <v>1519.2907614583908</v>
      </c>
      <c r="D43" s="39">
        <v>1564.8471956982889</v>
      </c>
      <c r="E43" s="39">
        <v>1594.4621506380458</v>
      </c>
      <c r="F43" s="39">
        <v>1656.1417809533923</v>
      </c>
      <c r="G43" s="39">
        <v>1695.8928886129559</v>
      </c>
      <c r="H43" s="39">
        <v>1719.722990954649</v>
      </c>
      <c r="I43" s="39">
        <v>1738.9438145219997</v>
      </c>
      <c r="J43" s="39">
        <v>1746.1702282645722</v>
      </c>
      <c r="K43" s="39">
        <v>1719.4023736983263</v>
      </c>
      <c r="L43" s="39">
        <v>1713.6403959217153</v>
      </c>
      <c r="M43" s="39">
        <v>1665.8844437063765</v>
      </c>
      <c r="N43" s="39">
        <v>1624.1346695901204</v>
      </c>
      <c r="O43" s="39">
        <v>1573.3912299722697</v>
      </c>
      <c r="P43" s="39">
        <v>1539.6542852114146</v>
      </c>
      <c r="Q43" s="39">
        <v>1491.9239997256432</v>
      </c>
      <c r="R43" s="39">
        <v>1498.2005420953067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" t="s">
        <v>63</v>
      </c>
      <c r="AI43" s="47">
        <v>-5179</v>
      </c>
      <c r="AJ43" s="47">
        <v>7692</v>
      </c>
      <c r="AK43" s="47">
        <v>-2068.3667735999798</v>
      </c>
      <c r="AL43" s="47">
        <v>281.69542332118397</v>
      </c>
    </row>
    <row r="44" spans="1:38" x14ac:dyDescent="0.25">
      <c r="A44" s="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" t="s">
        <v>65</v>
      </c>
      <c r="AI44" s="47">
        <v>-3705</v>
      </c>
      <c r="AJ44" s="47">
        <v>5486</v>
      </c>
      <c r="AK44" s="47">
        <v>-993.11473245053196</v>
      </c>
      <c r="AL44" s="47">
        <v>125.19796592052629</v>
      </c>
    </row>
    <row r="45" spans="1:38" x14ac:dyDescent="0.25">
      <c r="A45" s="35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" t="s">
        <v>67</v>
      </c>
      <c r="AI45" s="47">
        <v>-3232</v>
      </c>
      <c r="AJ45" s="47">
        <v>4803</v>
      </c>
      <c r="AK45" s="47">
        <v>-436.82114171696327</v>
      </c>
      <c r="AL45" s="47">
        <v>80.857019657006546</v>
      </c>
    </row>
    <row r="46" spans="1:38" x14ac:dyDescent="0.25">
      <c r="A46" s="41" t="s">
        <v>4</v>
      </c>
      <c r="B46" s="41">
        <f>SUM(B47:B63)</f>
        <v>103572.45710622755</v>
      </c>
      <c r="C46" s="41">
        <f t="shared" ref="C46:R46" si="2">SUM(C47:C63)</f>
        <v>104603.07576910268</v>
      </c>
      <c r="D46" s="41">
        <f t="shared" si="2"/>
        <v>105586.94705592121</v>
      </c>
      <c r="E46" s="41">
        <f t="shared" si="2"/>
        <v>106517.83197924511</v>
      </c>
      <c r="F46" s="41">
        <f t="shared" si="2"/>
        <v>107385.78192986245</v>
      </c>
      <c r="G46" s="41">
        <f t="shared" si="2"/>
        <v>108241.16921613176</v>
      </c>
      <c r="H46" s="41">
        <f t="shared" si="2"/>
        <v>109056.72081517766</v>
      </c>
      <c r="I46" s="41">
        <f t="shared" si="2"/>
        <v>109476.20164384843</v>
      </c>
      <c r="J46" s="41">
        <f t="shared" si="2"/>
        <v>109822.45399289207</v>
      </c>
      <c r="K46" s="41">
        <f t="shared" si="2"/>
        <v>110097.54802368087</v>
      </c>
      <c r="L46" s="41">
        <f t="shared" si="2"/>
        <v>110295.55567373079</v>
      </c>
      <c r="M46" s="41">
        <f t="shared" si="2"/>
        <v>110416.5507016645</v>
      </c>
      <c r="N46" s="41">
        <f t="shared" si="2"/>
        <v>110446.60873331322</v>
      </c>
      <c r="O46" s="41">
        <f t="shared" si="2"/>
        <v>110440.80730898512</v>
      </c>
      <c r="P46" s="41">
        <f t="shared" si="2"/>
        <v>110387.22593193073</v>
      </c>
      <c r="Q46" s="41">
        <f t="shared" si="2"/>
        <v>110281.9461180348</v>
      </c>
      <c r="R46" s="41">
        <f t="shared" si="2"/>
        <v>110145.05144676668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" t="s">
        <v>69</v>
      </c>
      <c r="AI46" s="47">
        <v>-3224</v>
      </c>
      <c r="AJ46" s="47">
        <v>4336</v>
      </c>
      <c r="AK46" s="47">
        <v>-209.07678577905941</v>
      </c>
      <c r="AL46" s="47">
        <v>44.340946263519712</v>
      </c>
    </row>
    <row r="47" spans="1:38" x14ac:dyDescent="0.25">
      <c r="A47" s="17" t="s">
        <v>44</v>
      </c>
      <c r="B47" s="17">
        <v>11311.993730259126</v>
      </c>
      <c r="C47" s="17">
        <v>11300.346272347204</v>
      </c>
      <c r="D47" s="17">
        <v>11293.523797217631</v>
      </c>
      <c r="E47" s="17">
        <v>11191.718239985099</v>
      </c>
      <c r="F47" s="17">
        <v>11198.141721756525</v>
      </c>
      <c r="G47" s="17">
        <v>11214.02867261038</v>
      </c>
      <c r="H47" s="17">
        <v>11004.638177851713</v>
      </c>
      <c r="I47" s="17">
        <v>10770.248869558274</v>
      </c>
      <c r="J47" s="17">
        <v>10534.052226842661</v>
      </c>
      <c r="K47" s="17">
        <v>10286.053127057197</v>
      </c>
      <c r="L47" s="17">
        <v>10030.256571024967</v>
      </c>
      <c r="M47" s="17">
        <v>9767.6676861654978</v>
      </c>
      <c r="N47" s="17">
        <v>9514.2917296995565</v>
      </c>
      <c r="O47" s="17">
        <v>9277.134091935086</v>
      </c>
      <c r="P47" s="17">
        <v>9075.2002996363299</v>
      </c>
      <c r="Q47" s="17">
        <v>8912.4960194782307</v>
      </c>
      <c r="R47" s="17">
        <v>8786.0270615882891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" t="s">
        <v>71</v>
      </c>
      <c r="AI47" s="47">
        <v>-3161</v>
      </c>
      <c r="AJ47" s="47">
        <v>3733</v>
      </c>
      <c r="AK47" s="47">
        <v>-44.802168381226998</v>
      </c>
      <c r="AL47" s="47">
        <v>13.041454783388154</v>
      </c>
    </row>
    <row r="48" spans="1:38" x14ac:dyDescent="0.25">
      <c r="A48" s="17" t="s">
        <v>46</v>
      </c>
      <c r="B48" s="17">
        <v>10426.463462613805</v>
      </c>
      <c r="C48" s="17">
        <v>10879.084511503839</v>
      </c>
      <c r="D48" s="17">
        <v>11131.507073102337</v>
      </c>
      <c r="E48" s="17">
        <v>11362.815443236699</v>
      </c>
      <c r="F48" s="17">
        <v>11293.10278320388</v>
      </c>
      <c r="G48" s="17">
        <v>10975.472052159965</v>
      </c>
      <c r="H48" s="17">
        <v>10955.037037570009</v>
      </c>
      <c r="I48" s="17">
        <v>10928.379571089783</v>
      </c>
      <c r="J48" s="17">
        <v>10808.806721248466</v>
      </c>
      <c r="K48" s="17">
        <v>10794.320630126471</v>
      </c>
      <c r="L48" s="17">
        <v>10786.923494031236</v>
      </c>
      <c r="M48" s="17">
        <v>10550.617564869983</v>
      </c>
      <c r="N48" s="17">
        <v>10311.405151557237</v>
      </c>
      <c r="O48" s="17">
        <v>10071.288621457978</v>
      </c>
      <c r="P48" s="17">
        <v>9817.2704018673066</v>
      </c>
      <c r="Q48" s="17">
        <v>9554.3529815276015</v>
      </c>
      <c r="R48" s="17">
        <v>9286.5389121840453</v>
      </c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" t="s">
        <v>73</v>
      </c>
      <c r="AI48" s="47">
        <v>-2750</v>
      </c>
      <c r="AJ48" s="47">
        <v>2888</v>
      </c>
      <c r="AK48" s="47">
        <v>-11.200542095306751</v>
      </c>
      <c r="AL48" s="47">
        <v>2.6082909566776307</v>
      </c>
    </row>
    <row r="49" spans="1:45" x14ac:dyDescent="0.25">
      <c r="A49" s="17" t="s">
        <v>48</v>
      </c>
      <c r="B49" s="17">
        <v>8797.3632550665316</v>
      </c>
      <c r="C49" s="17">
        <v>8718.8186374945526</v>
      </c>
      <c r="D49" s="17">
        <v>8752.7425965829061</v>
      </c>
      <c r="E49" s="17">
        <v>9013.1844129691472</v>
      </c>
      <c r="F49" s="17">
        <v>9546.1985501807303</v>
      </c>
      <c r="G49" s="17">
        <v>10133.845199724286</v>
      </c>
      <c r="H49" s="17">
        <v>10582.190883502466</v>
      </c>
      <c r="I49" s="17">
        <v>10822.14498002172</v>
      </c>
      <c r="J49" s="17">
        <v>11042.148544729873</v>
      </c>
      <c r="K49" s="17">
        <v>10957.20282992009</v>
      </c>
      <c r="L49" s="17">
        <v>10627.309119587491</v>
      </c>
      <c r="M49" s="17">
        <v>10594.468730231682</v>
      </c>
      <c r="N49" s="17">
        <v>10557.683011679615</v>
      </c>
      <c r="O49" s="17">
        <v>10430.953347929279</v>
      </c>
      <c r="P49" s="17">
        <v>10407.281158014734</v>
      </c>
      <c r="Q49" s="17">
        <v>10395.667896893059</v>
      </c>
      <c r="R49" s="17">
        <v>10157.11505635375</v>
      </c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" t="s">
        <v>75</v>
      </c>
      <c r="AI49" s="47">
        <v>-2664</v>
      </c>
      <c r="AJ49" s="47">
        <v>2692</v>
      </c>
      <c r="AK49" s="47">
        <v>-11.200542095306751</v>
      </c>
      <c r="AL49" s="47">
        <v>2.6082909566776307</v>
      </c>
    </row>
    <row r="50" spans="1:45" x14ac:dyDescent="0.25">
      <c r="A50" s="17" t="s">
        <v>50</v>
      </c>
      <c r="B50" s="17">
        <v>8414.985385045522</v>
      </c>
      <c r="C50" s="17">
        <v>8646.0338046015349</v>
      </c>
      <c r="D50" s="17">
        <v>8850.4028292409348</v>
      </c>
      <c r="E50" s="17">
        <v>8919.12617729468</v>
      </c>
      <c r="F50" s="17">
        <v>8673.2411132815523</v>
      </c>
      <c r="G50" s="17">
        <v>8461.7888208639852</v>
      </c>
      <c r="H50" s="17">
        <v>8376.8148150280031</v>
      </c>
      <c r="I50" s="17">
        <v>8405.1518284359136</v>
      </c>
      <c r="J50" s="17">
        <v>8656.5226884993863</v>
      </c>
      <c r="K50" s="17">
        <v>9172.9282520505894</v>
      </c>
      <c r="L50" s="17">
        <v>9754.3693976124941</v>
      </c>
      <c r="M50" s="17">
        <v>10185.847025947993</v>
      </c>
      <c r="N50" s="17">
        <v>10422.362060622894</v>
      </c>
      <c r="O50" s="17">
        <v>10633.915448583191</v>
      </c>
      <c r="P50" s="17">
        <v>10542.508160746924</v>
      </c>
      <c r="Q50" s="17">
        <v>10204.141192611041</v>
      </c>
      <c r="R50" s="17">
        <v>10163.815564873619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" t="s">
        <v>77</v>
      </c>
      <c r="AI50" s="22">
        <f>SUM(AI34:AI49)</f>
        <v>-99816</v>
      </c>
      <c r="AJ50" s="22">
        <f>SUM(AJ34:AJ49)</f>
        <v>104592</v>
      </c>
      <c r="AK50" s="22">
        <f>SUM(AK34:AK49)</f>
        <v>-51802.507190793716</v>
      </c>
      <c r="AL50" s="22">
        <f>SUM(AL34:AL49)</f>
        <v>5553.0514467666735</v>
      </c>
    </row>
    <row r="51" spans="1:45" x14ac:dyDescent="0.25">
      <c r="A51" s="17" t="s">
        <v>52</v>
      </c>
      <c r="B51" s="17">
        <v>9408.6972802241089</v>
      </c>
      <c r="C51" s="17">
        <v>8571.7048841921751</v>
      </c>
      <c r="D51" s="17">
        <v>7998.2908516476809</v>
      </c>
      <c r="E51" s="17">
        <v>7658.6211805276544</v>
      </c>
      <c r="F51" s="17">
        <v>7673.8793269245625</v>
      </c>
      <c r="G51" s="17">
        <v>7965.2680411765441</v>
      </c>
      <c r="H51" s="17">
        <v>8208.0113970609418</v>
      </c>
      <c r="I51" s="17">
        <v>8399.5936169152646</v>
      </c>
      <c r="J51" s="17">
        <v>8461.3424664585164</v>
      </c>
      <c r="K51" s="17">
        <v>8208.2621639413592</v>
      </c>
      <c r="L51" s="17">
        <v>7987.3570343999718</v>
      </c>
      <c r="M51" s="17">
        <v>7891.6315123593495</v>
      </c>
      <c r="N51" s="17">
        <v>7909.0901446050211</v>
      </c>
      <c r="O51" s="17">
        <v>8155.73759302494</v>
      </c>
      <c r="P51" s="17">
        <v>8666.5786375233129</v>
      </c>
      <c r="Q51" s="17">
        <v>9238.6181790081991</v>
      </c>
      <c r="R51" s="17">
        <v>9663.8612424547373</v>
      </c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45" x14ac:dyDescent="0.25">
      <c r="A52" s="17" t="s">
        <v>54</v>
      </c>
      <c r="B52" s="17">
        <v>11739.156548569768</v>
      </c>
      <c r="C52" s="17">
        <v>11540.794408136089</v>
      </c>
      <c r="D52" s="17">
        <v>11142.966487161977</v>
      </c>
      <c r="E52" s="17">
        <v>10645.465166424972</v>
      </c>
      <c r="F52" s="17">
        <v>10127.166162116466</v>
      </c>
      <c r="G52" s="17">
        <v>9355.0372903036623</v>
      </c>
      <c r="H52" s="17">
        <v>8604.1481531580848</v>
      </c>
      <c r="I52" s="17">
        <v>8028.567968243955</v>
      </c>
      <c r="J52" s="17">
        <v>7682.7831797355775</v>
      </c>
      <c r="K52" s="17">
        <v>7695.8139231888308</v>
      </c>
      <c r="L52" s="17">
        <v>7975.6808438936159</v>
      </c>
      <c r="M52" s="17">
        <v>8208.405109777832</v>
      </c>
      <c r="N52" s="17">
        <v>8411.008424638032</v>
      </c>
      <c r="O52" s="17">
        <v>8480.5130417049859</v>
      </c>
      <c r="P52" s="17">
        <v>8235.9417775526872</v>
      </c>
      <c r="Q52" s="17">
        <v>8027.3180263594495</v>
      </c>
      <c r="R52" s="17">
        <v>7942.6657745300326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45" x14ac:dyDescent="0.25">
      <c r="A53" s="9" t="s">
        <v>56</v>
      </c>
      <c r="B53" s="17">
        <v>9329.4258658299022</v>
      </c>
      <c r="C53" s="17">
        <v>9897.0008992741514</v>
      </c>
      <c r="D53" s="17">
        <v>10398.420810007818</v>
      </c>
      <c r="E53" s="17">
        <v>10576.300309141468</v>
      </c>
      <c r="F53" s="17">
        <v>10751.31875751752</v>
      </c>
      <c r="G53" s="17">
        <v>10934.226964981892</v>
      </c>
      <c r="H53" s="17">
        <v>10735.854704741298</v>
      </c>
      <c r="I53" s="17">
        <v>10269.229487639337</v>
      </c>
      <c r="J53" s="17">
        <v>9691.2213211041962</v>
      </c>
      <c r="K53" s="17">
        <v>9085.8458258453466</v>
      </c>
      <c r="L53" s="17">
        <v>8217.1190180123958</v>
      </c>
      <c r="M53" s="17">
        <v>7357.0573192057163</v>
      </c>
      <c r="N53" s="17">
        <v>6757.677566740469</v>
      </c>
      <c r="O53" s="17">
        <v>6389.9970241704796</v>
      </c>
      <c r="P53" s="17">
        <v>6382.033392078516</v>
      </c>
      <c r="Q53" s="17">
        <v>6639.8048191397374</v>
      </c>
      <c r="R53" s="17">
        <v>6846.329913465197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45" x14ac:dyDescent="0.25">
      <c r="A54" s="9" t="s">
        <v>58</v>
      </c>
      <c r="B54" s="17">
        <v>6812.6910104832341</v>
      </c>
      <c r="C54" s="17">
        <v>7110.051156539379</v>
      </c>
      <c r="D54" s="17">
        <v>7359.8146488653119</v>
      </c>
      <c r="E54" s="17">
        <v>7799.3394205127533</v>
      </c>
      <c r="F54" s="17">
        <v>8276.0210486810884</v>
      </c>
      <c r="G54" s="17">
        <v>8659.2967137869236</v>
      </c>
      <c r="H54" s="17">
        <v>9210.6495749126534</v>
      </c>
      <c r="I54" s="17">
        <v>9651.8424864735371</v>
      </c>
      <c r="J54" s="17">
        <v>9761.3946933011775</v>
      </c>
      <c r="K54" s="17">
        <v>9868.3152909985547</v>
      </c>
      <c r="L54" s="17">
        <v>9968.61360542494</v>
      </c>
      <c r="M54" s="17">
        <v>9684.2991985248482</v>
      </c>
      <c r="N54" s="17">
        <v>9198.3818743045777</v>
      </c>
      <c r="O54" s="17">
        <v>8605.871684960026</v>
      </c>
      <c r="P54" s="17">
        <v>7976.7789371596427</v>
      </c>
      <c r="Q54" s="17">
        <v>7087.1141984864289</v>
      </c>
      <c r="R54" s="17">
        <v>6207.8883040430255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45" x14ac:dyDescent="0.25">
      <c r="A55" s="9" t="s">
        <v>60</v>
      </c>
      <c r="B55" s="17">
        <v>6191.453020266129</v>
      </c>
      <c r="C55" s="17">
        <v>6163.2745499782086</v>
      </c>
      <c r="D55" s="17">
        <v>6230.9703863316208</v>
      </c>
      <c r="E55" s="17">
        <v>6246.7376518765886</v>
      </c>
      <c r="F55" s="17">
        <v>6215.7942007229176</v>
      </c>
      <c r="G55" s="17">
        <v>6343.3807988971466</v>
      </c>
      <c r="H55" s="17">
        <v>6627.7635340098677</v>
      </c>
      <c r="I55" s="17">
        <v>6841.579920086876</v>
      </c>
      <c r="J55" s="17">
        <v>7239.5941789194894</v>
      </c>
      <c r="K55" s="17">
        <v>7677.8113196803642</v>
      </c>
      <c r="L55" s="17">
        <v>8008.236478349967</v>
      </c>
      <c r="M55" s="17">
        <v>8504.874920926728</v>
      </c>
      <c r="N55" s="17">
        <v>8931.7320467184636</v>
      </c>
      <c r="O55" s="17">
        <v>9028.8133917171162</v>
      </c>
      <c r="P55" s="17">
        <v>9118.1246320589344</v>
      </c>
      <c r="Q55" s="17">
        <v>9207.6715875722366</v>
      </c>
      <c r="R55" s="17">
        <v>8910.4602254149995</v>
      </c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45" x14ac:dyDescent="0.25">
      <c r="A56" s="9" t="s">
        <v>62</v>
      </c>
      <c r="B56" s="17">
        <v>5476.4008301890917</v>
      </c>
      <c r="C56" s="17">
        <v>5537.0634960371481</v>
      </c>
      <c r="D56" s="17">
        <v>5693.0579060777309</v>
      </c>
      <c r="E56" s="17">
        <v>5844.5241210702079</v>
      </c>
      <c r="F56" s="17">
        <v>5809.6169320925992</v>
      </c>
      <c r="G56" s="17">
        <v>5837.5074097427096</v>
      </c>
      <c r="H56" s="17">
        <v>5806.3846162701693</v>
      </c>
      <c r="I56" s="17">
        <v>5854.9383642722541</v>
      </c>
      <c r="J56" s="17">
        <v>5846.6327060743733</v>
      </c>
      <c r="K56" s="17">
        <v>5794.4712008255219</v>
      </c>
      <c r="L56" s="17">
        <v>5894.4574977749762</v>
      </c>
      <c r="M56" s="17">
        <v>6151.5953385532011</v>
      </c>
      <c r="N56" s="17">
        <v>6353.8885595104866</v>
      </c>
      <c r="O56" s="17">
        <v>6741.3410941147931</v>
      </c>
      <c r="P56" s="17">
        <v>7168.9569754102949</v>
      </c>
      <c r="Q56" s="17">
        <v>7488.7403385381676</v>
      </c>
      <c r="R56" s="17">
        <v>7973.6954233211836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45" x14ac:dyDescent="0.25">
      <c r="A57" s="9" t="s">
        <v>64</v>
      </c>
      <c r="B57" s="17">
        <v>4687.5114800840411</v>
      </c>
      <c r="C57" s="17">
        <v>4795.1393315720661</v>
      </c>
      <c r="D57" s="17">
        <v>4786.3590693678807</v>
      </c>
      <c r="E57" s="17">
        <v>4780.2329426978704</v>
      </c>
      <c r="F57" s="17">
        <v>4917.8297475967111</v>
      </c>
      <c r="G57" s="17">
        <v>5082.2255154412042</v>
      </c>
      <c r="H57" s="17">
        <v>5137.5042738978527</v>
      </c>
      <c r="I57" s="17">
        <v>5275.9726063432236</v>
      </c>
      <c r="J57" s="17">
        <v>5410.5034249219443</v>
      </c>
      <c r="K57" s="17">
        <v>5355.0983114780101</v>
      </c>
      <c r="L57" s="17">
        <v>5362.7588878999895</v>
      </c>
      <c r="M57" s="17">
        <v>5310.4868171347562</v>
      </c>
      <c r="N57" s="17">
        <v>5350.2838042268831</v>
      </c>
      <c r="O57" s="17">
        <v>5335.1515973843525</v>
      </c>
      <c r="P57" s="17">
        <v>5276.0919890712421</v>
      </c>
      <c r="Q57" s="17">
        <v>5367.1068171280749</v>
      </c>
      <c r="R57" s="17">
        <v>5611.1979659205263</v>
      </c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45" x14ac:dyDescent="0.25">
      <c r="A58" s="9" t="s">
        <v>66</v>
      </c>
      <c r="B58" s="17">
        <v>3660.5594975542763</v>
      </c>
      <c r="C58" s="17">
        <v>3949.1941516402926</v>
      </c>
      <c r="D58" s="17">
        <v>4147.2110656334225</v>
      </c>
      <c r="E58" s="17">
        <v>4361.6504421590416</v>
      </c>
      <c r="F58" s="17">
        <v>4441.5567119895422</v>
      </c>
      <c r="G58" s="17">
        <v>4343.9789787224445</v>
      </c>
      <c r="H58" s="17">
        <v>4446.9715102256969</v>
      </c>
      <c r="I58" s="17">
        <v>4430.565641596665</v>
      </c>
      <c r="J58" s="17">
        <v>4414.200128595422</v>
      </c>
      <c r="K58" s="17">
        <v>4541.8759928295476</v>
      </c>
      <c r="L58" s="17">
        <v>4695.5942817687428</v>
      </c>
      <c r="M58" s="17">
        <v>4740.3560693995296</v>
      </c>
      <c r="N58" s="17">
        <v>4870.162456896529</v>
      </c>
      <c r="O58" s="17">
        <v>4997.0145733107274</v>
      </c>
      <c r="P58" s="17">
        <v>4938.9135762751775</v>
      </c>
      <c r="Q58" s="17">
        <v>4940.8606527285483</v>
      </c>
      <c r="R58" s="17">
        <v>4883.8570196570063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45" x14ac:dyDescent="0.25">
      <c r="A59" s="9" t="s">
        <v>68</v>
      </c>
      <c r="B59" s="17">
        <v>1895.9519825297643</v>
      </c>
      <c r="C59" s="17">
        <v>2060.9451799317735</v>
      </c>
      <c r="D59" s="17">
        <v>2345.1480037344577</v>
      </c>
      <c r="E59" s="17">
        <v>2613.5825005388292</v>
      </c>
      <c r="F59" s="17">
        <v>2950.2730356071684</v>
      </c>
      <c r="G59" s="17">
        <v>3368.2465367187597</v>
      </c>
      <c r="H59" s="17">
        <v>3646.5327636721563</v>
      </c>
      <c r="I59" s="17">
        <v>3829.4069647465585</v>
      </c>
      <c r="J59" s="17">
        <v>4034.3032963265218</v>
      </c>
      <c r="K59" s="17">
        <v>4108.2223186484616</v>
      </c>
      <c r="L59" s="17">
        <v>4006.1646061312463</v>
      </c>
      <c r="M59" s="17">
        <v>4101.1307477352266</v>
      </c>
      <c r="N59" s="17">
        <v>4084.1213473303542</v>
      </c>
      <c r="O59" s="17">
        <v>4071.1370240736246</v>
      </c>
      <c r="P59" s="17">
        <v>4193.1784127960645</v>
      </c>
      <c r="Q59" s="17">
        <v>4342.2461643995266</v>
      </c>
      <c r="R59" s="17">
        <v>4380.34094626352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45" x14ac:dyDescent="0.25">
      <c r="A60" s="9" t="s">
        <v>70</v>
      </c>
      <c r="B60" s="17">
        <v>1559.5741125087543</v>
      </c>
      <c r="C60" s="17">
        <v>1552.160347038757</v>
      </c>
      <c r="D60" s="17">
        <v>1551.8082363924875</v>
      </c>
      <c r="E60" s="17">
        <v>1608.5242648643614</v>
      </c>
      <c r="F60" s="17">
        <v>1613.3155987079908</v>
      </c>
      <c r="G60" s="17">
        <v>1679.1901578584589</v>
      </c>
      <c r="H60" s="17">
        <v>1836.1566951976929</v>
      </c>
      <c r="I60" s="17">
        <v>2095.4138131607524</v>
      </c>
      <c r="J60" s="17">
        <v>2347.6774400960358</v>
      </c>
      <c r="K60" s="17">
        <v>2660.9477407789595</v>
      </c>
      <c r="L60" s="17">
        <v>3055.2248841562491</v>
      </c>
      <c r="M60" s="17">
        <v>3311.5090434515373</v>
      </c>
      <c r="N60" s="17">
        <v>3484.8003962736339</v>
      </c>
      <c r="O60" s="17">
        <v>3680.0991247275365</v>
      </c>
      <c r="P60" s="17">
        <v>3750.4054155282543</v>
      </c>
      <c r="Q60" s="17">
        <v>3650.7194601175079</v>
      </c>
      <c r="R60" s="17">
        <v>3746.041454783388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45" x14ac:dyDescent="0.25">
      <c r="A61" s="9" t="s">
        <v>72</v>
      </c>
      <c r="B61" s="17">
        <v>1682.114822501751</v>
      </c>
      <c r="C61" s="17">
        <v>1584.2320694077514</v>
      </c>
      <c r="D61" s="17">
        <v>1533.3616472784975</v>
      </c>
      <c r="E61" s="17">
        <v>1438.5048529728722</v>
      </c>
      <c r="F61" s="17">
        <v>1363.6631197415982</v>
      </c>
      <c r="G61" s="17">
        <v>1297.8380315716918</v>
      </c>
      <c r="H61" s="17">
        <v>1295.0313390395386</v>
      </c>
      <c r="I61" s="17">
        <v>1294.0827626321504</v>
      </c>
      <c r="J61" s="17">
        <v>1343.1354880192071</v>
      </c>
      <c r="K61" s="17">
        <v>1352.189548155792</v>
      </c>
      <c r="L61" s="17">
        <v>1406.2449768312497</v>
      </c>
      <c r="M61" s="17">
        <v>1549.3018086903073</v>
      </c>
      <c r="N61" s="17">
        <v>1788.3600792547268</v>
      </c>
      <c r="O61" s="17">
        <v>2020.4198249455073</v>
      </c>
      <c r="P61" s="17">
        <v>2305.4810831056507</v>
      </c>
      <c r="Q61" s="17">
        <v>2656.5438920235015</v>
      </c>
      <c r="R61" s="17">
        <v>2890.6082909566776</v>
      </c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45" x14ac:dyDescent="0.25">
      <c r="A62" s="9" t="s">
        <v>74</v>
      </c>
      <c r="B62" s="17">
        <v>1282</v>
      </c>
      <c r="C62" s="17">
        <v>1336</v>
      </c>
      <c r="D62" s="17">
        <v>1311</v>
      </c>
      <c r="E62" s="17">
        <v>1311</v>
      </c>
      <c r="F62" s="17">
        <v>1313</v>
      </c>
      <c r="G62" s="17">
        <v>1310</v>
      </c>
      <c r="H62" s="17">
        <v>1227</v>
      </c>
      <c r="I62" s="17">
        <v>1184</v>
      </c>
      <c r="J62" s="17">
        <v>1108</v>
      </c>
      <c r="K62" s="17">
        <v>1048</v>
      </c>
      <c r="L62" s="17">
        <v>998</v>
      </c>
      <c r="M62" s="17">
        <v>999</v>
      </c>
      <c r="N62" s="17">
        <v>999</v>
      </c>
      <c r="O62" s="17">
        <v>1040</v>
      </c>
      <c r="P62" s="17">
        <v>1052</v>
      </c>
      <c r="Q62" s="17">
        <v>1099</v>
      </c>
      <c r="R62" s="17">
        <v>1222</v>
      </c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45" x14ac:dyDescent="0.25">
      <c r="A63" s="20" t="s">
        <v>76</v>
      </c>
      <c r="B63" s="39">
        <v>896.11482250175084</v>
      </c>
      <c r="C63" s="39">
        <v>961.2320694077514</v>
      </c>
      <c r="D63" s="39">
        <v>1060.3616472784975</v>
      </c>
      <c r="E63" s="39">
        <v>1146.5048529728722</v>
      </c>
      <c r="F63" s="39">
        <v>1221.6631197415982</v>
      </c>
      <c r="G63" s="39">
        <v>1279.8380315716918</v>
      </c>
      <c r="H63" s="39">
        <v>1356.0313390395386</v>
      </c>
      <c r="I63" s="39">
        <v>1395.0827626321504</v>
      </c>
      <c r="J63" s="39">
        <v>1440.1354880192071</v>
      </c>
      <c r="K63" s="39">
        <v>1490.189548155792</v>
      </c>
      <c r="L63" s="39">
        <v>1521.2449768312497</v>
      </c>
      <c r="M63" s="39">
        <v>1508.3018086903073</v>
      </c>
      <c r="N63" s="39">
        <v>1502.3600792547268</v>
      </c>
      <c r="O63" s="39">
        <v>1481.4198249455073</v>
      </c>
      <c r="P63" s="39">
        <v>1480.4810831056509</v>
      </c>
      <c r="Q63" s="39">
        <v>1469.5438920235015</v>
      </c>
      <c r="R63" s="39">
        <v>1472.6082909566776</v>
      </c>
      <c r="T63" s="16"/>
      <c r="U63" s="16"/>
      <c r="V63" s="16"/>
      <c r="W63" s="16"/>
      <c r="X63" s="16"/>
      <c r="Y63" s="16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</row>
    <row r="64" spans="1:45" x14ac:dyDescent="0.25">
      <c r="A64" s="9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</row>
    <row r="65" spans="1:45" x14ac:dyDescent="0.25">
      <c r="A65" s="9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 spans="1:45" ht="18.75" x14ac:dyDescent="0.5">
      <c r="A66" s="134" t="s">
        <v>81</v>
      </c>
      <c r="B66" s="134"/>
      <c r="C66" s="134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7" t="s">
        <v>101</v>
      </c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</row>
    <row r="67" spans="1:45" s="48" customFormat="1" x14ac:dyDescent="0.2">
      <c r="A67" s="11" t="s">
        <v>43</v>
      </c>
      <c r="B67" s="12">
        <v>2014</v>
      </c>
      <c r="C67" s="12">
        <v>2015</v>
      </c>
      <c r="D67" s="12">
        <v>2016</v>
      </c>
      <c r="E67" s="12">
        <v>2017</v>
      </c>
      <c r="F67" s="12">
        <v>2018</v>
      </c>
      <c r="G67" s="12">
        <v>2019</v>
      </c>
      <c r="H67" s="12">
        <v>2020</v>
      </c>
      <c r="I67" s="12">
        <v>2021</v>
      </c>
      <c r="J67" s="12">
        <v>2022</v>
      </c>
      <c r="K67" s="12">
        <v>2023</v>
      </c>
      <c r="L67" s="12">
        <v>2024</v>
      </c>
      <c r="M67" s="12">
        <v>2025</v>
      </c>
      <c r="N67" s="12">
        <v>2026</v>
      </c>
      <c r="O67" s="12">
        <v>2027</v>
      </c>
      <c r="P67" s="12">
        <v>2028</v>
      </c>
      <c r="Q67" s="12">
        <v>2029</v>
      </c>
      <c r="R67" s="12">
        <v>2030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pans="1:45" x14ac:dyDescent="0.25">
      <c r="A68" s="41" t="s">
        <v>2</v>
      </c>
      <c r="B68" s="41">
        <f>SUM(B69:B85)</f>
        <v>195665</v>
      </c>
      <c r="C68" s="41">
        <f t="shared" ref="C68:R68" si="3">SUM(C69:C85)</f>
        <v>197313</v>
      </c>
      <c r="D68" s="41">
        <f t="shared" si="3"/>
        <v>198823</v>
      </c>
      <c r="E68" s="41">
        <f t="shared" si="3"/>
        <v>200166</v>
      </c>
      <c r="F68" s="41">
        <f t="shared" si="3"/>
        <v>201347</v>
      </c>
      <c r="G68" s="41">
        <f t="shared" si="3"/>
        <v>202410</v>
      </c>
      <c r="H68" s="41">
        <f t="shared" si="3"/>
        <v>203348</v>
      </c>
      <c r="I68" s="41">
        <f t="shared" si="3"/>
        <v>204094</v>
      </c>
      <c r="J68" s="41">
        <f t="shared" si="3"/>
        <v>204689</v>
      </c>
      <c r="K68" s="41">
        <f t="shared" si="3"/>
        <v>205123</v>
      </c>
      <c r="L68" s="41">
        <f t="shared" si="3"/>
        <v>205407</v>
      </c>
      <c r="M68" s="41">
        <f t="shared" si="3"/>
        <v>205538</v>
      </c>
      <c r="N68" s="41">
        <f t="shared" si="3"/>
        <v>205499</v>
      </c>
      <c r="O68" s="41">
        <f t="shared" si="3"/>
        <v>205362</v>
      </c>
      <c r="P68" s="41">
        <f t="shared" si="3"/>
        <v>205129</v>
      </c>
      <c r="Q68" s="41">
        <f t="shared" si="3"/>
        <v>204821</v>
      </c>
      <c r="R68" s="41">
        <f t="shared" si="3"/>
        <v>204408</v>
      </c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x14ac:dyDescent="0.25">
      <c r="A69" s="17" t="s">
        <v>44</v>
      </c>
      <c r="B69" s="17">
        <v>23486</v>
      </c>
      <c r="C69" s="17">
        <v>23447</v>
      </c>
      <c r="D69" s="17">
        <v>23324</v>
      </c>
      <c r="E69" s="17">
        <v>23026</v>
      </c>
      <c r="F69" s="17">
        <v>22923</v>
      </c>
      <c r="G69" s="17">
        <v>22913</v>
      </c>
      <c r="H69" s="17">
        <v>22410</v>
      </c>
      <c r="I69" s="17">
        <v>21895</v>
      </c>
      <c r="J69" s="17">
        <v>21380</v>
      </c>
      <c r="K69" s="17">
        <v>20838</v>
      </c>
      <c r="L69" s="17">
        <v>20275</v>
      </c>
      <c r="M69" s="17">
        <v>19701</v>
      </c>
      <c r="N69" s="17">
        <v>19144</v>
      </c>
      <c r="O69" s="17">
        <v>18624</v>
      </c>
      <c r="P69" s="17">
        <v>18173</v>
      </c>
      <c r="Q69" s="17">
        <v>17805</v>
      </c>
      <c r="R69" s="17">
        <v>17512</v>
      </c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x14ac:dyDescent="0.25">
      <c r="A70" s="17" t="s">
        <v>46</v>
      </c>
      <c r="B70" s="17">
        <v>21243</v>
      </c>
      <c r="C70" s="17">
        <v>22248</v>
      </c>
      <c r="D70" s="17">
        <v>22935</v>
      </c>
      <c r="E70" s="17">
        <v>23487</v>
      </c>
      <c r="F70" s="17">
        <v>23445</v>
      </c>
      <c r="G70" s="17">
        <v>22936</v>
      </c>
      <c r="H70" s="17">
        <v>22890</v>
      </c>
      <c r="I70" s="17">
        <v>22767</v>
      </c>
      <c r="J70" s="17">
        <v>22467</v>
      </c>
      <c r="K70" s="17">
        <v>22363</v>
      </c>
      <c r="L70" s="17">
        <v>22350</v>
      </c>
      <c r="M70" s="17">
        <v>21846</v>
      </c>
      <c r="N70" s="17">
        <v>21331</v>
      </c>
      <c r="O70" s="17">
        <v>20814</v>
      </c>
      <c r="P70" s="17">
        <v>20268</v>
      </c>
      <c r="Q70" s="17">
        <v>19705</v>
      </c>
      <c r="R70" s="17">
        <v>19127</v>
      </c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x14ac:dyDescent="0.25">
      <c r="A71" s="17" t="s">
        <v>48</v>
      </c>
      <c r="B71" s="17">
        <v>18147</v>
      </c>
      <c r="C71" s="17">
        <v>17892</v>
      </c>
      <c r="D71" s="17">
        <v>17945</v>
      </c>
      <c r="E71" s="17">
        <v>18477</v>
      </c>
      <c r="F71" s="17">
        <v>19542</v>
      </c>
      <c r="G71" s="17">
        <v>20693</v>
      </c>
      <c r="H71" s="17">
        <v>21685</v>
      </c>
      <c r="I71" s="17">
        <v>22366</v>
      </c>
      <c r="J71" s="17">
        <v>22910</v>
      </c>
      <c r="K71" s="17">
        <v>22859</v>
      </c>
      <c r="L71" s="17">
        <v>22342</v>
      </c>
      <c r="M71" s="17">
        <v>22292</v>
      </c>
      <c r="N71" s="17">
        <v>22150</v>
      </c>
      <c r="O71" s="17">
        <v>21843</v>
      </c>
      <c r="P71" s="17">
        <v>21728</v>
      </c>
      <c r="Q71" s="17">
        <v>21707</v>
      </c>
      <c r="R71" s="17">
        <v>21198</v>
      </c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x14ac:dyDescent="0.25">
      <c r="A72" s="17" t="s">
        <v>50</v>
      </c>
      <c r="B72" s="17">
        <v>17031</v>
      </c>
      <c r="C72" s="17">
        <v>17825</v>
      </c>
      <c r="D72" s="17">
        <v>18281</v>
      </c>
      <c r="E72" s="17">
        <v>18325</v>
      </c>
      <c r="F72" s="17">
        <v>17815</v>
      </c>
      <c r="G72" s="17">
        <v>17499</v>
      </c>
      <c r="H72" s="17">
        <v>17236</v>
      </c>
      <c r="I72" s="17">
        <v>17280</v>
      </c>
      <c r="J72" s="17">
        <v>17802</v>
      </c>
      <c r="K72" s="17">
        <v>18851</v>
      </c>
      <c r="L72" s="17">
        <v>19992</v>
      </c>
      <c r="M72" s="17">
        <v>20972</v>
      </c>
      <c r="N72" s="17">
        <v>21641</v>
      </c>
      <c r="O72" s="17">
        <v>22170</v>
      </c>
      <c r="P72" s="17">
        <v>22105</v>
      </c>
      <c r="Q72" s="17">
        <v>21575</v>
      </c>
      <c r="R72" s="17">
        <v>21514</v>
      </c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x14ac:dyDescent="0.25">
      <c r="A73" s="17" t="s">
        <v>52</v>
      </c>
      <c r="B73" s="17">
        <v>16518</v>
      </c>
      <c r="C73" s="17">
        <v>15319</v>
      </c>
      <c r="D73" s="17">
        <v>14737</v>
      </c>
      <c r="E73" s="17">
        <v>14670</v>
      </c>
      <c r="F73" s="17">
        <v>15098</v>
      </c>
      <c r="G73" s="17">
        <v>15805</v>
      </c>
      <c r="H73" s="17">
        <v>16582</v>
      </c>
      <c r="I73" s="17">
        <v>17009</v>
      </c>
      <c r="J73" s="17">
        <v>17034</v>
      </c>
      <c r="K73" s="17">
        <v>16503</v>
      </c>
      <c r="L73" s="17">
        <v>16167</v>
      </c>
      <c r="M73" s="17">
        <v>15878</v>
      </c>
      <c r="N73" s="17">
        <v>15895</v>
      </c>
      <c r="O73" s="17">
        <v>16396</v>
      </c>
      <c r="P73" s="17">
        <v>17417</v>
      </c>
      <c r="Q73" s="17">
        <v>18537</v>
      </c>
      <c r="R73" s="17">
        <v>19490</v>
      </c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x14ac:dyDescent="0.25">
      <c r="A74" s="17" t="s">
        <v>54</v>
      </c>
      <c r="B74" s="17">
        <v>19121</v>
      </c>
      <c r="C74" s="17">
        <v>18569</v>
      </c>
      <c r="D74" s="17">
        <v>17772</v>
      </c>
      <c r="E74" s="17">
        <v>16826</v>
      </c>
      <c r="F74" s="17">
        <v>15907</v>
      </c>
      <c r="G74" s="17">
        <v>14652</v>
      </c>
      <c r="H74" s="17">
        <v>13423</v>
      </c>
      <c r="I74" s="17">
        <v>12804</v>
      </c>
      <c r="J74" s="17">
        <v>12704</v>
      </c>
      <c r="K74" s="17">
        <v>13100</v>
      </c>
      <c r="L74" s="17">
        <v>13768</v>
      </c>
      <c r="M74" s="17">
        <v>14508</v>
      </c>
      <c r="N74" s="17">
        <v>14901</v>
      </c>
      <c r="O74" s="17">
        <v>14887</v>
      </c>
      <c r="P74" s="17">
        <v>14320</v>
      </c>
      <c r="Q74" s="17">
        <v>13950</v>
      </c>
      <c r="R74" s="17">
        <v>13623</v>
      </c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x14ac:dyDescent="0.25">
      <c r="A75" s="9" t="s">
        <v>56</v>
      </c>
      <c r="B75" s="17">
        <v>15430</v>
      </c>
      <c r="C75" s="17">
        <v>16236</v>
      </c>
      <c r="D75" s="17">
        <v>16983</v>
      </c>
      <c r="E75" s="17">
        <v>17154</v>
      </c>
      <c r="F75" s="17">
        <v>17341</v>
      </c>
      <c r="G75" s="17">
        <v>17308</v>
      </c>
      <c r="H75" s="17">
        <v>16723</v>
      </c>
      <c r="I75" s="17">
        <v>15896</v>
      </c>
      <c r="J75" s="17">
        <v>14922</v>
      </c>
      <c r="K75" s="17">
        <v>13974</v>
      </c>
      <c r="L75" s="17">
        <v>12687</v>
      </c>
      <c r="M75" s="17">
        <v>11421</v>
      </c>
      <c r="N75" s="17">
        <v>10774</v>
      </c>
      <c r="O75" s="17">
        <v>10639</v>
      </c>
      <c r="P75" s="17">
        <v>10998</v>
      </c>
      <c r="Q75" s="17">
        <v>11636</v>
      </c>
      <c r="R75" s="17">
        <v>12334</v>
      </c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x14ac:dyDescent="0.25">
      <c r="A76" s="9" t="s">
        <v>58</v>
      </c>
      <c r="B76" s="17">
        <v>11512</v>
      </c>
      <c r="C76" s="17">
        <v>11985</v>
      </c>
      <c r="D76" s="17">
        <v>12287</v>
      </c>
      <c r="E76" s="17">
        <v>12935</v>
      </c>
      <c r="F76" s="17">
        <v>13588</v>
      </c>
      <c r="G76" s="17">
        <v>14153</v>
      </c>
      <c r="H76" s="17">
        <v>14934</v>
      </c>
      <c r="I76" s="17">
        <v>15658</v>
      </c>
      <c r="J76" s="17">
        <v>15802</v>
      </c>
      <c r="K76" s="17">
        <v>15967</v>
      </c>
      <c r="L76" s="17">
        <v>15911</v>
      </c>
      <c r="M76" s="17">
        <v>15306</v>
      </c>
      <c r="N76" s="17">
        <v>14457</v>
      </c>
      <c r="O76" s="17">
        <v>13465</v>
      </c>
      <c r="P76" s="17">
        <v>12492</v>
      </c>
      <c r="Q76" s="17">
        <v>11180</v>
      </c>
      <c r="R76" s="17">
        <v>9893</v>
      </c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x14ac:dyDescent="0.25">
      <c r="A77" s="9" t="s">
        <v>60</v>
      </c>
      <c r="B77" s="17">
        <v>10741</v>
      </c>
      <c r="C77" s="17">
        <v>10606</v>
      </c>
      <c r="D77" s="17">
        <v>10619</v>
      </c>
      <c r="E77" s="17">
        <v>10524</v>
      </c>
      <c r="F77" s="17">
        <v>10448</v>
      </c>
      <c r="G77" s="17">
        <v>10574</v>
      </c>
      <c r="H77" s="17">
        <v>11031</v>
      </c>
      <c r="I77" s="17">
        <v>11315</v>
      </c>
      <c r="J77" s="17">
        <v>11943</v>
      </c>
      <c r="K77" s="17">
        <v>12582</v>
      </c>
      <c r="L77" s="17">
        <v>13129</v>
      </c>
      <c r="M77" s="17">
        <v>13886</v>
      </c>
      <c r="N77" s="17">
        <v>14591</v>
      </c>
      <c r="O77" s="17">
        <v>14718</v>
      </c>
      <c r="P77" s="17">
        <v>14866</v>
      </c>
      <c r="Q77" s="17">
        <v>14794</v>
      </c>
      <c r="R77" s="17">
        <v>14172</v>
      </c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</row>
    <row r="78" spans="1:45" x14ac:dyDescent="0.25">
      <c r="A78" s="9" t="s">
        <v>62</v>
      </c>
      <c r="B78" s="17">
        <v>10041</v>
      </c>
      <c r="C78" s="17">
        <v>9933</v>
      </c>
      <c r="D78" s="17">
        <v>10068</v>
      </c>
      <c r="E78" s="17">
        <v>10248</v>
      </c>
      <c r="F78" s="17">
        <v>10008</v>
      </c>
      <c r="G78" s="17">
        <v>9893</v>
      </c>
      <c r="H78" s="17">
        <v>9749</v>
      </c>
      <c r="I78" s="17">
        <v>9752</v>
      </c>
      <c r="J78" s="17">
        <v>9637</v>
      </c>
      <c r="K78" s="17">
        <v>9554</v>
      </c>
      <c r="L78" s="17">
        <v>9666</v>
      </c>
      <c r="M78" s="17">
        <v>10107</v>
      </c>
      <c r="N78" s="17">
        <v>10373</v>
      </c>
      <c r="O78" s="17">
        <v>10984</v>
      </c>
      <c r="P78" s="17">
        <v>11606</v>
      </c>
      <c r="Q78" s="17">
        <v>12131</v>
      </c>
      <c r="R78" s="17">
        <v>12871</v>
      </c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</row>
    <row r="79" spans="1:45" x14ac:dyDescent="0.25">
      <c r="A79" s="9" t="s">
        <v>64</v>
      </c>
      <c r="B79" s="17">
        <v>9066</v>
      </c>
      <c r="C79" s="17">
        <v>9164</v>
      </c>
      <c r="D79" s="17">
        <v>8971</v>
      </c>
      <c r="E79" s="17">
        <v>8844</v>
      </c>
      <c r="F79" s="17">
        <v>9023</v>
      </c>
      <c r="G79" s="17">
        <v>9232</v>
      </c>
      <c r="H79" s="17">
        <v>9120</v>
      </c>
      <c r="I79" s="17">
        <v>9248</v>
      </c>
      <c r="J79" s="17">
        <v>9416</v>
      </c>
      <c r="K79" s="17">
        <v>9164</v>
      </c>
      <c r="L79" s="17">
        <v>9044</v>
      </c>
      <c r="M79" s="17">
        <v>8893</v>
      </c>
      <c r="N79" s="17">
        <v>8880</v>
      </c>
      <c r="O79" s="17">
        <v>8760</v>
      </c>
      <c r="P79" s="17">
        <v>8666</v>
      </c>
      <c r="Q79" s="17">
        <v>8769</v>
      </c>
      <c r="R79" s="17">
        <v>9191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</row>
    <row r="80" spans="1:45" x14ac:dyDescent="0.25">
      <c r="A80" s="9" t="s">
        <v>66</v>
      </c>
      <c r="B80" s="17">
        <v>7492</v>
      </c>
      <c r="C80" s="17">
        <v>8005</v>
      </c>
      <c r="D80" s="17">
        <v>8374</v>
      </c>
      <c r="E80" s="17">
        <v>8590</v>
      </c>
      <c r="F80" s="17">
        <v>8530</v>
      </c>
      <c r="G80" s="17">
        <v>8277</v>
      </c>
      <c r="H80" s="17">
        <v>8366</v>
      </c>
      <c r="I80" s="17">
        <v>8172</v>
      </c>
      <c r="J80" s="17">
        <v>8045</v>
      </c>
      <c r="K80" s="17">
        <v>8214</v>
      </c>
      <c r="L80" s="17">
        <v>8415</v>
      </c>
      <c r="M80" s="17">
        <v>8300</v>
      </c>
      <c r="N80" s="17">
        <v>8414</v>
      </c>
      <c r="O80" s="17">
        <v>8570</v>
      </c>
      <c r="P80" s="17">
        <v>8318</v>
      </c>
      <c r="Q80" s="17">
        <v>8196</v>
      </c>
      <c r="R80" s="17">
        <v>8035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</row>
    <row r="81" spans="1:45" x14ac:dyDescent="0.25">
      <c r="A81" s="9" t="s">
        <v>68</v>
      </c>
      <c r="B81" s="17">
        <v>3959</v>
      </c>
      <c r="C81" s="17">
        <v>4251</v>
      </c>
      <c r="D81" s="17">
        <v>4789</v>
      </c>
      <c r="E81" s="17">
        <v>5356</v>
      </c>
      <c r="F81" s="17">
        <v>6032</v>
      </c>
      <c r="G81" s="17">
        <v>6794</v>
      </c>
      <c r="H81" s="17">
        <v>7283</v>
      </c>
      <c r="I81" s="17">
        <v>7630</v>
      </c>
      <c r="J81" s="17">
        <v>7840</v>
      </c>
      <c r="K81" s="17">
        <v>7782</v>
      </c>
      <c r="L81" s="17">
        <v>7536</v>
      </c>
      <c r="M81" s="17">
        <v>7626</v>
      </c>
      <c r="N81" s="17">
        <v>7441</v>
      </c>
      <c r="O81" s="17">
        <v>7319</v>
      </c>
      <c r="P81" s="17">
        <v>7480</v>
      </c>
      <c r="Q81" s="17">
        <v>7674</v>
      </c>
      <c r="R81" s="17">
        <v>7560</v>
      </c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</row>
    <row r="82" spans="1:45" x14ac:dyDescent="0.25">
      <c r="A82" s="9" t="s">
        <v>70</v>
      </c>
      <c r="B82" s="17">
        <v>3186</v>
      </c>
      <c r="C82" s="17">
        <v>3214</v>
      </c>
      <c r="D82" s="17">
        <v>3174</v>
      </c>
      <c r="E82" s="17">
        <v>3264</v>
      </c>
      <c r="F82" s="17">
        <v>3291</v>
      </c>
      <c r="G82" s="17">
        <v>3456</v>
      </c>
      <c r="H82" s="17">
        <v>3735</v>
      </c>
      <c r="I82" s="17">
        <v>4230</v>
      </c>
      <c r="J82" s="17">
        <v>4756</v>
      </c>
      <c r="K82" s="17">
        <v>5383</v>
      </c>
      <c r="L82" s="17">
        <v>6100</v>
      </c>
      <c r="M82" s="17">
        <v>6553</v>
      </c>
      <c r="N82" s="17">
        <v>6879</v>
      </c>
      <c r="O82" s="17">
        <v>7078</v>
      </c>
      <c r="P82" s="17">
        <v>7029</v>
      </c>
      <c r="Q82" s="17">
        <v>6802</v>
      </c>
      <c r="R82" s="17">
        <v>6894</v>
      </c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</row>
    <row r="83" spans="1:45" x14ac:dyDescent="0.25">
      <c r="A83" s="9" t="s">
        <v>72</v>
      </c>
      <c r="B83" s="17">
        <v>3513</v>
      </c>
      <c r="C83" s="17">
        <v>3283</v>
      </c>
      <c r="D83" s="17">
        <v>3116</v>
      </c>
      <c r="E83" s="17">
        <v>2896</v>
      </c>
      <c r="F83" s="17">
        <v>2769</v>
      </c>
      <c r="G83" s="17">
        <v>2601</v>
      </c>
      <c r="H83" s="17">
        <v>2631</v>
      </c>
      <c r="I83" s="17">
        <v>2597</v>
      </c>
      <c r="J83" s="17">
        <v>2676</v>
      </c>
      <c r="K83" s="17">
        <v>2712</v>
      </c>
      <c r="L83" s="17">
        <v>2852</v>
      </c>
      <c r="M83" s="17">
        <v>3105</v>
      </c>
      <c r="N83" s="17">
        <v>3555</v>
      </c>
      <c r="O83" s="17">
        <v>4031</v>
      </c>
      <c r="P83" s="17">
        <v>4596</v>
      </c>
      <c r="Q83" s="17">
        <v>5232</v>
      </c>
      <c r="R83" s="17">
        <v>5638</v>
      </c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</row>
    <row r="84" spans="1:45" x14ac:dyDescent="0.25">
      <c r="A84" s="9" t="s">
        <v>74</v>
      </c>
      <c r="B84" s="17">
        <v>2839</v>
      </c>
      <c r="C84" s="17">
        <v>2862</v>
      </c>
      <c r="D84" s="17">
        <v>2830</v>
      </c>
      <c r="E84" s="17">
        <v>2811</v>
      </c>
      <c r="F84" s="17">
        <v>2718</v>
      </c>
      <c r="G84" s="17">
        <v>2658</v>
      </c>
      <c r="H84" s="17">
        <v>2485</v>
      </c>
      <c r="I84" s="17">
        <v>2352</v>
      </c>
      <c r="J84" s="17">
        <v>2180</v>
      </c>
      <c r="K84" s="17">
        <v>2079</v>
      </c>
      <c r="L84" s="17">
        <v>1950</v>
      </c>
      <c r="M84" s="17">
        <v>1982</v>
      </c>
      <c r="N84" s="17">
        <v>1959</v>
      </c>
      <c r="O84" s="17">
        <v>2022</v>
      </c>
      <c r="P84" s="17">
        <v>2060</v>
      </c>
      <c r="Q84" s="17">
        <v>2180</v>
      </c>
      <c r="R84" s="17">
        <v>2399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</row>
    <row r="85" spans="1:45" x14ac:dyDescent="0.25">
      <c r="A85" s="20" t="s">
        <v>76</v>
      </c>
      <c r="B85" s="39">
        <v>2340</v>
      </c>
      <c r="C85" s="39">
        <v>2474</v>
      </c>
      <c r="D85" s="39">
        <v>2618</v>
      </c>
      <c r="E85" s="39">
        <v>2733</v>
      </c>
      <c r="F85" s="39">
        <v>2869</v>
      </c>
      <c r="G85" s="39">
        <v>2966</v>
      </c>
      <c r="H85" s="39">
        <v>3065</v>
      </c>
      <c r="I85" s="39">
        <v>3123</v>
      </c>
      <c r="J85" s="39">
        <v>3175</v>
      </c>
      <c r="K85" s="39">
        <v>3198</v>
      </c>
      <c r="L85" s="39">
        <v>3223</v>
      </c>
      <c r="M85" s="39">
        <v>3162</v>
      </c>
      <c r="N85" s="39">
        <v>3114</v>
      </c>
      <c r="O85" s="39">
        <v>3042</v>
      </c>
      <c r="P85" s="39">
        <v>3007</v>
      </c>
      <c r="Q85" s="39">
        <v>2948</v>
      </c>
      <c r="R85" s="39">
        <v>2957</v>
      </c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</row>
    <row r="86" spans="1:45" x14ac:dyDescent="0.25">
      <c r="A86" s="9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</row>
    <row r="87" spans="1:45" x14ac:dyDescent="0.25">
      <c r="A87" s="3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</row>
    <row r="88" spans="1:45" x14ac:dyDescent="0.25">
      <c r="A88" s="41" t="s">
        <v>78</v>
      </c>
      <c r="B88" s="41">
        <f>SUM(B89:B105)</f>
        <v>94466</v>
      </c>
      <c r="C88" s="41">
        <f t="shared" ref="C88:R88" si="4">SUM(C89:C105)</f>
        <v>95333</v>
      </c>
      <c r="D88" s="41">
        <f t="shared" si="4"/>
        <v>96135</v>
      </c>
      <c r="E88" s="41">
        <f t="shared" si="4"/>
        <v>96852</v>
      </c>
      <c r="F88" s="41">
        <f t="shared" si="4"/>
        <v>97502</v>
      </c>
      <c r="G88" s="41">
        <f t="shared" si="4"/>
        <v>98082</v>
      </c>
      <c r="H88" s="41">
        <f t="shared" si="4"/>
        <v>98616</v>
      </c>
      <c r="I88" s="41">
        <f t="shared" si="4"/>
        <v>99052</v>
      </c>
      <c r="J88" s="41">
        <f t="shared" si="4"/>
        <v>99413</v>
      </c>
      <c r="K88" s="41">
        <f t="shared" si="4"/>
        <v>99687</v>
      </c>
      <c r="L88" s="41">
        <f t="shared" si="4"/>
        <v>99891</v>
      </c>
      <c r="M88" s="41">
        <f t="shared" si="4"/>
        <v>100022</v>
      </c>
      <c r="N88" s="41">
        <f t="shared" si="4"/>
        <v>100077</v>
      </c>
      <c r="O88" s="41">
        <f t="shared" si="4"/>
        <v>100073</v>
      </c>
      <c r="P88" s="41">
        <f t="shared" si="4"/>
        <v>100024</v>
      </c>
      <c r="Q88" s="41">
        <f t="shared" si="4"/>
        <v>99955</v>
      </c>
      <c r="R88" s="41">
        <f t="shared" si="4"/>
        <v>99816</v>
      </c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</row>
    <row r="89" spans="1:45" x14ac:dyDescent="0.25">
      <c r="A89" s="17" t="s">
        <v>44</v>
      </c>
      <c r="B89" s="17">
        <v>12339</v>
      </c>
      <c r="C89" s="17">
        <v>12329</v>
      </c>
      <c r="D89" s="17">
        <v>12232</v>
      </c>
      <c r="E89" s="17">
        <v>12057</v>
      </c>
      <c r="F89" s="17">
        <v>11971</v>
      </c>
      <c r="G89" s="17">
        <v>11971</v>
      </c>
      <c r="H89" s="17">
        <v>11706</v>
      </c>
      <c r="I89" s="17">
        <v>11433</v>
      </c>
      <c r="J89" s="17">
        <v>11162</v>
      </c>
      <c r="K89" s="17">
        <v>10876</v>
      </c>
      <c r="L89" s="17">
        <v>10577</v>
      </c>
      <c r="M89" s="17">
        <v>10274</v>
      </c>
      <c r="N89" s="17">
        <v>9979</v>
      </c>
      <c r="O89" s="17">
        <v>9705</v>
      </c>
      <c r="P89" s="17">
        <v>9465</v>
      </c>
      <c r="Q89" s="17">
        <v>9269</v>
      </c>
      <c r="R89" s="17">
        <v>9112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</row>
    <row r="90" spans="1:45" x14ac:dyDescent="0.25">
      <c r="A90" s="17" t="s">
        <v>46</v>
      </c>
      <c r="B90" s="17">
        <v>10889</v>
      </c>
      <c r="C90" s="17">
        <v>11449</v>
      </c>
      <c r="D90" s="17">
        <v>11892</v>
      </c>
      <c r="E90" s="17">
        <v>12222</v>
      </c>
      <c r="F90" s="17">
        <v>12260</v>
      </c>
      <c r="G90" s="17">
        <v>12080</v>
      </c>
      <c r="H90" s="17">
        <v>12067</v>
      </c>
      <c r="I90" s="17">
        <v>11974</v>
      </c>
      <c r="J90" s="17">
        <v>11797</v>
      </c>
      <c r="K90" s="17">
        <v>11711</v>
      </c>
      <c r="L90" s="17">
        <v>11709</v>
      </c>
      <c r="M90" s="17">
        <v>11445</v>
      </c>
      <c r="N90" s="17">
        <v>11173</v>
      </c>
      <c r="O90" s="17">
        <v>10900</v>
      </c>
      <c r="P90" s="17">
        <v>10612</v>
      </c>
      <c r="Q90" s="17">
        <v>10316</v>
      </c>
      <c r="R90" s="17">
        <v>10010</v>
      </c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</row>
    <row r="91" spans="1:45" x14ac:dyDescent="0.25">
      <c r="A91" s="17" t="s">
        <v>48</v>
      </c>
      <c r="B91" s="17">
        <v>9392</v>
      </c>
      <c r="C91" s="17">
        <v>9220</v>
      </c>
      <c r="D91" s="17">
        <v>9244</v>
      </c>
      <c r="E91" s="17">
        <v>9521</v>
      </c>
      <c r="F91" s="17">
        <v>10059</v>
      </c>
      <c r="G91" s="17">
        <v>10629</v>
      </c>
      <c r="H91" s="17">
        <v>11180</v>
      </c>
      <c r="I91" s="17">
        <v>11623</v>
      </c>
      <c r="J91" s="17">
        <v>11949</v>
      </c>
      <c r="K91" s="17">
        <v>11985</v>
      </c>
      <c r="L91" s="17">
        <v>11800</v>
      </c>
      <c r="M91" s="17">
        <v>11785</v>
      </c>
      <c r="N91" s="17">
        <v>11682</v>
      </c>
      <c r="O91" s="17">
        <v>11504</v>
      </c>
      <c r="P91" s="17">
        <v>11415</v>
      </c>
      <c r="Q91" s="17">
        <v>11408</v>
      </c>
      <c r="R91" s="17">
        <v>11140</v>
      </c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</row>
    <row r="92" spans="1:45" x14ac:dyDescent="0.25">
      <c r="A92" s="17" t="s">
        <v>50</v>
      </c>
      <c r="B92" s="17">
        <v>8645</v>
      </c>
      <c r="C92" s="17">
        <v>9211</v>
      </c>
      <c r="D92" s="17">
        <v>9466</v>
      </c>
      <c r="E92" s="17">
        <v>9445</v>
      </c>
      <c r="F92" s="17">
        <v>9185</v>
      </c>
      <c r="G92" s="17">
        <v>9085</v>
      </c>
      <c r="H92" s="17">
        <v>8912</v>
      </c>
      <c r="I92" s="17">
        <v>8929</v>
      </c>
      <c r="J92" s="17">
        <v>9201</v>
      </c>
      <c r="K92" s="17">
        <v>9735</v>
      </c>
      <c r="L92" s="17">
        <v>10296</v>
      </c>
      <c r="M92" s="17">
        <v>10846</v>
      </c>
      <c r="N92" s="17">
        <v>11280</v>
      </c>
      <c r="O92" s="17">
        <v>11599</v>
      </c>
      <c r="P92" s="17">
        <v>11627</v>
      </c>
      <c r="Q92" s="17">
        <v>11437</v>
      </c>
      <c r="R92" s="17">
        <v>11418</v>
      </c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</row>
    <row r="93" spans="1:45" x14ac:dyDescent="0.25">
      <c r="A93" s="17" t="s">
        <v>52</v>
      </c>
      <c r="B93" s="17">
        <v>7252</v>
      </c>
      <c r="C93" s="17">
        <v>6905</v>
      </c>
      <c r="D93" s="17">
        <v>6913</v>
      </c>
      <c r="E93" s="17">
        <v>7204</v>
      </c>
      <c r="F93" s="17">
        <v>7637</v>
      </c>
      <c r="G93" s="17">
        <v>8075</v>
      </c>
      <c r="H93" s="17">
        <v>8634</v>
      </c>
      <c r="I93" s="17">
        <v>8876</v>
      </c>
      <c r="J93" s="17">
        <v>8846</v>
      </c>
      <c r="K93" s="17">
        <v>8575</v>
      </c>
      <c r="L93" s="17">
        <v>8467</v>
      </c>
      <c r="M93" s="17">
        <v>8281</v>
      </c>
      <c r="N93" s="17">
        <v>8288</v>
      </c>
      <c r="O93" s="17">
        <v>8550</v>
      </c>
      <c r="P93" s="17">
        <v>9068</v>
      </c>
      <c r="Q93" s="17">
        <v>9624</v>
      </c>
      <c r="R93" s="17">
        <v>10160</v>
      </c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</row>
    <row r="94" spans="1:45" x14ac:dyDescent="0.25">
      <c r="A94" s="17" t="s">
        <v>54</v>
      </c>
      <c r="B94" s="17">
        <v>8063</v>
      </c>
      <c r="C94" s="17">
        <v>7781</v>
      </c>
      <c r="D94" s="17">
        <v>7461</v>
      </c>
      <c r="E94" s="17">
        <v>7100</v>
      </c>
      <c r="F94" s="17">
        <v>6796</v>
      </c>
      <c r="G94" s="17">
        <v>6420</v>
      </c>
      <c r="H94" s="17">
        <v>6060</v>
      </c>
      <c r="I94" s="17">
        <v>6048</v>
      </c>
      <c r="J94" s="17">
        <v>6326</v>
      </c>
      <c r="K94" s="17">
        <v>6742</v>
      </c>
      <c r="L94" s="17">
        <v>7164</v>
      </c>
      <c r="M94" s="17">
        <v>7706</v>
      </c>
      <c r="N94" s="17">
        <v>7932</v>
      </c>
      <c r="O94" s="17">
        <v>7885</v>
      </c>
      <c r="P94" s="17">
        <v>7600</v>
      </c>
      <c r="Q94" s="17">
        <v>7477</v>
      </c>
      <c r="R94" s="17">
        <v>7274</v>
      </c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</row>
    <row r="95" spans="1:45" x14ac:dyDescent="0.25">
      <c r="A95" s="9" t="s">
        <v>56</v>
      </c>
      <c r="B95" s="17">
        <v>6629</v>
      </c>
      <c r="C95" s="17">
        <v>6923</v>
      </c>
      <c r="D95" s="17">
        <v>7230</v>
      </c>
      <c r="E95" s="17">
        <v>7291</v>
      </c>
      <c r="F95" s="17">
        <v>7378</v>
      </c>
      <c r="G95" s="17">
        <v>7245</v>
      </c>
      <c r="H95" s="17">
        <v>6950</v>
      </c>
      <c r="I95" s="17">
        <v>6614</v>
      </c>
      <c r="J95" s="17">
        <v>6243</v>
      </c>
      <c r="K95" s="17">
        <v>5926</v>
      </c>
      <c r="L95" s="17">
        <v>5534</v>
      </c>
      <c r="M95" s="17">
        <v>5155</v>
      </c>
      <c r="N95" s="17">
        <v>5135</v>
      </c>
      <c r="O95" s="17">
        <v>5396</v>
      </c>
      <c r="P95" s="17">
        <v>5792</v>
      </c>
      <c r="Q95" s="17">
        <v>6202</v>
      </c>
      <c r="R95" s="17">
        <v>6724</v>
      </c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</row>
    <row r="96" spans="1:45" x14ac:dyDescent="0.25">
      <c r="A96" s="9" t="s">
        <v>58</v>
      </c>
      <c r="B96" s="17">
        <v>5007</v>
      </c>
      <c r="C96" s="17">
        <v>5215</v>
      </c>
      <c r="D96" s="17">
        <v>5303</v>
      </c>
      <c r="E96" s="17">
        <v>5551</v>
      </c>
      <c r="F96" s="17">
        <v>5771</v>
      </c>
      <c r="G96" s="17">
        <v>6001</v>
      </c>
      <c r="H96" s="17">
        <v>6284</v>
      </c>
      <c r="I96" s="17">
        <v>6581</v>
      </c>
      <c r="J96" s="17">
        <v>6630</v>
      </c>
      <c r="K96" s="17">
        <v>6703</v>
      </c>
      <c r="L96" s="17">
        <v>6562</v>
      </c>
      <c r="M96" s="17">
        <v>6257</v>
      </c>
      <c r="N96" s="17">
        <v>5910</v>
      </c>
      <c r="O96" s="17">
        <v>5527</v>
      </c>
      <c r="P96" s="17">
        <v>5200</v>
      </c>
      <c r="Q96" s="17">
        <v>4795</v>
      </c>
      <c r="R96" s="17">
        <v>4405</v>
      </c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</row>
    <row r="97" spans="1:45" x14ac:dyDescent="0.25">
      <c r="A97" s="9" t="s">
        <v>60</v>
      </c>
      <c r="B97" s="17">
        <v>4719</v>
      </c>
      <c r="C97" s="17">
        <v>4630</v>
      </c>
      <c r="D97" s="17">
        <v>4595</v>
      </c>
      <c r="E97" s="17">
        <v>4506</v>
      </c>
      <c r="F97" s="17">
        <v>4485</v>
      </c>
      <c r="G97" s="17">
        <v>4510</v>
      </c>
      <c r="H97" s="17">
        <v>4712</v>
      </c>
      <c r="I97" s="17">
        <v>4790</v>
      </c>
      <c r="J97" s="17">
        <v>5028</v>
      </c>
      <c r="K97" s="17">
        <v>5237</v>
      </c>
      <c r="L97" s="17">
        <v>5462</v>
      </c>
      <c r="M97" s="17">
        <v>5731</v>
      </c>
      <c r="N97" s="17">
        <v>6018</v>
      </c>
      <c r="O97" s="17">
        <v>6057</v>
      </c>
      <c r="P97" s="17">
        <v>6125</v>
      </c>
      <c r="Q97" s="17">
        <v>5973</v>
      </c>
      <c r="R97" s="17">
        <v>5658</v>
      </c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</row>
    <row r="98" spans="1:45" x14ac:dyDescent="0.25">
      <c r="A98" s="9" t="s">
        <v>62</v>
      </c>
      <c r="B98" s="17">
        <v>4685</v>
      </c>
      <c r="C98" s="17">
        <v>4529</v>
      </c>
      <c r="D98" s="17">
        <v>4522</v>
      </c>
      <c r="E98" s="17">
        <v>4566</v>
      </c>
      <c r="F98" s="17">
        <v>4378</v>
      </c>
      <c r="G98" s="17">
        <v>4254</v>
      </c>
      <c r="H98" s="17">
        <v>4162</v>
      </c>
      <c r="I98" s="17">
        <v>4122</v>
      </c>
      <c r="J98" s="17">
        <v>4021</v>
      </c>
      <c r="K98" s="17">
        <v>3996</v>
      </c>
      <c r="L98" s="17">
        <v>4014</v>
      </c>
      <c r="M98" s="17">
        <v>4204</v>
      </c>
      <c r="N98" s="17">
        <v>4274</v>
      </c>
      <c r="O98" s="17">
        <v>4504</v>
      </c>
      <c r="P98" s="17">
        <v>4705</v>
      </c>
      <c r="Q98" s="17">
        <v>4917</v>
      </c>
      <c r="R98" s="17">
        <v>5179</v>
      </c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</row>
    <row r="99" spans="1:45" x14ac:dyDescent="0.25">
      <c r="A99" s="9" t="s">
        <v>64</v>
      </c>
      <c r="B99" s="17">
        <v>4432</v>
      </c>
      <c r="C99" s="17">
        <v>4428</v>
      </c>
      <c r="D99" s="17">
        <v>4250</v>
      </c>
      <c r="E99" s="17">
        <v>4136</v>
      </c>
      <c r="F99" s="17">
        <v>4185</v>
      </c>
      <c r="G99" s="17">
        <v>4238</v>
      </c>
      <c r="H99" s="17">
        <v>4080</v>
      </c>
      <c r="I99" s="17">
        <v>4072</v>
      </c>
      <c r="J99" s="17">
        <v>4108</v>
      </c>
      <c r="K99" s="17">
        <v>3914</v>
      </c>
      <c r="L99" s="17">
        <v>3789</v>
      </c>
      <c r="M99" s="17">
        <v>3693</v>
      </c>
      <c r="N99" s="17">
        <v>3643</v>
      </c>
      <c r="O99" s="17">
        <v>3541</v>
      </c>
      <c r="P99" s="17">
        <v>3509</v>
      </c>
      <c r="Q99" s="17">
        <v>3524</v>
      </c>
      <c r="R99" s="17">
        <v>3705</v>
      </c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</row>
    <row r="100" spans="1:45" x14ac:dyDescent="0.25">
      <c r="A100" s="9" t="s">
        <v>66</v>
      </c>
      <c r="B100" s="17">
        <v>3866</v>
      </c>
      <c r="C100" s="17">
        <v>4094</v>
      </c>
      <c r="D100" s="17">
        <v>4269</v>
      </c>
      <c r="E100" s="17">
        <v>4275</v>
      </c>
      <c r="F100" s="17">
        <v>4140</v>
      </c>
      <c r="G100" s="17">
        <v>3990</v>
      </c>
      <c r="H100" s="17">
        <v>3982</v>
      </c>
      <c r="I100" s="17">
        <v>3806</v>
      </c>
      <c r="J100" s="17">
        <v>3697</v>
      </c>
      <c r="K100" s="17">
        <v>3740</v>
      </c>
      <c r="L100" s="17">
        <v>3789</v>
      </c>
      <c r="M100" s="17">
        <v>3631</v>
      </c>
      <c r="N100" s="17">
        <v>3617</v>
      </c>
      <c r="O100" s="17">
        <v>3648</v>
      </c>
      <c r="P100" s="17">
        <v>3456</v>
      </c>
      <c r="Q100" s="17">
        <v>3334</v>
      </c>
      <c r="R100" s="17">
        <v>3232</v>
      </c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</row>
    <row r="101" spans="1:45" x14ac:dyDescent="0.25">
      <c r="A101" s="9" t="s">
        <v>68</v>
      </c>
      <c r="B101" s="17">
        <v>2082</v>
      </c>
      <c r="C101" s="17">
        <v>2211</v>
      </c>
      <c r="D101" s="17">
        <v>2467</v>
      </c>
      <c r="E101" s="17">
        <v>2768</v>
      </c>
      <c r="F101" s="17">
        <v>3110</v>
      </c>
      <c r="G101" s="17">
        <v>3457</v>
      </c>
      <c r="H101" s="17">
        <v>3671</v>
      </c>
      <c r="I101" s="17">
        <v>3836</v>
      </c>
      <c r="J101" s="17">
        <v>3842</v>
      </c>
      <c r="K101" s="17">
        <v>3711</v>
      </c>
      <c r="L101" s="17">
        <v>3568</v>
      </c>
      <c r="M101" s="17">
        <v>3564</v>
      </c>
      <c r="N101" s="17">
        <v>3397</v>
      </c>
      <c r="O101" s="17">
        <v>3289</v>
      </c>
      <c r="P101" s="17">
        <v>3329</v>
      </c>
      <c r="Q101" s="17">
        <v>3375</v>
      </c>
      <c r="R101" s="17">
        <v>3224</v>
      </c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</row>
    <row r="102" spans="1:45" x14ac:dyDescent="0.25">
      <c r="A102" s="9" t="s">
        <v>70</v>
      </c>
      <c r="B102" s="17">
        <v>1632</v>
      </c>
      <c r="C102" s="17">
        <v>1668</v>
      </c>
      <c r="D102" s="17">
        <v>1629</v>
      </c>
      <c r="E102" s="17">
        <v>1663</v>
      </c>
      <c r="F102" s="17">
        <v>1686</v>
      </c>
      <c r="G102" s="17">
        <v>1786</v>
      </c>
      <c r="H102" s="17">
        <v>1909</v>
      </c>
      <c r="I102" s="17">
        <v>2145</v>
      </c>
      <c r="J102" s="17">
        <v>2419</v>
      </c>
      <c r="K102" s="17">
        <v>2733</v>
      </c>
      <c r="L102" s="17">
        <v>3056</v>
      </c>
      <c r="M102" s="17">
        <v>3253</v>
      </c>
      <c r="N102" s="17">
        <v>3406</v>
      </c>
      <c r="O102" s="17">
        <v>3410</v>
      </c>
      <c r="P102" s="17">
        <v>3291</v>
      </c>
      <c r="Q102" s="17">
        <v>3164</v>
      </c>
      <c r="R102" s="17">
        <v>3161</v>
      </c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</row>
    <row r="103" spans="1:45" x14ac:dyDescent="0.25">
      <c r="A103" s="9" t="s">
        <v>72</v>
      </c>
      <c r="B103" s="17">
        <v>1832</v>
      </c>
      <c r="C103" s="17">
        <v>1700</v>
      </c>
      <c r="D103" s="17">
        <v>1584</v>
      </c>
      <c r="E103" s="17">
        <v>1459</v>
      </c>
      <c r="F103" s="17">
        <v>1407</v>
      </c>
      <c r="G103" s="17">
        <v>1305</v>
      </c>
      <c r="H103" s="17">
        <v>1338</v>
      </c>
      <c r="I103" s="17">
        <v>1305</v>
      </c>
      <c r="J103" s="17">
        <v>1335</v>
      </c>
      <c r="K103" s="17">
        <v>1362</v>
      </c>
      <c r="L103" s="17">
        <v>1448</v>
      </c>
      <c r="M103" s="17">
        <v>1558</v>
      </c>
      <c r="N103" s="17">
        <v>1769</v>
      </c>
      <c r="O103" s="17">
        <v>2013</v>
      </c>
      <c r="P103" s="17">
        <v>2293</v>
      </c>
      <c r="Q103" s="17">
        <v>2578</v>
      </c>
      <c r="R103" s="17">
        <v>2750</v>
      </c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spans="1:45" x14ac:dyDescent="0.25">
      <c r="A104" s="9" t="s">
        <v>74</v>
      </c>
      <c r="B104" s="17">
        <v>1557</v>
      </c>
      <c r="C104" s="17">
        <v>1526</v>
      </c>
      <c r="D104" s="17">
        <v>1519</v>
      </c>
      <c r="E104" s="17">
        <v>1500</v>
      </c>
      <c r="F104" s="17">
        <v>1405</v>
      </c>
      <c r="G104" s="17">
        <v>1348</v>
      </c>
      <c r="H104" s="17">
        <v>1258</v>
      </c>
      <c r="I104" s="17">
        <v>1168</v>
      </c>
      <c r="J104" s="17">
        <v>1072</v>
      </c>
      <c r="K104" s="17">
        <v>1031</v>
      </c>
      <c r="L104" s="17">
        <v>952</v>
      </c>
      <c r="M104" s="17">
        <v>983</v>
      </c>
      <c r="N104" s="17">
        <v>960</v>
      </c>
      <c r="O104" s="17">
        <v>982</v>
      </c>
      <c r="P104" s="17">
        <v>1008</v>
      </c>
      <c r="Q104" s="17">
        <v>1081</v>
      </c>
      <c r="R104" s="17">
        <v>1177</v>
      </c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spans="1:45" x14ac:dyDescent="0.25">
      <c r="A105" s="20" t="s">
        <v>76</v>
      </c>
      <c r="B105" s="39">
        <v>1445</v>
      </c>
      <c r="C105" s="39">
        <v>1514</v>
      </c>
      <c r="D105" s="39">
        <v>1559</v>
      </c>
      <c r="E105" s="39">
        <v>1588</v>
      </c>
      <c r="F105" s="39">
        <v>1649</v>
      </c>
      <c r="G105" s="39">
        <v>1688</v>
      </c>
      <c r="H105" s="39">
        <v>1711</v>
      </c>
      <c r="I105" s="39">
        <v>1730</v>
      </c>
      <c r="J105" s="39">
        <v>1737</v>
      </c>
      <c r="K105" s="39">
        <v>1710</v>
      </c>
      <c r="L105" s="39">
        <v>1704</v>
      </c>
      <c r="M105" s="39">
        <v>1656</v>
      </c>
      <c r="N105" s="39">
        <v>1614</v>
      </c>
      <c r="O105" s="39">
        <v>1563</v>
      </c>
      <c r="P105" s="39">
        <v>1529</v>
      </c>
      <c r="Q105" s="39">
        <v>1481</v>
      </c>
      <c r="R105" s="39">
        <v>1487</v>
      </c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 spans="1:45" x14ac:dyDescent="0.25">
      <c r="A106" s="9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T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spans="1:45" x14ac:dyDescent="0.25">
      <c r="A107" s="3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T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 spans="1:45" x14ac:dyDescent="0.25">
      <c r="A108" s="41" t="s">
        <v>4</v>
      </c>
      <c r="B108" s="41">
        <f>SUM(B109:B125)</f>
        <v>101199</v>
      </c>
      <c r="C108" s="41">
        <f t="shared" ref="C108:R108" si="5">SUM(C109:C125)</f>
        <v>101980</v>
      </c>
      <c r="D108" s="41">
        <f t="shared" si="5"/>
        <v>102688</v>
      </c>
      <c r="E108" s="41">
        <f t="shared" si="5"/>
        <v>103314</v>
      </c>
      <c r="F108" s="41">
        <f t="shared" si="5"/>
        <v>103845</v>
      </c>
      <c r="G108" s="41">
        <f t="shared" si="5"/>
        <v>104328</v>
      </c>
      <c r="H108" s="41">
        <f t="shared" si="5"/>
        <v>104732</v>
      </c>
      <c r="I108" s="41">
        <f t="shared" si="5"/>
        <v>105042</v>
      </c>
      <c r="J108" s="41">
        <f t="shared" si="5"/>
        <v>105276</v>
      </c>
      <c r="K108" s="41">
        <f t="shared" si="5"/>
        <v>105436</v>
      </c>
      <c r="L108" s="41">
        <f t="shared" si="5"/>
        <v>105516</v>
      </c>
      <c r="M108" s="41">
        <f t="shared" si="5"/>
        <v>105516</v>
      </c>
      <c r="N108" s="41">
        <f t="shared" si="5"/>
        <v>105422</v>
      </c>
      <c r="O108" s="41">
        <f t="shared" si="5"/>
        <v>105289</v>
      </c>
      <c r="P108" s="41">
        <f t="shared" si="5"/>
        <v>105105</v>
      </c>
      <c r="Q108" s="41">
        <f t="shared" si="5"/>
        <v>104866</v>
      </c>
      <c r="R108" s="41">
        <f t="shared" si="5"/>
        <v>104592</v>
      </c>
      <c r="T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1:45" x14ac:dyDescent="0.25">
      <c r="A109" s="17" t="s">
        <v>44</v>
      </c>
      <c r="B109" s="17">
        <v>11147</v>
      </c>
      <c r="C109" s="17">
        <v>11118</v>
      </c>
      <c r="D109" s="17">
        <v>11092</v>
      </c>
      <c r="E109" s="17">
        <v>10969</v>
      </c>
      <c r="F109" s="17">
        <v>10952</v>
      </c>
      <c r="G109" s="17">
        <v>10942</v>
      </c>
      <c r="H109" s="17">
        <v>10704</v>
      </c>
      <c r="I109" s="17">
        <v>10462</v>
      </c>
      <c r="J109" s="17">
        <v>10218</v>
      </c>
      <c r="K109" s="17">
        <v>9962</v>
      </c>
      <c r="L109" s="17">
        <v>9698</v>
      </c>
      <c r="M109" s="17">
        <v>9427</v>
      </c>
      <c r="N109" s="17">
        <v>9165</v>
      </c>
      <c r="O109" s="17">
        <v>8919</v>
      </c>
      <c r="P109" s="17">
        <v>8708</v>
      </c>
      <c r="Q109" s="17">
        <v>8536</v>
      </c>
      <c r="R109" s="17">
        <v>8400</v>
      </c>
      <c r="T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spans="1:45" x14ac:dyDescent="0.25">
      <c r="A110" s="17" t="s">
        <v>46</v>
      </c>
      <c r="B110" s="17">
        <v>10354</v>
      </c>
      <c r="C110" s="17">
        <v>10799</v>
      </c>
      <c r="D110" s="17">
        <v>11043</v>
      </c>
      <c r="E110" s="17">
        <v>11265</v>
      </c>
      <c r="F110" s="17">
        <v>11185</v>
      </c>
      <c r="G110" s="17">
        <v>10856</v>
      </c>
      <c r="H110" s="17">
        <v>10823</v>
      </c>
      <c r="I110" s="17">
        <v>10793</v>
      </c>
      <c r="J110" s="17">
        <v>10670</v>
      </c>
      <c r="K110" s="17">
        <v>10652</v>
      </c>
      <c r="L110" s="17">
        <v>10641</v>
      </c>
      <c r="M110" s="17">
        <v>10401</v>
      </c>
      <c r="N110" s="17">
        <v>10158</v>
      </c>
      <c r="O110" s="17">
        <v>9914</v>
      </c>
      <c r="P110" s="17">
        <v>9656</v>
      </c>
      <c r="Q110" s="17">
        <v>9389</v>
      </c>
      <c r="R110" s="17">
        <v>9117</v>
      </c>
      <c r="T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 spans="1:45" x14ac:dyDescent="0.25">
      <c r="A111" s="17" t="s">
        <v>48</v>
      </c>
      <c r="B111" s="17">
        <v>8755</v>
      </c>
      <c r="C111" s="17">
        <v>8672</v>
      </c>
      <c r="D111" s="17">
        <v>8701</v>
      </c>
      <c r="E111" s="17">
        <v>8956</v>
      </c>
      <c r="F111" s="17">
        <v>9483</v>
      </c>
      <c r="G111" s="17">
        <v>10064</v>
      </c>
      <c r="H111" s="17">
        <v>10505</v>
      </c>
      <c r="I111" s="17">
        <v>10743</v>
      </c>
      <c r="J111" s="17">
        <v>10961</v>
      </c>
      <c r="K111" s="17">
        <v>10874</v>
      </c>
      <c r="L111" s="17">
        <v>10542</v>
      </c>
      <c r="M111" s="17">
        <v>10507</v>
      </c>
      <c r="N111" s="17">
        <v>10468</v>
      </c>
      <c r="O111" s="17">
        <v>10339</v>
      </c>
      <c r="P111" s="17">
        <v>10313</v>
      </c>
      <c r="Q111" s="17">
        <v>10299</v>
      </c>
      <c r="R111" s="17">
        <v>10058</v>
      </c>
      <c r="T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</row>
    <row r="112" spans="1:45" x14ac:dyDescent="0.25">
      <c r="A112" s="17" t="s">
        <v>50</v>
      </c>
      <c r="B112" s="17">
        <v>8386</v>
      </c>
      <c r="C112" s="17">
        <v>8614</v>
      </c>
      <c r="D112" s="17">
        <v>8815</v>
      </c>
      <c r="E112" s="17">
        <v>8880</v>
      </c>
      <c r="F112" s="17">
        <v>8630</v>
      </c>
      <c r="G112" s="17">
        <v>8414</v>
      </c>
      <c r="H112" s="17">
        <v>8324</v>
      </c>
      <c r="I112" s="17">
        <v>8351</v>
      </c>
      <c r="J112" s="17">
        <v>8601</v>
      </c>
      <c r="K112" s="17">
        <v>9116</v>
      </c>
      <c r="L112" s="17">
        <v>9696</v>
      </c>
      <c r="M112" s="17">
        <v>10126</v>
      </c>
      <c r="N112" s="17">
        <v>10361</v>
      </c>
      <c r="O112" s="17">
        <v>10571</v>
      </c>
      <c r="P112" s="17">
        <v>10478</v>
      </c>
      <c r="Q112" s="17">
        <v>10138</v>
      </c>
      <c r="R112" s="17">
        <v>10096</v>
      </c>
      <c r="T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</row>
    <row r="113" spans="1:45" x14ac:dyDescent="0.25">
      <c r="A113" s="17" t="s">
        <v>52</v>
      </c>
      <c r="B113" s="17">
        <v>9266</v>
      </c>
      <c r="C113" s="17">
        <v>8414</v>
      </c>
      <c r="D113" s="17">
        <v>7824</v>
      </c>
      <c r="E113" s="17">
        <v>7466</v>
      </c>
      <c r="F113" s="17">
        <v>7461</v>
      </c>
      <c r="G113" s="17">
        <v>7730</v>
      </c>
      <c r="H113" s="17">
        <v>7948</v>
      </c>
      <c r="I113" s="17">
        <v>8133</v>
      </c>
      <c r="J113" s="17">
        <v>8188</v>
      </c>
      <c r="K113" s="17">
        <v>7928</v>
      </c>
      <c r="L113" s="17">
        <v>7700</v>
      </c>
      <c r="M113" s="17">
        <v>7597</v>
      </c>
      <c r="N113" s="17">
        <v>7607</v>
      </c>
      <c r="O113" s="17">
        <v>7846</v>
      </c>
      <c r="P113" s="17">
        <v>8349</v>
      </c>
      <c r="Q113" s="17">
        <v>8913</v>
      </c>
      <c r="R113" s="17">
        <v>9330</v>
      </c>
      <c r="T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</row>
    <row r="114" spans="1:45" x14ac:dyDescent="0.25">
      <c r="A114" s="17" t="s">
        <v>54</v>
      </c>
      <c r="B114" s="17">
        <v>11058</v>
      </c>
      <c r="C114" s="17">
        <v>10788</v>
      </c>
      <c r="D114" s="17">
        <v>10311</v>
      </c>
      <c r="E114" s="17">
        <v>9726</v>
      </c>
      <c r="F114" s="17">
        <v>9111</v>
      </c>
      <c r="G114" s="17">
        <v>8232</v>
      </c>
      <c r="H114" s="17">
        <v>7363</v>
      </c>
      <c r="I114" s="17">
        <v>6756</v>
      </c>
      <c r="J114" s="17">
        <v>6378</v>
      </c>
      <c r="K114" s="17">
        <v>6358</v>
      </c>
      <c r="L114" s="17">
        <v>6604</v>
      </c>
      <c r="M114" s="17">
        <v>6802</v>
      </c>
      <c r="N114" s="17">
        <v>6969</v>
      </c>
      <c r="O114" s="17">
        <v>7002</v>
      </c>
      <c r="P114" s="17">
        <v>6720</v>
      </c>
      <c r="Q114" s="17">
        <v>6473</v>
      </c>
      <c r="R114" s="17">
        <v>6349</v>
      </c>
      <c r="T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 spans="1:45" x14ac:dyDescent="0.25">
      <c r="A115" s="9" t="s">
        <v>56</v>
      </c>
      <c r="B115" s="17">
        <v>8801</v>
      </c>
      <c r="C115" s="17">
        <v>9313</v>
      </c>
      <c r="D115" s="17">
        <v>9753</v>
      </c>
      <c r="E115" s="17">
        <v>9863</v>
      </c>
      <c r="F115" s="17">
        <v>9963</v>
      </c>
      <c r="G115" s="17">
        <v>10063</v>
      </c>
      <c r="H115" s="17">
        <v>9773</v>
      </c>
      <c r="I115" s="17">
        <v>9282</v>
      </c>
      <c r="J115" s="17">
        <v>8679</v>
      </c>
      <c r="K115" s="17">
        <v>8048</v>
      </c>
      <c r="L115" s="17">
        <v>7153</v>
      </c>
      <c r="M115" s="17">
        <v>6266</v>
      </c>
      <c r="N115" s="17">
        <v>5639</v>
      </c>
      <c r="O115" s="17">
        <v>5243</v>
      </c>
      <c r="P115" s="17">
        <v>5206</v>
      </c>
      <c r="Q115" s="17">
        <v>5434</v>
      </c>
      <c r="R115" s="17">
        <v>5610</v>
      </c>
      <c r="T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</row>
    <row r="116" spans="1:45" x14ac:dyDescent="0.25">
      <c r="A116" s="9" t="s">
        <v>58</v>
      </c>
      <c r="B116" s="17">
        <v>6505</v>
      </c>
      <c r="C116" s="17">
        <v>6770</v>
      </c>
      <c r="D116" s="17">
        <v>6984</v>
      </c>
      <c r="E116" s="17">
        <v>7384</v>
      </c>
      <c r="F116" s="17">
        <v>7817</v>
      </c>
      <c r="G116" s="17">
        <v>8152</v>
      </c>
      <c r="H116" s="17">
        <v>8650</v>
      </c>
      <c r="I116" s="17">
        <v>9077</v>
      </c>
      <c r="J116" s="17">
        <v>9172</v>
      </c>
      <c r="K116" s="17">
        <v>9264</v>
      </c>
      <c r="L116" s="17">
        <v>9349</v>
      </c>
      <c r="M116" s="17">
        <v>9049</v>
      </c>
      <c r="N116" s="17">
        <v>8547</v>
      </c>
      <c r="O116" s="17">
        <v>7938</v>
      </c>
      <c r="P116" s="17">
        <v>7292</v>
      </c>
      <c r="Q116" s="17">
        <v>6385</v>
      </c>
      <c r="R116" s="17">
        <v>5488</v>
      </c>
      <c r="T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</row>
    <row r="117" spans="1:45" x14ac:dyDescent="0.25">
      <c r="A117" s="9" t="s">
        <v>60</v>
      </c>
      <c r="B117" s="17">
        <v>6022</v>
      </c>
      <c r="C117" s="17">
        <v>5976</v>
      </c>
      <c r="D117" s="17">
        <v>6024</v>
      </c>
      <c r="E117" s="17">
        <v>6018</v>
      </c>
      <c r="F117" s="17">
        <v>5963</v>
      </c>
      <c r="G117" s="17">
        <v>6064</v>
      </c>
      <c r="H117" s="17">
        <v>6319</v>
      </c>
      <c r="I117" s="17">
        <v>6525</v>
      </c>
      <c r="J117" s="17">
        <v>6915</v>
      </c>
      <c r="K117" s="17">
        <v>7345</v>
      </c>
      <c r="L117" s="17">
        <v>7667</v>
      </c>
      <c r="M117" s="17">
        <v>8155</v>
      </c>
      <c r="N117" s="17">
        <v>8573</v>
      </c>
      <c r="O117" s="17">
        <v>8661</v>
      </c>
      <c r="P117" s="17">
        <v>8741</v>
      </c>
      <c r="Q117" s="17">
        <v>8821</v>
      </c>
      <c r="R117" s="17">
        <v>8514</v>
      </c>
      <c r="T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</row>
    <row r="118" spans="1:45" x14ac:dyDescent="0.25">
      <c r="A118" s="9" t="s">
        <v>62</v>
      </c>
      <c r="B118" s="17">
        <v>5356</v>
      </c>
      <c r="C118" s="17">
        <v>5404</v>
      </c>
      <c r="D118" s="17">
        <v>5546</v>
      </c>
      <c r="E118" s="17">
        <v>5682</v>
      </c>
      <c r="F118" s="17">
        <v>5630</v>
      </c>
      <c r="G118" s="17">
        <v>5639</v>
      </c>
      <c r="H118" s="17">
        <v>5587</v>
      </c>
      <c r="I118" s="17">
        <v>5630</v>
      </c>
      <c r="J118" s="17">
        <v>5616</v>
      </c>
      <c r="K118" s="17">
        <v>5558</v>
      </c>
      <c r="L118" s="17">
        <v>5652</v>
      </c>
      <c r="M118" s="17">
        <v>5903</v>
      </c>
      <c r="N118" s="17">
        <v>6099</v>
      </c>
      <c r="O118" s="17">
        <v>6480</v>
      </c>
      <c r="P118" s="17">
        <v>6901</v>
      </c>
      <c r="Q118" s="17">
        <v>7214</v>
      </c>
      <c r="R118" s="17">
        <v>7692</v>
      </c>
      <c r="T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</row>
    <row r="119" spans="1:45" x14ac:dyDescent="0.25">
      <c r="A119" s="9" t="s">
        <v>64</v>
      </c>
      <c r="B119" s="17">
        <v>4634</v>
      </c>
      <c r="C119" s="17">
        <v>4736</v>
      </c>
      <c r="D119" s="17">
        <v>4721</v>
      </c>
      <c r="E119" s="17">
        <v>4708</v>
      </c>
      <c r="F119" s="17">
        <v>4838</v>
      </c>
      <c r="G119" s="17">
        <v>4994</v>
      </c>
      <c r="H119" s="17">
        <v>5040</v>
      </c>
      <c r="I119" s="17">
        <v>5176</v>
      </c>
      <c r="J119" s="17">
        <v>5308</v>
      </c>
      <c r="K119" s="17">
        <v>5250</v>
      </c>
      <c r="L119" s="17">
        <v>5255</v>
      </c>
      <c r="M119" s="17">
        <v>5200</v>
      </c>
      <c r="N119" s="17">
        <v>5237</v>
      </c>
      <c r="O119" s="17">
        <v>5219</v>
      </c>
      <c r="P119" s="17">
        <v>5157</v>
      </c>
      <c r="Q119" s="17">
        <v>5245</v>
      </c>
      <c r="R119" s="17">
        <v>5486</v>
      </c>
      <c r="T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</row>
    <row r="120" spans="1:45" x14ac:dyDescent="0.25">
      <c r="A120" s="9" t="s">
        <v>66</v>
      </c>
      <c r="B120" s="17">
        <v>3626</v>
      </c>
      <c r="C120" s="17">
        <v>3911</v>
      </c>
      <c r="D120" s="17">
        <v>4105</v>
      </c>
      <c r="E120" s="17">
        <v>4315</v>
      </c>
      <c r="F120" s="17">
        <v>4390</v>
      </c>
      <c r="G120" s="17">
        <v>4287</v>
      </c>
      <c r="H120" s="17">
        <v>4384</v>
      </c>
      <c r="I120" s="17">
        <v>4366</v>
      </c>
      <c r="J120" s="17">
        <v>4348</v>
      </c>
      <c r="K120" s="17">
        <v>4474</v>
      </c>
      <c r="L120" s="17">
        <v>4626</v>
      </c>
      <c r="M120" s="17">
        <v>4669</v>
      </c>
      <c r="N120" s="17">
        <v>4797</v>
      </c>
      <c r="O120" s="17">
        <v>4922</v>
      </c>
      <c r="P120" s="17">
        <v>4862</v>
      </c>
      <c r="Q120" s="17">
        <v>4862</v>
      </c>
      <c r="R120" s="17">
        <v>4803</v>
      </c>
      <c r="T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</row>
    <row r="121" spans="1:45" x14ac:dyDescent="0.25">
      <c r="A121" s="9" t="s">
        <v>68</v>
      </c>
      <c r="B121" s="17">
        <v>1877</v>
      </c>
      <c r="C121" s="17">
        <v>2040</v>
      </c>
      <c r="D121" s="17">
        <v>2322</v>
      </c>
      <c r="E121" s="17">
        <v>2588</v>
      </c>
      <c r="F121" s="17">
        <v>2922</v>
      </c>
      <c r="G121" s="17">
        <v>3337</v>
      </c>
      <c r="H121" s="17">
        <v>3612</v>
      </c>
      <c r="I121" s="17">
        <v>3794</v>
      </c>
      <c r="J121" s="17">
        <v>3998</v>
      </c>
      <c r="K121" s="17">
        <v>4071</v>
      </c>
      <c r="L121" s="17">
        <v>3968</v>
      </c>
      <c r="M121" s="17">
        <v>4062</v>
      </c>
      <c r="N121" s="17">
        <v>4044</v>
      </c>
      <c r="O121" s="17">
        <v>4030</v>
      </c>
      <c r="P121" s="17">
        <v>4151</v>
      </c>
      <c r="Q121" s="17">
        <v>4299</v>
      </c>
      <c r="R121" s="17">
        <v>4336</v>
      </c>
      <c r="T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</row>
    <row r="122" spans="1:45" x14ac:dyDescent="0.25">
      <c r="A122" s="9" t="s">
        <v>70</v>
      </c>
      <c r="B122" s="17">
        <v>1554</v>
      </c>
      <c r="C122" s="17">
        <v>1546</v>
      </c>
      <c r="D122" s="17">
        <v>1545</v>
      </c>
      <c r="E122" s="17">
        <v>1601</v>
      </c>
      <c r="F122" s="17">
        <v>1605</v>
      </c>
      <c r="G122" s="17">
        <v>1670</v>
      </c>
      <c r="H122" s="17">
        <v>1826</v>
      </c>
      <c r="I122" s="17">
        <v>2085</v>
      </c>
      <c r="J122" s="17">
        <v>2337</v>
      </c>
      <c r="K122" s="17">
        <v>2650</v>
      </c>
      <c r="L122" s="17">
        <v>3044</v>
      </c>
      <c r="M122" s="17">
        <v>3300</v>
      </c>
      <c r="N122" s="17">
        <v>3473</v>
      </c>
      <c r="O122" s="17">
        <v>3668</v>
      </c>
      <c r="P122" s="17">
        <v>3738</v>
      </c>
      <c r="Q122" s="17">
        <v>3638</v>
      </c>
      <c r="R122" s="17">
        <v>3733</v>
      </c>
      <c r="T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</row>
    <row r="123" spans="1:45" x14ac:dyDescent="0.25">
      <c r="A123" s="9" t="s">
        <v>72</v>
      </c>
      <c r="B123" s="17">
        <v>1681</v>
      </c>
      <c r="C123" s="17">
        <v>1583</v>
      </c>
      <c r="D123" s="17">
        <v>1532</v>
      </c>
      <c r="E123" s="17">
        <v>1437</v>
      </c>
      <c r="F123" s="17">
        <v>1362</v>
      </c>
      <c r="G123" s="17">
        <v>1296</v>
      </c>
      <c r="H123" s="17">
        <v>1293</v>
      </c>
      <c r="I123" s="17">
        <v>1292</v>
      </c>
      <c r="J123" s="17">
        <v>1341</v>
      </c>
      <c r="K123" s="17">
        <v>1350</v>
      </c>
      <c r="L123" s="17">
        <v>1404</v>
      </c>
      <c r="M123" s="17">
        <v>1547</v>
      </c>
      <c r="N123" s="17">
        <v>1786</v>
      </c>
      <c r="O123" s="17">
        <v>2018</v>
      </c>
      <c r="P123" s="17">
        <v>2303</v>
      </c>
      <c r="Q123" s="17">
        <v>2654</v>
      </c>
      <c r="R123" s="17">
        <v>2888</v>
      </c>
      <c r="T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</row>
    <row r="124" spans="1:45" x14ac:dyDescent="0.25">
      <c r="A124" s="9" t="s">
        <v>74</v>
      </c>
      <c r="B124" s="17">
        <v>1282</v>
      </c>
      <c r="C124" s="17">
        <v>1336</v>
      </c>
      <c r="D124" s="17">
        <v>1311</v>
      </c>
      <c r="E124" s="17">
        <v>1311</v>
      </c>
      <c r="F124" s="17">
        <v>1313</v>
      </c>
      <c r="G124" s="17">
        <v>1310</v>
      </c>
      <c r="H124" s="17">
        <v>1227</v>
      </c>
      <c r="I124" s="17">
        <v>1184</v>
      </c>
      <c r="J124" s="17">
        <v>1108</v>
      </c>
      <c r="K124" s="17">
        <v>1048</v>
      </c>
      <c r="L124" s="17">
        <v>998</v>
      </c>
      <c r="M124" s="17">
        <v>999</v>
      </c>
      <c r="N124" s="17">
        <v>999</v>
      </c>
      <c r="O124" s="17">
        <v>1040</v>
      </c>
      <c r="P124" s="17">
        <v>1052</v>
      </c>
      <c r="Q124" s="17">
        <v>1099</v>
      </c>
      <c r="R124" s="17">
        <v>1222</v>
      </c>
      <c r="T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</row>
    <row r="125" spans="1:45" x14ac:dyDescent="0.25">
      <c r="A125" s="20" t="s">
        <v>76</v>
      </c>
      <c r="B125" s="39">
        <v>895</v>
      </c>
      <c r="C125" s="39">
        <v>960</v>
      </c>
      <c r="D125" s="39">
        <v>1059</v>
      </c>
      <c r="E125" s="39">
        <v>1145</v>
      </c>
      <c r="F125" s="39">
        <v>1220</v>
      </c>
      <c r="G125" s="39">
        <v>1278</v>
      </c>
      <c r="H125" s="39">
        <v>1354</v>
      </c>
      <c r="I125" s="39">
        <v>1393</v>
      </c>
      <c r="J125" s="39">
        <v>1438</v>
      </c>
      <c r="K125" s="39">
        <v>1488</v>
      </c>
      <c r="L125" s="39">
        <v>1519</v>
      </c>
      <c r="M125" s="39">
        <v>1506</v>
      </c>
      <c r="N125" s="39">
        <v>1500</v>
      </c>
      <c r="O125" s="39">
        <v>1479</v>
      </c>
      <c r="P125" s="39">
        <v>1478</v>
      </c>
      <c r="Q125" s="39">
        <v>1467</v>
      </c>
      <c r="R125" s="39">
        <v>1470</v>
      </c>
      <c r="T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</row>
    <row r="126" spans="1:45" x14ac:dyDescent="0.25">
      <c r="A126" s="9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</row>
    <row r="127" spans="1:45" x14ac:dyDescent="0.25">
      <c r="A127" s="9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</row>
    <row r="128" spans="1:45" ht="18.75" x14ac:dyDescent="0.5">
      <c r="A128" s="134" t="s">
        <v>82</v>
      </c>
      <c r="B128" s="134"/>
      <c r="C128" s="134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37" t="s">
        <v>102</v>
      </c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</row>
    <row r="129" spans="1:41" s="48" customFormat="1" x14ac:dyDescent="0.2">
      <c r="A129" s="11" t="s">
        <v>43</v>
      </c>
      <c r="B129" s="12">
        <v>2014</v>
      </c>
      <c r="C129" s="12">
        <v>2015</v>
      </c>
      <c r="D129" s="12">
        <v>2016</v>
      </c>
      <c r="E129" s="12">
        <v>2017</v>
      </c>
      <c r="F129" s="12">
        <v>2018</v>
      </c>
      <c r="G129" s="12">
        <v>2019</v>
      </c>
      <c r="H129" s="12">
        <v>2020</v>
      </c>
      <c r="I129" s="12">
        <v>2021</v>
      </c>
      <c r="J129" s="12">
        <v>2022</v>
      </c>
      <c r="K129" s="12">
        <v>2023</v>
      </c>
      <c r="L129" s="12">
        <v>2024</v>
      </c>
      <c r="M129" s="12">
        <v>2025</v>
      </c>
      <c r="N129" s="12">
        <v>2026</v>
      </c>
      <c r="O129" s="12">
        <v>2027</v>
      </c>
      <c r="P129" s="12">
        <v>2028</v>
      </c>
      <c r="Q129" s="12">
        <v>2029</v>
      </c>
      <c r="R129" s="12">
        <v>2030</v>
      </c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</row>
    <row r="130" spans="1:41" x14ac:dyDescent="0.25">
      <c r="A130" s="41" t="s">
        <v>2</v>
      </c>
      <c r="B130" s="41">
        <f>SUM(B131:B147)</f>
        <v>24514.622191954066</v>
      </c>
      <c r="C130" s="41">
        <f t="shared" ref="C130:R130" si="6">SUM(C131:C147)</f>
        <v>27092.847514159519</v>
      </c>
      <c r="D130" s="41">
        <f t="shared" si="6"/>
        <v>29942.227160507209</v>
      </c>
      <c r="E130" s="41">
        <f t="shared" si="6"/>
        <v>33091.278680207339</v>
      </c>
      <c r="F130" s="41">
        <f t="shared" si="6"/>
        <v>36571.518839301862</v>
      </c>
      <c r="G130" s="41">
        <f t="shared" si="6"/>
        <v>40417.779051052094</v>
      </c>
      <c r="H130" s="41">
        <f t="shared" si="6"/>
        <v>44668.553980429926</v>
      </c>
      <c r="I130" s="41">
        <f t="shared" si="6"/>
        <v>45799.343808096455</v>
      </c>
      <c r="J130" s="41">
        <f t="shared" si="6"/>
        <v>46958.759716538159</v>
      </c>
      <c r="K130" s="41">
        <f t="shared" si="6"/>
        <v>48147.526378440016</v>
      </c>
      <c r="L130" s="41">
        <f t="shared" si="6"/>
        <v>49366.386811663346</v>
      </c>
      <c r="M130" s="41">
        <f t="shared" si="6"/>
        <v>50616.10284365619</v>
      </c>
      <c r="N130" s="41">
        <f t="shared" si="6"/>
        <v>51897.455587620228</v>
      </c>
      <c r="O130" s="41">
        <f>SUM(O131:O147)</f>
        <v>53211.245930732039</v>
      </c>
      <c r="P130" s="41">
        <f t="shared" si="6"/>
        <v>54558.295034723546</v>
      </c>
      <c r="Q130" s="41">
        <f t="shared" si="6"/>
        <v>55939.44484913491</v>
      </c>
      <c r="R130" s="41">
        <f t="shared" si="6"/>
        <v>57355.558637560396</v>
      </c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</row>
    <row r="131" spans="1:41" x14ac:dyDescent="0.25">
      <c r="A131" s="17" t="s">
        <v>44</v>
      </c>
      <c r="B131" s="17">
        <v>389.99584031948132</v>
      </c>
      <c r="C131" s="17">
        <v>431.012060891565</v>
      </c>
      <c r="D131" s="17">
        <v>476.34199503720782</v>
      </c>
      <c r="E131" s="17">
        <v>526.43931997325649</v>
      </c>
      <c r="F131" s="17">
        <v>581.80542656596344</v>
      </c>
      <c r="G131" s="17">
        <v>642.99443741929974</v>
      </c>
      <c r="H131" s="17">
        <v>710.61875272022223</v>
      </c>
      <c r="I131" s="17">
        <v>728.6081520922537</v>
      </c>
      <c r="J131" s="17">
        <v>747.05295527755072</v>
      </c>
      <c r="K131" s="17">
        <v>765.96469087853268</v>
      </c>
      <c r="L131" s="17">
        <v>785.35517934557981</v>
      </c>
      <c r="M131" s="17">
        <v>805.23654036519724</v>
      </c>
      <c r="N131" s="17">
        <v>825.62120043521645</v>
      </c>
      <c r="O131" s="17">
        <v>846.52190063175749</v>
      </c>
      <c r="P131" s="17">
        <v>867.95170457281915</v>
      </c>
      <c r="Q131" s="17">
        <v>889.92400658346355</v>
      </c>
      <c r="R131" s="17">
        <v>912.45254006770642</v>
      </c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</row>
    <row r="132" spans="1:41" x14ac:dyDescent="0.25">
      <c r="A132" s="17" t="s">
        <v>46</v>
      </c>
      <c r="B132" s="17">
        <v>187.35815711271022</v>
      </c>
      <c r="C132" s="17">
        <v>207.0627865052154</v>
      </c>
      <c r="D132" s="17">
        <v>228.83976986127075</v>
      </c>
      <c r="E132" s="17">
        <v>252.90705854980052</v>
      </c>
      <c r="F132" s="17">
        <v>279.50552608529472</v>
      </c>
      <c r="G132" s="17">
        <v>308.90137887090197</v>
      </c>
      <c r="H132" s="17">
        <v>341.38882048158831</v>
      </c>
      <c r="I132" s="17">
        <v>350.03111961777222</v>
      </c>
      <c r="J132" s="17">
        <v>358.8921995981969</v>
      </c>
      <c r="K132" s="17">
        <v>367.97759888630264</v>
      </c>
      <c r="L132" s="17">
        <v>377.29299615239933</v>
      </c>
      <c r="M132" s="17">
        <v>386.84421382302014</v>
      </c>
      <c r="N132" s="17">
        <v>396.63722172012803</v>
      </c>
      <c r="O132" s="17">
        <v>406.67814079244744</v>
      </c>
      <c r="P132" s="17">
        <v>416.97324694125899</v>
      </c>
      <c r="Q132" s="17">
        <v>427.52897494303943</v>
      </c>
      <c r="R132" s="17">
        <v>438.3519224714081</v>
      </c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</row>
    <row r="133" spans="1:41" x14ac:dyDescent="0.25">
      <c r="A133" s="17" t="s">
        <v>48</v>
      </c>
      <c r="B133" s="17">
        <v>117.36395841998419</v>
      </c>
      <c r="C133" s="17">
        <v>129.70723367600607</v>
      </c>
      <c r="D133" s="17">
        <v>143.34866252276419</v>
      </c>
      <c r="E133" s="17">
        <v>158.42477296519948</v>
      </c>
      <c r="F133" s="17">
        <v>175.08645178387556</v>
      </c>
      <c r="G133" s="17">
        <v>193.50045466059339</v>
      </c>
      <c r="H133" s="17">
        <v>213.85107512530328</v>
      </c>
      <c r="I133" s="17">
        <v>219.26474086637901</v>
      </c>
      <c r="J133" s="17">
        <v>224.815454208169</v>
      </c>
      <c r="K133" s="17">
        <v>230.50668452720305</v>
      </c>
      <c r="L133" s="17">
        <v>236.34198902769569</v>
      </c>
      <c r="M133" s="17">
        <v>242.32501496491506</v>
      </c>
      <c r="N133" s="17">
        <v>248.45950192483593</v>
      </c>
      <c r="O133" s="17">
        <v>254.74928416150271</v>
      </c>
      <c r="P133" s="17">
        <v>261.19829299356309</v>
      </c>
      <c r="Q133" s="17">
        <v>267.81055926147019</v>
      </c>
      <c r="R133" s="17">
        <v>274.59021584688907</v>
      </c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</row>
    <row r="134" spans="1:41" x14ac:dyDescent="0.25">
      <c r="A134" s="17" t="s">
        <v>50</v>
      </c>
      <c r="B134" s="17">
        <v>605.05461718586582</v>
      </c>
      <c r="C134" s="17">
        <v>668.68876676121306</v>
      </c>
      <c r="D134" s="17">
        <v>739.01537826836238</v>
      </c>
      <c r="E134" s="17">
        <v>816.738304072868</v>
      </c>
      <c r="F134" s="17">
        <v>902.6354213397592</v>
      </c>
      <c r="G134" s="17">
        <v>997.56641728966076</v>
      </c>
      <c r="H134" s="17">
        <v>1102.4813932374491</v>
      </c>
      <c r="I134" s="17">
        <v>1130.3908425831955</v>
      </c>
      <c r="J134" s="17">
        <v>1159.0068230028996</v>
      </c>
      <c r="K134" s="17">
        <v>1188.3472204158531</v>
      </c>
      <c r="L134" s="17">
        <v>1218.4303735255507</v>
      </c>
      <c r="M134" s="17">
        <v>1249.275085281975</v>
      </c>
      <c r="N134" s="17">
        <v>1280.9006346340543</v>
      </c>
      <c r="O134" s="17">
        <v>1313.3267885796329</v>
      </c>
      <c r="P134" s="17">
        <v>1346.5738145204871</v>
      </c>
      <c r="Q134" s="17">
        <v>1380.6624929301136</v>
      </c>
      <c r="R134" s="17">
        <v>1415.6141303421975</v>
      </c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</row>
    <row r="135" spans="1:41" x14ac:dyDescent="0.25">
      <c r="A135" s="17" t="s">
        <v>52</v>
      </c>
      <c r="B135" s="17">
        <v>4355.5027451839633</v>
      </c>
      <c r="C135" s="17">
        <v>4813.5749675759644</v>
      </c>
      <c r="D135" s="17">
        <v>5319.8230661418856</v>
      </c>
      <c r="E135" s="17">
        <v>5879.3137420080329</v>
      </c>
      <c r="F135" s="17">
        <v>6497.6465659097903</v>
      </c>
      <c r="G135" s="17">
        <v>7181.0100205776034</v>
      </c>
      <c r="H135" s="17">
        <v>7936.2434371521758</v>
      </c>
      <c r="I135" s="17">
        <v>8137.1503962748902</v>
      </c>
      <c r="J135" s="17">
        <v>8343.1433392819945</v>
      </c>
      <c r="K135" s="17">
        <v>8554.3510184685038</v>
      </c>
      <c r="L135" s="17">
        <v>8770.9054455093046</v>
      </c>
      <c r="M135" s="17">
        <v>8992.9419739707409</v>
      </c>
      <c r="N135" s="17">
        <v>9220.599383911007</v>
      </c>
      <c r="O135" s="17">
        <v>9454.0199686221858</v>
      </c>
      <c r="P135" s="17">
        <v>9693.3496235682178</v>
      </c>
      <c r="Q135" s="17">
        <v>9938.7379375742712</v>
      </c>
      <c r="R135" s="17">
        <v>10190.338286324677</v>
      </c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</row>
    <row r="136" spans="1:41" x14ac:dyDescent="0.25">
      <c r="A136" s="17" t="s">
        <v>54</v>
      </c>
      <c r="B136" s="17">
        <v>7332.2827523397218</v>
      </c>
      <c r="C136" s="17">
        <v>8103.4256609935255</v>
      </c>
      <c r="D136" s="17">
        <v>8955.6703773179761</v>
      </c>
      <c r="E136" s="17">
        <v>9897.5464528833909</v>
      </c>
      <c r="F136" s="17">
        <v>10938.480500029509</v>
      </c>
      <c r="G136" s="17">
        <v>12088.890536570183</v>
      </c>
      <c r="H136" s="17">
        <v>13360.290252817278</v>
      </c>
      <c r="I136" s="17">
        <v>13698.5076108087</v>
      </c>
      <c r="J136" s="17">
        <v>14045.286981981124</v>
      </c>
      <c r="K136" s="17">
        <v>14400.845114730171</v>
      </c>
      <c r="L136" s="17">
        <v>14765.404244463192</v>
      </c>
      <c r="M136" s="17">
        <v>15139.192232503696</v>
      </c>
      <c r="N136" s="17">
        <v>15522.442708512022</v>
      </c>
      <c r="O136" s="17">
        <v>15915.395216511548</v>
      </c>
      <c r="P136" s="17">
        <v>16318.295364611457</v>
      </c>
      <c r="Q136" s="17">
        <v>16731.394978519824</v>
      </c>
      <c r="R136" s="17">
        <v>17154.952258942878</v>
      </c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</row>
    <row r="137" spans="1:41" x14ac:dyDescent="0.25">
      <c r="A137" s="9" t="s">
        <v>56</v>
      </c>
      <c r="B137" s="17">
        <v>5006.1274319955664</v>
      </c>
      <c r="C137" s="17">
        <v>5532.6264500222233</v>
      </c>
      <c r="D137" s="17">
        <v>6114.4978531406741</v>
      </c>
      <c r="E137" s="17">
        <v>6757.5652059270551</v>
      </c>
      <c r="F137" s="17">
        <v>7468.2645425904584</v>
      </c>
      <c r="G137" s="17">
        <v>8253.7087809665009</v>
      </c>
      <c r="H137" s="17">
        <v>9121.7589109897854</v>
      </c>
      <c r="I137" s="17">
        <v>9352.6773372162734</v>
      </c>
      <c r="J137" s="17">
        <v>9589.4414912339998</v>
      </c>
      <c r="K137" s="17">
        <v>9832.1993583465446</v>
      </c>
      <c r="L137" s="17">
        <v>10081.1026701233</v>
      </c>
      <c r="M137" s="17">
        <v>10336.306999236615</v>
      </c>
      <c r="N137" s="17">
        <v>10597.971856699785</v>
      </c>
      <c r="O137" s="17">
        <v>10866.260791566647</v>
      </c>
      <c r="P137" s="17">
        <v>11141.341493155032</v>
      </c>
      <c r="Q137" s="17">
        <v>11423.385895858071</v>
      </c>
      <c r="R137" s="17">
        <v>11712.570286608779</v>
      </c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</row>
    <row r="138" spans="1:41" x14ac:dyDescent="0.25">
      <c r="A138" s="9" t="s">
        <v>58</v>
      </c>
      <c r="B138" s="17">
        <v>2980.5884172285969</v>
      </c>
      <c r="C138" s="17">
        <v>3294.0596374741694</v>
      </c>
      <c r="D138" s="17">
        <v>3640.4989137432631</v>
      </c>
      <c r="E138" s="17">
        <v>4023.3735267550405</v>
      </c>
      <c r="F138" s="17">
        <v>4446.5154143251257</v>
      </c>
      <c r="G138" s="17">
        <v>4914.1595226872168</v>
      </c>
      <c r="H138" s="17">
        <v>5430.9861912584183</v>
      </c>
      <c r="I138" s="17">
        <v>5568.4722612566347</v>
      </c>
      <c r="J138" s="17">
        <v>5709.4388076872856</v>
      </c>
      <c r="K138" s="17">
        <v>5853.9739392307401</v>
      </c>
      <c r="L138" s="17">
        <v>6002.1679950492307</v>
      </c>
      <c r="M138" s="17">
        <v>6154.1136012517727</v>
      </c>
      <c r="N138" s="17">
        <v>6309.9057287884889</v>
      </c>
      <c r="O138" s="17">
        <v>6469.641752810553</v>
      </c>
      <c r="P138" s="17">
        <v>6633.4215135328295</v>
      </c>
      <c r="Q138" s="17">
        <v>6801.3473786372506</v>
      </c>
      <c r="R138" s="17">
        <v>6973.5243072559633</v>
      </c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</row>
    <row r="139" spans="1:41" x14ac:dyDescent="0.25">
      <c r="A139" s="9" t="s">
        <v>60</v>
      </c>
      <c r="B139" s="17">
        <v>1691.8077223766218</v>
      </c>
      <c r="C139" s="17">
        <v>1869.7366937464419</v>
      </c>
      <c r="D139" s="17">
        <v>2066.3786183874818</v>
      </c>
      <c r="E139" s="17">
        <v>2283.7015547751812</v>
      </c>
      <c r="F139" s="17">
        <v>2523.8805439016714</v>
      </c>
      <c r="G139" s="17">
        <v>2789.3193778170748</v>
      </c>
      <c r="H139" s="17">
        <v>3082.6746575882917</v>
      </c>
      <c r="I139" s="17">
        <v>3160.7129380827405</v>
      </c>
      <c r="J139" s="17">
        <v>3240.7267670534275</v>
      </c>
      <c r="K139" s="17">
        <v>3322.7661557481283</v>
      </c>
      <c r="L139" s="17">
        <v>3406.8823814553843</v>
      </c>
      <c r="M139" s="17">
        <v>3493.1280195544819</v>
      </c>
      <c r="N139" s="17">
        <v>3581.5569763767626</v>
      </c>
      <c r="O139" s="17">
        <v>3672.2245228988486</v>
      </c>
      <c r="P139" s="17">
        <v>3765.1873292887963</v>
      </c>
      <c r="Q139" s="17">
        <v>3860.5035003267949</v>
      </c>
      <c r="R139" s="17">
        <v>3958.2326117225462</v>
      </c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</row>
    <row r="140" spans="1:41" x14ac:dyDescent="0.25">
      <c r="A140" s="9" t="s">
        <v>62</v>
      </c>
      <c r="B140" s="17">
        <v>1004.4516739723338</v>
      </c>
      <c r="C140" s="17">
        <v>1110.0907786866255</v>
      </c>
      <c r="D140" s="17">
        <v>1226.8400450284084</v>
      </c>
      <c r="E140" s="17">
        <v>1355.8679388960152</v>
      </c>
      <c r="F140" s="17">
        <v>1498.4658148190456</v>
      </c>
      <c r="G140" s="17">
        <v>1656.060840268538</v>
      </c>
      <c r="H140" s="17">
        <v>1830.2302792287085</v>
      </c>
      <c r="I140" s="17">
        <v>1876.5627793348426</v>
      </c>
      <c r="J140" s="17">
        <v>1924.0681922653614</v>
      </c>
      <c r="K140" s="17">
        <v>1972.776210449779</v>
      </c>
      <c r="L140" s="17">
        <v>2022.7172779850409</v>
      </c>
      <c r="M140" s="17">
        <v>2073.9226096640768</v>
      </c>
      <c r="N140" s="17">
        <v>2126.4242104860605</v>
      </c>
      <c r="O140" s="17">
        <v>2180.2548956605788</v>
      </c>
      <c r="P140" s="17">
        <v>2235.448311118203</v>
      </c>
      <c r="Q140" s="17">
        <v>2292.0389545402904</v>
      </c>
      <c r="R140" s="17">
        <v>2350.0621969211643</v>
      </c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</row>
    <row r="141" spans="1:41" x14ac:dyDescent="0.25">
      <c r="A141" s="9" t="s">
        <v>64</v>
      </c>
      <c r="B141" s="17">
        <v>477.9835458716625</v>
      </c>
      <c r="C141" s="17">
        <v>528.25351421603864</v>
      </c>
      <c r="D141" s="17">
        <v>583.81042128282672</v>
      </c>
      <c r="E141" s="17">
        <v>645.21029927127222</v>
      </c>
      <c r="F141" s="17">
        <v>713.06765879749537</v>
      </c>
      <c r="G141" s="17">
        <v>788.06163912328066</v>
      </c>
      <c r="H141" s="17">
        <v>870.9428052100759</v>
      </c>
      <c r="I141" s="17">
        <v>892.99082729385316</v>
      </c>
      <c r="J141" s="17">
        <v>915.59699771400653</v>
      </c>
      <c r="K141" s="17">
        <v>938.77544606294157</v>
      </c>
      <c r="L141" s="17">
        <v>962.5406596253996</v>
      </c>
      <c r="M141" s="17">
        <v>986.90749243347977</v>
      </c>
      <c r="N141" s="17">
        <v>1011.8911745508954</v>
      </c>
      <c r="O141" s="17">
        <v>1037.5073215922566</v>
      </c>
      <c r="P141" s="17">
        <v>1063.7719444833424</v>
      </c>
      <c r="Q141" s="17">
        <v>1090.701459468444</v>
      </c>
      <c r="R141" s="17">
        <v>1118.3126983710583</v>
      </c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 spans="1:41" x14ac:dyDescent="0.25">
      <c r="A142" s="9" t="s">
        <v>66</v>
      </c>
      <c r="B142" s="17">
        <v>221.26337611499716</v>
      </c>
      <c r="C142" s="17">
        <v>244.53384851752872</v>
      </c>
      <c r="D142" s="17">
        <v>270.25169786668852</v>
      </c>
      <c r="E142" s="17">
        <v>298.67431704283081</v>
      </c>
      <c r="F142" s="17">
        <v>330.08616917184236</v>
      </c>
      <c r="G142" s="17">
        <v>364.80163462771856</v>
      </c>
      <c r="H142" s="17">
        <v>403.16815745701263</v>
      </c>
      <c r="I142" s="17">
        <v>413.37440795464886</v>
      </c>
      <c r="J142" s="17">
        <v>423.83903091373526</v>
      </c>
      <c r="K142" s="17">
        <v>434.56856706427357</v>
      </c>
      <c r="L142" s="17">
        <v>445.56972271563399</v>
      </c>
      <c r="M142" s="17">
        <v>456.84937394821674</v>
      </c>
      <c r="N142" s="17">
        <v>468.41457091122572</v>
      </c>
      <c r="O142" s="17">
        <v>480.27254222924205</v>
      </c>
      <c r="P142" s="17">
        <v>492.43069952034904</v>
      </c>
      <c r="Q142" s="17">
        <v>504.89664202863548</v>
      </c>
      <c r="R142" s="17">
        <v>517.67816137396983</v>
      </c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</row>
    <row r="143" spans="1:41" x14ac:dyDescent="0.25">
      <c r="A143" s="9" t="s">
        <v>68</v>
      </c>
      <c r="B143" s="17">
        <v>108.3145226955795</v>
      </c>
      <c r="C143" s="17">
        <v>119.70606048839917</v>
      </c>
      <c r="D143" s="17">
        <v>132.29565676918313</v>
      </c>
      <c r="E143" s="17">
        <v>146.20931244901894</v>
      </c>
      <c r="F143" s="17">
        <v>161.58628007049145</v>
      </c>
      <c r="G143" s="17">
        <v>178.58045749393381</v>
      </c>
      <c r="H143" s="17">
        <v>197.36192815894</v>
      </c>
      <c r="I143" s="17">
        <v>202.35816915721725</v>
      </c>
      <c r="J143" s="17">
        <v>207.48089059853493</v>
      </c>
      <c r="K143" s="17">
        <v>212.73329435055271</v>
      </c>
      <c r="L143" s="17">
        <v>218.11866333659574</v>
      </c>
      <c r="M143" s="17">
        <v>223.64036358758898</v>
      </c>
      <c r="N143" s="17">
        <v>229.30184634593587</v>
      </c>
      <c r="O143" s="17">
        <v>235.10665022265735</v>
      </c>
      <c r="P143" s="17">
        <v>241.05840340913863</v>
      </c>
      <c r="Q143" s="17">
        <v>247.16082594486736</v>
      </c>
      <c r="R143" s="17">
        <v>253.41773204257908</v>
      </c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 spans="1:41" x14ac:dyDescent="0.25">
      <c r="A144" s="9" t="s">
        <v>70</v>
      </c>
      <c r="B144" s="17">
        <v>24.723228258571762</v>
      </c>
      <c r="C144" s="17">
        <v>27.323392872319552</v>
      </c>
      <c r="D144" s="17">
        <v>30.197019185643001</v>
      </c>
      <c r="E144" s="17">
        <v>33.372867416545034</v>
      </c>
      <c r="F144" s="17">
        <v>36.882722521559934</v>
      </c>
      <c r="G144" s="17">
        <v>40.761712310281773</v>
      </c>
      <c r="H144" s="17">
        <v>45.048659016289534</v>
      </c>
      <c r="I144" s="17">
        <v>46.189071248750793</v>
      </c>
      <c r="J144" s="17">
        <v>47.358353154324348</v>
      </c>
      <c r="K144" s="17">
        <v>48.557235572264545</v>
      </c>
      <c r="L144" s="17">
        <v>49.786467843109492</v>
      </c>
      <c r="M144" s="17">
        <v>51.046818277043414</v>
      </c>
      <c r="N144" s="17">
        <v>52.339074634115399</v>
      </c>
      <c r="O144" s="17">
        <v>53.664044616615108</v>
      </c>
      <c r="P144" s="17">
        <v>55.022556373913034</v>
      </c>
      <c r="Q144" s="17">
        <v>56.415459020080824</v>
      </c>
      <c r="R144" s="17">
        <v>57.84362316461516</v>
      </c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</row>
    <row r="145" spans="1:41" x14ac:dyDescent="0.25">
      <c r="A145" s="9" t="s">
        <v>72</v>
      </c>
      <c r="B145" s="17">
        <v>5.9021014392052287</v>
      </c>
      <c r="C145" s="17">
        <v>6.5228308661420442</v>
      </c>
      <c r="D145" s="17">
        <v>7.2088429767863751</v>
      </c>
      <c r="E145" s="17">
        <v>7.9670036109181837</v>
      </c>
      <c r="F145" s="17">
        <v>8.8049006949904491</v>
      </c>
      <c r="G145" s="17">
        <v>9.7309201846475037</v>
      </c>
      <c r="H145" s="17">
        <v>10.754329994187733</v>
      </c>
      <c r="I145" s="17">
        <v>11.026577154150075</v>
      </c>
      <c r="J145" s="17">
        <v>11.305716283779299</v>
      </c>
      <c r="K145" s="17">
        <v>11.591921854118169</v>
      </c>
      <c r="L145" s="17">
        <v>11.885372752964932</v>
      </c>
      <c r="M145" s="17">
        <v>12.186252396684003</v>
      </c>
      <c r="N145" s="17">
        <v>12.494748844847168</v>
      </c>
      <c r="O145" s="17">
        <v>12.811054917776941</v>
      </c>
      <c r="P145" s="17">
        <v>13.135368317065542</v>
      </c>
      <c r="Q145" s="17">
        <v>13.467891749144819</v>
      </c>
      <c r="R145" s="17">
        <v>13.808833051984379</v>
      </c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</row>
    <row r="146" spans="1:41" x14ac:dyDescent="0.25">
      <c r="A146" s="9" t="s">
        <v>74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</row>
    <row r="147" spans="1:41" x14ac:dyDescent="0.25">
      <c r="A147" s="20" t="s">
        <v>76</v>
      </c>
      <c r="B147" s="39">
        <v>5.9021014392052278</v>
      </c>
      <c r="C147" s="39">
        <v>6.5228308661420442</v>
      </c>
      <c r="D147" s="39">
        <v>7.2088429767863751</v>
      </c>
      <c r="E147" s="39">
        <v>7.9670036109181837</v>
      </c>
      <c r="F147" s="39">
        <v>8.8049006949904491</v>
      </c>
      <c r="G147" s="39">
        <v>9.7309201846475037</v>
      </c>
      <c r="H147" s="39">
        <v>10.754329994187732</v>
      </c>
      <c r="I147" s="39">
        <v>11.026577154150075</v>
      </c>
      <c r="J147" s="39">
        <v>11.305716283779297</v>
      </c>
      <c r="K147" s="39">
        <v>11.591921854118169</v>
      </c>
      <c r="L147" s="39">
        <v>11.885372752964932</v>
      </c>
      <c r="M147" s="39">
        <v>12.186252396684001</v>
      </c>
      <c r="N147" s="39">
        <v>12.494748844847166</v>
      </c>
      <c r="O147" s="39">
        <v>12.811054917776939</v>
      </c>
      <c r="P147" s="39">
        <v>13.135368317065542</v>
      </c>
      <c r="Q147" s="39">
        <v>13.467891749144819</v>
      </c>
      <c r="R147" s="39">
        <v>13.808833051984383</v>
      </c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</row>
    <row r="148" spans="1:41" x14ac:dyDescent="0.25">
      <c r="A148" s="9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</row>
    <row r="149" spans="1:41" x14ac:dyDescent="0.25">
      <c r="A149" s="3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</row>
    <row r="150" spans="1:41" x14ac:dyDescent="0.25">
      <c r="A150" s="41" t="s">
        <v>78</v>
      </c>
      <c r="B150" s="41">
        <f>SUM(B151:B167)</f>
        <v>22141.165085726512</v>
      </c>
      <c r="C150" s="41">
        <f t="shared" ref="C150:R150" si="7">SUM(C151:C167)</f>
        <v>24469.771745056845</v>
      </c>
      <c r="D150" s="41">
        <f t="shared" si="7"/>
        <v>27043.280104586025</v>
      </c>
      <c r="E150" s="41">
        <f t="shared" si="7"/>
        <v>29887.446700962235</v>
      </c>
      <c r="F150" s="41">
        <f t="shared" si="7"/>
        <v>33030.736909439423</v>
      </c>
      <c r="G150" s="41">
        <f t="shared" si="7"/>
        <v>36504.609834920331</v>
      </c>
      <c r="H150" s="41">
        <f t="shared" si="7"/>
        <v>40343.833165252239</v>
      </c>
      <c r="I150" s="41">
        <f t="shared" si="7"/>
        <v>41365.142164248042</v>
      </c>
      <c r="J150" s="41">
        <f t="shared" si="7"/>
        <v>42412.305723646117</v>
      </c>
      <c r="K150" s="41">
        <f t="shared" si="7"/>
        <v>43485.978354759151</v>
      </c>
      <c r="L150" s="41">
        <f t="shared" si="7"/>
        <v>44586.831137932561</v>
      </c>
      <c r="M150" s="41">
        <f t="shared" si="7"/>
        <v>45715.552141991677</v>
      </c>
      <c r="N150" s="41">
        <f t="shared" si="7"/>
        <v>46872.846854307034</v>
      </c>
      <c r="O150" s="41">
        <f t="shared" si="7"/>
        <v>48059.438621746907</v>
      </c>
      <c r="P150" s="41">
        <f t="shared" si="7"/>
        <v>49276.069102792819</v>
      </c>
      <c r="Q150" s="41">
        <f t="shared" si="7"/>
        <v>50523.49873110011</v>
      </c>
      <c r="R150" s="41">
        <f t="shared" si="7"/>
        <v>51802.507190793716</v>
      </c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</row>
    <row r="151" spans="1:41" x14ac:dyDescent="0.25">
      <c r="A151" s="17" t="s">
        <v>44</v>
      </c>
      <c r="B151" s="17">
        <v>225.0021100603559</v>
      </c>
      <c r="C151" s="17">
        <v>248.6657885443615</v>
      </c>
      <c r="D151" s="17">
        <v>274.81819781957677</v>
      </c>
      <c r="E151" s="17">
        <v>303.72107998815665</v>
      </c>
      <c r="F151" s="17">
        <v>335.66370480943823</v>
      </c>
      <c r="G151" s="17">
        <v>370.9657648089202</v>
      </c>
      <c r="H151" s="17">
        <v>409.98057486850911</v>
      </c>
      <c r="I151" s="17">
        <v>420.35928253397998</v>
      </c>
      <c r="J151" s="17">
        <v>431.00072843489016</v>
      </c>
      <c r="K151" s="17">
        <v>441.91156382133613</v>
      </c>
      <c r="L151" s="17">
        <v>453.0986083206119</v>
      </c>
      <c r="M151" s="17">
        <v>464.56885419969933</v>
      </c>
      <c r="N151" s="17">
        <v>476.32947073566061</v>
      </c>
      <c r="O151" s="17">
        <v>488.38780869667119</v>
      </c>
      <c r="P151" s="17">
        <v>500.75140493648917</v>
      </c>
      <c r="Q151" s="17">
        <v>513.42798710523346</v>
      </c>
      <c r="R151" s="17">
        <v>526.42547847941728</v>
      </c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</row>
    <row r="152" spans="1:41" x14ac:dyDescent="0.25">
      <c r="A152" s="17" t="s">
        <v>46</v>
      </c>
      <c r="B152" s="17">
        <v>114.89469449890511</v>
      </c>
      <c r="C152" s="17">
        <v>126.97827500137608</v>
      </c>
      <c r="D152" s="17">
        <v>140.33269675893285</v>
      </c>
      <c r="E152" s="17">
        <v>155.09161531310124</v>
      </c>
      <c r="F152" s="17">
        <v>171.40274288141529</v>
      </c>
      <c r="G152" s="17">
        <v>189.42932671093794</v>
      </c>
      <c r="H152" s="17">
        <v>209.35178291157919</v>
      </c>
      <c r="I152" s="17">
        <v>214.65154852798977</v>
      </c>
      <c r="J152" s="17">
        <v>220.08547834973118</v>
      </c>
      <c r="K152" s="17">
        <v>225.65696875983122</v>
      </c>
      <c r="L152" s="17">
        <v>231.36950212116358</v>
      </c>
      <c r="M152" s="17">
        <v>237.22664895303791</v>
      </c>
      <c r="N152" s="17">
        <v>243.23207016289049</v>
      </c>
      <c r="O152" s="17">
        <v>249.38951933447035</v>
      </c>
      <c r="P152" s="17">
        <v>255.70284507395192</v>
      </c>
      <c r="Q152" s="17">
        <v>262.17599341543831</v>
      </c>
      <c r="R152" s="17">
        <v>268.81301028736203</v>
      </c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</row>
    <row r="153" spans="1:41" x14ac:dyDescent="0.25">
      <c r="A153" s="17" t="s">
        <v>48</v>
      </c>
      <c r="B153" s="17">
        <v>75.000703353451954</v>
      </c>
      <c r="C153" s="17">
        <v>82.888596181453792</v>
      </c>
      <c r="D153" s="17">
        <v>91.606065939858965</v>
      </c>
      <c r="E153" s="17">
        <v>101.24035999605226</v>
      </c>
      <c r="F153" s="17">
        <v>111.8879016031461</v>
      </c>
      <c r="G153" s="17">
        <v>123.65525493630669</v>
      </c>
      <c r="H153" s="17">
        <v>136.66019162283641</v>
      </c>
      <c r="I153" s="17">
        <v>140.11976084466002</v>
      </c>
      <c r="J153" s="17">
        <v>143.66690947829676</v>
      </c>
      <c r="K153" s="17">
        <v>147.30385460711204</v>
      </c>
      <c r="L153" s="17">
        <v>151.03286944020402</v>
      </c>
      <c r="M153" s="17">
        <v>154.85628473323308</v>
      </c>
      <c r="N153" s="17">
        <v>158.77649024522017</v>
      </c>
      <c r="O153" s="17">
        <v>162.79593623222374</v>
      </c>
      <c r="P153" s="17">
        <v>166.91713497882972</v>
      </c>
      <c r="Q153" s="17">
        <v>171.1426623684111</v>
      </c>
      <c r="R153" s="17">
        <v>175.47515949313913</v>
      </c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</row>
    <row r="154" spans="1:41" x14ac:dyDescent="0.25">
      <c r="A154" s="17" t="s">
        <v>50</v>
      </c>
      <c r="B154" s="17">
        <v>576.06923214034362</v>
      </c>
      <c r="C154" s="17">
        <v>636.65496215967732</v>
      </c>
      <c r="D154" s="17">
        <v>703.61254902742735</v>
      </c>
      <c r="E154" s="17">
        <v>777.61212677818844</v>
      </c>
      <c r="F154" s="17">
        <v>859.39430805820723</v>
      </c>
      <c r="G154" s="17">
        <v>949.77759642567514</v>
      </c>
      <c r="H154" s="17">
        <v>1049.6665782094453</v>
      </c>
      <c r="I154" s="17">
        <v>1076.239014147282</v>
      </c>
      <c r="J154" s="17">
        <v>1103.4841345035134</v>
      </c>
      <c r="K154" s="17">
        <v>1131.4189683652648</v>
      </c>
      <c r="L154" s="17">
        <v>1160.0609759130564</v>
      </c>
      <c r="M154" s="17">
        <v>1189.428059333982</v>
      </c>
      <c r="N154" s="17">
        <v>1219.5385740111594</v>
      </c>
      <c r="O154" s="17">
        <v>1250.4113399964419</v>
      </c>
      <c r="P154" s="17">
        <v>1282.0656537735642</v>
      </c>
      <c r="Q154" s="17">
        <v>1314.5213003190729</v>
      </c>
      <c r="R154" s="17">
        <v>1347.798565468579</v>
      </c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</row>
    <row r="155" spans="1:41" x14ac:dyDescent="0.25">
      <c r="A155" s="17" t="s">
        <v>52</v>
      </c>
      <c r="B155" s="17">
        <v>4212.8054649598553</v>
      </c>
      <c r="C155" s="17">
        <v>4655.8700833837893</v>
      </c>
      <c r="D155" s="17">
        <v>5145.5322144942047</v>
      </c>
      <c r="E155" s="17">
        <v>5686.6925614803795</v>
      </c>
      <c r="F155" s="17">
        <v>6284.7672389852269</v>
      </c>
      <c r="G155" s="17">
        <v>6945.7419794010593</v>
      </c>
      <c r="H155" s="17">
        <v>7676.2320400912367</v>
      </c>
      <c r="I155" s="17">
        <v>7870.5567793596274</v>
      </c>
      <c r="J155" s="17">
        <v>8069.8008728234763</v>
      </c>
      <c r="K155" s="17">
        <v>8274.0888545271446</v>
      </c>
      <c r="L155" s="17">
        <v>8483.5484111093319</v>
      </c>
      <c r="M155" s="17">
        <v>8698.3104616113924</v>
      </c>
      <c r="N155" s="17">
        <v>8918.5092393059858</v>
      </c>
      <c r="O155" s="17">
        <v>9144.2823755972495</v>
      </c>
      <c r="P155" s="17">
        <v>9375.7709860449031</v>
      </c>
      <c r="Q155" s="17">
        <v>9613.1197585660721</v>
      </c>
      <c r="R155" s="17">
        <v>9856.4770438699416</v>
      </c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</row>
    <row r="156" spans="1:41" x14ac:dyDescent="0.25">
      <c r="A156" s="17" t="s">
        <v>54</v>
      </c>
      <c r="B156" s="17">
        <v>6651.1262037699535</v>
      </c>
      <c r="C156" s="17">
        <v>7350.6312528574372</v>
      </c>
      <c r="D156" s="17">
        <v>8123.7038901560027</v>
      </c>
      <c r="E156" s="17">
        <v>8978.0812864584186</v>
      </c>
      <c r="F156" s="17">
        <v>9922.3143379130433</v>
      </c>
      <c r="G156" s="17">
        <v>10965.853246266517</v>
      </c>
      <c r="H156" s="17">
        <v>12119.142099659191</v>
      </c>
      <c r="I156" s="17">
        <v>12425.939642564743</v>
      </c>
      <c r="J156" s="17">
        <v>12740.503802245546</v>
      </c>
      <c r="K156" s="17">
        <v>13063.031191541339</v>
      </c>
      <c r="L156" s="17">
        <v>13393.723400569583</v>
      </c>
      <c r="M156" s="17">
        <v>13732.787122725862</v>
      </c>
      <c r="N156" s="17">
        <v>14080.434283873996</v>
      </c>
      <c r="O156" s="17">
        <v>14436.882174806566</v>
      </c>
      <c r="P156" s="17">
        <v>14802.353587058773</v>
      </c>
      <c r="Q156" s="17">
        <v>15177.076952160374</v>
      </c>
      <c r="R156" s="17">
        <v>15561.286484412845</v>
      </c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</row>
    <row r="157" spans="1:41" x14ac:dyDescent="0.25">
      <c r="A157" s="9" t="s">
        <v>56</v>
      </c>
      <c r="B157" s="17">
        <v>4477.7015661656642</v>
      </c>
      <c r="C157" s="17">
        <v>4948.6255507480728</v>
      </c>
      <c r="D157" s="17">
        <v>5469.0770431328556</v>
      </c>
      <c r="E157" s="17">
        <v>6044.2648967855866</v>
      </c>
      <c r="F157" s="17">
        <v>6679.9457850729368</v>
      </c>
      <c r="G157" s="17">
        <v>7382.4818159846109</v>
      </c>
      <c r="H157" s="17">
        <v>8158.9042062484878</v>
      </c>
      <c r="I157" s="17">
        <v>8365.4478495769363</v>
      </c>
      <c r="J157" s="17">
        <v>8577.2201701298018</v>
      </c>
      <c r="K157" s="17">
        <v>8794.3535325011999</v>
      </c>
      <c r="L157" s="17">
        <v>9016.9836521109046</v>
      </c>
      <c r="M157" s="17">
        <v>9245.2496800308963</v>
      </c>
      <c r="N157" s="17">
        <v>9479.2942899593163</v>
      </c>
      <c r="O157" s="17">
        <v>9719.2637673961672</v>
      </c>
      <c r="P157" s="17">
        <v>9965.3081010765145</v>
      </c>
      <c r="Q157" s="17">
        <v>10217.581076718334</v>
      </c>
      <c r="R157" s="17">
        <v>10476.240373143582</v>
      </c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</row>
    <row r="158" spans="1:41" x14ac:dyDescent="0.25">
      <c r="A158" s="9" t="s">
        <v>58</v>
      </c>
      <c r="B158" s="17">
        <v>2672.8974067453623</v>
      </c>
      <c r="C158" s="17">
        <v>2954.00848093479</v>
      </c>
      <c r="D158" s="17">
        <v>3264.6842648779516</v>
      </c>
      <c r="E158" s="17">
        <v>3608.0341062422872</v>
      </c>
      <c r="F158" s="17">
        <v>3987.4943656440364</v>
      </c>
      <c r="G158" s="17">
        <v>4406.8628089002923</v>
      </c>
      <c r="H158" s="17">
        <v>4870.3366163457649</v>
      </c>
      <c r="I158" s="17">
        <v>4993.6297747830977</v>
      </c>
      <c r="J158" s="17">
        <v>5120.0441143861062</v>
      </c>
      <c r="K158" s="17">
        <v>5249.6586482321845</v>
      </c>
      <c r="L158" s="17">
        <v>5382.5543896242916</v>
      </c>
      <c r="M158" s="17">
        <v>5518.8144027269245</v>
      </c>
      <c r="N158" s="17">
        <v>5658.5238544839094</v>
      </c>
      <c r="O158" s="17">
        <v>5801.7700678505262</v>
      </c>
      <c r="P158" s="17">
        <v>5948.6425763731859</v>
      </c>
      <c r="Q158" s="17">
        <v>6099.2331801508235</v>
      </c>
      <c r="R158" s="17">
        <v>6253.636003212936</v>
      </c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</row>
    <row r="159" spans="1:41" x14ac:dyDescent="0.25">
      <c r="A159" s="9" t="s">
        <v>60</v>
      </c>
      <c r="B159" s="17">
        <v>1522.354702110493</v>
      </c>
      <c r="C159" s="17">
        <v>1682.4621437682329</v>
      </c>
      <c r="D159" s="17">
        <v>1859.4082320558603</v>
      </c>
      <c r="E159" s="17">
        <v>2054.9639028985921</v>
      </c>
      <c r="F159" s="17">
        <v>2271.0863431787534</v>
      </c>
      <c r="G159" s="17">
        <v>2509.9385789199282</v>
      </c>
      <c r="H159" s="17">
        <v>2773.9111235784235</v>
      </c>
      <c r="I159" s="17">
        <v>2844.1330179958654</v>
      </c>
      <c r="J159" s="17">
        <v>2916.1325881339385</v>
      </c>
      <c r="K159" s="17">
        <v>2989.9548360677636</v>
      </c>
      <c r="L159" s="17">
        <v>3065.6459031054178</v>
      </c>
      <c r="M159" s="17">
        <v>3143.2530986277538</v>
      </c>
      <c r="N159" s="17">
        <v>3222.8249296582994</v>
      </c>
      <c r="O159" s="17">
        <v>3304.4111311817328</v>
      </c>
      <c r="P159" s="17">
        <v>3388.0626972298633</v>
      </c>
      <c r="Q159" s="17">
        <v>3473.8319127545583</v>
      </c>
      <c r="R159" s="17">
        <v>3561.7723863075475</v>
      </c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</row>
    <row r="160" spans="1:41" x14ac:dyDescent="0.25">
      <c r="A160" s="9" t="s">
        <v>62</v>
      </c>
      <c r="B160" s="17">
        <v>884.05084378324227</v>
      </c>
      <c r="C160" s="17">
        <v>977.027282649477</v>
      </c>
      <c r="D160" s="17">
        <v>1079.782138950678</v>
      </c>
      <c r="E160" s="17">
        <v>1193.3438178258073</v>
      </c>
      <c r="F160" s="17">
        <v>1318.8488827264459</v>
      </c>
      <c r="G160" s="17">
        <v>1457.5534305258284</v>
      </c>
      <c r="H160" s="17">
        <v>1610.8456629585398</v>
      </c>
      <c r="I160" s="17">
        <v>1651.6244150625885</v>
      </c>
      <c r="J160" s="17">
        <v>1693.4354861909871</v>
      </c>
      <c r="K160" s="17">
        <v>1736.3050096242569</v>
      </c>
      <c r="L160" s="17">
        <v>1780.2597802100647</v>
      </c>
      <c r="M160" s="17">
        <v>1825.3272711108755</v>
      </c>
      <c r="N160" s="17">
        <v>1871.5356509755741</v>
      </c>
      <c r="O160" s="17">
        <v>1918.9138015457861</v>
      </c>
      <c r="P160" s="17">
        <v>1967.4913357079076</v>
      </c>
      <c r="Q160" s="17">
        <v>2017.2986160021233</v>
      </c>
      <c r="R160" s="17">
        <v>2068.3667735999798</v>
      </c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</row>
    <row r="161" spans="1:41" x14ac:dyDescent="0.25">
      <c r="A161" s="9" t="s">
        <v>64</v>
      </c>
      <c r="B161" s="17">
        <v>424.47206578762177</v>
      </c>
      <c r="C161" s="17">
        <v>469.1141826439727</v>
      </c>
      <c r="D161" s="17">
        <v>518.45135191494649</v>
      </c>
      <c r="E161" s="17">
        <v>572.97735657340206</v>
      </c>
      <c r="F161" s="17">
        <v>633.23791120078431</v>
      </c>
      <c r="G161" s="17">
        <v>699.83612368207628</v>
      </c>
      <c r="H161" s="17">
        <v>773.43853131222295</v>
      </c>
      <c r="I161" s="17">
        <v>793.01822095062892</v>
      </c>
      <c r="J161" s="17">
        <v>813.09357279206245</v>
      </c>
      <c r="K161" s="17">
        <v>833.67713458493199</v>
      </c>
      <c r="L161" s="17">
        <v>854.78177172541007</v>
      </c>
      <c r="M161" s="17">
        <v>876.42067529872384</v>
      </c>
      <c r="N161" s="17">
        <v>898.60737032401221</v>
      </c>
      <c r="O161" s="17">
        <v>921.35572420790459</v>
      </c>
      <c r="P161" s="17">
        <v>944.67995541210007</v>
      </c>
      <c r="Q161" s="17">
        <v>968.59464234036955</v>
      </c>
      <c r="R161" s="17">
        <v>993.11473245053196</v>
      </c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</row>
    <row r="162" spans="1:41" x14ac:dyDescent="0.25">
      <c r="A162" s="9" t="s">
        <v>66</v>
      </c>
      <c r="B162" s="17">
        <v>186.70387856072082</v>
      </c>
      <c r="C162" s="17">
        <v>206.33969687723615</v>
      </c>
      <c r="D162" s="17">
        <v>228.04063223326591</v>
      </c>
      <c r="E162" s="17">
        <v>252.02387488378963</v>
      </c>
      <c r="F162" s="17">
        <v>278.52945718229989</v>
      </c>
      <c r="G162" s="17">
        <v>307.82265590527419</v>
      </c>
      <c r="H162" s="17">
        <v>340.19664723131609</v>
      </c>
      <c r="I162" s="17">
        <v>348.80876635798342</v>
      </c>
      <c r="J162" s="17">
        <v>357.63890231831317</v>
      </c>
      <c r="K162" s="17">
        <v>366.69257423472573</v>
      </c>
      <c r="L162" s="17">
        <v>375.97544094689079</v>
      </c>
      <c r="M162" s="17">
        <v>385.49330454868669</v>
      </c>
      <c r="N162" s="17">
        <v>395.2521140146971</v>
      </c>
      <c r="O162" s="17">
        <v>405.25796891851439</v>
      </c>
      <c r="P162" s="17">
        <v>415.51712324517194</v>
      </c>
      <c r="Q162" s="17">
        <v>426.03598930008729</v>
      </c>
      <c r="R162" s="17">
        <v>436.82114171696327</v>
      </c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</row>
    <row r="163" spans="1:41" x14ac:dyDescent="0.25">
      <c r="A163" s="9" t="s">
        <v>68</v>
      </c>
      <c r="B163" s="17">
        <v>89.362540165815091</v>
      </c>
      <c r="C163" s="17">
        <v>98.760880556625835</v>
      </c>
      <c r="D163" s="17">
        <v>109.14765303472555</v>
      </c>
      <c r="E163" s="17">
        <v>120.6268119101899</v>
      </c>
      <c r="F163" s="17">
        <v>133.31324446332303</v>
      </c>
      <c r="G163" s="17">
        <v>147.33392077517399</v>
      </c>
      <c r="H163" s="17">
        <v>162.82916448678381</v>
      </c>
      <c r="I163" s="17">
        <v>166.95120441065873</v>
      </c>
      <c r="J163" s="17">
        <v>171.1775942720131</v>
      </c>
      <c r="K163" s="17">
        <v>175.51097570209095</v>
      </c>
      <c r="L163" s="17">
        <v>179.9540572053495</v>
      </c>
      <c r="M163" s="17">
        <v>184.50961585236283</v>
      </c>
      <c r="N163" s="17">
        <v>189.18049901558152</v>
      </c>
      <c r="O163" s="17">
        <v>193.96962614903256</v>
      </c>
      <c r="P163" s="17">
        <v>198.87999061307363</v>
      </c>
      <c r="Q163" s="17">
        <v>203.91466154534086</v>
      </c>
      <c r="R163" s="17">
        <v>209.07678577905941</v>
      </c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</row>
    <row r="164" spans="1:41" x14ac:dyDescent="0.25">
      <c r="A164" s="9" t="s">
        <v>70</v>
      </c>
      <c r="B164" s="17">
        <v>19.149115749817522</v>
      </c>
      <c r="C164" s="17">
        <v>21.163045833562677</v>
      </c>
      <c r="D164" s="17">
        <v>23.388782793155471</v>
      </c>
      <c r="E164" s="17">
        <v>25.84860255218355</v>
      </c>
      <c r="F164" s="17">
        <v>28.567123813569225</v>
      </c>
      <c r="G164" s="17">
        <v>31.571554451822998</v>
      </c>
      <c r="H164" s="17">
        <v>34.89196381859653</v>
      </c>
      <c r="I164" s="17">
        <v>35.775258087998303</v>
      </c>
      <c r="J164" s="17">
        <v>36.680913058288525</v>
      </c>
      <c r="K164" s="17">
        <v>37.609494793305203</v>
      </c>
      <c r="L164" s="17">
        <v>38.561583686860587</v>
      </c>
      <c r="M164" s="17">
        <v>39.537774825506318</v>
      </c>
      <c r="N164" s="17">
        <v>40.538678360481747</v>
      </c>
      <c r="O164" s="17">
        <v>41.564919889078396</v>
      </c>
      <c r="P164" s="17">
        <v>42.617140845658639</v>
      </c>
      <c r="Q164" s="17">
        <v>43.695998902573052</v>
      </c>
      <c r="R164" s="17">
        <v>44.802168381226998</v>
      </c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</row>
    <row r="165" spans="1:41" x14ac:dyDescent="0.25">
      <c r="A165" s="9" t="s">
        <v>72</v>
      </c>
      <c r="B165" s="17">
        <v>4.7872789374543805</v>
      </c>
      <c r="C165" s="17">
        <v>5.2907614583906692</v>
      </c>
      <c r="D165" s="17">
        <v>5.8471956982888686</v>
      </c>
      <c r="E165" s="17">
        <v>6.4621506380458875</v>
      </c>
      <c r="F165" s="17">
        <v>7.1417809533923062</v>
      </c>
      <c r="G165" s="17">
        <v>7.8928886129557494</v>
      </c>
      <c r="H165" s="17">
        <v>8.7229909546491307</v>
      </c>
      <c r="I165" s="17">
        <v>8.9438145219995775</v>
      </c>
      <c r="J165" s="17">
        <v>9.1702282645721329</v>
      </c>
      <c r="K165" s="17">
        <v>9.4023736983263007</v>
      </c>
      <c r="L165" s="17">
        <v>9.6403959217151503</v>
      </c>
      <c r="M165" s="17">
        <v>9.8844437063765813</v>
      </c>
      <c r="N165" s="17">
        <v>10.134669590120437</v>
      </c>
      <c r="O165" s="17">
        <v>10.391229972269599</v>
      </c>
      <c r="P165" s="17">
        <v>10.654285211414662</v>
      </c>
      <c r="Q165" s="17">
        <v>10.923999725643263</v>
      </c>
      <c r="R165" s="17">
        <v>11.200542095306751</v>
      </c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</row>
    <row r="166" spans="1:41" x14ac:dyDescent="0.25">
      <c r="A166" s="9" t="s">
        <v>74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</row>
    <row r="167" spans="1:41" x14ac:dyDescent="0.25">
      <c r="A167" s="20" t="s">
        <v>76</v>
      </c>
      <c r="B167" s="39">
        <v>4.7872789374543805</v>
      </c>
      <c r="C167" s="39">
        <v>5.2907614583906692</v>
      </c>
      <c r="D167" s="39">
        <v>5.8471956982888686</v>
      </c>
      <c r="E167" s="39">
        <v>6.4621506380458875</v>
      </c>
      <c r="F167" s="39">
        <v>7.1417809533923062</v>
      </c>
      <c r="G167" s="39">
        <v>7.8928886129557494</v>
      </c>
      <c r="H167" s="39">
        <v>8.7229909546491307</v>
      </c>
      <c r="I167" s="39">
        <v>8.9438145219995775</v>
      </c>
      <c r="J167" s="39">
        <v>9.1702282645721329</v>
      </c>
      <c r="K167" s="39">
        <v>9.4023736983263007</v>
      </c>
      <c r="L167" s="39">
        <v>9.6403959217151503</v>
      </c>
      <c r="M167" s="39">
        <v>9.8844437063765813</v>
      </c>
      <c r="N167" s="39">
        <v>10.134669590120437</v>
      </c>
      <c r="O167" s="39">
        <v>10.391229972269599</v>
      </c>
      <c r="P167" s="39">
        <v>10.654285211414662</v>
      </c>
      <c r="Q167" s="39">
        <v>10.923999725643263</v>
      </c>
      <c r="R167" s="39">
        <v>11.200542095306751</v>
      </c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</row>
    <row r="168" spans="1:41" x14ac:dyDescent="0.25">
      <c r="A168" s="9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</row>
    <row r="169" spans="1:41" x14ac:dyDescent="0.25">
      <c r="A169" s="3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</row>
    <row r="170" spans="1:41" x14ac:dyDescent="0.25">
      <c r="A170" s="41" t="s">
        <v>4</v>
      </c>
      <c r="B170" s="41">
        <f>SUM(B171:B187)</f>
        <v>2373.457106227555</v>
      </c>
      <c r="C170" s="41">
        <f t="shared" ref="C170:R170" si="8">SUM(C171:C187)</f>
        <v>2623.0757691026765</v>
      </c>
      <c r="D170" s="41">
        <f t="shared" si="8"/>
        <v>2898.9470559211904</v>
      </c>
      <c r="E170" s="41">
        <f t="shared" si="8"/>
        <v>3203.8319792451193</v>
      </c>
      <c r="F170" s="41">
        <f t="shared" si="8"/>
        <v>3540.7819298624468</v>
      </c>
      <c r="G170" s="41">
        <f t="shared" si="8"/>
        <v>3913.1692161317442</v>
      </c>
      <c r="H170" s="41">
        <f t="shared" si="8"/>
        <v>4324.7208151776822</v>
      </c>
      <c r="I170" s="41">
        <f t="shared" si="8"/>
        <v>4434.2016438484115</v>
      </c>
      <c r="J170" s="41">
        <f t="shared" si="8"/>
        <v>4546.4539928920549</v>
      </c>
      <c r="K170" s="41">
        <f t="shared" si="8"/>
        <v>4661.5480236808871</v>
      </c>
      <c r="L170" s="41">
        <f t="shared" si="8"/>
        <v>4779.5556737307816</v>
      </c>
      <c r="M170" s="41">
        <f t="shared" si="8"/>
        <v>4900.5507016644951</v>
      </c>
      <c r="N170" s="41">
        <f t="shared" si="8"/>
        <v>5024.6087333132064</v>
      </c>
      <c r="O170" s="41">
        <f>SUM(O171:O187)</f>
        <v>5151.8073089851296</v>
      </c>
      <c r="P170" s="41">
        <f t="shared" si="8"/>
        <v>5282.2259319307204</v>
      </c>
      <c r="Q170" s="41">
        <f t="shared" si="8"/>
        <v>5415.9461180348117</v>
      </c>
      <c r="R170" s="41">
        <f t="shared" si="8"/>
        <v>5553.0514467666735</v>
      </c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</row>
    <row r="171" spans="1:41" x14ac:dyDescent="0.25">
      <c r="A171" s="17" t="s">
        <v>44</v>
      </c>
      <c r="B171" s="17">
        <v>164.99373025912544</v>
      </c>
      <c r="C171" s="17">
        <v>182.34627234720338</v>
      </c>
      <c r="D171" s="17">
        <v>201.52379721763089</v>
      </c>
      <c r="E171" s="17">
        <v>222.71823998509984</v>
      </c>
      <c r="F171" s="17">
        <v>246.14172175652521</v>
      </c>
      <c r="G171" s="17">
        <v>272.0286726103796</v>
      </c>
      <c r="H171" s="17">
        <v>300.63817785171301</v>
      </c>
      <c r="I171" s="17">
        <v>308.24886955827384</v>
      </c>
      <c r="J171" s="17">
        <v>316.05222684266039</v>
      </c>
      <c r="K171" s="17">
        <v>324.05312705719649</v>
      </c>
      <c r="L171" s="17">
        <v>332.25657102496751</v>
      </c>
      <c r="M171" s="17">
        <v>340.66768616549808</v>
      </c>
      <c r="N171" s="17">
        <v>349.29172969955607</v>
      </c>
      <c r="O171" s="17">
        <v>358.13409193508653</v>
      </c>
      <c r="P171" s="17">
        <v>367.20029963632993</v>
      </c>
      <c r="Q171" s="17">
        <v>376.49601947823004</v>
      </c>
      <c r="R171" s="17">
        <v>386.0270615882892</v>
      </c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</row>
    <row r="172" spans="1:41" x14ac:dyDescent="0.25">
      <c r="A172" s="17" t="s">
        <v>46</v>
      </c>
      <c r="B172" s="17">
        <v>72.463462613805106</v>
      </c>
      <c r="C172" s="17">
        <v>80.084511503839352</v>
      </c>
      <c r="D172" s="17">
        <v>88.507073102337912</v>
      </c>
      <c r="E172" s="17">
        <v>97.815443236699267</v>
      </c>
      <c r="F172" s="17">
        <v>108.10278320387931</v>
      </c>
      <c r="G172" s="17">
        <v>119.47205215996404</v>
      </c>
      <c r="H172" s="17">
        <v>132.03703757000909</v>
      </c>
      <c r="I172" s="17">
        <v>135.37957108978242</v>
      </c>
      <c r="J172" s="17">
        <v>138.80672124846572</v>
      </c>
      <c r="K172" s="17">
        <v>142.32063012647146</v>
      </c>
      <c r="L172" s="17">
        <v>145.92349403123575</v>
      </c>
      <c r="M172" s="17">
        <v>149.61756486998226</v>
      </c>
      <c r="N172" s="17">
        <v>153.40515155723739</v>
      </c>
      <c r="O172" s="17">
        <v>157.28862145797717</v>
      </c>
      <c r="P172" s="17">
        <v>161.2704018673071</v>
      </c>
      <c r="Q172" s="17">
        <v>165.35298152760103</v>
      </c>
      <c r="R172" s="17">
        <v>169.53891218404596</v>
      </c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</row>
    <row r="173" spans="1:41" x14ac:dyDescent="0.25">
      <c r="A173" s="17" t="s">
        <v>48</v>
      </c>
      <c r="B173" s="17">
        <v>42.363255066532204</v>
      </c>
      <c r="C173" s="17">
        <v>46.818637494552242</v>
      </c>
      <c r="D173" s="17">
        <v>51.742596582905236</v>
      </c>
      <c r="E173" s="17">
        <v>57.18441296914726</v>
      </c>
      <c r="F173" s="17">
        <v>63.198550180729455</v>
      </c>
      <c r="G173" s="17">
        <v>69.845199724286644</v>
      </c>
      <c r="H173" s="17">
        <v>77.19088350246686</v>
      </c>
      <c r="I173" s="17">
        <v>79.144980021718951</v>
      </c>
      <c r="J173" s="17">
        <v>81.148544729872285</v>
      </c>
      <c r="K173" s="17">
        <v>83.202829920091006</v>
      </c>
      <c r="L173" s="17">
        <v>85.309119587491665</v>
      </c>
      <c r="M173" s="17">
        <v>87.468730231681945</v>
      </c>
      <c r="N173" s="17">
        <v>89.683011679615731</v>
      </c>
      <c r="O173" s="17">
        <v>91.953347929278962</v>
      </c>
      <c r="P173" s="17">
        <v>94.281158014733407</v>
      </c>
      <c r="Q173" s="17">
        <v>96.667896893059108</v>
      </c>
      <c r="R173" s="17">
        <v>99.115056353749964</v>
      </c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</row>
    <row r="174" spans="1:41" x14ac:dyDescent="0.25">
      <c r="A174" s="17" t="s">
        <v>50</v>
      </c>
      <c r="B174" s="17">
        <v>28.985385045522033</v>
      </c>
      <c r="C174" s="17">
        <v>32.033804601535742</v>
      </c>
      <c r="D174" s="17">
        <v>35.402829240935162</v>
      </c>
      <c r="E174" s="17">
        <v>39.1261772946797</v>
      </c>
      <c r="F174" s="17">
        <v>43.241113281551733</v>
      </c>
      <c r="G174" s="17">
        <v>47.788820863985606</v>
      </c>
      <c r="H174" s="17">
        <v>52.814815028003629</v>
      </c>
      <c r="I174" s="17">
        <v>54.151828435912954</v>
      </c>
      <c r="J174" s="17">
        <v>55.522688499386298</v>
      </c>
      <c r="K174" s="17">
        <v>56.928252050588583</v>
      </c>
      <c r="L174" s="17">
        <v>58.369397612494282</v>
      </c>
      <c r="M174" s="17">
        <v>59.84702594799289</v>
      </c>
      <c r="N174" s="17">
        <v>61.362060622894965</v>
      </c>
      <c r="O174" s="17">
        <v>62.915448583190859</v>
      </c>
      <c r="P174" s="17">
        <v>64.508160746922854</v>
      </c>
      <c r="Q174" s="17">
        <v>66.141192611040424</v>
      </c>
      <c r="R174" s="17">
        <v>67.815564873618385</v>
      </c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</row>
    <row r="175" spans="1:41" x14ac:dyDescent="0.25">
      <c r="A175" s="17" t="s">
        <v>52</v>
      </c>
      <c r="B175" s="17">
        <v>142.69728022410851</v>
      </c>
      <c r="C175" s="17">
        <v>157.70488419217594</v>
      </c>
      <c r="D175" s="17">
        <v>174.29085164768082</v>
      </c>
      <c r="E175" s="17">
        <v>192.62118052765391</v>
      </c>
      <c r="F175" s="17">
        <v>212.87932692456235</v>
      </c>
      <c r="G175" s="17">
        <v>235.2680411765445</v>
      </c>
      <c r="H175" s="17">
        <v>260.01139706094102</v>
      </c>
      <c r="I175" s="17">
        <v>266.59361691526385</v>
      </c>
      <c r="J175" s="17">
        <v>273.34246645851721</v>
      </c>
      <c r="K175" s="17">
        <v>280.26216394135918</v>
      </c>
      <c r="L175" s="17">
        <v>287.35703439997189</v>
      </c>
      <c r="M175" s="17">
        <v>294.63151235934964</v>
      </c>
      <c r="N175" s="17">
        <v>302.09014460502135</v>
      </c>
      <c r="O175" s="17">
        <v>309.73759302493966</v>
      </c>
      <c r="P175" s="17">
        <v>317.57863752331252</v>
      </c>
      <c r="Q175" s="17">
        <v>325.61817900819898</v>
      </c>
      <c r="R175" s="17">
        <v>333.86124245473661</v>
      </c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</row>
    <row r="176" spans="1:41" x14ac:dyDescent="0.25">
      <c r="A176" s="17" t="s">
        <v>54</v>
      </c>
      <c r="B176" s="17">
        <v>681.15654856976789</v>
      </c>
      <c r="C176" s="17">
        <v>752.79440813608994</v>
      </c>
      <c r="D176" s="17">
        <v>831.96648716197626</v>
      </c>
      <c r="E176" s="17">
        <v>919.46516642497295</v>
      </c>
      <c r="F176" s="17">
        <v>1016.1661621164654</v>
      </c>
      <c r="G176" s="17">
        <v>1123.0372903036616</v>
      </c>
      <c r="H176" s="17">
        <v>1241.1481531580855</v>
      </c>
      <c r="I176" s="17">
        <v>1272.5679682439545</v>
      </c>
      <c r="J176" s="17">
        <v>1304.783179735578</v>
      </c>
      <c r="K176" s="17">
        <v>1337.8139231888313</v>
      </c>
      <c r="L176" s="17">
        <v>1371.6808438936157</v>
      </c>
      <c r="M176" s="17">
        <v>1406.4051097778329</v>
      </c>
      <c r="N176" s="17">
        <v>1442.0084246380313</v>
      </c>
      <c r="O176" s="17">
        <v>1478.5130417049852</v>
      </c>
      <c r="P176" s="17">
        <v>1515.9417775526865</v>
      </c>
      <c r="Q176" s="17">
        <v>1554.3180263594497</v>
      </c>
      <c r="R176" s="17">
        <v>1593.6657745300322</v>
      </c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</row>
    <row r="177" spans="1:41" x14ac:dyDescent="0.25">
      <c r="A177" s="9" t="s">
        <v>56</v>
      </c>
      <c r="B177" s="17">
        <v>528.4258658299018</v>
      </c>
      <c r="C177" s="17">
        <v>584.00089927415161</v>
      </c>
      <c r="D177" s="17">
        <v>645.42081000781775</v>
      </c>
      <c r="E177" s="17">
        <v>713.30030914146823</v>
      </c>
      <c r="F177" s="17">
        <v>788.31875751751977</v>
      </c>
      <c r="G177" s="17">
        <v>871.22696498189111</v>
      </c>
      <c r="H177" s="17">
        <v>962.85470474129716</v>
      </c>
      <c r="I177" s="17">
        <v>987.22948763933653</v>
      </c>
      <c r="J177" s="17">
        <v>1012.2213211041962</v>
      </c>
      <c r="K177" s="17">
        <v>1037.8458258453456</v>
      </c>
      <c r="L177" s="17">
        <v>1064.1190180123958</v>
      </c>
      <c r="M177" s="17">
        <v>1091.0573192057168</v>
      </c>
      <c r="N177" s="17">
        <v>1118.6775667404695</v>
      </c>
      <c r="O177" s="17">
        <v>1146.9970241704793</v>
      </c>
      <c r="P177" s="17">
        <v>1176.0333920785163</v>
      </c>
      <c r="Q177" s="17">
        <v>1205.804819139737</v>
      </c>
      <c r="R177" s="17">
        <v>1236.3299134651966</v>
      </c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</row>
    <row r="178" spans="1:41" x14ac:dyDescent="0.25">
      <c r="A178" s="9" t="s">
        <v>58</v>
      </c>
      <c r="B178" s="17">
        <v>307.69101048323387</v>
      </c>
      <c r="C178" s="17">
        <v>340.05115653937935</v>
      </c>
      <c r="D178" s="17">
        <v>375.81464886531171</v>
      </c>
      <c r="E178" s="17">
        <v>415.3394205127538</v>
      </c>
      <c r="F178" s="17">
        <v>459.02104868108756</v>
      </c>
      <c r="G178" s="17">
        <v>507.2967137869241</v>
      </c>
      <c r="H178" s="17">
        <v>560.64957491265386</v>
      </c>
      <c r="I178" s="17">
        <v>574.84248647353763</v>
      </c>
      <c r="J178" s="17">
        <v>589.39469330117754</v>
      </c>
      <c r="K178" s="17">
        <v>604.31529099855561</v>
      </c>
      <c r="L178" s="17">
        <v>619.61360542493946</v>
      </c>
      <c r="M178" s="17">
        <v>635.29919852484772</v>
      </c>
      <c r="N178" s="17">
        <v>651.38187430457742</v>
      </c>
      <c r="O178" s="17">
        <v>667.87168496002619</v>
      </c>
      <c r="P178" s="17">
        <v>684.77893715964251</v>
      </c>
      <c r="Q178" s="17">
        <v>702.11419848642902</v>
      </c>
      <c r="R178" s="17">
        <v>719.88830404302587</v>
      </c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</row>
    <row r="179" spans="1:41" x14ac:dyDescent="0.25">
      <c r="A179" s="9" t="s">
        <v>60</v>
      </c>
      <c r="B179" s="17">
        <v>169.45302026612885</v>
      </c>
      <c r="C179" s="17">
        <v>187.27454997820888</v>
      </c>
      <c r="D179" s="17">
        <v>206.97038633162094</v>
      </c>
      <c r="E179" s="17">
        <v>228.73765187658896</v>
      </c>
      <c r="F179" s="17">
        <v>252.79420072291774</v>
      </c>
      <c r="G179" s="17">
        <v>279.38079889714658</v>
      </c>
      <c r="H179" s="17">
        <v>308.76353400986739</v>
      </c>
      <c r="I179" s="17">
        <v>316.57992008687575</v>
      </c>
      <c r="J179" s="17">
        <v>324.5941789194892</v>
      </c>
      <c r="K179" s="17">
        <v>332.81131968036397</v>
      </c>
      <c r="L179" s="17">
        <v>341.23647834996655</v>
      </c>
      <c r="M179" s="17">
        <v>349.87492092672761</v>
      </c>
      <c r="N179" s="17">
        <v>358.73204671846281</v>
      </c>
      <c r="O179" s="17">
        <v>367.81339171711579</v>
      </c>
      <c r="P179" s="17">
        <v>377.12463205893346</v>
      </c>
      <c r="Q179" s="17">
        <v>386.67158757223626</v>
      </c>
      <c r="R179" s="17">
        <v>396.46022541499963</v>
      </c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</row>
    <row r="180" spans="1:41" x14ac:dyDescent="0.25">
      <c r="A180" s="9" t="s">
        <v>62</v>
      </c>
      <c r="B180" s="17">
        <v>120.40083018909154</v>
      </c>
      <c r="C180" s="17">
        <v>133.06349603714844</v>
      </c>
      <c r="D180" s="17">
        <v>147.05790607773065</v>
      </c>
      <c r="E180" s="17">
        <v>162.52412107020794</v>
      </c>
      <c r="F180" s="17">
        <v>179.61693209259943</v>
      </c>
      <c r="G180" s="17">
        <v>198.50740974270937</v>
      </c>
      <c r="H180" s="17">
        <v>219.38461627016892</v>
      </c>
      <c r="I180" s="17">
        <v>224.93836427225386</v>
      </c>
      <c r="J180" s="17">
        <v>230.6327060743738</v>
      </c>
      <c r="K180" s="17">
        <v>236.47120082552178</v>
      </c>
      <c r="L180" s="17">
        <v>242.4574977749763</v>
      </c>
      <c r="M180" s="17">
        <v>248.59533855320123</v>
      </c>
      <c r="N180" s="17">
        <v>254.88855951048677</v>
      </c>
      <c r="O180" s="17">
        <v>261.34109411479278</v>
      </c>
      <c r="P180" s="17">
        <v>267.95697541029483</v>
      </c>
      <c r="Q180" s="17">
        <v>274.74033853816786</v>
      </c>
      <c r="R180" s="17">
        <v>281.69542332118397</v>
      </c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</row>
    <row r="181" spans="1:41" x14ac:dyDescent="0.25">
      <c r="A181" s="9" t="s">
        <v>64</v>
      </c>
      <c r="B181" s="17">
        <v>53.511480084040691</v>
      </c>
      <c r="C181" s="17">
        <v>59.139331572065991</v>
      </c>
      <c r="D181" s="17">
        <v>65.359069367880309</v>
      </c>
      <c r="E181" s="17">
        <v>72.232942697870229</v>
      </c>
      <c r="F181" s="17">
        <v>79.829747596710888</v>
      </c>
      <c r="G181" s="17">
        <v>88.225515441204195</v>
      </c>
      <c r="H181" s="17">
        <v>97.504273897852897</v>
      </c>
      <c r="I181" s="17">
        <v>99.972606343223973</v>
      </c>
      <c r="J181" s="17">
        <v>102.50342492194392</v>
      </c>
      <c r="K181" s="17">
        <v>105.09831147800969</v>
      </c>
      <c r="L181" s="17">
        <v>107.75888789998949</v>
      </c>
      <c r="M181" s="17">
        <v>110.48681713475617</v>
      </c>
      <c r="N181" s="17">
        <v>113.28380422688302</v>
      </c>
      <c r="O181" s="17">
        <v>116.15159738435237</v>
      </c>
      <c r="P181" s="17">
        <v>119.09198907124218</v>
      </c>
      <c r="Q181" s="17">
        <v>122.10681712807467</v>
      </c>
      <c r="R181" s="17">
        <v>125.19796592052629</v>
      </c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</row>
    <row r="182" spans="1:41" x14ac:dyDescent="0.25">
      <c r="A182" s="9" t="s">
        <v>66</v>
      </c>
      <c r="B182" s="17">
        <v>34.559497554276277</v>
      </c>
      <c r="C182" s="17">
        <v>38.194151640292617</v>
      </c>
      <c r="D182" s="17">
        <v>42.211065633422692</v>
      </c>
      <c r="E182" s="17">
        <v>46.650442159041177</v>
      </c>
      <c r="F182" s="17">
        <v>51.556711989542443</v>
      </c>
      <c r="G182" s="17">
        <v>56.978978722444374</v>
      </c>
      <c r="H182" s="17">
        <v>62.971510225696633</v>
      </c>
      <c r="I182" s="17">
        <v>64.565641596665444</v>
      </c>
      <c r="J182" s="17">
        <v>66.200128595422115</v>
      </c>
      <c r="K182" s="17">
        <v>67.875992829547926</v>
      </c>
      <c r="L182" s="17">
        <v>69.594281768743187</v>
      </c>
      <c r="M182" s="17">
        <v>71.356069399529986</v>
      </c>
      <c r="N182" s="17">
        <v>73.16245689652861</v>
      </c>
      <c r="O182" s="17">
        <v>75.014573310727556</v>
      </c>
      <c r="P182" s="17">
        <v>76.913576275177235</v>
      </c>
      <c r="Q182" s="17">
        <v>78.860652728548217</v>
      </c>
      <c r="R182" s="17">
        <v>80.857019657006546</v>
      </c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</row>
    <row r="183" spans="1:41" x14ac:dyDescent="0.25">
      <c r="A183" s="9" t="s">
        <v>68</v>
      </c>
      <c r="B183" s="17">
        <v>18.951982529764408</v>
      </c>
      <c r="C183" s="17">
        <v>20.945179931773371</v>
      </c>
      <c r="D183" s="17">
        <v>23.14800373445761</v>
      </c>
      <c r="E183" s="17">
        <v>25.582500538829034</v>
      </c>
      <c r="F183" s="17">
        <v>28.273035607168445</v>
      </c>
      <c r="G183" s="17">
        <v>31.24653671875982</v>
      </c>
      <c r="H183" s="17">
        <v>34.532763672156229</v>
      </c>
      <c r="I183" s="17">
        <v>35.406964746558479</v>
      </c>
      <c r="J183" s="17">
        <v>36.303296326521817</v>
      </c>
      <c r="K183" s="17">
        <v>37.222318648461766</v>
      </c>
      <c r="L183" s="17">
        <v>38.164606131246266</v>
      </c>
      <c r="M183" s="17">
        <v>39.13074773522613</v>
      </c>
      <c r="N183" s="17">
        <v>40.121347330354403</v>
      </c>
      <c r="O183" s="17">
        <v>41.137024073624808</v>
      </c>
      <c r="P183" s="17">
        <v>42.178412796064954</v>
      </c>
      <c r="Q183" s="17">
        <v>43.246164399526442</v>
      </c>
      <c r="R183" s="17">
        <v>44.340946263519712</v>
      </c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</row>
    <row r="184" spans="1:41" x14ac:dyDescent="0.25">
      <c r="A184" s="9" t="s">
        <v>70</v>
      </c>
      <c r="B184" s="17">
        <v>5.5741125087542374</v>
      </c>
      <c r="C184" s="17">
        <v>6.1603470387568731</v>
      </c>
      <c r="D184" s="17">
        <v>6.8082363924875313</v>
      </c>
      <c r="E184" s="17">
        <v>7.5242648643614807</v>
      </c>
      <c r="F184" s="17">
        <v>8.3155987079907163</v>
      </c>
      <c r="G184" s="17">
        <v>9.19015785845877</v>
      </c>
      <c r="H184" s="17">
        <v>10.156695197693008</v>
      </c>
      <c r="I184" s="17">
        <v>10.413813160752493</v>
      </c>
      <c r="J184" s="17">
        <v>10.677440096035827</v>
      </c>
      <c r="K184" s="17">
        <v>10.947740778959343</v>
      </c>
      <c r="L184" s="17">
        <v>11.224884156248905</v>
      </c>
      <c r="M184" s="17">
        <v>11.509043451537098</v>
      </c>
      <c r="N184" s="17">
        <v>11.800396273633648</v>
      </c>
      <c r="O184" s="17">
        <v>12.099124727536704</v>
      </c>
      <c r="P184" s="17">
        <v>12.405415528254395</v>
      </c>
      <c r="Q184" s="17">
        <v>12.719460117507777</v>
      </c>
      <c r="R184" s="17">
        <v>13.041454783388154</v>
      </c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</row>
    <row r="185" spans="1:41" x14ac:dyDescent="0.25">
      <c r="A185" s="9" t="s">
        <v>72</v>
      </c>
      <c r="B185" s="17">
        <v>1.1148225017508475</v>
      </c>
      <c r="C185" s="17">
        <v>1.2320694077513745</v>
      </c>
      <c r="D185" s="17">
        <v>1.3616472784975062</v>
      </c>
      <c r="E185" s="17">
        <v>1.5048529728722961</v>
      </c>
      <c r="F185" s="17">
        <v>1.6631197415981434</v>
      </c>
      <c r="G185" s="17">
        <v>1.8380315716917541</v>
      </c>
      <c r="H185" s="17">
        <v>2.0313390395386017</v>
      </c>
      <c r="I185" s="17">
        <v>2.0827626321504988</v>
      </c>
      <c r="J185" s="17">
        <v>2.1354880192071652</v>
      </c>
      <c r="K185" s="17">
        <v>2.1895481557918686</v>
      </c>
      <c r="L185" s="17">
        <v>2.2449768312497809</v>
      </c>
      <c r="M185" s="17">
        <v>2.3018086903074195</v>
      </c>
      <c r="N185" s="17">
        <v>2.3600792547267297</v>
      </c>
      <c r="O185" s="17">
        <v>2.4198249455073411</v>
      </c>
      <c r="P185" s="17">
        <v>2.4810831056508791</v>
      </c>
      <c r="Q185" s="17">
        <v>2.5438920235015554</v>
      </c>
      <c r="R185" s="17">
        <v>2.6082909566776307</v>
      </c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</row>
    <row r="186" spans="1:41" x14ac:dyDescent="0.25">
      <c r="A186" s="9" t="s">
        <v>74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</row>
    <row r="187" spans="1:41" x14ac:dyDescent="0.25">
      <c r="A187" s="20" t="s">
        <v>76</v>
      </c>
      <c r="B187" s="39">
        <v>1.1148225017508475</v>
      </c>
      <c r="C187" s="39">
        <v>1.2320694077513745</v>
      </c>
      <c r="D187" s="39">
        <v>1.3616472784975062</v>
      </c>
      <c r="E187" s="39">
        <v>1.5048529728722961</v>
      </c>
      <c r="F187" s="39">
        <v>1.6631197415981434</v>
      </c>
      <c r="G187" s="39">
        <v>1.8380315716917541</v>
      </c>
      <c r="H187" s="39">
        <v>2.0313390395386017</v>
      </c>
      <c r="I187" s="39">
        <v>2.0827626321504988</v>
      </c>
      <c r="J187" s="39">
        <v>2.1354880192071652</v>
      </c>
      <c r="K187" s="39">
        <v>2.1895481557918686</v>
      </c>
      <c r="L187" s="39">
        <v>2.2449768312497809</v>
      </c>
      <c r="M187" s="39">
        <v>2.3018086903074195</v>
      </c>
      <c r="N187" s="39">
        <v>2.3600792547267297</v>
      </c>
      <c r="O187" s="39">
        <v>2.4198249455073411</v>
      </c>
      <c r="P187" s="39">
        <v>2.4810831056508791</v>
      </c>
      <c r="Q187" s="39">
        <v>2.5438920235015554</v>
      </c>
      <c r="R187" s="39">
        <v>2.6082909566776307</v>
      </c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</row>
    <row r="188" spans="1:41" x14ac:dyDescent="0.25">
      <c r="A188" s="30" t="s">
        <v>24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</row>
    <row r="189" spans="1:41" x14ac:dyDescent="0.25">
      <c r="A189" s="30" t="s">
        <v>83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</row>
    <row r="190" spans="1:41" x14ac:dyDescent="0.25">
      <c r="A190" s="31" t="s">
        <v>84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</row>
    <row r="191" spans="1:41" x14ac:dyDescent="0.25">
      <c r="A191" s="31" t="s">
        <v>85</v>
      </c>
      <c r="G191" s="34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</row>
    <row r="192" spans="1:41" x14ac:dyDescent="0.25">
      <c r="A192" s="31" t="s">
        <v>132</v>
      </c>
      <c r="G192" s="34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</row>
    <row r="193" spans="7:41" x14ac:dyDescent="0.25">
      <c r="G193" s="34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</row>
    <row r="194" spans="7:41" x14ac:dyDescent="0.25">
      <c r="G194" s="34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</row>
    <row r="195" spans="7:41" x14ac:dyDescent="0.25">
      <c r="G195" s="34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</row>
    <row r="196" spans="7:41" x14ac:dyDescent="0.25">
      <c r="G196" s="34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</row>
    <row r="197" spans="7:41" x14ac:dyDescent="0.25">
      <c r="G197" s="34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</row>
    <row r="198" spans="7:41" x14ac:dyDescent="0.25"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</row>
    <row r="199" spans="7:41" x14ac:dyDescent="0.25"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</row>
    <row r="200" spans="7:41" x14ac:dyDescent="0.25"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</row>
    <row r="201" spans="7:41" x14ac:dyDescent="0.25"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</row>
    <row r="202" spans="7:41" x14ac:dyDescent="0.25"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</row>
    <row r="203" spans="7:41" x14ac:dyDescent="0.25"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</row>
    <row r="204" spans="7:41" x14ac:dyDescent="0.25"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</row>
    <row r="205" spans="7:41" x14ac:dyDescent="0.25"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</row>
    <row r="206" spans="7:41" x14ac:dyDescent="0.25"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</row>
    <row r="207" spans="7:41" x14ac:dyDescent="0.25"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</row>
    <row r="208" spans="7:41" x14ac:dyDescent="0.25"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</row>
    <row r="209" spans="16:41" x14ac:dyDescent="0.25"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</row>
    <row r="210" spans="16:41" x14ac:dyDescent="0.25"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</row>
    <row r="211" spans="16:41" x14ac:dyDescent="0.25"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</row>
    <row r="212" spans="16:41" x14ac:dyDescent="0.25"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</row>
    <row r="213" spans="16:41" x14ac:dyDescent="0.25"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</row>
    <row r="214" spans="16:41" x14ac:dyDescent="0.25"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</row>
    <row r="215" spans="16:41" x14ac:dyDescent="0.25"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</row>
    <row r="216" spans="16:41" x14ac:dyDescent="0.25"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</row>
    <row r="223" spans="16:41" x14ac:dyDescent="0.25">
      <c r="P223" s="43"/>
    </row>
  </sheetData>
  <mergeCells count="8">
    <mergeCell ref="A1:R1"/>
    <mergeCell ref="A2:R2"/>
    <mergeCell ref="AI5:AJ5"/>
    <mergeCell ref="AK5:AL5"/>
    <mergeCell ref="AI32:AJ32"/>
    <mergeCell ref="AK32:AL32"/>
    <mergeCell ref="A66:C66"/>
    <mergeCell ref="A128:C128"/>
  </mergeCells>
  <pageMargins left="0.7" right="0.7" top="0.75" bottom="0.75" header="0.3" footer="0.3"/>
  <pageSetup scale="52" orientation="portrait" r:id="rId1"/>
  <rowBreaks count="2" manualBreakCount="2">
    <brk id="63" max="18" man="1"/>
    <brk id="125" max="18" man="1"/>
  </rowBreaks>
  <colBreaks count="1" manualBreakCount="1">
    <brk id="19" max="21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P221"/>
  <sheetViews>
    <sheetView tabSelected="1" view="pageBreakPreview" topLeftCell="A149" zoomScale="60" zoomScaleNormal="100" workbookViewId="0">
      <selection activeCell="V177" sqref="V177"/>
    </sheetView>
  </sheetViews>
  <sheetFormatPr defaultRowHeight="15" x14ac:dyDescent="0.25"/>
  <cols>
    <col min="1" max="1" width="11.85546875" style="1" customWidth="1"/>
    <col min="2" max="17" width="7.7109375" style="9" customWidth="1"/>
    <col min="18" max="18" width="9.140625" style="9" customWidth="1"/>
    <col min="19" max="236" width="9.140625" style="1"/>
    <col min="237" max="237" width="11.85546875" style="1" customWidth="1"/>
    <col min="238" max="278" width="8.85546875" style="1" customWidth="1"/>
    <col min="279" max="492" width="9.140625" style="1"/>
    <col min="493" max="493" width="11.85546875" style="1" customWidth="1"/>
    <col min="494" max="534" width="8.85546875" style="1" customWidth="1"/>
    <col min="535" max="748" width="9.140625" style="1"/>
    <col min="749" max="749" width="11.85546875" style="1" customWidth="1"/>
    <col min="750" max="790" width="8.85546875" style="1" customWidth="1"/>
    <col min="791" max="1004" width="9.140625" style="1"/>
    <col min="1005" max="1005" width="11.85546875" style="1" customWidth="1"/>
    <col min="1006" max="1046" width="8.85546875" style="1" customWidth="1"/>
    <col min="1047" max="1260" width="9.140625" style="1"/>
    <col min="1261" max="1261" width="11.85546875" style="1" customWidth="1"/>
    <col min="1262" max="1302" width="8.85546875" style="1" customWidth="1"/>
    <col min="1303" max="1516" width="9.140625" style="1"/>
    <col min="1517" max="1517" width="11.85546875" style="1" customWidth="1"/>
    <col min="1518" max="1558" width="8.85546875" style="1" customWidth="1"/>
    <col min="1559" max="1772" width="9.140625" style="1"/>
    <col min="1773" max="1773" width="11.85546875" style="1" customWidth="1"/>
    <col min="1774" max="1814" width="8.85546875" style="1" customWidth="1"/>
    <col min="1815" max="2028" width="9.140625" style="1"/>
    <col min="2029" max="2029" width="11.85546875" style="1" customWidth="1"/>
    <col min="2030" max="2070" width="8.85546875" style="1" customWidth="1"/>
    <col min="2071" max="2284" width="9.140625" style="1"/>
    <col min="2285" max="2285" width="11.85546875" style="1" customWidth="1"/>
    <col min="2286" max="2326" width="8.85546875" style="1" customWidth="1"/>
    <col min="2327" max="2540" width="9.140625" style="1"/>
    <col min="2541" max="2541" width="11.85546875" style="1" customWidth="1"/>
    <col min="2542" max="2582" width="8.85546875" style="1" customWidth="1"/>
    <col min="2583" max="2796" width="9.140625" style="1"/>
    <col min="2797" max="2797" width="11.85546875" style="1" customWidth="1"/>
    <col min="2798" max="2838" width="8.85546875" style="1" customWidth="1"/>
    <col min="2839" max="3052" width="9.140625" style="1"/>
    <col min="3053" max="3053" width="11.85546875" style="1" customWidth="1"/>
    <col min="3054" max="3094" width="8.85546875" style="1" customWidth="1"/>
    <col min="3095" max="3308" width="9.140625" style="1"/>
    <col min="3309" max="3309" width="11.85546875" style="1" customWidth="1"/>
    <col min="3310" max="3350" width="8.85546875" style="1" customWidth="1"/>
    <col min="3351" max="3564" width="9.140625" style="1"/>
    <col min="3565" max="3565" width="11.85546875" style="1" customWidth="1"/>
    <col min="3566" max="3606" width="8.85546875" style="1" customWidth="1"/>
    <col min="3607" max="3820" width="9.140625" style="1"/>
    <col min="3821" max="3821" width="11.85546875" style="1" customWidth="1"/>
    <col min="3822" max="3862" width="8.85546875" style="1" customWidth="1"/>
    <col min="3863" max="4076" width="9.140625" style="1"/>
    <col min="4077" max="4077" width="11.85546875" style="1" customWidth="1"/>
    <col min="4078" max="4118" width="8.85546875" style="1" customWidth="1"/>
    <col min="4119" max="4332" width="9.140625" style="1"/>
    <col min="4333" max="4333" width="11.85546875" style="1" customWidth="1"/>
    <col min="4334" max="4374" width="8.85546875" style="1" customWidth="1"/>
    <col min="4375" max="4588" width="9.140625" style="1"/>
    <col min="4589" max="4589" width="11.85546875" style="1" customWidth="1"/>
    <col min="4590" max="4630" width="8.85546875" style="1" customWidth="1"/>
    <col min="4631" max="4844" width="9.140625" style="1"/>
    <col min="4845" max="4845" width="11.85546875" style="1" customWidth="1"/>
    <col min="4846" max="4886" width="8.85546875" style="1" customWidth="1"/>
    <col min="4887" max="5100" width="9.140625" style="1"/>
    <col min="5101" max="5101" width="11.85546875" style="1" customWidth="1"/>
    <col min="5102" max="5142" width="8.85546875" style="1" customWidth="1"/>
    <col min="5143" max="5356" width="9.140625" style="1"/>
    <col min="5357" max="5357" width="11.85546875" style="1" customWidth="1"/>
    <col min="5358" max="5398" width="8.85546875" style="1" customWidth="1"/>
    <col min="5399" max="5612" width="9.140625" style="1"/>
    <col min="5613" max="5613" width="11.85546875" style="1" customWidth="1"/>
    <col min="5614" max="5654" width="8.85546875" style="1" customWidth="1"/>
    <col min="5655" max="5868" width="9.140625" style="1"/>
    <col min="5869" max="5869" width="11.85546875" style="1" customWidth="1"/>
    <col min="5870" max="5910" width="8.85546875" style="1" customWidth="1"/>
    <col min="5911" max="6124" width="9.140625" style="1"/>
    <col min="6125" max="6125" width="11.85546875" style="1" customWidth="1"/>
    <col min="6126" max="6166" width="8.85546875" style="1" customWidth="1"/>
    <col min="6167" max="6380" width="9.140625" style="1"/>
    <col min="6381" max="6381" width="11.85546875" style="1" customWidth="1"/>
    <col min="6382" max="6422" width="8.85546875" style="1" customWidth="1"/>
    <col min="6423" max="6636" width="9.140625" style="1"/>
    <col min="6637" max="6637" width="11.85546875" style="1" customWidth="1"/>
    <col min="6638" max="6678" width="8.85546875" style="1" customWidth="1"/>
    <col min="6679" max="6892" width="9.140625" style="1"/>
    <col min="6893" max="6893" width="11.85546875" style="1" customWidth="1"/>
    <col min="6894" max="6934" width="8.85546875" style="1" customWidth="1"/>
    <col min="6935" max="7148" width="9.140625" style="1"/>
    <col min="7149" max="7149" width="11.85546875" style="1" customWidth="1"/>
    <col min="7150" max="7190" width="8.85546875" style="1" customWidth="1"/>
    <col min="7191" max="7404" width="9.140625" style="1"/>
    <col min="7405" max="7405" width="11.85546875" style="1" customWidth="1"/>
    <col min="7406" max="7446" width="8.85546875" style="1" customWidth="1"/>
    <col min="7447" max="7660" width="9.140625" style="1"/>
    <col min="7661" max="7661" width="11.85546875" style="1" customWidth="1"/>
    <col min="7662" max="7702" width="8.85546875" style="1" customWidth="1"/>
    <col min="7703" max="7916" width="9.140625" style="1"/>
    <col min="7917" max="7917" width="11.85546875" style="1" customWidth="1"/>
    <col min="7918" max="7958" width="8.85546875" style="1" customWidth="1"/>
    <col min="7959" max="8172" width="9.140625" style="1"/>
    <col min="8173" max="8173" width="11.85546875" style="1" customWidth="1"/>
    <col min="8174" max="8214" width="8.85546875" style="1" customWidth="1"/>
    <col min="8215" max="8428" width="9.140625" style="1"/>
    <col min="8429" max="8429" width="11.85546875" style="1" customWidth="1"/>
    <col min="8430" max="8470" width="8.85546875" style="1" customWidth="1"/>
    <col min="8471" max="8684" width="9.140625" style="1"/>
    <col min="8685" max="8685" width="11.85546875" style="1" customWidth="1"/>
    <col min="8686" max="8726" width="8.85546875" style="1" customWidth="1"/>
    <col min="8727" max="8940" width="9.140625" style="1"/>
    <col min="8941" max="8941" width="11.85546875" style="1" customWidth="1"/>
    <col min="8942" max="8982" width="8.85546875" style="1" customWidth="1"/>
    <col min="8983" max="9196" width="9.140625" style="1"/>
    <col min="9197" max="9197" width="11.85546875" style="1" customWidth="1"/>
    <col min="9198" max="9238" width="8.85546875" style="1" customWidth="1"/>
    <col min="9239" max="9452" width="9.140625" style="1"/>
    <col min="9453" max="9453" width="11.85546875" style="1" customWidth="1"/>
    <col min="9454" max="9494" width="8.85546875" style="1" customWidth="1"/>
    <col min="9495" max="9708" width="9.140625" style="1"/>
    <col min="9709" max="9709" width="11.85546875" style="1" customWidth="1"/>
    <col min="9710" max="9750" width="8.85546875" style="1" customWidth="1"/>
    <col min="9751" max="9964" width="9.140625" style="1"/>
    <col min="9965" max="9965" width="11.85546875" style="1" customWidth="1"/>
    <col min="9966" max="10006" width="8.85546875" style="1" customWidth="1"/>
    <col min="10007" max="10220" width="9.140625" style="1"/>
    <col min="10221" max="10221" width="11.85546875" style="1" customWidth="1"/>
    <col min="10222" max="10262" width="8.85546875" style="1" customWidth="1"/>
    <col min="10263" max="10476" width="9.140625" style="1"/>
    <col min="10477" max="10477" width="11.85546875" style="1" customWidth="1"/>
    <col min="10478" max="10518" width="8.85546875" style="1" customWidth="1"/>
    <col min="10519" max="10732" width="9.140625" style="1"/>
    <col min="10733" max="10733" width="11.85546875" style="1" customWidth="1"/>
    <col min="10734" max="10774" width="8.85546875" style="1" customWidth="1"/>
    <col min="10775" max="10988" width="9.140625" style="1"/>
    <col min="10989" max="10989" width="11.85546875" style="1" customWidth="1"/>
    <col min="10990" max="11030" width="8.85546875" style="1" customWidth="1"/>
    <col min="11031" max="11244" width="9.140625" style="1"/>
    <col min="11245" max="11245" width="11.85546875" style="1" customWidth="1"/>
    <col min="11246" max="11286" width="8.85546875" style="1" customWidth="1"/>
    <col min="11287" max="11500" width="9.140625" style="1"/>
    <col min="11501" max="11501" width="11.85546875" style="1" customWidth="1"/>
    <col min="11502" max="11542" width="8.85546875" style="1" customWidth="1"/>
    <col min="11543" max="11756" width="9.140625" style="1"/>
    <col min="11757" max="11757" width="11.85546875" style="1" customWidth="1"/>
    <col min="11758" max="11798" width="8.85546875" style="1" customWidth="1"/>
    <col min="11799" max="12012" width="9.140625" style="1"/>
    <col min="12013" max="12013" width="11.85546875" style="1" customWidth="1"/>
    <col min="12014" max="12054" width="8.85546875" style="1" customWidth="1"/>
    <col min="12055" max="12268" width="9.140625" style="1"/>
    <col min="12269" max="12269" width="11.85546875" style="1" customWidth="1"/>
    <col min="12270" max="12310" width="8.85546875" style="1" customWidth="1"/>
    <col min="12311" max="12524" width="9.140625" style="1"/>
    <col min="12525" max="12525" width="11.85546875" style="1" customWidth="1"/>
    <col min="12526" max="12566" width="8.85546875" style="1" customWidth="1"/>
    <col min="12567" max="12780" width="9.140625" style="1"/>
    <col min="12781" max="12781" width="11.85546875" style="1" customWidth="1"/>
    <col min="12782" max="12822" width="8.85546875" style="1" customWidth="1"/>
    <col min="12823" max="13036" width="9.140625" style="1"/>
    <col min="13037" max="13037" width="11.85546875" style="1" customWidth="1"/>
    <col min="13038" max="13078" width="8.85546875" style="1" customWidth="1"/>
    <col min="13079" max="13292" width="9.140625" style="1"/>
    <col min="13293" max="13293" width="11.85546875" style="1" customWidth="1"/>
    <col min="13294" max="13334" width="8.85546875" style="1" customWidth="1"/>
    <col min="13335" max="13548" width="9.140625" style="1"/>
    <col min="13549" max="13549" width="11.85546875" style="1" customWidth="1"/>
    <col min="13550" max="13590" width="8.85546875" style="1" customWidth="1"/>
    <col min="13591" max="13804" width="9.140625" style="1"/>
    <col min="13805" max="13805" width="11.85546875" style="1" customWidth="1"/>
    <col min="13806" max="13846" width="8.85546875" style="1" customWidth="1"/>
    <col min="13847" max="14060" width="9.140625" style="1"/>
    <col min="14061" max="14061" width="11.85546875" style="1" customWidth="1"/>
    <col min="14062" max="14102" width="8.85546875" style="1" customWidth="1"/>
    <col min="14103" max="14316" width="9.140625" style="1"/>
    <col min="14317" max="14317" width="11.85546875" style="1" customWidth="1"/>
    <col min="14318" max="14358" width="8.85546875" style="1" customWidth="1"/>
    <col min="14359" max="14572" width="9.140625" style="1"/>
    <col min="14573" max="14573" width="11.85546875" style="1" customWidth="1"/>
    <col min="14574" max="14614" width="8.85546875" style="1" customWidth="1"/>
    <col min="14615" max="14828" width="9.140625" style="1"/>
    <col min="14829" max="14829" width="11.85546875" style="1" customWidth="1"/>
    <col min="14830" max="14870" width="8.85546875" style="1" customWidth="1"/>
    <col min="14871" max="15084" width="9.140625" style="1"/>
    <col min="15085" max="15085" width="11.85546875" style="1" customWidth="1"/>
    <col min="15086" max="15126" width="8.85546875" style="1" customWidth="1"/>
    <col min="15127" max="15340" width="9.140625" style="1"/>
    <col min="15341" max="15341" width="11.85546875" style="1" customWidth="1"/>
    <col min="15342" max="15382" width="8.85546875" style="1" customWidth="1"/>
    <col min="15383" max="15596" width="9.140625" style="1"/>
    <col min="15597" max="15597" width="11.85546875" style="1" customWidth="1"/>
    <col min="15598" max="15638" width="8.85546875" style="1" customWidth="1"/>
    <col min="15639" max="15852" width="9.140625" style="1"/>
    <col min="15853" max="15853" width="11.85546875" style="1" customWidth="1"/>
    <col min="15854" max="15894" width="8.85546875" style="1" customWidth="1"/>
    <col min="15895" max="16108" width="9.140625" style="1"/>
    <col min="16109" max="16109" width="11.85546875" style="1" customWidth="1"/>
    <col min="16110" max="16150" width="8.85546875" style="1" customWidth="1"/>
    <col min="16151" max="16384" width="9.140625" style="1"/>
  </cols>
  <sheetData>
    <row r="1" spans="1:43" ht="18.75" x14ac:dyDescent="0.25">
      <c r="A1" s="135" t="s">
        <v>106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2" spans="1:43" ht="15.75" x14ac:dyDescent="0.25">
      <c r="A2" s="136" t="s">
        <v>107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spans="1:43" ht="15.7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43" ht="18.75" x14ac:dyDescent="0.5">
      <c r="A4" s="8" t="s">
        <v>105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 t="s">
        <v>108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M4" s="10"/>
    </row>
    <row r="5" spans="1:43" s="46" customFormat="1" x14ac:dyDescent="0.25">
      <c r="A5" s="11" t="s">
        <v>43</v>
      </c>
      <c r="B5" s="12">
        <v>2014</v>
      </c>
      <c r="C5" s="12">
        <v>2015</v>
      </c>
      <c r="D5" s="12">
        <v>2016</v>
      </c>
      <c r="E5" s="12">
        <v>2017</v>
      </c>
      <c r="F5" s="12">
        <v>2018</v>
      </c>
      <c r="G5" s="12">
        <v>2019</v>
      </c>
      <c r="H5" s="12">
        <v>2020</v>
      </c>
      <c r="I5" s="12">
        <v>2021</v>
      </c>
      <c r="J5" s="12">
        <v>2022</v>
      </c>
      <c r="K5" s="12">
        <v>2023</v>
      </c>
      <c r="L5" s="12">
        <v>2024</v>
      </c>
      <c r="M5" s="12">
        <v>2025</v>
      </c>
      <c r="N5" s="12">
        <v>2026</v>
      </c>
      <c r="O5" s="12">
        <v>2027</v>
      </c>
      <c r="P5" s="12">
        <v>2028</v>
      </c>
      <c r="Q5" s="12">
        <v>2029</v>
      </c>
      <c r="R5" s="12">
        <v>2030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H5" s="139" t="s">
        <v>89</v>
      </c>
      <c r="AI5" s="139"/>
      <c r="AJ5" s="140" t="s">
        <v>90</v>
      </c>
      <c r="AK5" s="140"/>
      <c r="AL5" s="14"/>
      <c r="AM5" s="14"/>
    </row>
    <row r="6" spans="1:43" x14ac:dyDescent="0.25">
      <c r="A6" s="41" t="s">
        <v>2</v>
      </c>
      <c r="B6" s="50">
        <f>SUM(B7:B23)</f>
        <v>49847.959860787167</v>
      </c>
      <c r="C6" s="50">
        <f t="shared" ref="C6:R6" si="0">SUM(C7:C23)</f>
        <v>54015.984247896507</v>
      </c>
      <c r="D6" s="50">
        <f t="shared" si="0"/>
        <v>58594.059412341274</v>
      </c>
      <c r="E6" s="50">
        <f t="shared" si="0"/>
        <v>63624.565212042042</v>
      </c>
      <c r="F6" s="50">
        <f t="shared" si="0"/>
        <v>69154.318994759131</v>
      </c>
      <c r="G6" s="50">
        <f t="shared" si="0"/>
        <v>75235.041775670485</v>
      </c>
      <c r="H6" s="50">
        <f t="shared" si="0"/>
        <v>81923.873429646745</v>
      </c>
      <c r="I6" s="50">
        <f t="shared" si="0"/>
        <v>84014.129927177171</v>
      </c>
      <c r="J6" s="50">
        <f t="shared" si="0"/>
        <v>86157.732030215891</v>
      </c>
      <c r="K6" s="50">
        <f t="shared" si="0"/>
        <v>88356.041529246577</v>
      </c>
      <c r="L6" s="50">
        <f t="shared" si="0"/>
        <v>90610.454987350851</v>
      </c>
      <c r="M6" s="50">
        <f t="shared" si="0"/>
        <v>92922.404628349163</v>
      </c>
      <c r="N6" s="50">
        <f t="shared" si="0"/>
        <v>95293.359247631844</v>
      </c>
      <c r="O6" s="50">
        <f t="shared" si="0"/>
        <v>97724.825146261312</v>
      </c>
      <c r="P6" s="50">
        <f t="shared" si="0"/>
        <v>100218.34708893904</v>
      </c>
      <c r="Q6" s="50">
        <f t="shared" si="0"/>
        <v>102775.50928644801</v>
      </c>
      <c r="R6" s="50">
        <f t="shared" si="0"/>
        <v>105397.93640319539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3"/>
      <c r="AH6" s="13" t="s">
        <v>3</v>
      </c>
      <c r="AI6" s="13" t="s">
        <v>4</v>
      </c>
      <c r="AJ6" s="13" t="s">
        <v>3</v>
      </c>
      <c r="AK6" s="13" t="s">
        <v>4</v>
      </c>
      <c r="AM6" s="16"/>
    </row>
    <row r="7" spans="1:43" x14ac:dyDescent="0.25">
      <c r="A7" s="17" t="s">
        <v>44</v>
      </c>
      <c r="B7" s="17">
        <v>18.766077166545017</v>
      </c>
      <c r="C7" s="17">
        <v>20.266742913215772</v>
      </c>
      <c r="D7" s="17">
        <v>21.912776317183834</v>
      </c>
      <c r="E7" s="17">
        <v>23.719137653476196</v>
      </c>
      <c r="F7" s="17">
        <v>25.702351938539643</v>
      </c>
      <c r="G7" s="17">
        <v>27.880673267829728</v>
      </c>
      <c r="H7" s="17">
        <v>30.274266430936898</v>
      </c>
      <c r="I7" s="17">
        <v>31.047857221944746</v>
      </c>
      <c r="J7" s="17">
        <v>31.841221056152222</v>
      </c>
      <c r="K7" s="17">
        <v>32.654863482116795</v>
      </c>
      <c r="L7" s="17">
        <v>33.489302977901694</v>
      </c>
      <c r="M7" s="17">
        <v>34.34507128185129</v>
      </c>
      <c r="N7" s="17">
        <v>35.222713731831369</v>
      </c>
      <c r="O7" s="17">
        <v>36.12278961315085</v>
      </c>
      <c r="P7" s="17">
        <v>37.045872515387366</v>
      </c>
      <c r="Q7" s="17">
        <v>37.992550698344552</v>
      </c>
      <c r="R7" s="17">
        <v>38.963427467374743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3" t="s">
        <v>45</v>
      </c>
      <c r="AH7" s="47">
        <v>-3.3288013647467469</v>
      </c>
      <c r="AI7" s="47">
        <v>3.3288013647467469</v>
      </c>
      <c r="AJ7" s="47">
        <v>-19.044749209046152</v>
      </c>
      <c r="AK7" s="47">
        <v>0</v>
      </c>
      <c r="AL7" s="22"/>
      <c r="AM7" s="16"/>
    </row>
    <row r="8" spans="1:43" x14ac:dyDescent="0.25">
      <c r="A8" s="17" t="s">
        <v>46</v>
      </c>
      <c r="B8" s="17">
        <v>12.055049652821516</v>
      </c>
      <c r="C8" s="17">
        <v>12.849910474643041</v>
      </c>
      <c r="D8" s="17">
        <v>13.715908801833168</v>
      </c>
      <c r="E8" s="17">
        <v>14.660198056191643</v>
      </c>
      <c r="F8" s="17">
        <v>15.690675347016834</v>
      </c>
      <c r="G8" s="17">
        <v>16.816059457699996</v>
      </c>
      <c r="H8" s="17">
        <v>18.045977028243328</v>
      </c>
      <c r="I8" s="17">
        <v>18.510007199214392</v>
      </c>
      <c r="J8" s="17">
        <v>18.985973848979242</v>
      </c>
      <c r="K8" s="17">
        <v>19.474184142522901</v>
      </c>
      <c r="L8" s="17">
        <v>19.974953152232128</v>
      </c>
      <c r="M8" s="17">
        <v>20.488604061535618</v>
      </c>
      <c r="N8" s="17">
        <v>21.015468373790604</v>
      </c>
      <c r="O8" s="17">
        <v>21.555886126551144</v>
      </c>
      <c r="P8" s="17">
        <v>22.110206111356668</v>
      </c>
      <c r="Q8" s="17">
        <v>22.678786099183156</v>
      </c>
      <c r="R8" s="17">
        <v>23.261993071702843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3" t="s">
        <v>47</v>
      </c>
      <c r="AH8" s="47">
        <v>-5.548002274577911</v>
      </c>
      <c r="AI8" s="47">
        <v>1.1096004549155822</v>
      </c>
      <c r="AJ8" s="47">
        <v>-2.3805936511307686</v>
      </c>
      <c r="AK8" s="47">
        <v>6.6524789663925734</v>
      </c>
      <c r="AL8" s="22"/>
      <c r="AM8" s="16"/>
    </row>
    <row r="9" spans="1:43" x14ac:dyDescent="0.25">
      <c r="A9" s="17" t="s">
        <v>48</v>
      </c>
      <c r="B9" s="17">
        <v>9.5957596458181271</v>
      </c>
      <c r="C9" s="17">
        <v>9.9743147405844255</v>
      </c>
      <c r="D9" s="17">
        <v>10.376071172869873</v>
      </c>
      <c r="E9" s="17">
        <v>10.803031482042623</v>
      </c>
      <c r="F9" s="17">
        <v>11.257397290455426</v>
      </c>
      <c r="G9" s="17">
        <v>11.741589937582219</v>
      </c>
      <c r="H9" s="17">
        <v>12.258273276268659</v>
      </c>
      <c r="I9" s="17">
        <v>12.578185058372133</v>
      </c>
      <c r="J9" s="17">
        <v>12.906448111248313</v>
      </c>
      <c r="K9" s="17">
        <v>13.243280503770983</v>
      </c>
      <c r="L9" s="17">
        <v>13.588906000564551</v>
      </c>
      <c r="M9" s="17">
        <v>13.943554210810518</v>
      </c>
      <c r="N9" s="17">
        <v>14.307460740942641</v>
      </c>
      <c r="O9" s="17">
        <v>14.68086735133242</v>
      </c>
      <c r="P9" s="17">
        <v>15.064022117069246</v>
      </c>
      <c r="Q9" s="17">
        <v>15.457179592942214</v>
      </c>
      <c r="R9" s="17">
        <v>15.860600982733452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3" t="s">
        <v>49</v>
      </c>
      <c r="AH9" s="47">
        <v>-4.4384018196623281</v>
      </c>
      <c r="AI9" s="47">
        <v>4.4384018196623289</v>
      </c>
      <c r="AJ9" s="47">
        <v>-2.3805936511307686</v>
      </c>
      <c r="AK9" s="47">
        <v>0</v>
      </c>
      <c r="AL9" s="22"/>
      <c r="AM9" s="16"/>
    </row>
    <row r="10" spans="1:43" x14ac:dyDescent="0.25">
      <c r="A10" s="17" t="s">
        <v>50</v>
      </c>
      <c r="B10" s="17">
        <v>1238.553122563166</v>
      </c>
      <c r="C10" s="17">
        <v>1304.8817862012054</v>
      </c>
      <c r="D10" s="17">
        <v>1376.5022903369825</v>
      </c>
      <c r="E10" s="17">
        <v>1453.926824379949</v>
      </c>
      <c r="F10" s="17">
        <v>1537.7202767299136</v>
      </c>
      <c r="G10" s="17">
        <v>1628.5057464004185</v>
      </c>
      <c r="H10" s="17">
        <v>1726.9706334938958</v>
      </c>
      <c r="I10" s="17">
        <v>1771.6615040527313</v>
      </c>
      <c r="J10" s="17">
        <v>1817.5093433462584</v>
      </c>
      <c r="K10" s="17">
        <v>1864.5441148734428</v>
      </c>
      <c r="L10" s="17">
        <v>1912.7965584349724</v>
      </c>
      <c r="M10" s="17">
        <v>1962.2982102535595</v>
      </c>
      <c r="N10" s="17">
        <v>2013.081423615931</v>
      </c>
      <c r="O10" s="17">
        <v>2065.1793900500197</v>
      </c>
      <c r="P10" s="17">
        <v>2118.6261610512565</v>
      </c>
      <c r="Q10" s="17">
        <v>2173.456670372193</v>
      </c>
      <c r="R10" s="17">
        <v>2229.7067568900688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3" t="s">
        <v>51</v>
      </c>
      <c r="AH10" s="47">
        <v>-857.72115164974502</v>
      </c>
      <c r="AI10" s="47">
        <v>42.164817286792122</v>
      </c>
      <c r="AJ10" s="47">
        <v>-554.67832071346902</v>
      </c>
      <c r="AK10" s="47">
        <v>83.155987079907163</v>
      </c>
      <c r="AL10" s="22"/>
      <c r="AM10" s="16"/>
      <c r="AN10" s="1">
        <v>3.3288013647467469</v>
      </c>
      <c r="AO10" s="1">
        <v>3.3288013647467469</v>
      </c>
      <c r="AP10" s="1">
        <v>19.044749209046152</v>
      </c>
      <c r="AQ10" s="1">
        <v>0</v>
      </c>
    </row>
    <row r="11" spans="1:43" x14ac:dyDescent="0.25">
      <c r="A11" s="17" t="s">
        <v>52</v>
      </c>
      <c r="B11" s="17">
        <v>8785.6120026773096</v>
      </c>
      <c r="C11" s="17">
        <v>9425.1055225609507</v>
      </c>
      <c r="D11" s="17">
        <v>10124.36123272584</v>
      </c>
      <c r="E11" s="17">
        <v>10889.466980357949</v>
      </c>
      <c r="F11" s="17">
        <v>11727.145677490589</v>
      </c>
      <c r="G11" s="17">
        <v>12644.82195439423</v>
      </c>
      <c r="H11" s="17">
        <v>13650.695819356828</v>
      </c>
      <c r="I11" s="17">
        <v>14000.592072909454</v>
      </c>
      <c r="J11" s="17">
        <v>14359.459975993646</v>
      </c>
      <c r="K11" s="17">
        <v>14727.529649437422</v>
      </c>
      <c r="L11" s="17">
        <v>15105.037118692368</v>
      </c>
      <c r="M11" s="17">
        <v>15492.224465393161</v>
      </c>
      <c r="N11" s="17">
        <v>15889.339982808633</v>
      </c>
      <c r="O11" s="17">
        <v>16296.638335284484</v>
      </c>
      <c r="P11" s="17">
        <v>16714.380721780104</v>
      </c>
      <c r="Q11" s="17">
        <v>17142.83504360462</v>
      </c>
      <c r="R11" s="17">
        <v>17582.276076460148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3" t="s">
        <v>53</v>
      </c>
      <c r="AH11" s="47">
        <v>-3827.0119690038428</v>
      </c>
      <c r="AI11" s="47">
        <v>177.53607278649318</v>
      </c>
      <c r="AJ11" s="47">
        <v>-6977.5199914642799</v>
      </c>
      <c r="AK11" s="47">
        <v>745.07764423596825</v>
      </c>
      <c r="AL11" s="22"/>
      <c r="AM11" s="16"/>
      <c r="AN11" s="1">
        <v>5.548002274577911</v>
      </c>
      <c r="AO11" s="1">
        <v>1.1096004549155822</v>
      </c>
      <c r="AP11" s="1">
        <v>2.3805936511307686</v>
      </c>
      <c r="AQ11" s="1">
        <v>6.6524789663925734</v>
      </c>
    </row>
    <row r="12" spans="1:43" x14ac:dyDescent="0.25">
      <c r="A12" s="17" t="s">
        <v>54</v>
      </c>
      <c r="B12" s="17">
        <v>13191.991030935629</v>
      </c>
      <c r="C12" s="17">
        <v>14332.036394293118</v>
      </c>
      <c r="D12" s="17">
        <v>15585.465455709333</v>
      </c>
      <c r="E12" s="17">
        <v>16964.031247305324</v>
      </c>
      <c r="F12" s="17">
        <v>18480.71835733869</v>
      </c>
      <c r="G12" s="17">
        <v>20149.872335004558</v>
      </c>
      <c r="H12" s="17">
        <v>21987.342701721387</v>
      </c>
      <c r="I12" s="17">
        <v>22547.71744000035</v>
      </c>
      <c r="J12" s="17">
        <v>23122.377240341069</v>
      </c>
      <c r="K12" s="17">
        <v>23711.686341410674</v>
      </c>
      <c r="L12" s="17">
        <v>24316.018271387711</v>
      </c>
      <c r="M12" s="17">
        <v>24935.756084938621</v>
      </c>
      <c r="N12" s="17">
        <v>25571.292606240924</v>
      </c>
      <c r="O12" s="17">
        <v>26223.030678207724</v>
      </c>
      <c r="P12" s="17">
        <v>26891.383418071378</v>
      </c>
      <c r="Q12" s="17">
        <v>27576.774479489097</v>
      </c>
      <c r="R12" s="17">
        <v>28279.638321336548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3" t="s">
        <v>55</v>
      </c>
      <c r="AH12" s="47">
        <v>-3382.0621865826952</v>
      </c>
      <c r="AI12" s="47">
        <v>99.864040942402369</v>
      </c>
      <c r="AJ12" s="47">
        <v>-13847.913268627679</v>
      </c>
      <c r="AK12" s="47">
        <v>1150.878861185915</v>
      </c>
      <c r="AL12" s="22"/>
      <c r="AM12" s="16"/>
      <c r="AN12" s="1">
        <v>4.4384018196623281</v>
      </c>
      <c r="AO12" s="1">
        <v>4.4384018196623289</v>
      </c>
      <c r="AP12" s="1">
        <v>2.3805936511307686</v>
      </c>
      <c r="AQ12" s="1">
        <v>0</v>
      </c>
    </row>
    <row r="13" spans="1:43" ht="12" customHeight="1" x14ac:dyDescent="0.25">
      <c r="A13" s="9" t="s">
        <v>56</v>
      </c>
      <c r="B13" s="17">
        <v>10373.797445014663</v>
      </c>
      <c r="C13" s="17">
        <v>11291.708632991216</v>
      </c>
      <c r="D13" s="17">
        <v>12301.597485575447</v>
      </c>
      <c r="E13" s="17">
        <v>13413.017266165085</v>
      </c>
      <c r="F13" s="17">
        <v>14636.522799775175</v>
      </c>
      <c r="G13" s="17">
        <v>15983.775724853709</v>
      </c>
      <c r="H13" s="17">
        <v>17467.660812332047</v>
      </c>
      <c r="I13" s="17">
        <v>17912.489787108399</v>
      </c>
      <c r="J13" s="17">
        <v>18368.649017660431</v>
      </c>
      <c r="K13" s="17">
        <v>18836.427157699054</v>
      </c>
      <c r="L13" s="17">
        <v>19316.120216361462</v>
      </c>
      <c r="M13" s="17">
        <v>19808.031745682289</v>
      </c>
      <c r="N13" s="17">
        <v>20312.473032843882</v>
      </c>
      <c r="O13" s="17">
        <v>20829.76329732779</v>
      </c>
      <c r="P13" s="17">
        <v>21360.229893092346</v>
      </c>
      <c r="Q13" s="17">
        <v>21904.208515904375</v>
      </c>
      <c r="R13" s="17">
        <v>22462.043415956756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3" t="s">
        <v>57</v>
      </c>
      <c r="AH13" s="47">
        <v>-2387.8601789783343</v>
      </c>
      <c r="AI13" s="47">
        <v>48.822420016285619</v>
      </c>
      <c r="AJ13" s="47">
        <v>-11364.954090498286</v>
      </c>
      <c r="AK13" s="47">
        <v>834.88611028226796</v>
      </c>
      <c r="AL13" s="22"/>
      <c r="AM13" s="16"/>
      <c r="AN13" s="1">
        <v>857.72115164974502</v>
      </c>
      <c r="AO13" s="1">
        <v>42.164817286792122</v>
      </c>
      <c r="AP13" s="1">
        <v>554.67832071346902</v>
      </c>
      <c r="AQ13" s="1">
        <v>83.155987079907163</v>
      </c>
    </row>
    <row r="14" spans="1:43" x14ac:dyDescent="0.25">
      <c r="A14" s="9" t="s">
        <v>58</v>
      </c>
      <c r="B14" s="17">
        <v>6826.0497161286039</v>
      </c>
      <c r="C14" s="17">
        <v>7436.9005328840703</v>
      </c>
      <c r="D14" s="17">
        <v>8109.1752633695614</v>
      </c>
      <c r="E14" s="17">
        <v>8849.2596400536368</v>
      </c>
      <c r="F14" s="17">
        <v>9664.2090322263539</v>
      </c>
      <c r="G14" s="17">
        <v>10561.818820781866</v>
      </c>
      <c r="H14" s="17">
        <v>11550.702173023963</v>
      </c>
      <c r="I14" s="17">
        <v>11844.737852484544</v>
      </c>
      <c r="J14" s="17">
        <v>12146.259970569556</v>
      </c>
      <c r="K14" s="17">
        <v>12455.459177137313</v>
      </c>
      <c r="L14" s="17">
        <v>12772.530978129274</v>
      </c>
      <c r="M14" s="17">
        <v>13097.675859286266</v>
      </c>
      <c r="N14" s="17">
        <v>13431.099413017226</v>
      </c>
      <c r="O14" s="17">
        <v>13773.012468500838</v>
      </c>
      <c r="P14" s="17">
        <v>14123.631225102463</v>
      </c>
      <c r="Q14" s="17">
        <v>14483.177389190856</v>
      </c>
      <c r="R14" s="17">
        <v>14851.878314441339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3" t="s">
        <v>59</v>
      </c>
      <c r="AH14" s="47">
        <v>-1485.7550091319645</v>
      </c>
      <c r="AI14" s="47">
        <v>21.082408643396064</v>
      </c>
      <c r="AJ14" s="47">
        <v>-7691.6980868035116</v>
      </c>
      <c r="AK14" s="47">
        <v>465.67352764748017</v>
      </c>
      <c r="AL14" s="22"/>
      <c r="AM14" s="16"/>
      <c r="AN14" s="1">
        <v>3827.0119690038428</v>
      </c>
      <c r="AO14" s="1">
        <v>177.53607278649318</v>
      </c>
      <c r="AP14" s="1">
        <v>6977.5199914642799</v>
      </c>
      <c r="AQ14" s="1">
        <v>745.07764423596825</v>
      </c>
    </row>
    <row r="15" spans="1:43" x14ac:dyDescent="0.25">
      <c r="A15" s="9" t="s">
        <v>60</v>
      </c>
      <c r="B15" s="17">
        <v>4533.5924614906326</v>
      </c>
      <c r="C15" s="17">
        <v>4930.539783639404</v>
      </c>
      <c r="D15" s="17">
        <v>5367.1309699885978</v>
      </c>
      <c r="E15" s="17">
        <v>5847.4799952616058</v>
      </c>
      <c r="F15" s="17">
        <v>6376.1320452108857</v>
      </c>
      <c r="G15" s="17">
        <v>6958.1088290339703</v>
      </c>
      <c r="H15" s="17">
        <v>7598.9586563252215</v>
      </c>
      <c r="I15" s="17">
        <v>7792.5418123465397</v>
      </c>
      <c r="J15" s="17">
        <v>7991.0575430568451</v>
      </c>
      <c r="K15" s="17">
        <v>8194.6315599249392</v>
      </c>
      <c r="L15" s="17">
        <v>8403.3927790193411</v>
      </c>
      <c r="M15" s="17">
        <v>8617.4734027178474</v>
      </c>
      <c r="N15" s="17">
        <v>8837.0090035009925</v>
      </c>
      <c r="O15" s="17">
        <v>9062.1386098825369</v>
      </c>
      <c r="P15" s="17">
        <v>9293.0047945315491</v>
      </c>
      <c r="Q15" s="17">
        <v>9529.7537646419423</v>
      </c>
      <c r="R15" s="17">
        <v>9772.5354546068229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3" t="s">
        <v>61</v>
      </c>
      <c r="AH15" s="47">
        <v>-1108.4908544606669</v>
      </c>
      <c r="AI15" s="47">
        <v>15.53440636881815</v>
      </c>
      <c r="AJ15" s="47">
        <v>-5032.5749784904438</v>
      </c>
      <c r="AK15" s="47">
        <v>219.5318058909549</v>
      </c>
      <c r="AL15" s="22"/>
      <c r="AM15" s="16"/>
      <c r="AN15" s="1">
        <v>3382.0621865826952</v>
      </c>
      <c r="AO15" s="1">
        <v>99.864040942402369</v>
      </c>
      <c r="AP15" s="1">
        <v>13847.913268627679</v>
      </c>
      <c r="AQ15" s="1">
        <v>1150.878861185915</v>
      </c>
    </row>
    <row r="16" spans="1:43" x14ac:dyDescent="0.25">
      <c r="A16" s="9" t="s">
        <v>62</v>
      </c>
      <c r="B16" s="17">
        <v>2567.0298667368529</v>
      </c>
      <c r="C16" s="17">
        <v>2785.1366345509241</v>
      </c>
      <c r="D16" s="17">
        <v>3024.8155832163279</v>
      </c>
      <c r="E16" s="17">
        <v>3288.2994889452993</v>
      </c>
      <c r="F16" s="17">
        <v>3578.0550030673144</v>
      </c>
      <c r="G16" s="17">
        <v>3896.8072239184821</v>
      </c>
      <c r="H16" s="17">
        <v>4247.5668523213426</v>
      </c>
      <c r="I16" s="17">
        <v>4355.8834707214546</v>
      </c>
      <c r="J16" s="17">
        <v>4466.9629191045551</v>
      </c>
      <c r="K16" s="17">
        <v>4580.87568625522</v>
      </c>
      <c r="L16" s="17">
        <v>4697.6940598094207</v>
      </c>
      <c r="M16" s="17">
        <v>4817.4921721724677</v>
      </c>
      <c r="N16" s="17">
        <v>4940.3460476094087</v>
      </c>
      <c r="O16" s="17">
        <v>5066.3336505377702</v>
      </c>
      <c r="P16" s="17">
        <v>5195.5349350533825</v>
      </c>
      <c r="Q16" s="17">
        <v>5328.0318957207692</v>
      </c>
      <c r="R16" s="17">
        <v>5463.9086196604067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3" t="s">
        <v>63</v>
      </c>
      <c r="AH16" s="47">
        <v>-725.67869751479077</v>
      </c>
      <c r="AI16" s="47">
        <v>4.4384018196623289</v>
      </c>
      <c r="AJ16" s="47">
        <v>-2744.8244797537754</v>
      </c>
      <c r="AK16" s="47">
        <v>103.11342397908487</v>
      </c>
      <c r="AL16" s="22"/>
      <c r="AM16" s="16"/>
      <c r="AN16" s="1">
        <v>2387.8601789783343</v>
      </c>
      <c r="AO16" s="1">
        <v>48.822420016285619</v>
      </c>
      <c r="AP16" s="1">
        <v>11364.954090498286</v>
      </c>
      <c r="AQ16" s="1">
        <v>834.88611028226796</v>
      </c>
    </row>
    <row r="17" spans="1:43" x14ac:dyDescent="0.25">
      <c r="A17" s="9" t="s">
        <v>64</v>
      </c>
      <c r="B17" s="17">
        <v>1402.8539685504866</v>
      </c>
      <c r="C17" s="17">
        <v>1515.077581967219</v>
      </c>
      <c r="D17" s="17">
        <v>1638.1736034737355</v>
      </c>
      <c r="E17" s="17">
        <v>1773.2609904809717</v>
      </c>
      <c r="F17" s="17">
        <v>1921.5757367265778</v>
      </c>
      <c r="G17" s="17">
        <v>2084.4831640910497</v>
      </c>
      <c r="H17" s="17">
        <v>2263.4915067075913</v>
      </c>
      <c r="I17" s="17">
        <v>2321.3292255407428</v>
      </c>
      <c r="J17" s="17">
        <v>2380.6452624623007</v>
      </c>
      <c r="K17" s="17">
        <v>2441.4774139779156</v>
      </c>
      <c r="L17" s="17">
        <v>2503.8644432337373</v>
      </c>
      <c r="M17" s="17">
        <v>2567.8461047456385</v>
      </c>
      <c r="N17" s="17">
        <v>2633.4631697612649</v>
      </c>
      <c r="O17" s="17">
        <v>2700.7574522711361</v>
      </c>
      <c r="P17" s="17">
        <v>2769.7718356853725</v>
      </c>
      <c r="Q17" s="17">
        <v>2840.550300193132</v>
      </c>
      <c r="R17" s="17">
        <v>2913.1379508222003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3" t="s">
        <v>65</v>
      </c>
      <c r="AH17" s="47">
        <v>-486.00499925302506</v>
      </c>
      <c r="AI17" s="47">
        <v>11.096004549155822</v>
      </c>
      <c r="AJ17" s="47">
        <v>-1387.8860986092377</v>
      </c>
      <c r="AK17" s="47">
        <v>36.588634315159148</v>
      </c>
      <c r="AL17" s="22"/>
      <c r="AM17" s="16"/>
      <c r="AN17" s="1">
        <v>1485.7550091319645</v>
      </c>
      <c r="AO17" s="1">
        <v>21.082408643396064</v>
      </c>
      <c r="AP17" s="1">
        <v>7691.6980868035116</v>
      </c>
      <c r="AQ17" s="1">
        <v>465.67352764748017</v>
      </c>
    </row>
    <row r="18" spans="1:43" x14ac:dyDescent="0.25">
      <c r="A18" s="9" t="s">
        <v>66</v>
      </c>
      <c r="B18" s="17">
        <v>564.66243635965156</v>
      </c>
      <c r="C18" s="17">
        <v>607.02122976035173</v>
      </c>
      <c r="D18" s="17">
        <v>653.38642181940986</v>
      </c>
      <c r="E18" s="17">
        <v>704.16755486372108</v>
      </c>
      <c r="F18" s="17">
        <v>759.81693196287165</v>
      </c>
      <c r="G18" s="17">
        <v>820.8341059184055</v>
      </c>
      <c r="H18" s="17">
        <v>887.77084014829234</v>
      </c>
      <c r="I18" s="17">
        <v>910.50385311544017</v>
      </c>
      <c r="J18" s="17">
        <v>933.81917701292741</v>
      </c>
      <c r="K18" s="17">
        <v>957.7317328092239</v>
      </c>
      <c r="L18" s="17">
        <v>982.25682393230784</v>
      </c>
      <c r="M18" s="17">
        <v>1007.4101460763536</v>
      </c>
      <c r="N18" s="17">
        <v>1033.2077972599657</v>
      </c>
      <c r="O18" s="17">
        <v>1059.666288142407</v>
      </c>
      <c r="P18" s="17">
        <v>1086.8025526044426</v>
      </c>
      <c r="Q18" s="17">
        <v>1114.633958600592</v>
      </c>
      <c r="R18" s="17">
        <v>1143.1783192897476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3" t="s">
        <v>67</v>
      </c>
      <c r="AH18" s="47">
        <v>-236.344896897019</v>
      </c>
      <c r="AI18" s="47">
        <v>3.3288013647467469</v>
      </c>
      <c r="AJ18" s="47">
        <v>-511.82763499311517</v>
      </c>
      <c r="AK18" s="47">
        <v>8.3155987079907163</v>
      </c>
      <c r="AL18" s="22"/>
      <c r="AM18" s="16"/>
      <c r="AN18" s="1">
        <v>1108.4908544606669</v>
      </c>
      <c r="AO18" s="1">
        <v>15.53440636881815</v>
      </c>
      <c r="AP18" s="1">
        <v>5032.5749784904438</v>
      </c>
      <c r="AQ18" s="1">
        <v>219.5318058909549</v>
      </c>
    </row>
    <row r="19" spans="1:43" x14ac:dyDescent="0.25">
      <c r="A19" s="9" t="s">
        <v>68</v>
      </c>
      <c r="B19" s="17">
        <v>205.99214769354538</v>
      </c>
      <c r="C19" s="17">
        <v>219.69470405302718</v>
      </c>
      <c r="D19" s="17">
        <v>234.62864877190611</v>
      </c>
      <c r="E19" s="17">
        <v>250.91796381613116</v>
      </c>
      <c r="F19" s="17">
        <v>268.69952493410477</v>
      </c>
      <c r="G19" s="17">
        <v>288.12445387462446</v>
      </c>
      <c r="H19" s="17">
        <v>309.35961271786289</v>
      </c>
      <c r="I19" s="17">
        <v>317.31218907245966</v>
      </c>
      <c r="J19" s="17">
        <v>325.46927575727898</v>
      </c>
      <c r="K19" s="17">
        <v>333.83613400100529</v>
      </c>
      <c r="L19" s="17">
        <v>342.41816043426019</v>
      </c>
      <c r="M19" s="17">
        <v>351.22089057561931</v>
      </c>
      <c r="N19" s="17">
        <v>360.25000240741343</v>
      </c>
      <c r="O19" s="17">
        <v>369.51132004362825</v>
      </c>
      <c r="P19" s="17">
        <v>379.01081749227393</v>
      </c>
      <c r="Q19" s="17">
        <v>388.75462251466149</v>
      </c>
      <c r="R19" s="17">
        <v>398.74902058407952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3" t="s">
        <v>69</v>
      </c>
      <c r="AH19" s="47">
        <v>-108.74084458172703</v>
      </c>
      <c r="AI19" s="47">
        <v>3.3288013647467469</v>
      </c>
      <c r="AJ19" s="47">
        <v>-149.9774000212384</v>
      </c>
      <c r="AK19" s="47">
        <v>6.6524789663925734</v>
      </c>
      <c r="AL19" s="22"/>
      <c r="AM19" s="16"/>
      <c r="AN19" s="1">
        <v>725.67869751479077</v>
      </c>
      <c r="AO19" s="1">
        <v>4.4384018196623289</v>
      </c>
      <c r="AP19" s="1">
        <v>2744.8244797537754</v>
      </c>
      <c r="AQ19" s="1">
        <v>103.11342397908487</v>
      </c>
    </row>
    <row r="20" spans="1:43" x14ac:dyDescent="0.25">
      <c r="A20" s="9" t="s">
        <v>70</v>
      </c>
      <c r="B20" s="17">
        <v>77.74059756568235</v>
      </c>
      <c r="C20" s="17">
        <v>82.605788860121976</v>
      </c>
      <c r="D20" s="17">
        <v>87.895445630578394</v>
      </c>
      <c r="E20" s="17">
        <v>93.651912076209271</v>
      </c>
      <c r="F20" s="17">
        <v>99.921925263396858</v>
      </c>
      <c r="G20" s="17">
        <v>106.75707553370785</v>
      </c>
      <c r="H20" s="17">
        <v>114.21431529139559</v>
      </c>
      <c r="I20" s="17">
        <v>117.15602306125247</v>
      </c>
      <c r="J20" s="17">
        <v>120.17352701147166</v>
      </c>
      <c r="K20" s="17">
        <v>123.26878087259446</v>
      </c>
      <c r="L20" s="17">
        <v>126.44378875446799</v>
      </c>
      <c r="M20" s="17">
        <v>129.70060644584711</v>
      </c>
      <c r="N20" s="17">
        <v>133.04134274753463</v>
      </c>
      <c r="O20" s="17">
        <v>136.46816083992528</v>
      </c>
      <c r="P20" s="17">
        <v>139.98327968584229</v>
      </c>
      <c r="Q20" s="17">
        <v>143.58897546957687</v>
      </c>
      <c r="R20" s="17">
        <v>147.28758307306629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3" t="s">
        <v>71</v>
      </c>
      <c r="AH20" s="47">
        <v>-46.603219106454439</v>
      </c>
      <c r="AI20" s="47">
        <v>0</v>
      </c>
      <c r="AJ20" s="47">
        <v>-49.992466673746129</v>
      </c>
      <c r="AK20" s="47">
        <v>3.3262394831962867</v>
      </c>
      <c r="AL20" s="22"/>
      <c r="AM20" s="16"/>
      <c r="AN20" s="1">
        <v>486.00499925302506</v>
      </c>
      <c r="AO20" s="1">
        <v>11.096004549155822</v>
      </c>
      <c r="AP20" s="1">
        <v>1387.8860986092377</v>
      </c>
      <c r="AQ20" s="1">
        <v>36.588634315159148</v>
      </c>
    </row>
    <row r="21" spans="1:43" x14ac:dyDescent="0.25">
      <c r="A21" s="9" t="s">
        <v>72</v>
      </c>
      <c r="B21" s="17">
        <v>29.361836812363144</v>
      </c>
      <c r="C21" s="17">
        <v>31.267398602273641</v>
      </c>
      <c r="D21" s="17">
        <v>33.342223232567065</v>
      </c>
      <c r="E21" s="17">
        <v>35.603291794188905</v>
      </c>
      <c r="F21" s="17">
        <v>38.069349683910652</v>
      </c>
      <c r="G21" s="17">
        <v>40.761091588736569</v>
      </c>
      <c r="H21" s="17">
        <v>43.701365910295422</v>
      </c>
      <c r="I21" s="17">
        <v>44.825656474196748</v>
      </c>
      <c r="J21" s="17">
        <v>45.978882336949404</v>
      </c>
      <c r="K21" s="17">
        <v>47.161788478095559</v>
      </c>
      <c r="L21" s="17">
        <v>48.375139065132011</v>
      </c>
      <c r="M21" s="17">
        <v>49.61971794791409</v>
      </c>
      <c r="N21" s="17">
        <v>50.896329165803493</v>
      </c>
      <c r="O21" s="17">
        <v>52.205797467888587</v>
      </c>
      <c r="P21" s="17">
        <v>53.548968846614656</v>
      </c>
      <c r="Q21" s="17">
        <v>54.926711085169401</v>
      </c>
      <c r="R21" s="17">
        <v>56.339914318978757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3" t="s">
        <v>73</v>
      </c>
      <c r="AH21" s="47">
        <v>-15.53440636881815</v>
      </c>
      <c r="AI21" s="47">
        <v>1.1096004549155822</v>
      </c>
      <c r="AJ21" s="47">
        <v>-21.425342860176919</v>
      </c>
      <c r="AK21" s="47">
        <v>0</v>
      </c>
      <c r="AL21" s="22"/>
      <c r="AM21" s="16"/>
      <c r="AN21" s="1">
        <v>236.344896897019</v>
      </c>
      <c r="AO21" s="1">
        <v>3.3288013647467469</v>
      </c>
      <c r="AP21" s="1">
        <v>511.82763499311517</v>
      </c>
      <c r="AQ21" s="1">
        <v>8.3155987079907163</v>
      </c>
    </row>
    <row r="22" spans="1:43" x14ac:dyDescent="0.25">
      <c r="A22" s="9" t="s">
        <v>74</v>
      </c>
      <c r="B22" s="17">
        <v>6.5957596458181271</v>
      </c>
      <c r="C22" s="17">
        <v>6.8952918951641005</v>
      </c>
      <c r="D22" s="17">
        <v>7.2159439453297791</v>
      </c>
      <c r="E22" s="17">
        <v>7.5596635060323756</v>
      </c>
      <c r="F22" s="17">
        <v>7.9285959257086791</v>
      </c>
      <c r="G22" s="17">
        <v>8.3251047876083568</v>
      </c>
      <c r="H22" s="17">
        <v>8.7517946669990518</v>
      </c>
      <c r="I22" s="17">
        <v>8.9793424767325298</v>
      </c>
      <c r="J22" s="17">
        <v>9.2128086026017115</v>
      </c>
      <c r="K22" s="17">
        <v>9.4523470271476508</v>
      </c>
      <c r="L22" s="17">
        <v>9.6981157405672374</v>
      </c>
      <c r="M22" s="17">
        <v>9.9502768450536472</v>
      </c>
      <c r="N22" s="17">
        <v>10.208996661854206</v>
      </c>
      <c r="O22" s="17">
        <v>10.474445841116461</v>
      </c>
      <c r="P22" s="17">
        <v>10.746799474595111</v>
      </c>
      <c r="Q22" s="17">
        <v>11.026237211294292</v>
      </c>
      <c r="R22" s="17">
        <v>11.312943376121753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3" t="s">
        <v>75</v>
      </c>
      <c r="AH22" s="47">
        <v>-5.548002274577911</v>
      </c>
      <c r="AI22" s="47">
        <v>1.1096004549155822</v>
      </c>
      <c r="AJ22" s="47">
        <v>-4.7611873022615372</v>
      </c>
      <c r="AK22" s="47">
        <v>1.6631197415981434</v>
      </c>
      <c r="AL22" s="32"/>
      <c r="AM22" s="16"/>
      <c r="AN22" s="1">
        <v>108.74084458172703</v>
      </c>
      <c r="AO22" s="1">
        <v>3.3288013647467469</v>
      </c>
      <c r="AP22" s="1">
        <v>149.9774000212384</v>
      </c>
      <c r="AQ22" s="1">
        <v>6.6524789663925734</v>
      </c>
    </row>
    <row r="23" spans="1:43" x14ac:dyDescent="0.25">
      <c r="A23" s="20" t="s">
        <v>76</v>
      </c>
      <c r="B23" s="39">
        <v>3.7105821475689744</v>
      </c>
      <c r="C23" s="39">
        <v>4.0219975090217064</v>
      </c>
      <c r="D23" s="39">
        <v>4.3640882537738275</v>
      </c>
      <c r="E23" s="39">
        <v>4.7400258442243413</v>
      </c>
      <c r="F23" s="39">
        <v>5.153313847644494</v>
      </c>
      <c r="G23" s="39">
        <v>5.607822826001625</v>
      </c>
      <c r="H23" s="39">
        <v>6.1078288941781809</v>
      </c>
      <c r="I23" s="39">
        <v>6.2636483333635589</v>
      </c>
      <c r="J23" s="39">
        <v>6.4234439436134094</v>
      </c>
      <c r="K23" s="39">
        <v>6.5873172141084124</v>
      </c>
      <c r="L23" s="39">
        <v>6.755372225153935</v>
      </c>
      <c r="M23" s="39">
        <v>6.9277157143519039</v>
      </c>
      <c r="N23" s="39">
        <v>7.1044571444630211</v>
      </c>
      <c r="O23" s="39">
        <v>7.2857087730025274</v>
      </c>
      <c r="P23" s="39">
        <v>7.4715857236138108</v>
      </c>
      <c r="Q23" s="39">
        <v>7.6622060592652836</v>
      </c>
      <c r="R23" s="39">
        <v>7.857690857317114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" t="s">
        <v>77</v>
      </c>
      <c r="AH23" s="22">
        <f>SUM(AH7:AH22)</f>
        <v>-14686.671621262649</v>
      </c>
      <c r="AI23" s="22">
        <f>SUM(AI7:AI22)</f>
        <v>438.29217969165506</v>
      </c>
      <c r="AJ23" s="22">
        <f>SUM(AJ7:AJ22)</f>
        <v>-50363.839283322537</v>
      </c>
      <c r="AK23" s="22">
        <f>SUM(AK7:AK22)</f>
        <v>3665.5159104823078</v>
      </c>
      <c r="AM23" s="16"/>
      <c r="AN23" s="1">
        <v>46.603219106454439</v>
      </c>
      <c r="AO23" s="1">
        <v>0</v>
      </c>
      <c r="AP23" s="1">
        <v>49.992466673746129</v>
      </c>
      <c r="AQ23" s="1">
        <v>3.3262394831962867</v>
      </c>
    </row>
    <row r="24" spans="1:43" x14ac:dyDescent="0.25">
      <c r="A24" s="9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">
        <v>15.53440636881815</v>
      </c>
      <c r="AO24" s="1">
        <v>1.1096004549155822</v>
      </c>
      <c r="AP24" s="1">
        <v>21.425342860176919</v>
      </c>
      <c r="AQ24" s="1">
        <v>0</v>
      </c>
    </row>
    <row r="25" spans="1:43" x14ac:dyDescent="0.25">
      <c r="A25" s="3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">
        <v>4.4384018196623289</v>
      </c>
      <c r="AO25" s="1">
        <v>1.1096004549155822</v>
      </c>
      <c r="AP25" s="1">
        <v>2.3805936511307686</v>
      </c>
      <c r="AQ25" s="1">
        <v>0</v>
      </c>
    </row>
    <row r="26" spans="1:43" x14ac:dyDescent="0.25">
      <c r="A26" s="41" t="s">
        <v>78</v>
      </c>
      <c r="B26" s="50">
        <f>SUM(B27:B43)</f>
        <v>46995.8910669283</v>
      </c>
      <c r="C26" s="50">
        <f t="shared" ref="C26:R26" si="1">SUM(C27:C43)</f>
        <v>50895.098598565484</v>
      </c>
      <c r="D26" s="50">
        <f t="shared" si="1"/>
        <v>55176.905392239983</v>
      </c>
      <c r="E26" s="50">
        <f t="shared" si="1"/>
        <v>59880.825809656817</v>
      </c>
      <c r="F26" s="50">
        <f t="shared" si="1"/>
        <v>65050.510904585186</v>
      </c>
      <c r="G26" s="50">
        <f t="shared" si="1"/>
        <v>70734.182980248632</v>
      </c>
      <c r="H26" s="50">
        <f t="shared" si="1"/>
        <v>76985.115836283148</v>
      </c>
      <c r="I26" s="50">
        <f t="shared" si="1"/>
        <v>78949.873479334943</v>
      </c>
      <c r="J26" s="50">
        <f t="shared" si="1"/>
        <v>80964.787233911469</v>
      </c>
      <c r="K26" s="50">
        <f t="shared" si="1"/>
        <v>83031.137819459211</v>
      </c>
      <c r="L26" s="50">
        <f t="shared" si="1"/>
        <v>85150.238667043392</v>
      </c>
      <c r="M26" s="50">
        <f t="shared" si="1"/>
        <v>87323.436755086979</v>
      </c>
      <c r="N26" s="50">
        <f t="shared" si="1"/>
        <v>89552.113466467505</v>
      </c>
      <c r="O26" s="50">
        <f t="shared" si="1"/>
        <v>91837.685467518066</v>
      </c>
      <c r="P26" s="50">
        <f t="shared" si="1"/>
        <v>94181.605609492093</v>
      </c>
      <c r="Q26" s="50">
        <f t="shared" si="1"/>
        <v>96585.363853066927</v>
      </c>
      <c r="R26" s="50">
        <f t="shared" si="1"/>
        <v>99050.488216474041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">
        <v>1.1096004549155822</v>
      </c>
      <c r="AO26" s="1">
        <v>0</v>
      </c>
      <c r="AP26" s="1">
        <v>2.3805936511307686</v>
      </c>
      <c r="AQ26" s="1">
        <v>1.6631197415981434</v>
      </c>
    </row>
    <row r="27" spans="1:43" s="2" customFormat="1" x14ac:dyDescent="0.25">
      <c r="A27" s="17" t="s">
        <v>44</v>
      </c>
      <c r="B27" s="17">
        <v>15.766077166545017</v>
      </c>
      <c r="C27" s="17">
        <v>17.187720067795446</v>
      </c>
      <c r="D27" s="17">
        <v>18.752649089643743</v>
      </c>
      <c r="E27" s="17">
        <v>20.475769677465948</v>
      </c>
      <c r="F27" s="17">
        <v>22.373550573792897</v>
      </c>
      <c r="G27" s="17">
        <v>24.464188117855862</v>
      </c>
      <c r="H27" s="17">
        <v>26.767787821667291</v>
      </c>
      <c r="I27" s="17">
        <v>27.449014640305144</v>
      </c>
      <c r="J27" s="17">
        <v>28.147581547505624</v>
      </c>
      <c r="K27" s="17">
        <v>28.863930005493465</v>
      </c>
      <c r="L27" s="17">
        <v>29.598512717904381</v>
      </c>
      <c r="M27" s="17">
        <v>30.351793916094422</v>
      </c>
      <c r="N27" s="17">
        <v>31.124249652742932</v>
      </c>
      <c r="O27" s="17">
        <v>31.916368102934886</v>
      </c>
      <c r="P27" s="17">
        <v>32.72864987291323</v>
      </c>
      <c r="Q27" s="17">
        <v>33.561608316696628</v>
      </c>
      <c r="R27" s="17">
        <v>34.415769860763035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Q27" s="1"/>
    </row>
    <row r="28" spans="1:43" x14ac:dyDescent="0.25">
      <c r="A28" s="17" t="s">
        <v>46</v>
      </c>
      <c r="B28" s="17">
        <v>6.5957596458181271</v>
      </c>
      <c r="C28" s="17">
        <v>6.8952918951641005</v>
      </c>
      <c r="D28" s="17">
        <v>7.2159439453297791</v>
      </c>
      <c r="E28" s="17">
        <v>7.5596635060323756</v>
      </c>
      <c r="F28" s="17">
        <v>7.9285959257086791</v>
      </c>
      <c r="G28" s="17">
        <v>8.3251047876083568</v>
      </c>
      <c r="H28" s="17">
        <v>8.7517946669990536</v>
      </c>
      <c r="I28" s="17">
        <v>8.9793424767325298</v>
      </c>
      <c r="J28" s="17">
        <v>9.2128086026017115</v>
      </c>
      <c r="K28" s="17">
        <v>9.4523470271476508</v>
      </c>
      <c r="L28" s="17">
        <v>9.6981157405672374</v>
      </c>
      <c r="M28" s="17">
        <v>9.9502768450536454</v>
      </c>
      <c r="N28" s="17">
        <v>10.208996661854204</v>
      </c>
      <c r="O28" s="17">
        <v>10.474445841116463</v>
      </c>
      <c r="P28" s="17">
        <v>10.746799474595111</v>
      </c>
      <c r="Q28" s="17">
        <v>11.026237211294291</v>
      </c>
      <c r="R28" s="17">
        <v>11.312943376121751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">
        <v>14686.671621262649</v>
      </c>
      <c r="AO28" s="1">
        <v>438.29217969165506</v>
      </c>
      <c r="AP28" s="1">
        <v>50363.839283322544</v>
      </c>
      <c r="AQ28" s="1">
        <v>3665.5159104823078</v>
      </c>
    </row>
    <row r="29" spans="1:43" x14ac:dyDescent="0.25">
      <c r="A29" s="17" t="s">
        <v>48</v>
      </c>
      <c r="B29" s="17">
        <v>5.5957596458181271</v>
      </c>
      <c r="C29" s="17">
        <v>5.8689509466906582</v>
      </c>
      <c r="D29" s="17">
        <v>6.1625682028164146</v>
      </c>
      <c r="E29" s="17">
        <v>6.478540847362293</v>
      </c>
      <c r="F29" s="17">
        <v>6.8189954707930971</v>
      </c>
      <c r="G29" s="17">
        <v>7.1862764042837348</v>
      </c>
      <c r="H29" s="17">
        <v>7.5829684639091841</v>
      </c>
      <c r="I29" s="17">
        <v>7.7797282828526626</v>
      </c>
      <c r="J29" s="17">
        <v>7.9815954330528456</v>
      </c>
      <c r="K29" s="17">
        <v>8.1887025349398748</v>
      </c>
      <c r="L29" s="17">
        <v>8.4011856539014662</v>
      </c>
      <c r="M29" s="17">
        <v>8.6191843898013563</v>
      </c>
      <c r="N29" s="17">
        <v>8.8428419688247253</v>
      </c>
      <c r="O29" s="17">
        <v>9.0723053377111427</v>
      </c>
      <c r="P29" s="17">
        <v>9.3077252604370653</v>
      </c>
      <c r="Q29" s="17">
        <v>9.5492564174116517</v>
      </c>
      <c r="R29" s="17">
        <v>9.7970575072511838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 spans="1:43" x14ac:dyDescent="0.25">
      <c r="A30" s="17" t="s">
        <v>50</v>
      </c>
      <c r="B30" s="17">
        <v>1144.8119974756235</v>
      </c>
      <c r="C30" s="17">
        <v>1204.2773597716459</v>
      </c>
      <c r="D30" s="17">
        <v>1268.3916481965994</v>
      </c>
      <c r="E30" s="17">
        <v>1337.6015147068713</v>
      </c>
      <c r="F30" s="17">
        <v>1412.399472363214</v>
      </c>
      <c r="G30" s="17">
        <v>1493.3286892494955</v>
      </c>
      <c r="H30" s="17">
        <v>1580.988285799551</v>
      </c>
      <c r="I30" s="17">
        <v>1621.9380330777713</v>
      </c>
      <c r="J30" s="17">
        <v>1663.9488419430431</v>
      </c>
      <c r="K30" s="17">
        <v>1707.0482163799545</v>
      </c>
      <c r="L30" s="17">
        <v>1751.2643735791842</v>
      </c>
      <c r="M30" s="17">
        <v>1796.6262624386018</v>
      </c>
      <c r="N30" s="17">
        <v>1843.1635825444741</v>
      </c>
      <c r="O30" s="17">
        <v>1890.9068036452506</v>
      </c>
      <c r="P30" s="17">
        <v>1939.8871856307069</v>
      </c>
      <c r="Q30" s="17">
        <v>1990.1367990295746</v>
      </c>
      <c r="R30" s="17">
        <v>2041.6885460391063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</row>
    <row r="31" spans="1:43" x14ac:dyDescent="0.25">
      <c r="A31" s="17" t="s">
        <v>52</v>
      </c>
      <c r="B31" s="17">
        <v>8126.1715218929294</v>
      </c>
      <c r="C31" s="17">
        <v>8708.9238761325869</v>
      </c>
      <c r="D31" s="17">
        <v>9345.8031331568181</v>
      </c>
      <c r="E31" s="17">
        <v>10042.313223123947</v>
      </c>
      <c r="F31" s="17">
        <v>10804.531960468126</v>
      </c>
      <c r="G31" s="17">
        <v>11639.171268944381</v>
      </c>
      <c r="H31" s="17">
        <v>12553.643737149159</v>
      </c>
      <c r="I31" s="17">
        <v>12875.57614268525</v>
      </c>
      <c r="J31" s="17">
        <v>13205.767236261017</v>
      </c>
      <c r="K31" s="17">
        <v>13544.428956889416</v>
      </c>
      <c r="L31" s="17">
        <v>13891.778684425941</v>
      </c>
      <c r="M31" s="17">
        <v>14248.039379295071</v>
      </c>
      <c r="N31" s="17">
        <v>14613.439725806338</v>
      </c>
      <c r="O31" s="17">
        <v>14988.214279152349</v>
      </c>
      <c r="P31" s="17">
        <v>15372.603616183223</v>
      </c>
      <c r="Q31" s="17">
        <v>15766.854490054699</v>
      </c>
      <c r="R31" s="17">
        <v>16171.219988849283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M31" s="16"/>
    </row>
    <row r="32" spans="1:43" x14ac:dyDescent="0.25">
      <c r="A32" s="17" t="s">
        <v>54</v>
      </c>
      <c r="B32" s="17">
        <v>12330.533859724044</v>
      </c>
      <c r="C32" s="17">
        <v>13387.073678766559</v>
      </c>
      <c r="D32" s="17">
        <v>14548.401722162846</v>
      </c>
      <c r="E32" s="17">
        <v>15825.371950797387</v>
      </c>
      <c r="F32" s="17">
        <v>17229.975455210373</v>
      </c>
      <c r="G32" s="17">
        <v>18775.459932894642</v>
      </c>
      <c r="H32" s="17">
        <v>20476.461728082584</v>
      </c>
      <c r="I32" s="17">
        <v>20998.480421103017</v>
      </c>
      <c r="J32" s="17">
        <v>21533.810345790309</v>
      </c>
      <c r="K32" s="17">
        <v>22082.791013303999</v>
      </c>
      <c r="L32" s="17">
        <v>22645.770596362945</v>
      </c>
      <c r="M32" s="17">
        <v>23223.106150273172</v>
      </c>
      <c r="N32" s="17">
        <v>23815.163839597382</v>
      </c>
      <c r="O32" s="17">
        <v>24422.319170610168</v>
      </c>
      <c r="P32" s="17">
        <v>25044.957229686748</v>
      </c>
      <c r="Q32" s="17">
        <v>25683.472927776576</v>
      </c>
      <c r="R32" s="17">
        <v>26338.271251117279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H32" s="137" t="s">
        <v>79</v>
      </c>
      <c r="AI32" s="137"/>
      <c r="AJ32" s="141" t="s">
        <v>80</v>
      </c>
      <c r="AK32" s="141"/>
      <c r="AL32" s="8"/>
      <c r="AM32" s="16"/>
    </row>
    <row r="33" spans="1:43" x14ac:dyDescent="0.25">
      <c r="A33" s="9" t="s">
        <v>56</v>
      </c>
      <c r="B33" s="17">
        <v>9770.1565491357396</v>
      </c>
      <c r="C33" s="17">
        <v>10628.050788567198</v>
      </c>
      <c r="D33" s="17">
        <v>11571.702019099113</v>
      </c>
      <c r="E33" s="17">
        <v>12610.011676801705</v>
      </c>
      <c r="F33" s="17">
        <v>13752.814269476621</v>
      </c>
      <c r="G33" s="17">
        <v>15010.975426998164</v>
      </c>
      <c r="H33" s="17">
        <v>16396.500261547713</v>
      </c>
      <c r="I33" s="17">
        <v>16814.159921238133</v>
      </c>
      <c r="J33" s="17">
        <v>17242.460652558282</v>
      </c>
      <c r="K33" s="17">
        <v>17681.673625834392</v>
      </c>
      <c r="L33" s="17">
        <v>18132.076923260785</v>
      </c>
      <c r="M33" s="17">
        <v>18593.955715116866</v>
      </c>
      <c r="N33" s="17">
        <v>19067.602440477764</v>
      </c>
      <c r="O33" s="17">
        <v>19553.316992533273</v>
      </c>
      <c r="P33" s="17">
        <v>20051.406908632649</v>
      </c>
      <c r="Q33" s="17">
        <v>20562.187565175758</v>
      </c>
      <c r="R33" s="17">
        <v>21085.982377474276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H33" s="1" t="s">
        <v>3</v>
      </c>
      <c r="AI33" s="1" t="s">
        <v>4</v>
      </c>
      <c r="AJ33" s="1" t="s">
        <v>3</v>
      </c>
      <c r="AK33" s="1" t="s">
        <v>4</v>
      </c>
      <c r="AM33" s="16"/>
    </row>
    <row r="34" spans="1:43" x14ac:dyDescent="0.25">
      <c r="A34" s="9" t="s">
        <v>58</v>
      </c>
      <c r="B34" s="17">
        <v>6494.8994156383678</v>
      </c>
      <c r="C34" s="17">
        <v>7072.4206206926901</v>
      </c>
      <c r="D34" s="17">
        <v>7707.8998862825074</v>
      </c>
      <c r="E34" s="17">
        <v>8407.3594771346616</v>
      </c>
      <c r="F34" s="17">
        <v>9177.4530959354761</v>
      </c>
      <c r="G34" s="17">
        <v>10025.532241425009</v>
      </c>
      <c r="H34" s="17">
        <v>10959.719544094447</v>
      </c>
      <c r="I34" s="17">
        <v>11238.771645798688</v>
      </c>
      <c r="J34" s="17">
        <v>11524.93027497012</v>
      </c>
      <c r="K34" s="17">
        <v>11818.376448163641</v>
      </c>
      <c r="L34" s="17">
        <v>12119.295793732685</v>
      </c>
      <c r="M34" s="17">
        <v>12427.878669350392</v>
      </c>
      <c r="N34" s="17">
        <v>12744.320282526183</v>
      </c>
      <c r="O34" s="17">
        <v>13068.82081419408</v>
      </c>
      <c r="P34" s="17">
        <v>13401.585545451213</v>
      </c>
      <c r="Q34" s="17">
        <v>13742.824987526656</v>
      </c>
      <c r="R34" s="17">
        <v>14092.755015063058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" t="s">
        <v>45</v>
      </c>
      <c r="AH34" s="47">
        <v>-4.5476576066117005</v>
      </c>
      <c r="AI34" s="47">
        <v>4.5476576066117005</v>
      </c>
      <c r="AJ34" s="47">
        <v>-29.868112254151335</v>
      </c>
      <c r="AK34" s="47">
        <v>0</v>
      </c>
      <c r="AM34" s="16"/>
    </row>
    <row r="35" spans="1:43" x14ac:dyDescent="0.25">
      <c r="A35" s="9" t="s">
        <v>60</v>
      </c>
      <c r="B35" s="17">
        <v>4372.4358912595208</v>
      </c>
      <c r="C35" s="17">
        <v>4753.5378485375932</v>
      </c>
      <c r="D35" s="17">
        <v>5172.6462688317397</v>
      </c>
      <c r="E35" s="17">
        <v>5633.7036856210807</v>
      </c>
      <c r="F35" s="17">
        <v>6141.0658329511125</v>
      </c>
      <c r="G35" s="17">
        <v>6699.5450642041151</v>
      </c>
      <c r="H35" s="17">
        <v>7314.4583362628682</v>
      </c>
      <c r="I35" s="17">
        <v>7500.8225461883567</v>
      </c>
      <c r="J35" s="17">
        <v>7691.9361401478145</v>
      </c>
      <c r="K35" s="17">
        <v>7887.9201804695031</v>
      </c>
      <c r="L35" s="17">
        <v>8088.8988160810477</v>
      </c>
      <c r="M35" s="17">
        <v>8294.9993612237377</v>
      </c>
      <c r="N35" s="17">
        <v>8506.352376174651</v>
      </c>
      <c r="O35" s="17">
        <v>8723.0917500278938</v>
      </c>
      <c r="P35" s="17">
        <v>8945.3547855874203</v>
      </c>
      <c r="Q35" s="17">
        <v>9173.2822864253794</v>
      </c>
      <c r="R35" s="17">
        <v>9407.0186461611902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" t="s">
        <v>47</v>
      </c>
      <c r="AH35" s="47">
        <v>-7.5794293443528344</v>
      </c>
      <c r="AI35" s="47">
        <v>1.515885868870567</v>
      </c>
      <c r="AJ35" s="47">
        <v>-3.7335140317689168</v>
      </c>
      <c r="AK35" s="47">
        <v>10.433163826710523</v>
      </c>
      <c r="AM35" s="16"/>
    </row>
    <row r="36" spans="1:43" x14ac:dyDescent="0.25">
      <c r="A36" s="9" t="s">
        <v>62</v>
      </c>
      <c r="B36" s="17">
        <v>2493.9108716282999</v>
      </c>
      <c r="C36" s="17">
        <v>2704.6429674764449</v>
      </c>
      <c r="D36" s="17">
        <v>2936.1799489794294</v>
      </c>
      <c r="E36" s="17">
        <v>3190.6741139925375</v>
      </c>
      <c r="F36" s="17">
        <v>3470.503177268567</v>
      </c>
      <c r="G36" s="17">
        <v>3778.2939529402947</v>
      </c>
      <c r="H36" s="17">
        <v>4116.9485270575897</v>
      </c>
      <c r="I36" s="17">
        <v>4221.9537307526034</v>
      </c>
      <c r="J36" s="17">
        <v>4329.6378092355144</v>
      </c>
      <c r="K36" s="17">
        <v>4440.0691226272947</v>
      </c>
      <c r="L36" s="17">
        <v>4553.3177759252694</v>
      </c>
      <c r="M36" s="17">
        <v>4669.4556635523986</v>
      </c>
      <c r="N36" s="17">
        <v>4788.5565150442326</v>
      </c>
      <c r="O36" s="17">
        <v>4910.6959419026953</v>
      </c>
      <c r="P36" s="17">
        <v>5035.9514856463957</v>
      </c>
      <c r="Q36" s="17">
        <v>5164.4026670881412</v>
      </c>
      <c r="R36" s="17">
        <v>5296.1310368709119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" t="s">
        <v>49</v>
      </c>
      <c r="AH36" s="47">
        <v>-6.0635434754822679</v>
      </c>
      <c r="AI36" s="47">
        <v>6.0635434754822679</v>
      </c>
      <c r="AJ36" s="47">
        <v>-3.7335140317689168</v>
      </c>
      <c r="AK36" s="47">
        <v>0</v>
      </c>
      <c r="AM36" s="16"/>
    </row>
    <row r="37" spans="1:43" x14ac:dyDescent="0.25">
      <c r="A37" s="9" t="s">
        <v>64</v>
      </c>
      <c r="B37" s="17">
        <v>1368.3278735119679</v>
      </c>
      <c r="C37" s="17">
        <v>1477.7086455119543</v>
      </c>
      <c r="D37" s="17">
        <v>1597.6836059216571</v>
      </c>
      <c r="E37" s="17">
        <v>1729.3429984910804</v>
      </c>
      <c r="F37" s="17">
        <v>1873.891097862263</v>
      </c>
      <c r="G37" s="17">
        <v>2032.6581856805844</v>
      </c>
      <c r="H37" s="17">
        <v>2207.1137858068441</v>
      </c>
      <c r="I37" s="17">
        <v>2263.5123056946331</v>
      </c>
      <c r="J37" s="17">
        <v>2321.3523943442542</v>
      </c>
      <c r="K37" s="17">
        <v>2380.6709096284167</v>
      </c>
      <c r="L37" s="17">
        <v>2441.5056520795852</v>
      </c>
      <c r="M37" s="17">
        <v>2503.8953890063517</v>
      </c>
      <c r="N37" s="17">
        <v>2567.8798792269822</v>
      </c>
      <c r="O37" s="17">
        <v>2633.4998984359213</v>
      </c>
      <c r="P37" s="17">
        <v>2700.7972652194726</v>
      </c>
      <c r="Q37" s="17">
        <v>2769.8148677372706</v>
      </c>
      <c r="R37" s="17">
        <v>2840.5966910865873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" t="s">
        <v>51</v>
      </c>
      <c r="AH37" s="47">
        <v>-1171.7797766369479</v>
      </c>
      <c r="AI37" s="47">
        <v>57.603663017081544</v>
      </c>
      <c r="AJ37" s="47">
        <v>-869.90876940215776</v>
      </c>
      <c r="AK37" s="47">
        <v>130.41454783388147</v>
      </c>
      <c r="AM37" s="16"/>
    </row>
    <row r="38" spans="1:43" x14ac:dyDescent="0.25">
      <c r="A38" s="9" t="s">
        <v>66</v>
      </c>
      <c r="B38" s="17">
        <v>556.08832385089727</v>
      </c>
      <c r="C38" s="17">
        <v>597.78185987617451</v>
      </c>
      <c r="D38" s="17">
        <v>643.41805819938224</v>
      </c>
      <c r="E38" s="17">
        <v>693.3999220233494</v>
      </c>
      <c r="F38" s="17">
        <v>748.17253189013422</v>
      </c>
      <c r="G38" s="17">
        <v>808.22746290997293</v>
      </c>
      <c r="H38" s="17">
        <v>874.10766634132972</v>
      </c>
      <c r="I38" s="17">
        <v>896.49119737304807</v>
      </c>
      <c r="J38" s="17">
        <v>919.44809740824496</v>
      </c>
      <c r="K38" s="17">
        <v>942.99305855364128</v>
      </c>
      <c r="L38" s="17">
        <v>967.14114951606155</v>
      </c>
      <c r="M38" s="17">
        <v>991.90782525905956</v>
      </c>
      <c r="N38" s="17">
        <v>1017.3089369072437</v>
      </c>
      <c r="O38" s="17">
        <v>1043.3607419046543</v>
      </c>
      <c r="P38" s="17">
        <v>1070.0799144337141</v>
      </c>
      <c r="Q38" s="17">
        <v>1097.4835561014363</v>
      </c>
      <c r="R38" s="17">
        <v>1125.5892068997478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" t="s">
        <v>53</v>
      </c>
      <c r="AH38" s="47">
        <v>-5228.2903617345864</v>
      </c>
      <c r="AI38" s="47">
        <v>242.54173901929073</v>
      </c>
      <c r="AJ38" s="47">
        <v>-10942.929627114698</v>
      </c>
      <c r="AK38" s="47">
        <v>1168.5143485915778</v>
      </c>
      <c r="AM38" s="16"/>
      <c r="AN38" s="1">
        <v>4.5476576066117005</v>
      </c>
      <c r="AO38" s="1">
        <v>4.5476576066117005</v>
      </c>
      <c r="AP38" s="1">
        <v>29.868112254151335</v>
      </c>
      <c r="AQ38" s="1">
        <v>0</v>
      </c>
    </row>
    <row r="39" spans="1:43" x14ac:dyDescent="0.25">
      <c r="A39" s="9" t="s">
        <v>68</v>
      </c>
      <c r="B39" s="17">
        <v>198.532857686542</v>
      </c>
      <c r="C39" s="17">
        <v>211.68740357660135</v>
      </c>
      <c r="D39" s="17">
        <v>226.02193243037601</v>
      </c>
      <c r="E39" s="17">
        <v>241.65518394863173</v>
      </c>
      <c r="F39" s="17">
        <v>258.71824460296546</v>
      </c>
      <c r="G39" s="17">
        <v>277.35584243788361</v>
      </c>
      <c r="H39" s="17">
        <v>297.72777795043885</v>
      </c>
      <c r="I39" s="17">
        <v>305.38229596221811</v>
      </c>
      <c r="J39" s="17">
        <v>313.2336841718037</v>
      </c>
      <c r="K39" s="17">
        <v>321.28700790121451</v>
      </c>
      <c r="L39" s="17">
        <v>329.54746284926375</v>
      </c>
      <c r="M39" s="17">
        <v>338.0203784486327</v>
      </c>
      <c r="N39" s="17">
        <v>346.71122130941808</v>
      </c>
      <c r="O39" s="17">
        <v>355.62559875138288</v>
      </c>
      <c r="P39" s="17">
        <v>364.76926242719628</v>
      </c>
      <c r="Q39" s="17">
        <v>374.14811203900729</v>
      </c>
      <c r="R39" s="17">
        <v>383.76819915075725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" t="s">
        <v>55</v>
      </c>
      <c r="AH39" s="47">
        <v>-4620.420128317488</v>
      </c>
      <c r="AI39" s="47">
        <v>136.429728198351</v>
      </c>
      <c r="AJ39" s="47">
        <v>-21717.851122799791</v>
      </c>
      <c r="AK39" s="47">
        <v>1804.9373420209197</v>
      </c>
      <c r="AM39" s="16"/>
      <c r="AN39" s="1">
        <v>7.5794293443528344</v>
      </c>
      <c r="AO39" s="1">
        <v>1.515885868870567</v>
      </c>
      <c r="AP39" s="1">
        <v>3.7335140317689168</v>
      </c>
      <c r="AQ39" s="1">
        <v>10.433163826710523</v>
      </c>
    </row>
    <row r="40" spans="1:43" x14ac:dyDescent="0.25">
      <c r="A40" s="9" t="s">
        <v>70</v>
      </c>
      <c r="B40" s="17">
        <v>75.510952562180663</v>
      </c>
      <c r="C40" s="17">
        <v>80.14165004461924</v>
      </c>
      <c r="D40" s="17">
        <v>85.172151073583379</v>
      </c>
      <c r="E40" s="17">
        <v>90.642206130464672</v>
      </c>
      <c r="F40" s="17">
        <v>96.595685780200569</v>
      </c>
      <c r="G40" s="17">
        <v>103.08101239032433</v>
      </c>
      <c r="H40" s="17">
        <v>110.15163721231838</v>
      </c>
      <c r="I40" s="17">
        <v>112.99049779695147</v>
      </c>
      <c r="J40" s="17">
        <v>115.90255097305734</v>
      </c>
      <c r="K40" s="17">
        <v>118.88968456101072</v>
      </c>
      <c r="L40" s="17">
        <v>121.95383509196841</v>
      </c>
      <c r="M40" s="17">
        <v>125.09698906523228</v>
      </c>
      <c r="N40" s="17">
        <v>128.32118423808114</v>
      </c>
      <c r="O40" s="17">
        <v>131.62851094891059</v>
      </c>
      <c r="P40" s="17">
        <v>135.02111347454053</v>
      </c>
      <c r="Q40" s="17">
        <v>138.50119142257375</v>
      </c>
      <c r="R40" s="17">
        <v>142.07100115971102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" t="s">
        <v>57</v>
      </c>
      <c r="AH40" s="47">
        <v>-3262.1863898094603</v>
      </c>
      <c r="AI40" s="47">
        <v>66.698978230304959</v>
      </c>
      <c r="AJ40" s="47">
        <v>-17823.795987664813</v>
      </c>
      <c r="AK40" s="47">
        <v>1309.3620602521701</v>
      </c>
      <c r="AM40" s="16"/>
      <c r="AN40" s="1">
        <v>6.0635434754822679</v>
      </c>
      <c r="AO40" s="1">
        <v>6.0635434754822679</v>
      </c>
      <c r="AP40" s="1">
        <v>3.7335140317689168</v>
      </c>
      <c r="AQ40" s="1">
        <v>0</v>
      </c>
    </row>
    <row r="41" spans="1:43" x14ac:dyDescent="0.25">
      <c r="A41" s="9" t="s">
        <v>72</v>
      </c>
      <c r="B41" s="17">
        <v>28.361836812363144</v>
      </c>
      <c r="C41" s="17">
        <v>30.241057653800198</v>
      </c>
      <c r="D41" s="17">
        <v>32.288847490053705</v>
      </c>
      <c r="E41" s="17">
        <v>34.522169135518823</v>
      </c>
      <c r="F41" s="17">
        <v>36.959749228995065</v>
      </c>
      <c r="G41" s="17">
        <v>39.622263205411947</v>
      </c>
      <c r="H41" s="17">
        <v>42.532539707205551</v>
      </c>
      <c r="I41" s="17">
        <v>43.626042280316881</v>
      </c>
      <c r="J41" s="17">
        <v>44.747669167400538</v>
      </c>
      <c r="K41" s="17">
        <v>45.898143985887778</v>
      </c>
      <c r="L41" s="17">
        <v>47.078208978466243</v>
      </c>
      <c r="M41" s="17">
        <v>48.288625492661801</v>
      </c>
      <c r="N41" s="17">
        <v>49.530174472774007</v>
      </c>
      <c r="O41" s="17">
        <v>50.803656964483267</v>
      </c>
      <c r="P41" s="17">
        <v>52.109894632456609</v>
      </c>
      <c r="Q41" s="17">
        <v>53.449730291286762</v>
      </c>
      <c r="R41" s="17">
        <v>54.824028450108187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" t="s">
        <v>59</v>
      </c>
      <c r="AH41" s="47">
        <v>-2029.771178417689</v>
      </c>
      <c r="AI41" s="47">
        <v>28.801831508540769</v>
      </c>
      <c r="AJ41" s="47">
        <v>-12062.983836645371</v>
      </c>
      <c r="AK41" s="47">
        <v>730.32146786973613</v>
      </c>
      <c r="AM41" s="16"/>
      <c r="AN41" s="1">
        <v>1171.7797766369479</v>
      </c>
      <c r="AO41" s="1">
        <v>57.603663017081544</v>
      </c>
      <c r="AP41" s="1">
        <v>869.90876940215776</v>
      </c>
      <c r="AQ41" s="1">
        <v>130.41454783388147</v>
      </c>
    </row>
    <row r="42" spans="1:43" x14ac:dyDescent="0.25">
      <c r="A42" s="9" t="s">
        <v>74</v>
      </c>
      <c r="B42" s="17">
        <v>5.5957596458181271</v>
      </c>
      <c r="C42" s="17">
        <v>5.8689509466906582</v>
      </c>
      <c r="D42" s="17">
        <v>6.1625682028164146</v>
      </c>
      <c r="E42" s="17">
        <v>6.478540847362293</v>
      </c>
      <c r="F42" s="17">
        <v>6.8189954707930971</v>
      </c>
      <c r="G42" s="17">
        <v>7.1862764042837348</v>
      </c>
      <c r="H42" s="17">
        <v>7.5829684639091841</v>
      </c>
      <c r="I42" s="17">
        <v>7.7797282828526626</v>
      </c>
      <c r="J42" s="17">
        <v>7.9815954330528456</v>
      </c>
      <c r="K42" s="17">
        <v>8.1887025349398748</v>
      </c>
      <c r="L42" s="17">
        <v>8.4011856539014662</v>
      </c>
      <c r="M42" s="17">
        <v>8.6191843898013563</v>
      </c>
      <c r="N42" s="17">
        <v>8.8428419688247271</v>
      </c>
      <c r="O42" s="17">
        <v>9.0723053377111427</v>
      </c>
      <c r="P42" s="17">
        <v>9.307725260437067</v>
      </c>
      <c r="Q42" s="17">
        <v>9.5492564174116517</v>
      </c>
      <c r="R42" s="17">
        <v>9.7970575072511856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" t="s">
        <v>61</v>
      </c>
      <c r="AH42" s="47">
        <v>-1514.369983001696</v>
      </c>
      <c r="AI42" s="47">
        <v>21.222402164187937</v>
      </c>
      <c r="AJ42" s="47">
        <v>-7892.6486631594926</v>
      </c>
      <c r="AK42" s="47">
        <v>344.29440628144715</v>
      </c>
      <c r="AM42" s="16"/>
      <c r="AN42" s="1">
        <v>5228.2903617345864</v>
      </c>
      <c r="AO42" s="1">
        <v>242.54173901929073</v>
      </c>
      <c r="AP42" s="1">
        <v>10942.929627114698</v>
      </c>
      <c r="AQ42" s="1">
        <v>1168.5143485915778</v>
      </c>
    </row>
    <row r="43" spans="1:43" x14ac:dyDescent="0.25">
      <c r="A43" s="20" t="s">
        <v>76</v>
      </c>
      <c r="B43" s="39">
        <v>2.5957596458181271</v>
      </c>
      <c r="C43" s="39">
        <v>2.7899281012703319</v>
      </c>
      <c r="D43" s="39">
        <v>3.002440975276321</v>
      </c>
      <c r="E43" s="39">
        <v>3.2351728713520451</v>
      </c>
      <c r="F43" s="39">
        <v>3.4901941060463511</v>
      </c>
      <c r="G43" s="39">
        <v>3.7697912543098715</v>
      </c>
      <c r="H43" s="39">
        <v>4.0764898546395791</v>
      </c>
      <c r="I43" s="39">
        <v>4.18088570121306</v>
      </c>
      <c r="J43" s="39">
        <v>4.2879559244062442</v>
      </c>
      <c r="K43" s="39">
        <v>4.3977690583165439</v>
      </c>
      <c r="L43" s="39">
        <v>4.5103953939041546</v>
      </c>
      <c r="M43" s="39">
        <v>4.6259070240444844</v>
      </c>
      <c r="N43" s="39">
        <v>4.7443778897362909</v>
      </c>
      <c r="O43" s="39">
        <v>4.8658838274951854</v>
      </c>
      <c r="P43" s="39">
        <v>4.9905026179629317</v>
      </c>
      <c r="Q43" s="39">
        <v>5.1183140357637287</v>
      </c>
      <c r="R43" s="39">
        <v>5.2493999006394834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" t="s">
        <v>63</v>
      </c>
      <c r="AH43" s="47">
        <v>-991.38935824135081</v>
      </c>
      <c r="AI43" s="47">
        <v>6.0635434754822679</v>
      </c>
      <c r="AJ43" s="47">
        <v>-4304.7416786295607</v>
      </c>
      <c r="AK43" s="47">
        <v>161.71403931401304</v>
      </c>
      <c r="AM43" s="16"/>
      <c r="AN43" s="1">
        <v>4620.420128317488</v>
      </c>
      <c r="AO43" s="14">
        <v>136.429728198351</v>
      </c>
      <c r="AP43" s="1">
        <v>21717.851122799791</v>
      </c>
      <c r="AQ43" s="14">
        <v>1804.9373420209197</v>
      </c>
    </row>
    <row r="44" spans="1:43" x14ac:dyDescent="0.25">
      <c r="A44" s="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" t="s">
        <v>65</v>
      </c>
      <c r="AH44" s="47">
        <v>-663.9580105653082</v>
      </c>
      <c r="AI44" s="47">
        <v>15.158858688705669</v>
      </c>
      <c r="AJ44" s="47">
        <v>-2176.6386805212787</v>
      </c>
      <c r="AK44" s="47">
        <v>57.382401046907859</v>
      </c>
      <c r="AM44" s="16"/>
      <c r="AN44" s="1">
        <v>3262.1863898094603</v>
      </c>
      <c r="AO44" s="16">
        <v>66.698978230304959</v>
      </c>
      <c r="AP44" s="1">
        <v>17823.795987664813</v>
      </c>
      <c r="AQ44" s="16">
        <v>1309.3620602521701</v>
      </c>
    </row>
    <row r="45" spans="1:43" x14ac:dyDescent="0.25">
      <c r="A45" s="35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" t="s">
        <v>67</v>
      </c>
      <c r="AH45" s="47">
        <v>-322.88369006943077</v>
      </c>
      <c r="AI45" s="47">
        <v>4.5476576066117005</v>
      </c>
      <c r="AJ45" s="47">
        <v>-802.70551683031726</v>
      </c>
      <c r="AK45" s="47">
        <v>13.041454783388154</v>
      </c>
      <c r="AM45" s="16"/>
      <c r="AN45" s="1">
        <v>2029.771178417689</v>
      </c>
      <c r="AO45" s="16">
        <v>28.801831508540769</v>
      </c>
      <c r="AP45" s="1">
        <v>12062.983836645371</v>
      </c>
      <c r="AQ45" s="16">
        <v>730.32146786973613</v>
      </c>
    </row>
    <row r="46" spans="1:43" x14ac:dyDescent="0.25">
      <c r="A46" s="41" t="s">
        <v>4</v>
      </c>
      <c r="B46" s="50">
        <f>SUM(B47:B63)</f>
        <v>2852.0687938588685</v>
      </c>
      <c r="C46" s="50">
        <f t="shared" ref="C46:R46" si="2">SUM(C47:C63)</f>
        <v>3120.8856493310386</v>
      </c>
      <c r="D46" s="50">
        <f t="shared" si="2"/>
        <v>3417.1540201012831</v>
      </c>
      <c r="E46" s="50">
        <f t="shared" si="2"/>
        <v>3743.7394023852239</v>
      </c>
      <c r="F46" s="50">
        <f t="shared" si="2"/>
        <v>4103.8080901739631</v>
      </c>
      <c r="G46" s="50">
        <f t="shared" si="2"/>
        <v>4500.8587954218519</v>
      </c>
      <c r="H46" s="50">
        <f t="shared" si="2"/>
        <v>4938.7575933635762</v>
      </c>
      <c r="I46" s="50">
        <f t="shared" si="2"/>
        <v>5064.2564478422464</v>
      </c>
      <c r="J46" s="50">
        <f t="shared" si="2"/>
        <v>5192.9447963043949</v>
      </c>
      <c r="K46" s="50">
        <f t="shared" si="2"/>
        <v>5324.9037097873506</v>
      </c>
      <c r="L46" s="50">
        <f t="shared" si="2"/>
        <v>5460.2163203074961</v>
      </c>
      <c r="M46" s="50">
        <f t="shared" si="2"/>
        <v>5598.9678732622078</v>
      </c>
      <c r="N46" s="50">
        <f t="shared" si="2"/>
        <v>5741.2457811643571</v>
      </c>
      <c r="O46" s="50">
        <f t="shared" si="2"/>
        <v>5887.1396787432795</v>
      </c>
      <c r="P46" s="50">
        <f t="shared" si="2"/>
        <v>6036.7414794469641</v>
      </c>
      <c r="Q46" s="50">
        <f t="shared" si="2"/>
        <v>6190.1454333810698</v>
      </c>
      <c r="R46" s="50">
        <f t="shared" si="2"/>
        <v>6347.4481867213717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" t="s">
        <v>69</v>
      </c>
      <c r="AH46" s="47">
        <v>-148.55681514931555</v>
      </c>
      <c r="AI46" s="47">
        <v>4.5476576066117005</v>
      </c>
      <c r="AJ46" s="47">
        <v>-235.21138400144173</v>
      </c>
      <c r="AK46" s="47">
        <v>10.433163826710523</v>
      </c>
      <c r="AM46" s="16"/>
      <c r="AN46" s="1">
        <v>1514.369983001696</v>
      </c>
      <c r="AO46" s="16">
        <v>21.222402164187937</v>
      </c>
      <c r="AP46" s="1">
        <v>7892.6486631594926</v>
      </c>
      <c r="AQ46" s="16">
        <v>344.29440628144715</v>
      </c>
    </row>
    <row r="47" spans="1:43" x14ac:dyDescent="0.25">
      <c r="A47" s="17" t="s">
        <v>44</v>
      </c>
      <c r="B47" s="17">
        <v>3</v>
      </c>
      <c r="C47" s="17">
        <v>3.0790228454203259</v>
      </c>
      <c r="D47" s="17">
        <v>3.1601272275400936</v>
      </c>
      <c r="E47" s="17">
        <v>3.2433679760102487</v>
      </c>
      <c r="F47" s="17">
        <v>3.3288013647467469</v>
      </c>
      <c r="G47" s="17">
        <v>3.4164851499738642</v>
      </c>
      <c r="H47" s="17">
        <v>3.506478609269605</v>
      </c>
      <c r="I47" s="17">
        <v>3.5988425816396026</v>
      </c>
      <c r="J47" s="17">
        <v>3.6936395086466005</v>
      </c>
      <c r="K47" s="17">
        <v>3.79093347662333</v>
      </c>
      <c r="L47" s="17">
        <v>3.8907902599973121</v>
      </c>
      <c r="M47" s="17">
        <v>3.9932773657568714</v>
      </c>
      <c r="N47" s="17">
        <v>4.0984640790884352</v>
      </c>
      <c r="O47" s="17">
        <v>4.2064215102159572</v>
      </c>
      <c r="P47" s="17">
        <v>4.3172226424741345</v>
      </c>
      <c r="Q47" s="17">
        <v>4.430942381647923</v>
      </c>
      <c r="R47" s="17">
        <v>4.5476576066117005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" t="s">
        <v>71</v>
      </c>
      <c r="AH47" s="47">
        <v>-63.667206492563821</v>
      </c>
      <c r="AI47" s="47">
        <v>0</v>
      </c>
      <c r="AJ47" s="47">
        <v>-78.403794667147253</v>
      </c>
      <c r="AK47" s="47">
        <v>5.2165819133552613</v>
      </c>
      <c r="AM47" s="16"/>
      <c r="AN47" s="1">
        <v>991.38935824135081</v>
      </c>
      <c r="AO47" s="49">
        <v>6.0635434754822679</v>
      </c>
      <c r="AP47" s="1">
        <v>4304.7416786295607</v>
      </c>
      <c r="AQ47" s="49">
        <v>161.71403931401304</v>
      </c>
    </row>
    <row r="48" spans="1:43" x14ac:dyDescent="0.25">
      <c r="A48" s="17" t="s">
        <v>46</v>
      </c>
      <c r="B48" s="17">
        <v>5.4592900070033901</v>
      </c>
      <c r="C48" s="17">
        <v>5.9546185794789404</v>
      </c>
      <c r="D48" s="17">
        <v>6.4999648565033903</v>
      </c>
      <c r="E48" s="17">
        <v>7.1005345501592672</v>
      </c>
      <c r="F48" s="17">
        <v>7.7620794213081545</v>
      </c>
      <c r="G48" s="17">
        <v>8.4909546700916376</v>
      </c>
      <c r="H48" s="17">
        <v>9.2941823612442747</v>
      </c>
      <c r="I48" s="17">
        <v>9.5306647224818626</v>
      </c>
      <c r="J48" s="17">
        <v>9.7731652463775269</v>
      </c>
      <c r="K48" s="17">
        <v>10.021837115375252</v>
      </c>
      <c r="L48" s="17">
        <v>10.276837411664895</v>
      </c>
      <c r="M48" s="17">
        <v>10.538327216481969</v>
      </c>
      <c r="N48" s="17">
        <v>10.806471711936396</v>
      </c>
      <c r="O48" s="17">
        <v>11.081440285434685</v>
      </c>
      <c r="P48" s="17">
        <v>11.36340663676156</v>
      </c>
      <c r="Q48" s="17">
        <v>11.652548887888862</v>
      </c>
      <c r="R48" s="17">
        <v>11.949049695581088</v>
      </c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" t="s">
        <v>73</v>
      </c>
      <c r="AH48" s="47">
        <v>-21.22240216418794</v>
      </c>
      <c r="AI48" s="47">
        <v>1.515885868870567</v>
      </c>
      <c r="AJ48" s="47">
        <v>-33.601626285920247</v>
      </c>
      <c r="AK48" s="47">
        <v>0</v>
      </c>
      <c r="AM48" s="16"/>
      <c r="AN48" s="1">
        <v>663.9580105653082</v>
      </c>
      <c r="AO48" s="16">
        <v>15.158858688705669</v>
      </c>
      <c r="AP48" s="1">
        <v>2176.6386805212787</v>
      </c>
      <c r="AQ48" s="16">
        <v>57.382401046907859</v>
      </c>
    </row>
    <row r="49" spans="1:68" x14ac:dyDescent="0.25">
      <c r="A49" s="17" t="s">
        <v>48</v>
      </c>
      <c r="B49" s="17">
        <v>4</v>
      </c>
      <c r="C49" s="17">
        <v>4.1053637938937682</v>
      </c>
      <c r="D49" s="17">
        <v>4.2135029700534581</v>
      </c>
      <c r="E49" s="17">
        <v>4.3244906346803313</v>
      </c>
      <c r="F49" s="17">
        <v>4.4384018196623289</v>
      </c>
      <c r="G49" s="17">
        <v>4.5553135332984853</v>
      </c>
      <c r="H49" s="17">
        <v>4.6753048123594736</v>
      </c>
      <c r="I49" s="17">
        <v>4.7984567755194698</v>
      </c>
      <c r="J49" s="17">
        <v>4.9248526781954673</v>
      </c>
      <c r="K49" s="17">
        <v>5.054577968831107</v>
      </c>
      <c r="L49" s="17">
        <v>5.1877203466630828</v>
      </c>
      <c r="M49" s="17">
        <v>5.3243698210091619</v>
      </c>
      <c r="N49" s="17">
        <v>5.4646187721179142</v>
      </c>
      <c r="O49" s="17">
        <v>5.6085620136212766</v>
      </c>
      <c r="P49" s="17">
        <v>5.7562968566321793</v>
      </c>
      <c r="Q49" s="17">
        <v>5.9079231755305637</v>
      </c>
      <c r="R49" s="17">
        <v>6.0635434754822679</v>
      </c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" t="s">
        <v>75</v>
      </c>
      <c r="AH49" s="47">
        <v>-7.5794293443528353</v>
      </c>
      <c r="AI49" s="47">
        <v>1.515885868870567</v>
      </c>
      <c r="AJ49" s="47">
        <v>-7.4670280635378337</v>
      </c>
      <c r="AK49" s="47">
        <v>2.6082909566776307</v>
      </c>
      <c r="AM49" s="16"/>
      <c r="AN49" s="1">
        <v>322.88369006943077</v>
      </c>
      <c r="AO49" s="16">
        <v>4.5476576066117005</v>
      </c>
      <c r="AP49" s="1">
        <v>802.70551683031726</v>
      </c>
      <c r="AQ49" s="16">
        <v>13.041454783388154</v>
      </c>
    </row>
    <row r="50" spans="1:68" x14ac:dyDescent="0.25">
      <c r="A50" s="17" t="s">
        <v>50</v>
      </c>
      <c r="B50" s="17">
        <v>93.741125087542386</v>
      </c>
      <c r="C50" s="17">
        <v>100.60442642955954</v>
      </c>
      <c r="D50" s="17">
        <v>108.11064214038318</v>
      </c>
      <c r="E50" s="17">
        <v>116.32530967307795</v>
      </c>
      <c r="F50" s="17">
        <v>125.32080436669928</v>
      </c>
      <c r="G50" s="17">
        <v>135.1770571509233</v>
      </c>
      <c r="H50" s="17">
        <v>145.98234769434507</v>
      </c>
      <c r="I50" s="17">
        <v>149.72347097495992</v>
      </c>
      <c r="J50" s="17">
        <v>153.5605014032152</v>
      </c>
      <c r="K50" s="17">
        <v>157.49589849348894</v>
      </c>
      <c r="L50" s="17">
        <v>161.5321848557883</v>
      </c>
      <c r="M50" s="17">
        <v>165.67194781495797</v>
      </c>
      <c r="N50" s="17">
        <v>169.91784107145662</v>
      </c>
      <c r="O50" s="17">
        <v>174.27258640476919</v>
      </c>
      <c r="P50" s="17">
        <v>178.73897542054962</v>
      </c>
      <c r="Q50" s="17">
        <v>183.31987134261809</v>
      </c>
      <c r="R50" s="17">
        <v>188.01821085096304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" t="s">
        <v>77</v>
      </c>
      <c r="AH50" s="22">
        <f>SUM(AH34:AH49)</f>
        <v>-20064.265360370824</v>
      </c>
      <c r="AI50" s="22">
        <f>SUM(AI34:AI49)</f>
        <v>598.77491820387377</v>
      </c>
      <c r="AJ50" s="22">
        <f>SUM(AJ34:AJ49)</f>
        <v>-78986.22285610321</v>
      </c>
      <c r="AK50" s="22">
        <f>SUM(AK34:AK49)</f>
        <v>5748.6732685174948</v>
      </c>
      <c r="AL50" s="16"/>
      <c r="AM50" s="16"/>
      <c r="AN50" s="1">
        <v>148.55681514931555</v>
      </c>
      <c r="AO50" s="16">
        <v>4.5476576066117005</v>
      </c>
      <c r="AP50" s="1">
        <v>235.21138400144173</v>
      </c>
      <c r="AQ50" s="16">
        <v>10.433163826710523</v>
      </c>
    </row>
    <row r="51" spans="1:68" x14ac:dyDescent="0.25">
      <c r="A51" s="17" t="s">
        <v>52</v>
      </c>
      <c r="B51" s="17">
        <v>659.44048078437959</v>
      </c>
      <c r="C51" s="17">
        <v>716.18164642836655</v>
      </c>
      <c r="D51" s="17">
        <v>778.55809956902124</v>
      </c>
      <c r="E51" s="17">
        <v>847.153757234002</v>
      </c>
      <c r="F51" s="17">
        <v>922.6137170224614</v>
      </c>
      <c r="G51" s="17">
        <v>1005.6506854498454</v>
      </c>
      <c r="H51" s="17">
        <v>1097.0520822076724</v>
      </c>
      <c r="I51" s="17">
        <v>1125.0159302242021</v>
      </c>
      <c r="J51" s="17">
        <v>1153.6927397326288</v>
      </c>
      <c r="K51" s="17">
        <v>1183.100692548001</v>
      </c>
      <c r="L51" s="17">
        <v>1213.2584342664254</v>
      </c>
      <c r="M51" s="17">
        <v>1244.1850860980903</v>
      </c>
      <c r="N51" s="17">
        <v>1275.9002570022915</v>
      </c>
      <c r="O51" s="17">
        <v>1308.4240561321394</v>
      </c>
      <c r="P51" s="17">
        <v>1341.7771055968806</v>
      </c>
      <c r="Q51" s="17">
        <v>1375.9805535499193</v>
      </c>
      <c r="R51" s="17">
        <v>1411.0560876108686</v>
      </c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">
        <v>63.667206492563821</v>
      </c>
      <c r="AO51" s="16">
        <v>0</v>
      </c>
      <c r="AP51" s="1">
        <v>78.403794667147253</v>
      </c>
      <c r="AQ51" s="16">
        <v>5.2165819133552613</v>
      </c>
    </row>
    <row r="52" spans="1:68" x14ac:dyDescent="0.25">
      <c r="A52" s="17" t="s">
        <v>54</v>
      </c>
      <c r="B52" s="17">
        <v>861.45717121158646</v>
      </c>
      <c r="C52" s="17">
        <v>944.96271552656094</v>
      </c>
      <c r="D52" s="17">
        <v>1037.0637335464769</v>
      </c>
      <c r="E52" s="17">
        <v>1138.6592965079365</v>
      </c>
      <c r="F52" s="17">
        <v>1250.7429021283174</v>
      </c>
      <c r="G52" s="17">
        <v>1374.4124021099099</v>
      </c>
      <c r="H52" s="17">
        <v>1510.8809736388</v>
      </c>
      <c r="I52" s="17">
        <v>1549.2370188973332</v>
      </c>
      <c r="J52" s="17">
        <v>1588.5668945507564</v>
      </c>
      <c r="K52" s="17">
        <v>1628.8953281066729</v>
      </c>
      <c r="L52" s="17">
        <v>1670.2476750247672</v>
      </c>
      <c r="M52" s="17">
        <v>1712.64993466544</v>
      </c>
      <c r="N52" s="17">
        <v>1756.1287666435496</v>
      </c>
      <c r="O52" s="17">
        <v>1800.7115075975582</v>
      </c>
      <c r="P52" s="17">
        <v>1846.4261883846318</v>
      </c>
      <c r="Q52" s="17">
        <v>1893.3015517125134</v>
      </c>
      <c r="R52" s="17">
        <v>1941.3670702192708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">
        <v>21.22240216418794</v>
      </c>
      <c r="AO52" s="16">
        <v>1.515885868870567</v>
      </c>
      <c r="AP52" s="1">
        <v>33.601626285920247</v>
      </c>
      <c r="AQ52" s="16">
        <v>0</v>
      </c>
    </row>
    <row r="53" spans="1:68" x14ac:dyDescent="0.25">
      <c r="A53" s="9" t="s">
        <v>56</v>
      </c>
      <c r="B53" s="17">
        <v>603.64089587892556</v>
      </c>
      <c r="C53" s="17">
        <v>663.6578444240215</v>
      </c>
      <c r="D53" s="17">
        <v>729.89546647633631</v>
      </c>
      <c r="E53" s="17">
        <v>803.0055893633762</v>
      </c>
      <c r="F53" s="17">
        <v>883.70853029855368</v>
      </c>
      <c r="G53" s="17">
        <v>972.8002978555437</v>
      </c>
      <c r="H53" s="17">
        <v>1071.1605507843324</v>
      </c>
      <c r="I53" s="17">
        <v>1098.3298658702645</v>
      </c>
      <c r="J53" s="17">
        <v>1126.1883651021469</v>
      </c>
      <c r="K53" s="17">
        <v>1154.7535318646603</v>
      </c>
      <c r="L53" s="17">
        <v>1184.0432931006837</v>
      </c>
      <c r="M53" s="17">
        <v>1214.0760305654251</v>
      </c>
      <c r="N53" s="17">
        <v>1244.870592366115</v>
      </c>
      <c r="O53" s="17">
        <v>1276.4463047945192</v>
      </c>
      <c r="P53" s="17">
        <v>1308.8229844596951</v>
      </c>
      <c r="Q53" s="17">
        <v>1342.0209507286165</v>
      </c>
      <c r="R53" s="17">
        <v>1376.0610384824749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">
        <v>6.0635434754822679</v>
      </c>
      <c r="AO53" s="16">
        <v>1.515885868870567</v>
      </c>
      <c r="AP53" s="1">
        <v>3.7335140317689168</v>
      </c>
      <c r="AQ53" s="16">
        <v>0</v>
      </c>
    </row>
    <row r="54" spans="1:68" x14ac:dyDescent="0.25">
      <c r="A54" s="9" t="s">
        <v>58</v>
      </c>
      <c r="B54" s="17">
        <v>331.15030049023727</v>
      </c>
      <c r="C54" s="17">
        <v>364.47991219138027</v>
      </c>
      <c r="D54" s="17">
        <v>401.27537708705574</v>
      </c>
      <c r="E54" s="17">
        <v>441.90016291897444</v>
      </c>
      <c r="F54" s="17">
        <v>486.75593629087626</v>
      </c>
      <c r="G54" s="17">
        <v>536.28657935685885</v>
      </c>
      <c r="H54" s="17">
        <v>590.98262892951584</v>
      </c>
      <c r="I54" s="17">
        <v>605.96620668585695</v>
      </c>
      <c r="J54" s="17">
        <v>621.3296955994349</v>
      </c>
      <c r="K54" s="17">
        <v>637.08272897367067</v>
      </c>
      <c r="L54" s="17">
        <v>653.23518439658812</v>
      </c>
      <c r="M54" s="17">
        <v>669.79718993587085</v>
      </c>
      <c r="N54" s="17">
        <v>686.77913049104427</v>
      </c>
      <c r="O54" s="17">
        <v>704.19165430675662</v>
      </c>
      <c r="P54" s="17">
        <v>722.04567965124886</v>
      </c>
      <c r="Q54" s="17">
        <v>740.35240166420544</v>
      </c>
      <c r="R54" s="17">
        <v>759.12329937827712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">
        <v>1.515885868870567</v>
      </c>
      <c r="AO54" s="16">
        <v>0</v>
      </c>
      <c r="AP54" s="1">
        <v>3.7335140317689168</v>
      </c>
      <c r="AQ54" s="16">
        <v>2.6082909566776307</v>
      </c>
    </row>
    <row r="55" spans="1:68" x14ac:dyDescent="0.25">
      <c r="A55" s="9" t="s">
        <v>60</v>
      </c>
      <c r="B55" s="17">
        <v>161.15657023111191</v>
      </c>
      <c r="C55" s="17">
        <v>177.00193510180958</v>
      </c>
      <c r="D55" s="17">
        <v>194.48470115685794</v>
      </c>
      <c r="E55" s="17">
        <v>213.77630964052423</v>
      </c>
      <c r="F55" s="17">
        <v>235.06621225977304</v>
      </c>
      <c r="G55" s="17">
        <v>258.56376482985627</v>
      </c>
      <c r="H55" s="17">
        <v>284.50032006235369</v>
      </c>
      <c r="I55" s="17">
        <v>291.7192661581841</v>
      </c>
      <c r="J55" s="17">
        <v>299.12140290902988</v>
      </c>
      <c r="K55" s="17">
        <v>306.71137945543546</v>
      </c>
      <c r="L55" s="17">
        <v>314.49396293829187</v>
      </c>
      <c r="M55" s="17">
        <v>322.47404149411142</v>
      </c>
      <c r="N55" s="17">
        <v>330.65662732634098</v>
      </c>
      <c r="O55" s="17">
        <v>339.04685985464346</v>
      </c>
      <c r="P55" s="17">
        <v>347.65000894412856</v>
      </c>
      <c r="Q55" s="17">
        <v>356.47147821656205</v>
      </c>
      <c r="R55" s="17">
        <v>365.51680844563509</v>
      </c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">
        <v>20064.265360370824</v>
      </c>
      <c r="AO55" s="1">
        <v>598.77491820387377</v>
      </c>
      <c r="AP55" s="1">
        <v>78986.222856103224</v>
      </c>
      <c r="AQ55" s="1">
        <v>5748.6732685174948</v>
      </c>
    </row>
    <row r="56" spans="1:68" x14ac:dyDescent="0.25">
      <c r="A56" s="9" t="s">
        <v>62</v>
      </c>
      <c r="B56" s="17">
        <v>73.118995108552568</v>
      </c>
      <c r="C56" s="17">
        <v>80.493667074478978</v>
      </c>
      <c r="D56" s="17">
        <v>88.635634236898824</v>
      </c>
      <c r="E56" s="17">
        <v>97.625374952762684</v>
      </c>
      <c r="F56" s="17">
        <v>107.55182579874719</v>
      </c>
      <c r="G56" s="17">
        <v>118.51327097818725</v>
      </c>
      <c r="H56" s="17">
        <v>130.61832526375281</v>
      </c>
      <c r="I56" s="17">
        <v>133.92973996885038</v>
      </c>
      <c r="J56" s="17">
        <v>137.32510986903969</v>
      </c>
      <c r="K56" s="17">
        <v>140.80656362792695</v>
      </c>
      <c r="L56" s="17">
        <v>144.37628388414953</v>
      </c>
      <c r="M56" s="17">
        <v>148.03650862006918</v>
      </c>
      <c r="N56" s="17">
        <v>151.78953256517514</v>
      </c>
      <c r="O56" s="17">
        <v>155.63770863507642</v>
      </c>
      <c r="P56" s="17">
        <v>159.58344940698666</v>
      </c>
      <c r="Q56" s="17">
        <v>163.62922863262693</v>
      </c>
      <c r="R56" s="17">
        <v>167.77758278949534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</row>
    <row r="57" spans="1:68" x14ac:dyDescent="0.25">
      <c r="A57" s="9" t="s">
        <v>64</v>
      </c>
      <c r="B57" s="17">
        <v>34.526095038518648</v>
      </c>
      <c r="C57" s="17">
        <v>37.368936455264659</v>
      </c>
      <c r="D57" s="17">
        <v>40.489997552078776</v>
      </c>
      <c r="E57" s="17">
        <v>43.917991989891348</v>
      </c>
      <c r="F57" s="17">
        <v>47.684638864314977</v>
      </c>
      <c r="G57" s="17">
        <v>51.824978410464787</v>
      </c>
      <c r="H57" s="17">
        <v>56.377720900747917</v>
      </c>
      <c r="I57" s="17">
        <v>57.816919846109641</v>
      </c>
      <c r="J57" s="17">
        <v>59.292868118046307</v>
      </c>
      <c r="K57" s="17">
        <v>60.80650434949888</v>
      </c>
      <c r="L57" s="17">
        <v>62.358791154152883</v>
      </c>
      <c r="M57" s="17">
        <v>63.950715739286125</v>
      </c>
      <c r="N57" s="17">
        <v>65.583290534282824</v>
      </c>
      <c r="O57" s="17">
        <v>67.257553835214694</v>
      </c>
      <c r="P57" s="17">
        <v>68.974570465899788</v>
      </c>
      <c r="Q57" s="17">
        <v>70.735432455860618</v>
      </c>
      <c r="R57" s="17">
        <v>72.541259735613536</v>
      </c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</row>
    <row r="58" spans="1:68" x14ac:dyDescent="0.25">
      <c r="A58" s="9" t="s">
        <v>66</v>
      </c>
      <c r="B58" s="17">
        <v>8.5741125087542365</v>
      </c>
      <c r="C58" s="17">
        <v>9.239369884177199</v>
      </c>
      <c r="D58" s="17">
        <v>9.968363620027624</v>
      </c>
      <c r="E58" s="17">
        <v>10.767632840371729</v>
      </c>
      <c r="F58" s="17">
        <v>11.644400072737465</v>
      </c>
      <c r="G58" s="17">
        <v>12.606643008432636</v>
      </c>
      <c r="H58" s="17">
        <v>13.663173806962611</v>
      </c>
      <c r="I58" s="17">
        <v>14.012655742392095</v>
      </c>
      <c r="J58" s="17">
        <v>14.371079604682429</v>
      </c>
      <c r="K58" s="17">
        <v>14.738674255582673</v>
      </c>
      <c r="L58" s="17">
        <v>15.115674416246218</v>
      </c>
      <c r="M58" s="17">
        <v>15.502320817293969</v>
      </c>
      <c r="N58" s="17">
        <v>15.898860352722084</v>
      </c>
      <c r="O58" s="17">
        <v>16.305546237752662</v>
      </c>
      <c r="P58" s="17">
        <v>16.72263817072853</v>
      </c>
      <c r="Q58" s="17">
        <v>17.1504024991557</v>
      </c>
      <c r="R58" s="17">
        <v>17.589112389999855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</row>
    <row r="59" spans="1:68" x14ac:dyDescent="0.25">
      <c r="A59" s="9" t="s">
        <v>68</v>
      </c>
      <c r="B59" s="17">
        <v>7.4592900070033901</v>
      </c>
      <c r="C59" s="17">
        <v>8.007300476425824</v>
      </c>
      <c r="D59" s="17">
        <v>8.6067163415301184</v>
      </c>
      <c r="E59" s="17">
        <v>9.2627798674994324</v>
      </c>
      <c r="F59" s="17">
        <v>9.9812803311393186</v>
      </c>
      <c r="G59" s="17">
        <v>10.76861143674088</v>
      </c>
      <c r="H59" s="17">
        <v>11.63183476742401</v>
      </c>
      <c r="I59" s="17">
        <v>11.929893110241597</v>
      </c>
      <c r="J59" s="17">
        <v>12.235591585475262</v>
      </c>
      <c r="K59" s="17">
        <v>12.549126099790804</v>
      </c>
      <c r="L59" s="17">
        <v>12.870697584996435</v>
      </c>
      <c r="M59" s="17">
        <v>13.200512126986551</v>
      </c>
      <c r="N59" s="17">
        <v>13.538781097995354</v>
      </c>
      <c r="O59" s="17">
        <v>13.885721292245321</v>
      </c>
      <c r="P59" s="17">
        <v>14.241555065077652</v>
      </c>
      <c r="Q59" s="17">
        <v>14.606510475654144</v>
      </c>
      <c r="R59" s="17">
        <v>14.980821433322223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</row>
    <row r="60" spans="1:68" x14ac:dyDescent="0.25">
      <c r="A60" s="9" t="s">
        <v>70</v>
      </c>
      <c r="B60" s="17">
        <v>2.229645003501695</v>
      </c>
      <c r="C60" s="17">
        <v>2.464138815502749</v>
      </c>
      <c r="D60" s="17">
        <v>2.7232945569950124</v>
      </c>
      <c r="E60" s="17">
        <v>3.0097059457445923</v>
      </c>
      <c r="F60" s="17">
        <v>3.3262394831962867</v>
      </c>
      <c r="G60" s="17">
        <v>3.6760631433835083</v>
      </c>
      <c r="H60" s="17">
        <v>4.0626780790772035</v>
      </c>
      <c r="I60" s="17">
        <v>4.1655252643009977</v>
      </c>
      <c r="J60" s="17">
        <v>4.2709760384143305</v>
      </c>
      <c r="K60" s="17">
        <v>4.3790963115837371</v>
      </c>
      <c r="L60" s="17">
        <v>4.4899536624995617</v>
      </c>
      <c r="M60" s="17">
        <v>4.603617380614839</v>
      </c>
      <c r="N60" s="17">
        <v>4.7201585094534595</v>
      </c>
      <c r="O60" s="17">
        <v>4.8396498910146821</v>
      </c>
      <c r="P60" s="17">
        <v>4.9621662113017582</v>
      </c>
      <c r="Q60" s="17">
        <v>5.0877840470031108</v>
      </c>
      <c r="R60" s="17">
        <v>5.2165819133552613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</row>
    <row r="61" spans="1:68" x14ac:dyDescent="0.25">
      <c r="A61" s="9" t="s">
        <v>72</v>
      </c>
      <c r="B61" s="17">
        <v>1</v>
      </c>
      <c r="C61" s="17">
        <v>1.026340948473442</v>
      </c>
      <c r="D61" s="17">
        <v>1.0533757425133645</v>
      </c>
      <c r="E61" s="17">
        <v>1.0811226586700828</v>
      </c>
      <c r="F61" s="17">
        <v>1.1096004549155822</v>
      </c>
      <c r="G61" s="17">
        <v>1.1388283833246213</v>
      </c>
      <c r="H61" s="17">
        <v>1.1688262030898684</v>
      </c>
      <c r="I61" s="17">
        <v>1.1996141938798675</v>
      </c>
      <c r="J61" s="17">
        <v>1.2312131695488668</v>
      </c>
      <c r="K61" s="17">
        <v>1.2636444922077767</v>
      </c>
      <c r="L61" s="17">
        <v>1.2969300866657707</v>
      </c>
      <c r="M61" s="17">
        <v>1.3310924552522905</v>
      </c>
      <c r="N61" s="17">
        <v>1.3661546930294786</v>
      </c>
      <c r="O61" s="17">
        <v>1.4021405034053191</v>
      </c>
      <c r="P61" s="17">
        <v>1.4390742141580448</v>
      </c>
      <c r="Q61" s="17">
        <v>1.4769807938826409</v>
      </c>
      <c r="R61" s="17">
        <v>1.515885868870567</v>
      </c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</row>
    <row r="62" spans="1:68" x14ac:dyDescent="0.25">
      <c r="A62" s="9" t="s">
        <v>74</v>
      </c>
      <c r="B62" s="17">
        <v>1</v>
      </c>
      <c r="C62" s="17">
        <v>1.026340948473442</v>
      </c>
      <c r="D62" s="17">
        <v>1.0533757425133645</v>
      </c>
      <c r="E62" s="17">
        <v>1.0811226586700828</v>
      </c>
      <c r="F62" s="17">
        <v>1.1096004549155822</v>
      </c>
      <c r="G62" s="17">
        <v>1.1388283833246213</v>
      </c>
      <c r="H62" s="17">
        <v>1.1688262030898684</v>
      </c>
      <c r="I62" s="17">
        <v>1.1996141938798675</v>
      </c>
      <c r="J62" s="17">
        <v>1.2312131695488668</v>
      </c>
      <c r="K62" s="17">
        <v>1.2636444922077767</v>
      </c>
      <c r="L62" s="17">
        <v>1.2969300866657707</v>
      </c>
      <c r="M62" s="17">
        <v>1.3310924552522905</v>
      </c>
      <c r="N62" s="17">
        <v>1.3661546930294786</v>
      </c>
      <c r="O62" s="17">
        <v>1.4021405034053191</v>
      </c>
      <c r="P62" s="17">
        <v>1.4390742141580448</v>
      </c>
      <c r="Q62" s="17">
        <v>1.4769807938826409</v>
      </c>
      <c r="R62" s="17">
        <v>1.515885868870567</v>
      </c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</row>
    <row r="63" spans="1:68" x14ac:dyDescent="0.25">
      <c r="A63" s="20" t="s">
        <v>76</v>
      </c>
      <c r="B63" s="39">
        <v>1.1148225017508475</v>
      </c>
      <c r="C63" s="39">
        <v>1.2320694077513745</v>
      </c>
      <c r="D63" s="39">
        <v>1.3616472784975062</v>
      </c>
      <c r="E63" s="39">
        <v>1.5048529728722961</v>
      </c>
      <c r="F63" s="39">
        <v>1.6631197415981434</v>
      </c>
      <c r="G63" s="39">
        <v>1.8380315716917541</v>
      </c>
      <c r="H63" s="39">
        <v>2.0313390395386017</v>
      </c>
      <c r="I63" s="39">
        <v>2.0827626321504988</v>
      </c>
      <c r="J63" s="39">
        <v>2.1354880192071652</v>
      </c>
      <c r="K63" s="39">
        <v>2.1895481557918686</v>
      </c>
      <c r="L63" s="39">
        <v>2.2449768312497809</v>
      </c>
      <c r="M63" s="39">
        <v>2.3018086903074195</v>
      </c>
      <c r="N63" s="39">
        <v>2.3600792547267297</v>
      </c>
      <c r="O63" s="39">
        <v>2.4198249455073411</v>
      </c>
      <c r="P63" s="39">
        <v>2.4810831056508791</v>
      </c>
      <c r="Q63" s="39">
        <v>2.5438920235015554</v>
      </c>
      <c r="R63" s="39">
        <v>2.6082909566776307</v>
      </c>
      <c r="T63" s="16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O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</row>
    <row r="64" spans="1:68" x14ac:dyDescent="0.25">
      <c r="A64" s="9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O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</row>
    <row r="65" spans="1:68" ht="18.75" x14ac:dyDescent="0.5">
      <c r="A65" s="134" t="s">
        <v>81</v>
      </c>
      <c r="B65" s="134"/>
      <c r="C65" s="134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7" t="s">
        <v>109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O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</row>
    <row r="66" spans="1:68" s="48" customFormat="1" x14ac:dyDescent="0.2">
      <c r="A66" s="11" t="s">
        <v>43</v>
      </c>
      <c r="B66" s="12">
        <v>2014</v>
      </c>
      <c r="C66" s="12">
        <v>2015</v>
      </c>
      <c r="D66" s="12">
        <v>2016</v>
      </c>
      <c r="E66" s="12">
        <v>2017</v>
      </c>
      <c r="F66" s="12">
        <v>2018</v>
      </c>
      <c r="G66" s="12">
        <v>2019</v>
      </c>
      <c r="H66" s="12">
        <v>2020</v>
      </c>
      <c r="I66" s="12">
        <v>2021</v>
      </c>
      <c r="J66" s="12">
        <v>2022</v>
      </c>
      <c r="K66" s="12">
        <v>2023</v>
      </c>
      <c r="L66" s="12">
        <v>2024</v>
      </c>
      <c r="M66" s="12">
        <v>2025</v>
      </c>
      <c r="N66" s="12">
        <v>2026</v>
      </c>
      <c r="O66" s="12">
        <v>2027</v>
      </c>
      <c r="P66" s="12">
        <v>2028</v>
      </c>
      <c r="Q66" s="12">
        <v>2029</v>
      </c>
      <c r="R66" s="12">
        <v>2030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O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</row>
    <row r="67" spans="1:68" x14ac:dyDescent="0.25">
      <c r="A67" s="41" t="s">
        <v>2</v>
      </c>
      <c r="B67" s="50">
        <f>SUM(B68:B84)</f>
        <v>13631</v>
      </c>
      <c r="C67" s="50">
        <f t="shared" ref="C67:R67" si="3">SUM(C68:C84)</f>
        <v>13990.053468641485</v>
      </c>
      <c r="D67" s="50">
        <f t="shared" si="3"/>
        <v>14358.56474619967</v>
      </c>
      <c r="E67" s="50">
        <f t="shared" si="3"/>
        <v>14736.782960331902</v>
      </c>
      <c r="F67" s="50">
        <f t="shared" si="3"/>
        <v>15124.963800954303</v>
      </c>
      <c r="G67" s="50">
        <f t="shared" si="3"/>
        <v>15523.369693097915</v>
      </c>
      <c r="H67" s="50">
        <f t="shared" si="3"/>
        <v>15932.269974317995</v>
      </c>
      <c r="I67" s="50">
        <f t="shared" si="3"/>
        <v>16351.941076776477</v>
      </c>
      <c r="J67" s="50">
        <f t="shared" si="3"/>
        <v>16782.666714120605</v>
      </c>
      <c r="K67" s="50">
        <f t="shared" si="3"/>
        <v>17224.738073284207</v>
      </c>
      <c r="L67" s="50">
        <f t="shared" si="3"/>
        <v>17678.454011341124</v>
      </c>
      <c r="M67" s="50">
        <f t="shared" si="3"/>
        <v>18144.121257543968</v>
      </c>
      <c r="N67" s="50">
        <f t="shared" si="3"/>
        <v>18622.054620684823</v>
      </c>
      <c r="O67" s="50">
        <f t="shared" si="3"/>
        <v>19112.577201917902</v>
      </c>
      <c r="P67" s="50">
        <f t="shared" si="3"/>
        <v>19616.020613188302</v>
      </c>
      <c r="Q67" s="50">
        <f t="shared" si="3"/>
        <v>20132.725201414283</v>
      </c>
      <c r="R67" s="50">
        <f t="shared" si="3"/>
        <v>20663.040278574696</v>
      </c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O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</row>
    <row r="68" spans="1:68" x14ac:dyDescent="0.25">
      <c r="A68" s="17" t="s">
        <v>44</v>
      </c>
      <c r="B68" s="17">
        <v>6</v>
      </c>
      <c r="C68" s="17">
        <v>6.1580456908406518</v>
      </c>
      <c r="D68" s="17">
        <v>6.3202544550801871</v>
      </c>
      <c r="E68" s="17">
        <v>6.4867359520204975</v>
      </c>
      <c r="F68" s="17">
        <v>6.6576027294934939</v>
      </c>
      <c r="G68" s="17">
        <v>6.8329702999477284</v>
      </c>
      <c r="H68" s="17">
        <v>7.0129572185392099</v>
      </c>
      <c r="I68" s="17">
        <v>7.1976851632792052</v>
      </c>
      <c r="J68" s="17">
        <v>7.387279017293201</v>
      </c>
      <c r="K68" s="17">
        <v>7.58186695324666</v>
      </c>
      <c r="L68" s="17">
        <v>7.7815805199946242</v>
      </c>
      <c r="M68" s="17">
        <v>7.9865547315137428</v>
      </c>
      <c r="N68" s="17">
        <v>8.1969281581768705</v>
      </c>
      <c r="O68" s="17">
        <v>8.4128430204319145</v>
      </c>
      <c r="P68" s="17">
        <v>8.6344452849482689</v>
      </c>
      <c r="Q68" s="17">
        <v>8.861884763295846</v>
      </c>
      <c r="R68" s="17">
        <v>9.095315213223401</v>
      </c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O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</row>
    <row r="69" spans="1:68" x14ac:dyDescent="0.25">
      <c r="A69" s="17" t="s">
        <v>46</v>
      </c>
      <c r="B69" s="17">
        <v>6</v>
      </c>
      <c r="C69" s="17">
        <v>6.1580456908406518</v>
      </c>
      <c r="D69" s="17">
        <v>6.3202544550801871</v>
      </c>
      <c r="E69" s="17">
        <v>6.4867359520204975</v>
      </c>
      <c r="F69" s="17">
        <v>6.657602729493493</v>
      </c>
      <c r="G69" s="17">
        <v>6.8329702999477284</v>
      </c>
      <c r="H69" s="17">
        <v>7.0129572185392099</v>
      </c>
      <c r="I69" s="17">
        <v>7.1976851632792052</v>
      </c>
      <c r="J69" s="17">
        <v>7.387279017293201</v>
      </c>
      <c r="K69" s="17">
        <v>7.58186695324666</v>
      </c>
      <c r="L69" s="17">
        <v>7.7815805199946242</v>
      </c>
      <c r="M69" s="17">
        <v>7.9865547315137428</v>
      </c>
      <c r="N69" s="17">
        <v>8.1969281581768705</v>
      </c>
      <c r="O69" s="17">
        <v>8.4128430204319145</v>
      </c>
      <c r="P69" s="17">
        <v>8.6344452849482671</v>
      </c>
      <c r="Q69" s="17">
        <v>8.8618847632958442</v>
      </c>
      <c r="R69" s="17">
        <v>9.095315213223401</v>
      </c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O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</row>
    <row r="70" spans="1:68" x14ac:dyDescent="0.25">
      <c r="A70" s="17" t="s">
        <v>48</v>
      </c>
      <c r="B70" s="17">
        <v>8</v>
      </c>
      <c r="C70" s="17">
        <v>8.2107275877875363</v>
      </c>
      <c r="D70" s="17">
        <v>8.4270059401069162</v>
      </c>
      <c r="E70" s="17">
        <v>8.6489812693606627</v>
      </c>
      <c r="F70" s="17">
        <v>8.8768036393246579</v>
      </c>
      <c r="G70" s="17">
        <v>9.1106270665969706</v>
      </c>
      <c r="H70" s="17">
        <v>9.3506096247189472</v>
      </c>
      <c r="I70" s="17">
        <v>9.5969135510389414</v>
      </c>
      <c r="J70" s="17">
        <v>9.8497053563909347</v>
      </c>
      <c r="K70" s="17">
        <v>10.109155937662214</v>
      </c>
      <c r="L70" s="17">
        <v>10.375440693326166</v>
      </c>
      <c r="M70" s="17">
        <v>10.648739642018324</v>
      </c>
      <c r="N70" s="17">
        <v>10.929237544235828</v>
      </c>
      <c r="O70" s="17">
        <v>11.217124027242553</v>
      </c>
      <c r="P70" s="17">
        <v>11.512593713264359</v>
      </c>
      <c r="Q70" s="17">
        <v>11.815846351061126</v>
      </c>
      <c r="R70" s="17">
        <v>12.127086950964536</v>
      </c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O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</row>
    <row r="71" spans="1:68" x14ac:dyDescent="0.25">
      <c r="A71" s="17" t="s">
        <v>50</v>
      </c>
      <c r="B71" s="17">
        <v>811</v>
      </c>
      <c r="C71" s="17">
        <v>832.36250921196142</v>
      </c>
      <c r="D71" s="17">
        <v>854.28772717833863</v>
      </c>
      <c r="E71" s="17">
        <v>876.79047618143738</v>
      </c>
      <c r="F71" s="17">
        <v>899.88596893653698</v>
      </c>
      <c r="G71" s="17">
        <v>923.58981887626783</v>
      </c>
      <c r="H71" s="17">
        <v>947.9180507058835</v>
      </c>
      <c r="I71" s="17">
        <v>972.88711123657265</v>
      </c>
      <c r="J71" s="17">
        <v>998.51388050413107</v>
      </c>
      <c r="K71" s="17">
        <v>1024.815683180507</v>
      </c>
      <c r="L71" s="17">
        <v>1051.81030028594</v>
      </c>
      <c r="M71" s="17">
        <v>1079.5159812096074</v>
      </c>
      <c r="N71" s="17">
        <v>1107.951456046907</v>
      </c>
      <c r="O71" s="17">
        <v>1137.1359482617138</v>
      </c>
      <c r="P71" s="17">
        <v>1167.089187682174</v>
      </c>
      <c r="Q71" s="17">
        <v>1197.8314238388216</v>
      </c>
      <c r="R71" s="17">
        <v>1229.3834396540294</v>
      </c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O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</row>
    <row r="72" spans="1:68" x14ac:dyDescent="0.25">
      <c r="A72" s="17" t="s">
        <v>52</v>
      </c>
      <c r="B72" s="17">
        <v>3609</v>
      </c>
      <c r="C72" s="17">
        <v>3704.0644830406518</v>
      </c>
      <c r="D72" s="17">
        <v>3801.6330547307325</v>
      </c>
      <c r="E72" s="17">
        <v>3901.7716751403291</v>
      </c>
      <c r="F72" s="17">
        <v>4004.5480417903354</v>
      </c>
      <c r="G72" s="17">
        <v>4110.0316354185579</v>
      </c>
      <c r="H72" s="17">
        <v>4218.2937669513358</v>
      </c>
      <c r="I72" s="17">
        <v>4329.4076257124425</v>
      </c>
      <c r="J72" s="17">
        <v>4443.4483289018608</v>
      </c>
      <c r="K72" s="17">
        <v>4560.4929723778678</v>
      </c>
      <c r="L72" s="17">
        <v>4680.6206827767683</v>
      </c>
      <c r="M72" s="17">
        <v>4803.912671005517</v>
      </c>
      <c r="N72" s="17">
        <v>4930.4522871433892</v>
      </c>
      <c r="O72" s="17">
        <v>5060.3250767897971</v>
      </c>
      <c r="P72" s="17">
        <v>5193.6188388963847</v>
      </c>
      <c r="Q72" s="17">
        <v>5330.4236851224514</v>
      </c>
      <c r="R72" s="17">
        <v>5470.8321007538771</v>
      </c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O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</row>
    <row r="73" spans="1:68" x14ac:dyDescent="0.25">
      <c r="A73" s="17" t="s">
        <v>54</v>
      </c>
      <c r="B73" s="17">
        <v>3138</v>
      </c>
      <c r="C73" s="17">
        <v>3220.6578963096604</v>
      </c>
      <c r="D73" s="17">
        <v>3305.4930800069383</v>
      </c>
      <c r="E73" s="17">
        <v>3392.56290290672</v>
      </c>
      <c r="F73" s="17">
        <v>3481.9262275250971</v>
      </c>
      <c r="G73" s="17">
        <v>3573.6434668726615</v>
      </c>
      <c r="H73" s="17">
        <v>3667.7766252960073</v>
      </c>
      <c r="I73" s="17">
        <v>3764.3893403950251</v>
      </c>
      <c r="J73" s="17">
        <v>3863.5469260443451</v>
      </c>
      <c r="K73" s="17">
        <v>3965.3164165480034</v>
      </c>
      <c r="L73" s="17">
        <v>4069.7666119571891</v>
      </c>
      <c r="M73" s="17">
        <v>4176.9681245816882</v>
      </c>
      <c r="N73" s="17">
        <v>4286.9934267265044</v>
      </c>
      <c r="O73" s="17">
        <v>4399.9168996858916</v>
      </c>
      <c r="P73" s="17">
        <v>4515.8148840279437</v>
      </c>
      <c r="Q73" s="17">
        <v>4634.7657312037281</v>
      </c>
      <c r="R73" s="17">
        <v>4756.8498565158397</v>
      </c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O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</row>
    <row r="74" spans="1:68" x14ac:dyDescent="0.25">
      <c r="A74" s="9" t="s">
        <v>56</v>
      </c>
      <c r="B74" s="17">
        <v>2196</v>
      </c>
      <c r="C74" s="17">
        <v>2253.8447228476789</v>
      </c>
      <c r="D74" s="17">
        <v>2313.2131305593484</v>
      </c>
      <c r="E74" s="17">
        <v>2374.1453584395022</v>
      </c>
      <c r="F74" s="17">
        <v>2436.6825989946192</v>
      </c>
      <c r="G74" s="17">
        <v>2500.8671297808687</v>
      </c>
      <c r="H74" s="17">
        <v>2566.7423419853508</v>
      </c>
      <c r="I74" s="17">
        <v>2634.3527697601889</v>
      </c>
      <c r="J74" s="17">
        <v>2703.744120329312</v>
      </c>
      <c r="K74" s="17">
        <v>2774.9633048882779</v>
      </c>
      <c r="L74" s="17">
        <v>2848.058470318033</v>
      </c>
      <c r="M74" s="17">
        <v>2923.0790317340297</v>
      </c>
      <c r="N74" s="17">
        <v>3000.0757058927356</v>
      </c>
      <c r="O74" s="17">
        <v>3079.1005454780793</v>
      </c>
      <c r="P74" s="17">
        <v>3160.2069742910667</v>
      </c>
      <c r="Q74" s="17">
        <v>3243.4498233662789</v>
      </c>
      <c r="R74" s="17">
        <v>3328.8853680397651</v>
      </c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</row>
    <row r="75" spans="1:68" x14ac:dyDescent="0.25">
      <c r="A75" s="9" t="s">
        <v>58</v>
      </c>
      <c r="B75" s="17">
        <v>1358</v>
      </c>
      <c r="C75" s="17">
        <v>1393.7710080269339</v>
      </c>
      <c r="D75" s="17">
        <v>1430.484258333149</v>
      </c>
      <c r="E75" s="17">
        <v>1468.1645704739728</v>
      </c>
      <c r="F75" s="17">
        <v>1506.8374177753606</v>
      </c>
      <c r="G75" s="17">
        <v>1546.5289445548356</v>
      </c>
      <c r="H75" s="17">
        <v>1587.2659837960416</v>
      </c>
      <c r="I75" s="17">
        <v>1629.0760752888607</v>
      </c>
      <c r="J75" s="17">
        <v>1671.9874842473619</v>
      </c>
      <c r="K75" s="17">
        <v>1716.0292204181612</v>
      </c>
      <c r="L75" s="17">
        <v>1761.231057692117</v>
      </c>
      <c r="M75" s="17">
        <v>1807.623554232611</v>
      </c>
      <c r="N75" s="17">
        <v>1855.238073134032</v>
      </c>
      <c r="O75" s="17">
        <v>1904.1068036244235</v>
      </c>
      <c r="P75" s="17">
        <v>1954.262782826625</v>
      </c>
      <c r="Q75" s="17">
        <v>2005.7399180926263</v>
      </c>
      <c r="R75" s="17">
        <v>2058.5730099262296</v>
      </c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</row>
    <row r="76" spans="1:68" x14ac:dyDescent="0.25">
      <c r="A76" s="9" t="s">
        <v>60</v>
      </c>
      <c r="B76" s="17">
        <v>1013</v>
      </c>
      <c r="C76" s="17">
        <v>1039.6833808035967</v>
      </c>
      <c r="D76" s="17">
        <v>1067.0696271660386</v>
      </c>
      <c r="E76" s="17">
        <v>1095.1772532327939</v>
      </c>
      <c r="F76" s="17">
        <v>1124.025260829485</v>
      </c>
      <c r="G76" s="17">
        <v>1153.6331523078416</v>
      </c>
      <c r="H76" s="17">
        <v>1184.0209437300371</v>
      </c>
      <c r="I76" s="17">
        <v>1215.2091784003062</v>
      </c>
      <c r="J76" s="17">
        <v>1247.218940753002</v>
      </c>
      <c r="K76" s="17">
        <v>1280.0718706064783</v>
      </c>
      <c r="L76" s="17">
        <v>1313.790177792426</v>
      </c>
      <c r="M76" s="17">
        <v>1348.3966571705705</v>
      </c>
      <c r="N76" s="17">
        <v>1383.9147040388618</v>
      </c>
      <c r="O76" s="17">
        <v>1420.3683299495879</v>
      </c>
      <c r="P76" s="17">
        <v>1457.7821789420993</v>
      </c>
      <c r="Q76" s="17">
        <v>1496.181544203115</v>
      </c>
      <c r="R76" s="17">
        <v>1535.5923851658843</v>
      </c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</row>
    <row r="77" spans="1:68" x14ac:dyDescent="0.25">
      <c r="A77" s="9" t="s">
        <v>62</v>
      </c>
      <c r="B77" s="17">
        <v>658</v>
      </c>
      <c r="C77" s="17">
        <v>675.33234409552483</v>
      </c>
      <c r="D77" s="17">
        <v>693.12123857379402</v>
      </c>
      <c r="E77" s="17">
        <v>711.37870940491462</v>
      </c>
      <c r="F77" s="17">
        <v>730.1170993344532</v>
      </c>
      <c r="G77" s="17">
        <v>749.34907622760079</v>
      </c>
      <c r="H77" s="17">
        <v>769.08764163313333</v>
      </c>
      <c r="I77" s="17">
        <v>789.34613957295289</v>
      </c>
      <c r="J77" s="17">
        <v>810.1382655631545</v>
      </c>
      <c r="K77" s="17">
        <v>831.47807587271711</v>
      </c>
      <c r="L77" s="17">
        <v>853.37999702607726</v>
      </c>
      <c r="M77" s="17">
        <v>875.85883555600731</v>
      </c>
      <c r="N77" s="17">
        <v>898.929788013397</v>
      </c>
      <c r="O77" s="17">
        <v>922.60845124069988</v>
      </c>
      <c r="P77" s="17">
        <v>946.9108329159933</v>
      </c>
      <c r="Q77" s="17">
        <v>971.85336237477793</v>
      </c>
      <c r="R77" s="17">
        <v>997.45290171683314</v>
      </c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</row>
    <row r="78" spans="1:68" x14ac:dyDescent="0.25">
      <c r="A78" s="9" t="s">
        <v>64</v>
      </c>
      <c r="B78" s="17">
        <v>448</v>
      </c>
      <c r="C78" s="17">
        <v>459.80074491610208</v>
      </c>
      <c r="D78" s="17">
        <v>471.91233264598742</v>
      </c>
      <c r="E78" s="17">
        <v>484.34295108419707</v>
      </c>
      <c r="F78" s="17">
        <v>497.10100380218091</v>
      </c>
      <c r="G78" s="17">
        <v>510.19511572943043</v>
      </c>
      <c r="H78" s="17">
        <v>523.63413898426109</v>
      </c>
      <c r="I78" s="17">
        <v>537.42715885818063</v>
      </c>
      <c r="J78" s="17">
        <v>551.5834999578924</v>
      </c>
      <c r="K78" s="17">
        <v>566.11273250908403</v>
      </c>
      <c r="L78" s="17">
        <v>581.02467882626524</v>
      </c>
      <c r="M78" s="17">
        <v>596.3294199530261</v>
      </c>
      <c r="N78" s="17">
        <v>612.03730247720637</v>
      </c>
      <c r="O78" s="17">
        <v>628.15894552558291</v>
      </c>
      <c r="P78" s="17">
        <v>644.70524794280379</v>
      </c>
      <c r="Q78" s="17">
        <v>661.68739565942315</v>
      </c>
      <c r="R78" s="17">
        <v>679.11686925401398</v>
      </c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</row>
    <row r="79" spans="1:68" x14ac:dyDescent="0.25">
      <c r="A79" s="9" t="s">
        <v>66</v>
      </c>
      <c r="B79" s="17">
        <v>216</v>
      </c>
      <c r="C79" s="17">
        <v>221.68964487026349</v>
      </c>
      <c r="D79" s="17">
        <v>227.52916038288674</v>
      </c>
      <c r="E79" s="17">
        <v>233.52249427273793</v>
      </c>
      <c r="F79" s="17">
        <v>239.67369826176574</v>
      </c>
      <c r="G79" s="17">
        <v>245.98693079811821</v>
      </c>
      <c r="H79" s="17">
        <v>252.4664598674116</v>
      </c>
      <c r="I79" s="17">
        <v>259.11666587805144</v>
      </c>
      <c r="J79" s="17">
        <v>265.94204462255533</v>
      </c>
      <c r="K79" s="17">
        <v>272.94721031687988</v>
      </c>
      <c r="L79" s="17">
        <v>280.13689871980648</v>
      </c>
      <c r="M79" s="17">
        <v>287.5159703344948</v>
      </c>
      <c r="N79" s="17">
        <v>295.08941369436741</v>
      </c>
      <c r="O79" s="17">
        <v>302.86234873554895</v>
      </c>
      <c r="P79" s="17">
        <v>310.84003025813757</v>
      </c>
      <c r="Q79" s="17">
        <v>319.02785147865046</v>
      </c>
      <c r="R79" s="17">
        <v>327.43134767604249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</row>
    <row r="80" spans="1:68" x14ac:dyDescent="0.25">
      <c r="A80" s="9" t="s">
        <v>68</v>
      </c>
      <c r="B80" s="17">
        <v>101</v>
      </c>
      <c r="C80" s="17">
        <v>103.66043579581763</v>
      </c>
      <c r="D80" s="17">
        <v>106.39094999384986</v>
      </c>
      <c r="E80" s="17">
        <v>109.19338852567837</v>
      </c>
      <c r="F80" s="17">
        <v>112.06964594647377</v>
      </c>
      <c r="G80" s="17">
        <v>115.02166671578676</v>
      </c>
      <c r="H80" s="17">
        <v>118.05144651207674</v>
      </c>
      <c r="I80" s="17">
        <v>121.16103358186663</v>
      </c>
      <c r="J80" s="17">
        <v>124.35253012443556</v>
      </c>
      <c r="K80" s="17">
        <v>127.62809371298543</v>
      </c>
      <c r="L80" s="17">
        <v>130.98993875324282</v>
      </c>
      <c r="M80" s="17">
        <v>134.44033798048136</v>
      </c>
      <c r="N80" s="17">
        <v>137.98162399597732</v>
      </c>
      <c r="O80" s="17">
        <v>141.61619084393723</v>
      </c>
      <c r="P80" s="17">
        <v>145.3464956299625</v>
      </c>
      <c r="Q80" s="17">
        <v>149.17506018214675</v>
      </c>
      <c r="R80" s="17">
        <v>153.10447275592728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</row>
    <row r="81" spans="1:68" x14ac:dyDescent="0.25">
      <c r="A81" s="9" t="s">
        <v>70</v>
      </c>
      <c r="B81" s="17">
        <v>42</v>
      </c>
      <c r="C81" s="17">
        <v>43.106319835884555</v>
      </c>
      <c r="D81" s="17">
        <v>44.241781185561315</v>
      </c>
      <c r="E81" s="17">
        <v>45.407151664143477</v>
      </c>
      <c r="F81" s="17">
        <v>46.603219106454439</v>
      </c>
      <c r="G81" s="17">
        <v>47.83079209963411</v>
      </c>
      <c r="H81" s="17">
        <v>49.09070052977448</v>
      </c>
      <c r="I81" s="17">
        <v>50.383796142954438</v>
      </c>
      <c r="J81" s="17">
        <v>51.710953121052405</v>
      </c>
      <c r="K81" s="17">
        <v>53.07306867272662</v>
      </c>
      <c r="L81" s="17">
        <v>54.47106363996236</v>
      </c>
      <c r="M81" s="17">
        <v>55.905883120596201</v>
      </c>
      <c r="N81" s="17">
        <v>57.378497107238104</v>
      </c>
      <c r="O81" s="17">
        <v>58.889901143023408</v>
      </c>
      <c r="P81" s="17">
        <v>60.441116994637888</v>
      </c>
      <c r="Q81" s="17">
        <v>62.033193343070913</v>
      </c>
      <c r="R81" s="17">
        <v>63.667206492563821</v>
      </c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</row>
    <row r="82" spans="1:68" x14ac:dyDescent="0.25">
      <c r="A82" s="9" t="s">
        <v>72</v>
      </c>
      <c r="B82" s="17">
        <v>15</v>
      </c>
      <c r="C82" s="17">
        <v>15.395114227101631</v>
      </c>
      <c r="D82" s="17">
        <v>15.800636137700469</v>
      </c>
      <c r="E82" s="17">
        <v>16.216839880051243</v>
      </c>
      <c r="F82" s="17">
        <v>16.644006823733733</v>
      </c>
      <c r="G82" s="17">
        <v>17.082425749869319</v>
      </c>
      <c r="H82" s="17">
        <v>17.532393046348027</v>
      </c>
      <c r="I82" s="17">
        <v>17.994212908198012</v>
      </c>
      <c r="J82" s="17">
        <v>18.468197543233003</v>
      </c>
      <c r="K82" s="17">
        <v>18.95466738311665</v>
      </c>
      <c r="L82" s="17">
        <v>19.45395129998656</v>
      </c>
      <c r="M82" s="17">
        <v>19.966386828784358</v>
      </c>
      <c r="N82" s="17">
        <v>20.492320395442178</v>
      </c>
      <c r="O82" s="17">
        <v>21.032107551079783</v>
      </c>
      <c r="P82" s="17">
        <v>21.58611321237067</v>
      </c>
      <c r="Q82" s="17">
        <v>22.154711908239612</v>
      </c>
      <c r="R82" s="17">
        <v>22.73828803305851</v>
      </c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</row>
    <row r="83" spans="1:68" x14ac:dyDescent="0.25">
      <c r="A83" s="9" t="s">
        <v>74</v>
      </c>
      <c r="B83" s="17">
        <v>5</v>
      </c>
      <c r="C83" s="17">
        <v>5.1317047423672104</v>
      </c>
      <c r="D83" s="17">
        <v>5.2668787125668226</v>
      </c>
      <c r="E83" s="17">
        <v>5.405613293350414</v>
      </c>
      <c r="F83" s="17">
        <v>5.548002274577911</v>
      </c>
      <c r="G83" s="17">
        <v>5.6941419166231064</v>
      </c>
      <c r="H83" s="17">
        <v>5.8441310154493422</v>
      </c>
      <c r="I83" s="17">
        <v>5.998070969399337</v>
      </c>
      <c r="J83" s="17">
        <v>6.1560658477443342</v>
      </c>
      <c r="K83" s="17">
        <v>6.318222461038884</v>
      </c>
      <c r="L83" s="17">
        <v>6.4846504333288539</v>
      </c>
      <c r="M83" s="17">
        <v>6.6554622762614528</v>
      </c>
      <c r="N83" s="17">
        <v>6.8307734651473933</v>
      </c>
      <c r="O83" s="17">
        <v>7.010702517026596</v>
      </c>
      <c r="P83" s="17">
        <v>7.1953710707902241</v>
      </c>
      <c r="Q83" s="17">
        <v>7.3849039694132044</v>
      </c>
      <c r="R83" s="17">
        <v>7.5794293443528353</v>
      </c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</row>
    <row r="84" spans="1:68" x14ac:dyDescent="0.25">
      <c r="A84" s="20" t="s">
        <v>76</v>
      </c>
      <c r="B84" s="39">
        <v>1</v>
      </c>
      <c r="C84" s="39">
        <v>1.026340948473442</v>
      </c>
      <c r="D84" s="39">
        <v>1.0533757425133645</v>
      </c>
      <c r="E84" s="39">
        <v>1.0811226586700828</v>
      </c>
      <c r="F84" s="39">
        <v>1.1096004549155822</v>
      </c>
      <c r="G84" s="39">
        <v>1.1388283833246213</v>
      </c>
      <c r="H84" s="39">
        <v>1.1688262030898684</v>
      </c>
      <c r="I84" s="39">
        <v>1.1996141938798675</v>
      </c>
      <c r="J84" s="39">
        <v>1.2312131695488668</v>
      </c>
      <c r="K84" s="39">
        <v>1.2636444922077767</v>
      </c>
      <c r="L84" s="39">
        <v>1.2969300866657707</v>
      </c>
      <c r="M84" s="39">
        <v>1.3310924552522905</v>
      </c>
      <c r="N84" s="39">
        <v>1.3661546930294786</v>
      </c>
      <c r="O84" s="39">
        <v>1.4021405034053191</v>
      </c>
      <c r="P84" s="39">
        <v>1.4390742141580448</v>
      </c>
      <c r="Q84" s="39">
        <v>1.4769807938826409</v>
      </c>
      <c r="R84" s="39">
        <v>1.515885868870567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</row>
    <row r="85" spans="1:68" x14ac:dyDescent="0.25">
      <c r="A85" s="9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</row>
    <row r="86" spans="1:68" x14ac:dyDescent="0.25">
      <c r="A86" s="35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</row>
    <row r="87" spans="1:68" x14ac:dyDescent="0.25">
      <c r="A87" s="41" t="s">
        <v>78</v>
      </c>
      <c r="B87" s="50">
        <f>SUM(B88:B104)</f>
        <v>13236</v>
      </c>
      <c r="C87" s="50">
        <f t="shared" ref="C87:R87" si="4">SUM(C88:C104)</f>
        <v>13584.64879399448</v>
      </c>
      <c r="D87" s="50">
        <f t="shared" si="4"/>
        <v>13942.481327906893</v>
      </c>
      <c r="E87" s="50">
        <f t="shared" si="4"/>
        <v>14309.739510157217</v>
      </c>
      <c r="F87" s="50">
        <f t="shared" si="4"/>
        <v>14686.671621262649</v>
      </c>
      <c r="G87" s="50">
        <f t="shared" si="4"/>
        <v>15073.53248168469</v>
      </c>
      <c r="H87" s="50">
        <f t="shared" si="4"/>
        <v>15470.583624097499</v>
      </c>
      <c r="I87" s="50">
        <f t="shared" si="4"/>
        <v>15878.093470193928</v>
      </c>
      <c r="J87" s="50">
        <f t="shared" si="4"/>
        <v>16296.337512148802</v>
      </c>
      <c r="K87" s="50">
        <f t="shared" si="4"/>
        <v>16725.598498862135</v>
      </c>
      <c r="L87" s="50">
        <f t="shared" si="4"/>
        <v>17166.166627108145</v>
      </c>
      <c r="M87" s="50">
        <f t="shared" si="4"/>
        <v>17618.339737719321</v>
      </c>
      <c r="N87" s="50">
        <f t="shared" si="4"/>
        <v>18082.423516938179</v>
      </c>
      <c r="O87" s="50">
        <f t="shared" si="4"/>
        <v>18558.731703072797</v>
      </c>
      <c r="P87" s="50">
        <f t="shared" si="4"/>
        <v>19047.586298595881</v>
      </c>
      <c r="Q87" s="50">
        <f t="shared" si="4"/>
        <v>19549.317787830634</v>
      </c>
      <c r="R87" s="50">
        <f t="shared" si="4"/>
        <v>20064.265360370824</v>
      </c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</row>
    <row r="88" spans="1:68" x14ac:dyDescent="0.25">
      <c r="A88" s="17" t="s">
        <v>44</v>
      </c>
      <c r="B88" s="17">
        <v>3</v>
      </c>
      <c r="C88" s="17">
        <v>3.0790228454203259</v>
      </c>
      <c r="D88" s="17">
        <v>3.1601272275400936</v>
      </c>
      <c r="E88" s="17">
        <v>3.2433679760102487</v>
      </c>
      <c r="F88" s="17">
        <v>3.3288013647467469</v>
      </c>
      <c r="G88" s="17">
        <v>3.4164851499738642</v>
      </c>
      <c r="H88" s="17">
        <v>3.506478609269605</v>
      </c>
      <c r="I88" s="17">
        <v>3.5988425816396026</v>
      </c>
      <c r="J88" s="17">
        <v>3.6936395086466005</v>
      </c>
      <c r="K88" s="17">
        <v>3.79093347662333</v>
      </c>
      <c r="L88" s="17">
        <v>3.8907902599973121</v>
      </c>
      <c r="M88" s="17">
        <v>3.9932773657568714</v>
      </c>
      <c r="N88" s="17">
        <v>4.0984640790884352</v>
      </c>
      <c r="O88" s="17">
        <v>4.2064215102159572</v>
      </c>
      <c r="P88" s="17">
        <v>4.3172226424741345</v>
      </c>
      <c r="Q88" s="17">
        <v>4.430942381647923</v>
      </c>
      <c r="R88" s="17">
        <v>4.5476576066117005</v>
      </c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</row>
    <row r="89" spans="1:68" x14ac:dyDescent="0.25">
      <c r="A89" s="17" t="s">
        <v>46</v>
      </c>
      <c r="B89" s="17">
        <v>5</v>
      </c>
      <c r="C89" s="17">
        <v>5.1317047423672104</v>
      </c>
      <c r="D89" s="17">
        <v>5.2668787125668226</v>
      </c>
      <c r="E89" s="17">
        <v>5.405613293350414</v>
      </c>
      <c r="F89" s="17">
        <v>5.548002274577911</v>
      </c>
      <c r="G89" s="17">
        <v>5.6941419166231064</v>
      </c>
      <c r="H89" s="17">
        <v>5.8441310154493422</v>
      </c>
      <c r="I89" s="17">
        <v>5.9980709693993379</v>
      </c>
      <c r="J89" s="17">
        <v>6.1560658477443342</v>
      </c>
      <c r="K89" s="17">
        <v>6.318222461038884</v>
      </c>
      <c r="L89" s="17">
        <v>6.4846504333288539</v>
      </c>
      <c r="M89" s="17">
        <v>6.6554622762614528</v>
      </c>
      <c r="N89" s="17">
        <v>6.8307734651473924</v>
      </c>
      <c r="O89" s="17">
        <v>7.010702517026596</v>
      </c>
      <c r="P89" s="17">
        <v>7.1953710707902232</v>
      </c>
      <c r="Q89" s="17">
        <v>7.3849039694132035</v>
      </c>
      <c r="R89" s="17">
        <v>7.5794293443528344</v>
      </c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</row>
    <row r="90" spans="1:68" x14ac:dyDescent="0.25">
      <c r="A90" s="17" t="s">
        <v>48</v>
      </c>
      <c r="B90" s="17">
        <v>4</v>
      </c>
      <c r="C90" s="17">
        <v>4.1053637938937682</v>
      </c>
      <c r="D90" s="17">
        <v>4.2135029700534581</v>
      </c>
      <c r="E90" s="17">
        <v>4.3244906346803313</v>
      </c>
      <c r="F90" s="17">
        <v>4.4384018196623281</v>
      </c>
      <c r="G90" s="17">
        <v>4.5553135332984853</v>
      </c>
      <c r="H90" s="17">
        <v>4.6753048123594736</v>
      </c>
      <c r="I90" s="17">
        <v>4.7984567755194698</v>
      </c>
      <c r="J90" s="17">
        <v>4.9248526781954673</v>
      </c>
      <c r="K90" s="17">
        <v>5.054577968831107</v>
      </c>
      <c r="L90" s="17">
        <v>5.1877203466630828</v>
      </c>
      <c r="M90" s="17">
        <v>5.3243698210091619</v>
      </c>
      <c r="N90" s="17">
        <v>5.4646187721179142</v>
      </c>
      <c r="O90" s="17">
        <v>5.6085620136212766</v>
      </c>
      <c r="P90" s="17">
        <v>5.7562968566321784</v>
      </c>
      <c r="Q90" s="17">
        <v>5.9079231755305628</v>
      </c>
      <c r="R90" s="17">
        <v>6.0635434754822679</v>
      </c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</row>
    <row r="91" spans="1:68" x14ac:dyDescent="0.25">
      <c r="A91" s="17" t="s">
        <v>50</v>
      </c>
      <c r="B91" s="17">
        <v>773</v>
      </c>
      <c r="C91" s="17">
        <v>793.36155316997076</v>
      </c>
      <c r="D91" s="17">
        <v>814.2594489628309</v>
      </c>
      <c r="E91" s="17">
        <v>835.70781515197416</v>
      </c>
      <c r="F91" s="17">
        <v>857.72115164974502</v>
      </c>
      <c r="G91" s="17">
        <v>880.31434030993216</v>
      </c>
      <c r="H91" s="17">
        <v>903.50265498846841</v>
      </c>
      <c r="I91" s="17">
        <v>927.30177186913761</v>
      </c>
      <c r="J91" s="17">
        <v>951.72778006127396</v>
      </c>
      <c r="K91" s="17">
        <v>976.79719247661149</v>
      </c>
      <c r="L91" s="17">
        <v>1002.5269569926407</v>
      </c>
      <c r="M91" s="17">
        <v>1028.9344679100204</v>
      </c>
      <c r="N91" s="17">
        <v>1056.0375777117868</v>
      </c>
      <c r="O91" s="17">
        <v>1083.8546091323117</v>
      </c>
      <c r="P91" s="17">
        <v>1112.4043675441683</v>
      </c>
      <c r="Q91" s="17">
        <v>1141.7061536712811</v>
      </c>
      <c r="R91" s="17">
        <v>1171.7797766369479</v>
      </c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</row>
    <row r="92" spans="1:68" x14ac:dyDescent="0.25">
      <c r="A92" s="17" t="s">
        <v>52</v>
      </c>
      <c r="B92" s="17">
        <v>3449</v>
      </c>
      <c r="C92" s="17">
        <v>3539.8499312849012</v>
      </c>
      <c r="D92" s="17">
        <v>3633.0929359285951</v>
      </c>
      <c r="E92" s="17">
        <v>3728.7920497531159</v>
      </c>
      <c r="F92" s="17">
        <v>3827.0119690038428</v>
      </c>
      <c r="G92" s="17">
        <v>3927.8190940866193</v>
      </c>
      <c r="H92" s="17">
        <v>4031.2815744569566</v>
      </c>
      <c r="I92" s="17">
        <v>4137.4693546916642</v>
      </c>
      <c r="J92" s="17">
        <v>4246.4542217740427</v>
      </c>
      <c r="K92" s="17">
        <v>4358.3098536246225</v>
      </c>
      <c r="L92" s="17">
        <v>4473.111868910245</v>
      </c>
      <c r="M92" s="17">
        <v>4590.9378781651494</v>
      </c>
      <c r="N92" s="17">
        <v>4711.867536258671</v>
      </c>
      <c r="O92" s="17">
        <v>4835.9825962449468</v>
      </c>
      <c r="P92" s="17">
        <v>4963.3669646310973</v>
      </c>
      <c r="Q92" s="17">
        <v>5094.1067581012276</v>
      </c>
      <c r="R92" s="17">
        <v>5228.2903617345864</v>
      </c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</row>
    <row r="93" spans="1:68" x14ac:dyDescent="0.25">
      <c r="A93" s="17" t="s">
        <v>54</v>
      </c>
      <c r="B93" s="17">
        <v>3048</v>
      </c>
      <c r="C93" s="17">
        <v>3128.2872109470518</v>
      </c>
      <c r="D93" s="17">
        <v>3210.6892631807355</v>
      </c>
      <c r="E93" s="17">
        <v>3295.2618636264128</v>
      </c>
      <c r="F93" s="17">
        <v>3382.0621865826952</v>
      </c>
      <c r="G93" s="17">
        <v>3471.1489123734464</v>
      </c>
      <c r="H93" s="17">
        <v>3562.5822670179191</v>
      </c>
      <c r="I93" s="17">
        <v>3656.4240629458368</v>
      </c>
      <c r="J93" s="17">
        <v>3752.7377407849467</v>
      </c>
      <c r="K93" s="17">
        <v>3851.5884122493035</v>
      </c>
      <c r="L93" s="17">
        <v>3953.0429041572697</v>
      </c>
      <c r="M93" s="17">
        <v>4057.169803608982</v>
      </c>
      <c r="N93" s="17">
        <v>4164.039504353851</v>
      </c>
      <c r="O93" s="17">
        <v>4273.7242543794127</v>
      </c>
      <c r="P93" s="17">
        <v>4386.2982047537207</v>
      </c>
      <c r="Q93" s="17">
        <v>4501.8374597542897</v>
      </c>
      <c r="R93" s="17">
        <v>4620.420128317488</v>
      </c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</row>
    <row r="94" spans="1:68" x14ac:dyDescent="0.25">
      <c r="A94" s="9" t="s">
        <v>56</v>
      </c>
      <c r="B94" s="17">
        <v>2152</v>
      </c>
      <c r="C94" s="17">
        <v>2208.6857211148476</v>
      </c>
      <c r="D94" s="17">
        <v>2266.8645978887598</v>
      </c>
      <c r="E94" s="17">
        <v>2326.5759614580193</v>
      </c>
      <c r="F94" s="17">
        <v>2387.8601789783343</v>
      </c>
      <c r="G94" s="17">
        <v>2450.758680914586</v>
      </c>
      <c r="H94" s="17">
        <v>2515.3139890493967</v>
      </c>
      <c r="I94" s="17">
        <v>2581.5697452294744</v>
      </c>
      <c r="J94" s="17">
        <v>2649.5707408691615</v>
      </c>
      <c r="K94" s="17">
        <v>2719.3629472311363</v>
      </c>
      <c r="L94" s="17">
        <v>2790.9935465047392</v>
      </c>
      <c r="M94" s="17">
        <v>2864.5109637029291</v>
      </c>
      <c r="N94" s="17">
        <v>2939.9648993994383</v>
      </c>
      <c r="O94" s="17">
        <v>3017.4063633282462</v>
      </c>
      <c r="P94" s="17">
        <v>3096.8877088681124</v>
      </c>
      <c r="Q94" s="17">
        <v>3178.4626684354425</v>
      </c>
      <c r="R94" s="17">
        <v>3262.1863898094603</v>
      </c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</row>
    <row r="95" spans="1:68" x14ac:dyDescent="0.25">
      <c r="A95" s="9" t="s">
        <v>58</v>
      </c>
      <c r="B95" s="17">
        <v>1339</v>
      </c>
      <c r="C95" s="17">
        <v>1374.2705300059388</v>
      </c>
      <c r="D95" s="17">
        <v>1410.4701192253951</v>
      </c>
      <c r="E95" s="17">
        <v>1447.6232399592413</v>
      </c>
      <c r="F95" s="17">
        <v>1485.7550091319645</v>
      </c>
      <c r="G95" s="17">
        <v>1524.891205271668</v>
      </c>
      <c r="H95" s="17">
        <v>1565.0582859373344</v>
      </c>
      <c r="I95" s="17">
        <v>1606.2834056051433</v>
      </c>
      <c r="J95" s="17">
        <v>1648.5944340259334</v>
      </c>
      <c r="K95" s="17">
        <v>1692.0199750662139</v>
      </c>
      <c r="L95" s="17">
        <v>1736.5893860454673</v>
      </c>
      <c r="M95" s="17">
        <v>1782.3327975828176</v>
      </c>
      <c r="N95" s="17">
        <v>1829.281133966472</v>
      </c>
      <c r="O95" s="17">
        <v>1877.4661340597222</v>
      </c>
      <c r="P95" s="17">
        <v>1926.9203727576221</v>
      </c>
      <c r="Q95" s="17">
        <v>1977.677283008856</v>
      </c>
      <c r="R95" s="17">
        <v>2029.771178417689</v>
      </c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</row>
    <row r="96" spans="1:68" x14ac:dyDescent="0.25">
      <c r="A96" s="9" t="s">
        <v>60</v>
      </c>
      <c r="B96" s="17">
        <v>999</v>
      </c>
      <c r="C96" s="17">
        <v>1025.3146075249688</v>
      </c>
      <c r="D96" s="17">
        <v>1052.3223667708514</v>
      </c>
      <c r="E96" s="17">
        <v>1080.041536011413</v>
      </c>
      <c r="F96" s="17">
        <v>1108.4908544606669</v>
      </c>
      <c r="G96" s="17">
        <v>1137.6895549412968</v>
      </c>
      <c r="H96" s="17">
        <v>1167.6573768867788</v>
      </c>
      <c r="I96" s="17">
        <v>1198.4145796859882</v>
      </c>
      <c r="J96" s="17">
        <v>1229.9819563793178</v>
      </c>
      <c r="K96" s="17">
        <v>1262.3808477155694</v>
      </c>
      <c r="L96" s="17">
        <v>1295.6331565791054</v>
      </c>
      <c r="M96" s="17">
        <v>1329.7613627970384</v>
      </c>
      <c r="N96" s="17">
        <v>1364.7885383364489</v>
      </c>
      <c r="O96" s="17">
        <v>1400.7383629019134</v>
      </c>
      <c r="P96" s="17">
        <v>1437.6351399438868</v>
      </c>
      <c r="Q96" s="17">
        <v>1475.5038130887581</v>
      </c>
      <c r="R96" s="17">
        <v>1514.369983001696</v>
      </c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</row>
    <row r="97" spans="1:68" x14ac:dyDescent="0.25">
      <c r="A97" s="9" t="s">
        <v>62</v>
      </c>
      <c r="B97" s="17">
        <v>654</v>
      </c>
      <c r="C97" s="17">
        <v>671.2269803016311</v>
      </c>
      <c r="D97" s="17">
        <v>688.90773560374055</v>
      </c>
      <c r="E97" s="17">
        <v>707.05421877023446</v>
      </c>
      <c r="F97" s="17">
        <v>725.67869751479077</v>
      </c>
      <c r="G97" s="17">
        <v>744.79376269430225</v>
      </c>
      <c r="H97" s="17">
        <v>764.41233682077393</v>
      </c>
      <c r="I97" s="17">
        <v>784.54768279743337</v>
      </c>
      <c r="J97" s="17">
        <v>805.2134128849591</v>
      </c>
      <c r="K97" s="17">
        <v>826.42349790388619</v>
      </c>
      <c r="L97" s="17">
        <v>848.19227667941425</v>
      </c>
      <c r="M97" s="17">
        <v>870.53446573499821</v>
      </c>
      <c r="N97" s="17">
        <v>893.465169241279</v>
      </c>
      <c r="O97" s="17">
        <v>916.9998892270786</v>
      </c>
      <c r="P97" s="17">
        <v>941.15453605936113</v>
      </c>
      <c r="Q97" s="17">
        <v>965.94543919924718</v>
      </c>
      <c r="R97" s="17">
        <v>991.38935824135081</v>
      </c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</row>
    <row r="98" spans="1:68" x14ac:dyDescent="0.25">
      <c r="A98" s="9" t="s">
        <v>64</v>
      </c>
      <c r="B98" s="17">
        <v>438</v>
      </c>
      <c r="C98" s="17">
        <v>449.53733543136769</v>
      </c>
      <c r="D98" s="17">
        <v>461.3785752208538</v>
      </c>
      <c r="E98" s="17">
        <v>473.53172449749621</v>
      </c>
      <c r="F98" s="17">
        <v>486.00499925302506</v>
      </c>
      <c r="G98" s="17">
        <v>498.80683189618424</v>
      </c>
      <c r="H98" s="17">
        <v>511.94587695336236</v>
      </c>
      <c r="I98" s="17">
        <v>525.43101691938205</v>
      </c>
      <c r="J98" s="17">
        <v>539.27136826240371</v>
      </c>
      <c r="K98" s="17">
        <v>553.47628758700637</v>
      </c>
      <c r="L98" s="17">
        <v>568.05537795960754</v>
      </c>
      <c r="M98" s="17">
        <v>583.0184954005033</v>
      </c>
      <c r="N98" s="17">
        <v>598.37575554691148</v>
      </c>
      <c r="O98" s="17">
        <v>614.13754049152965</v>
      </c>
      <c r="P98" s="17">
        <v>630.31450580122339</v>
      </c>
      <c r="Q98" s="17">
        <v>646.91758772059666</v>
      </c>
      <c r="R98" s="17">
        <v>663.9580105653082</v>
      </c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</row>
    <row r="99" spans="1:68" x14ac:dyDescent="0.25">
      <c r="A99" s="9" t="s">
        <v>66</v>
      </c>
      <c r="B99" s="17">
        <v>213</v>
      </c>
      <c r="C99" s="17">
        <v>218.61062202484314</v>
      </c>
      <c r="D99" s="17">
        <v>224.36903315534667</v>
      </c>
      <c r="E99" s="17">
        <v>230.2791262967277</v>
      </c>
      <c r="F99" s="17">
        <v>236.344896897019</v>
      </c>
      <c r="G99" s="17">
        <v>242.57044564814433</v>
      </c>
      <c r="H99" s="17">
        <v>248.95998125814199</v>
      </c>
      <c r="I99" s="17">
        <v>255.51782329641185</v>
      </c>
      <c r="J99" s="17">
        <v>262.24840511390869</v>
      </c>
      <c r="K99" s="17">
        <v>269.15627684025651</v>
      </c>
      <c r="L99" s="17">
        <v>276.24610845980919</v>
      </c>
      <c r="M99" s="17">
        <v>283.52269296873794</v>
      </c>
      <c r="N99" s="17">
        <v>290.99094961527902</v>
      </c>
      <c r="O99" s="17">
        <v>298.65592722533296</v>
      </c>
      <c r="P99" s="17">
        <v>306.52280761566345</v>
      </c>
      <c r="Q99" s="17">
        <v>314.59690909700254</v>
      </c>
      <c r="R99" s="17">
        <v>322.88369006943077</v>
      </c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</row>
    <row r="100" spans="1:68" x14ac:dyDescent="0.25">
      <c r="A100" s="9" t="s">
        <v>68</v>
      </c>
      <c r="B100" s="17">
        <v>98</v>
      </c>
      <c r="C100" s="17">
        <v>100.58141295039731</v>
      </c>
      <c r="D100" s="17">
        <v>103.23082276630976</v>
      </c>
      <c r="E100" s="17">
        <v>105.95002054966811</v>
      </c>
      <c r="F100" s="17">
        <v>108.74084458172703</v>
      </c>
      <c r="G100" s="17">
        <v>111.60518156581291</v>
      </c>
      <c r="H100" s="17">
        <v>114.5449679028071</v>
      </c>
      <c r="I100" s="17">
        <v>117.56219100022702</v>
      </c>
      <c r="J100" s="17">
        <v>120.65889061578895</v>
      </c>
      <c r="K100" s="17">
        <v>123.83716023636211</v>
      </c>
      <c r="L100" s="17">
        <v>127.09914849324554</v>
      </c>
      <c r="M100" s="17">
        <v>130.44706061472448</v>
      </c>
      <c r="N100" s="17">
        <v>133.8831599168889</v>
      </c>
      <c r="O100" s="17">
        <v>137.4097693337213</v>
      </c>
      <c r="P100" s="17">
        <v>141.02927298748835</v>
      </c>
      <c r="Q100" s="17">
        <v>144.74411780049883</v>
      </c>
      <c r="R100" s="17">
        <v>148.55681514931555</v>
      </c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</row>
    <row r="101" spans="1:68" x14ac:dyDescent="0.25">
      <c r="A101" s="9" t="s">
        <v>70</v>
      </c>
      <c r="B101" s="17">
        <v>42</v>
      </c>
      <c r="C101" s="17">
        <v>43.106319835884555</v>
      </c>
      <c r="D101" s="17">
        <v>44.241781185561315</v>
      </c>
      <c r="E101" s="17">
        <v>45.407151664143477</v>
      </c>
      <c r="F101" s="17">
        <v>46.603219106454439</v>
      </c>
      <c r="G101" s="17">
        <v>47.83079209963411</v>
      </c>
      <c r="H101" s="17">
        <v>49.09070052977448</v>
      </c>
      <c r="I101" s="17">
        <v>50.383796142954438</v>
      </c>
      <c r="J101" s="17">
        <v>51.710953121052405</v>
      </c>
      <c r="K101" s="17">
        <v>53.07306867272662</v>
      </c>
      <c r="L101" s="17">
        <v>54.47106363996236</v>
      </c>
      <c r="M101" s="17">
        <v>55.905883120596201</v>
      </c>
      <c r="N101" s="17">
        <v>57.378497107238104</v>
      </c>
      <c r="O101" s="17">
        <v>58.889901143023408</v>
      </c>
      <c r="P101" s="17">
        <v>60.441116994637888</v>
      </c>
      <c r="Q101" s="17">
        <v>62.033193343070913</v>
      </c>
      <c r="R101" s="17">
        <v>63.667206492563821</v>
      </c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</row>
    <row r="102" spans="1:68" x14ac:dyDescent="0.25">
      <c r="A102" s="9" t="s">
        <v>72</v>
      </c>
      <c r="B102" s="17">
        <v>14</v>
      </c>
      <c r="C102" s="17">
        <v>14.36877327862819</v>
      </c>
      <c r="D102" s="17">
        <v>14.747260395187103</v>
      </c>
      <c r="E102" s="17">
        <v>15.135717221381158</v>
      </c>
      <c r="F102" s="17">
        <v>15.53440636881815</v>
      </c>
      <c r="G102" s="17">
        <v>15.943597366544697</v>
      </c>
      <c r="H102" s="17">
        <v>16.363566843258159</v>
      </c>
      <c r="I102" s="17">
        <v>16.794598714318145</v>
      </c>
      <c r="J102" s="17">
        <v>17.236984373684137</v>
      </c>
      <c r="K102" s="17">
        <v>17.691022890908876</v>
      </c>
      <c r="L102" s="17">
        <v>18.157021213320789</v>
      </c>
      <c r="M102" s="17">
        <v>18.635294373532066</v>
      </c>
      <c r="N102" s="17">
        <v>19.126165702412699</v>
      </c>
      <c r="O102" s="17">
        <v>19.629967047674466</v>
      </c>
      <c r="P102" s="17">
        <v>20.147038998212622</v>
      </c>
      <c r="Q102" s="17">
        <v>20.677731114356973</v>
      </c>
      <c r="R102" s="17">
        <v>21.22240216418794</v>
      </c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</row>
    <row r="103" spans="1:68" x14ac:dyDescent="0.25">
      <c r="A103" s="9" t="s">
        <v>74</v>
      </c>
      <c r="B103" s="17">
        <v>4</v>
      </c>
      <c r="C103" s="17">
        <v>4.1053637938937682</v>
      </c>
      <c r="D103" s="17">
        <v>4.2135029700534581</v>
      </c>
      <c r="E103" s="17">
        <v>4.3244906346803313</v>
      </c>
      <c r="F103" s="17">
        <v>4.4384018196623289</v>
      </c>
      <c r="G103" s="17">
        <v>4.5553135332984853</v>
      </c>
      <c r="H103" s="17">
        <v>4.6753048123594736</v>
      </c>
      <c r="I103" s="17">
        <v>4.7984567755194698</v>
      </c>
      <c r="J103" s="17">
        <v>4.9248526781954673</v>
      </c>
      <c r="K103" s="17">
        <v>5.054577968831107</v>
      </c>
      <c r="L103" s="17">
        <v>5.1877203466630828</v>
      </c>
      <c r="M103" s="17">
        <v>5.3243698210091619</v>
      </c>
      <c r="N103" s="17">
        <v>5.4646187721179142</v>
      </c>
      <c r="O103" s="17">
        <v>5.6085620136212766</v>
      </c>
      <c r="P103" s="17">
        <v>5.7562968566321793</v>
      </c>
      <c r="Q103" s="17">
        <v>5.9079231755305637</v>
      </c>
      <c r="R103" s="17">
        <v>6.0635434754822679</v>
      </c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</row>
    <row r="104" spans="1:68" x14ac:dyDescent="0.25">
      <c r="A104" s="20" t="s">
        <v>76</v>
      </c>
      <c r="B104" s="39">
        <v>1</v>
      </c>
      <c r="C104" s="39">
        <v>1.026340948473442</v>
      </c>
      <c r="D104" s="39">
        <v>1.0533757425133645</v>
      </c>
      <c r="E104" s="39">
        <v>1.0811226586700828</v>
      </c>
      <c r="F104" s="39">
        <v>1.1096004549155822</v>
      </c>
      <c r="G104" s="39">
        <v>1.1388283833246213</v>
      </c>
      <c r="H104" s="39">
        <v>1.1688262030898684</v>
      </c>
      <c r="I104" s="39">
        <v>1.1996141938798675</v>
      </c>
      <c r="J104" s="39">
        <v>1.2312131695488668</v>
      </c>
      <c r="K104" s="39">
        <v>1.2636444922077767</v>
      </c>
      <c r="L104" s="39">
        <v>1.2969300866657707</v>
      </c>
      <c r="M104" s="39">
        <v>1.3310924552522905</v>
      </c>
      <c r="N104" s="39">
        <v>1.3661546930294786</v>
      </c>
      <c r="O104" s="39">
        <v>1.4021405034053191</v>
      </c>
      <c r="P104" s="39">
        <v>1.4390742141580448</v>
      </c>
      <c r="Q104" s="39">
        <v>1.4769807938826409</v>
      </c>
      <c r="R104" s="39">
        <v>1.515885868870567</v>
      </c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</row>
    <row r="105" spans="1:68" x14ac:dyDescent="0.25">
      <c r="A105" s="9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</row>
    <row r="106" spans="1:68" x14ac:dyDescent="0.25">
      <c r="A106" s="3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</row>
    <row r="107" spans="1:68" x14ac:dyDescent="0.25">
      <c r="A107" s="41" t="s">
        <v>4</v>
      </c>
      <c r="B107" s="50">
        <f>SUM(B108:B124)</f>
        <v>395</v>
      </c>
      <c r="C107" s="50">
        <f t="shared" ref="C107:R107" si="5">SUM(C108:C124)</f>
        <v>405.40467464700964</v>
      </c>
      <c r="D107" s="50">
        <f t="shared" si="5"/>
        <v>416.08341829277902</v>
      </c>
      <c r="E107" s="50">
        <f t="shared" si="5"/>
        <v>427.04345017468279</v>
      </c>
      <c r="F107" s="50">
        <f t="shared" si="5"/>
        <v>438.29217969165506</v>
      </c>
      <c r="G107" s="50">
        <f t="shared" si="5"/>
        <v>449.83721141322548</v>
      </c>
      <c r="H107" s="50">
        <f t="shared" si="5"/>
        <v>461.68635022049796</v>
      </c>
      <c r="I107" s="50">
        <f t="shared" si="5"/>
        <v>473.84760658254771</v>
      </c>
      <c r="J107" s="50">
        <f t="shared" si="5"/>
        <v>486.32920197180249</v>
      </c>
      <c r="K107" s="50">
        <f t="shared" si="5"/>
        <v>499.1395744220718</v>
      </c>
      <c r="L107" s="50">
        <f t="shared" si="5"/>
        <v>512.28738423297921</v>
      </c>
      <c r="M107" s="50">
        <f t="shared" si="5"/>
        <v>525.78151982465465</v>
      </c>
      <c r="N107" s="50">
        <f t="shared" si="5"/>
        <v>539.63110374664393</v>
      </c>
      <c r="O107" s="50">
        <f t="shared" si="5"/>
        <v>553.84549884510113</v>
      </c>
      <c r="P107" s="50">
        <f t="shared" si="5"/>
        <v>568.43431459242765</v>
      </c>
      <c r="Q107" s="50">
        <f t="shared" si="5"/>
        <v>583.40741358364312</v>
      </c>
      <c r="R107" s="50">
        <f t="shared" si="5"/>
        <v>598.77491820387377</v>
      </c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</row>
    <row r="108" spans="1:68" x14ac:dyDescent="0.25">
      <c r="A108" s="17" t="s">
        <v>44</v>
      </c>
      <c r="B108" s="17">
        <v>3</v>
      </c>
      <c r="C108" s="17">
        <v>3.0790228454203259</v>
      </c>
      <c r="D108" s="17">
        <v>3.1601272275400936</v>
      </c>
      <c r="E108" s="17">
        <v>3.2433679760102487</v>
      </c>
      <c r="F108" s="17">
        <v>3.3288013647467469</v>
      </c>
      <c r="G108" s="17">
        <v>3.4164851499738642</v>
      </c>
      <c r="H108" s="17">
        <v>3.506478609269605</v>
      </c>
      <c r="I108" s="17">
        <v>3.5988425816396026</v>
      </c>
      <c r="J108" s="17">
        <v>3.6936395086466005</v>
      </c>
      <c r="K108" s="17">
        <v>3.79093347662333</v>
      </c>
      <c r="L108" s="17">
        <v>3.8907902599973121</v>
      </c>
      <c r="M108" s="17">
        <v>3.9932773657568714</v>
      </c>
      <c r="N108" s="17">
        <v>4.0984640790884352</v>
      </c>
      <c r="O108" s="17">
        <v>4.2064215102159572</v>
      </c>
      <c r="P108" s="17">
        <v>4.3172226424741345</v>
      </c>
      <c r="Q108" s="17">
        <v>4.430942381647923</v>
      </c>
      <c r="R108" s="17">
        <v>4.5476576066117005</v>
      </c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</row>
    <row r="109" spans="1:68" x14ac:dyDescent="0.25">
      <c r="A109" s="17" t="s">
        <v>46</v>
      </c>
      <c r="B109" s="17">
        <v>1</v>
      </c>
      <c r="C109" s="17">
        <v>1.026340948473442</v>
      </c>
      <c r="D109" s="17">
        <v>1.0533757425133645</v>
      </c>
      <c r="E109" s="17">
        <v>1.0811226586700828</v>
      </c>
      <c r="F109" s="17">
        <v>1.1096004549155822</v>
      </c>
      <c r="G109" s="17">
        <v>1.1388283833246213</v>
      </c>
      <c r="H109" s="17">
        <v>1.1688262030898684</v>
      </c>
      <c r="I109" s="17">
        <v>1.1996141938798675</v>
      </c>
      <c r="J109" s="17">
        <v>1.2312131695488668</v>
      </c>
      <c r="K109" s="17">
        <v>1.2636444922077767</v>
      </c>
      <c r="L109" s="17">
        <v>1.2969300866657707</v>
      </c>
      <c r="M109" s="17">
        <v>1.3310924552522905</v>
      </c>
      <c r="N109" s="17">
        <v>1.3661546930294786</v>
      </c>
      <c r="O109" s="17">
        <v>1.4021405034053191</v>
      </c>
      <c r="P109" s="17">
        <v>1.4390742141580448</v>
      </c>
      <c r="Q109" s="17">
        <v>1.4769807938826409</v>
      </c>
      <c r="R109" s="17">
        <v>1.515885868870567</v>
      </c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</row>
    <row r="110" spans="1:68" x14ac:dyDescent="0.25">
      <c r="A110" s="17" t="s">
        <v>48</v>
      </c>
      <c r="B110" s="17">
        <v>4</v>
      </c>
      <c r="C110" s="17">
        <v>4.1053637938937682</v>
      </c>
      <c r="D110" s="17">
        <v>4.2135029700534581</v>
      </c>
      <c r="E110" s="17">
        <v>4.3244906346803313</v>
      </c>
      <c r="F110" s="17">
        <v>4.4384018196623289</v>
      </c>
      <c r="G110" s="17">
        <v>4.5553135332984853</v>
      </c>
      <c r="H110" s="17">
        <v>4.6753048123594736</v>
      </c>
      <c r="I110" s="17">
        <v>4.7984567755194698</v>
      </c>
      <c r="J110" s="17">
        <v>4.9248526781954673</v>
      </c>
      <c r="K110" s="17">
        <v>5.054577968831107</v>
      </c>
      <c r="L110" s="17">
        <v>5.1877203466630828</v>
      </c>
      <c r="M110" s="17">
        <v>5.3243698210091619</v>
      </c>
      <c r="N110" s="17">
        <v>5.4646187721179142</v>
      </c>
      <c r="O110" s="17">
        <v>5.6085620136212766</v>
      </c>
      <c r="P110" s="17">
        <v>5.7562968566321793</v>
      </c>
      <c r="Q110" s="17">
        <v>5.9079231755305637</v>
      </c>
      <c r="R110" s="17">
        <v>6.0635434754822679</v>
      </c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</row>
    <row r="111" spans="1:68" x14ac:dyDescent="0.25">
      <c r="A111" s="17" t="s">
        <v>50</v>
      </c>
      <c r="B111" s="17">
        <v>38</v>
      </c>
      <c r="C111" s="17">
        <v>39.00095604199079</v>
      </c>
      <c r="D111" s="17">
        <v>40.028278215507846</v>
      </c>
      <c r="E111" s="17">
        <v>41.082661029463146</v>
      </c>
      <c r="F111" s="17">
        <v>42.164817286792122</v>
      </c>
      <c r="G111" s="17">
        <v>43.275478566335615</v>
      </c>
      <c r="H111" s="17">
        <v>44.415395717415002</v>
      </c>
      <c r="I111" s="17">
        <v>45.585339367434969</v>
      </c>
      <c r="J111" s="17">
        <v>46.786100442856934</v>
      </c>
      <c r="K111" s="17">
        <v>48.018490703895516</v>
      </c>
      <c r="L111" s="17">
        <v>49.283343293299289</v>
      </c>
      <c r="M111" s="17">
        <v>50.581513299587037</v>
      </c>
      <c r="N111" s="17">
        <v>51.913878335120195</v>
      </c>
      <c r="O111" s="17">
        <v>53.281339129402127</v>
      </c>
      <c r="P111" s="17">
        <v>54.684820138005705</v>
      </c>
      <c r="Q111" s="17">
        <v>56.125270167540357</v>
      </c>
      <c r="R111" s="17">
        <v>57.603663017081544</v>
      </c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</row>
    <row r="112" spans="1:68" x14ac:dyDescent="0.25">
      <c r="A112" s="17" t="s">
        <v>52</v>
      </c>
      <c r="B112" s="17">
        <v>160</v>
      </c>
      <c r="C112" s="17">
        <v>164.21455175575073</v>
      </c>
      <c r="D112" s="17">
        <v>168.54011880213835</v>
      </c>
      <c r="E112" s="17">
        <v>172.9796253872133</v>
      </c>
      <c r="F112" s="17">
        <v>177.53607278649318</v>
      </c>
      <c r="G112" s="17">
        <v>182.21254133193941</v>
      </c>
      <c r="H112" s="17">
        <v>187.01219249437895</v>
      </c>
      <c r="I112" s="17">
        <v>191.93827102077884</v>
      </c>
      <c r="J112" s="17">
        <v>196.99410712781872</v>
      </c>
      <c r="K112" s="17">
        <v>202.18311875324429</v>
      </c>
      <c r="L112" s="17">
        <v>207.50881386652327</v>
      </c>
      <c r="M112" s="17">
        <v>212.97479284036649</v>
      </c>
      <c r="N112" s="17">
        <v>218.58475088471653</v>
      </c>
      <c r="O112" s="17">
        <v>224.3424805448511</v>
      </c>
      <c r="P112" s="17">
        <v>230.25187426528711</v>
      </c>
      <c r="Q112" s="17">
        <v>236.3169270212226</v>
      </c>
      <c r="R112" s="17">
        <v>242.54173901929073</v>
      </c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</row>
    <row r="113" spans="1:68" x14ac:dyDescent="0.25">
      <c r="A113" s="17" t="s">
        <v>54</v>
      </c>
      <c r="B113" s="17">
        <v>90</v>
      </c>
      <c r="C113" s="17">
        <v>92.370685362609805</v>
      </c>
      <c r="D113" s="17">
        <v>94.803816826202819</v>
      </c>
      <c r="E113" s="17">
        <v>97.30103928030745</v>
      </c>
      <c r="F113" s="17">
        <v>99.864040942402369</v>
      </c>
      <c r="G113" s="17">
        <v>102.49455449921594</v>
      </c>
      <c r="H113" s="17">
        <v>105.19435827808815</v>
      </c>
      <c r="I113" s="17">
        <v>107.96527744918809</v>
      </c>
      <c r="J113" s="17">
        <v>110.80918525939802</v>
      </c>
      <c r="K113" s="17">
        <v>113.7280042986999</v>
      </c>
      <c r="L113" s="17">
        <v>116.72370779991934</v>
      </c>
      <c r="M113" s="17">
        <v>119.79832097270614</v>
      </c>
      <c r="N113" s="17">
        <v>122.95392237265303</v>
      </c>
      <c r="O113" s="17">
        <v>126.19264530647874</v>
      </c>
      <c r="P113" s="17">
        <v>129.516679274224</v>
      </c>
      <c r="Q113" s="17">
        <v>132.92827144943763</v>
      </c>
      <c r="R113" s="17">
        <v>136.429728198351</v>
      </c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</row>
    <row r="114" spans="1:68" x14ac:dyDescent="0.25">
      <c r="A114" s="9" t="s">
        <v>56</v>
      </c>
      <c r="B114" s="17">
        <v>44</v>
      </c>
      <c r="C114" s="17">
        <v>45.159001732831456</v>
      </c>
      <c r="D114" s="17">
        <v>46.348532670588042</v>
      </c>
      <c r="E114" s="17">
        <v>47.569396981483642</v>
      </c>
      <c r="F114" s="17">
        <v>48.822420016285619</v>
      </c>
      <c r="G114" s="17">
        <v>50.108448866283354</v>
      </c>
      <c r="H114" s="17">
        <v>51.428352935954216</v>
      </c>
      <c r="I114" s="17">
        <v>52.783024530714172</v>
      </c>
      <c r="J114" s="17">
        <v>54.173379460150144</v>
      </c>
      <c r="K114" s="17">
        <v>55.60035765714219</v>
      </c>
      <c r="L114" s="17">
        <v>57.064923813293916</v>
      </c>
      <c r="M114" s="17">
        <v>58.568068031100786</v>
      </c>
      <c r="N114" s="17">
        <v>60.110806493297062</v>
      </c>
      <c r="O114" s="17">
        <v>61.694182149834056</v>
      </c>
      <c r="P114" s="17">
        <v>63.319265422953976</v>
      </c>
      <c r="Q114" s="17">
        <v>64.987154930836212</v>
      </c>
      <c r="R114" s="17">
        <v>66.698978230304959</v>
      </c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</row>
    <row r="115" spans="1:68" x14ac:dyDescent="0.25">
      <c r="A115" s="9" t="s">
        <v>58</v>
      </c>
      <c r="B115" s="17">
        <v>19</v>
      </c>
      <c r="C115" s="17">
        <v>19.500478020995399</v>
      </c>
      <c r="D115" s="17">
        <v>20.01413910775392</v>
      </c>
      <c r="E115" s="17">
        <v>20.541330514731573</v>
      </c>
      <c r="F115" s="17">
        <v>21.082408643396064</v>
      </c>
      <c r="G115" s="17">
        <v>21.637739283167807</v>
      </c>
      <c r="H115" s="17">
        <v>22.207697858707498</v>
      </c>
      <c r="I115" s="17">
        <v>22.792669683717481</v>
      </c>
      <c r="J115" s="17">
        <v>23.393050221428467</v>
      </c>
      <c r="K115" s="17">
        <v>24.009245351947762</v>
      </c>
      <c r="L115" s="17">
        <v>24.641671646649648</v>
      </c>
      <c r="M115" s="17">
        <v>25.290756649793515</v>
      </c>
      <c r="N115" s="17">
        <v>25.956939167560094</v>
      </c>
      <c r="O115" s="17">
        <v>26.640669564701067</v>
      </c>
      <c r="P115" s="17">
        <v>27.342410069002845</v>
      </c>
      <c r="Q115" s="17">
        <v>28.062635083770182</v>
      </c>
      <c r="R115" s="17">
        <v>28.801831508540769</v>
      </c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</row>
    <row r="116" spans="1:68" x14ac:dyDescent="0.25">
      <c r="A116" s="9" t="s">
        <v>60</v>
      </c>
      <c r="B116" s="17">
        <v>14</v>
      </c>
      <c r="C116" s="17">
        <v>14.368773278628188</v>
      </c>
      <c r="D116" s="17">
        <v>14.747260395187102</v>
      </c>
      <c r="E116" s="17">
        <v>15.13571722138116</v>
      </c>
      <c r="F116" s="17">
        <v>15.53440636881815</v>
      </c>
      <c r="G116" s="17">
        <v>15.943597366544699</v>
      </c>
      <c r="H116" s="17">
        <v>16.363566843258159</v>
      </c>
      <c r="I116" s="17">
        <v>16.794598714318148</v>
      </c>
      <c r="J116" s="17">
        <v>17.236984373684137</v>
      </c>
      <c r="K116" s="17">
        <v>17.691022890908876</v>
      </c>
      <c r="L116" s="17">
        <v>18.157021213320789</v>
      </c>
      <c r="M116" s="17">
        <v>18.635294373532066</v>
      </c>
      <c r="N116" s="17">
        <v>19.126165702412699</v>
      </c>
      <c r="O116" s="17">
        <v>19.629967047674469</v>
      </c>
      <c r="P116" s="17">
        <v>20.147038998212626</v>
      </c>
      <c r="Q116" s="17">
        <v>20.677731114356977</v>
      </c>
      <c r="R116" s="17">
        <v>21.222402164187937</v>
      </c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</row>
    <row r="117" spans="1:68" x14ac:dyDescent="0.25">
      <c r="A117" s="9" t="s">
        <v>62</v>
      </c>
      <c r="B117" s="17">
        <v>4</v>
      </c>
      <c r="C117" s="17">
        <v>4.1053637938937682</v>
      </c>
      <c r="D117" s="17">
        <v>4.2135029700534581</v>
      </c>
      <c r="E117" s="17">
        <v>4.3244906346803313</v>
      </c>
      <c r="F117" s="17">
        <v>4.4384018196623289</v>
      </c>
      <c r="G117" s="17">
        <v>4.5553135332984853</v>
      </c>
      <c r="H117" s="17">
        <v>4.6753048123594736</v>
      </c>
      <c r="I117" s="17">
        <v>4.7984567755194698</v>
      </c>
      <c r="J117" s="17">
        <v>4.9248526781954673</v>
      </c>
      <c r="K117" s="17">
        <v>5.054577968831107</v>
      </c>
      <c r="L117" s="17">
        <v>5.1877203466630828</v>
      </c>
      <c r="M117" s="17">
        <v>5.3243698210091619</v>
      </c>
      <c r="N117" s="17">
        <v>5.4646187721179142</v>
      </c>
      <c r="O117" s="17">
        <v>5.6085620136212766</v>
      </c>
      <c r="P117" s="17">
        <v>5.7562968566321793</v>
      </c>
      <c r="Q117" s="17">
        <v>5.9079231755305637</v>
      </c>
      <c r="R117" s="17">
        <v>6.0635434754822679</v>
      </c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</row>
    <row r="118" spans="1:68" x14ac:dyDescent="0.25">
      <c r="A118" s="9" t="s">
        <v>64</v>
      </c>
      <c r="B118" s="17">
        <v>10</v>
      </c>
      <c r="C118" s="17">
        <v>10.263409484734419</v>
      </c>
      <c r="D118" s="17">
        <v>10.533757425133643</v>
      </c>
      <c r="E118" s="17">
        <v>10.811226586700828</v>
      </c>
      <c r="F118" s="17">
        <v>11.096004549155822</v>
      </c>
      <c r="G118" s="17">
        <v>11.388283833246215</v>
      </c>
      <c r="H118" s="17">
        <v>11.688262030898683</v>
      </c>
      <c r="I118" s="17">
        <v>11.996141938798676</v>
      </c>
      <c r="J118" s="17">
        <v>12.312131695488667</v>
      </c>
      <c r="K118" s="17">
        <v>12.636444922077766</v>
      </c>
      <c r="L118" s="17">
        <v>12.969300866657708</v>
      </c>
      <c r="M118" s="17">
        <v>13.310924552522906</v>
      </c>
      <c r="N118" s="17">
        <v>13.661546930294785</v>
      </c>
      <c r="O118" s="17">
        <v>14.02140503405319</v>
      </c>
      <c r="P118" s="17">
        <v>14.390742141580446</v>
      </c>
      <c r="Q118" s="17">
        <v>14.769807938826407</v>
      </c>
      <c r="R118" s="17">
        <v>15.158858688705669</v>
      </c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</row>
    <row r="119" spans="1:68" x14ac:dyDescent="0.25">
      <c r="A119" s="9" t="s">
        <v>66</v>
      </c>
      <c r="B119" s="17">
        <v>3</v>
      </c>
      <c r="C119" s="17">
        <v>3.0790228454203259</v>
      </c>
      <c r="D119" s="17">
        <v>3.1601272275400936</v>
      </c>
      <c r="E119" s="17">
        <v>3.2433679760102487</v>
      </c>
      <c r="F119" s="17">
        <v>3.3288013647467469</v>
      </c>
      <c r="G119" s="17">
        <v>3.4164851499738642</v>
      </c>
      <c r="H119" s="17">
        <v>3.506478609269605</v>
      </c>
      <c r="I119" s="17">
        <v>3.5988425816396026</v>
      </c>
      <c r="J119" s="17">
        <v>3.6936395086466005</v>
      </c>
      <c r="K119" s="17">
        <v>3.79093347662333</v>
      </c>
      <c r="L119" s="17">
        <v>3.8907902599973121</v>
      </c>
      <c r="M119" s="17">
        <v>3.9932773657568714</v>
      </c>
      <c r="N119" s="17">
        <v>4.0984640790884352</v>
      </c>
      <c r="O119" s="17">
        <v>4.2064215102159572</v>
      </c>
      <c r="P119" s="17">
        <v>4.3172226424741345</v>
      </c>
      <c r="Q119" s="17">
        <v>4.430942381647923</v>
      </c>
      <c r="R119" s="17">
        <v>4.5476576066117005</v>
      </c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</row>
    <row r="120" spans="1:68" x14ac:dyDescent="0.25">
      <c r="A120" s="9" t="s">
        <v>68</v>
      </c>
      <c r="B120" s="17">
        <v>3</v>
      </c>
      <c r="C120" s="17">
        <v>3.0790228454203259</v>
      </c>
      <c r="D120" s="17">
        <v>3.1601272275400936</v>
      </c>
      <c r="E120" s="17">
        <v>3.2433679760102487</v>
      </c>
      <c r="F120" s="17">
        <v>3.3288013647467469</v>
      </c>
      <c r="G120" s="17">
        <v>3.4164851499738642</v>
      </c>
      <c r="H120" s="17">
        <v>3.506478609269605</v>
      </c>
      <c r="I120" s="17">
        <v>3.5988425816396026</v>
      </c>
      <c r="J120" s="17">
        <v>3.6936395086466005</v>
      </c>
      <c r="K120" s="17">
        <v>3.79093347662333</v>
      </c>
      <c r="L120" s="17">
        <v>3.8907902599973121</v>
      </c>
      <c r="M120" s="17">
        <v>3.9932773657568714</v>
      </c>
      <c r="N120" s="17">
        <v>4.0984640790884352</v>
      </c>
      <c r="O120" s="17">
        <v>4.2064215102159572</v>
      </c>
      <c r="P120" s="17">
        <v>4.3172226424741345</v>
      </c>
      <c r="Q120" s="17">
        <v>4.430942381647923</v>
      </c>
      <c r="R120" s="17">
        <v>4.5476576066117005</v>
      </c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</row>
    <row r="121" spans="1:68" x14ac:dyDescent="0.25">
      <c r="A121" s="9" t="s">
        <v>70</v>
      </c>
      <c r="B121" s="17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</row>
    <row r="122" spans="1:68" x14ac:dyDescent="0.25">
      <c r="A122" s="9" t="s">
        <v>72</v>
      </c>
      <c r="B122" s="17">
        <v>1</v>
      </c>
      <c r="C122" s="17">
        <v>1.026340948473442</v>
      </c>
      <c r="D122" s="17">
        <v>1.0533757425133645</v>
      </c>
      <c r="E122" s="17">
        <v>1.0811226586700828</v>
      </c>
      <c r="F122" s="17">
        <v>1.1096004549155822</v>
      </c>
      <c r="G122" s="17">
        <v>1.1388283833246213</v>
      </c>
      <c r="H122" s="17">
        <v>1.1688262030898684</v>
      </c>
      <c r="I122" s="17">
        <v>1.1996141938798675</v>
      </c>
      <c r="J122" s="17">
        <v>1.2312131695488668</v>
      </c>
      <c r="K122" s="17">
        <v>1.2636444922077767</v>
      </c>
      <c r="L122" s="17">
        <v>1.2969300866657707</v>
      </c>
      <c r="M122" s="17">
        <v>1.3310924552522905</v>
      </c>
      <c r="N122" s="17">
        <v>1.3661546930294786</v>
      </c>
      <c r="O122" s="17">
        <v>1.4021405034053191</v>
      </c>
      <c r="P122" s="17">
        <v>1.4390742141580448</v>
      </c>
      <c r="Q122" s="17">
        <v>1.4769807938826409</v>
      </c>
      <c r="R122" s="17">
        <v>1.515885868870567</v>
      </c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</row>
    <row r="123" spans="1:68" x14ac:dyDescent="0.25">
      <c r="A123" s="9" t="s">
        <v>74</v>
      </c>
      <c r="B123" s="17">
        <v>1</v>
      </c>
      <c r="C123" s="17">
        <v>1.026340948473442</v>
      </c>
      <c r="D123" s="17">
        <v>1.0533757425133645</v>
      </c>
      <c r="E123" s="17">
        <v>1.0811226586700828</v>
      </c>
      <c r="F123" s="17">
        <v>1.1096004549155822</v>
      </c>
      <c r="G123" s="17">
        <v>1.1388283833246213</v>
      </c>
      <c r="H123" s="17">
        <v>1.1688262030898684</v>
      </c>
      <c r="I123" s="17">
        <v>1.1996141938798675</v>
      </c>
      <c r="J123" s="17">
        <v>1.2312131695488668</v>
      </c>
      <c r="K123" s="17">
        <v>1.2636444922077767</v>
      </c>
      <c r="L123" s="17">
        <v>1.2969300866657707</v>
      </c>
      <c r="M123" s="17">
        <v>1.3310924552522905</v>
      </c>
      <c r="N123" s="17">
        <v>1.3661546930294786</v>
      </c>
      <c r="O123" s="17">
        <v>1.4021405034053191</v>
      </c>
      <c r="P123" s="17">
        <v>1.4390742141580448</v>
      </c>
      <c r="Q123" s="17">
        <v>1.4769807938826409</v>
      </c>
      <c r="R123" s="17">
        <v>1.515885868870567</v>
      </c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</row>
    <row r="124" spans="1:68" x14ac:dyDescent="0.25">
      <c r="A124" s="20" t="s">
        <v>76</v>
      </c>
      <c r="B124" s="39">
        <v>0</v>
      </c>
      <c r="C124" s="39">
        <v>0</v>
      </c>
      <c r="D124" s="39">
        <v>0</v>
      </c>
      <c r="E124" s="39">
        <v>0</v>
      </c>
      <c r="F124" s="39">
        <v>0</v>
      </c>
      <c r="G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</row>
    <row r="125" spans="1:68" x14ac:dyDescent="0.25">
      <c r="A125" s="9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</row>
    <row r="126" spans="1:68" ht="18.75" x14ac:dyDescent="0.5">
      <c r="A126" s="134" t="s">
        <v>82</v>
      </c>
      <c r="B126" s="134"/>
      <c r="C126" s="134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37" t="s">
        <v>110</v>
      </c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</row>
    <row r="127" spans="1:68" s="48" customFormat="1" x14ac:dyDescent="0.2">
      <c r="A127" s="11" t="s">
        <v>43</v>
      </c>
      <c r="B127" s="12">
        <v>2014</v>
      </c>
      <c r="C127" s="12">
        <v>2015</v>
      </c>
      <c r="D127" s="12">
        <v>2016</v>
      </c>
      <c r="E127" s="12">
        <v>2017</v>
      </c>
      <c r="F127" s="12">
        <v>2018</v>
      </c>
      <c r="G127" s="12">
        <v>2019</v>
      </c>
      <c r="H127" s="12">
        <v>2020</v>
      </c>
      <c r="I127" s="12">
        <v>2021</v>
      </c>
      <c r="J127" s="12">
        <v>2022</v>
      </c>
      <c r="K127" s="12">
        <v>2023</v>
      </c>
      <c r="L127" s="12">
        <v>2024</v>
      </c>
      <c r="M127" s="12">
        <v>2025</v>
      </c>
      <c r="N127" s="12">
        <v>2026</v>
      </c>
      <c r="O127" s="12">
        <v>2027</v>
      </c>
      <c r="P127" s="12">
        <v>2028</v>
      </c>
      <c r="Q127" s="12">
        <v>2029</v>
      </c>
      <c r="R127" s="12">
        <v>2030</v>
      </c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</row>
    <row r="128" spans="1:68" x14ac:dyDescent="0.25">
      <c r="A128" s="41" t="s">
        <v>2</v>
      </c>
      <c r="B128" s="50">
        <f>SUM(B129:B145)</f>
        <v>36216.959860787159</v>
      </c>
      <c r="C128" s="50">
        <f t="shared" ref="C128:R128" si="6">SUM(C129:C145)</f>
        <v>40025.930779255032</v>
      </c>
      <c r="D128" s="50">
        <f t="shared" si="6"/>
        <v>44235.494666141611</v>
      </c>
      <c r="E128" s="50">
        <f t="shared" si="6"/>
        <v>48887.782251710152</v>
      </c>
      <c r="F128" s="50">
        <f t="shared" si="6"/>
        <v>54029.355193804855</v>
      </c>
      <c r="G128" s="50">
        <f t="shared" si="6"/>
        <v>59711.672082572572</v>
      </c>
      <c r="H128" s="50">
        <f t="shared" si="6"/>
        <v>65991.603455328732</v>
      </c>
      <c r="I128" s="50">
        <f t="shared" si="6"/>
        <v>67662.188850400737</v>
      </c>
      <c r="J128" s="50">
        <f t="shared" si="6"/>
        <v>69375.065316095264</v>
      </c>
      <c r="K128" s="50">
        <f t="shared" si="6"/>
        <v>71131.303455962348</v>
      </c>
      <c r="L128" s="50">
        <f t="shared" si="6"/>
        <v>72932.000976009789</v>
      </c>
      <c r="M128" s="50">
        <f t="shared" si="6"/>
        <v>74778.283370805235</v>
      </c>
      <c r="N128" s="50">
        <f t="shared" si="6"/>
        <v>76671.304626947021</v>
      </c>
      <c r="O128" s="50">
        <f t="shared" si="6"/>
        <v>78612.247944343399</v>
      </c>
      <c r="P128" s="50">
        <f t="shared" si="6"/>
        <v>80602.326475750728</v>
      </c>
      <c r="Q128" s="50">
        <f t="shared" si="6"/>
        <v>82642.784085033723</v>
      </c>
      <c r="R128" s="50">
        <f t="shared" si="6"/>
        <v>84734.896124620704</v>
      </c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</row>
    <row r="129" spans="1:50" x14ac:dyDescent="0.25">
      <c r="A129" s="17" t="s">
        <v>44</v>
      </c>
      <c r="B129" s="17">
        <v>12.766077166545017</v>
      </c>
      <c r="C129" s="17">
        <v>14.108697222375119</v>
      </c>
      <c r="D129" s="17">
        <v>15.592521862103652</v>
      </c>
      <c r="E129" s="17">
        <v>17.2324017014557</v>
      </c>
      <c r="F129" s="17">
        <v>19.044749209046152</v>
      </c>
      <c r="G129" s="17">
        <v>21.047702967882</v>
      </c>
      <c r="H129" s="17">
        <v>23.261309212397684</v>
      </c>
      <c r="I129" s="17">
        <v>23.850172058665542</v>
      </c>
      <c r="J129" s="17">
        <v>24.453942038859022</v>
      </c>
      <c r="K129" s="17">
        <v>25.072996528870135</v>
      </c>
      <c r="L129" s="17">
        <v>25.707722457907067</v>
      </c>
      <c r="M129" s="17">
        <v>26.358516550337551</v>
      </c>
      <c r="N129" s="17">
        <v>27.025785573654499</v>
      </c>
      <c r="O129" s="17">
        <v>27.709946592718929</v>
      </c>
      <c r="P129" s="17">
        <v>28.411427230439099</v>
      </c>
      <c r="Q129" s="17">
        <v>29.130665935048704</v>
      </c>
      <c r="R129" s="17">
        <v>29.868112254151335</v>
      </c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</row>
    <row r="130" spans="1:50" x14ac:dyDescent="0.25">
      <c r="A130" s="17" t="s">
        <v>46</v>
      </c>
      <c r="B130" s="17">
        <v>6.0550496528215172</v>
      </c>
      <c r="C130" s="17">
        <v>6.691864783802389</v>
      </c>
      <c r="D130" s="17">
        <v>7.3956543467529823</v>
      </c>
      <c r="E130" s="17">
        <v>8.173462104171147</v>
      </c>
      <c r="F130" s="17">
        <v>9.0330726175233416</v>
      </c>
      <c r="G130" s="17">
        <v>9.9830891577522678</v>
      </c>
      <c r="H130" s="17">
        <v>11.033019809704118</v>
      </c>
      <c r="I130" s="17">
        <v>11.312322035935189</v>
      </c>
      <c r="J130" s="17">
        <v>11.598694831686039</v>
      </c>
      <c r="K130" s="17">
        <v>11.892317189276241</v>
      </c>
      <c r="L130" s="17">
        <v>12.193372632237509</v>
      </c>
      <c r="M130" s="17">
        <v>12.502049330021872</v>
      </c>
      <c r="N130" s="17">
        <v>12.81854021561373</v>
      </c>
      <c r="O130" s="17">
        <v>13.143043106119229</v>
      </c>
      <c r="P130" s="17">
        <v>13.475760826408401</v>
      </c>
      <c r="Q130" s="17">
        <v>13.816901335887311</v>
      </c>
      <c r="R130" s="17">
        <v>14.166677858479442</v>
      </c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</row>
    <row r="131" spans="1:50" x14ac:dyDescent="0.25">
      <c r="A131" s="17" t="s">
        <v>48</v>
      </c>
      <c r="B131" s="17">
        <v>1.5957596458181271</v>
      </c>
      <c r="C131" s="17">
        <v>1.76358715279689</v>
      </c>
      <c r="D131" s="17">
        <v>1.9490652327629565</v>
      </c>
      <c r="E131" s="17">
        <v>2.1540502126819625</v>
      </c>
      <c r="F131" s="17">
        <v>2.3805936511307686</v>
      </c>
      <c r="G131" s="17">
        <v>2.6309628709852499</v>
      </c>
      <c r="H131" s="17">
        <v>2.9076636515497105</v>
      </c>
      <c r="I131" s="17">
        <v>2.9812715073331923</v>
      </c>
      <c r="J131" s="17">
        <v>3.0567427548573778</v>
      </c>
      <c r="K131" s="17">
        <v>3.1341245661087669</v>
      </c>
      <c r="L131" s="17">
        <v>3.2134653072383834</v>
      </c>
      <c r="M131" s="17">
        <v>3.2948145687921939</v>
      </c>
      <c r="N131" s="17">
        <v>3.3782231967068124</v>
      </c>
      <c r="O131" s="17">
        <v>3.4637433240898665</v>
      </c>
      <c r="P131" s="17">
        <v>3.5514284038048873</v>
      </c>
      <c r="Q131" s="17">
        <v>3.641333241881088</v>
      </c>
      <c r="R131" s="17">
        <v>3.7335140317689168</v>
      </c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</row>
    <row r="132" spans="1:50" x14ac:dyDescent="0.25">
      <c r="A132" s="17" t="s">
        <v>50</v>
      </c>
      <c r="B132" s="17">
        <v>427.55312256316597</v>
      </c>
      <c r="C132" s="17">
        <v>472.51927698924402</v>
      </c>
      <c r="D132" s="17">
        <v>522.21456315864418</v>
      </c>
      <c r="E132" s="17">
        <v>577.136348198512</v>
      </c>
      <c r="F132" s="17">
        <v>637.83430779337618</v>
      </c>
      <c r="G132" s="17">
        <v>704.9159275241509</v>
      </c>
      <c r="H132" s="17">
        <v>779.05258278801273</v>
      </c>
      <c r="I132" s="17">
        <v>798.77439281615864</v>
      </c>
      <c r="J132" s="17">
        <v>818.99546284212727</v>
      </c>
      <c r="K132" s="17">
        <v>839.72843169293594</v>
      </c>
      <c r="L132" s="17">
        <v>860.9862581490321</v>
      </c>
      <c r="M132" s="17">
        <v>882.78222904395193</v>
      </c>
      <c r="N132" s="17">
        <v>905.12996756902385</v>
      </c>
      <c r="O132" s="17">
        <v>928.0434417883057</v>
      </c>
      <c r="P132" s="17">
        <v>951.53697336908238</v>
      </c>
      <c r="Q132" s="17">
        <v>975.62524653337118</v>
      </c>
      <c r="R132" s="17">
        <v>1000.3233172360392</v>
      </c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</row>
    <row r="133" spans="1:50" x14ac:dyDescent="0.25">
      <c r="A133" s="17" t="s">
        <v>52</v>
      </c>
      <c r="B133" s="17">
        <v>5176.6120026773096</v>
      </c>
      <c r="C133" s="17">
        <v>5721.0410395202989</v>
      </c>
      <c r="D133" s="17">
        <v>6322.7281779951081</v>
      </c>
      <c r="E133" s="17">
        <v>6987.6953052176204</v>
      </c>
      <c r="F133" s="17">
        <v>7722.5976357002519</v>
      </c>
      <c r="G133" s="17">
        <v>8534.7903189756726</v>
      </c>
      <c r="H133" s="17">
        <v>9432.4020524054922</v>
      </c>
      <c r="I133" s="17">
        <v>9671.1844471970107</v>
      </c>
      <c r="J133" s="17">
        <v>9916.0116470917856</v>
      </c>
      <c r="K133" s="17">
        <v>10167.036677059552</v>
      </c>
      <c r="L133" s="17">
        <v>10424.416435915604</v>
      </c>
      <c r="M133" s="17">
        <v>10688.311794387644</v>
      </c>
      <c r="N133" s="17">
        <v>10958.887695665244</v>
      </c>
      <c r="O133" s="17">
        <v>11236.313258494687</v>
      </c>
      <c r="P133" s="17">
        <v>11520.76188288372</v>
      </c>
      <c r="Q133" s="17">
        <v>11812.411358482168</v>
      </c>
      <c r="R133" s="17">
        <v>12111.443975706274</v>
      </c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</row>
    <row r="134" spans="1:50" x14ac:dyDescent="0.25">
      <c r="A134" s="17" t="s">
        <v>54</v>
      </c>
      <c r="B134" s="17">
        <v>10053.991030935629</v>
      </c>
      <c r="C134" s="17">
        <v>11111.378497983458</v>
      </c>
      <c r="D134" s="17">
        <v>12279.972375702391</v>
      </c>
      <c r="E134" s="17">
        <v>13571.468344398607</v>
      </c>
      <c r="F134" s="17">
        <v>14998.792129813593</v>
      </c>
      <c r="G134" s="17">
        <v>16576.22886813189</v>
      </c>
      <c r="H134" s="17">
        <v>18319.566076425377</v>
      </c>
      <c r="I134" s="17">
        <v>18783.328099605325</v>
      </c>
      <c r="J134" s="17">
        <v>19258.830314296723</v>
      </c>
      <c r="K134" s="17">
        <v>19746.369924862669</v>
      </c>
      <c r="L134" s="17">
        <v>20246.251659430527</v>
      </c>
      <c r="M134" s="17">
        <v>20758.787960356931</v>
      </c>
      <c r="N134" s="17">
        <v>21284.299179514423</v>
      </c>
      <c r="O134" s="17">
        <v>21823.113778521834</v>
      </c>
      <c r="P134" s="17">
        <v>22375.568534043436</v>
      </c>
      <c r="Q134" s="17">
        <v>22942.008748285371</v>
      </c>
      <c r="R134" s="17">
        <v>23522.788464820711</v>
      </c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</row>
    <row r="135" spans="1:50" x14ac:dyDescent="0.25">
      <c r="A135" s="9" t="s">
        <v>56</v>
      </c>
      <c r="B135" s="17">
        <v>8177.797445014663</v>
      </c>
      <c r="C135" s="17">
        <v>9037.8639101435383</v>
      </c>
      <c r="D135" s="17">
        <v>9988.3843550161</v>
      </c>
      <c r="E135" s="17">
        <v>11038.871907725583</v>
      </c>
      <c r="F135" s="17">
        <v>12199.840200780558</v>
      </c>
      <c r="G135" s="17">
        <v>13482.908595072848</v>
      </c>
      <c r="H135" s="17">
        <v>14900.918470346696</v>
      </c>
      <c r="I135" s="17">
        <v>15278.137017348212</v>
      </c>
      <c r="J135" s="17">
        <v>15664.904897331118</v>
      </c>
      <c r="K135" s="17">
        <v>16061.463852810772</v>
      </c>
      <c r="L135" s="17">
        <v>16468.061746043433</v>
      </c>
      <c r="M135" s="17">
        <v>16884.952713948256</v>
      </c>
      <c r="N135" s="17">
        <v>17312.397326951137</v>
      </c>
      <c r="O135" s="17">
        <v>17750.662751849712</v>
      </c>
      <c r="P135" s="17">
        <v>18200.022918801278</v>
      </c>
      <c r="Q135" s="17">
        <v>18660.758692538097</v>
      </c>
      <c r="R135" s="17">
        <v>19133.158047916982</v>
      </c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</row>
    <row r="136" spans="1:50" x14ac:dyDescent="0.25">
      <c r="A136" s="9" t="s">
        <v>58</v>
      </c>
      <c r="B136" s="17">
        <v>5468.0497161286039</v>
      </c>
      <c r="C136" s="17">
        <v>6043.1295248571359</v>
      </c>
      <c r="D136" s="17">
        <v>6678.6910050364122</v>
      </c>
      <c r="E136" s="17">
        <v>7381.0950695796628</v>
      </c>
      <c r="F136" s="17">
        <v>8157.3716144509926</v>
      </c>
      <c r="G136" s="17">
        <v>9015.2898762270324</v>
      </c>
      <c r="H136" s="17">
        <v>9963.436189227923</v>
      </c>
      <c r="I136" s="17">
        <v>10215.661777195684</v>
      </c>
      <c r="J136" s="17">
        <v>10474.272486322194</v>
      </c>
      <c r="K136" s="17">
        <v>10739.429956719143</v>
      </c>
      <c r="L136" s="17">
        <v>11011.299920437155</v>
      </c>
      <c r="M136" s="17">
        <v>11290.052305053659</v>
      </c>
      <c r="N136" s="17">
        <v>11575.861339883195</v>
      </c>
      <c r="O136" s="17">
        <v>11868.905664876416</v>
      </c>
      <c r="P136" s="17">
        <v>12169.368442275838</v>
      </c>
      <c r="Q136" s="17">
        <v>12477.43747109823</v>
      </c>
      <c r="R136" s="17">
        <v>12793.305304515108</v>
      </c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</row>
    <row r="137" spans="1:50" x14ac:dyDescent="0.25">
      <c r="A137" s="9" t="s">
        <v>60</v>
      </c>
      <c r="B137" s="17">
        <v>3520.5924614906321</v>
      </c>
      <c r="C137" s="17">
        <v>3890.8564028358069</v>
      </c>
      <c r="D137" s="17">
        <v>4300.0613428225597</v>
      </c>
      <c r="E137" s="17">
        <v>4752.3027420288108</v>
      </c>
      <c r="F137" s="17">
        <v>5252.1067843813998</v>
      </c>
      <c r="G137" s="17">
        <v>5804.4756767261288</v>
      </c>
      <c r="H137" s="17">
        <v>6414.9377125951833</v>
      </c>
      <c r="I137" s="17">
        <v>6577.3326339462337</v>
      </c>
      <c r="J137" s="17">
        <v>6743.8386023038429</v>
      </c>
      <c r="K137" s="17">
        <v>6914.5596893184611</v>
      </c>
      <c r="L137" s="17">
        <v>7089.6026012269149</v>
      </c>
      <c r="M137" s="17">
        <v>7269.0767455472778</v>
      </c>
      <c r="N137" s="17">
        <v>7453.09429946213</v>
      </c>
      <c r="O137" s="17">
        <v>7641.7702799329481</v>
      </c>
      <c r="P137" s="17">
        <v>7835.2226155894496</v>
      </c>
      <c r="Q137" s="17">
        <v>8033.5722204388276</v>
      </c>
      <c r="R137" s="17">
        <v>8236.9430694409384</v>
      </c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</row>
    <row r="138" spans="1:50" x14ac:dyDescent="0.25">
      <c r="A138" s="9" t="s">
        <v>62</v>
      </c>
      <c r="B138" s="17">
        <v>1909.0298667368529</v>
      </c>
      <c r="C138" s="17">
        <v>2109.804290455399</v>
      </c>
      <c r="D138" s="17">
        <v>2331.6943446425344</v>
      </c>
      <c r="E138" s="17">
        <v>2576.9207795403845</v>
      </c>
      <c r="F138" s="17">
        <v>2847.9379037328608</v>
      </c>
      <c r="G138" s="17">
        <v>3147.4581476908811</v>
      </c>
      <c r="H138" s="17">
        <v>3478.4792106882087</v>
      </c>
      <c r="I138" s="17">
        <v>3566.5373311485014</v>
      </c>
      <c r="J138" s="17">
        <v>3656.8246535414009</v>
      </c>
      <c r="K138" s="17">
        <v>3749.3976103825034</v>
      </c>
      <c r="L138" s="17">
        <v>3844.3140627833427</v>
      </c>
      <c r="M138" s="17">
        <v>3941.633336616459</v>
      </c>
      <c r="N138" s="17">
        <v>4041.4162595960111</v>
      </c>
      <c r="O138" s="17">
        <v>4143.7251992970714</v>
      </c>
      <c r="P138" s="17">
        <v>4248.6241021373889</v>
      </c>
      <c r="Q138" s="17">
        <v>4356.1785333459911</v>
      </c>
      <c r="R138" s="17">
        <v>4466.4557179435751</v>
      </c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</row>
    <row r="139" spans="1:50" x14ac:dyDescent="0.25">
      <c r="A139" s="9" t="s">
        <v>64</v>
      </c>
      <c r="B139" s="17">
        <v>954.85396855048657</v>
      </c>
      <c r="C139" s="17">
        <v>1055.2768370511169</v>
      </c>
      <c r="D139" s="17">
        <v>1166.2612708277481</v>
      </c>
      <c r="E139" s="17">
        <v>1288.9180393967745</v>
      </c>
      <c r="F139" s="17">
        <v>1424.4747329243969</v>
      </c>
      <c r="G139" s="17">
        <v>1574.2880483616191</v>
      </c>
      <c r="H139" s="17">
        <v>1739.8573677233301</v>
      </c>
      <c r="I139" s="17">
        <v>1783.9020666825622</v>
      </c>
      <c r="J139" s="17">
        <v>1829.0617625044085</v>
      </c>
      <c r="K139" s="17">
        <v>1875.3646814688318</v>
      </c>
      <c r="L139" s="17">
        <v>1922.8397644074728</v>
      </c>
      <c r="M139" s="17">
        <v>1971.5166847926121</v>
      </c>
      <c r="N139" s="17">
        <v>2021.4258672840594</v>
      </c>
      <c r="O139" s="17">
        <v>2072.5985067455535</v>
      </c>
      <c r="P139" s="17">
        <v>2125.0665877425686</v>
      </c>
      <c r="Q139" s="17">
        <v>2178.8629045337088</v>
      </c>
      <c r="R139" s="17">
        <v>2234.0210815681867</v>
      </c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</row>
    <row r="140" spans="1:50" x14ac:dyDescent="0.25">
      <c r="A140" s="9" t="s">
        <v>66</v>
      </c>
      <c r="B140" s="17">
        <v>348.66243635965151</v>
      </c>
      <c r="C140" s="17">
        <v>385.33158489008821</v>
      </c>
      <c r="D140" s="17">
        <v>425.85726143652329</v>
      </c>
      <c r="E140" s="17">
        <v>470.64506059098352</v>
      </c>
      <c r="F140" s="17">
        <v>520.14323370110594</v>
      </c>
      <c r="G140" s="17">
        <v>574.84717512028737</v>
      </c>
      <c r="H140" s="17">
        <v>635.30438028088065</v>
      </c>
      <c r="I140" s="17">
        <v>651.38718723738873</v>
      </c>
      <c r="J140" s="17">
        <v>667.87713239037203</v>
      </c>
      <c r="K140" s="17">
        <v>684.78452249234419</v>
      </c>
      <c r="L140" s="17">
        <v>702.11992521250113</v>
      </c>
      <c r="M140" s="17">
        <v>719.8941757418587</v>
      </c>
      <c r="N140" s="17">
        <v>738.11838356559838</v>
      </c>
      <c r="O140" s="17">
        <v>756.80393940685803</v>
      </c>
      <c r="P140" s="17">
        <v>775.96252234630492</v>
      </c>
      <c r="Q140" s="17">
        <v>795.60610712194159</v>
      </c>
      <c r="R140" s="17">
        <v>815.74697161370545</v>
      </c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</row>
    <row r="141" spans="1:50" x14ac:dyDescent="0.25">
      <c r="A141" s="9" t="s">
        <v>68</v>
      </c>
      <c r="B141" s="17">
        <v>104.99214769354538</v>
      </c>
      <c r="C141" s="17">
        <v>116.03426825720953</v>
      </c>
      <c r="D141" s="17">
        <v>128.23769877805626</v>
      </c>
      <c r="E141" s="17">
        <v>141.72457529045283</v>
      </c>
      <c r="F141" s="17">
        <v>156.62987898763097</v>
      </c>
      <c r="G141" s="17">
        <v>173.10278715883771</v>
      </c>
      <c r="H141" s="17">
        <v>191.30816620578616</v>
      </c>
      <c r="I141" s="17">
        <v>196.15115549059306</v>
      </c>
      <c r="J141" s="17">
        <v>201.11674563284345</v>
      </c>
      <c r="K141" s="17">
        <v>206.20804028801979</v>
      </c>
      <c r="L141" s="17">
        <v>211.42822168101725</v>
      </c>
      <c r="M141" s="17">
        <v>216.78055259513786</v>
      </c>
      <c r="N141" s="17">
        <v>222.26837841143606</v>
      </c>
      <c r="O141" s="17">
        <v>227.89512919969096</v>
      </c>
      <c r="P141" s="17">
        <v>233.66432186231143</v>
      </c>
      <c r="Q141" s="17">
        <v>239.57956233251471</v>
      </c>
      <c r="R141" s="17">
        <v>245.64454782815227</v>
      </c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</row>
    <row r="142" spans="1:50" x14ac:dyDescent="0.25">
      <c r="A142" s="9" t="s">
        <v>70</v>
      </c>
      <c r="B142" s="17">
        <v>35.740597565682357</v>
      </c>
      <c r="C142" s="17">
        <v>39.499469024237428</v>
      </c>
      <c r="D142" s="17">
        <v>43.653664445017085</v>
      </c>
      <c r="E142" s="17">
        <v>48.244760412065816</v>
      </c>
      <c r="F142" s="17">
        <v>53.318706156942419</v>
      </c>
      <c r="G142" s="17">
        <v>58.926283434073746</v>
      </c>
      <c r="H142" s="17">
        <v>65.123614761621113</v>
      </c>
      <c r="I142" s="17">
        <v>66.772226918298031</v>
      </c>
      <c r="J142" s="17">
        <v>68.462573890419264</v>
      </c>
      <c r="K142" s="17">
        <v>70.195712199867842</v>
      </c>
      <c r="L142" s="17">
        <v>71.972725114505607</v>
      </c>
      <c r="M142" s="17">
        <v>73.794723325250899</v>
      </c>
      <c r="N142" s="17">
        <v>75.66284564029651</v>
      </c>
      <c r="O142" s="17">
        <v>77.578259696901867</v>
      </c>
      <c r="P142" s="17">
        <v>79.542162691204396</v>
      </c>
      <c r="Q142" s="17">
        <v>81.555782126505946</v>
      </c>
      <c r="R142" s="17">
        <v>83.620376580502523</v>
      </c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</row>
    <row r="143" spans="1:50" x14ac:dyDescent="0.25">
      <c r="A143" s="9" t="s">
        <v>72</v>
      </c>
      <c r="B143" s="17">
        <v>14.361836812363142</v>
      </c>
      <c r="C143" s="17">
        <v>15.87228437517201</v>
      </c>
      <c r="D143" s="17">
        <v>17.541587094866607</v>
      </c>
      <c r="E143" s="17">
        <v>19.386451914137663</v>
      </c>
      <c r="F143" s="17">
        <v>21.425342860176919</v>
      </c>
      <c r="G143" s="17">
        <v>23.678665838867246</v>
      </c>
      <c r="H143" s="17">
        <v>26.168972863947396</v>
      </c>
      <c r="I143" s="17">
        <v>26.831443565998732</v>
      </c>
      <c r="J143" s="17">
        <v>27.510684793716401</v>
      </c>
      <c r="K143" s="17">
        <v>28.207121094978902</v>
      </c>
      <c r="L143" s="17">
        <v>28.921187765145447</v>
      </c>
      <c r="M143" s="17">
        <v>29.653331119129746</v>
      </c>
      <c r="N143" s="17">
        <v>30.404008770361308</v>
      </c>
      <c r="O143" s="17">
        <v>31.173689916808794</v>
      </c>
      <c r="P143" s="17">
        <v>31.962855634243986</v>
      </c>
      <c r="Q143" s="17">
        <v>32.771999176929789</v>
      </c>
      <c r="R143" s="17">
        <v>33.601626285920247</v>
      </c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</row>
    <row r="144" spans="1:50" x14ac:dyDescent="0.25">
      <c r="A144" s="9" t="s">
        <v>74</v>
      </c>
      <c r="B144" s="17">
        <v>1.5957596458181269</v>
      </c>
      <c r="C144" s="17">
        <v>1.7635871527968898</v>
      </c>
      <c r="D144" s="17">
        <v>1.9490652327629563</v>
      </c>
      <c r="E144" s="17">
        <v>2.1540502126819625</v>
      </c>
      <c r="F144" s="17">
        <v>2.3805936511307686</v>
      </c>
      <c r="G144" s="17">
        <v>2.6309628709852499</v>
      </c>
      <c r="H144" s="17">
        <v>2.9076636515497105</v>
      </c>
      <c r="I144" s="17">
        <v>2.9812715073331923</v>
      </c>
      <c r="J144" s="17">
        <v>3.0567427548573778</v>
      </c>
      <c r="K144" s="17">
        <v>3.1341245661087669</v>
      </c>
      <c r="L144" s="17">
        <v>3.2134653072383834</v>
      </c>
      <c r="M144" s="17">
        <v>3.2948145687921939</v>
      </c>
      <c r="N144" s="17">
        <v>3.3782231967068124</v>
      </c>
      <c r="O144" s="17">
        <v>3.4637433240898665</v>
      </c>
      <c r="P144" s="17">
        <v>3.5514284038048873</v>
      </c>
      <c r="Q144" s="17">
        <v>3.641333241881088</v>
      </c>
      <c r="R144" s="17">
        <v>3.7335140317689168</v>
      </c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</row>
    <row r="145" spans="1:50" x14ac:dyDescent="0.25">
      <c r="A145" s="20" t="s">
        <v>76</v>
      </c>
      <c r="B145" s="39">
        <v>2.7105821475689744</v>
      </c>
      <c r="C145" s="39">
        <v>2.9956565605482641</v>
      </c>
      <c r="D145" s="39">
        <v>3.3107125112604625</v>
      </c>
      <c r="E145" s="39">
        <v>3.6589031855542586</v>
      </c>
      <c r="F145" s="39">
        <v>4.0437133927289119</v>
      </c>
      <c r="G145" s="39">
        <v>4.4689944426770039</v>
      </c>
      <c r="H145" s="39">
        <v>4.9390026910883122</v>
      </c>
      <c r="I145" s="39">
        <v>5.0640341394836916</v>
      </c>
      <c r="J145" s="39">
        <v>5.1922307740645426</v>
      </c>
      <c r="K145" s="39">
        <v>5.3236727219006355</v>
      </c>
      <c r="L145" s="39">
        <v>5.4584421384881647</v>
      </c>
      <c r="M145" s="39">
        <v>5.5966232590996139</v>
      </c>
      <c r="N145" s="39">
        <v>5.7383024514335421</v>
      </c>
      <c r="O145" s="39">
        <v>5.8835682695972071</v>
      </c>
      <c r="P145" s="39">
        <v>6.032511509455766</v>
      </c>
      <c r="Q145" s="39">
        <v>6.1852252653826429</v>
      </c>
      <c r="R145" s="39">
        <v>6.3418049884465475</v>
      </c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</row>
    <row r="146" spans="1:50" x14ac:dyDescent="0.25">
      <c r="A146" s="9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</row>
    <row r="147" spans="1:50" x14ac:dyDescent="0.25">
      <c r="A147" s="3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</row>
    <row r="148" spans="1:50" x14ac:dyDescent="0.25">
      <c r="A148" s="41" t="s">
        <v>78</v>
      </c>
      <c r="B148" s="50">
        <f>SUM(B149:B165)</f>
        <v>33759.891066928292</v>
      </c>
      <c r="C148" s="50">
        <f t="shared" ref="C148:R148" si="7">SUM(C149:C165)</f>
        <v>37310.449804570992</v>
      </c>
      <c r="D148" s="50">
        <f t="shared" si="7"/>
        <v>41234.424064333114</v>
      </c>
      <c r="E148" s="50">
        <f t="shared" si="7"/>
        <v>45571.086299499584</v>
      </c>
      <c r="F148" s="50">
        <f t="shared" si="7"/>
        <v>50363.839283322544</v>
      </c>
      <c r="G148" s="50">
        <f t="shared" si="7"/>
        <v>55660.65049856394</v>
      </c>
      <c r="H148" s="50">
        <f t="shared" si="7"/>
        <v>61514.532212185673</v>
      </c>
      <c r="I148" s="50">
        <f t="shared" si="7"/>
        <v>63071.780009141017</v>
      </c>
      <c r="J148" s="50">
        <f t="shared" si="7"/>
        <v>64668.449721762678</v>
      </c>
      <c r="K148" s="50">
        <f t="shared" si="7"/>
        <v>66305.539320597061</v>
      </c>
      <c r="L148" s="50">
        <f t="shared" si="7"/>
        <v>67984.072039935243</v>
      </c>
      <c r="M148" s="50">
        <f t="shared" si="7"/>
        <v>69705.097017367691</v>
      </c>
      <c r="N148" s="50">
        <f t="shared" si="7"/>
        <v>71469.689949529333</v>
      </c>
      <c r="O148" s="50">
        <f t="shared" si="7"/>
        <v>73278.953764445236</v>
      </c>
      <c r="P148" s="50">
        <f t="shared" si="7"/>
        <v>75134.019310896198</v>
      </c>
      <c r="Q148" s="50">
        <f t="shared" si="7"/>
        <v>77036.046065236311</v>
      </c>
      <c r="R148" s="50">
        <f t="shared" si="7"/>
        <v>78986.222856103224</v>
      </c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</row>
    <row r="149" spans="1:50" x14ac:dyDescent="0.25">
      <c r="A149" s="17" t="s">
        <v>44</v>
      </c>
      <c r="B149" s="17">
        <v>12.766077166545017</v>
      </c>
      <c r="C149" s="17">
        <v>14.108697222375119</v>
      </c>
      <c r="D149" s="17">
        <v>15.592521862103652</v>
      </c>
      <c r="E149" s="17">
        <v>17.2324017014557</v>
      </c>
      <c r="F149" s="17">
        <v>19.044749209046152</v>
      </c>
      <c r="G149" s="17">
        <v>21.047702967882</v>
      </c>
      <c r="H149" s="17">
        <v>23.261309212397684</v>
      </c>
      <c r="I149" s="17">
        <v>23.850172058665542</v>
      </c>
      <c r="J149" s="17">
        <v>24.453942038859022</v>
      </c>
      <c r="K149" s="17">
        <v>25.072996528870135</v>
      </c>
      <c r="L149" s="17">
        <v>25.707722457907067</v>
      </c>
      <c r="M149" s="17">
        <v>26.358516550337551</v>
      </c>
      <c r="N149" s="17">
        <v>27.025785573654499</v>
      </c>
      <c r="O149" s="17">
        <v>27.709946592718929</v>
      </c>
      <c r="P149" s="17">
        <v>28.411427230439099</v>
      </c>
      <c r="Q149" s="17">
        <v>29.130665935048704</v>
      </c>
      <c r="R149" s="17">
        <v>29.868112254151335</v>
      </c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</row>
    <row r="150" spans="1:50" x14ac:dyDescent="0.25">
      <c r="A150" s="17" t="s">
        <v>46</v>
      </c>
      <c r="B150" s="17">
        <v>1.5957596458181271</v>
      </c>
      <c r="C150" s="17">
        <v>1.76358715279689</v>
      </c>
      <c r="D150" s="17">
        <v>1.9490652327629565</v>
      </c>
      <c r="E150" s="17">
        <v>2.1540502126819625</v>
      </c>
      <c r="F150" s="17">
        <v>2.3805936511307686</v>
      </c>
      <c r="G150" s="17">
        <v>2.6309628709852499</v>
      </c>
      <c r="H150" s="17">
        <v>2.9076636515497105</v>
      </c>
      <c r="I150" s="17">
        <v>2.9812715073331923</v>
      </c>
      <c r="J150" s="17">
        <v>3.0567427548573778</v>
      </c>
      <c r="K150" s="17">
        <v>3.1341245661087669</v>
      </c>
      <c r="L150" s="17">
        <v>3.2134653072383834</v>
      </c>
      <c r="M150" s="17">
        <v>3.2948145687921939</v>
      </c>
      <c r="N150" s="17">
        <v>3.3782231967068124</v>
      </c>
      <c r="O150" s="17">
        <v>3.4637433240898665</v>
      </c>
      <c r="P150" s="17">
        <v>3.5514284038048873</v>
      </c>
      <c r="Q150" s="17">
        <v>3.641333241881088</v>
      </c>
      <c r="R150" s="17">
        <v>3.7335140317689168</v>
      </c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</row>
    <row r="151" spans="1:50" x14ac:dyDescent="0.25">
      <c r="A151" s="17" t="s">
        <v>48</v>
      </c>
      <c r="B151" s="17">
        <v>1.5957596458181271</v>
      </c>
      <c r="C151" s="17">
        <v>1.76358715279689</v>
      </c>
      <c r="D151" s="17">
        <v>1.9490652327629565</v>
      </c>
      <c r="E151" s="17">
        <v>2.1540502126819625</v>
      </c>
      <c r="F151" s="17">
        <v>2.3805936511307686</v>
      </c>
      <c r="G151" s="17">
        <v>2.6309628709852499</v>
      </c>
      <c r="H151" s="17">
        <v>2.9076636515497105</v>
      </c>
      <c r="I151" s="17">
        <v>2.9812715073331923</v>
      </c>
      <c r="J151" s="17">
        <v>3.0567427548573778</v>
      </c>
      <c r="K151" s="17">
        <v>3.1341245661087669</v>
      </c>
      <c r="L151" s="17">
        <v>3.2134653072383834</v>
      </c>
      <c r="M151" s="17">
        <v>3.2948145687921939</v>
      </c>
      <c r="N151" s="17">
        <v>3.3782231967068124</v>
      </c>
      <c r="O151" s="17">
        <v>3.4637433240898665</v>
      </c>
      <c r="P151" s="17">
        <v>3.5514284038048873</v>
      </c>
      <c r="Q151" s="17">
        <v>3.641333241881088</v>
      </c>
      <c r="R151" s="17">
        <v>3.7335140317689168</v>
      </c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</row>
    <row r="152" spans="1:50" x14ac:dyDescent="0.25">
      <c r="A152" s="17" t="s">
        <v>50</v>
      </c>
      <c r="B152" s="17">
        <v>371.81199747562351</v>
      </c>
      <c r="C152" s="17">
        <v>410.91580660167523</v>
      </c>
      <c r="D152" s="17">
        <v>454.13219923376886</v>
      </c>
      <c r="E152" s="17">
        <v>501.89369955489724</v>
      </c>
      <c r="F152" s="17">
        <v>554.67832071346902</v>
      </c>
      <c r="G152" s="17">
        <v>613.01434893956309</v>
      </c>
      <c r="H152" s="17">
        <v>677.48563081108261</v>
      </c>
      <c r="I152" s="17">
        <v>694.63626120863353</v>
      </c>
      <c r="J152" s="17">
        <v>712.22106188176917</v>
      </c>
      <c r="K152" s="17">
        <v>730.25102390334268</v>
      </c>
      <c r="L152" s="17">
        <v>748.7374165865433</v>
      </c>
      <c r="M152" s="17">
        <v>767.69179452858111</v>
      </c>
      <c r="N152" s="17">
        <v>787.12600483268727</v>
      </c>
      <c r="O152" s="17">
        <v>807.05219451293874</v>
      </c>
      <c r="P152" s="17">
        <v>827.48281808653871</v>
      </c>
      <c r="Q152" s="17">
        <v>848.43064535829353</v>
      </c>
      <c r="R152" s="17">
        <v>869.90876940215776</v>
      </c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</row>
    <row r="153" spans="1:50" x14ac:dyDescent="0.25">
      <c r="A153" s="17" t="s">
        <v>52</v>
      </c>
      <c r="B153" s="17">
        <v>4677.1715218929294</v>
      </c>
      <c r="C153" s="17">
        <v>5169.0739448476852</v>
      </c>
      <c r="D153" s="17">
        <v>5712.7101972282253</v>
      </c>
      <c r="E153" s="17">
        <v>6313.521173370832</v>
      </c>
      <c r="F153" s="17">
        <v>6977.5199914642799</v>
      </c>
      <c r="G153" s="17">
        <v>7711.352174857765</v>
      </c>
      <c r="H153" s="17">
        <v>8522.3621626922013</v>
      </c>
      <c r="I153" s="17">
        <v>8738.1067879935854</v>
      </c>
      <c r="J153" s="17">
        <v>8959.3130144869738</v>
      </c>
      <c r="K153" s="17">
        <v>9186.1191032647948</v>
      </c>
      <c r="L153" s="17">
        <v>9418.6668155157022</v>
      </c>
      <c r="M153" s="17">
        <v>9657.1015011299187</v>
      </c>
      <c r="N153" s="17">
        <v>9901.572189547669</v>
      </c>
      <c r="O153" s="17">
        <v>10152.231682907401</v>
      </c>
      <c r="P153" s="17">
        <v>10409.236651552126</v>
      </c>
      <c r="Q153" s="17">
        <v>10672.74773195347</v>
      </c>
      <c r="R153" s="17">
        <v>10942.929627114698</v>
      </c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</row>
    <row r="154" spans="1:50" x14ac:dyDescent="0.25">
      <c r="A154" s="17" t="s">
        <v>54</v>
      </c>
      <c r="B154" s="17">
        <v>9282.5338597240443</v>
      </c>
      <c r="C154" s="17">
        <v>10258.786467819507</v>
      </c>
      <c r="D154" s="17">
        <v>11337.712458982116</v>
      </c>
      <c r="E154" s="17">
        <v>12530.110087170977</v>
      </c>
      <c r="F154" s="17">
        <v>13847.913268627679</v>
      </c>
      <c r="G154" s="17">
        <v>15304.311020521196</v>
      </c>
      <c r="H154" s="17">
        <v>16913.879461064666</v>
      </c>
      <c r="I154" s="17">
        <v>17342.056358157181</v>
      </c>
      <c r="J154" s="17">
        <v>17781.072605005364</v>
      </c>
      <c r="K154" s="17">
        <v>18231.202601054694</v>
      </c>
      <c r="L154" s="17">
        <v>18692.727692205674</v>
      </c>
      <c r="M154" s="17">
        <v>19165.936346664195</v>
      </c>
      <c r="N154" s="17">
        <v>19651.12433524353</v>
      </c>
      <c r="O154" s="17">
        <v>20148.594916230759</v>
      </c>
      <c r="P154" s="17">
        <v>20658.659024933029</v>
      </c>
      <c r="Q154" s="17">
        <v>21181.635468022287</v>
      </c>
      <c r="R154" s="17">
        <v>21717.851122799791</v>
      </c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</row>
    <row r="155" spans="1:50" x14ac:dyDescent="0.25">
      <c r="A155" s="9" t="s">
        <v>56</v>
      </c>
      <c r="B155" s="17">
        <v>7618.1565491357387</v>
      </c>
      <c r="C155" s="17">
        <v>8419.3650674523506</v>
      </c>
      <c r="D155" s="17">
        <v>9304.8374212103554</v>
      </c>
      <c r="E155" s="17">
        <v>10283.435715343687</v>
      </c>
      <c r="F155" s="17">
        <v>11364.954090498286</v>
      </c>
      <c r="G155" s="17">
        <v>12560.216746083583</v>
      </c>
      <c r="H155" s="17">
        <v>13881.186272498315</v>
      </c>
      <c r="I155" s="17">
        <v>14232.590176008658</v>
      </c>
      <c r="J155" s="17">
        <v>14592.889911689121</v>
      </c>
      <c r="K155" s="17">
        <v>14962.310678603253</v>
      </c>
      <c r="L155" s="17">
        <v>15341.083376756043</v>
      </c>
      <c r="M155" s="17">
        <v>15729.444751413936</v>
      </c>
      <c r="N155" s="17">
        <v>16127.637541078324</v>
      </c>
      <c r="O155" s="17">
        <v>16535.910629205024</v>
      </c>
      <c r="P155" s="17">
        <v>16954.519199764538</v>
      </c>
      <c r="Q155" s="17">
        <v>17383.724896740317</v>
      </c>
      <c r="R155" s="17">
        <v>17823.795987664813</v>
      </c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</row>
    <row r="156" spans="1:50" x14ac:dyDescent="0.25">
      <c r="A156" s="9" t="s">
        <v>58</v>
      </c>
      <c r="B156" s="17">
        <v>5155.8994156383678</v>
      </c>
      <c r="C156" s="17">
        <v>5698.1500906867514</v>
      </c>
      <c r="D156" s="17">
        <v>6297.4297670571123</v>
      </c>
      <c r="E156" s="17">
        <v>6959.7362371754198</v>
      </c>
      <c r="F156" s="17">
        <v>7691.6980868035116</v>
      </c>
      <c r="G156" s="17">
        <v>8500.6410361533417</v>
      </c>
      <c r="H156" s="17">
        <v>9394.6612581571117</v>
      </c>
      <c r="I156" s="17">
        <v>9632.4882401935447</v>
      </c>
      <c r="J156" s="17">
        <v>9876.3358409441862</v>
      </c>
      <c r="K156" s="17">
        <v>10126.356473097425</v>
      </c>
      <c r="L156" s="17">
        <v>10382.706407687219</v>
      </c>
      <c r="M156" s="17">
        <v>10645.545871767581</v>
      </c>
      <c r="N156" s="17">
        <v>10915.03914855971</v>
      </c>
      <c r="O156" s="17">
        <v>11191.35468013436</v>
      </c>
      <c r="P156" s="17">
        <v>11474.665172693591</v>
      </c>
      <c r="Q156" s="17">
        <v>11765.1477045178</v>
      </c>
      <c r="R156" s="17">
        <v>12062.983836645371</v>
      </c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</row>
    <row r="157" spans="1:50" x14ac:dyDescent="0.25">
      <c r="A157" s="9" t="s">
        <v>60</v>
      </c>
      <c r="B157" s="17">
        <v>3373.4358912595208</v>
      </c>
      <c r="C157" s="17">
        <v>3728.2232410126248</v>
      </c>
      <c r="D157" s="17">
        <v>4120.3239020608898</v>
      </c>
      <c r="E157" s="17">
        <v>4553.6621496096686</v>
      </c>
      <c r="F157" s="17">
        <v>5032.5749784904438</v>
      </c>
      <c r="G157" s="17">
        <v>5561.8555092628176</v>
      </c>
      <c r="H157" s="17">
        <v>6146.800959376088</v>
      </c>
      <c r="I157" s="17">
        <v>6302.4079665023683</v>
      </c>
      <c r="J157" s="17">
        <v>6461.9541837684965</v>
      </c>
      <c r="K157" s="17">
        <v>6625.5393327539332</v>
      </c>
      <c r="L157" s="17">
        <v>6793.2656595019444</v>
      </c>
      <c r="M157" s="17">
        <v>6965.2379984266991</v>
      </c>
      <c r="N157" s="17">
        <v>7141.5638378382018</v>
      </c>
      <c r="O157" s="17">
        <v>7322.3533871259788</v>
      </c>
      <c r="P157" s="17">
        <v>7507.7196456435331</v>
      </c>
      <c r="Q157" s="17">
        <v>7697.7784733366216</v>
      </c>
      <c r="R157" s="17">
        <v>7892.6486631594926</v>
      </c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</row>
    <row r="158" spans="1:50" x14ac:dyDescent="0.25">
      <c r="A158" s="9" t="s">
        <v>62</v>
      </c>
      <c r="B158" s="17">
        <v>1839.9108716283001</v>
      </c>
      <c r="C158" s="17">
        <v>2033.4159871748141</v>
      </c>
      <c r="D158" s="17">
        <v>2247.2722133756884</v>
      </c>
      <c r="E158" s="17">
        <v>2483.6198952223021</v>
      </c>
      <c r="F158" s="17">
        <v>2744.8244797537754</v>
      </c>
      <c r="G158" s="17">
        <v>3033.5001902459926</v>
      </c>
      <c r="H158" s="17">
        <v>3352.5361902368163</v>
      </c>
      <c r="I158" s="17">
        <v>3437.4060479551699</v>
      </c>
      <c r="J158" s="17">
        <v>3524.4243963505551</v>
      </c>
      <c r="K158" s="17">
        <v>3613.6456247234082</v>
      </c>
      <c r="L158" s="17">
        <v>3705.1254992458557</v>
      </c>
      <c r="M158" s="17">
        <v>3798.9211978173994</v>
      </c>
      <c r="N158" s="17">
        <v>3895.091345802954</v>
      </c>
      <c r="O158" s="17">
        <v>3993.6960526756166</v>
      </c>
      <c r="P158" s="17">
        <v>4094.7969495870343</v>
      </c>
      <c r="Q158" s="17">
        <v>4198.4572278888945</v>
      </c>
      <c r="R158" s="17">
        <v>4304.7416786295607</v>
      </c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</row>
    <row r="159" spans="1:50" x14ac:dyDescent="0.25">
      <c r="A159" s="9" t="s">
        <v>64</v>
      </c>
      <c r="B159" s="17">
        <v>930.32787351196805</v>
      </c>
      <c r="C159" s="17">
        <v>1028.1713100805866</v>
      </c>
      <c r="D159" s="17">
        <v>1136.3050307008032</v>
      </c>
      <c r="E159" s="17">
        <v>1255.8112739935839</v>
      </c>
      <c r="F159" s="17">
        <v>1387.8860986092377</v>
      </c>
      <c r="G159" s="17">
        <v>1533.8513537844003</v>
      </c>
      <c r="H159" s="17">
        <v>1695.1679088534809</v>
      </c>
      <c r="I159" s="17">
        <v>1738.0812887752511</v>
      </c>
      <c r="J159" s="17">
        <v>1782.0810260818507</v>
      </c>
      <c r="K159" s="17">
        <v>1827.1946220414109</v>
      </c>
      <c r="L159" s="17">
        <v>1873.4502741199776</v>
      </c>
      <c r="M159" s="17">
        <v>1920.8768936058489</v>
      </c>
      <c r="N159" s="17">
        <v>1969.5041236800716</v>
      </c>
      <c r="O159" s="17">
        <v>2019.362357944392</v>
      </c>
      <c r="P159" s="17">
        <v>2070.4827594182493</v>
      </c>
      <c r="Q159" s="17">
        <v>2122.8972800166739</v>
      </c>
      <c r="R159" s="17">
        <v>2176.6386805212787</v>
      </c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</row>
    <row r="160" spans="1:50" x14ac:dyDescent="0.25">
      <c r="A160" s="9" t="s">
        <v>66</v>
      </c>
      <c r="B160" s="17">
        <v>343.08832385089727</v>
      </c>
      <c r="C160" s="17">
        <v>379.17123785133134</v>
      </c>
      <c r="D160" s="17">
        <v>419.04902504403572</v>
      </c>
      <c r="E160" s="17">
        <v>463.12079572662202</v>
      </c>
      <c r="F160" s="17">
        <v>511.82763499311517</v>
      </c>
      <c r="G160" s="17">
        <v>565.65701726182863</v>
      </c>
      <c r="H160" s="17">
        <v>625.14768508318775</v>
      </c>
      <c r="I160" s="17">
        <v>640.97337407663622</v>
      </c>
      <c r="J160" s="17">
        <v>657.19969229433627</v>
      </c>
      <c r="K160" s="17">
        <v>673.83678171338488</v>
      </c>
      <c r="L160" s="17">
        <v>690.89504105625224</v>
      </c>
      <c r="M160" s="17">
        <v>708.38513229032162</v>
      </c>
      <c r="N160" s="17">
        <v>726.31798729196476</v>
      </c>
      <c r="O160" s="17">
        <v>744.70481467932132</v>
      </c>
      <c r="P160" s="17">
        <v>763.55710681805056</v>
      </c>
      <c r="Q160" s="17">
        <v>782.88664700443383</v>
      </c>
      <c r="R160" s="17">
        <v>802.70551683031726</v>
      </c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</row>
    <row r="161" spans="1:50" x14ac:dyDescent="0.25">
      <c r="A161" s="9" t="s">
        <v>68</v>
      </c>
      <c r="B161" s="17">
        <v>100.53285768654199</v>
      </c>
      <c r="C161" s="17">
        <v>111.10599062620403</v>
      </c>
      <c r="D161" s="17">
        <v>122.79110966406624</v>
      </c>
      <c r="E161" s="17">
        <v>135.70516339896363</v>
      </c>
      <c r="F161" s="17">
        <v>149.9774000212384</v>
      </c>
      <c r="G161" s="17">
        <v>165.75066087207071</v>
      </c>
      <c r="H161" s="17">
        <v>183.18281004763176</v>
      </c>
      <c r="I161" s="17">
        <v>187.82010496199109</v>
      </c>
      <c r="J161" s="17">
        <v>192.57479355601478</v>
      </c>
      <c r="K161" s="17">
        <v>197.44984766485231</v>
      </c>
      <c r="L161" s="17">
        <v>202.44831435601816</v>
      </c>
      <c r="M161" s="17">
        <v>207.57331783390819</v>
      </c>
      <c r="N161" s="17">
        <v>212.82806139252918</v>
      </c>
      <c r="O161" s="17">
        <v>218.21582941766158</v>
      </c>
      <c r="P161" s="17">
        <v>223.73998943970793</v>
      </c>
      <c r="Q161" s="17">
        <v>229.40399423850849</v>
      </c>
      <c r="R161" s="17">
        <v>235.21138400144173</v>
      </c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</row>
    <row r="162" spans="1:50" x14ac:dyDescent="0.25">
      <c r="A162" s="9" t="s">
        <v>70</v>
      </c>
      <c r="B162" s="17">
        <v>33.510952562180663</v>
      </c>
      <c r="C162" s="17">
        <v>37.035330208734678</v>
      </c>
      <c r="D162" s="17">
        <v>40.930369888022071</v>
      </c>
      <c r="E162" s="17">
        <v>45.235054466321216</v>
      </c>
      <c r="F162" s="17">
        <v>49.992466673746129</v>
      </c>
      <c r="G162" s="17">
        <v>55.250220290690244</v>
      </c>
      <c r="H162" s="17">
        <v>61.060936682543918</v>
      </c>
      <c r="I162" s="17">
        <v>62.606701653997028</v>
      </c>
      <c r="J162" s="17">
        <v>64.191597852004932</v>
      </c>
      <c r="K162" s="17">
        <v>65.816615888284105</v>
      </c>
      <c r="L162" s="17">
        <v>67.482771452006048</v>
      </c>
      <c r="M162" s="17">
        <v>69.191105944636064</v>
      </c>
      <c r="N162" s="17">
        <v>70.942687130843055</v>
      </c>
      <c r="O162" s="17">
        <v>72.73860980588718</v>
      </c>
      <c r="P162" s="17">
        <v>74.579996479902633</v>
      </c>
      <c r="Q162" s="17">
        <v>76.467998079502834</v>
      </c>
      <c r="R162" s="17">
        <v>78.403794667147253</v>
      </c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</row>
    <row r="163" spans="1:50" x14ac:dyDescent="0.25">
      <c r="A163" s="9" t="s">
        <v>72</v>
      </c>
      <c r="B163" s="17">
        <v>14.361836812363142</v>
      </c>
      <c r="C163" s="17">
        <v>15.87228437517201</v>
      </c>
      <c r="D163" s="17">
        <v>17.541587094866607</v>
      </c>
      <c r="E163" s="17">
        <v>19.386451914137663</v>
      </c>
      <c r="F163" s="17">
        <v>21.425342860176919</v>
      </c>
      <c r="G163" s="17">
        <v>23.678665838867246</v>
      </c>
      <c r="H163" s="17">
        <v>26.168972863947396</v>
      </c>
      <c r="I163" s="17">
        <v>26.831443565998732</v>
      </c>
      <c r="J163" s="17">
        <v>27.510684793716401</v>
      </c>
      <c r="K163" s="17">
        <v>28.207121094978902</v>
      </c>
      <c r="L163" s="17">
        <v>28.921187765145447</v>
      </c>
      <c r="M163" s="17">
        <v>29.653331119129746</v>
      </c>
      <c r="N163" s="17">
        <v>30.404008770361308</v>
      </c>
      <c r="O163" s="17">
        <v>31.173689916808794</v>
      </c>
      <c r="P163" s="17">
        <v>31.962855634243986</v>
      </c>
      <c r="Q163" s="17">
        <v>32.771999176929789</v>
      </c>
      <c r="R163" s="17">
        <v>33.601626285920247</v>
      </c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 spans="1:50" x14ac:dyDescent="0.25">
      <c r="A164" s="9" t="s">
        <v>74</v>
      </c>
      <c r="B164" s="17">
        <v>1.5957596458181269</v>
      </c>
      <c r="C164" s="17">
        <v>1.7635871527968898</v>
      </c>
      <c r="D164" s="17">
        <v>1.9490652327629563</v>
      </c>
      <c r="E164" s="17">
        <v>2.1540502126819625</v>
      </c>
      <c r="F164" s="17">
        <v>2.3805936511307686</v>
      </c>
      <c r="G164" s="17">
        <v>2.6309628709852499</v>
      </c>
      <c r="H164" s="17">
        <v>2.9076636515497105</v>
      </c>
      <c r="I164" s="17">
        <v>2.9812715073331923</v>
      </c>
      <c r="J164" s="17">
        <v>3.0567427548573778</v>
      </c>
      <c r="K164" s="17">
        <v>3.1341245661087669</v>
      </c>
      <c r="L164" s="17">
        <v>3.2134653072383834</v>
      </c>
      <c r="M164" s="17">
        <v>3.2948145687921939</v>
      </c>
      <c r="N164" s="17">
        <v>3.3782231967068124</v>
      </c>
      <c r="O164" s="17">
        <v>3.4637433240898665</v>
      </c>
      <c r="P164" s="17">
        <v>3.5514284038048873</v>
      </c>
      <c r="Q164" s="17">
        <v>3.641333241881088</v>
      </c>
      <c r="R164" s="17">
        <v>3.7335140317689168</v>
      </c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</row>
    <row r="165" spans="1:50" x14ac:dyDescent="0.25">
      <c r="A165" s="20" t="s">
        <v>76</v>
      </c>
      <c r="B165" s="39">
        <v>1.5957596458181269</v>
      </c>
      <c r="C165" s="39">
        <v>1.7635871527968898</v>
      </c>
      <c r="D165" s="39">
        <v>1.9490652327629563</v>
      </c>
      <c r="E165" s="39">
        <v>2.1540502126819625</v>
      </c>
      <c r="F165" s="39">
        <v>2.3805936511307686</v>
      </c>
      <c r="G165" s="39">
        <v>2.6309628709852499</v>
      </c>
      <c r="H165" s="39">
        <v>2.9076636515497105</v>
      </c>
      <c r="I165" s="39">
        <v>2.9812715073331923</v>
      </c>
      <c r="J165" s="39">
        <v>3.0567427548573778</v>
      </c>
      <c r="K165" s="39">
        <v>3.1341245661087669</v>
      </c>
      <c r="L165" s="39">
        <v>3.2134653072383834</v>
      </c>
      <c r="M165" s="39">
        <v>3.2948145687921939</v>
      </c>
      <c r="N165" s="39">
        <v>3.3782231967068124</v>
      </c>
      <c r="O165" s="39">
        <v>3.4637433240898665</v>
      </c>
      <c r="P165" s="39">
        <v>3.5514284038048873</v>
      </c>
      <c r="Q165" s="39">
        <v>3.641333241881088</v>
      </c>
      <c r="R165" s="39">
        <v>3.7335140317689168</v>
      </c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</row>
    <row r="166" spans="1:50" x14ac:dyDescent="0.25">
      <c r="A166" s="9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</row>
    <row r="167" spans="1:50" x14ac:dyDescent="0.25">
      <c r="A167" s="3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</row>
    <row r="168" spans="1:50" x14ac:dyDescent="0.25">
      <c r="A168" s="41" t="s">
        <v>4</v>
      </c>
      <c r="B168" s="50">
        <f>SUM(B169:B185)</f>
        <v>2457.0687938588685</v>
      </c>
      <c r="C168" s="50">
        <f t="shared" ref="C168:R168" si="8">SUM(C169:C185)</f>
        <v>2715.4809746840297</v>
      </c>
      <c r="D168" s="50">
        <f t="shared" si="8"/>
        <v>3001.0706018085034</v>
      </c>
      <c r="E168" s="50">
        <f t="shared" si="8"/>
        <v>3316.6959522105408</v>
      </c>
      <c r="F168" s="50">
        <f t="shared" si="8"/>
        <v>3665.5159104823078</v>
      </c>
      <c r="G168" s="50">
        <f t="shared" si="8"/>
        <v>4051.0215840086262</v>
      </c>
      <c r="H168" s="50">
        <f t="shared" si="8"/>
        <v>4477.0712431430784</v>
      </c>
      <c r="I168" s="50">
        <f t="shared" si="8"/>
        <v>4590.4088412596984</v>
      </c>
      <c r="J168" s="50">
        <f t="shared" si="8"/>
        <v>4706.6155943325921</v>
      </c>
      <c r="K168" s="50">
        <f t="shared" si="8"/>
        <v>4825.764135365278</v>
      </c>
      <c r="L168" s="50">
        <f t="shared" si="8"/>
        <v>4947.928936074517</v>
      </c>
      <c r="M168" s="50">
        <f t="shared" si="8"/>
        <v>5073.1863534375516</v>
      </c>
      <c r="N168" s="50">
        <f t="shared" si="8"/>
        <v>5201.6146774177105</v>
      </c>
      <c r="O168" s="50">
        <f t="shared" si="8"/>
        <v>5333.2941798981792</v>
      </c>
      <c r="P168" s="50">
        <f t="shared" si="8"/>
        <v>5468.3071648545356</v>
      </c>
      <c r="Q168" s="50">
        <f t="shared" si="8"/>
        <v>5606.7380197974271</v>
      </c>
      <c r="R168" s="50">
        <f t="shared" si="8"/>
        <v>5748.6732685174948</v>
      </c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</row>
    <row r="169" spans="1:50" x14ac:dyDescent="0.25">
      <c r="A169" s="17" t="s">
        <v>44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</row>
    <row r="170" spans="1:50" x14ac:dyDescent="0.25">
      <c r="A170" s="17" t="s">
        <v>46</v>
      </c>
      <c r="B170" s="17">
        <v>4.4592900070033901</v>
      </c>
      <c r="C170" s="17">
        <v>4.9282776310054981</v>
      </c>
      <c r="D170" s="17">
        <v>5.4465891139900258</v>
      </c>
      <c r="E170" s="17">
        <v>6.0194118914891845</v>
      </c>
      <c r="F170" s="17">
        <v>6.6524789663925734</v>
      </c>
      <c r="G170" s="17">
        <v>7.3521262867670174</v>
      </c>
      <c r="H170" s="17">
        <v>8.1253561581544069</v>
      </c>
      <c r="I170" s="17">
        <v>8.3310505286019954</v>
      </c>
      <c r="J170" s="17">
        <v>8.541952076828661</v>
      </c>
      <c r="K170" s="17">
        <v>8.7581926231674743</v>
      </c>
      <c r="L170" s="17">
        <v>8.9799073249991235</v>
      </c>
      <c r="M170" s="17">
        <v>9.2072347612296781</v>
      </c>
      <c r="N170" s="17">
        <v>9.440317018906919</v>
      </c>
      <c r="O170" s="17">
        <v>9.6792997820293643</v>
      </c>
      <c r="P170" s="17">
        <v>9.9243324226035163</v>
      </c>
      <c r="Q170" s="17">
        <v>10.175568094006222</v>
      </c>
      <c r="R170" s="17">
        <v>10.433163826710523</v>
      </c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</row>
    <row r="171" spans="1:50" x14ac:dyDescent="0.25">
      <c r="A171" s="17" t="s">
        <v>48</v>
      </c>
      <c r="B171" s="17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</row>
    <row r="172" spans="1:50" x14ac:dyDescent="0.25">
      <c r="A172" s="17" t="s">
        <v>50</v>
      </c>
      <c r="B172" s="17">
        <v>55.741125087542386</v>
      </c>
      <c r="C172" s="17">
        <v>61.603470387568741</v>
      </c>
      <c r="D172" s="17">
        <v>68.08236392487531</v>
      </c>
      <c r="E172" s="17">
        <v>75.2426486436148</v>
      </c>
      <c r="F172" s="17">
        <v>83.155987079907163</v>
      </c>
      <c r="G172" s="17">
        <v>91.901578584587696</v>
      </c>
      <c r="H172" s="17">
        <v>101.56695197693008</v>
      </c>
      <c r="I172" s="17">
        <v>104.13813160752494</v>
      </c>
      <c r="J172" s="17">
        <v>106.77440096035825</v>
      </c>
      <c r="K172" s="17">
        <v>109.47740778959343</v>
      </c>
      <c r="L172" s="17">
        <v>112.24884156248902</v>
      </c>
      <c r="M172" s="17">
        <v>115.09043451537096</v>
      </c>
      <c r="N172" s="17">
        <v>118.00396273633645</v>
      </c>
      <c r="O172" s="17">
        <v>120.99124727536703</v>
      </c>
      <c r="P172" s="17">
        <v>124.05415528254392</v>
      </c>
      <c r="Q172" s="17">
        <v>127.19460117507774</v>
      </c>
      <c r="R172" s="17">
        <v>130.41454783388147</v>
      </c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</row>
    <row r="173" spans="1:50" x14ac:dyDescent="0.25">
      <c r="A173" s="17" t="s">
        <v>52</v>
      </c>
      <c r="B173" s="17">
        <v>499.44048078437964</v>
      </c>
      <c r="C173" s="17">
        <v>551.96709467261587</v>
      </c>
      <c r="D173" s="17">
        <v>610.01798076688283</v>
      </c>
      <c r="E173" s="17">
        <v>674.1741318467889</v>
      </c>
      <c r="F173" s="17">
        <v>745.07764423596825</v>
      </c>
      <c r="G173" s="17">
        <v>823.43814411790584</v>
      </c>
      <c r="H173" s="17">
        <v>910.03988971329329</v>
      </c>
      <c r="I173" s="17">
        <v>933.07765920342331</v>
      </c>
      <c r="J173" s="17">
        <v>956.69863260480997</v>
      </c>
      <c r="K173" s="17">
        <v>980.91757379475678</v>
      </c>
      <c r="L173" s="17">
        <v>1005.7496203999017</v>
      </c>
      <c r="M173" s="17">
        <v>1031.2102932577236</v>
      </c>
      <c r="N173" s="17">
        <v>1057.3155061175748</v>
      </c>
      <c r="O173" s="17">
        <v>1084.0815755872889</v>
      </c>
      <c r="P173" s="17">
        <v>1111.5252313315934</v>
      </c>
      <c r="Q173" s="17">
        <v>1139.6636265286966</v>
      </c>
      <c r="R173" s="17">
        <v>1168.5143485915778</v>
      </c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 spans="1:50" x14ac:dyDescent="0.25">
      <c r="A174" s="17" t="s">
        <v>54</v>
      </c>
      <c r="B174" s="17">
        <v>771.45717121158646</v>
      </c>
      <c r="C174" s="17">
        <v>852.59203016395111</v>
      </c>
      <c r="D174" s="17">
        <v>942.25991672027408</v>
      </c>
      <c r="E174" s="17">
        <v>1041.3582572276289</v>
      </c>
      <c r="F174" s="17">
        <v>1150.878861185915</v>
      </c>
      <c r="G174" s="17">
        <v>1271.9178476106938</v>
      </c>
      <c r="H174" s="17">
        <v>1405.6866153607123</v>
      </c>
      <c r="I174" s="17">
        <v>1441.2717414481451</v>
      </c>
      <c r="J174" s="17">
        <v>1477.7577092913584</v>
      </c>
      <c r="K174" s="17">
        <v>1515.1673238079727</v>
      </c>
      <c r="L174" s="17">
        <v>1553.5239672248481</v>
      </c>
      <c r="M174" s="17">
        <v>1592.851613692734</v>
      </c>
      <c r="N174" s="17">
        <v>1633.1748442708965</v>
      </c>
      <c r="O174" s="17">
        <v>1674.51886229108</v>
      </c>
      <c r="P174" s="17">
        <v>1716.9095091104077</v>
      </c>
      <c r="Q174" s="17">
        <v>1760.3732802630757</v>
      </c>
      <c r="R174" s="17">
        <v>1804.9373420209197</v>
      </c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 spans="1:50" x14ac:dyDescent="0.25">
      <c r="A175" s="9" t="s">
        <v>56</v>
      </c>
      <c r="B175" s="17">
        <v>559.64089587892556</v>
      </c>
      <c r="C175" s="17">
        <v>618.49884269119002</v>
      </c>
      <c r="D175" s="17">
        <v>683.54693380574827</v>
      </c>
      <c r="E175" s="17">
        <v>755.43619238189262</v>
      </c>
      <c r="F175" s="17">
        <v>834.88611028226796</v>
      </c>
      <c r="G175" s="17">
        <v>922.69184898926051</v>
      </c>
      <c r="H175" s="17">
        <v>1019.7321978483777</v>
      </c>
      <c r="I175" s="17">
        <v>1045.5468413395504</v>
      </c>
      <c r="J175" s="17">
        <v>1072.0149856419969</v>
      </c>
      <c r="K175" s="17">
        <v>1099.1531742075178</v>
      </c>
      <c r="L175" s="17">
        <v>1126.9783692873898</v>
      </c>
      <c r="M175" s="17">
        <v>1155.5079625343242</v>
      </c>
      <c r="N175" s="17">
        <v>1184.7597858728179</v>
      </c>
      <c r="O175" s="17">
        <v>1214.7521226446852</v>
      </c>
      <c r="P175" s="17">
        <v>1245.5037190367411</v>
      </c>
      <c r="Q175" s="17">
        <v>1277.0337957977804</v>
      </c>
      <c r="R175" s="17">
        <v>1309.3620602521701</v>
      </c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</row>
    <row r="176" spans="1:50" x14ac:dyDescent="0.25">
      <c r="A176" s="9" t="s">
        <v>58</v>
      </c>
      <c r="B176" s="17">
        <v>312.15030049023727</v>
      </c>
      <c r="C176" s="17">
        <v>344.97943417038488</v>
      </c>
      <c r="D176" s="17">
        <v>381.26123797930177</v>
      </c>
      <c r="E176" s="17">
        <v>421.35883240424295</v>
      </c>
      <c r="F176" s="17">
        <v>465.67352764748017</v>
      </c>
      <c r="G176" s="17">
        <v>514.64884007369108</v>
      </c>
      <c r="H176" s="17">
        <v>568.77493107080829</v>
      </c>
      <c r="I176" s="17">
        <v>583.17353700213948</v>
      </c>
      <c r="J176" s="17">
        <v>597.93664537800646</v>
      </c>
      <c r="K176" s="17">
        <v>613.07348362172297</v>
      </c>
      <c r="L176" s="17">
        <v>628.59351274993855</v>
      </c>
      <c r="M176" s="17">
        <v>644.50643328607737</v>
      </c>
      <c r="N176" s="17">
        <v>660.82219132348405</v>
      </c>
      <c r="O176" s="17">
        <v>677.55098474205556</v>
      </c>
      <c r="P176" s="17">
        <v>694.70326958224598</v>
      </c>
      <c r="Q176" s="17">
        <v>712.2897665804353</v>
      </c>
      <c r="R176" s="17">
        <v>730.32146786973613</v>
      </c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</row>
    <row r="177" spans="1:50" x14ac:dyDescent="0.25">
      <c r="A177" s="9" t="s">
        <v>60</v>
      </c>
      <c r="B177" s="17">
        <v>147.15657023111191</v>
      </c>
      <c r="C177" s="17">
        <v>162.63316182318138</v>
      </c>
      <c r="D177" s="17">
        <v>179.73744076167085</v>
      </c>
      <c r="E177" s="17">
        <v>198.6405924191431</v>
      </c>
      <c r="F177" s="17">
        <v>219.5318058909549</v>
      </c>
      <c r="G177" s="17">
        <v>242.62016746331153</v>
      </c>
      <c r="H177" s="17">
        <v>268.13675321909551</v>
      </c>
      <c r="I177" s="17">
        <v>274.92466744386593</v>
      </c>
      <c r="J177" s="17">
        <v>281.88441853534573</v>
      </c>
      <c r="K177" s="17">
        <v>289.02035656452665</v>
      </c>
      <c r="L177" s="17">
        <v>296.33694172497115</v>
      </c>
      <c r="M177" s="17">
        <v>303.8387471205794</v>
      </c>
      <c r="N177" s="17">
        <v>311.53046162392826</v>
      </c>
      <c r="O177" s="17">
        <v>319.41689280696903</v>
      </c>
      <c r="P177" s="17">
        <v>327.50296994591594</v>
      </c>
      <c r="Q177" s="17">
        <v>335.79374710220509</v>
      </c>
      <c r="R177" s="17">
        <v>344.29440628144715</v>
      </c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 spans="1:50" x14ac:dyDescent="0.25">
      <c r="A178" s="9" t="s">
        <v>62</v>
      </c>
      <c r="B178" s="17">
        <v>69.118995108552568</v>
      </c>
      <c r="C178" s="17">
        <v>76.388303280585205</v>
      </c>
      <c r="D178" s="17">
        <v>84.422131266845355</v>
      </c>
      <c r="E178" s="17">
        <v>93.300884318082353</v>
      </c>
      <c r="F178" s="17">
        <v>103.11342397908487</v>
      </c>
      <c r="G178" s="17">
        <v>113.95795744488876</v>
      </c>
      <c r="H178" s="17">
        <v>125.94302045139332</v>
      </c>
      <c r="I178" s="17">
        <v>129.13128319333092</v>
      </c>
      <c r="J178" s="17">
        <v>132.40025719084423</v>
      </c>
      <c r="K178" s="17">
        <v>135.75198565909585</v>
      </c>
      <c r="L178" s="17">
        <v>139.18856353748643</v>
      </c>
      <c r="M178" s="17">
        <v>142.71213879906003</v>
      </c>
      <c r="N178" s="17">
        <v>146.32491379305722</v>
      </c>
      <c r="O178" s="17">
        <v>150.02914662145514</v>
      </c>
      <c r="P178" s="17">
        <v>153.82715255035447</v>
      </c>
      <c r="Q178" s="17">
        <v>157.72130545709638</v>
      </c>
      <c r="R178" s="17">
        <v>161.71403931401304</v>
      </c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</row>
    <row r="179" spans="1:50" x14ac:dyDescent="0.25">
      <c r="A179" s="9" t="s">
        <v>64</v>
      </c>
      <c r="B179" s="17">
        <v>24.526095038518644</v>
      </c>
      <c r="C179" s="17">
        <v>27.105526970530242</v>
      </c>
      <c r="D179" s="17">
        <v>29.95624012694514</v>
      </c>
      <c r="E179" s="17">
        <v>33.106765403190515</v>
      </c>
      <c r="F179" s="17">
        <v>36.588634315159148</v>
      </c>
      <c r="G179" s="17">
        <v>40.436694577218582</v>
      </c>
      <c r="H179" s="17">
        <v>44.689458869849226</v>
      </c>
      <c r="I179" s="17">
        <v>45.820777907310962</v>
      </c>
      <c r="J179" s="17">
        <v>46.980736422557641</v>
      </c>
      <c r="K179" s="17">
        <v>48.170059427421108</v>
      </c>
      <c r="L179" s="17">
        <v>49.389490287495171</v>
      </c>
      <c r="M179" s="17">
        <v>50.639791186763219</v>
      </c>
      <c r="N179" s="17">
        <v>51.921743603988048</v>
      </c>
      <c r="O179" s="17">
        <v>53.236148801161505</v>
      </c>
      <c r="P179" s="17">
        <v>54.583828324319342</v>
      </c>
      <c r="Q179" s="17">
        <v>55.965624517034215</v>
      </c>
      <c r="R179" s="17">
        <v>57.382401046907859</v>
      </c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</row>
    <row r="180" spans="1:50" x14ac:dyDescent="0.25">
      <c r="A180" s="9" t="s">
        <v>66</v>
      </c>
      <c r="B180" s="17">
        <v>5.5741125087542374</v>
      </c>
      <c r="C180" s="17">
        <v>6.1603470387568731</v>
      </c>
      <c r="D180" s="17">
        <v>6.8082363924875313</v>
      </c>
      <c r="E180" s="17">
        <v>7.5242648643614807</v>
      </c>
      <c r="F180" s="17">
        <v>8.3155987079907163</v>
      </c>
      <c r="G180" s="17">
        <v>9.1901578584587718</v>
      </c>
      <c r="H180" s="17">
        <v>10.156695197693008</v>
      </c>
      <c r="I180" s="17">
        <v>10.413813160752493</v>
      </c>
      <c r="J180" s="17">
        <v>10.677440096035827</v>
      </c>
      <c r="K180" s="17">
        <v>10.947740778959343</v>
      </c>
      <c r="L180" s="17">
        <v>11.224884156248905</v>
      </c>
      <c r="M180" s="17">
        <v>11.509043451537098</v>
      </c>
      <c r="N180" s="17">
        <v>11.800396273633648</v>
      </c>
      <c r="O180" s="17">
        <v>12.099124727536704</v>
      </c>
      <c r="P180" s="17">
        <v>12.405415528254395</v>
      </c>
      <c r="Q180" s="17">
        <v>12.719460117507777</v>
      </c>
      <c r="R180" s="17">
        <v>13.041454783388154</v>
      </c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</row>
    <row r="181" spans="1:50" x14ac:dyDescent="0.25">
      <c r="A181" s="9" t="s">
        <v>68</v>
      </c>
      <c r="B181" s="17">
        <v>4.4592900070033901</v>
      </c>
      <c r="C181" s="17">
        <v>4.9282776310054981</v>
      </c>
      <c r="D181" s="17">
        <v>5.4465891139900249</v>
      </c>
      <c r="E181" s="17">
        <v>6.0194118914891845</v>
      </c>
      <c r="F181" s="17">
        <v>6.6524789663925734</v>
      </c>
      <c r="G181" s="17">
        <v>7.3521262867670174</v>
      </c>
      <c r="H181" s="17">
        <v>8.1253561581544069</v>
      </c>
      <c r="I181" s="17">
        <v>8.3310505286019954</v>
      </c>
      <c r="J181" s="17">
        <v>8.541952076828661</v>
      </c>
      <c r="K181" s="17">
        <v>8.7581926231674743</v>
      </c>
      <c r="L181" s="17">
        <v>8.9799073249991235</v>
      </c>
      <c r="M181" s="17">
        <v>9.2072347612296781</v>
      </c>
      <c r="N181" s="17">
        <v>9.440317018906919</v>
      </c>
      <c r="O181" s="17">
        <v>9.6792997820293643</v>
      </c>
      <c r="P181" s="17">
        <v>9.9243324226035163</v>
      </c>
      <c r="Q181" s="17">
        <v>10.175568094006222</v>
      </c>
      <c r="R181" s="17">
        <v>10.433163826710523</v>
      </c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</row>
    <row r="182" spans="1:50" x14ac:dyDescent="0.25">
      <c r="A182" s="9" t="s">
        <v>70</v>
      </c>
      <c r="B182" s="17">
        <v>2.229645003501695</v>
      </c>
      <c r="C182" s="17">
        <v>2.464138815502749</v>
      </c>
      <c r="D182" s="17">
        <v>2.7232945569950124</v>
      </c>
      <c r="E182" s="17">
        <v>3.0097059457445923</v>
      </c>
      <c r="F182" s="17">
        <v>3.3262394831962867</v>
      </c>
      <c r="G182" s="17">
        <v>3.6760631433835083</v>
      </c>
      <c r="H182" s="17">
        <v>4.0626780790772035</v>
      </c>
      <c r="I182" s="17">
        <v>4.1655252643009977</v>
      </c>
      <c r="J182" s="17">
        <v>4.2709760384143305</v>
      </c>
      <c r="K182" s="17">
        <v>4.3790963115837371</v>
      </c>
      <c r="L182" s="17">
        <v>4.4899536624995617</v>
      </c>
      <c r="M182" s="17">
        <v>4.603617380614839</v>
      </c>
      <c r="N182" s="17">
        <v>4.7201585094534595</v>
      </c>
      <c r="O182" s="17">
        <v>4.8396498910146821</v>
      </c>
      <c r="P182" s="17">
        <v>4.9621662113017582</v>
      </c>
      <c r="Q182" s="17">
        <v>5.0877840470031108</v>
      </c>
      <c r="R182" s="17">
        <v>5.2165819133552613</v>
      </c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</row>
    <row r="183" spans="1:50" x14ac:dyDescent="0.25">
      <c r="A183" s="9" t="s">
        <v>72</v>
      </c>
      <c r="B183" s="17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</row>
    <row r="184" spans="1:50" x14ac:dyDescent="0.25">
      <c r="A184" s="9" t="s">
        <v>74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</row>
    <row r="185" spans="1:50" x14ac:dyDescent="0.25">
      <c r="A185" s="20" t="s">
        <v>76</v>
      </c>
      <c r="B185" s="39">
        <v>1.1148225017508475</v>
      </c>
      <c r="C185" s="39">
        <v>1.2320694077513745</v>
      </c>
      <c r="D185" s="39">
        <v>1.3616472784975062</v>
      </c>
      <c r="E185" s="39">
        <v>1.5048529728722961</v>
      </c>
      <c r="F185" s="39">
        <v>1.6631197415981434</v>
      </c>
      <c r="G185" s="39">
        <v>1.8380315716917541</v>
      </c>
      <c r="H185" s="39">
        <v>2.0313390395386017</v>
      </c>
      <c r="I185" s="39">
        <v>2.0827626321504988</v>
      </c>
      <c r="J185" s="39">
        <v>2.1354880192071652</v>
      </c>
      <c r="K185" s="39">
        <v>2.1895481557918686</v>
      </c>
      <c r="L185" s="39">
        <v>2.2449768312497809</v>
      </c>
      <c r="M185" s="39">
        <v>2.3018086903074195</v>
      </c>
      <c r="N185" s="39">
        <v>2.3600792547267297</v>
      </c>
      <c r="O185" s="39">
        <v>2.4198249455073411</v>
      </c>
      <c r="P185" s="39">
        <v>2.4810831056508791</v>
      </c>
      <c r="Q185" s="39">
        <v>2.5438920235015554</v>
      </c>
      <c r="R185" s="39">
        <v>2.6082909566776307</v>
      </c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</row>
    <row r="186" spans="1:50" x14ac:dyDescent="0.25">
      <c r="A186" s="30" t="s">
        <v>24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</row>
    <row r="187" spans="1:50" x14ac:dyDescent="0.25">
      <c r="A187" s="30" t="s">
        <v>83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</row>
    <row r="188" spans="1:50" x14ac:dyDescent="0.25">
      <c r="A188" s="31" t="s">
        <v>84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</row>
    <row r="189" spans="1:50" x14ac:dyDescent="0.25">
      <c r="A189" s="31" t="s">
        <v>85</v>
      </c>
      <c r="G189" s="51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</row>
    <row r="190" spans="1:50" x14ac:dyDescent="0.25">
      <c r="A190" s="31" t="s">
        <v>132</v>
      </c>
      <c r="G190" s="51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</row>
    <row r="191" spans="1:50" x14ac:dyDescent="0.25">
      <c r="G191" s="51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</row>
    <row r="192" spans="1:50" x14ac:dyDescent="0.25">
      <c r="G192" s="51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</row>
    <row r="193" spans="7:50" x14ac:dyDescent="0.25">
      <c r="G193" s="51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</row>
    <row r="194" spans="7:50" x14ac:dyDescent="0.25">
      <c r="G194" s="51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</row>
    <row r="195" spans="7:50" x14ac:dyDescent="0.25">
      <c r="G195" s="51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</row>
    <row r="196" spans="7:50" x14ac:dyDescent="0.25"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</row>
    <row r="197" spans="7:50" x14ac:dyDescent="0.25"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</row>
    <row r="198" spans="7:50" x14ac:dyDescent="0.25"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</row>
    <row r="199" spans="7:50" x14ac:dyDescent="0.25"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</row>
    <row r="200" spans="7:50" x14ac:dyDescent="0.25"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</row>
    <row r="201" spans="7:50" x14ac:dyDescent="0.25"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</row>
    <row r="202" spans="7:50" x14ac:dyDescent="0.25"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</row>
    <row r="203" spans="7:50" x14ac:dyDescent="0.25"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</row>
    <row r="204" spans="7:50" x14ac:dyDescent="0.25"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</row>
    <row r="205" spans="7:50" x14ac:dyDescent="0.25"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</row>
    <row r="206" spans="7:50" x14ac:dyDescent="0.25"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</row>
    <row r="207" spans="7:50" x14ac:dyDescent="0.25"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</row>
    <row r="208" spans="7:50" x14ac:dyDescent="0.25"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</row>
    <row r="209" spans="16:50" x14ac:dyDescent="0.25"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</row>
    <row r="210" spans="16:50" x14ac:dyDescent="0.25"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</row>
    <row r="211" spans="16:50" x14ac:dyDescent="0.25"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</row>
    <row r="212" spans="16:50" x14ac:dyDescent="0.25"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 spans="16:50" x14ac:dyDescent="0.25"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</row>
    <row r="214" spans="16:50" x14ac:dyDescent="0.25"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</row>
    <row r="221" spans="16:50" x14ac:dyDescent="0.25">
      <c r="P221" s="52"/>
    </row>
  </sheetData>
  <mergeCells count="8">
    <mergeCell ref="A1:R1"/>
    <mergeCell ref="A2:R2"/>
    <mergeCell ref="AH5:AI5"/>
    <mergeCell ref="AJ5:AK5"/>
    <mergeCell ref="AH32:AI32"/>
    <mergeCell ref="AJ32:AK32"/>
    <mergeCell ref="A65:C65"/>
    <mergeCell ref="A126:C126"/>
  </mergeCells>
  <pageMargins left="0.7" right="0.7" top="0.75" bottom="0.75" header="0.3" footer="0.3"/>
  <pageSetup scale="58" orientation="portrait" r:id="rId1"/>
  <rowBreaks count="2" manualBreakCount="2">
    <brk id="63" max="18" man="1"/>
    <brk id="124" max="18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3.11</vt:lpstr>
      <vt:lpstr>3.12</vt:lpstr>
      <vt:lpstr>3.13</vt:lpstr>
      <vt:lpstr>3.14</vt:lpstr>
      <vt:lpstr>3.15</vt:lpstr>
      <vt:lpstr>3.16</vt:lpstr>
      <vt:lpstr>'3.11'!Print_Area</vt:lpstr>
      <vt:lpstr>'3.13'!Print_Area</vt:lpstr>
      <vt:lpstr>'3.14'!Print_Area</vt:lpstr>
      <vt:lpstr>'3.15'!Print_Area</vt:lpstr>
      <vt:lpstr>'3.16'!Print_Area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2024-07-24T08:27:47Z</cp:lastPrinted>
  <dcterms:created xsi:type="dcterms:W3CDTF">2019-07-22T06:02:33Z</dcterms:created>
  <dcterms:modified xsi:type="dcterms:W3CDTF">2025-07-23T03:33:21Z</dcterms:modified>
</cp:coreProperties>
</file>