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opulation\"/>
    </mc:Choice>
  </mc:AlternateContent>
  <xr:revisionPtr revIDLastSave="0" documentId="13_ncr:1_{7352973A-B891-4B37-AC1E-16BF47E53D8C}" xr6:coauthVersionLast="47" xr6:coauthVersionMax="47" xr10:uidLastSave="{00000000-0000-0000-0000-000000000000}"/>
  <bookViews>
    <workbookView xWindow="-120" yWindow="-120" windowWidth="29040" windowHeight="15720" tabRatio="778" xr2:uid="{00000000-000D-0000-FFFF-FFFF00000000}"/>
  </bookViews>
  <sheets>
    <sheet name="3.7" sheetId="7" r:id="rId1"/>
  </sheets>
  <definedNames>
    <definedName name="_xlnm.Print_Area" localSheetId="0">'3.7'!$A$1:$I$44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L45" i="7" l="1"/>
  <c r="BK45" i="7"/>
  <c r="BJ45" i="7"/>
  <c r="BI45" i="7"/>
  <c r="BH45" i="7"/>
  <c r="BG45" i="7"/>
  <c r="BB45" i="7"/>
  <c r="BA45" i="7"/>
  <c r="AZ45" i="7"/>
  <c r="AY45" i="7"/>
  <c r="AX45" i="7"/>
  <c r="AW45" i="7"/>
  <c r="BL44" i="7"/>
  <c r="BK44" i="7"/>
  <c r="BJ44" i="7"/>
  <c r="BI44" i="7"/>
  <c r="BH44" i="7"/>
  <c r="BG44" i="7"/>
  <c r="BB44" i="7"/>
  <c r="BA44" i="7"/>
  <c r="AZ44" i="7"/>
  <c r="AY44" i="7"/>
  <c r="AX44" i="7"/>
  <c r="AW44" i="7"/>
  <c r="BL43" i="7"/>
  <c r="BK43" i="7"/>
  <c r="BJ43" i="7"/>
  <c r="BI43" i="7"/>
  <c r="BH43" i="7"/>
  <c r="BG43" i="7"/>
  <c r="BF43" i="7"/>
  <c r="BB43" i="7"/>
  <c r="BA43" i="7"/>
  <c r="AZ43" i="7"/>
  <c r="AY43" i="7"/>
  <c r="AX43" i="7"/>
  <c r="AW43" i="7"/>
  <c r="BL42" i="7"/>
  <c r="BK42" i="7"/>
  <c r="BJ42" i="7"/>
  <c r="BI42" i="7"/>
  <c r="BH42" i="7"/>
  <c r="BG42" i="7"/>
  <c r="BB42" i="7"/>
  <c r="BA42" i="7"/>
  <c r="AZ42" i="7"/>
  <c r="AY42" i="7"/>
  <c r="AX42" i="7"/>
  <c r="AW42" i="7"/>
  <c r="BL41" i="7"/>
  <c r="BK41" i="7"/>
  <c r="BJ41" i="7"/>
  <c r="BI41" i="7"/>
  <c r="BH41" i="7"/>
  <c r="BG41" i="7"/>
  <c r="BB41" i="7"/>
  <c r="BA41" i="7"/>
  <c r="AZ41" i="7"/>
  <c r="AY41" i="7"/>
  <c r="AX41" i="7"/>
  <c r="AW41" i="7"/>
  <c r="BL40" i="7"/>
  <c r="BK40" i="7"/>
  <c r="BJ40" i="7"/>
  <c r="BI40" i="7"/>
  <c r="BH40" i="7"/>
  <c r="BG40" i="7"/>
  <c r="BB40" i="7"/>
  <c r="BA40" i="7"/>
  <c r="AZ40" i="7"/>
  <c r="AY40" i="7"/>
  <c r="AX40" i="7"/>
  <c r="AW40" i="7"/>
  <c r="BL39" i="7"/>
  <c r="BK39" i="7"/>
  <c r="BJ39" i="7"/>
  <c r="BI39" i="7"/>
  <c r="BH39" i="7"/>
  <c r="BG39" i="7"/>
  <c r="BB39" i="7"/>
  <c r="BA39" i="7"/>
  <c r="AZ39" i="7"/>
  <c r="AY39" i="7"/>
  <c r="AX39" i="7"/>
  <c r="AW39" i="7"/>
  <c r="BL38" i="7"/>
  <c r="BK38" i="7"/>
  <c r="BJ38" i="7"/>
  <c r="BI38" i="7"/>
  <c r="BH38" i="7"/>
  <c r="BG38" i="7"/>
  <c r="BB38" i="7"/>
  <c r="BA38" i="7"/>
  <c r="AZ38" i="7"/>
  <c r="AY38" i="7"/>
  <c r="AX38" i="7"/>
  <c r="AW38" i="7"/>
  <c r="BL37" i="7"/>
  <c r="BK37" i="7"/>
  <c r="BJ37" i="7"/>
  <c r="BI37" i="7"/>
  <c r="BH37" i="7"/>
  <c r="BG37" i="7"/>
  <c r="BB37" i="7"/>
  <c r="BA37" i="7"/>
  <c r="AZ37" i="7"/>
  <c r="AY37" i="7"/>
  <c r="AX37" i="7"/>
  <c r="AW37" i="7"/>
  <c r="BL36" i="7"/>
  <c r="BK36" i="7"/>
  <c r="BJ36" i="7"/>
  <c r="BI36" i="7"/>
  <c r="BH36" i="7"/>
  <c r="BG36" i="7"/>
  <c r="BB36" i="7"/>
  <c r="BA36" i="7"/>
  <c r="AZ36" i="7"/>
  <c r="AY36" i="7"/>
  <c r="AX36" i="7"/>
  <c r="AW36" i="7"/>
  <c r="BL35" i="7"/>
  <c r="BK35" i="7"/>
  <c r="BJ35" i="7"/>
  <c r="BI35" i="7"/>
  <c r="BH35" i="7"/>
  <c r="BG35" i="7"/>
  <c r="BB35" i="7"/>
  <c r="BA35" i="7"/>
  <c r="AZ35" i="7"/>
  <c r="AY35" i="7"/>
  <c r="AX35" i="7"/>
  <c r="AW35" i="7"/>
  <c r="BL34" i="7"/>
  <c r="BK34" i="7"/>
  <c r="BJ34" i="7"/>
  <c r="BI34" i="7"/>
  <c r="BH34" i="7"/>
  <c r="BG34" i="7"/>
  <c r="BB34" i="7"/>
  <c r="BA34" i="7"/>
  <c r="AZ34" i="7"/>
  <c r="AY34" i="7"/>
  <c r="AX34" i="7"/>
  <c r="AW34" i="7"/>
  <c r="G18" i="7"/>
  <c r="D18" i="7"/>
  <c r="G17" i="7"/>
  <c r="D17" i="7"/>
  <c r="G16" i="7"/>
  <c r="D16" i="7"/>
  <c r="G15" i="7"/>
  <c r="D15" i="7"/>
  <c r="G14" i="7"/>
  <c r="D14" i="7"/>
  <c r="G13" i="7"/>
  <c r="D13" i="7"/>
  <c r="G12" i="7"/>
  <c r="D12" i="7"/>
  <c r="G11" i="7"/>
  <c r="D11" i="7"/>
  <c r="G10" i="7"/>
  <c r="D10" i="7"/>
  <c r="G9" i="7"/>
  <c r="D9" i="7"/>
  <c r="G8" i="7"/>
  <c r="D8" i="7"/>
  <c r="G7" i="7"/>
  <c r="D7" i="7"/>
  <c r="F6" i="7"/>
  <c r="E6" i="7"/>
  <c r="C6" i="7"/>
  <c r="B6" i="7"/>
  <c r="D6" i="7" l="1"/>
  <c r="G6" i="7"/>
</calcChain>
</file>

<file path=xl/sharedStrings.xml><?xml version="1.0" encoding="utf-8"?>
<sst xmlns="http://schemas.openxmlformats.org/spreadsheetml/2006/main" count="77" uniqueCount="56">
  <si>
    <t>October</t>
  </si>
  <si>
    <t>Total</t>
  </si>
  <si>
    <t>މަސް</t>
  </si>
  <si>
    <t>ivcnwfua</t>
  </si>
  <si>
    <t>ivurwm</t>
  </si>
  <si>
    <t>ivurutia</t>
  </si>
  <si>
    <t>Month</t>
  </si>
  <si>
    <t>Births</t>
  </si>
  <si>
    <t>Deaths</t>
  </si>
  <si>
    <t>Natural Increase</t>
  </si>
  <si>
    <t>ޖުމްލަ</t>
  </si>
  <si>
    <t>January</t>
  </si>
  <si>
    <t>ޖެނުއަރީ</t>
  </si>
  <si>
    <t>February</t>
  </si>
  <si>
    <t>ފެބްރުއަރީ</t>
  </si>
  <si>
    <t>March</t>
  </si>
  <si>
    <t>މާޗް</t>
  </si>
  <si>
    <t>April</t>
  </si>
  <si>
    <t>އޭޕްރީލް</t>
  </si>
  <si>
    <t>Jan</t>
  </si>
  <si>
    <t>May</t>
  </si>
  <si>
    <t>މެއި</t>
  </si>
  <si>
    <t>Feb</t>
  </si>
  <si>
    <t>June</t>
  </si>
  <si>
    <t>ޖޫން</t>
  </si>
  <si>
    <t>Mar</t>
  </si>
  <si>
    <t>July</t>
  </si>
  <si>
    <t>ޖުލައި</t>
  </si>
  <si>
    <t>Apr</t>
  </si>
  <si>
    <t>August</t>
  </si>
  <si>
    <t>އޮގަސްޓް</t>
  </si>
  <si>
    <t>September</t>
  </si>
  <si>
    <t>ސެޕްޓެމްބަރ</t>
  </si>
  <si>
    <t>Jun</t>
  </si>
  <si>
    <t>އޮކްޓޯބަރ</t>
  </si>
  <si>
    <t>Jul</t>
  </si>
  <si>
    <t>November</t>
  </si>
  <si>
    <t>ނޮވެމްބަރ</t>
  </si>
  <si>
    <t>Aug</t>
  </si>
  <si>
    <t>December</t>
  </si>
  <si>
    <t>ޑިސެމްބަރ</t>
  </si>
  <si>
    <t>Sep</t>
  </si>
  <si>
    <t>Oct</t>
  </si>
  <si>
    <r>
      <rPr>
        <b/>
        <i/>
        <sz val="10"/>
        <rFont val="Calibri"/>
        <family val="2"/>
      </rPr>
      <t>Source:</t>
    </r>
    <r>
      <rPr>
        <i/>
        <sz val="10"/>
        <rFont val="Calibri"/>
        <family val="2"/>
      </rPr>
      <t xml:space="preserve"> Ministry of Health </t>
    </r>
  </si>
  <si>
    <t>Nov</t>
  </si>
  <si>
    <t>Dec</t>
  </si>
  <si>
    <t xml:space="preserve">Note: </t>
  </si>
  <si>
    <t xml:space="preserve">މަޢުލޫމާތު ދެއްވީ: މިނިސްޓްރީ އޮފް ހެލްތު </t>
  </si>
  <si>
    <t>ނޯޓް:</t>
  </si>
  <si>
    <r>
      <t>2021</t>
    </r>
    <r>
      <rPr>
        <b/>
        <vertAlign val="superscript"/>
        <sz val="11"/>
        <rFont val="Calibri"/>
        <family val="2"/>
      </rPr>
      <t>1_/</t>
    </r>
  </si>
  <si>
    <t>Table 3.7 :  MONTHLY RECORDS OF BIRTHS AND DEATHS, 2020 - 2021</t>
  </si>
  <si>
    <t>2021 - 2020 ,cniduk iaWncnuhImivurwm ,iaWncniduk ivcnwfua uhwmcswmikea : 3.7 ulwvWt</t>
  </si>
  <si>
    <r>
      <rPr>
        <sz val="1"/>
        <rFont val="Faruma"/>
      </rPr>
      <t>ނ</t>
    </r>
    <r>
      <rPr>
        <sz val="8"/>
        <rFont val="Faruma"/>
      </rPr>
      <t xml:space="preserve">2021 ވަނަ އަހަރުގެ މައުލޫމާތު ރިވައިޒުކުރަމުންދާތީވެ މިއަދަދުތަކަށް ބަދަލުއައުން އެކަށީގެންވެއެވެ. </t>
    </r>
  </si>
  <si>
    <t xml:space="preserve">އުފަންވި ކުދިންނާއި މަރުވި މީހުން / ކުދިންގެ ތެރޭގައި ރާއްޖޭގައި އުފަންވި އަދި މަރުވި ބިދޭސީން ހިމެނޭނެއެވެ. ނަމަވެސް ރާއްޖޭން ބޭރުގައި އުފަންވި / މަރުވި ދިވެހީން ނުހިމެނޭނެއެވެ. </t>
  </si>
  <si>
    <t xml:space="preserve">Data includes Maldivians and foreigners, but excluded birth &amp; deaths occurred abroad </t>
  </si>
  <si>
    <t xml:space="preserve">        1_/: 2021 figures are revised and  tentative and is expected to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</si>
</sst>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name val="Faruma"/>
    </font>
    <font>
      <b/>
      <sz val="9"/>
      <name val="A_Randhoo"/>
    </font>
    <font>
      <sz val="9"/>
      <name val="Arial"/>
      <family val="2"/>
    </font>
    <font>
      <sz val="11"/>
      <name val="Calibri"/>
      <family val="2"/>
    </font>
    <font>
      <i/>
      <sz val="9"/>
      <name val="Calibri"/>
      <family val="2"/>
    </font>
    <font>
      <sz val="10"/>
      <name val="Arial"/>
      <family val="2"/>
    </font>
    <font>
      <i/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1"/>
      <color theme="1"/>
      <name val="Calibri"/>
      <family val="2"/>
      <charset val="1"/>
      <scheme val="minor"/>
    </font>
    <font>
      <b/>
      <sz val="9"/>
      <name val="Calibri"/>
      <family val="2"/>
    </font>
    <font>
      <sz val="9"/>
      <name val="Calibri"/>
      <family val="2"/>
    </font>
    <font>
      <sz val="11"/>
      <name val="Faruma"/>
    </font>
    <font>
      <sz val="10"/>
      <color indexed="10"/>
      <name val="Courier"/>
      <family val="3"/>
    </font>
    <font>
      <b/>
      <sz val="10"/>
      <name val="Courier"/>
      <family val="3"/>
    </font>
    <font>
      <b/>
      <i/>
      <sz val="10"/>
      <name val="Calibri"/>
      <family val="2"/>
    </font>
    <font>
      <sz val="10"/>
      <name val="Faruma"/>
    </font>
    <font>
      <sz val="10"/>
      <name val="Calibri"/>
      <family val="2"/>
      <scheme val="minor"/>
    </font>
    <font>
      <sz val="8"/>
      <name val="Faruma"/>
    </font>
    <font>
      <i/>
      <sz val="10"/>
      <color indexed="8"/>
      <name val="Calibri"/>
      <family val="2"/>
    </font>
    <font>
      <sz val="10"/>
      <name val="A_Faseyha"/>
    </font>
    <font>
      <b/>
      <sz val="11"/>
      <name val="A_Faseyha"/>
    </font>
    <font>
      <b/>
      <sz val="12"/>
      <name val="A_Faseyha"/>
    </font>
    <font>
      <b/>
      <vertAlign val="superscript"/>
      <sz val="11"/>
      <name val="Calibri"/>
      <family val="2"/>
    </font>
    <font>
      <i/>
      <sz val="11"/>
      <name val="Calibri"/>
      <family val="2"/>
    </font>
    <font>
      <sz val="1"/>
      <name val="Faruma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5" fillId="0" borderId="0"/>
    <xf numFmtId="0" fontId="11" fillId="0" borderId="0"/>
    <xf numFmtId="0" fontId="11" fillId="0" borderId="0"/>
    <xf numFmtId="0" fontId="1" fillId="0" borderId="0"/>
    <xf numFmtId="167" fontId="2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70">
    <xf numFmtId="0" fontId="0" fillId="0" borderId="0" xfId="0"/>
    <xf numFmtId="167" fontId="2" fillId="2" borderId="0" xfId="11" applyFill="1"/>
    <xf numFmtId="167" fontId="2" fillId="3" borderId="0" xfId="11" applyFill="1"/>
    <xf numFmtId="167" fontId="2" fillId="3" borderId="0" xfId="11" applyFill="1" applyAlignment="1">
      <alignment horizontal="right"/>
    </xf>
    <xf numFmtId="167" fontId="5" fillId="2" borderId="0" xfId="11" applyFont="1" applyFill="1" applyAlignment="1" applyProtection="1">
      <alignment horizontal="left" vertical="center"/>
      <protection hidden="1"/>
    </xf>
    <xf numFmtId="167" fontId="14" fillId="2" borderId="0" xfId="11" applyFont="1" applyFill="1"/>
    <xf numFmtId="167" fontId="14" fillId="3" borderId="0" xfId="11" applyFont="1" applyFill="1"/>
    <xf numFmtId="167" fontId="14" fillId="3" borderId="0" xfId="11" applyFont="1" applyFill="1" applyAlignment="1">
      <alignment horizontal="right"/>
    </xf>
    <xf numFmtId="167" fontId="5" fillId="2" borderId="1" xfId="11" applyFont="1" applyFill="1" applyBorder="1" applyAlignment="1" applyProtection="1">
      <alignment horizontal="left" vertical="center"/>
      <protection hidden="1"/>
    </xf>
    <xf numFmtId="167" fontId="5" fillId="2" borderId="4" xfId="11" applyFont="1" applyFill="1" applyBorder="1" applyAlignment="1" applyProtection="1">
      <alignment horizontal="right"/>
      <protection hidden="1"/>
    </xf>
    <xf numFmtId="167" fontId="5" fillId="2" borderId="1" xfId="11" applyFont="1" applyFill="1" applyBorder="1" applyAlignment="1" applyProtection="1">
      <alignment horizontal="right"/>
      <protection hidden="1"/>
    </xf>
    <xf numFmtId="167" fontId="5" fillId="2" borderId="1" xfId="11" applyFont="1" applyFill="1" applyBorder="1" applyAlignment="1" applyProtection="1">
      <alignment horizontal="right" wrapText="1"/>
      <protection hidden="1"/>
    </xf>
    <xf numFmtId="3" fontId="5" fillId="2" borderId="3" xfId="0" applyNumberFormat="1" applyFont="1" applyFill="1" applyBorder="1" applyAlignment="1" applyProtection="1">
      <alignment vertical="center"/>
      <protection hidden="1"/>
    </xf>
    <xf numFmtId="3" fontId="5" fillId="2" borderId="0" xfId="0" applyNumberFormat="1" applyFont="1" applyFill="1" applyAlignment="1" applyProtection="1">
      <alignment vertical="center"/>
      <protection hidden="1"/>
    </xf>
    <xf numFmtId="167" fontId="6" fillId="2" borderId="0" xfId="11" applyFont="1" applyFill="1"/>
    <xf numFmtId="167" fontId="9" fillId="2" borderId="0" xfId="11" applyFont="1" applyFill="1" applyAlignment="1" applyProtection="1">
      <alignment horizontal="left" vertical="center" indent="1"/>
      <protection hidden="1"/>
    </xf>
    <xf numFmtId="3" fontId="9" fillId="2" borderId="3" xfId="0" applyNumberFormat="1" applyFont="1" applyFill="1" applyBorder="1" applyAlignment="1" applyProtection="1">
      <alignment vertical="center"/>
      <protection hidden="1"/>
    </xf>
    <xf numFmtId="3" fontId="9" fillId="2" borderId="0" xfId="0" applyNumberFormat="1" applyFont="1" applyFill="1" applyAlignment="1" applyProtection="1">
      <alignment vertical="center"/>
      <protection hidden="1"/>
    </xf>
    <xf numFmtId="167" fontId="18" fillId="2" borderId="0" xfId="10" applyFont="1" applyFill="1" applyAlignment="1" applyProtection="1">
      <alignment horizontal="right" vertical="center" indent="1"/>
      <protection hidden="1"/>
    </xf>
    <xf numFmtId="167" fontId="19" fillId="3" borderId="0" xfId="11" applyFont="1" applyFill="1" applyAlignment="1">
      <alignment horizontal="right"/>
    </xf>
    <xf numFmtId="167" fontId="2" fillId="3" borderId="7" xfId="11" applyFill="1" applyBorder="1" applyAlignment="1">
      <alignment horizontal="center" vertical="center"/>
    </xf>
    <xf numFmtId="167" fontId="14" fillId="3" borderId="7" xfId="11" applyFont="1" applyFill="1" applyBorder="1" applyAlignment="1" applyProtection="1">
      <alignment horizontal="center" vertical="center"/>
      <protection hidden="1"/>
    </xf>
    <xf numFmtId="3" fontId="14" fillId="3" borderId="7" xfId="0" applyNumberFormat="1" applyFont="1" applyFill="1" applyBorder="1" applyAlignment="1" applyProtection="1">
      <alignment horizontal="center" vertical="center"/>
      <protection hidden="1"/>
    </xf>
    <xf numFmtId="167" fontId="9" fillId="2" borderId="1" xfId="11" applyFont="1" applyFill="1" applyBorder="1" applyAlignment="1" applyProtection="1">
      <alignment horizontal="left" vertical="center" indent="1"/>
      <protection hidden="1"/>
    </xf>
    <xf numFmtId="3" fontId="9" fillId="2" borderId="4" xfId="0" applyNumberFormat="1" applyFont="1" applyFill="1" applyBorder="1" applyAlignment="1" applyProtection="1">
      <alignment vertical="center"/>
      <protection hidden="1"/>
    </xf>
    <xf numFmtId="3" fontId="9" fillId="2" borderId="1" xfId="0" applyNumberFormat="1" applyFont="1" applyFill="1" applyBorder="1" applyAlignment="1" applyProtection="1">
      <alignment vertical="center"/>
      <protection hidden="1"/>
    </xf>
    <xf numFmtId="167" fontId="18" fillId="2" borderId="1" xfId="10" applyFont="1" applyFill="1" applyBorder="1" applyAlignment="1" applyProtection="1">
      <alignment horizontal="right" vertical="center" indent="1"/>
      <protection hidden="1"/>
    </xf>
    <xf numFmtId="167" fontId="12" fillId="2" borderId="0" xfId="0" applyNumberFormat="1" applyFont="1" applyFill="1" applyAlignment="1">
      <alignment horizontal="left" vertical="center"/>
    </xf>
    <xf numFmtId="167" fontId="2" fillId="2" borderId="0" xfId="11" applyFill="1" applyAlignment="1">
      <alignment horizontal="center" vertical="center"/>
    </xf>
    <xf numFmtId="167" fontId="22" fillId="2" borderId="0" xfId="11" applyFont="1" applyFill="1"/>
    <xf numFmtId="3" fontId="8" fillId="2" borderId="0" xfId="10" applyNumberFormat="1" applyFont="1" applyFill="1" applyAlignment="1" applyProtection="1">
      <alignment vertical="center"/>
      <protection hidden="1"/>
    </xf>
    <xf numFmtId="3" fontId="8" fillId="2" borderId="0" xfId="0" applyNumberFormat="1" applyFont="1" applyFill="1" applyAlignment="1" applyProtection="1">
      <alignment vertical="center"/>
      <protection hidden="1"/>
    </xf>
    <xf numFmtId="167" fontId="16" fillId="2" borderId="0" xfId="11" applyFont="1" applyFill="1" applyAlignment="1" applyProtection="1">
      <alignment horizontal="left" vertical="center"/>
      <protection hidden="1"/>
    </xf>
    <xf numFmtId="3" fontId="16" fillId="2" borderId="0" xfId="0" applyNumberFormat="1" applyFont="1" applyFill="1" applyAlignment="1" applyProtection="1">
      <alignment vertical="center"/>
      <protection hidden="1"/>
    </xf>
    <xf numFmtId="3" fontId="16" fillId="3" borderId="0" xfId="0" applyNumberFormat="1" applyFont="1" applyFill="1" applyAlignment="1" applyProtection="1">
      <alignment vertical="center"/>
      <protection hidden="1"/>
    </xf>
    <xf numFmtId="167" fontId="20" fillId="2" borderId="0" xfId="11" applyFont="1" applyFill="1" applyAlignment="1">
      <alignment horizontal="center" vertical="center"/>
    </xf>
    <xf numFmtId="167" fontId="17" fillId="2" borderId="0" xfId="11" applyFont="1" applyFill="1" applyAlignment="1" applyProtection="1">
      <alignment horizontal="left" vertical="center"/>
      <protection hidden="1"/>
    </xf>
    <xf numFmtId="167" fontId="20" fillId="3" borderId="0" xfId="11" applyFont="1" applyFill="1" applyAlignment="1">
      <alignment horizontal="center" vertical="center"/>
    </xf>
    <xf numFmtId="167" fontId="7" fillId="2" borderId="0" xfId="10" applyFont="1" applyFill="1" applyAlignment="1" applyProtection="1">
      <alignment horizontal="right" vertical="center"/>
      <protection hidden="1"/>
    </xf>
    <xf numFmtId="167" fontId="16" fillId="2" borderId="0" xfId="11" applyFont="1" applyFill="1" applyAlignment="1" applyProtection="1">
      <alignment horizontal="right"/>
      <protection hidden="1"/>
    </xf>
    <xf numFmtId="167" fontId="16" fillId="2" borderId="0" xfId="11" applyFont="1" applyFill="1" applyAlignment="1" applyProtection="1">
      <alignment horizontal="right" wrapText="1"/>
      <protection hidden="1"/>
    </xf>
    <xf numFmtId="3" fontId="17" fillId="2" borderId="0" xfId="0" applyNumberFormat="1" applyFont="1" applyFill="1" applyAlignment="1" applyProtection="1">
      <alignment vertical="center"/>
      <protection hidden="1"/>
    </xf>
    <xf numFmtId="167" fontId="16" fillId="3" borderId="0" xfId="11" applyFont="1" applyFill="1" applyAlignment="1" applyProtection="1">
      <alignment horizontal="right" vertical="center"/>
      <protection hidden="1"/>
    </xf>
    <xf numFmtId="167" fontId="17" fillId="3" borderId="0" xfId="11" applyFont="1" applyFill="1" applyAlignment="1" applyProtection="1">
      <alignment horizontal="right" vertical="center"/>
      <protection hidden="1"/>
    </xf>
    <xf numFmtId="167" fontId="27" fillId="2" borderId="0" xfId="11" applyFont="1" applyFill="1" applyAlignment="1" applyProtection="1">
      <alignment horizontal="left" vertical="center"/>
      <protection hidden="1"/>
    </xf>
    <xf numFmtId="167" fontId="27" fillId="2" borderId="3" xfId="10" applyFont="1" applyFill="1" applyBorder="1" applyAlignment="1" applyProtection="1">
      <alignment horizontal="right" vertical="center"/>
      <protection hidden="1"/>
    </xf>
    <xf numFmtId="167" fontId="27" fillId="2" borderId="0" xfId="10" applyFont="1" applyFill="1" applyAlignment="1" applyProtection="1">
      <alignment horizontal="right" vertical="center"/>
      <protection hidden="1"/>
    </xf>
    <xf numFmtId="167" fontId="26" fillId="2" borderId="0" xfId="11" applyFont="1" applyFill="1"/>
    <xf numFmtId="167" fontId="26" fillId="3" borderId="0" xfId="11" applyFont="1" applyFill="1"/>
    <xf numFmtId="167" fontId="26" fillId="3" borderId="0" xfId="11" applyFont="1" applyFill="1" applyAlignment="1">
      <alignment horizontal="right"/>
    </xf>
    <xf numFmtId="167" fontId="30" fillId="2" borderId="0" xfId="11" applyFont="1" applyFill="1" applyAlignment="1" applyProtection="1">
      <alignment vertical="center"/>
      <protection hidden="1"/>
    </xf>
    <xf numFmtId="3" fontId="9" fillId="3" borderId="0" xfId="0" applyNumberFormat="1" applyFont="1" applyFill="1" applyAlignment="1" applyProtection="1">
      <alignment vertical="center"/>
      <protection hidden="1"/>
    </xf>
    <xf numFmtId="167" fontId="2" fillId="2" borderId="1" xfId="11" applyFill="1" applyBorder="1"/>
    <xf numFmtId="167" fontId="23" fillId="2" borderId="0" xfId="11" applyFont="1" applyFill="1" applyAlignment="1">
      <alignment vertical="center"/>
    </xf>
    <xf numFmtId="0" fontId="0" fillId="3" borderId="4" xfId="0" applyFill="1" applyBorder="1"/>
    <xf numFmtId="0" fontId="0" fillId="3" borderId="3" xfId="0" applyFill="1" applyBorder="1"/>
    <xf numFmtId="167" fontId="10" fillId="2" borderId="0" xfId="11" applyFont="1" applyFill="1" applyAlignment="1" applyProtection="1">
      <alignment vertical="center"/>
      <protection hidden="1"/>
    </xf>
    <xf numFmtId="167" fontId="24" fillId="2" borderId="0" xfId="10" applyFont="1" applyFill="1" applyAlignment="1" applyProtection="1">
      <alignment horizontal="right" vertical="center" indent="1"/>
      <protection hidden="1"/>
    </xf>
    <xf numFmtId="167" fontId="2" fillId="2" borderId="0" xfId="11" applyFill="1" applyAlignment="1">
      <alignment vertical="center"/>
    </xf>
    <xf numFmtId="167" fontId="24" fillId="2" borderId="0" xfId="10" applyFont="1" applyFill="1" applyAlignment="1" applyProtection="1">
      <alignment horizontal="right" vertical="center"/>
      <protection hidden="1"/>
    </xf>
    <xf numFmtId="167" fontId="24" fillId="2" borderId="0" xfId="10" applyFont="1" applyFill="1" applyAlignment="1" applyProtection="1">
      <alignment horizontal="right" vertical="center" wrapText="1"/>
      <protection hidden="1"/>
    </xf>
    <xf numFmtId="167" fontId="25" fillId="3" borderId="0" xfId="0" applyNumberFormat="1" applyFont="1" applyFill="1" applyAlignment="1">
      <alignment horizontal="left" vertical="center" wrapText="1" indent="2"/>
    </xf>
    <xf numFmtId="167" fontId="5" fillId="2" borderId="6" xfId="11" applyFont="1" applyFill="1" applyBorder="1" applyAlignment="1" applyProtection="1">
      <alignment horizontal="center" vertical="center"/>
      <protection hidden="1"/>
    </xf>
    <xf numFmtId="167" fontId="5" fillId="2" borderId="5" xfId="11" applyFont="1" applyFill="1" applyBorder="1" applyAlignment="1" applyProtection="1">
      <alignment horizontal="center" vertical="center"/>
      <protection hidden="1"/>
    </xf>
    <xf numFmtId="167" fontId="6" fillId="2" borderId="2" xfId="11" applyFont="1" applyFill="1" applyBorder="1" applyAlignment="1">
      <alignment horizontal="center" vertical="center"/>
    </xf>
    <xf numFmtId="167" fontId="6" fillId="2" borderId="0" xfId="11" applyFont="1" applyFill="1" applyAlignment="1">
      <alignment horizontal="center" vertical="center"/>
    </xf>
    <xf numFmtId="167" fontId="6" fillId="2" borderId="1" xfId="11" applyFont="1" applyFill="1" applyBorder="1" applyAlignment="1">
      <alignment horizontal="center" vertical="center"/>
    </xf>
    <xf numFmtId="167" fontId="13" fillId="2" borderId="0" xfId="11" applyFont="1" applyFill="1" applyAlignment="1" applyProtection="1">
      <alignment horizontal="center" vertical="center"/>
      <protection hidden="1"/>
    </xf>
    <xf numFmtId="167" fontId="28" fillId="2" borderId="0" xfId="10" applyFont="1" applyFill="1" applyAlignment="1" applyProtection="1">
      <alignment horizontal="center"/>
      <protection hidden="1"/>
    </xf>
    <xf numFmtId="167" fontId="4" fillId="2" borderId="1" xfId="11" applyFont="1" applyFill="1" applyBorder="1" applyAlignment="1" applyProtection="1">
      <alignment horizontal="center" vertical="center"/>
      <protection hidden="1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5" xr:uid="{00000000-0005-0000-0000-000004000000}"/>
    <cellStyle name="Comma 3 2" xfId="16" xr:uid="{00000000-0005-0000-0000-000005000000}"/>
    <cellStyle name="Comma 3 3" xfId="24" xr:uid="{00000000-0005-0000-0000-000006000000}"/>
    <cellStyle name="Comma 4" xfId="3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20" xr:uid="{00000000-0005-0000-0000-000010000000}"/>
    <cellStyle name="Normal 20" xfId="2" xr:uid="{00000000-0005-0000-0000-000011000000}"/>
    <cellStyle name="Normal 20 2" xfId="18" xr:uid="{00000000-0005-0000-0000-000012000000}"/>
    <cellStyle name="Normal 3" xfId="12" xr:uid="{00000000-0005-0000-0000-000013000000}"/>
    <cellStyle name="Normal 32" xfId="7" xr:uid="{00000000-0005-0000-0000-000014000000}"/>
    <cellStyle name="Normal 32 2" xfId="21" xr:uid="{00000000-0005-0000-0000-000015000000}"/>
    <cellStyle name="Normal 4" xfId="10" xr:uid="{00000000-0005-0000-0000-000016000000}"/>
    <cellStyle name="Normal 44" xfId="8" xr:uid="{00000000-0005-0000-0000-000017000000}"/>
    <cellStyle name="Normal 44 2" xfId="22" xr:uid="{00000000-0005-0000-0000-000018000000}"/>
    <cellStyle name="Normal 48" xfId="9" xr:uid="{00000000-0005-0000-0000-000019000000}"/>
    <cellStyle name="Normal 5" xfId="1" xr:uid="{00000000-0005-0000-0000-00001A000000}"/>
    <cellStyle name="Normal 5 2" xfId="17" xr:uid="{00000000-0005-0000-0000-00001B000000}"/>
    <cellStyle name="Normal_Stat Year Book 2007 tables" xfId="11" xr:uid="{00000000-0005-0000-0000-000024000000}"/>
  </cellStyles>
  <dxfs count="0"/>
  <tableStyles count="0" defaultTableStyle="TableStyleMedium2" defaultPivotStyle="PivotStyleLight16"/>
  <colors>
    <mruColors>
      <color rgb="FF003399"/>
      <color rgb="FF9BC2E6"/>
      <color rgb="FFEFF5FB"/>
      <color rgb="FFEEEEEE"/>
      <color rgb="FFAEAAAA"/>
      <color rgb="FF7E5400"/>
      <color rgb="FF33CCCC"/>
      <color rgb="FF009999"/>
      <color rgb="FF00DFDA"/>
      <color rgb="FF006F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Consolas"/>
                <a:ea typeface="Consolas"/>
                <a:cs typeface="Consolas"/>
              </a:defRPr>
            </a:pPr>
            <a:r>
              <a:rPr lang="en-US" sz="900"/>
              <a:t>Figure 3.10: Monthly records of Births, 201</a:t>
            </a:r>
            <a:r>
              <a:rPr lang="dv-MV" sz="900"/>
              <a:t>9</a:t>
            </a:r>
            <a:r>
              <a:rPr lang="en-US" sz="900" baseline="0"/>
              <a:t> - 202</a:t>
            </a:r>
            <a:r>
              <a:rPr lang="dv-MV" sz="900" baseline="0"/>
              <a:t>1</a:t>
            </a:r>
            <a:endParaRPr lang="en-US" sz="900"/>
          </a:p>
        </c:rich>
      </c:tx>
      <c:layout>
        <c:manualLayout>
          <c:xMode val="edge"/>
          <c:yMode val="edge"/>
          <c:x val="0.16206539724795158"/>
          <c:y val="6.17602533967077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8522054928033847E-2"/>
          <c:y val="0.16301834440955423"/>
          <c:w val="0.89385276763362975"/>
          <c:h val="0.7286380701469762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'3.7'!$BJ$33</c:f>
              <c:strCache>
                <c:ptCount val="1"/>
                <c:pt idx="0">
                  <c:v>2019 </c:v>
                </c:pt>
              </c:strCache>
            </c:strRef>
          </c:tx>
          <c:spPr>
            <a:solidFill>
              <a:srgbClr val="9BC2E6"/>
            </a:solidFill>
          </c:spPr>
          <c:invertIfNegative val="0"/>
          <c:cat>
            <c:strRef>
              <c:f>'3.7'!$BE$34:$BE$45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'3.7'!$BJ$34:$BJ$45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9-4AD9-A03A-8EB1BCB781E9}"/>
            </c:ext>
          </c:extLst>
        </c:ser>
        <c:ser>
          <c:idx val="2"/>
          <c:order val="1"/>
          <c:tx>
            <c:strRef>
              <c:f>'3.7'!$BK$33</c:f>
              <c:strCache>
                <c:ptCount val="1"/>
                <c:pt idx="0">
                  <c:v>2020 </c:v>
                </c:pt>
              </c:strCache>
            </c:strRef>
          </c:tx>
          <c:spPr>
            <a:solidFill>
              <a:srgbClr val="00DFDA"/>
            </a:solidFill>
          </c:spPr>
          <c:invertIfNegative val="0"/>
          <c:cat>
            <c:strRef>
              <c:f>'3.7'!$BE$34:$BE$45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'3.7'!$BK$34:$BK$45</c:f>
              <c:numCache>
                <c:formatCode>#,##0</c:formatCode>
                <c:ptCount val="12"/>
                <c:pt idx="0">
                  <c:v>540</c:v>
                </c:pt>
                <c:pt idx="1">
                  <c:v>548</c:v>
                </c:pt>
                <c:pt idx="2">
                  <c:v>485</c:v>
                </c:pt>
                <c:pt idx="3">
                  <c:v>541</c:v>
                </c:pt>
                <c:pt idx="4">
                  <c:v>492</c:v>
                </c:pt>
                <c:pt idx="5">
                  <c:v>462</c:v>
                </c:pt>
                <c:pt idx="6">
                  <c:v>522</c:v>
                </c:pt>
                <c:pt idx="7">
                  <c:v>508</c:v>
                </c:pt>
                <c:pt idx="8">
                  <c:v>573</c:v>
                </c:pt>
                <c:pt idx="9">
                  <c:v>514</c:v>
                </c:pt>
                <c:pt idx="10">
                  <c:v>540</c:v>
                </c:pt>
                <c:pt idx="11">
                  <c:v>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69-4AD9-A03A-8EB1BCB781E9}"/>
            </c:ext>
          </c:extLst>
        </c:ser>
        <c:ser>
          <c:idx val="0"/>
          <c:order val="2"/>
          <c:tx>
            <c:strRef>
              <c:f>'3.7'!$BL$33</c:f>
              <c:strCache>
                <c:ptCount val="1"/>
                <c:pt idx="0">
                  <c:v>2021 </c:v>
                </c:pt>
              </c:strCache>
            </c:strRef>
          </c:tx>
          <c:spPr>
            <a:solidFill>
              <a:srgbClr val="003399"/>
            </a:solidFill>
          </c:spPr>
          <c:invertIfNegative val="0"/>
          <c:cat>
            <c:strRef>
              <c:f>'3.7'!$BE$34:$BE$45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'3.7'!$BL$34:$BL$45</c:f>
              <c:numCache>
                <c:formatCode>#,##0</c:formatCode>
                <c:ptCount val="12"/>
                <c:pt idx="0">
                  <c:v>444</c:v>
                </c:pt>
                <c:pt idx="1">
                  <c:v>423</c:v>
                </c:pt>
                <c:pt idx="2">
                  <c:v>545</c:v>
                </c:pt>
                <c:pt idx="3">
                  <c:v>534</c:v>
                </c:pt>
                <c:pt idx="4">
                  <c:v>516</c:v>
                </c:pt>
                <c:pt idx="5">
                  <c:v>482</c:v>
                </c:pt>
                <c:pt idx="6">
                  <c:v>507</c:v>
                </c:pt>
                <c:pt idx="7">
                  <c:v>543</c:v>
                </c:pt>
                <c:pt idx="8">
                  <c:v>502</c:v>
                </c:pt>
                <c:pt idx="9">
                  <c:v>524</c:v>
                </c:pt>
                <c:pt idx="10">
                  <c:v>448</c:v>
                </c:pt>
                <c:pt idx="11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F-47A9-88F1-372C9EC84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496720048"/>
        <c:axId val="496718480"/>
      </c:barChart>
      <c:catAx>
        <c:axId val="49672004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/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18480"/>
        <c:crosses val="autoZero"/>
        <c:auto val="1"/>
        <c:lblAlgn val="ctr"/>
        <c:lblOffset val="100"/>
        <c:noMultiLvlLbl val="0"/>
      </c:catAx>
      <c:valAx>
        <c:axId val="496718480"/>
        <c:scaling>
          <c:orientation val="minMax"/>
          <c:max val="65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00"/>
                  <a:t>in numbers</a:t>
                </a:r>
              </a:p>
            </c:rich>
          </c:tx>
          <c:layout>
            <c:manualLayout>
              <c:xMode val="edge"/>
              <c:yMode val="edge"/>
              <c:x val="3.909911877348151E-3"/>
              <c:y val="0.31628862181700973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5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0048"/>
        <c:crosses val="autoZero"/>
        <c:crossBetween val="between"/>
        <c:majorUnit val="15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0236538248624091"/>
          <c:y val="0.177811186929691"/>
          <c:w val="0.28342743126040038"/>
          <c:h val="7.5629366865978584E-2"/>
        </c:manualLayout>
      </c:layout>
      <c:overlay val="0"/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onsolas"/>
                <a:ea typeface="Consolas"/>
                <a:cs typeface="Consolas"/>
              </a:defRPr>
            </a:pPr>
            <a:r>
              <a:rPr lang="en-US" sz="900"/>
              <a:t>Figure 3.11: Monthly records of Deaths, 201</a:t>
            </a:r>
            <a:r>
              <a:rPr lang="dv-MV" sz="900"/>
              <a:t>9</a:t>
            </a:r>
            <a:r>
              <a:rPr lang="en-US" sz="900"/>
              <a:t>-202</a:t>
            </a:r>
            <a:r>
              <a:rPr lang="dv-MV" sz="900"/>
              <a:t>1</a:t>
            </a:r>
            <a:endParaRPr lang="en-US" sz="900"/>
          </a:p>
        </c:rich>
      </c:tx>
      <c:layout>
        <c:manualLayout>
          <c:xMode val="edge"/>
          <c:yMode val="edge"/>
          <c:x val="0.2373150135465415"/>
          <c:y val="4.598660410285389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29871987059981E-2"/>
          <c:y val="0.17302976344478774"/>
          <c:w val="0.87732294567058045"/>
          <c:h val="0.6916192941971069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'3.7'!$AZ$33</c:f>
              <c:strCache>
                <c:ptCount val="1"/>
                <c:pt idx="0">
                  <c:v>2019 </c:v>
                </c:pt>
              </c:strCache>
            </c:strRef>
          </c:tx>
          <c:spPr>
            <a:solidFill>
              <a:srgbClr val="9BC2E6"/>
            </a:solidFill>
          </c:spPr>
          <c:invertIfNegative val="0"/>
          <c:cat>
            <c:strRef>
              <c:f>'3.7'!$AU$34:$AU$45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'3.7'!$AZ$34:$AZ$45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F-41DA-8E2D-3D3D3C463BCE}"/>
            </c:ext>
          </c:extLst>
        </c:ser>
        <c:ser>
          <c:idx val="2"/>
          <c:order val="1"/>
          <c:tx>
            <c:strRef>
              <c:f>'3.7'!$BA$33</c:f>
              <c:strCache>
                <c:ptCount val="1"/>
                <c:pt idx="0">
                  <c:v>2020 </c:v>
                </c:pt>
              </c:strCache>
            </c:strRef>
          </c:tx>
          <c:spPr>
            <a:solidFill>
              <a:srgbClr val="00DFDA"/>
            </a:solidFill>
          </c:spPr>
          <c:invertIfNegative val="0"/>
          <c:cat>
            <c:strRef>
              <c:f>'3.7'!$AU$34:$AU$45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'3.7'!$BA$34:$BA$45</c:f>
              <c:numCache>
                <c:formatCode>#,##0</c:formatCode>
                <c:ptCount val="12"/>
                <c:pt idx="0">
                  <c:v>114</c:v>
                </c:pt>
                <c:pt idx="1">
                  <c:v>96</c:v>
                </c:pt>
                <c:pt idx="2">
                  <c:v>109</c:v>
                </c:pt>
                <c:pt idx="3">
                  <c:v>91</c:v>
                </c:pt>
                <c:pt idx="4">
                  <c:v>109</c:v>
                </c:pt>
                <c:pt idx="5">
                  <c:v>91</c:v>
                </c:pt>
                <c:pt idx="6">
                  <c:v>115</c:v>
                </c:pt>
                <c:pt idx="7">
                  <c:v>129</c:v>
                </c:pt>
                <c:pt idx="8">
                  <c:v>112</c:v>
                </c:pt>
                <c:pt idx="9">
                  <c:v>103</c:v>
                </c:pt>
                <c:pt idx="10">
                  <c:v>110</c:v>
                </c:pt>
                <c:pt idx="11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F-41DA-8E2D-3D3D3C463BCE}"/>
            </c:ext>
          </c:extLst>
        </c:ser>
        <c:ser>
          <c:idx val="0"/>
          <c:order val="2"/>
          <c:tx>
            <c:strRef>
              <c:f>'3.7'!$BB$33</c:f>
              <c:strCache>
                <c:ptCount val="1"/>
                <c:pt idx="0">
                  <c:v>2021 </c:v>
                </c:pt>
              </c:strCache>
            </c:strRef>
          </c:tx>
          <c:spPr>
            <a:solidFill>
              <a:srgbClr val="003399"/>
            </a:solidFill>
          </c:spPr>
          <c:invertIfNegative val="0"/>
          <c:cat>
            <c:strRef>
              <c:f>'3.7'!$AU$34:$AU$45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'3.7'!$BB$34:$BB$45</c:f>
              <c:numCache>
                <c:formatCode>#,##0</c:formatCode>
                <c:ptCount val="12"/>
                <c:pt idx="0">
                  <c:v>98</c:v>
                </c:pt>
                <c:pt idx="1">
                  <c:v>102</c:v>
                </c:pt>
                <c:pt idx="2">
                  <c:v>104</c:v>
                </c:pt>
                <c:pt idx="3">
                  <c:v>129</c:v>
                </c:pt>
                <c:pt idx="4">
                  <c:v>186</c:v>
                </c:pt>
                <c:pt idx="5">
                  <c:v>178</c:v>
                </c:pt>
                <c:pt idx="6">
                  <c:v>115</c:v>
                </c:pt>
                <c:pt idx="7">
                  <c:v>106</c:v>
                </c:pt>
                <c:pt idx="8">
                  <c:v>114</c:v>
                </c:pt>
                <c:pt idx="9">
                  <c:v>149</c:v>
                </c:pt>
                <c:pt idx="10">
                  <c:v>116</c:v>
                </c:pt>
                <c:pt idx="11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C-4120-AF80-56536D1C9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2"/>
        <c:axId val="496719264"/>
        <c:axId val="496721224"/>
      </c:barChart>
      <c:catAx>
        <c:axId val="49671926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/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1224"/>
        <c:crosses val="autoZero"/>
        <c:auto val="1"/>
        <c:lblAlgn val="ctr"/>
        <c:lblOffset val="100"/>
        <c:noMultiLvlLbl val="0"/>
      </c:catAx>
      <c:valAx>
        <c:axId val="496721224"/>
        <c:scaling>
          <c:orientation val="minMax"/>
          <c:max val="20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4.1990220440386748E-3"/>
              <c:y val="0.37841122965082363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1926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1890649429187515"/>
          <c:y val="0.2067182086129839"/>
          <c:w val="0.24221491520683805"/>
          <c:h val="7.9750508570877801E-2"/>
        </c:manualLayout>
      </c:layout>
      <c:overlay val="0"/>
      <c:txPr>
        <a:bodyPr/>
        <a:lstStyle/>
        <a:p>
          <a:pPr>
            <a:defRPr sz="7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851741</xdr:colOff>
      <xdr:row>22</xdr:row>
      <xdr:rowOff>40221</xdr:rowOff>
    </xdr:from>
    <xdr:to>
      <xdr:col>7</xdr:col>
      <xdr:colOff>140560</xdr:colOff>
      <xdr:row>33</xdr:row>
      <xdr:rowOff>24804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849858</xdr:colOff>
      <xdr:row>33</xdr:row>
      <xdr:rowOff>121424</xdr:rowOff>
    </xdr:from>
    <xdr:to>
      <xdr:col>7</xdr:col>
      <xdr:colOff>114102</xdr:colOff>
      <xdr:row>42</xdr:row>
      <xdr:rowOff>223242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L59"/>
  <sheetViews>
    <sheetView tabSelected="1" zoomScale="130" zoomScaleNormal="130" zoomScaleSheetLayoutView="124" workbookViewId="0">
      <selection activeCell="J32" sqref="J32"/>
    </sheetView>
  </sheetViews>
  <sheetFormatPr defaultColWidth="10.28515625" defaultRowHeight="18.75" x14ac:dyDescent="0.5"/>
  <cols>
    <col min="1" max="1" width="14" style="1" customWidth="1"/>
    <col min="2" max="3" width="11.5703125" style="1" customWidth="1"/>
    <col min="4" max="4" width="9.42578125" style="1" customWidth="1"/>
    <col min="5" max="6" width="11.5703125" style="1" customWidth="1"/>
    <col min="7" max="7" width="9.42578125" style="1" customWidth="1"/>
    <col min="8" max="8" width="16.42578125" style="29" customWidth="1"/>
    <col min="9" max="9" width="2.140625" style="1" customWidth="1"/>
    <col min="10" max="10" width="14.5703125" style="1" customWidth="1"/>
    <col min="11" max="13" width="10.42578125" style="1" customWidth="1"/>
    <col min="14" max="20" width="2.85546875" style="1" customWidth="1"/>
    <col min="21" max="21" width="9.28515625" style="1" customWidth="1"/>
    <col min="22" max="42" width="2.85546875" style="1" customWidth="1"/>
    <col min="43" max="45" width="10.28515625" style="1"/>
    <col min="46" max="46" width="10.28515625" style="2"/>
    <col min="47" max="47" width="10.28515625" style="3"/>
    <col min="48" max="50" width="10.28515625" style="2"/>
    <col min="51" max="237" width="10.28515625" style="1"/>
    <col min="238" max="238" width="14" style="1" customWidth="1"/>
    <col min="239" max="250" width="0" style="1" hidden="1" customWidth="1"/>
    <col min="251" max="259" width="11.5703125" style="1" customWidth="1"/>
    <col min="260" max="262" width="0" style="1" hidden="1" customWidth="1"/>
    <col min="263" max="263" width="10.140625" style="1" customWidth="1"/>
    <col min="264" max="264" width="8.85546875" style="1" customWidth="1"/>
    <col min="265" max="265" width="2.140625" style="1" customWidth="1"/>
    <col min="266" max="266" width="14.5703125" style="1" customWidth="1"/>
    <col min="267" max="269" width="10.42578125" style="1" customWidth="1"/>
    <col min="270" max="298" width="2.85546875" style="1" customWidth="1"/>
    <col min="299" max="493" width="10.28515625" style="1"/>
    <col min="494" max="494" width="14" style="1" customWidth="1"/>
    <col min="495" max="506" width="0" style="1" hidden="1" customWidth="1"/>
    <col min="507" max="515" width="11.5703125" style="1" customWidth="1"/>
    <col min="516" max="518" width="0" style="1" hidden="1" customWidth="1"/>
    <col min="519" max="519" width="10.140625" style="1" customWidth="1"/>
    <col min="520" max="520" width="8.85546875" style="1" customWidth="1"/>
    <col min="521" max="521" width="2.140625" style="1" customWidth="1"/>
    <col min="522" max="522" width="14.5703125" style="1" customWidth="1"/>
    <col min="523" max="525" width="10.42578125" style="1" customWidth="1"/>
    <col min="526" max="554" width="2.85546875" style="1" customWidth="1"/>
    <col min="555" max="749" width="10.28515625" style="1"/>
    <col min="750" max="750" width="14" style="1" customWidth="1"/>
    <col min="751" max="762" width="0" style="1" hidden="1" customWidth="1"/>
    <col min="763" max="771" width="11.5703125" style="1" customWidth="1"/>
    <col min="772" max="774" width="0" style="1" hidden="1" customWidth="1"/>
    <col min="775" max="775" width="10.140625" style="1" customWidth="1"/>
    <col min="776" max="776" width="8.85546875" style="1" customWidth="1"/>
    <col min="777" max="777" width="2.140625" style="1" customWidth="1"/>
    <col min="778" max="778" width="14.5703125" style="1" customWidth="1"/>
    <col min="779" max="781" width="10.42578125" style="1" customWidth="1"/>
    <col min="782" max="810" width="2.85546875" style="1" customWidth="1"/>
    <col min="811" max="1005" width="10.28515625" style="1"/>
    <col min="1006" max="1006" width="14" style="1" customWidth="1"/>
    <col min="1007" max="1018" width="0" style="1" hidden="1" customWidth="1"/>
    <col min="1019" max="1027" width="11.5703125" style="1" customWidth="1"/>
    <col min="1028" max="1030" width="0" style="1" hidden="1" customWidth="1"/>
    <col min="1031" max="1031" width="10.140625" style="1" customWidth="1"/>
    <col min="1032" max="1032" width="8.85546875" style="1" customWidth="1"/>
    <col min="1033" max="1033" width="2.140625" style="1" customWidth="1"/>
    <col min="1034" max="1034" width="14.5703125" style="1" customWidth="1"/>
    <col min="1035" max="1037" width="10.42578125" style="1" customWidth="1"/>
    <col min="1038" max="1066" width="2.85546875" style="1" customWidth="1"/>
    <col min="1067" max="1261" width="10.28515625" style="1"/>
    <col min="1262" max="1262" width="14" style="1" customWidth="1"/>
    <col min="1263" max="1274" width="0" style="1" hidden="1" customWidth="1"/>
    <col min="1275" max="1283" width="11.5703125" style="1" customWidth="1"/>
    <col min="1284" max="1286" width="0" style="1" hidden="1" customWidth="1"/>
    <col min="1287" max="1287" width="10.140625" style="1" customWidth="1"/>
    <col min="1288" max="1288" width="8.85546875" style="1" customWidth="1"/>
    <col min="1289" max="1289" width="2.140625" style="1" customWidth="1"/>
    <col min="1290" max="1290" width="14.5703125" style="1" customWidth="1"/>
    <col min="1291" max="1293" width="10.42578125" style="1" customWidth="1"/>
    <col min="1294" max="1322" width="2.85546875" style="1" customWidth="1"/>
    <col min="1323" max="1517" width="10.28515625" style="1"/>
    <col min="1518" max="1518" width="14" style="1" customWidth="1"/>
    <col min="1519" max="1530" width="0" style="1" hidden="1" customWidth="1"/>
    <col min="1531" max="1539" width="11.5703125" style="1" customWidth="1"/>
    <col min="1540" max="1542" width="0" style="1" hidden="1" customWidth="1"/>
    <col min="1543" max="1543" width="10.140625" style="1" customWidth="1"/>
    <col min="1544" max="1544" width="8.85546875" style="1" customWidth="1"/>
    <col min="1545" max="1545" width="2.140625" style="1" customWidth="1"/>
    <col min="1546" max="1546" width="14.5703125" style="1" customWidth="1"/>
    <col min="1547" max="1549" width="10.42578125" style="1" customWidth="1"/>
    <col min="1550" max="1578" width="2.85546875" style="1" customWidth="1"/>
    <col min="1579" max="1773" width="10.28515625" style="1"/>
    <col min="1774" max="1774" width="14" style="1" customWidth="1"/>
    <col min="1775" max="1786" width="0" style="1" hidden="1" customWidth="1"/>
    <col min="1787" max="1795" width="11.5703125" style="1" customWidth="1"/>
    <col min="1796" max="1798" width="0" style="1" hidden="1" customWidth="1"/>
    <col min="1799" max="1799" width="10.140625" style="1" customWidth="1"/>
    <col min="1800" max="1800" width="8.85546875" style="1" customWidth="1"/>
    <col min="1801" max="1801" width="2.140625" style="1" customWidth="1"/>
    <col min="1802" max="1802" width="14.5703125" style="1" customWidth="1"/>
    <col min="1803" max="1805" width="10.42578125" style="1" customWidth="1"/>
    <col min="1806" max="1834" width="2.85546875" style="1" customWidth="1"/>
    <col min="1835" max="2029" width="10.28515625" style="1"/>
    <col min="2030" max="2030" width="14" style="1" customWidth="1"/>
    <col min="2031" max="2042" width="0" style="1" hidden="1" customWidth="1"/>
    <col min="2043" max="2051" width="11.5703125" style="1" customWidth="1"/>
    <col min="2052" max="2054" width="0" style="1" hidden="1" customWidth="1"/>
    <col min="2055" max="2055" width="10.140625" style="1" customWidth="1"/>
    <col min="2056" max="2056" width="8.85546875" style="1" customWidth="1"/>
    <col min="2057" max="2057" width="2.140625" style="1" customWidth="1"/>
    <col min="2058" max="2058" width="14.5703125" style="1" customWidth="1"/>
    <col min="2059" max="2061" width="10.42578125" style="1" customWidth="1"/>
    <col min="2062" max="2090" width="2.85546875" style="1" customWidth="1"/>
    <col min="2091" max="2285" width="10.28515625" style="1"/>
    <col min="2286" max="2286" width="14" style="1" customWidth="1"/>
    <col min="2287" max="2298" width="0" style="1" hidden="1" customWidth="1"/>
    <col min="2299" max="2307" width="11.5703125" style="1" customWidth="1"/>
    <col min="2308" max="2310" width="0" style="1" hidden="1" customWidth="1"/>
    <col min="2311" max="2311" width="10.140625" style="1" customWidth="1"/>
    <col min="2312" max="2312" width="8.85546875" style="1" customWidth="1"/>
    <col min="2313" max="2313" width="2.140625" style="1" customWidth="1"/>
    <col min="2314" max="2314" width="14.5703125" style="1" customWidth="1"/>
    <col min="2315" max="2317" width="10.42578125" style="1" customWidth="1"/>
    <col min="2318" max="2346" width="2.85546875" style="1" customWidth="1"/>
    <col min="2347" max="2541" width="10.28515625" style="1"/>
    <col min="2542" max="2542" width="14" style="1" customWidth="1"/>
    <col min="2543" max="2554" width="0" style="1" hidden="1" customWidth="1"/>
    <col min="2555" max="2563" width="11.5703125" style="1" customWidth="1"/>
    <col min="2564" max="2566" width="0" style="1" hidden="1" customWidth="1"/>
    <col min="2567" max="2567" width="10.140625" style="1" customWidth="1"/>
    <col min="2568" max="2568" width="8.85546875" style="1" customWidth="1"/>
    <col min="2569" max="2569" width="2.140625" style="1" customWidth="1"/>
    <col min="2570" max="2570" width="14.5703125" style="1" customWidth="1"/>
    <col min="2571" max="2573" width="10.42578125" style="1" customWidth="1"/>
    <col min="2574" max="2602" width="2.85546875" style="1" customWidth="1"/>
    <col min="2603" max="2797" width="10.28515625" style="1"/>
    <col min="2798" max="2798" width="14" style="1" customWidth="1"/>
    <col min="2799" max="2810" width="0" style="1" hidden="1" customWidth="1"/>
    <col min="2811" max="2819" width="11.5703125" style="1" customWidth="1"/>
    <col min="2820" max="2822" width="0" style="1" hidden="1" customWidth="1"/>
    <col min="2823" max="2823" width="10.140625" style="1" customWidth="1"/>
    <col min="2824" max="2824" width="8.85546875" style="1" customWidth="1"/>
    <col min="2825" max="2825" width="2.140625" style="1" customWidth="1"/>
    <col min="2826" max="2826" width="14.5703125" style="1" customWidth="1"/>
    <col min="2827" max="2829" width="10.42578125" style="1" customWidth="1"/>
    <col min="2830" max="2858" width="2.85546875" style="1" customWidth="1"/>
    <col min="2859" max="3053" width="10.28515625" style="1"/>
    <col min="3054" max="3054" width="14" style="1" customWidth="1"/>
    <col min="3055" max="3066" width="0" style="1" hidden="1" customWidth="1"/>
    <col min="3067" max="3075" width="11.5703125" style="1" customWidth="1"/>
    <col min="3076" max="3078" width="0" style="1" hidden="1" customWidth="1"/>
    <col min="3079" max="3079" width="10.140625" style="1" customWidth="1"/>
    <col min="3080" max="3080" width="8.85546875" style="1" customWidth="1"/>
    <col min="3081" max="3081" width="2.140625" style="1" customWidth="1"/>
    <col min="3082" max="3082" width="14.5703125" style="1" customWidth="1"/>
    <col min="3083" max="3085" width="10.42578125" style="1" customWidth="1"/>
    <col min="3086" max="3114" width="2.85546875" style="1" customWidth="1"/>
    <col min="3115" max="3309" width="10.28515625" style="1"/>
    <col min="3310" max="3310" width="14" style="1" customWidth="1"/>
    <col min="3311" max="3322" width="0" style="1" hidden="1" customWidth="1"/>
    <col min="3323" max="3331" width="11.5703125" style="1" customWidth="1"/>
    <col min="3332" max="3334" width="0" style="1" hidden="1" customWidth="1"/>
    <col min="3335" max="3335" width="10.140625" style="1" customWidth="1"/>
    <col min="3336" max="3336" width="8.85546875" style="1" customWidth="1"/>
    <col min="3337" max="3337" width="2.140625" style="1" customWidth="1"/>
    <col min="3338" max="3338" width="14.5703125" style="1" customWidth="1"/>
    <col min="3339" max="3341" width="10.42578125" style="1" customWidth="1"/>
    <col min="3342" max="3370" width="2.85546875" style="1" customWidth="1"/>
    <col min="3371" max="3565" width="10.28515625" style="1"/>
    <col min="3566" max="3566" width="14" style="1" customWidth="1"/>
    <col min="3567" max="3578" width="0" style="1" hidden="1" customWidth="1"/>
    <col min="3579" max="3587" width="11.5703125" style="1" customWidth="1"/>
    <col min="3588" max="3590" width="0" style="1" hidden="1" customWidth="1"/>
    <col min="3591" max="3591" width="10.140625" style="1" customWidth="1"/>
    <col min="3592" max="3592" width="8.85546875" style="1" customWidth="1"/>
    <col min="3593" max="3593" width="2.140625" style="1" customWidth="1"/>
    <col min="3594" max="3594" width="14.5703125" style="1" customWidth="1"/>
    <col min="3595" max="3597" width="10.42578125" style="1" customWidth="1"/>
    <col min="3598" max="3626" width="2.85546875" style="1" customWidth="1"/>
    <col min="3627" max="3821" width="10.28515625" style="1"/>
    <col min="3822" max="3822" width="14" style="1" customWidth="1"/>
    <col min="3823" max="3834" width="0" style="1" hidden="1" customWidth="1"/>
    <col min="3835" max="3843" width="11.5703125" style="1" customWidth="1"/>
    <col min="3844" max="3846" width="0" style="1" hidden="1" customWidth="1"/>
    <col min="3847" max="3847" width="10.140625" style="1" customWidth="1"/>
    <col min="3848" max="3848" width="8.85546875" style="1" customWidth="1"/>
    <col min="3849" max="3849" width="2.140625" style="1" customWidth="1"/>
    <col min="3850" max="3850" width="14.5703125" style="1" customWidth="1"/>
    <col min="3851" max="3853" width="10.42578125" style="1" customWidth="1"/>
    <col min="3854" max="3882" width="2.85546875" style="1" customWidth="1"/>
    <col min="3883" max="4077" width="10.28515625" style="1"/>
    <col min="4078" max="4078" width="14" style="1" customWidth="1"/>
    <col min="4079" max="4090" width="0" style="1" hidden="1" customWidth="1"/>
    <col min="4091" max="4099" width="11.5703125" style="1" customWidth="1"/>
    <col min="4100" max="4102" width="0" style="1" hidden="1" customWidth="1"/>
    <col min="4103" max="4103" width="10.140625" style="1" customWidth="1"/>
    <col min="4104" max="4104" width="8.85546875" style="1" customWidth="1"/>
    <col min="4105" max="4105" width="2.140625" style="1" customWidth="1"/>
    <col min="4106" max="4106" width="14.5703125" style="1" customWidth="1"/>
    <col min="4107" max="4109" width="10.42578125" style="1" customWidth="1"/>
    <col min="4110" max="4138" width="2.85546875" style="1" customWidth="1"/>
    <col min="4139" max="4333" width="10.28515625" style="1"/>
    <col min="4334" max="4334" width="14" style="1" customWidth="1"/>
    <col min="4335" max="4346" width="0" style="1" hidden="1" customWidth="1"/>
    <col min="4347" max="4355" width="11.5703125" style="1" customWidth="1"/>
    <col min="4356" max="4358" width="0" style="1" hidden="1" customWidth="1"/>
    <col min="4359" max="4359" width="10.140625" style="1" customWidth="1"/>
    <col min="4360" max="4360" width="8.85546875" style="1" customWidth="1"/>
    <col min="4361" max="4361" width="2.140625" style="1" customWidth="1"/>
    <col min="4362" max="4362" width="14.5703125" style="1" customWidth="1"/>
    <col min="4363" max="4365" width="10.42578125" style="1" customWidth="1"/>
    <col min="4366" max="4394" width="2.85546875" style="1" customWidth="1"/>
    <col min="4395" max="4589" width="10.28515625" style="1"/>
    <col min="4590" max="4590" width="14" style="1" customWidth="1"/>
    <col min="4591" max="4602" width="0" style="1" hidden="1" customWidth="1"/>
    <col min="4603" max="4611" width="11.5703125" style="1" customWidth="1"/>
    <col min="4612" max="4614" width="0" style="1" hidden="1" customWidth="1"/>
    <col min="4615" max="4615" width="10.140625" style="1" customWidth="1"/>
    <col min="4616" max="4616" width="8.85546875" style="1" customWidth="1"/>
    <col min="4617" max="4617" width="2.140625" style="1" customWidth="1"/>
    <col min="4618" max="4618" width="14.5703125" style="1" customWidth="1"/>
    <col min="4619" max="4621" width="10.42578125" style="1" customWidth="1"/>
    <col min="4622" max="4650" width="2.85546875" style="1" customWidth="1"/>
    <col min="4651" max="4845" width="10.28515625" style="1"/>
    <col min="4846" max="4846" width="14" style="1" customWidth="1"/>
    <col min="4847" max="4858" width="0" style="1" hidden="1" customWidth="1"/>
    <col min="4859" max="4867" width="11.5703125" style="1" customWidth="1"/>
    <col min="4868" max="4870" width="0" style="1" hidden="1" customWidth="1"/>
    <col min="4871" max="4871" width="10.140625" style="1" customWidth="1"/>
    <col min="4872" max="4872" width="8.85546875" style="1" customWidth="1"/>
    <col min="4873" max="4873" width="2.140625" style="1" customWidth="1"/>
    <col min="4874" max="4874" width="14.5703125" style="1" customWidth="1"/>
    <col min="4875" max="4877" width="10.42578125" style="1" customWidth="1"/>
    <col min="4878" max="4906" width="2.85546875" style="1" customWidth="1"/>
    <col min="4907" max="5101" width="10.28515625" style="1"/>
    <col min="5102" max="5102" width="14" style="1" customWidth="1"/>
    <col min="5103" max="5114" width="0" style="1" hidden="1" customWidth="1"/>
    <col min="5115" max="5123" width="11.5703125" style="1" customWidth="1"/>
    <col min="5124" max="5126" width="0" style="1" hidden="1" customWidth="1"/>
    <col min="5127" max="5127" width="10.140625" style="1" customWidth="1"/>
    <col min="5128" max="5128" width="8.85546875" style="1" customWidth="1"/>
    <col min="5129" max="5129" width="2.140625" style="1" customWidth="1"/>
    <col min="5130" max="5130" width="14.5703125" style="1" customWidth="1"/>
    <col min="5131" max="5133" width="10.42578125" style="1" customWidth="1"/>
    <col min="5134" max="5162" width="2.85546875" style="1" customWidth="1"/>
    <col min="5163" max="5357" width="10.28515625" style="1"/>
    <col min="5358" max="5358" width="14" style="1" customWidth="1"/>
    <col min="5359" max="5370" width="0" style="1" hidden="1" customWidth="1"/>
    <col min="5371" max="5379" width="11.5703125" style="1" customWidth="1"/>
    <col min="5380" max="5382" width="0" style="1" hidden="1" customWidth="1"/>
    <col min="5383" max="5383" width="10.140625" style="1" customWidth="1"/>
    <col min="5384" max="5384" width="8.85546875" style="1" customWidth="1"/>
    <col min="5385" max="5385" width="2.140625" style="1" customWidth="1"/>
    <col min="5386" max="5386" width="14.5703125" style="1" customWidth="1"/>
    <col min="5387" max="5389" width="10.42578125" style="1" customWidth="1"/>
    <col min="5390" max="5418" width="2.85546875" style="1" customWidth="1"/>
    <col min="5419" max="5613" width="10.28515625" style="1"/>
    <col min="5614" max="5614" width="14" style="1" customWidth="1"/>
    <col min="5615" max="5626" width="0" style="1" hidden="1" customWidth="1"/>
    <col min="5627" max="5635" width="11.5703125" style="1" customWidth="1"/>
    <col min="5636" max="5638" width="0" style="1" hidden="1" customWidth="1"/>
    <col min="5639" max="5639" width="10.140625" style="1" customWidth="1"/>
    <col min="5640" max="5640" width="8.85546875" style="1" customWidth="1"/>
    <col min="5641" max="5641" width="2.140625" style="1" customWidth="1"/>
    <col min="5642" max="5642" width="14.5703125" style="1" customWidth="1"/>
    <col min="5643" max="5645" width="10.42578125" style="1" customWidth="1"/>
    <col min="5646" max="5674" width="2.85546875" style="1" customWidth="1"/>
    <col min="5675" max="5869" width="10.28515625" style="1"/>
    <col min="5870" max="5870" width="14" style="1" customWidth="1"/>
    <col min="5871" max="5882" width="0" style="1" hidden="1" customWidth="1"/>
    <col min="5883" max="5891" width="11.5703125" style="1" customWidth="1"/>
    <col min="5892" max="5894" width="0" style="1" hidden="1" customWidth="1"/>
    <col min="5895" max="5895" width="10.140625" style="1" customWidth="1"/>
    <col min="5896" max="5896" width="8.85546875" style="1" customWidth="1"/>
    <col min="5897" max="5897" width="2.140625" style="1" customWidth="1"/>
    <col min="5898" max="5898" width="14.5703125" style="1" customWidth="1"/>
    <col min="5899" max="5901" width="10.42578125" style="1" customWidth="1"/>
    <col min="5902" max="5930" width="2.85546875" style="1" customWidth="1"/>
    <col min="5931" max="6125" width="10.28515625" style="1"/>
    <col min="6126" max="6126" width="14" style="1" customWidth="1"/>
    <col min="6127" max="6138" width="0" style="1" hidden="1" customWidth="1"/>
    <col min="6139" max="6147" width="11.5703125" style="1" customWidth="1"/>
    <col min="6148" max="6150" width="0" style="1" hidden="1" customWidth="1"/>
    <col min="6151" max="6151" width="10.140625" style="1" customWidth="1"/>
    <col min="6152" max="6152" width="8.85546875" style="1" customWidth="1"/>
    <col min="6153" max="6153" width="2.140625" style="1" customWidth="1"/>
    <col min="6154" max="6154" width="14.5703125" style="1" customWidth="1"/>
    <col min="6155" max="6157" width="10.42578125" style="1" customWidth="1"/>
    <col min="6158" max="6186" width="2.85546875" style="1" customWidth="1"/>
    <col min="6187" max="6381" width="10.28515625" style="1"/>
    <col min="6382" max="6382" width="14" style="1" customWidth="1"/>
    <col min="6383" max="6394" width="0" style="1" hidden="1" customWidth="1"/>
    <col min="6395" max="6403" width="11.5703125" style="1" customWidth="1"/>
    <col min="6404" max="6406" width="0" style="1" hidden="1" customWidth="1"/>
    <col min="6407" max="6407" width="10.140625" style="1" customWidth="1"/>
    <col min="6408" max="6408" width="8.85546875" style="1" customWidth="1"/>
    <col min="6409" max="6409" width="2.140625" style="1" customWidth="1"/>
    <col min="6410" max="6410" width="14.5703125" style="1" customWidth="1"/>
    <col min="6411" max="6413" width="10.42578125" style="1" customWidth="1"/>
    <col min="6414" max="6442" width="2.85546875" style="1" customWidth="1"/>
    <col min="6443" max="6637" width="10.28515625" style="1"/>
    <col min="6638" max="6638" width="14" style="1" customWidth="1"/>
    <col min="6639" max="6650" width="0" style="1" hidden="1" customWidth="1"/>
    <col min="6651" max="6659" width="11.5703125" style="1" customWidth="1"/>
    <col min="6660" max="6662" width="0" style="1" hidden="1" customWidth="1"/>
    <col min="6663" max="6663" width="10.140625" style="1" customWidth="1"/>
    <col min="6664" max="6664" width="8.85546875" style="1" customWidth="1"/>
    <col min="6665" max="6665" width="2.140625" style="1" customWidth="1"/>
    <col min="6666" max="6666" width="14.5703125" style="1" customWidth="1"/>
    <col min="6667" max="6669" width="10.42578125" style="1" customWidth="1"/>
    <col min="6670" max="6698" width="2.85546875" style="1" customWidth="1"/>
    <col min="6699" max="6893" width="10.28515625" style="1"/>
    <col min="6894" max="6894" width="14" style="1" customWidth="1"/>
    <col min="6895" max="6906" width="0" style="1" hidden="1" customWidth="1"/>
    <col min="6907" max="6915" width="11.5703125" style="1" customWidth="1"/>
    <col min="6916" max="6918" width="0" style="1" hidden="1" customWidth="1"/>
    <col min="6919" max="6919" width="10.140625" style="1" customWidth="1"/>
    <col min="6920" max="6920" width="8.85546875" style="1" customWidth="1"/>
    <col min="6921" max="6921" width="2.140625" style="1" customWidth="1"/>
    <col min="6922" max="6922" width="14.5703125" style="1" customWidth="1"/>
    <col min="6923" max="6925" width="10.42578125" style="1" customWidth="1"/>
    <col min="6926" max="6954" width="2.85546875" style="1" customWidth="1"/>
    <col min="6955" max="7149" width="10.28515625" style="1"/>
    <col min="7150" max="7150" width="14" style="1" customWidth="1"/>
    <col min="7151" max="7162" width="0" style="1" hidden="1" customWidth="1"/>
    <col min="7163" max="7171" width="11.5703125" style="1" customWidth="1"/>
    <col min="7172" max="7174" width="0" style="1" hidden="1" customWidth="1"/>
    <col min="7175" max="7175" width="10.140625" style="1" customWidth="1"/>
    <col min="7176" max="7176" width="8.85546875" style="1" customWidth="1"/>
    <col min="7177" max="7177" width="2.140625" style="1" customWidth="1"/>
    <col min="7178" max="7178" width="14.5703125" style="1" customWidth="1"/>
    <col min="7179" max="7181" width="10.42578125" style="1" customWidth="1"/>
    <col min="7182" max="7210" width="2.85546875" style="1" customWidth="1"/>
    <col min="7211" max="7405" width="10.28515625" style="1"/>
    <col min="7406" max="7406" width="14" style="1" customWidth="1"/>
    <col min="7407" max="7418" width="0" style="1" hidden="1" customWidth="1"/>
    <col min="7419" max="7427" width="11.5703125" style="1" customWidth="1"/>
    <col min="7428" max="7430" width="0" style="1" hidden="1" customWidth="1"/>
    <col min="7431" max="7431" width="10.140625" style="1" customWidth="1"/>
    <col min="7432" max="7432" width="8.85546875" style="1" customWidth="1"/>
    <col min="7433" max="7433" width="2.140625" style="1" customWidth="1"/>
    <col min="7434" max="7434" width="14.5703125" style="1" customWidth="1"/>
    <col min="7435" max="7437" width="10.42578125" style="1" customWidth="1"/>
    <col min="7438" max="7466" width="2.85546875" style="1" customWidth="1"/>
    <col min="7467" max="7661" width="10.28515625" style="1"/>
    <col min="7662" max="7662" width="14" style="1" customWidth="1"/>
    <col min="7663" max="7674" width="0" style="1" hidden="1" customWidth="1"/>
    <col min="7675" max="7683" width="11.5703125" style="1" customWidth="1"/>
    <col min="7684" max="7686" width="0" style="1" hidden="1" customWidth="1"/>
    <col min="7687" max="7687" width="10.140625" style="1" customWidth="1"/>
    <col min="7688" max="7688" width="8.85546875" style="1" customWidth="1"/>
    <col min="7689" max="7689" width="2.140625" style="1" customWidth="1"/>
    <col min="7690" max="7690" width="14.5703125" style="1" customWidth="1"/>
    <col min="7691" max="7693" width="10.42578125" style="1" customWidth="1"/>
    <col min="7694" max="7722" width="2.85546875" style="1" customWidth="1"/>
    <col min="7723" max="7917" width="10.28515625" style="1"/>
    <col min="7918" max="7918" width="14" style="1" customWidth="1"/>
    <col min="7919" max="7930" width="0" style="1" hidden="1" customWidth="1"/>
    <col min="7931" max="7939" width="11.5703125" style="1" customWidth="1"/>
    <col min="7940" max="7942" width="0" style="1" hidden="1" customWidth="1"/>
    <col min="7943" max="7943" width="10.140625" style="1" customWidth="1"/>
    <col min="7944" max="7944" width="8.85546875" style="1" customWidth="1"/>
    <col min="7945" max="7945" width="2.140625" style="1" customWidth="1"/>
    <col min="7946" max="7946" width="14.5703125" style="1" customWidth="1"/>
    <col min="7947" max="7949" width="10.42578125" style="1" customWidth="1"/>
    <col min="7950" max="7978" width="2.85546875" style="1" customWidth="1"/>
    <col min="7979" max="8173" width="10.28515625" style="1"/>
    <col min="8174" max="8174" width="14" style="1" customWidth="1"/>
    <col min="8175" max="8186" width="0" style="1" hidden="1" customWidth="1"/>
    <col min="8187" max="8195" width="11.5703125" style="1" customWidth="1"/>
    <col min="8196" max="8198" width="0" style="1" hidden="1" customWidth="1"/>
    <col min="8199" max="8199" width="10.140625" style="1" customWidth="1"/>
    <col min="8200" max="8200" width="8.85546875" style="1" customWidth="1"/>
    <col min="8201" max="8201" width="2.140625" style="1" customWidth="1"/>
    <col min="8202" max="8202" width="14.5703125" style="1" customWidth="1"/>
    <col min="8203" max="8205" width="10.42578125" style="1" customWidth="1"/>
    <col min="8206" max="8234" width="2.85546875" style="1" customWidth="1"/>
    <col min="8235" max="8429" width="10.28515625" style="1"/>
    <col min="8430" max="8430" width="14" style="1" customWidth="1"/>
    <col min="8431" max="8442" width="0" style="1" hidden="1" customWidth="1"/>
    <col min="8443" max="8451" width="11.5703125" style="1" customWidth="1"/>
    <col min="8452" max="8454" width="0" style="1" hidden="1" customWidth="1"/>
    <col min="8455" max="8455" width="10.140625" style="1" customWidth="1"/>
    <col min="8456" max="8456" width="8.85546875" style="1" customWidth="1"/>
    <col min="8457" max="8457" width="2.140625" style="1" customWidth="1"/>
    <col min="8458" max="8458" width="14.5703125" style="1" customWidth="1"/>
    <col min="8459" max="8461" width="10.42578125" style="1" customWidth="1"/>
    <col min="8462" max="8490" width="2.85546875" style="1" customWidth="1"/>
    <col min="8491" max="8685" width="10.28515625" style="1"/>
    <col min="8686" max="8686" width="14" style="1" customWidth="1"/>
    <col min="8687" max="8698" width="0" style="1" hidden="1" customWidth="1"/>
    <col min="8699" max="8707" width="11.5703125" style="1" customWidth="1"/>
    <col min="8708" max="8710" width="0" style="1" hidden="1" customWidth="1"/>
    <col min="8711" max="8711" width="10.140625" style="1" customWidth="1"/>
    <col min="8712" max="8712" width="8.85546875" style="1" customWidth="1"/>
    <col min="8713" max="8713" width="2.140625" style="1" customWidth="1"/>
    <col min="8714" max="8714" width="14.5703125" style="1" customWidth="1"/>
    <col min="8715" max="8717" width="10.42578125" style="1" customWidth="1"/>
    <col min="8718" max="8746" width="2.85546875" style="1" customWidth="1"/>
    <col min="8747" max="8941" width="10.28515625" style="1"/>
    <col min="8942" max="8942" width="14" style="1" customWidth="1"/>
    <col min="8943" max="8954" width="0" style="1" hidden="1" customWidth="1"/>
    <col min="8955" max="8963" width="11.5703125" style="1" customWidth="1"/>
    <col min="8964" max="8966" width="0" style="1" hidden="1" customWidth="1"/>
    <col min="8967" max="8967" width="10.140625" style="1" customWidth="1"/>
    <col min="8968" max="8968" width="8.85546875" style="1" customWidth="1"/>
    <col min="8969" max="8969" width="2.140625" style="1" customWidth="1"/>
    <col min="8970" max="8970" width="14.5703125" style="1" customWidth="1"/>
    <col min="8971" max="8973" width="10.42578125" style="1" customWidth="1"/>
    <col min="8974" max="9002" width="2.85546875" style="1" customWidth="1"/>
    <col min="9003" max="9197" width="10.28515625" style="1"/>
    <col min="9198" max="9198" width="14" style="1" customWidth="1"/>
    <col min="9199" max="9210" width="0" style="1" hidden="1" customWidth="1"/>
    <col min="9211" max="9219" width="11.5703125" style="1" customWidth="1"/>
    <col min="9220" max="9222" width="0" style="1" hidden="1" customWidth="1"/>
    <col min="9223" max="9223" width="10.140625" style="1" customWidth="1"/>
    <col min="9224" max="9224" width="8.85546875" style="1" customWidth="1"/>
    <col min="9225" max="9225" width="2.140625" style="1" customWidth="1"/>
    <col min="9226" max="9226" width="14.5703125" style="1" customWidth="1"/>
    <col min="9227" max="9229" width="10.42578125" style="1" customWidth="1"/>
    <col min="9230" max="9258" width="2.85546875" style="1" customWidth="1"/>
    <col min="9259" max="9453" width="10.28515625" style="1"/>
    <col min="9454" max="9454" width="14" style="1" customWidth="1"/>
    <col min="9455" max="9466" width="0" style="1" hidden="1" customWidth="1"/>
    <col min="9467" max="9475" width="11.5703125" style="1" customWidth="1"/>
    <col min="9476" max="9478" width="0" style="1" hidden="1" customWidth="1"/>
    <col min="9479" max="9479" width="10.140625" style="1" customWidth="1"/>
    <col min="9480" max="9480" width="8.85546875" style="1" customWidth="1"/>
    <col min="9481" max="9481" width="2.140625" style="1" customWidth="1"/>
    <col min="9482" max="9482" width="14.5703125" style="1" customWidth="1"/>
    <col min="9483" max="9485" width="10.42578125" style="1" customWidth="1"/>
    <col min="9486" max="9514" width="2.85546875" style="1" customWidth="1"/>
    <col min="9515" max="9709" width="10.28515625" style="1"/>
    <col min="9710" max="9710" width="14" style="1" customWidth="1"/>
    <col min="9711" max="9722" width="0" style="1" hidden="1" customWidth="1"/>
    <col min="9723" max="9731" width="11.5703125" style="1" customWidth="1"/>
    <col min="9732" max="9734" width="0" style="1" hidden="1" customWidth="1"/>
    <col min="9735" max="9735" width="10.140625" style="1" customWidth="1"/>
    <col min="9736" max="9736" width="8.85546875" style="1" customWidth="1"/>
    <col min="9737" max="9737" width="2.140625" style="1" customWidth="1"/>
    <col min="9738" max="9738" width="14.5703125" style="1" customWidth="1"/>
    <col min="9739" max="9741" width="10.42578125" style="1" customWidth="1"/>
    <col min="9742" max="9770" width="2.85546875" style="1" customWidth="1"/>
    <col min="9771" max="9965" width="10.28515625" style="1"/>
    <col min="9966" max="9966" width="14" style="1" customWidth="1"/>
    <col min="9967" max="9978" width="0" style="1" hidden="1" customWidth="1"/>
    <col min="9979" max="9987" width="11.5703125" style="1" customWidth="1"/>
    <col min="9988" max="9990" width="0" style="1" hidden="1" customWidth="1"/>
    <col min="9991" max="9991" width="10.140625" style="1" customWidth="1"/>
    <col min="9992" max="9992" width="8.85546875" style="1" customWidth="1"/>
    <col min="9993" max="9993" width="2.140625" style="1" customWidth="1"/>
    <col min="9994" max="9994" width="14.5703125" style="1" customWidth="1"/>
    <col min="9995" max="9997" width="10.42578125" style="1" customWidth="1"/>
    <col min="9998" max="10026" width="2.85546875" style="1" customWidth="1"/>
    <col min="10027" max="10221" width="10.28515625" style="1"/>
    <col min="10222" max="10222" width="14" style="1" customWidth="1"/>
    <col min="10223" max="10234" width="0" style="1" hidden="1" customWidth="1"/>
    <col min="10235" max="10243" width="11.5703125" style="1" customWidth="1"/>
    <col min="10244" max="10246" width="0" style="1" hidden="1" customWidth="1"/>
    <col min="10247" max="10247" width="10.140625" style="1" customWidth="1"/>
    <col min="10248" max="10248" width="8.85546875" style="1" customWidth="1"/>
    <col min="10249" max="10249" width="2.140625" style="1" customWidth="1"/>
    <col min="10250" max="10250" width="14.5703125" style="1" customWidth="1"/>
    <col min="10251" max="10253" width="10.42578125" style="1" customWidth="1"/>
    <col min="10254" max="10282" width="2.85546875" style="1" customWidth="1"/>
    <col min="10283" max="10477" width="10.28515625" style="1"/>
    <col min="10478" max="10478" width="14" style="1" customWidth="1"/>
    <col min="10479" max="10490" width="0" style="1" hidden="1" customWidth="1"/>
    <col min="10491" max="10499" width="11.5703125" style="1" customWidth="1"/>
    <col min="10500" max="10502" width="0" style="1" hidden="1" customWidth="1"/>
    <col min="10503" max="10503" width="10.140625" style="1" customWidth="1"/>
    <col min="10504" max="10504" width="8.85546875" style="1" customWidth="1"/>
    <col min="10505" max="10505" width="2.140625" style="1" customWidth="1"/>
    <col min="10506" max="10506" width="14.5703125" style="1" customWidth="1"/>
    <col min="10507" max="10509" width="10.42578125" style="1" customWidth="1"/>
    <col min="10510" max="10538" width="2.85546875" style="1" customWidth="1"/>
    <col min="10539" max="10733" width="10.28515625" style="1"/>
    <col min="10734" max="10734" width="14" style="1" customWidth="1"/>
    <col min="10735" max="10746" width="0" style="1" hidden="1" customWidth="1"/>
    <col min="10747" max="10755" width="11.5703125" style="1" customWidth="1"/>
    <col min="10756" max="10758" width="0" style="1" hidden="1" customWidth="1"/>
    <col min="10759" max="10759" width="10.140625" style="1" customWidth="1"/>
    <col min="10760" max="10760" width="8.85546875" style="1" customWidth="1"/>
    <col min="10761" max="10761" width="2.140625" style="1" customWidth="1"/>
    <col min="10762" max="10762" width="14.5703125" style="1" customWidth="1"/>
    <col min="10763" max="10765" width="10.42578125" style="1" customWidth="1"/>
    <col min="10766" max="10794" width="2.85546875" style="1" customWidth="1"/>
    <col min="10795" max="10989" width="10.28515625" style="1"/>
    <col min="10990" max="10990" width="14" style="1" customWidth="1"/>
    <col min="10991" max="11002" width="0" style="1" hidden="1" customWidth="1"/>
    <col min="11003" max="11011" width="11.5703125" style="1" customWidth="1"/>
    <col min="11012" max="11014" width="0" style="1" hidden="1" customWidth="1"/>
    <col min="11015" max="11015" width="10.140625" style="1" customWidth="1"/>
    <col min="11016" max="11016" width="8.85546875" style="1" customWidth="1"/>
    <col min="11017" max="11017" width="2.140625" style="1" customWidth="1"/>
    <col min="11018" max="11018" width="14.5703125" style="1" customWidth="1"/>
    <col min="11019" max="11021" width="10.42578125" style="1" customWidth="1"/>
    <col min="11022" max="11050" width="2.85546875" style="1" customWidth="1"/>
    <col min="11051" max="11245" width="10.28515625" style="1"/>
    <col min="11246" max="11246" width="14" style="1" customWidth="1"/>
    <col min="11247" max="11258" width="0" style="1" hidden="1" customWidth="1"/>
    <col min="11259" max="11267" width="11.5703125" style="1" customWidth="1"/>
    <col min="11268" max="11270" width="0" style="1" hidden="1" customWidth="1"/>
    <col min="11271" max="11271" width="10.140625" style="1" customWidth="1"/>
    <col min="11272" max="11272" width="8.85546875" style="1" customWidth="1"/>
    <col min="11273" max="11273" width="2.140625" style="1" customWidth="1"/>
    <col min="11274" max="11274" width="14.5703125" style="1" customWidth="1"/>
    <col min="11275" max="11277" width="10.42578125" style="1" customWidth="1"/>
    <col min="11278" max="11306" width="2.85546875" style="1" customWidth="1"/>
    <col min="11307" max="11501" width="10.28515625" style="1"/>
    <col min="11502" max="11502" width="14" style="1" customWidth="1"/>
    <col min="11503" max="11514" width="0" style="1" hidden="1" customWidth="1"/>
    <col min="11515" max="11523" width="11.5703125" style="1" customWidth="1"/>
    <col min="11524" max="11526" width="0" style="1" hidden="1" customWidth="1"/>
    <col min="11527" max="11527" width="10.140625" style="1" customWidth="1"/>
    <col min="11528" max="11528" width="8.85546875" style="1" customWidth="1"/>
    <col min="11529" max="11529" width="2.140625" style="1" customWidth="1"/>
    <col min="11530" max="11530" width="14.5703125" style="1" customWidth="1"/>
    <col min="11531" max="11533" width="10.42578125" style="1" customWidth="1"/>
    <col min="11534" max="11562" width="2.85546875" style="1" customWidth="1"/>
    <col min="11563" max="11757" width="10.28515625" style="1"/>
    <col min="11758" max="11758" width="14" style="1" customWidth="1"/>
    <col min="11759" max="11770" width="0" style="1" hidden="1" customWidth="1"/>
    <col min="11771" max="11779" width="11.5703125" style="1" customWidth="1"/>
    <col min="11780" max="11782" width="0" style="1" hidden="1" customWidth="1"/>
    <col min="11783" max="11783" width="10.140625" style="1" customWidth="1"/>
    <col min="11784" max="11784" width="8.85546875" style="1" customWidth="1"/>
    <col min="11785" max="11785" width="2.140625" style="1" customWidth="1"/>
    <col min="11786" max="11786" width="14.5703125" style="1" customWidth="1"/>
    <col min="11787" max="11789" width="10.42578125" style="1" customWidth="1"/>
    <col min="11790" max="11818" width="2.85546875" style="1" customWidth="1"/>
    <col min="11819" max="12013" width="10.28515625" style="1"/>
    <col min="12014" max="12014" width="14" style="1" customWidth="1"/>
    <col min="12015" max="12026" width="0" style="1" hidden="1" customWidth="1"/>
    <col min="12027" max="12035" width="11.5703125" style="1" customWidth="1"/>
    <col min="12036" max="12038" width="0" style="1" hidden="1" customWidth="1"/>
    <col min="12039" max="12039" width="10.140625" style="1" customWidth="1"/>
    <col min="12040" max="12040" width="8.85546875" style="1" customWidth="1"/>
    <col min="12041" max="12041" width="2.140625" style="1" customWidth="1"/>
    <col min="12042" max="12042" width="14.5703125" style="1" customWidth="1"/>
    <col min="12043" max="12045" width="10.42578125" style="1" customWidth="1"/>
    <col min="12046" max="12074" width="2.85546875" style="1" customWidth="1"/>
    <col min="12075" max="12269" width="10.28515625" style="1"/>
    <col min="12270" max="12270" width="14" style="1" customWidth="1"/>
    <col min="12271" max="12282" width="0" style="1" hidden="1" customWidth="1"/>
    <col min="12283" max="12291" width="11.5703125" style="1" customWidth="1"/>
    <col min="12292" max="12294" width="0" style="1" hidden="1" customWidth="1"/>
    <col min="12295" max="12295" width="10.140625" style="1" customWidth="1"/>
    <col min="12296" max="12296" width="8.85546875" style="1" customWidth="1"/>
    <col min="12297" max="12297" width="2.140625" style="1" customWidth="1"/>
    <col min="12298" max="12298" width="14.5703125" style="1" customWidth="1"/>
    <col min="12299" max="12301" width="10.42578125" style="1" customWidth="1"/>
    <col min="12302" max="12330" width="2.85546875" style="1" customWidth="1"/>
    <col min="12331" max="12525" width="10.28515625" style="1"/>
    <col min="12526" max="12526" width="14" style="1" customWidth="1"/>
    <col min="12527" max="12538" width="0" style="1" hidden="1" customWidth="1"/>
    <col min="12539" max="12547" width="11.5703125" style="1" customWidth="1"/>
    <col min="12548" max="12550" width="0" style="1" hidden="1" customWidth="1"/>
    <col min="12551" max="12551" width="10.140625" style="1" customWidth="1"/>
    <col min="12552" max="12552" width="8.85546875" style="1" customWidth="1"/>
    <col min="12553" max="12553" width="2.140625" style="1" customWidth="1"/>
    <col min="12554" max="12554" width="14.5703125" style="1" customWidth="1"/>
    <col min="12555" max="12557" width="10.42578125" style="1" customWidth="1"/>
    <col min="12558" max="12586" width="2.85546875" style="1" customWidth="1"/>
    <col min="12587" max="12781" width="10.28515625" style="1"/>
    <col min="12782" max="12782" width="14" style="1" customWidth="1"/>
    <col min="12783" max="12794" width="0" style="1" hidden="1" customWidth="1"/>
    <col min="12795" max="12803" width="11.5703125" style="1" customWidth="1"/>
    <col min="12804" max="12806" width="0" style="1" hidden="1" customWidth="1"/>
    <col min="12807" max="12807" width="10.140625" style="1" customWidth="1"/>
    <col min="12808" max="12808" width="8.85546875" style="1" customWidth="1"/>
    <col min="12809" max="12809" width="2.140625" style="1" customWidth="1"/>
    <col min="12810" max="12810" width="14.5703125" style="1" customWidth="1"/>
    <col min="12811" max="12813" width="10.42578125" style="1" customWidth="1"/>
    <col min="12814" max="12842" width="2.85546875" style="1" customWidth="1"/>
    <col min="12843" max="13037" width="10.28515625" style="1"/>
    <col min="13038" max="13038" width="14" style="1" customWidth="1"/>
    <col min="13039" max="13050" width="0" style="1" hidden="1" customWidth="1"/>
    <col min="13051" max="13059" width="11.5703125" style="1" customWidth="1"/>
    <col min="13060" max="13062" width="0" style="1" hidden="1" customWidth="1"/>
    <col min="13063" max="13063" width="10.140625" style="1" customWidth="1"/>
    <col min="13064" max="13064" width="8.85546875" style="1" customWidth="1"/>
    <col min="13065" max="13065" width="2.140625" style="1" customWidth="1"/>
    <col min="13066" max="13066" width="14.5703125" style="1" customWidth="1"/>
    <col min="13067" max="13069" width="10.42578125" style="1" customWidth="1"/>
    <col min="13070" max="13098" width="2.85546875" style="1" customWidth="1"/>
    <col min="13099" max="13293" width="10.28515625" style="1"/>
    <col min="13294" max="13294" width="14" style="1" customWidth="1"/>
    <col min="13295" max="13306" width="0" style="1" hidden="1" customWidth="1"/>
    <col min="13307" max="13315" width="11.5703125" style="1" customWidth="1"/>
    <col min="13316" max="13318" width="0" style="1" hidden="1" customWidth="1"/>
    <col min="13319" max="13319" width="10.140625" style="1" customWidth="1"/>
    <col min="13320" max="13320" width="8.85546875" style="1" customWidth="1"/>
    <col min="13321" max="13321" width="2.140625" style="1" customWidth="1"/>
    <col min="13322" max="13322" width="14.5703125" style="1" customWidth="1"/>
    <col min="13323" max="13325" width="10.42578125" style="1" customWidth="1"/>
    <col min="13326" max="13354" width="2.85546875" style="1" customWidth="1"/>
    <col min="13355" max="13549" width="10.28515625" style="1"/>
    <col min="13550" max="13550" width="14" style="1" customWidth="1"/>
    <col min="13551" max="13562" width="0" style="1" hidden="1" customWidth="1"/>
    <col min="13563" max="13571" width="11.5703125" style="1" customWidth="1"/>
    <col min="13572" max="13574" width="0" style="1" hidden="1" customWidth="1"/>
    <col min="13575" max="13575" width="10.140625" style="1" customWidth="1"/>
    <col min="13576" max="13576" width="8.85546875" style="1" customWidth="1"/>
    <col min="13577" max="13577" width="2.140625" style="1" customWidth="1"/>
    <col min="13578" max="13578" width="14.5703125" style="1" customWidth="1"/>
    <col min="13579" max="13581" width="10.42578125" style="1" customWidth="1"/>
    <col min="13582" max="13610" width="2.85546875" style="1" customWidth="1"/>
    <col min="13611" max="13805" width="10.28515625" style="1"/>
    <col min="13806" max="13806" width="14" style="1" customWidth="1"/>
    <col min="13807" max="13818" width="0" style="1" hidden="1" customWidth="1"/>
    <col min="13819" max="13827" width="11.5703125" style="1" customWidth="1"/>
    <col min="13828" max="13830" width="0" style="1" hidden="1" customWidth="1"/>
    <col min="13831" max="13831" width="10.140625" style="1" customWidth="1"/>
    <col min="13832" max="13832" width="8.85546875" style="1" customWidth="1"/>
    <col min="13833" max="13833" width="2.140625" style="1" customWidth="1"/>
    <col min="13834" max="13834" width="14.5703125" style="1" customWidth="1"/>
    <col min="13835" max="13837" width="10.42578125" style="1" customWidth="1"/>
    <col min="13838" max="13866" width="2.85546875" style="1" customWidth="1"/>
    <col min="13867" max="14061" width="10.28515625" style="1"/>
    <col min="14062" max="14062" width="14" style="1" customWidth="1"/>
    <col min="14063" max="14074" width="0" style="1" hidden="1" customWidth="1"/>
    <col min="14075" max="14083" width="11.5703125" style="1" customWidth="1"/>
    <col min="14084" max="14086" width="0" style="1" hidden="1" customWidth="1"/>
    <col min="14087" max="14087" width="10.140625" style="1" customWidth="1"/>
    <col min="14088" max="14088" width="8.85546875" style="1" customWidth="1"/>
    <col min="14089" max="14089" width="2.140625" style="1" customWidth="1"/>
    <col min="14090" max="14090" width="14.5703125" style="1" customWidth="1"/>
    <col min="14091" max="14093" width="10.42578125" style="1" customWidth="1"/>
    <col min="14094" max="14122" width="2.85546875" style="1" customWidth="1"/>
    <col min="14123" max="14317" width="10.28515625" style="1"/>
    <col min="14318" max="14318" width="14" style="1" customWidth="1"/>
    <col min="14319" max="14330" width="0" style="1" hidden="1" customWidth="1"/>
    <col min="14331" max="14339" width="11.5703125" style="1" customWidth="1"/>
    <col min="14340" max="14342" width="0" style="1" hidden="1" customWidth="1"/>
    <col min="14343" max="14343" width="10.140625" style="1" customWidth="1"/>
    <col min="14344" max="14344" width="8.85546875" style="1" customWidth="1"/>
    <col min="14345" max="14345" width="2.140625" style="1" customWidth="1"/>
    <col min="14346" max="14346" width="14.5703125" style="1" customWidth="1"/>
    <col min="14347" max="14349" width="10.42578125" style="1" customWidth="1"/>
    <col min="14350" max="14378" width="2.85546875" style="1" customWidth="1"/>
    <col min="14379" max="14573" width="10.28515625" style="1"/>
    <col min="14574" max="14574" width="14" style="1" customWidth="1"/>
    <col min="14575" max="14586" width="0" style="1" hidden="1" customWidth="1"/>
    <col min="14587" max="14595" width="11.5703125" style="1" customWidth="1"/>
    <col min="14596" max="14598" width="0" style="1" hidden="1" customWidth="1"/>
    <col min="14599" max="14599" width="10.140625" style="1" customWidth="1"/>
    <col min="14600" max="14600" width="8.85546875" style="1" customWidth="1"/>
    <col min="14601" max="14601" width="2.140625" style="1" customWidth="1"/>
    <col min="14602" max="14602" width="14.5703125" style="1" customWidth="1"/>
    <col min="14603" max="14605" width="10.42578125" style="1" customWidth="1"/>
    <col min="14606" max="14634" width="2.85546875" style="1" customWidth="1"/>
    <col min="14635" max="14829" width="10.28515625" style="1"/>
    <col min="14830" max="14830" width="14" style="1" customWidth="1"/>
    <col min="14831" max="14842" width="0" style="1" hidden="1" customWidth="1"/>
    <col min="14843" max="14851" width="11.5703125" style="1" customWidth="1"/>
    <col min="14852" max="14854" width="0" style="1" hidden="1" customWidth="1"/>
    <col min="14855" max="14855" width="10.140625" style="1" customWidth="1"/>
    <col min="14856" max="14856" width="8.85546875" style="1" customWidth="1"/>
    <col min="14857" max="14857" width="2.140625" style="1" customWidth="1"/>
    <col min="14858" max="14858" width="14.5703125" style="1" customWidth="1"/>
    <col min="14859" max="14861" width="10.42578125" style="1" customWidth="1"/>
    <col min="14862" max="14890" width="2.85546875" style="1" customWidth="1"/>
    <col min="14891" max="15085" width="10.28515625" style="1"/>
    <col min="15086" max="15086" width="14" style="1" customWidth="1"/>
    <col min="15087" max="15098" width="0" style="1" hidden="1" customWidth="1"/>
    <col min="15099" max="15107" width="11.5703125" style="1" customWidth="1"/>
    <col min="15108" max="15110" width="0" style="1" hidden="1" customWidth="1"/>
    <col min="15111" max="15111" width="10.140625" style="1" customWidth="1"/>
    <col min="15112" max="15112" width="8.85546875" style="1" customWidth="1"/>
    <col min="15113" max="15113" width="2.140625" style="1" customWidth="1"/>
    <col min="15114" max="15114" width="14.5703125" style="1" customWidth="1"/>
    <col min="15115" max="15117" width="10.42578125" style="1" customWidth="1"/>
    <col min="15118" max="15146" width="2.85546875" style="1" customWidth="1"/>
    <col min="15147" max="15341" width="10.28515625" style="1"/>
    <col min="15342" max="15342" width="14" style="1" customWidth="1"/>
    <col min="15343" max="15354" width="0" style="1" hidden="1" customWidth="1"/>
    <col min="15355" max="15363" width="11.5703125" style="1" customWidth="1"/>
    <col min="15364" max="15366" width="0" style="1" hidden="1" customWidth="1"/>
    <col min="15367" max="15367" width="10.140625" style="1" customWidth="1"/>
    <col min="15368" max="15368" width="8.85546875" style="1" customWidth="1"/>
    <col min="15369" max="15369" width="2.140625" style="1" customWidth="1"/>
    <col min="15370" max="15370" width="14.5703125" style="1" customWidth="1"/>
    <col min="15371" max="15373" width="10.42578125" style="1" customWidth="1"/>
    <col min="15374" max="15402" width="2.85546875" style="1" customWidth="1"/>
    <col min="15403" max="15597" width="10.28515625" style="1"/>
    <col min="15598" max="15598" width="14" style="1" customWidth="1"/>
    <col min="15599" max="15610" width="0" style="1" hidden="1" customWidth="1"/>
    <col min="15611" max="15619" width="11.5703125" style="1" customWidth="1"/>
    <col min="15620" max="15622" width="0" style="1" hidden="1" customWidth="1"/>
    <col min="15623" max="15623" width="10.140625" style="1" customWidth="1"/>
    <col min="15624" max="15624" width="8.85546875" style="1" customWidth="1"/>
    <col min="15625" max="15625" width="2.140625" style="1" customWidth="1"/>
    <col min="15626" max="15626" width="14.5703125" style="1" customWidth="1"/>
    <col min="15627" max="15629" width="10.42578125" style="1" customWidth="1"/>
    <col min="15630" max="15658" width="2.85546875" style="1" customWidth="1"/>
    <col min="15659" max="15853" width="10.28515625" style="1"/>
    <col min="15854" max="15854" width="14" style="1" customWidth="1"/>
    <col min="15855" max="15866" width="0" style="1" hidden="1" customWidth="1"/>
    <col min="15867" max="15875" width="11.5703125" style="1" customWidth="1"/>
    <col min="15876" max="15878" width="0" style="1" hidden="1" customWidth="1"/>
    <col min="15879" max="15879" width="10.140625" style="1" customWidth="1"/>
    <col min="15880" max="15880" width="8.85546875" style="1" customWidth="1"/>
    <col min="15881" max="15881" width="2.140625" style="1" customWidth="1"/>
    <col min="15882" max="15882" width="14.5703125" style="1" customWidth="1"/>
    <col min="15883" max="15885" width="10.42578125" style="1" customWidth="1"/>
    <col min="15886" max="15914" width="2.85546875" style="1" customWidth="1"/>
    <col min="15915" max="16109" width="10.28515625" style="1"/>
    <col min="16110" max="16110" width="14" style="1" customWidth="1"/>
    <col min="16111" max="16122" width="0" style="1" hidden="1" customWidth="1"/>
    <col min="16123" max="16131" width="11.5703125" style="1" customWidth="1"/>
    <col min="16132" max="16134" width="0" style="1" hidden="1" customWidth="1"/>
    <col min="16135" max="16135" width="10.140625" style="1" customWidth="1"/>
    <col min="16136" max="16136" width="8.85546875" style="1" customWidth="1"/>
    <col min="16137" max="16137" width="2.140625" style="1" customWidth="1"/>
    <col min="16138" max="16138" width="14.5703125" style="1" customWidth="1"/>
    <col min="16139" max="16141" width="10.42578125" style="1" customWidth="1"/>
    <col min="16142" max="16170" width="2.85546875" style="1" customWidth="1"/>
    <col min="16171" max="16384" width="10.28515625" style="1"/>
  </cols>
  <sheetData>
    <row r="1" spans="1:50" ht="20.25" customHeight="1" x14ac:dyDescent="0.45">
      <c r="A1" s="68" t="s">
        <v>51</v>
      </c>
      <c r="B1" s="68"/>
      <c r="C1" s="68"/>
      <c r="D1" s="68"/>
      <c r="E1" s="68"/>
      <c r="F1" s="68"/>
      <c r="G1" s="68"/>
      <c r="H1" s="68"/>
    </row>
    <row r="2" spans="1:50" ht="18" customHeight="1" x14ac:dyDescent="0.15">
      <c r="A2" s="69" t="s">
        <v>50</v>
      </c>
      <c r="B2" s="69"/>
      <c r="C2" s="69"/>
      <c r="D2" s="69"/>
      <c r="E2" s="69"/>
      <c r="F2" s="69"/>
      <c r="G2" s="69"/>
      <c r="H2" s="69"/>
    </row>
    <row r="3" spans="1:50" s="5" customFormat="1" ht="15.75" customHeight="1" x14ac:dyDescent="0.2">
      <c r="A3" s="4"/>
      <c r="B3" s="62">
        <v>2020</v>
      </c>
      <c r="C3" s="63"/>
      <c r="D3" s="63"/>
      <c r="E3" s="62" t="s">
        <v>49</v>
      </c>
      <c r="F3" s="63"/>
      <c r="G3" s="63"/>
      <c r="H3" s="64" t="s">
        <v>2</v>
      </c>
      <c r="AT3" s="6"/>
      <c r="AU3" s="7"/>
      <c r="AV3" s="6"/>
      <c r="AW3" s="6"/>
      <c r="AX3" s="6"/>
    </row>
    <row r="4" spans="1:50" s="47" customFormat="1" ht="21.75" customHeight="1" x14ac:dyDescent="0.4">
      <c r="A4" s="44"/>
      <c r="B4" s="45" t="s">
        <v>3</v>
      </c>
      <c r="C4" s="46" t="s">
        <v>4</v>
      </c>
      <c r="D4" s="46" t="s">
        <v>5</v>
      </c>
      <c r="E4" s="45" t="s">
        <v>3</v>
      </c>
      <c r="F4" s="46" t="s">
        <v>4</v>
      </c>
      <c r="G4" s="46" t="s">
        <v>5</v>
      </c>
      <c r="H4" s="65"/>
      <c r="AT4" s="48"/>
      <c r="AU4" s="49"/>
      <c r="AV4" s="48"/>
      <c r="AW4" s="48"/>
      <c r="AX4" s="48"/>
    </row>
    <row r="5" spans="1:50" ht="25.5" customHeight="1" x14ac:dyDescent="0.25">
      <c r="A5" s="8" t="s">
        <v>6</v>
      </c>
      <c r="B5" s="9" t="s">
        <v>7</v>
      </c>
      <c r="C5" s="10" t="s">
        <v>8</v>
      </c>
      <c r="D5" s="11" t="s">
        <v>9</v>
      </c>
      <c r="E5" s="9" t="s">
        <v>7</v>
      </c>
      <c r="F5" s="10" t="s">
        <v>8</v>
      </c>
      <c r="G5" s="11" t="s">
        <v>9</v>
      </c>
      <c r="H5" s="66"/>
    </row>
    <row r="6" spans="1:50" ht="18.75" customHeight="1" x14ac:dyDescent="0.55000000000000004">
      <c r="A6" s="4" t="s">
        <v>1</v>
      </c>
      <c r="B6" s="12">
        <f t="shared" ref="B6:G6" si="0">SUM(B7:B18)</f>
        <v>6293</v>
      </c>
      <c r="C6" s="13">
        <f t="shared" si="0"/>
        <v>1275</v>
      </c>
      <c r="D6" s="13">
        <f t="shared" si="0"/>
        <v>5018</v>
      </c>
      <c r="E6" s="12">
        <f t="shared" si="0"/>
        <v>5914</v>
      </c>
      <c r="F6" s="13">
        <f t="shared" si="0"/>
        <v>1513</v>
      </c>
      <c r="G6" s="13">
        <f t="shared" si="0"/>
        <v>4401</v>
      </c>
      <c r="H6" s="14" t="s">
        <v>10</v>
      </c>
    </row>
    <row r="7" spans="1:50" ht="18.75" customHeight="1" x14ac:dyDescent="0.25">
      <c r="A7" s="15" t="s">
        <v>11</v>
      </c>
      <c r="B7" s="16">
        <v>540</v>
      </c>
      <c r="C7" s="17">
        <v>114</v>
      </c>
      <c r="D7" s="17">
        <f t="shared" ref="D7:D18" si="1">B7-C7</f>
        <v>426</v>
      </c>
      <c r="E7" s="55">
        <v>444</v>
      </c>
      <c r="F7" s="17">
        <v>98</v>
      </c>
      <c r="G7" s="17">
        <f t="shared" ref="G7:G18" si="2">E7-F7</f>
        <v>346</v>
      </c>
      <c r="H7" s="18" t="s">
        <v>12</v>
      </c>
    </row>
    <row r="8" spans="1:50" ht="18.75" customHeight="1" x14ac:dyDescent="0.25">
      <c r="A8" s="15" t="s">
        <v>13</v>
      </c>
      <c r="B8" s="16">
        <v>548</v>
      </c>
      <c r="C8" s="17">
        <v>96</v>
      </c>
      <c r="D8" s="17">
        <f t="shared" si="1"/>
        <v>452</v>
      </c>
      <c r="E8" s="55">
        <v>423</v>
      </c>
      <c r="F8" s="17">
        <v>102</v>
      </c>
      <c r="G8" s="17">
        <f t="shared" si="2"/>
        <v>321</v>
      </c>
      <c r="H8" s="18" t="s">
        <v>14</v>
      </c>
    </row>
    <row r="9" spans="1:50" ht="18.75" customHeight="1" x14ac:dyDescent="0.25">
      <c r="A9" s="15" t="s">
        <v>15</v>
      </c>
      <c r="B9" s="16">
        <v>485</v>
      </c>
      <c r="C9" s="17">
        <v>109</v>
      </c>
      <c r="D9" s="17">
        <f t="shared" si="1"/>
        <v>376</v>
      </c>
      <c r="E9" s="55">
        <v>545</v>
      </c>
      <c r="F9" s="17">
        <v>104</v>
      </c>
      <c r="G9" s="17">
        <f t="shared" si="2"/>
        <v>441</v>
      </c>
      <c r="H9" s="18" t="s">
        <v>16</v>
      </c>
    </row>
    <row r="10" spans="1:50" ht="18.75" customHeight="1" x14ac:dyDescent="0.25">
      <c r="A10" s="15" t="s">
        <v>17</v>
      </c>
      <c r="B10" s="16">
        <v>541</v>
      </c>
      <c r="C10" s="17">
        <v>91</v>
      </c>
      <c r="D10" s="17">
        <f t="shared" si="1"/>
        <v>450</v>
      </c>
      <c r="E10" s="55">
        <v>534</v>
      </c>
      <c r="F10" s="17">
        <v>129</v>
      </c>
      <c r="G10" s="17">
        <f t="shared" si="2"/>
        <v>405</v>
      </c>
      <c r="H10" s="18" t="s">
        <v>18</v>
      </c>
    </row>
    <row r="11" spans="1:50" ht="18.75" customHeight="1" x14ac:dyDescent="0.25">
      <c r="A11" s="15" t="s">
        <v>20</v>
      </c>
      <c r="B11" s="16">
        <v>492</v>
      </c>
      <c r="C11" s="17">
        <v>109</v>
      </c>
      <c r="D11" s="17">
        <f t="shared" si="1"/>
        <v>383</v>
      </c>
      <c r="E11" s="55">
        <v>516</v>
      </c>
      <c r="F11" s="17">
        <v>186</v>
      </c>
      <c r="G11" s="17">
        <f t="shared" si="2"/>
        <v>330</v>
      </c>
      <c r="H11" s="18" t="s">
        <v>21</v>
      </c>
    </row>
    <row r="12" spans="1:50" ht="18.75" customHeight="1" x14ac:dyDescent="0.25">
      <c r="A12" s="15" t="s">
        <v>23</v>
      </c>
      <c r="B12" s="16">
        <v>462</v>
      </c>
      <c r="C12" s="17">
        <v>91</v>
      </c>
      <c r="D12" s="17">
        <f t="shared" si="1"/>
        <v>371</v>
      </c>
      <c r="E12" s="55">
        <v>482</v>
      </c>
      <c r="F12" s="17">
        <v>178</v>
      </c>
      <c r="G12" s="17">
        <f t="shared" si="2"/>
        <v>304</v>
      </c>
      <c r="H12" s="18" t="s">
        <v>24</v>
      </c>
    </row>
    <row r="13" spans="1:50" ht="18.75" customHeight="1" x14ac:dyDescent="0.25">
      <c r="A13" s="15" t="s">
        <v>26</v>
      </c>
      <c r="B13" s="16">
        <v>522</v>
      </c>
      <c r="C13" s="17">
        <v>115</v>
      </c>
      <c r="D13" s="17">
        <f t="shared" si="1"/>
        <v>407</v>
      </c>
      <c r="E13" s="55">
        <v>507</v>
      </c>
      <c r="F13" s="17">
        <v>115</v>
      </c>
      <c r="G13" s="17">
        <f t="shared" si="2"/>
        <v>392</v>
      </c>
      <c r="H13" s="18" t="s">
        <v>27</v>
      </c>
    </row>
    <row r="14" spans="1:50" ht="18.75" customHeight="1" x14ac:dyDescent="0.25">
      <c r="A14" s="15" t="s">
        <v>29</v>
      </c>
      <c r="B14" s="16">
        <v>508</v>
      </c>
      <c r="C14" s="17">
        <v>129</v>
      </c>
      <c r="D14" s="17">
        <f t="shared" si="1"/>
        <v>379</v>
      </c>
      <c r="E14" s="55">
        <v>543</v>
      </c>
      <c r="F14" s="17">
        <v>106</v>
      </c>
      <c r="G14" s="17">
        <f t="shared" si="2"/>
        <v>437</v>
      </c>
      <c r="H14" s="18" t="s">
        <v>30</v>
      </c>
    </row>
    <row r="15" spans="1:50" ht="18.75" customHeight="1" x14ac:dyDescent="0.25">
      <c r="A15" s="15" t="s">
        <v>31</v>
      </c>
      <c r="B15" s="16">
        <v>573</v>
      </c>
      <c r="C15" s="17">
        <v>112</v>
      </c>
      <c r="D15" s="17">
        <f t="shared" si="1"/>
        <v>461</v>
      </c>
      <c r="E15" s="55">
        <v>502</v>
      </c>
      <c r="F15" s="17">
        <v>114</v>
      </c>
      <c r="G15" s="17">
        <f t="shared" si="2"/>
        <v>388</v>
      </c>
      <c r="H15" s="18" t="s">
        <v>32</v>
      </c>
    </row>
    <row r="16" spans="1:50" ht="18.75" customHeight="1" x14ac:dyDescent="0.25">
      <c r="A16" s="15" t="s">
        <v>0</v>
      </c>
      <c r="B16" s="16">
        <v>514</v>
      </c>
      <c r="C16" s="17">
        <v>103</v>
      </c>
      <c r="D16" s="17">
        <f t="shared" si="1"/>
        <v>411</v>
      </c>
      <c r="E16" s="55">
        <v>524</v>
      </c>
      <c r="F16" s="17">
        <v>149</v>
      </c>
      <c r="G16" s="17">
        <f t="shared" si="2"/>
        <v>375</v>
      </c>
      <c r="H16" s="18" t="s">
        <v>34</v>
      </c>
      <c r="AT16" s="1"/>
      <c r="AU16" s="1"/>
      <c r="AV16" s="1"/>
      <c r="AW16" s="1"/>
      <c r="AX16" s="1"/>
    </row>
    <row r="17" spans="1:60" ht="18.75" customHeight="1" x14ac:dyDescent="0.25">
      <c r="A17" s="15" t="s">
        <v>36</v>
      </c>
      <c r="B17" s="16">
        <v>540</v>
      </c>
      <c r="C17" s="17">
        <v>110</v>
      </c>
      <c r="D17" s="17">
        <f t="shared" si="1"/>
        <v>430</v>
      </c>
      <c r="E17" s="55">
        <v>448</v>
      </c>
      <c r="F17" s="17">
        <v>116</v>
      </c>
      <c r="G17" s="17">
        <f t="shared" si="2"/>
        <v>332</v>
      </c>
      <c r="H17" s="18" t="s">
        <v>37</v>
      </c>
    </row>
    <row r="18" spans="1:60" ht="18.75" customHeight="1" x14ac:dyDescent="0.25">
      <c r="A18" s="23" t="s">
        <v>39</v>
      </c>
      <c r="B18" s="24">
        <v>568</v>
      </c>
      <c r="C18" s="25">
        <v>96</v>
      </c>
      <c r="D18" s="25">
        <f t="shared" si="1"/>
        <v>472</v>
      </c>
      <c r="E18" s="54">
        <v>446</v>
      </c>
      <c r="F18" s="25">
        <v>116</v>
      </c>
      <c r="G18" s="25">
        <f t="shared" si="2"/>
        <v>330</v>
      </c>
      <c r="H18" s="26" t="s">
        <v>40</v>
      </c>
      <c r="I18" s="52"/>
      <c r="AT18" s="1"/>
      <c r="AU18" s="1"/>
      <c r="AV18" s="1"/>
      <c r="AW18" s="1"/>
      <c r="AX18" s="1"/>
    </row>
    <row r="19" spans="1:60" ht="21.75" customHeight="1" x14ac:dyDescent="0.15">
      <c r="A19" s="50" t="s">
        <v>46</v>
      </c>
      <c r="B19" s="51"/>
      <c r="C19" s="51"/>
      <c r="D19" s="51"/>
      <c r="E19" s="51"/>
      <c r="F19" s="51"/>
      <c r="G19" s="51"/>
      <c r="H19" s="1"/>
      <c r="I19" s="18" t="s">
        <v>48</v>
      </c>
      <c r="AT19" s="1"/>
      <c r="AU19" s="1"/>
      <c r="AV19" s="1"/>
      <c r="AW19" s="1"/>
      <c r="AX19" s="1"/>
    </row>
    <row r="20" spans="1:60" ht="17.25" customHeight="1" x14ac:dyDescent="0.15">
      <c r="A20" s="56" t="s">
        <v>55</v>
      </c>
      <c r="B20" s="51"/>
      <c r="C20" s="51"/>
      <c r="D20" s="51"/>
      <c r="E20" s="51"/>
      <c r="F20" s="51"/>
      <c r="G20" s="51"/>
      <c r="H20" s="57" t="s">
        <v>52</v>
      </c>
      <c r="I20" s="53"/>
      <c r="AT20" s="1"/>
      <c r="AU20" s="1"/>
      <c r="AV20" s="1"/>
      <c r="AW20" s="1"/>
      <c r="AX20" s="1"/>
    </row>
    <row r="21" spans="1:60" s="28" customFormat="1" ht="30" customHeight="1" x14ac:dyDescent="0.25">
      <c r="A21" s="61" t="s">
        <v>54</v>
      </c>
      <c r="B21" s="61"/>
      <c r="C21" s="61"/>
      <c r="D21" s="61"/>
      <c r="E21" s="60" t="s">
        <v>53</v>
      </c>
      <c r="F21" s="60"/>
      <c r="G21" s="60"/>
      <c r="H21" s="60"/>
      <c r="K21" s="58"/>
      <c r="L21" s="58"/>
      <c r="M21" s="58"/>
    </row>
    <row r="22" spans="1:60" ht="16.5" x14ac:dyDescent="0.15">
      <c r="A22" s="27" t="s">
        <v>43</v>
      </c>
      <c r="H22" s="59" t="s">
        <v>47</v>
      </c>
      <c r="I22" s="30"/>
      <c r="J22" s="30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T22" s="1"/>
      <c r="AU22" s="1"/>
      <c r="AV22" s="1"/>
      <c r="AW22" s="1"/>
      <c r="AX22" s="1"/>
    </row>
    <row r="23" spans="1:60" x14ac:dyDescent="0.5">
      <c r="I23" s="30"/>
      <c r="J23" s="30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T23" s="1"/>
      <c r="AU23" s="1"/>
      <c r="AV23" s="1"/>
      <c r="AW23" s="1"/>
      <c r="AX23" s="1"/>
    </row>
    <row r="24" spans="1:60" x14ac:dyDescent="0.5">
      <c r="I24" s="30"/>
      <c r="J24" s="30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</row>
    <row r="25" spans="1:60" x14ac:dyDescent="0.5">
      <c r="I25" s="30"/>
      <c r="J25" s="30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</row>
    <row r="26" spans="1:60" x14ac:dyDescent="0.5">
      <c r="I26" s="30"/>
      <c r="J26" s="30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</row>
    <row r="29" spans="1:60" ht="12" x14ac:dyDescent="0.15">
      <c r="H29" s="1"/>
    </row>
    <row r="30" spans="1:60" ht="12" x14ac:dyDescent="0.15">
      <c r="A30" s="32"/>
      <c r="H30" s="1"/>
      <c r="AU30" s="19" t="s">
        <v>8</v>
      </c>
    </row>
    <row r="31" spans="1:60" ht="12" x14ac:dyDescent="0.15">
      <c r="H31" s="1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3"/>
      <c r="AR31" s="33"/>
      <c r="AS31" s="33"/>
      <c r="AT31" s="34"/>
    </row>
    <row r="32" spans="1:60" ht="12" x14ac:dyDescent="0.15">
      <c r="A32" s="35"/>
      <c r="H32" s="1"/>
      <c r="BB32" s="2"/>
      <c r="BE32" s="19" t="s">
        <v>7</v>
      </c>
      <c r="BF32" s="2"/>
      <c r="BG32" s="2"/>
      <c r="BH32" s="2"/>
    </row>
    <row r="33" spans="1:64" s="35" customFormat="1" ht="12" x14ac:dyDescent="0.25">
      <c r="A33" s="36"/>
      <c r="AT33" s="37"/>
      <c r="AU33" s="20"/>
      <c r="AV33" s="20">
        <v>2015</v>
      </c>
      <c r="AW33" s="20">
        <v>2016</v>
      </c>
      <c r="AX33" s="20">
        <v>2017</v>
      </c>
      <c r="AY33" s="20">
        <v>2018</v>
      </c>
      <c r="AZ33" s="20">
        <v>2019</v>
      </c>
      <c r="BA33" s="20">
        <v>2020</v>
      </c>
      <c r="BB33" s="20">
        <v>2021</v>
      </c>
      <c r="BE33" s="20"/>
      <c r="BF33" s="20">
        <v>2015</v>
      </c>
      <c r="BG33" s="20">
        <v>2016</v>
      </c>
      <c r="BH33" s="20">
        <v>2017</v>
      </c>
      <c r="BI33" s="20">
        <v>2018</v>
      </c>
      <c r="BJ33" s="20">
        <v>2019</v>
      </c>
      <c r="BK33" s="20">
        <v>2020</v>
      </c>
      <c r="BL33" s="20">
        <v>2021</v>
      </c>
    </row>
    <row r="34" spans="1:64" ht="12.75" x14ac:dyDescent="0.15">
      <c r="A34" s="36"/>
      <c r="H34" s="1"/>
      <c r="AU34" s="21" t="s">
        <v>19</v>
      </c>
      <c r="AV34" s="22">
        <v>94</v>
      </c>
      <c r="AW34" s="22" t="e">
        <f>#REF!</f>
        <v>#REF!</v>
      </c>
      <c r="AX34" s="22" t="e">
        <f>#REF!</f>
        <v>#REF!</v>
      </c>
      <c r="AY34" s="22" t="e">
        <f>#REF!</f>
        <v>#REF!</v>
      </c>
      <c r="AZ34" s="22" t="e">
        <f>#REF!</f>
        <v>#REF!</v>
      </c>
      <c r="BA34" s="22">
        <f>C7</f>
        <v>114</v>
      </c>
      <c r="BB34" s="22">
        <f>F7</f>
        <v>98</v>
      </c>
      <c r="BE34" s="21" t="s">
        <v>19</v>
      </c>
      <c r="BF34" s="22">
        <v>517</v>
      </c>
      <c r="BG34" s="22" t="e">
        <f>#REF!</f>
        <v>#REF!</v>
      </c>
      <c r="BH34" s="22" t="e">
        <f>#REF!</f>
        <v>#REF!</v>
      </c>
      <c r="BI34" s="22" t="e">
        <f>#REF!</f>
        <v>#REF!</v>
      </c>
      <c r="BJ34" s="22" t="e">
        <f>#REF!</f>
        <v>#REF!</v>
      </c>
      <c r="BK34" s="22">
        <f t="shared" ref="BK34:BK45" si="3">B7</f>
        <v>540</v>
      </c>
      <c r="BL34" s="22">
        <f>E7</f>
        <v>444</v>
      </c>
    </row>
    <row r="35" spans="1:64" ht="12.75" x14ac:dyDescent="0.15">
      <c r="A35" s="36"/>
      <c r="H35" s="1"/>
      <c r="AU35" s="21" t="s">
        <v>22</v>
      </c>
      <c r="AV35" s="22">
        <v>91</v>
      </c>
      <c r="AW35" s="22" t="e">
        <f>#REF!</f>
        <v>#REF!</v>
      </c>
      <c r="AX35" s="22" t="e">
        <f>#REF!</f>
        <v>#REF!</v>
      </c>
      <c r="AY35" s="22" t="e">
        <f>#REF!</f>
        <v>#REF!</v>
      </c>
      <c r="AZ35" s="22" t="e">
        <f>#REF!</f>
        <v>#REF!</v>
      </c>
      <c r="BA35" s="22">
        <f t="shared" ref="BA35:BA45" si="4">C8</f>
        <v>96</v>
      </c>
      <c r="BB35" s="22">
        <f t="shared" ref="BB35:BB45" si="5">F8</f>
        <v>102</v>
      </c>
      <c r="BE35" s="21" t="s">
        <v>22</v>
      </c>
      <c r="BF35" s="22">
        <v>496</v>
      </c>
      <c r="BG35" s="22" t="e">
        <f>#REF!</f>
        <v>#REF!</v>
      </c>
      <c r="BH35" s="22" t="e">
        <f>#REF!</f>
        <v>#REF!</v>
      </c>
      <c r="BI35" s="22" t="e">
        <f>#REF!</f>
        <v>#REF!</v>
      </c>
      <c r="BJ35" s="22" t="e">
        <f>#REF!</f>
        <v>#REF!</v>
      </c>
      <c r="BK35" s="22">
        <f t="shared" si="3"/>
        <v>548</v>
      </c>
      <c r="BL35" s="22">
        <f t="shared" ref="BL35:BL45" si="6">E8</f>
        <v>423</v>
      </c>
    </row>
    <row r="36" spans="1:64" ht="8.25" customHeight="1" x14ac:dyDescent="0.15">
      <c r="A36" s="36"/>
      <c r="H36" s="1"/>
      <c r="AU36" s="21" t="s">
        <v>25</v>
      </c>
      <c r="AV36" s="22">
        <v>107</v>
      </c>
      <c r="AW36" s="22" t="e">
        <f>#REF!</f>
        <v>#REF!</v>
      </c>
      <c r="AX36" s="22" t="e">
        <f>#REF!</f>
        <v>#REF!</v>
      </c>
      <c r="AY36" s="22" t="e">
        <f>#REF!</f>
        <v>#REF!</v>
      </c>
      <c r="AZ36" s="22" t="e">
        <f>#REF!</f>
        <v>#REF!</v>
      </c>
      <c r="BA36" s="22">
        <f t="shared" si="4"/>
        <v>109</v>
      </c>
      <c r="BB36" s="22">
        <f t="shared" si="5"/>
        <v>104</v>
      </c>
      <c r="BE36" s="21" t="s">
        <v>25</v>
      </c>
      <c r="BF36" s="22">
        <v>538</v>
      </c>
      <c r="BG36" s="22" t="e">
        <f>#REF!</f>
        <v>#REF!</v>
      </c>
      <c r="BH36" s="22" t="e">
        <f>#REF!</f>
        <v>#REF!</v>
      </c>
      <c r="BI36" s="22" t="e">
        <f>#REF!</f>
        <v>#REF!</v>
      </c>
      <c r="BJ36" s="22" t="e">
        <f>#REF!</f>
        <v>#REF!</v>
      </c>
      <c r="BK36" s="22">
        <f t="shared" si="3"/>
        <v>485</v>
      </c>
      <c r="BL36" s="22">
        <f t="shared" si="6"/>
        <v>545</v>
      </c>
    </row>
    <row r="37" spans="1:64" x14ac:dyDescent="0.5">
      <c r="A37" s="36"/>
      <c r="B37" s="67"/>
      <c r="C37" s="67"/>
      <c r="D37" s="67"/>
      <c r="E37" s="67"/>
      <c r="F37" s="67"/>
      <c r="G37" s="67"/>
      <c r="AU37" s="21" t="s">
        <v>28</v>
      </c>
      <c r="AV37" s="22">
        <v>114</v>
      </c>
      <c r="AW37" s="22" t="e">
        <f>#REF!</f>
        <v>#REF!</v>
      </c>
      <c r="AX37" s="22" t="e">
        <f>#REF!</f>
        <v>#REF!</v>
      </c>
      <c r="AY37" s="22" t="e">
        <f>#REF!</f>
        <v>#REF!</v>
      </c>
      <c r="AZ37" s="22" t="e">
        <f>#REF!</f>
        <v>#REF!</v>
      </c>
      <c r="BA37" s="22">
        <f t="shared" si="4"/>
        <v>91</v>
      </c>
      <c r="BB37" s="22">
        <f t="shared" si="5"/>
        <v>129</v>
      </c>
      <c r="BE37" s="21" t="s">
        <v>28</v>
      </c>
      <c r="BF37" s="22">
        <v>599</v>
      </c>
      <c r="BG37" s="22" t="e">
        <f>#REF!</f>
        <v>#REF!</v>
      </c>
      <c r="BH37" s="22" t="e">
        <f>#REF!</f>
        <v>#REF!</v>
      </c>
      <c r="BI37" s="22" t="e">
        <f>#REF!</f>
        <v>#REF!</v>
      </c>
      <c r="BJ37" s="22" t="e">
        <f>#REF!</f>
        <v>#REF!</v>
      </c>
      <c r="BK37" s="22">
        <f t="shared" si="3"/>
        <v>541</v>
      </c>
      <c r="BL37" s="22">
        <f t="shared" si="6"/>
        <v>534</v>
      </c>
    </row>
    <row r="38" spans="1:64" x14ac:dyDescent="0.5">
      <c r="A38" s="36"/>
      <c r="B38" s="38"/>
      <c r="C38" s="38"/>
      <c r="D38" s="38"/>
      <c r="E38" s="38"/>
      <c r="F38" s="38"/>
      <c r="G38" s="38"/>
      <c r="AU38" s="21" t="s">
        <v>20</v>
      </c>
      <c r="AV38" s="22">
        <v>87</v>
      </c>
      <c r="AW38" s="22" t="e">
        <f>#REF!</f>
        <v>#REF!</v>
      </c>
      <c r="AX38" s="22" t="e">
        <f>#REF!</f>
        <v>#REF!</v>
      </c>
      <c r="AY38" s="22" t="e">
        <f>#REF!</f>
        <v>#REF!</v>
      </c>
      <c r="AZ38" s="22" t="e">
        <f>#REF!</f>
        <v>#REF!</v>
      </c>
      <c r="BA38" s="22">
        <f t="shared" si="4"/>
        <v>109</v>
      </c>
      <c r="BB38" s="22">
        <f t="shared" si="5"/>
        <v>186</v>
      </c>
      <c r="BE38" s="21" t="s">
        <v>20</v>
      </c>
      <c r="BF38" s="22">
        <v>635</v>
      </c>
      <c r="BG38" s="22" t="e">
        <f>#REF!</f>
        <v>#REF!</v>
      </c>
      <c r="BH38" s="22" t="e">
        <f>#REF!</f>
        <v>#REF!</v>
      </c>
      <c r="BI38" s="22" t="e">
        <f>#REF!</f>
        <v>#REF!</v>
      </c>
      <c r="BJ38" s="22" t="e">
        <f>#REF!</f>
        <v>#REF!</v>
      </c>
      <c r="BK38" s="22">
        <f t="shared" si="3"/>
        <v>492</v>
      </c>
      <c r="BL38" s="22">
        <f t="shared" si="6"/>
        <v>516</v>
      </c>
    </row>
    <row r="39" spans="1:64" x14ac:dyDescent="0.5">
      <c r="A39" s="36"/>
      <c r="B39" s="40"/>
      <c r="C39" s="39"/>
      <c r="D39" s="39"/>
      <c r="E39" s="40"/>
      <c r="F39" s="39"/>
      <c r="G39" s="39"/>
      <c r="AU39" s="21" t="s">
        <v>33</v>
      </c>
      <c r="AV39" s="22">
        <v>88</v>
      </c>
      <c r="AW39" s="22" t="e">
        <f>#REF!</f>
        <v>#REF!</v>
      </c>
      <c r="AX39" s="22" t="e">
        <f>#REF!</f>
        <v>#REF!</v>
      </c>
      <c r="AY39" s="22" t="e">
        <f>#REF!</f>
        <v>#REF!</v>
      </c>
      <c r="AZ39" s="22" t="e">
        <f>#REF!</f>
        <v>#REF!</v>
      </c>
      <c r="BA39" s="22">
        <f t="shared" si="4"/>
        <v>91</v>
      </c>
      <c r="BB39" s="22">
        <f t="shared" si="5"/>
        <v>178</v>
      </c>
      <c r="BE39" s="21" t="s">
        <v>33</v>
      </c>
      <c r="BF39" s="22">
        <v>601</v>
      </c>
      <c r="BG39" s="22" t="e">
        <f>#REF!</f>
        <v>#REF!</v>
      </c>
      <c r="BH39" s="22" t="e">
        <f>#REF!</f>
        <v>#REF!</v>
      </c>
      <c r="BI39" s="22" t="e">
        <f>#REF!</f>
        <v>#REF!</v>
      </c>
      <c r="BJ39" s="22" t="e">
        <f>#REF!</f>
        <v>#REF!</v>
      </c>
      <c r="BK39" s="22">
        <f t="shared" si="3"/>
        <v>462</v>
      </c>
      <c r="BL39" s="22">
        <f t="shared" si="6"/>
        <v>482</v>
      </c>
    </row>
    <row r="40" spans="1:64" x14ac:dyDescent="0.5">
      <c r="A40" s="36"/>
      <c r="B40" s="33"/>
      <c r="C40" s="33"/>
      <c r="D40" s="33"/>
      <c r="E40" s="33"/>
      <c r="F40" s="33"/>
      <c r="G40" s="33"/>
      <c r="AU40" s="21" t="s">
        <v>35</v>
      </c>
      <c r="AV40" s="22">
        <v>73</v>
      </c>
      <c r="AW40" s="22" t="e">
        <f>#REF!</f>
        <v>#REF!</v>
      </c>
      <c r="AX40" s="22" t="e">
        <f>#REF!</f>
        <v>#REF!</v>
      </c>
      <c r="AY40" s="22" t="e">
        <f>#REF!</f>
        <v>#REF!</v>
      </c>
      <c r="AZ40" s="22" t="e">
        <f>#REF!</f>
        <v>#REF!</v>
      </c>
      <c r="BA40" s="22">
        <f t="shared" si="4"/>
        <v>115</v>
      </c>
      <c r="BB40" s="22">
        <f t="shared" si="5"/>
        <v>115</v>
      </c>
      <c r="BE40" s="21" t="s">
        <v>35</v>
      </c>
      <c r="BF40" s="22">
        <v>574</v>
      </c>
      <c r="BG40" s="22" t="e">
        <f>#REF!</f>
        <v>#REF!</v>
      </c>
      <c r="BH40" s="22" t="e">
        <f>#REF!</f>
        <v>#REF!</v>
      </c>
      <c r="BI40" s="22" t="e">
        <f>#REF!</f>
        <v>#REF!</v>
      </c>
      <c r="BJ40" s="22" t="e">
        <f>#REF!</f>
        <v>#REF!</v>
      </c>
      <c r="BK40" s="22">
        <f t="shared" si="3"/>
        <v>522</v>
      </c>
      <c r="BL40" s="22">
        <f t="shared" si="6"/>
        <v>507</v>
      </c>
    </row>
    <row r="41" spans="1:64" x14ac:dyDescent="0.5">
      <c r="A41" s="36"/>
      <c r="B41" s="41"/>
      <c r="C41" s="41"/>
      <c r="D41" s="41"/>
      <c r="E41" s="41"/>
      <c r="F41" s="41"/>
      <c r="G41" s="41"/>
      <c r="AU41" s="21" t="s">
        <v>38</v>
      </c>
      <c r="AV41" s="22">
        <v>91</v>
      </c>
      <c r="AW41" s="22" t="e">
        <f>#REF!</f>
        <v>#REF!</v>
      </c>
      <c r="AX41" s="22" t="e">
        <f>#REF!</f>
        <v>#REF!</v>
      </c>
      <c r="AY41" s="22" t="e">
        <f>#REF!</f>
        <v>#REF!</v>
      </c>
      <c r="AZ41" s="22" t="e">
        <f>#REF!</f>
        <v>#REF!</v>
      </c>
      <c r="BA41" s="22">
        <f t="shared" si="4"/>
        <v>129</v>
      </c>
      <c r="BB41" s="22">
        <f t="shared" si="5"/>
        <v>106</v>
      </c>
      <c r="BE41" s="21" t="s">
        <v>38</v>
      </c>
      <c r="BF41" s="22">
        <v>585</v>
      </c>
      <c r="BG41" s="22" t="e">
        <f>#REF!</f>
        <v>#REF!</v>
      </c>
      <c r="BH41" s="22" t="e">
        <f>#REF!</f>
        <v>#REF!</v>
      </c>
      <c r="BI41" s="22" t="e">
        <f>#REF!</f>
        <v>#REF!</v>
      </c>
      <c r="BJ41" s="22" t="e">
        <f>#REF!</f>
        <v>#REF!</v>
      </c>
      <c r="BK41" s="22">
        <f t="shared" si="3"/>
        <v>508</v>
      </c>
      <c r="BL41" s="22">
        <f t="shared" si="6"/>
        <v>543</v>
      </c>
    </row>
    <row r="42" spans="1:64" x14ac:dyDescent="0.5">
      <c r="A42" s="36"/>
      <c r="B42" s="41"/>
      <c r="C42" s="41"/>
      <c r="D42" s="41"/>
      <c r="E42" s="41"/>
      <c r="F42" s="41"/>
      <c r="G42" s="41"/>
      <c r="AU42" s="21" t="s">
        <v>41</v>
      </c>
      <c r="AV42" s="22">
        <v>92</v>
      </c>
      <c r="AW42" s="22" t="e">
        <f>#REF!</f>
        <v>#REF!</v>
      </c>
      <c r="AX42" s="22" t="e">
        <f>#REF!</f>
        <v>#REF!</v>
      </c>
      <c r="AY42" s="22" t="e">
        <f>#REF!</f>
        <v>#REF!</v>
      </c>
      <c r="AZ42" s="22" t="e">
        <f>#REF!</f>
        <v>#REF!</v>
      </c>
      <c r="BA42" s="22">
        <f t="shared" si="4"/>
        <v>112</v>
      </c>
      <c r="BB42" s="22">
        <f t="shared" si="5"/>
        <v>114</v>
      </c>
      <c r="BE42" s="21" t="s">
        <v>41</v>
      </c>
      <c r="BF42" s="22">
        <v>647</v>
      </c>
      <c r="BG42" s="22" t="e">
        <f>#REF!</f>
        <v>#REF!</v>
      </c>
      <c r="BH42" s="22" t="e">
        <f>#REF!</f>
        <v>#REF!</v>
      </c>
      <c r="BI42" s="22" t="e">
        <f>#REF!</f>
        <v>#REF!</v>
      </c>
      <c r="BJ42" s="22" t="e">
        <f>#REF!</f>
        <v>#REF!</v>
      </c>
      <c r="BK42" s="22">
        <f t="shared" si="3"/>
        <v>573</v>
      </c>
      <c r="BL42" s="22">
        <f t="shared" si="6"/>
        <v>502</v>
      </c>
    </row>
    <row r="43" spans="1:64" x14ac:dyDescent="0.5">
      <c r="A43" s="36"/>
      <c r="B43" s="41"/>
      <c r="C43" s="41"/>
      <c r="D43" s="41"/>
      <c r="E43" s="41"/>
      <c r="F43" s="41"/>
      <c r="G43" s="41"/>
      <c r="AU43" s="21" t="s">
        <v>42</v>
      </c>
      <c r="AV43" s="22">
        <v>97</v>
      </c>
      <c r="AW43" s="22" t="e">
        <f>#REF!</f>
        <v>#REF!</v>
      </c>
      <c r="AX43" s="22" t="e">
        <f>#REF!</f>
        <v>#REF!</v>
      </c>
      <c r="AY43" s="22" t="e">
        <f>#REF!</f>
        <v>#REF!</v>
      </c>
      <c r="AZ43" s="22" t="e">
        <f>#REF!</f>
        <v>#REF!</v>
      </c>
      <c r="BA43" s="22">
        <f t="shared" si="4"/>
        <v>103</v>
      </c>
      <c r="BB43" s="22">
        <f t="shared" si="5"/>
        <v>149</v>
      </c>
      <c r="BE43" s="21" t="s">
        <v>42</v>
      </c>
      <c r="BF43" s="22" t="e">
        <f>#REF!</f>
        <v>#REF!</v>
      </c>
      <c r="BG43" s="22" t="e">
        <f>#REF!</f>
        <v>#REF!</v>
      </c>
      <c r="BH43" s="22" t="e">
        <f>#REF!</f>
        <v>#REF!</v>
      </c>
      <c r="BI43" s="22" t="e">
        <f>#REF!</f>
        <v>#REF!</v>
      </c>
      <c r="BJ43" s="22" t="e">
        <f>#REF!</f>
        <v>#REF!</v>
      </c>
      <c r="BK43" s="22">
        <f t="shared" si="3"/>
        <v>514</v>
      </c>
      <c r="BL43" s="22">
        <f t="shared" si="6"/>
        <v>524</v>
      </c>
    </row>
    <row r="44" spans="1:64" x14ac:dyDescent="0.5">
      <c r="A44" s="36"/>
      <c r="B44" s="41"/>
      <c r="C44" s="41"/>
      <c r="D44" s="41"/>
      <c r="E44" s="41"/>
      <c r="F44" s="41"/>
      <c r="G44" s="41"/>
      <c r="AU44" s="21" t="s">
        <v>44</v>
      </c>
      <c r="AV44" s="22">
        <v>98</v>
      </c>
      <c r="AW44" s="22" t="e">
        <f>#REF!</f>
        <v>#REF!</v>
      </c>
      <c r="AX44" s="22" t="e">
        <f>#REF!</f>
        <v>#REF!</v>
      </c>
      <c r="AY44" s="22" t="e">
        <f>#REF!</f>
        <v>#REF!</v>
      </c>
      <c r="AZ44" s="22" t="e">
        <f>#REF!</f>
        <v>#REF!</v>
      </c>
      <c r="BA44" s="22">
        <f t="shared" si="4"/>
        <v>110</v>
      </c>
      <c r="BB44" s="22">
        <f t="shared" si="5"/>
        <v>116</v>
      </c>
      <c r="BE44" s="21" t="s">
        <v>44</v>
      </c>
      <c r="BF44" s="22">
        <v>626</v>
      </c>
      <c r="BG44" s="22" t="e">
        <f>#REF!</f>
        <v>#REF!</v>
      </c>
      <c r="BH44" s="22" t="e">
        <f>#REF!</f>
        <v>#REF!</v>
      </c>
      <c r="BI44" s="22" t="e">
        <f>#REF!</f>
        <v>#REF!</v>
      </c>
      <c r="BJ44" s="22" t="e">
        <f>#REF!</f>
        <v>#REF!</v>
      </c>
      <c r="BK44" s="22">
        <f t="shared" si="3"/>
        <v>540</v>
      </c>
      <c r="BL44" s="22">
        <f t="shared" si="6"/>
        <v>448</v>
      </c>
    </row>
    <row r="45" spans="1:64" x14ac:dyDescent="0.5">
      <c r="B45" s="41"/>
      <c r="C45" s="41"/>
      <c r="D45" s="41"/>
      <c r="E45" s="41"/>
      <c r="F45" s="41"/>
      <c r="G45" s="41"/>
      <c r="AU45" s="21" t="s">
        <v>45</v>
      </c>
      <c r="AV45" s="22">
        <v>98</v>
      </c>
      <c r="AW45" s="22" t="e">
        <f>#REF!</f>
        <v>#REF!</v>
      </c>
      <c r="AX45" s="22" t="e">
        <f>#REF!</f>
        <v>#REF!</v>
      </c>
      <c r="AY45" s="22" t="e">
        <f>#REF!</f>
        <v>#REF!</v>
      </c>
      <c r="AZ45" s="22" t="e">
        <f>#REF!</f>
        <v>#REF!</v>
      </c>
      <c r="BA45" s="22">
        <f t="shared" si="4"/>
        <v>96</v>
      </c>
      <c r="BB45" s="22">
        <f t="shared" si="5"/>
        <v>116</v>
      </c>
      <c r="BE45" s="21" t="s">
        <v>45</v>
      </c>
      <c r="BF45" s="22">
        <v>540</v>
      </c>
      <c r="BG45" s="22" t="e">
        <f>#REF!</f>
        <v>#REF!</v>
      </c>
      <c r="BH45" s="22" t="e">
        <f>#REF!</f>
        <v>#REF!</v>
      </c>
      <c r="BI45" s="22" t="e">
        <f>#REF!</f>
        <v>#REF!</v>
      </c>
      <c r="BJ45" s="22" t="e">
        <f>#REF!</f>
        <v>#REF!</v>
      </c>
      <c r="BK45" s="22">
        <f t="shared" si="3"/>
        <v>568</v>
      </c>
      <c r="BL45" s="22">
        <f t="shared" si="6"/>
        <v>446</v>
      </c>
    </row>
    <row r="46" spans="1:64" x14ac:dyDescent="0.5">
      <c r="B46" s="41"/>
      <c r="C46" s="41"/>
      <c r="D46" s="41"/>
      <c r="E46" s="41"/>
      <c r="F46" s="41"/>
      <c r="G46" s="41"/>
      <c r="BB46" s="2"/>
      <c r="BC46" s="3"/>
      <c r="BD46" s="2"/>
      <c r="BE46" s="2"/>
      <c r="BF46" s="2"/>
    </row>
    <row r="47" spans="1:64" x14ac:dyDescent="0.5">
      <c r="B47" s="41"/>
      <c r="C47" s="41"/>
      <c r="D47" s="41"/>
      <c r="E47" s="41"/>
      <c r="F47" s="41"/>
      <c r="G47" s="41"/>
      <c r="AU47" s="42"/>
    </row>
    <row r="48" spans="1:64" x14ac:dyDescent="0.5">
      <c r="B48" s="41"/>
      <c r="C48" s="41"/>
      <c r="D48" s="41"/>
      <c r="E48" s="41"/>
      <c r="F48" s="41"/>
      <c r="G48" s="41"/>
      <c r="AU48" s="43"/>
    </row>
    <row r="49" spans="2:47" x14ac:dyDescent="0.5">
      <c r="B49" s="41"/>
      <c r="C49" s="41"/>
      <c r="D49" s="41"/>
      <c r="E49" s="41"/>
      <c r="F49" s="41"/>
      <c r="G49" s="41"/>
      <c r="AU49" s="43"/>
    </row>
    <row r="50" spans="2:47" x14ac:dyDescent="0.5">
      <c r="B50" s="41"/>
      <c r="C50" s="41"/>
      <c r="D50" s="41"/>
      <c r="E50" s="41"/>
      <c r="F50" s="41"/>
      <c r="G50" s="41"/>
      <c r="AU50" s="43"/>
    </row>
    <row r="51" spans="2:47" x14ac:dyDescent="0.5">
      <c r="B51" s="41"/>
      <c r="C51" s="41"/>
      <c r="D51" s="41"/>
      <c r="E51" s="41"/>
      <c r="F51" s="41"/>
      <c r="G51" s="41"/>
      <c r="AU51" s="43"/>
    </row>
    <row r="52" spans="2:47" x14ac:dyDescent="0.5">
      <c r="B52" s="41"/>
      <c r="C52" s="41"/>
      <c r="D52" s="41"/>
      <c r="E52" s="41"/>
      <c r="F52" s="41"/>
      <c r="G52" s="41"/>
      <c r="AU52" s="43"/>
    </row>
    <row r="53" spans="2:47" x14ac:dyDescent="0.5">
      <c r="AU53" s="43"/>
    </row>
    <row r="54" spans="2:47" x14ac:dyDescent="0.5">
      <c r="AU54" s="43"/>
    </row>
    <row r="55" spans="2:47" x14ac:dyDescent="0.5">
      <c r="AU55" s="43"/>
    </row>
    <row r="56" spans="2:47" x14ac:dyDescent="0.5">
      <c r="AU56" s="43"/>
    </row>
    <row r="57" spans="2:47" x14ac:dyDescent="0.5">
      <c r="AU57" s="43"/>
    </row>
    <row r="58" spans="2:47" x14ac:dyDescent="0.5">
      <c r="AU58" s="43"/>
    </row>
    <row r="59" spans="2:47" x14ac:dyDescent="0.5">
      <c r="AU59" s="43"/>
    </row>
  </sheetData>
  <mergeCells count="8">
    <mergeCell ref="A1:H1"/>
    <mergeCell ref="A2:H2"/>
    <mergeCell ref="B3:D3"/>
    <mergeCell ref="E21:H21"/>
    <mergeCell ref="A21:D21"/>
    <mergeCell ref="E3:G3"/>
    <mergeCell ref="H3:H5"/>
    <mergeCell ref="B37:G37"/>
  </mergeCells>
  <pageMargins left="0.7" right="0.7" top="0.75" bottom="0.75" header="0.3" footer="0.3"/>
  <pageSetup scale="44" orientation="portrait" horizontalDpi="4294967295" verticalDpi="4294967295" r:id="rId1"/>
  <rowBreaks count="1" manualBreakCount="1">
    <brk id="44" max="37" man="1"/>
  </rowBreaks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3.7</vt:lpstr>
      <vt:lpstr>'3.7'!Print_Area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2025-07-22T06:49:53Z</cp:lastPrinted>
  <dcterms:created xsi:type="dcterms:W3CDTF">2019-07-22T06:02:33Z</dcterms:created>
  <dcterms:modified xsi:type="dcterms:W3CDTF">2025-07-22T06:49:59Z</dcterms:modified>
</cp:coreProperties>
</file>