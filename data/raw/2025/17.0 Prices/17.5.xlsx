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CD338B83-490B-4B2F-AB97-03A876E5222C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5" sheetId="6" r:id="rId1"/>
  </sheets>
  <definedNames>
    <definedName name="_xlnm.Print_Area" localSheetId="0">'17.5'!$A$1:$S$74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6" l="1"/>
  <c r="N68" i="6"/>
  <c r="N56" i="6"/>
  <c r="N11" i="6"/>
  <c r="N12" i="6"/>
  <c r="N19" i="6"/>
  <c r="N70" i="6"/>
  <c r="N57" i="6"/>
  <c r="N58" i="6"/>
  <c r="N59" i="6"/>
  <c r="N60" i="6"/>
  <c r="N61" i="6"/>
  <c r="N62" i="6"/>
  <c r="N63" i="6"/>
  <c r="N64" i="6"/>
  <c r="N65" i="6"/>
  <c r="N66" i="6"/>
  <c r="N67" i="6"/>
  <c r="N69" i="6"/>
  <c r="N71" i="6"/>
  <c r="N72" i="6"/>
  <c r="N55" i="6"/>
  <c r="N48" i="6"/>
  <c r="N33" i="6"/>
  <c r="N34" i="6"/>
  <c r="N35" i="6"/>
  <c r="N36" i="6"/>
  <c r="N37" i="6"/>
  <c r="N38" i="6"/>
  <c r="N39" i="6"/>
  <c r="N41" i="6"/>
  <c r="N42" i="6"/>
  <c r="N43" i="6"/>
  <c r="N44" i="6"/>
  <c r="N45" i="6"/>
  <c r="N46" i="6"/>
  <c r="N47" i="6"/>
  <c r="N49" i="6"/>
  <c r="N32" i="6"/>
  <c r="N16" i="6"/>
  <c r="N10" i="6"/>
  <c r="N13" i="6"/>
  <c r="N14" i="6"/>
  <c r="N15" i="6"/>
  <c r="N17" i="6"/>
  <c r="N18" i="6"/>
  <c r="N20" i="6"/>
  <c r="N21" i="6"/>
  <c r="N22" i="6"/>
  <c r="N23" i="6"/>
  <c r="N24" i="6"/>
  <c r="N25" i="6"/>
  <c r="N26" i="6"/>
  <c r="N9" i="6"/>
</calcChain>
</file>

<file path=xl/sharedStrings.xml><?xml version="1.0" encoding="utf-8"?>
<sst xmlns="http://schemas.openxmlformats.org/spreadsheetml/2006/main" count="210" uniqueCount="79">
  <si>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</si>
  <si>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</si>
  <si>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</si>
  <si>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</si>
  <si>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</si>
  <si>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</si>
  <si>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</si>
  <si>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</si>
  <si>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</si>
  <si>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</si>
  <si>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</si>
  <si>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</si>
  <si>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</si>
  <si>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</si>
  <si>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</si>
  <si>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</si>
  <si>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</si>
  <si>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</si>
  <si>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</si>
  <si>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</si>
  <si>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</si>
  <si>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</si>
  <si>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</si>
  <si>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</si>
  <si>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</si>
  <si>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</si>
  <si>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</si>
  <si>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</si>
  <si>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</si>
  <si>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</si>
  <si>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</si>
  <si>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</si>
  <si>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</si>
  <si>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</si>
  <si>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</si>
  <si>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</si>
  <si>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</si>
  <si>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</si>
  <si>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</si>
  <si>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</si>
  <si>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</si>
  <si>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</si>
  <si>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</si>
  <si>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</si>
  <si>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</si>
  <si>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</si>
  <si>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</si>
  <si>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</si>
  <si>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</si>
  <si>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</si>
  <si>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</si>
  <si>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</si>
  <si>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</si>
  <si>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</si>
  <si>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</si>
  <si>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</si>
  <si>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</si>
  <si>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</si>
  <si>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</si>
  <si>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</si>
  <si>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</si>
  <si>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</si>
  <si>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</si>
  <si>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</si>
  <si>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</si>
  <si>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</si>
  <si>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</si>
  <si>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</si>
  <si>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</si>
  <si>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</si>
  <si>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</si>
  <si>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</si>
  <si>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t>މަޢުލޫމާތު ދެއްވި ފަރާތް: މޯލްޑިވްސް ބިއުރޯ އޮފް ސްޓެޓިސްޓިކްސް</t>
  </si>
  <si>
    <t xml:space="preserve">Source:   Maldives  Bureau of Statistics   </t>
  </si>
  <si>
    <r>
      <t xml:space="preserve">(cnegiawlwbcSwa 100 IkwDnwgcnim eg </t>
    </r>
    <r>
      <rPr>
        <b/>
        <sz val="9"/>
        <rFont val="Faruma"/>
      </rPr>
      <t>ނޮވެންބަރ</t>
    </r>
    <r>
      <rPr>
        <b/>
        <sz val="9"/>
        <rFont val="A_Faseyha"/>
      </rPr>
      <t xml:space="preserve"> 2022 )</t>
    </r>
  </si>
  <si>
    <t xml:space="preserve"> 2024 ،iawa.Ip.Is eguhwmcswm</t>
  </si>
  <si>
    <t>Monthly CPI , 2024</t>
  </si>
  <si>
    <t>Table  17.5 : CONSUMER PRICE INDEX, FOR MALE' AND ATOLLS BY MONTH,  2024</t>
  </si>
  <si>
    <t>2024 ,uDnwgcnim egugwa egurWzWb eguhwmcswmikea : 17.5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</si>
</sst>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.0_);_(* \(#,##0.0\);_(* &quot;-&quot;??_);_(@_)"/>
    <numFmt numFmtId="169" formatCode="_-* #,##0.00_-;\-* #,##0.00_-;_-* &quot;-&quot;??_-;_-@_-"/>
    <numFmt numFmtId="170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2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7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</cellStyleXfs>
  <cellXfs count="75">
    <xf numFmtId="0" fontId="0" fillId="0" borderId="0" xfId="0"/>
    <xf numFmtId="0" fontId="4" fillId="2" borderId="0" xfId="2" applyFill="1"/>
    <xf numFmtId="2" fontId="0" fillId="2" borderId="0" xfId="0" applyNumberFormat="1" applyFill="1"/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12" fillId="2" borderId="0" xfId="2" applyFont="1" applyFill="1" applyAlignment="1">
      <alignment vertical="center"/>
    </xf>
    <xf numFmtId="0" fontId="12" fillId="2" borderId="0" xfId="2" applyFont="1" applyFill="1"/>
    <xf numFmtId="0" fontId="12" fillId="2" borderId="2" xfId="2" applyFont="1" applyFill="1" applyBorder="1"/>
    <xf numFmtId="0" fontId="14" fillId="2" borderId="0" xfId="2" applyFont="1" applyFill="1"/>
    <xf numFmtId="2" fontId="4" fillId="2" borderId="0" xfId="2" applyNumberFormat="1" applyFill="1"/>
    <xf numFmtId="165" fontId="3" fillId="2" borderId="0" xfId="3" applyFont="1" applyFill="1" applyAlignment="1">
      <alignment vertical="center"/>
    </xf>
    <xf numFmtId="165" fontId="12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3" fontId="13" fillId="2" borderId="1" xfId="6" applyNumberFormat="1" applyFont="1" applyFill="1" applyBorder="1" applyAlignment="1">
      <alignment horizontal="left" vertical="center"/>
    </xf>
    <xf numFmtId="3" fontId="14" fillId="2" borderId="1" xfId="6" applyNumberFormat="1" applyFont="1" applyFill="1" applyBorder="1" applyAlignment="1">
      <alignment horizontal="center" vertical="center"/>
    </xf>
    <xf numFmtId="3" fontId="14" fillId="2" borderId="1" xfId="6" applyNumberFormat="1" applyFont="1" applyFill="1" applyBorder="1" applyAlignment="1">
      <alignment horizontal="right" vertical="center"/>
    </xf>
    <xf numFmtId="0" fontId="4" fillId="2" borderId="1" xfId="2" applyFill="1" applyBorder="1"/>
    <xf numFmtId="0" fontId="12" fillId="2" borderId="1" xfId="2" applyFont="1" applyFill="1" applyBorder="1"/>
    <xf numFmtId="0" fontId="5" fillId="2" borderId="2" xfId="2" applyFont="1" applyFill="1" applyBorder="1"/>
    <xf numFmtId="0" fontId="14" fillId="2" borderId="2" xfId="2" applyFont="1" applyFill="1" applyBorder="1"/>
    <xf numFmtId="0" fontId="14" fillId="2" borderId="2" xfId="2" applyFont="1" applyFill="1" applyBorder="1" applyAlignment="1">
      <alignment horizontal="right"/>
    </xf>
    <xf numFmtId="0" fontId="14" fillId="2" borderId="3" xfId="2" applyFont="1" applyFill="1" applyBorder="1"/>
    <xf numFmtId="165" fontId="3" fillId="2" borderId="3" xfId="3" applyFont="1" applyFill="1" applyBorder="1" applyAlignment="1">
      <alignment horizontal="right" vertical="center" wrapText="1"/>
    </xf>
    <xf numFmtId="0" fontId="5" fillId="2" borderId="0" xfId="2" applyFont="1" applyFill="1" applyAlignment="1">
      <alignment horizontal="left"/>
    </xf>
    <xf numFmtId="0" fontId="5" fillId="2" borderId="1" xfId="2" applyFont="1" applyFill="1" applyBorder="1" applyAlignment="1">
      <alignment horizontal="left"/>
    </xf>
    <xf numFmtId="166" fontId="12" fillId="2" borderId="0" xfId="2" applyNumberFormat="1" applyFont="1" applyFill="1"/>
    <xf numFmtId="0" fontId="14" fillId="2" borderId="1" xfId="2" applyFont="1" applyFill="1" applyBorder="1"/>
    <xf numFmtId="3" fontId="13" fillId="2" borderId="0" xfId="6" applyNumberFormat="1" applyFont="1" applyFill="1" applyAlignment="1">
      <alignment horizontal="left" vertical="center"/>
    </xf>
    <xf numFmtId="3" fontId="10" fillId="2" borderId="0" xfId="6" applyNumberFormat="1" applyFont="1" applyFill="1" applyAlignment="1">
      <alignment horizontal="right" vertical="center"/>
    </xf>
    <xf numFmtId="2" fontId="12" fillId="2" borderId="0" xfId="2" applyNumberFormat="1" applyFont="1" applyFill="1"/>
    <xf numFmtId="0" fontId="5" fillId="2" borderId="2" xfId="2" applyFont="1" applyFill="1" applyBorder="1" applyAlignment="1">
      <alignment horizontal="left"/>
    </xf>
    <xf numFmtId="0" fontId="13" fillId="2" borderId="1" xfId="2" applyFont="1" applyFill="1" applyBorder="1"/>
    <xf numFmtId="0" fontId="13" fillId="2" borderId="0" xfId="2" applyFont="1" applyFill="1"/>
    <xf numFmtId="0" fontId="12" fillId="2" borderId="0" xfId="2" applyFont="1" applyFill="1" applyAlignment="1">
      <alignment horizontal="right"/>
    </xf>
    <xf numFmtId="168" fontId="12" fillId="2" borderId="0" xfId="2" applyNumberFormat="1" applyFont="1" applyFill="1"/>
    <xf numFmtId="0" fontId="12" fillId="2" borderId="0" xfId="2" applyFont="1" applyFill="1" applyAlignment="1">
      <alignment horizontal="right" vertical="center"/>
    </xf>
    <xf numFmtId="0" fontId="12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right" vertical="center"/>
    </xf>
    <xf numFmtId="165" fontId="18" fillId="2" borderId="0" xfId="3" applyFont="1" applyFill="1" applyAlignment="1">
      <alignment horizontal="right" vertical="center"/>
    </xf>
    <xf numFmtId="165" fontId="18" fillId="2" borderId="1" xfId="1" applyFont="1" applyFill="1" applyBorder="1" applyAlignment="1">
      <alignment horizontal="right" vertical="center"/>
    </xf>
    <xf numFmtId="165" fontId="18" fillId="2" borderId="3" xfId="3" applyFont="1" applyFill="1" applyBorder="1" applyAlignment="1">
      <alignment horizontal="right" vertical="center"/>
    </xf>
    <xf numFmtId="0" fontId="19" fillId="2" borderId="1" xfId="2" applyFont="1" applyFill="1" applyBorder="1" applyAlignment="1">
      <alignment vertical="center"/>
    </xf>
    <xf numFmtId="165" fontId="19" fillId="2" borderId="0" xfId="3" applyFont="1" applyFill="1" applyAlignment="1">
      <alignment horizontal="center" vertical="center"/>
    </xf>
    <xf numFmtId="165" fontId="18" fillId="2" borderId="2" xfId="3" applyFont="1" applyFill="1" applyBorder="1" applyAlignment="1">
      <alignment horizontal="right" vertical="center"/>
    </xf>
    <xf numFmtId="165" fontId="18" fillId="2" borderId="4" xfId="3" applyFont="1" applyFill="1" applyBorder="1" applyAlignment="1">
      <alignment horizontal="right" vertical="center" wrapText="1"/>
    </xf>
    <xf numFmtId="165" fontId="18" fillId="2" borderId="0" xfId="3" applyFont="1" applyFill="1" applyAlignment="1">
      <alignment horizontal="right" vertical="center" wrapText="1"/>
    </xf>
    <xf numFmtId="2" fontId="11" fillId="2" borderId="0" xfId="2" applyNumberFormat="1" applyFont="1" applyFill="1"/>
    <xf numFmtId="169" fontId="18" fillId="2" borderId="0" xfId="3" applyNumberFormat="1" applyFont="1" applyFill="1" applyAlignment="1">
      <alignment horizontal="right"/>
    </xf>
    <xf numFmtId="17" fontId="8" fillId="2" borderId="1" xfId="2" applyNumberFormat="1" applyFont="1" applyFill="1" applyBorder="1" applyAlignment="1">
      <alignment horizontal="right" vertical="center"/>
    </xf>
    <xf numFmtId="0" fontId="8" fillId="2" borderId="1" xfId="2" applyFont="1" applyFill="1" applyBorder="1" applyAlignment="1">
      <alignment horizontal="right" vertical="center"/>
    </xf>
    <xf numFmtId="165" fontId="8" fillId="2" borderId="1" xfId="3" applyFont="1" applyFill="1" applyBorder="1" applyAlignment="1">
      <alignment horizontal="right" vertical="center"/>
    </xf>
    <xf numFmtId="3" fontId="19" fillId="2" borderId="1" xfId="6" applyNumberFormat="1" applyFont="1" applyFill="1" applyBorder="1" applyAlignment="1">
      <alignment horizontal="right" vertical="center"/>
    </xf>
    <xf numFmtId="165" fontId="18" fillId="2" borderId="0" xfId="3" applyFont="1" applyFill="1" applyAlignment="1">
      <alignment horizontal="right"/>
    </xf>
    <xf numFmtId="0" fontId="19" fillId="2" borderId="0" xfId="2" applyFont="1" applyFill="1"/>
    <xf numFmtId="0" fontId="19" fillId="2" borderId="1" xfId="2" applyFont="1" applyFill="1" applyBorder="1"/>
    <xf numFmtId="0" fontId="4" fillId="2" borderId="0" xfId="2" applyFill="1" applyAlignment="1">
      <alignment horizontal="right" vertical="center"/>
    </xf>
    <xf numFmtId="0" fontId="4" fillId="2" borderId="1" xfId="2" applyFill="1" applyBorder="1" applyAlignment="1">
      <alignment horizontal="right" vertical="center"/>
    </xf>
    <xf numFmtId="169" fontId="18" fillId="2" borderId="0" xfId="3" applyNumberFormat="1" applyFont="1" applyFill="1" applyAlignment="1">
      <alignment horizontal="right" vertical="center"/>
    </xf>
    <xf numFmtId="43" fontId="9" fillId="2" borderId="0" xfId="0" applyNumberFormat="1" applyFont="1" applyFill="1" applyAlignment="1">
      <alignment horizontal="right" vertical="center"/>
    </xf>
    <xf numFmtId="2" fontId="14" fillId="2" borderId="0" xfId="2" applyNumberFormat="1" applyFont="1" applyFill="1"/>
    <xf numFmtId="43" fontId="8" fillId="2" borderId="0" xfId="0" applyNumberFormat="1" applyFont="1" applyFill="1" applyAlignment="1">
      <alignment horizontal="right" vertical="center"/>
    </xf>
    <xf numFmtId="43" fontId="8" fillId="2" borderId="1" xfId="0" applyNumberFormat="1" applyFont="1" applyFill="1" applyBorder="1" applyAlignment="1">
      <alignment horizontal="right" vertical="center"/>
    </xf>
    <xf numFmtId="2" fontId="12" fillId="2" borderId="0" xfId="2" applyNumberFormat="1" applyFont="1" applyFill="1" applyAlignment="1">
      <alignment horizontal="right"/>
    </xf>
    <xf numFmtId="165" fontId="20" fillId="2" borderId="0" xfId="3" applyFont="1" applyFill="1" applyAlignment="1">
      <alignment horizontal="center" vertical="center"/>
    </xf>
    <xf numFmtId="165" fontId="8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 wrapText="1"/>
    </xf>
    <xf numFmtId="165" fontId="5" fillId="2" borderId="0" xfId="3" applyFont="1" applyFill="1" applyAlignment="1">
      <alignment horizontal="center" vertical="center"/>
    </xf>
  </cellXfs>
  <cellStyles count="22">
    <cellStyle name="1" xfId="11" xr:uid="{00000000-0005-0000-0000-000000000000}"/>
    <cellStyle name="Comma 2" xfId="12" xr:uid="{00000000-0005-0000-0000-000001000000}"/>
    <cellStyle name="Comma 2 2" xfId="17" xr:uid="{00000000-0005-0000-0000-000002000000}"/>
    <cellStyle name="Comma 3" xfId="13" xr:uid="{00000000-0005-0000-0000-000003000000}"/>
    <cellStyle name="Comma 3 2" xfId="7" xr:uid="{00000000-0005-0000-0000-000004000000}"/>
    <cellStyle name="Normal" xfId="0" builtinId="0"/>
    <cellStyle name="Normal - Style1" xfId="14" xr:uid="{00000000-0005-0000-0000-000007000000}"/>
    <cellStyle name="Normal 2" xfId="16" xr:uid="{00000000-0005-0000-0000-000008000000}"/>
    <cellStyle name="Normal 3" xfId="8" xr:uid="{00000000-0005-0000-0000-000009000000}"/>
    <cellStyle name="Normal 4" xfId="9" xr:uid="{00000000-0005-0000-0000-00000A000000}"/>
    <cellStyle name="Normal 5" xfId="10" xr:uid="{00000000-0005-0000-0000-00000B000000}"/>
    <cellStyle name="Normal 5 2" xfId="20" xr:uid="{00000000-0005-0000-0000-00000C000000}"/>
    <cellStyle name="Normal 6" xfId="19" xr:uid="{00000000-0005-0000-0000-00000D000000}"/>
    <cellStyle name="Normal 6 2" xfId="21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II-15(Population)" xfId="6" xr:uid="{00000000-0005-0000-0000-000012000000}"/>
    <cellStyle name="Normal_XII-11(Commerce)" xfId="3" xr:uid="{00000000-0005-0000-0000-000013000000}"/>
    <cellStyle name="Normal_XII-12 (Commerce)" xfId="1" xr:uid="{00000000-0005-0000-0000-000014000000}"/>
    <cellStyle name="Percent 2" xfId="15" xr:uid="{00000000-0005-0000-0000-000015000000}"/>
    <cellStyle name="Percent 2 2" xfId="18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N89"/>
  <sheetViews>
    <sheetView tabSelected="1" zoomScale="115" zoomScaleNormal="115" zoomScaleSheetLayoutView="95" workbookViewId="0">
      <selection activeCell="K18" sqref="K18"/>
    </sheetView>
  </sheetViews>
  <sheetFormatPr defaultColWidth="9.140625" defaultRowHeight="14.25" x14ac:dyDescent="0.35"/>
  <cols>
    <col min="1" max="1" width="37.42578125" style="36" customWidth="1"/>
    <col min="2" max="2" width="10.5703125" style="9" customWidth="1"/>
    <col min="3" max="4" width="10.5703125" style="37" customWidth="1"/>
    <col min="5" max="13" width="10.5703125" style="9" customWidth="1"/>
    <col min="14" max="14" width="9.85546875" style="9" customWidth="1"/>
    <col min="15" max="15" width="7.7109375" style="9" customWidth="1"/>
    <col min="16" max="16" width="8.85546875" style="9" customWidth="1"/>
    <col min="17" max="17" width="6.42578125" style="9" customWidth="1"/>
    <col min="18" max="18" width="17.7109375" style="61" customWidth="1"/>
    <col min="19" max="26" width="6.42578125" style="9" customWidth="1"/>
    <col min="27" max="27" width="9.140625" style="9"/>
    <col min="28" max="40" width="10.140625" style="9" customWidth="1"/>
    <col min="41" max="16384" width="9.140625" style="9"/>
  </cols>
  <sheetData>
    <row r="1" spans="1:30" s="14" customFormat="1" ht="23.25" customHeight="1" x14ac:dyDescent="0.25">
      <c r="A1" s="71" t="s">
        <v>78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13"/>
      <c r="T1" s="13"/>
      <c r="U1" s="13"/>
      <c r="V1" s="13"/>
      <c r="W1" s="13"/>
      <c r="X1" s="13"/>
      <c r="Y1" s="13"/>
      <c r="Z1" s="13"/>
    </row>
    <row r="2" spans="1:30" s="15" customFormat="1" ht="12.75" x14ac:dyDescent="0.25">
      <c r="A2" s="72" t="s">
        <v>77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30" s="14" customFormat="1" ht="15" customHeight="1" x14ac:dyDescent="0.25">
      <c r="A3" s="73" t="s">
        <v>74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16"/>
      <c r="T3" s="16"/>
      <c r="U3" s="16"/>
      <c r="V3" s="16"/>
      <c r="W3" s="16"/>
      <c r="X3" s="16"/>
      <c r="Y3" s="16"/>
      <c r="Z3" s="16"/>
    </row>
    <row r="4" spans="1:30" s="15" customFormat="1" ht="12" x14ac:dyDescent="0.25">
      <c r="A4" s="74" t="s">
        <v>71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30" ht="6" customHeight="1" x14ac:dyDescent="0.2">
      <c r="A5" s="17"/>
      <c r="B5" s="18"/>
      <c r="C5" s="19"/>
      <c r="D5" s="19"/>
      <c r="E5" s="18"/>
      <c r="F5" s="20"/>
      <c r="G5" s="20"/>
      <c r="H5" s="20"/>
      <c r="I5" s="20"/>
      <c r="J5" s="20"/>
      <c r="K5" s="20"/>
      <c r="L5" s="20"/>
      <c r="M5" s="20"/>
      <c r="O5" s="21"/>
      <c r="P5" s="21"/>
      <c r="Q5" s="21"/>
      <c r="R5" s="59"/>
    </row>
    <row r="6" spans="1:30" ht="15" x14ac:dyDescent="0.2">
      <c r="A6" s="22"/>
      <c r="B6" s="23" t="s">
        <v>76</v>
      </c>
      <c r="C6" s="24"/>
      <c r="D6" s="24"/>
      <c r="E6" s="23"/>
      <c r="F6" s="11"/>
      <c r="G6" s="25"/>
      <c r="H6" s="26"/>
      <c r="I6" s="26"/>
      <c r="J6" s="26"/>
      <c r="K6" s="26"/>
      <c r="L6" s="26"/>
      <c r="M6" s="25"/>
      <c r="N6" s="48" t="s">
        <v>75</v>
      </c>
      <c r="R6" s="46" t="s">
        <v>50</v>
      </c>
    </row>
    <row r="7" spans="1:30" ht="20.25" customHeight="1" x14ac:dyDescent="0.35">
      <c r="A7" s="27" t="s">
        <v>51</v>
      </c>
      <c r="B7" s="52" t="s">
        <v>25</v>
      </c>
      <c r="C7" s="52" t="s">
        <v>26</v>
      </c>
      <c r="D7" s="52" t="s">
        <v>27</v>
      </c>
      <c r="E7" s="52" t="s">
        <v>28</v>
      </c>
      <c r="F7" s="52" t="s">
        <v>29</v>
      </c>
      <c r="G7" s="53" t="s">
        <v>30</v>
      </c>
      <c r="H7" s="53" t="s">
        <v>31</v>
      </c>
      <c r="I7" s="53" t="s">
        <v>32</v>
      </c>
      <c r="J7" s="53" t="s">
        <v>33</v>
      </c>
      <c r="K7" s="53" t="s">
        <v>34</v>
      </c>
      <c r="L7" s="53" t="s">
        <v>35</v>
      </c>
      <c r="M7" s="53" t="s">
        <v>36</v>
      </c>
      <c r="N7" s="55" t="s">
        <v>37</v>
      </c>
      <c r="R7" s="60" t="s">
        <v>52</v>
      </c>
    </row>
    <row r="8" spans="1:30" s="8" customFormat="1" ht="18" customHeight="1" x14ac:dyDescent="0.25">
      <c r="A8" s="41" t="s">
        <v>0</v>
      </c>
      <c r="B8" s="56" t="s">
        <v>38</v>
      </c>
      <c r="C8" s="57" t="s">
        <v>39</v>
      </c>
      <c r="D8" s="57" t="s">
        <v>40</v>
      </c>
      <c r="E8" s="57" t="s">
        <v>41</v>
      </c>
      <c r="F8" s="57" t="s">
        <v>42</v>
      </c>
      <c r="G8" s="57" t="s">
        <v>43</v>
      </c>
      <c r="H8" s="57" t="s">
        <v>44</v>
      </c>
      <c r="I8" s="57" t="s">
        <v>45</v>
      </c>
      <c r="J8" s="57" t="s">
        <v>46</v>
      </c>
      <c r="K8" s="57" t="s">
        <v>47</v>
      </c>
      <c r="L8" s="57" t="s">
        <v>48</v>
      </c>
      <c r="M8" s="57" t="s">
        <v>49</v>
      </c>
      <c r="N8" s="58" t="s">
        <v>53</v>
      </c>
      <c r="O8" s="40"/>
      <c r="P8" s="40"/>
      <c r="Q8" s="40"/>
      <c r="R8" s="49"/>
    </row>
    <row r="9" spans="1:30" ht="19.5" customHeight="1" x14ac:dyDescent="0.2">
      <c r="A9" s="3" t="s">
        <v>2</v>
      </c>
      <c r="B9" s="66">
        <v>106.58157559647717</v>
      </c>
      <c r="C9" s="66">
        <v>107.74620805017962</v>
      </c>
      <c r="D9" s="66">
        <v>109.13726047052565</v>
      </c>
      <c r="E9" s="66">
        <v>109.55834774384989</v>
      </c>
      <c r="F9" s="66">
        <v>108.5031374737553</v>
      </c>
      <c r="G9" s="66">
        <v>109.31540924470536</v>
      </c>
      <c r="H9" s="66">
        <v>110.03354262198339</v>
      </c>
      <c r="I9" s="66">
        <v>111.4023681639233</v>
      </c>
      <c r="J9" s="66">
        <v>111.33472252662231</v>
      </c>
      <c r="K9" s="66">
        <v>110.94552168739732</v>
      </c>
      <c r="L9" s="66">
        <v>110.73802517067858</v>
      </c>
      <c r="M9" s="66">
        <v>112.02436167086934</v>
      </c>
      <c r="N9" s="66">
        <f>AVERAGE(B9:M9)</f>
        <v>109.77670670174727</v>
      </c>
      <c r="R9" s="44" t="s">
        <v>3</v>
      </c>
      <c r="S9" s="29"/>
      <c r="T9" s="29"/>
      <c r="U9" s="29"/>
      <c r="V9" s="29"/>
      <c r="W9" s="29"/>
      <c r="X9" s="29"/>
      <c r="Y9" s="29"/>
      <c r="Z9" s="29"/>
    </row>
    <row r="10" spans="1:30" ht="19.5" customHeight="1" x14ac:dyDescent="0.2">
      <c r="A10" s="3" t="s">
        <v>4</v>
      </c>
      <c r="B10" s="66">
        <v>106.0326900546612</v>
      </c>
      <c r="C10" s="66">
        <v>106.88128847467959</v>
      </c>
      <c r="D10" s="66">
        <v>107.77295790348674</v>
      </c>
      <c r="E10" s="66">
        <v>107.9412063415114</v>
      </c>
      <c r="F10" s="66">
        <v>107.16246651128671</v>
      </c>
      <c r="G10" s="66">
        <v>108.00358989538478</v>
      </c>
      <c r="H10" s="66">
        <v>108.33100638805149</v>
      </c>
      <c r="I10" s="66">
        <v>109.71138847725625</v>
      </c>
      <c r="J10" s="66">
        <v>110.38089410013502</v>
      </c>
      <c r="K10" s="66">
        <v>109.52675762739584</v>
      </c>
      <c r="L10" s="66">
        <v>109.3699483235676</v>
      </c>
      <c r="M10" s="66">
        <v>110.78177503949861</v>
      </c>
      <c r="N10" s="66">
        <f t="shared" ref="N10:N26" si="0">AVERAGE(B10:M10)</f>
        <v>108.4913307614096</v>
      </c>
      <c r="R10" s="44" t="s">
        <v>5</v>
      </c>
      <c r="S10" s="29"/>
      <c r="T10" s="29"/>
      <c r="U10" s="29"/>
      <c r="V10" s="29"/>
      <c r="W10" s="29"/>
      <c r="X10" s="29"/>
      <c r="Y10" s="29"/>
      <c r="Z10" s="29"/>
    </row>
    <row r="11" spans="1:30" ht="19.5" customHeight="1" x14ac:dyDescent="0.2">
      <c r="A11" s="4" t="s">
        <v>6</v>
      </c>
      <c r="B11" s="66">
        <v>108.90402914991157</v>
      </c>
      <c r="C11" s="66">
        <v>111.40587001706099</v>
      </c>
      <c r="D11" s="66">
        <v>114.90991998401208</v>
      </c>
      <c r="E11" s="66">
        <v>116.40082310554564</v>
      </c>
      <c r="F11" s="66">
        <v>114.17580655239422</v>
      </c>
      <c r="G11" s="66">
        <v>114.86600090214594</v>
      </c>
      <c r="H11" s="66">
        <v>117.23734200293256</v>
      </c>
      <c r="I11" s="66">
        <v>118.55726929156458</v>
      </c>
      <c r="J11" s="66">
        <v>115.37057708954828</v>
      </c>
      <c r="K11" s="66">
        <v>116.94861956775654</v>
      </c>
      <c r="L11" s="66">
        <v>116.52665448022843</v>
      </c>
      <c r="M11" s="66">
        <v>117.28201471075295</v>
      </c>
      <c r="N11" s="66">
        <f>AVERAGE(B11:M11)</f>
        <v>115.21541057115449</v>
      </c>
      <c r="R11" s="44" t="s">
        <v>7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9.5" customHeight="1" x14ac:dyDescent="0.2">
      <c r="A12" s="4" t="s">
        <v>8</v>
      </c>
      <c r="B12" s="66">
        <v>102.80337787825597</v>
      </c>
      <c r="C12" s="66">
        <v>103.06463683031357</v>
      </c>
      <c r="D12" s="66">
        <v>103.36220853046072</v>
      </c>
      <c r="E12" s="66">
        <v>103.48751313418104</v>
      </c>
      <c r="F12" s="66">
        <v>103.2451147235552</v>
      </c>
      <c r="G12" s="66">
        <v>103.57931213303333</v>
      </c>
      <c r="H12" s="66">
        <v>103.55514060436285</v>
      </c>
      <c r="I12" s="66">
        <v>103.71673073855926</v>
      </c>
      <c r="J12" s="66">
        <v>103.9633936410126</v>
      </c>
      <c r="K12" s="66">
        <v>103.91640585851854</v>
      </c>
      <c r="L12" s="66">
        <v>184.07959441868749</v>
      </c>
      <c r="M12" s="66">
        <v>202.53690731551922</v>
      </c>
      <c r="N12" s="66">
        <f>AVERAGE(B12:M12)</f>
        <v>118.44252798387167</v>
      </c>
      <c r="R12" s="44" t="s">
        <v>24</v>
      </c>
      <c r="S12" s="29"/>
      <c r="T12" s="29"/>
      <c r="U12" s="29"/>
      <c r="V12" s="29"/>
      <c r="W12" s="29"/>
      <c r="X12" s="29"/>
      <c r="Y12" s="29"/>
      <c r="Z12" s="29"/>
    </row>
    <row r="13" spans="1:30" ht="19.5" customHeight="1" x14ac:dyDescent="0.2">
      <c r="A13" s="4" t="s">
        <v>59</v>
      </c>
      <c r="B13" s="66">
        <v>101.71036025324342</v>
      </c>
      <c r="C13" s="66">
        <v>101.60346504869753</v>
      </c>
      <c r="D13" s="66">
        <v>101.60346504869753</v>
      </c>
      <c r="E13" s="66">
        <v>100.97113375804783</v>
      </c>
      <c r="F13" s="66">
        <v>100.9916513790768</v>
      </c>
      <c r="G13" s="66">
        <v>101.12366412474913</v>
      </c>
      <c r="H13" s="66">
        <v>101.12366412474913</v>
      </c>
      <c r="I13" s="66">
        <v>101.12249841323631</v>
      </c>
      <c r="J13" s="66">
        <v>100.97397295994853</v>
      </c>
      <c r="K13" s="66">
        <v>101.01857869456083</v>
      </c>
      <c r="L13" s="66">
        <v>102.10385408324839</v>
      </c>
      <c r="M13" s="66">
        <v>102.0422591237719</v>
      </c>
      <c r="N13" s="66">
        <f t="shared" si="0"/>
        <v>101.36571391766894</v>
      </c>
      <c r="R13" s="44" t="s">
        <v>9</v>
      </c>
      <c r="S13" s="29"/>
      <c r="T13" s="29"/>
      <c r="U13" s="29"/>
      <c r="V13" s="29"/>
      <c r="W13" s="29"/>
      <c r="X13" s="29"/>
      <c r="Y13" s="29"/>
      <c r="Z13" s="29"/>
    </row>
    <row r="14" spans="1:30" ht="19.5" customHeight="1" x14ac:dyDescent="0.2">
      <c r="A14" s="4" t="s">
        <v>60</v>
      </c>
      <c r="B14" s="66">
        <v>101.1467420477945</v>
      </c>
      <c r="C14" s="66">
        <v>101.88124196203482</v>
      </c>
      <c r="D14" s="66">
        <v>97.10105654399284</v>
      </c>
      <c r="E14" s="66">
        <v>94.056854611200094</v>
      </c>
      <c r="F14" s="66">
        <v>101.13803625499104</v>
      </c>
      <c r="G14" s="66">
        <v>102.6518992166846</v>
      </c>
      <c r="H14" s="66">
        <v>102.56691769062733</v>
      </c>
      <c r="I14" s="66">
        <v>102.23308460785995</v>
      </c>
      <c r="J14" s="66">
        <v>102.72058181311453</v>
      </c>
      <c r="K14" s="66">
        <v>102.18343825728363</v>
      </c>
      <c r="L14" s="66">
        <v>102.34957772203748</v>
      </c>
      <c r="M14" s="66">
        <v>101.8689681590146</v>
      </c>
      <c r="N14" s="66">
        <f t="shared" si="0"/>
        <v>100.99153324055295</v>
      </c>
      <c r="R14" s="44" t="s">
        <v>10</v>
      </c>
      <c r="S14" s="29"/>
      <c r="T14" s="29"/>
      <c r="U14" s="29"/>
      <c r="V14" s="29"/>
      <c r="W14" s="29"/>
      <c r="X14" s="29"/>
      <c r="Y14" s="29"/>
      <c r="Z14" s="29"/>
    </row>
    <row r="15" spans="1:30" ht="19.5" customHeight="1" x14ac:dyDescent="0.2">
      <c r="A15" s="4" t="s">
        <v>61</v>
      </c>
      <c r="B15" s="66">
        <v>99.992150572363414</v>
      </c>
      <c r="C15" s="66">
        <v>99.992150572363414</v>
      </c>
      <c r="D15" s="66">
        <v>99.992150572363414</v>
      </c>
      <c r="E15" s="66">
        <v>99.992150572363414</v>
      </c>
      <c r="F15" s="66">
        <v>99.992150572363414</v>
      </c>
      <c r="G15" s="66">
        <v>99.992150572363414</v>
      </c>
      <c r="H15" s="66">
        <v>99.992150572363414</v>
      </c>
      <c r="I15" s="66">
        <v>99.992150572363414</v>
      </c>
      <c r="J15" s="66">
        <v>99.992150572363414</v>
      </c>
      <c r="K15" s="66">
        <v>99.992150572363414</v>
      </c>
      <c r="L15" s="66">
        <v>99.99216247678946</v>
      </c>
      <c r="M15" s="66">
        <v>99.99216247678946</v>
      </c>
      <c r="N15" s="66">
        <f t="shared" si="0"/>
        <v>99.992152556434419</v>
      </c>
      <c r="R15" s="50" t="s">
        <v>54</v>
      </c>
      <c r="S15" s="29"/>
      <c r="T15" s="29"/>
      <c r="U15" s="29"/>
      <c r="V15" s="29"/>
      <c r="W15" s="29"/>
      <c r="X15" s="29"/>
      <c r="Y15" s="29"/>
      <c r="Z15" s="29"/>
    </row>
    <row r="16" spans="1:30" ht="25.5" x14ac:dyDescent="0.2">
      <c r="A16" s="3" t="s">
        <v>62</v>
      </c>
      <c r="B16" s="66">
        <v>102.43824633283748</v>
      </c>
      <c r="C16" s="66">
        <v>102.15647144142078</v>
      </c>
      <c r="D16" s="66">
        <v>101.85116634429326</v>
      </c>
      <c r="E16" s="66">
        <v>101.39382443155428</v>
      </c>
      <c r="F16" s="66">
        <v>101.43018393242005</v>
      </c>
      <c r="G16" s="66">
        <v>102.75181531332132</v>
      </c>
      <c r="H16" s="66">
        <v>102.96964477881095</v>
      </c>
      <c r="I16" s="66">
        <v>102.97337657739911</v>
      </c>
      <c r="J16" s="66">
        <v>103.07597577366383</v>
      </c>
      <c r="K16" s="66">
        <v>103.21097400619361</v>
      </c>
      <c r="L16" s="66">
        <v>103.32874968734551</v>
      </c>
      <c r="M16" s="66">
        <v>104.28912905358175</v>
      </c>
      <c r="N16" s="66">
        <f>AVERAGE(B16:M16)</f>
        <v>102.65579647273681</v>
      </c>
      <c r="R16" s="44" t="s">
        <v>11</v>
      </c>
      <c r="S16" s="29"/>
      <c r="T16" s="29"/>
      <c r="U16" s="29"/>
      <c r="V16" s="29"/>
      <c r="W16" s="29"/>
      <c r="X16" s="29"/>
      <c r="Y16" s="29"/>
      <c r="Z16" s="29"/>
    </row>
    <row r="17" spans="1:40" ht="19.5" customHeight="1" x14ac:dyDescent="0.2">
      <c r="A17" s="5" t="s">
        <v>12</v>
      </c>
      <c r="B17" s="66">
        <v>106.4172042101863</v>
      </c>
      <c r="C17" s="66">
        <v>106.89787237942072</v>
      </c>
      <c r="D17" s="66">
        <v>106.93170176361657</v>
      </c>
      <c r="E17" s="66">
        <v>107.15523569019462</v>
      </c>
      <c r="F17" s="66">
        <v>107.15523569019462</v>
      </c>
      <c r="G17" s="66">
        <v>107.93224862219273</v>
      </c>
      <c r="H17" s="66">
        <v>108.07165385212181</v>
      </c>
      <c r="I17" s="66">
        <v>108.56357207155422</v>
      </c>
      <c r="J17" s="66">
        <v>109.11793286757899</v>
      </c>
      <c r="K17" s="66">
        <v>109.16840477167567</v>
      </c>
      <c r="L17" s="66">
        <v>109.18184324757634</v>
      </c>
      <c r="M17" s="66">
        <v>109.26793858893173</v>
      </c>
      <c r="N17" s="66">
        <f t="shared" si="0"/>
        <v>107.98840364627034</v>
      </c>
      <c r="R17" s="44" t="s">
        <v>13</v>
      </c>
      <c r="S17" s="29"/>
      <c r="T17" s="29"/>
      <c r="U17" s="29"/>
      <c r="V17" s="29"/>
      <c r="W17" s="29"/>
      <c r="X17" s="29"/>
      <c r="Y17" s="29"/>
      <c r="Z17" s="29"/>
    </row>
    <row r="18" spans="1:40" ht="19.5" customHeight="1" x14ac:dyDescent="0.2">
      <c r="A18" s="5" t="s">
        <v>63</v>
      </c>
      <c r="B18" s="66">
        <v>103.32029625863218</v>
      </c>
      <c r="C18" s="66">
        <v>102.89774705308302</v>
      </c>
      <c r="D18" s="66">
        <v>103.03776107761236</v>
      </c>
      <c r="E18" s="66">
        <v>102.70861555703937</v>
      </c>
      <c r="F18" s="66">
        <v>101.69647511732298</v>
      </c>
      <c r="G18" s="66">
        <v>102.16824620254437</v>
      </c>
      <c r="H18" s="66">
        <v>102.23946935531939</v>
      </c>
      <c r="I18" s="66">
        <v>102.22373689813641</v>
      </c>
      <c r="J18" s="66">
        <v>102.47334061514903</v>
      </c>
      <c r="K18" s="66">
        <v>102.44928515261279</v>
      </c>
      <c r="L18" s="66">
        <v>103.09390294197431</v>
      </c>
      <c r="M18" s="66">
        <v>103.35887246504001</v>
      </c>
      <c r="N18" s="66">
        <f t="shared" si="0"/>
        <v>102.63897905787216</v>
      </c>
      <c r="R18" s="44" t="s">
        <v>14</v>
      </c>
      <c r="S18" s="29"/>
      <c r="T18" s="29"/>
      <c r="U18" s="29"/>
      <c r="V18" s="29"/>
      <c r="W18" s="29"/>
      <c r="X18" s="29"/>
      <c r="Y18" s="29"/>
      <c r="Z18" s="29"/>
    </row>
    <row r="19" spans="1:40" ht="19.5" customHeight="1" x14ac:dyDescent="0.2">
      <c r="A19" s="5" t="s">
        <v>64</v>
      </c>
      <c r="B19" s="66">
        <v>87.4660060105995</v>
      </c>
      <c r="C19" s="66">
        <v>87.690347625934351</v>
      </c>
      <c r="D19" s="66">
        <v>87.582649926756261</v>
      </c>
      <c r="E19" s="66">
        <v>87.043624446482681</v>
      </c>
      <c r="F19" s="66">
        <v>86.905733924230304</v>
      </c>
      <c r="G19" s="66">
        <v>86.710114654117504</v>
      </c>
      <c r="H19" s="66">
        <v>85.984465192144555</v>
      </c>
      <c r="I19" s="66">
        <v>85.176436483008857</v>
      </c>
      <c r="J19" s="66">
        <v>85.024932909755563</v>
      </c>
      <c r="K19" s="66">
        <v>85.677798365288453</v>
      </c>
      <c r="L19" s="66">
        <v>84.767782670742463</v>
      </c>
      <c r="M19" s="66">
        <v>83.733253965137365</v>
      </c>
      <c r="N19" s="66">
        <f>AVERAGE(B19:M19)</f>
        <v>86.146928847849821</v>
      </c>
      <c r="R19" s="44" t="s">
        <v>15</v>
      </c>
      <c r="S19" s="29"/>
      <c r="T19" s="29"/>
      <c r="U19" s="29"/>
      <c r="V19" s="29"/>
      <c r="W19" s="29"/>
      <c r="X19" s="29"/>
      <c r="Y19" s="29"/>
      <c r="Z19" s="29"/>
    </row>
    <row r="20" spans="1:40" ht="19.5" customHeight="1" x14ac:dyDescent="0.2">
      <c r="A20" s="3" t="s">
        <v>65</v>
      </c>
      <c r="B20" s="66">
        <v>101.06787160779871</v>
      </c>
      <c r="C20" s="66">
        <v>101.05172816535885</v>
      </c>
      <c r="D20" s="66">
        <v>101.06256940085939</v>
      </c>
      <c r="E20" s="66">
        <v>101.60299525962678</v>
      </c>
      <c r="F20" s="66">
        <v>101.60299525962678</v>
      </c>
      <c r="G20" s="66">
        <v>101.31314194719273</v>
      </c>
      <c r="H20" s="66">
        <v>101.38459611807892</v>
      </c>
      <c r="I20" s="66">
        <v>101.35274721425324</v>
      </c>
      <c r="J20" s="66">
        <v>101.35274721425324</v>
      </c>
      <c r="K20" s="66">
        <v>100.43958462120561</v>
      </c>
      <c r="L20" s="66">
        <v>101.40237168810275</v>
      </c>
      <c r="M20" s="66">
        <v>101.75179405251727</v>
      </c>
      <c r="N20" s="66">
        <f t="shared" si="0"/>
        <v>101.28209521240619</v>
      </c>
      <c r="R20" s="45" t="s">
        <v>16</v>
      </c>
      <c r="S20" s="29"/>
      <c r="T20" s="29"/>
      <c r="U20" s="29"/>
      <c r="V20" s="29"/>
      <c r="W20" s="29"/>
      <c r="X20" s="29"/>
      <c r="Y20" s="29"/>
      <c r="Z20" s="29"/>
    </row>
    <row r="21" spans="1:40" ht="19.5" customHeight="1" x14ac:dyDescent="0.2">
      <c r="A21" s="4" t="s">
        <v>66</v>
      </c>
      <c r="B21" s="66">
        <v>105.3880891503201</v>
      </c>
      <c r="C21" s="66">
        <v>105.3880891503201</v>
      </c>
      <c r="D21" s="66">
        <v>105.3880891503201</v>
      </c>
      <c r="E21" s="66">
        <v>105.43498434748007</v>
      </c>
      <c r="F21" s="66">
        <v>106.1682049231199</v>
      </c>
      <c r="G21" s="66">
        <v>106.24348651896644</v>
      </c>
      <c r="H21" s="66">
        <v>106.24348651896644</v>
      </c>
      <c r="I21" s="66">
        <v>106.24348651896644</v>
      </c>
      <c r="J21" s="66">
        <v>106.24348651896644</v>
      </c>
      <c r="K21" s="66">
        <v>106.24348651896644</v>
      </c>
      <c r="L21" s="66">
        <v>106.41896885918457</v>
      </c>
      <c r="M21" s="66">
        <v>106.41896885918457</v>
      </c>
      <c r="N21" s="66">
        <f t="shared" si="0"/>
        <v>105.98523558623013</v>
      </c>
      <c r="R21" s="45" t="s">
        <v>17</v>
      </c>
      <c r="S21" s="29"/>
      <c r="T21" s="29"/>
      <c r="U21" s="29"/>
      <c r="V21" s="29"/>
      <c r="W21" s="29"/>
      <c r="X21" s="29"/>
      <c r="Y21" s="29"/>
      <c r="Z21" s="29"/>
    </row>
    <row r="22" spans="1:40" ht="19.5" customHeight="1" x14ac:dyDescent="0.2">
      <c r="A22" s="4" t="s">
        <v>67</v>
      </c>
      <c r="B22" s="66">
        <v>107.09341333821888</v>
      </c>
      <c r="C22" s="66">
        <v>107.09341333821888</v>
      </c>
      <c r="D22" s="66">
        <v>107.09341333821888</v>
      </c>
      <c r="E22" s="66">
        <v>107.12986357128673</v>
      </c>
      <c r="F22" s="66">
        <v>107.12986357128673</v>
      </c>
      <c r="G22" s="66">
        <v>107.25200192254214</v>
      </c>
      <c r="H22" s="66">
        <v>107.25200192254214</v>
      </c>
      <c r="I22" s="66">
        <v>107.25200192254214</v>
      </c>
      <c r="J22" s="66">
        <v>107.25200192254214</v>
      </c>
      <c r="K22" s="66">
        <v>107.25200192254214</v>
      </c>
      <c r="L22" s="66">
        <v>123.5900665025152</v>
      </c>
      <c r="M22" s="66">
        <v>134.58615683726109</v>
      </c>
      <c r="N22" s="66">
        <f t="shared" si="0"/>
        <v>110.83135000914308</v>
      </c>
      <c r="R22" s="45" t="s">
        <v>18</v>
      </c>
      <c r="S22" s="29"/>
      <c r="T22" s="29"/>
      <c r="U22" s="29"/>
      <c r="V22" s="29"/>
      <c r="W22" s="29"/>
      <c r="X22" s="29"/>
      <c r="Y22" s="29"/>
      <c r="Z22" s="29"/>
      <c r="AF22" s="1"/>
      <c r="AG22" s="1"/>
      <c r="AH22" s="1"/>
    </row>
    <row r="23" spans="1:40" ht="19.5" customHeight="1" x14ac:dyDescent="0.2">
      <c r="A23" s="4" t="s">
        <v>68</v>
      </c>
      <c r="B23" s="66">
        <v>108.02079541021179</v>
      </c>
      <c r="C23" s="66">
        <v>108.02079541021179</v>
      </c>
      <c r="D23" s="66">
        <v>108.02079541021179</v>
      </c>
      <c r="E23" s="66">
        <v>107.49172817990667</v>
      </c>
      <c r="F23" s="66">
        <v>107.49172817990667</v>
      </c>
      <c r="G23" s="66">
        <v>107.49172817990667</v>
      </c>
      <c r="H23" s="66">
        <v>107.49172817990667</v>
      </c>
      <c r="I23" s="66">
        <v>107.49172817990667</v>
      </c>
      <c r="J23" s="66">
        <v>107.49172817990667</v>
      </c>
      <c r="K23" s="66">
        <v>107.49172817990667</v>
      </c>
      <c r="L23" s="66">
        <v>108.40085974497387</v>
      </c>
      <c r="M23" s="66">
        <v>108.40085974497387</v>
      </c>
      <c r="N23" s="66">
        <f t="shared" si="0"/>
        <v>107.77551691499413</v>
      </c>
      <c r="R23" s="42" t="s">
        <v>70</v>
      </c>
      <c r="S23" s="29"/>
      <c r="T23" s="29"/>
      <c r="U23" s="29"/>
      <c r="V23" s="29"/>
      <c r="W23" s="29"/>
      <c r="X23" s="29"/>
      <c r="Y23" s="29"/>
      <c r="Z23" s="29"/>
      <c r="AF23" s="1"/>
      <c r="AG23" s="1"/>
      <c r="AH23" s="1"/>
    </row>
    <row r="24" spans="1:40" s="1" customFormat="1" ht="25.5" customHeight="1" x14ac:dyDescent="0.2">
      <c r="A24" s="3" t="s">
        <v>69</v>
      </c>
      <c r="B24" s="66">
        <v>104.84137641460049</v>
      </c>
      <c r="C24" s="66">
        <v>104.76395003946273</v>
      </c>
      <c r="D24" s="66">
        <v>104.86676683353039</v>
      </c>
      <c r="E24" s="66">
        <v>105.13375147837426</v>
      </c>
      <c r="F24" s="66">
        <v>105.20790751515598</v>
      </c>
      <c r="G24" s="66">
        <v>105.60459429695717</v>
      </c>
      <c r="H24" s="66">
        <v>105.60943878927816</v>
      </c>
      <c r="I24" s="66">
        <v>105.85648092539581</v>
      </c>
      <c r="J24" s="66">
        <v>106.19635115614977</v>
      </c>
      <c r="K24" s="66">
        <v>106.39466793056732</v>
      </c>
      <c r="L24" s="66">
        <v>106.13194150079448</v>
      </c>
      <c r="M24" s="66">
        <v>106.5442080194162</v>
      </c>
      <c r="N24" s="66">
        <f t="shared" si="0"/>
        <v>105.5959529083069</v>
      </c>
      <c r="O24" s="9"/>
      <c r="P24" s="9"/>
      <c r="Q24" s="9"/>
      <c r="R24" s="45" t="s">
        <v>19</v>
      </c>
      <c r="S24" s="29"/>
      <c r="T24" s="29"/>
      <c r="U24" s="29"/>
      <c r="V24" s="29"/>
      <c r="W24" s="29"/>
      <c r="X24" s="29"/>
      <c r="Y24" s="29"/>
      <c r="Z24" s="29"/>
      <c r="AB24" s="9"/>
      <c r="AC24" s="9"/>
      <c r="AD24" s="9"/>
      <c r="AE24" s="9"/>
    </row>
    <row r="25" spans="1:40" s="11" customFormat="1" ht="19.5" customHeight="1" x14ac:dyDescent="0.2">
      <c r="A25" s="6" t="s">
        <v>20</v>
      </c>
      <c r="B25" s="68">
        <v>102.34816720591982</v>
      </c>
      <c r="C25" s="68">
        <v>102.81353852036146</v>
      </c>
      <c r="D25" s="68">
        <v>101.90277696505173</v>
      </c>
      <c r="E25" s="68">
        <v>101.13232232696224</v>
      </c>
      <c r="F25" s="68">
        <v>102.65759794699783</v>
      </c>
      <c r="G25" s="68">
        <v>103.40588171202255</v>
      </c>
      <c r="H25" s="68">
        <v>103.50621011257574</v>
      </c>
      <c r="I25" s="68">
        <v>103.70400896495029</v>
      </c>
      <c r="J25" s="68">
        <v>103.87055603949287</v>
      </c>
      <c r="K25" s="68">
        <v>103.70892471551728</v>
      </c>
      <c r="L25" s="68">
        <v>106.26553590803022</v>
      </c>
      <c r="M25" s="68">
        <v>107.44602190079328</v>
      </c>
      <c r="N25" s="68">
        <f t="shared" si="0"/>
        <v>103.56346185988961</v>
      </c>
      <c r="R25" s="46" t="s">
        <v>21</v>
      </c>
      <c r="S25" s="29"/>
      <c r="T25" s="33"/>
      <c r="U25" s="33"/>
      <c r="V25" s="33"/>
      <c r="W25" s="33"/>
      <c r="X25" s="33"/>
      <c r="Y25" s="33"/>
      <c r="Z25" s="33"/>
      <c r="AA25" s="67"/>
      <c r="AB25" s="54"/>
      <c r="AC25" s="54"/>
      <c r="AD25" s="54"/>
      <c r="AE25" s="54"/>
    </row>
    <row r="26" spans="1:40" s="11" customFormat="1" ht="19.5" customHeight="1" x14ac:dyDescent="0.2">
      <c r="A26" s="7" t="s">
        <v>22</v>
      </c>
      <c r="B26" s="69">
        <v>102.03992659053043</v>
      </c>
      <c r="C26" s="69">
        <v>102.40954808084348</v>
      </c>
      <c r="D26" s="69">
        <v>101.29121287128724</v>
      </c>
      <c r="E26" s="69">
        <v>100.41443471488742</v>
      </c>
      <c r="F26" s="69">
        <v>102.11603991251772</v>
      </c>
      <c r="G26" s="69">
        <v>102.86705489996055</v>
      </c>
      <c r="H26" s="69">
        <v>102.8606058304789</v>
      </c>
      <c r="I26" s="69">
        <v>103.00564494466907</v>
      </c>
      <c r="J26" s="69">
        <v>103.32985313944035</v>
      </c>
      <c r="K26" s="69">
        <v>103.08642660257847</v>
      </c>
      <c r="L26" s="69">
        <v>105.78308317636819</v>
      </c>
      <c r="M26" s="69">
        <v>106.98355754406805</v>
      </c>
      <c r="N26" s="69">
        <f t="shared" si="0"/>
        <v>103.0156156923025</v>
      </c>
      <c r="O26" s="30"/>
      <c r="P26" s="30"/>
      <c r="Q26" s="30"/>
      <c r="R26" s="47" t="s">
        <v>23</v>
      </c>
      <c r="S26" s="29"/>
      <c r="T26" s="33"/>
      <c r="U26" s="33"/>
      <c r="V26" s="33"/>
      <c r="W26" s="33"/>
      <c r="X26" s="33"/>
      <c r="Y26" s="33"/>
      <c r="Z26" s="33"/>
      <c r="AA26" s="67"/>
      <c r="AB26" s="54"/>
      <c r="AC26" s="54"/>
      <c r="AD26" s="54"/>
      <c r="AE26" s="54"/>
    </row>
    <row r="27" spans="1:40" x14ac:dyDescent="0.3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</row>
    <row r="28" spans="1:40" ht="15" x14ac:dyDescent="0.35">
      <c r="A28" s="31"/>
      <c r="B28" s="63"/>
      <c r="C28" s="63"/>
      <c r="D28" s="63"/>
      <c r="E28" s="63"/>
      <c r="F28" s="64"/>
      <c r="G28" s="63"/>
      <c r="H28" s="63"/>
      <c r="I28" s="39"/>
      <c r="J28" s="39"/>
      <c r="K28" s="39"/>
      <c r="L28" s="39"/>
      <c r="M28" s="32"/>
      <c r="N28" s="39"/>
    </row>
    <row r="29" spans="1:40" ht="15" x14ac:dyDescent="0.2">
      <c r="A29" s="22"/>
      <c r="B29" s="23" t="s">
        <v>76</v>
      </c>
      <c r="C29" s="24"/>
      <c r="D29" s="24"/>
      <c r="E29" s="23"/>
      <c r="F29" s="11"/>
      <c r="G29" s="25"/>
      <c r="H29" s="26"/>
      <c r="I29" s="26"/>
      <c r="J29" s="26"/>
      <c r="K29" s="26"/>
      <c r="L29" s="26"/>
      <c r="M29" s="25"/>
      <c r="N29" s="48" t="s">
        <v>75</v>
      </c>
      <c r="O29" s="10"/>
      <c r="P29" s="10"/>
      <c r="Q29" s="10"/>
      <c r="R29" s="51" t="s">
        <v>50</v>
      </c>
    </row>
    <row r="30" spans="1:40" x14ac:dyDescent="0.35">
      <c r="A30" s="27" t="s">
        <v>51</v>
      </c>
      <c r="B30" s="52" t="s">
        <v>25</v>
      </c>
      <c r="C30" s="52" t="s">
        <v>26</v>
      </c>
      <c r="D30" s="52" t="s">
        <v>27</v>
      </c>
      <c r="E30" s="52" t="s">
        <v>28</v>
      </c>
      <c r="F30" s="52" t="s">
        <v>29</v>
      </c>
      <c r="G30" s="53" t="s">
        <v>30</v>
      </c>
      <c r="H30" s="53" t="s">
        <v>31</v>
      </c>
      <c r="I30" s="53" t="s">
        <v>32</v>
      </c>
      <c r="J30" s="53" t="s">
        <v>33</v>
      </c>
      <c r="K30" s="53" t="s">
        <v>34</v>
      </c>
      <c r="L30" s="53" t="s">
        <v>35</v>
      </c>
      <c r="M30" s="53" t="s">
        <v>36</v>
      </c>
      <c r="N30" s="65" t="s">
        <v>37</v>
      </c>
      <c r="R30" s="60" t="s">
        <v>55</v>
      </c>
    </row>
    <row r="31" spans="1:40" ht="18" customHeight="1" x14ac:dyDescent="0.35">
      <c r="A31" s="28" t="s">
        <v>1</v>
      </c>
      <c r="B31" s="56" t="s">
        <v>38</v>
      </c>
      <c r="C31" s="57" t="s">
        <v>39</v>
      </c>
      <c r="D31" s="57" t="s">
        <v>40</v>
      </c>
      <c r="E31" s="57" t="s">
        <v>41</v>
      </c>
      <c r="F31" s="57" t="s">
        <v>42</v>
      </c>
      <c r="G31" s="57" t="s">
        <v>43</v>
      </c>
      <c r="H31" s="57" t="s">
        <v>44</v>
      </c>
      <c r="I31" s="57" t="s">
        <v>45</v>
      </c>
      <c r="J31" s="57" t="s">
        <v>46</v>
      </c>
      <c r="K31" s="57" t="s">
        <v>47</v>
      </c>
      <c r="L31" s="57" t="s">
        <v>48</v>
      </c>
      <c r="M31" s="57" t="s">
        <v>49</v>
      </c>
      <c r="N31" s="58" t="s">
        <v>53</v>
      </c>
      <c r="O31" s="21"/>
      <c r="P31" s="21"/>
      <c r="Q31" s="21"/>
      <c r="R31" s="62"/>
    </row>
    <row r="32" spans="1:40" ht="19.5" customHeight="1" x14ac:dyDescent="0.2">
      <c r="A32" s="3" t="s">
        <v>2</v>
      </c>
      <c r="B32" s="33">
        <v>107.19243770556068</v>
      </c>
      <c r="C32" s="70">
        <v>109.5713980111385</v>
      </c>
      <c r="D32" s="70">
        <v>110.36315979235694</v>
      </c>
      <c r="E32" s="33">
        <v>111.78759672543571</v>
      </c>
      <c r="F32" s="33">
        <v>110.83857016129983</v>
      </c>
      <c r="G32" s="33">
        <v>111.04274594932097</v>
      </c>
      <c r="H32" s="33">
        <v>111.44160007885486</v>
      </c>
      <c r="I32" s="33">
        <v>113.60524474980417</v>
      </c>
      <c r="J32" s="33">
        <v>113.98675637103607</v>
      </c>
      <c r="K32" s="33">
        <v>112.78719054271254</v>
      </c>
      <c r="L32" s="33">
        <v>113.30356173757171</v>
      </c>
      <c r="M32" s="33">
        <v>113.67998509608697</v>
      </c>
      <c r="N32" s="66">
        <f>AVERAGE(B32:M32)</f>
        <v>111.63335391009826</v>
      </c>
      <c r="R32" s="44" t="s">
        <v>3</v>
      </c>
      <c r="S32" s="29"/>
      <c r="T32" s="29"/>
      <c r="U32" s="33"/>
      <c r="V32" s="29"/>
      <c r="W32" s="29"/>
      <c r="X32" s="29"/>
      <c r="Y32" s="29"/>
      <c r="Z32" s="29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9.5" customHeight="1" x14ac:dyDescent="0.2">
      <c r="A33" s="3" t="s">
        <v>4</v>
      </c>
      <c r="B33" s="66">
        <v>106.32546191804735</v>
      </c>
      <c r="C33" s="66">
        <v>108.01212609880497</v>
      </c>
      <c r="D33" s="66">
        <v>108.19906288329547</v>
      </c>
      <c r="E33" s="66">
        <v>108.9043097298691</v>
      </c>
      <c r="F33" s="66">
        <v>108.10208243814724</v>
      </c>
      <c r="G33" s="66">
        <v>108.42670639743906</v>
      </c>
      <c r="H33" s="66">
        <v>109.15833687493097</v>
      </c>
      <c r="I33" s="66">
        <v>111.04873077118461</v>
      </c>
      <c r="J33" s="66">
        <v>112.11269156289795</v>
      </c>
      <c r="K33" s="66">
        <v>110.76263680995432</v>
      </c>
      <c r="L33" s="66">
        <v>110.80494775690752</v>
      </c>
      <c r="M33" s="66">
        <v>112.0883914729946</v>
      </c>
      <c r="N33" s="66">
        <f t="shared" ref="N33:N49" si="1">AVERAGE(B33:M33)</f>
        <v>109.49545705953942</v>
      </c>
      <c r="R33" s="44" t="s">
        <v>5</v>
      </c>
      <c r="S33" s="29"/>
      <c r="T33" s="29"/>
      <c r="U33" s="33"/>
      <c r="V33" s="29"/>
      <c r="W33" s="29"/>
      <c r="X33" s="29"/>
      <c r="Y33" s="29"/>
      <c r="Z33" s="29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1:40" ht="19.5" customHeight="1" x14ac:dyDescent="0.2">
      <c r="A34" s="4" t="s">
        <v>6</v>
      </c>
      <c r="B34" s="66">
        <v>111.4210772554533</v>
      </c>
      <c r="C34" s="66">
        <v>117.17668407851771</v>
      </c>
      <c r="D34" s="66">
        <v>120.91845546642094</v>
      </c>
      <c r="E34" s="66">
        <v>125.85071313392785</v>
      </c>
      <c r="F34" s="66">
        <v>124.1856790201396</v>
      </c>
      <c r="G34" s="66">
        <v>123.80237369498181</v>
      </c>
      <c r="H34" s="66">
        <v>122.5781245654499</v>
      </c>
      <c r="I34" s="66">
        <v>126.07453890489386</v>
      </c>
      <c r="J34" s="66">
        <v>123.12743213256432</v>
      </c>
      <c r="K34" s="66">
        <v>122.66186998419889</v>
      </c>
      <c r="L34" s="66">
        <v>125.49045098029914</v>
      </c>
      <c r="M34" s="66">
        <v>121.44291900831223</v>
      </c>
      <c r="N34" s="66">
        <f t="shared" si="1"/>
        <v>122.06085985209661</v>
      </c>
      <c r="R34" s="44" t="s">
        <v>7</v>
      </c>
      <c r="S34" s="29"/>
      <c r="T34" s="29"/>
      <c r="U34" s="33"/>
      <c r="V34" s="29"/>
      <c r="W34" s="29"/>
      <c r="X34" s="29"/>
      <c r="Y34" s="29"/>
      <c r="Z34" s="29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40" ht="19.5" customHeight="1" x14ac:dyDescent="0.2">
      <c r="A35" s="4" t="s">
        <v>8</v>
      </c>
      <c r="B35" s="66">
        <v>103.36139280043967</v>
      </c>
      <c r="C35" s="66">
        <v>103.9045538774083</v>
      </c>
      <c r="D35" s="66">
        <v>104.36201881717206</v>
      </c>
      <c r="E35" s="66">
        <v>105.04776211190566</v>
      </c>
      <c r="F35" s="66">
        <v>104.48134532313925</v>
      </c>
      <c r="G35" s="66">
        <v>105.23912402851769</v>
      </c>
      <c r="H35" s="66">
        <v>105.2341900405691</v>
      </c>
      <c r="I35" s="66">
        <v>105.58339182883128</v>
      </c>
      <c r="J35" s="66">
        <v>105.26657152700584</v>
      </c>
      <c r="K35" s="66">
        <v>105.1215240443989</v>
      </c>
      <c r="L35" s="66">
        <v>194.63751793989971</v>
      </c>
      <c r="M35" s="66">
        <v>200.39325505946692</v>
      </c>
      <c r="N35" s="66">
        <f t="shared" si="1"/>
        <v>120.21938728322952</v>
      </c>
      <c r="R35" s="44" t="s">
        <v>24</v>
      </c>
      <c r="S35" s="29"/>
      <c r="T35" s="29"/>
      <c r="U35" s="33"/>
      <c r="V35" s="29"/>
      <c r="W35" s="29"/>
      <c r="X35" s="29"/>
      <c r="Y35" s="29"/>
      <c r="Z35" s="2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 ht="19.5" customHeight="1" x14ac:dyDescent="0.2">
      <c r="A36" s="4" t="s">
        <v>59</v>
      </c>
      <c r="B36" s="66">
        <v>101.12028733276296</v>
      </c>
      <c r="C36" s="66">
        <v>101.12028733276296</v>
      </c>
      <c r="D36" s="66">
        <v>101.12028733276296</v>
      </c>
      <c r="E36" s="66">
        <v>100.83147979234568</v>
      </c>
      <c r="F36" s="66">
        <v>100.96736223282451</v>
      </c>
      <c r="G36" s="66">
        <v>100.96736223282451</v>
      </c>
      <c r="H36" s="66">
        <v>100.96736223282451</v>
      </c>
      <c r="I36" s="66">
        <v>100.96511403808047</v>
      </c>
      <c r="J36" s="66">
        <v>100.65731117331526</v>
      </c>
      <c r="K36" s="66">
        <v>100.77887461207663</v>
      </c>
      <c r="L36" s="66">
        <v>102.7441712237359</v>
      </c>
      <c r="M36" s="66">
        <v>102.72673682285611</v>
      </c>
      <c r="N36" s="66">
        <f t="shared" si="1"/>
        <v>101.24721969659771</v>
      </c>
      <c r="R36" s="44" t="s">
        <v>9</v>
      </c>
      <c r="S36" s="29"/>
      <c r="T36" s="29"/>
      <c r="U36" s="33"/>
      <c r="V36" s="29"/>
      <c r="W36" s="29"/>
      <c r="X36" s="29"/>
      <c r="Y36" s="29"/>
      <c r="Z36" s="29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 ht="19.5" customHeight="1" x14ac:dyDescent="0.2">
      <c r="A37" s="4" t="s">
        <v>60</v>
      </c>
      <c r="B37" s="66">
        <v>100.61430119482171</v>
      </c>
      <c r="C37" s="66">
        <v>101.08682447344968</v>
      </c>
      <c r="D37" s="66">
        <v>98.385669147322773</v>
      </c>
      <c r="E37" s="66">
        <v>95.587950182714295</v>
      </c>
      <c r="F37" s="66">
        <v>101.69784027116143</v>
      </c>
      <c r="G37" s="66">
        <v>101.66360200537703</v>
      </c>
      <c r="H37" s="66">
        <v>101.59584319685473</v>
      </c>
      <c r="I37" s="66">
        <v>101.73890236150497</v>
      </c>
      <c r="J37" s="66">
        <v>101.88035177300132</v>
      </c>
      <c r="K37" s="66">
        <v>101.50475498157978</v>
      </c>
      <c r="L37" s="66">
        <v>101.6025228013974</v>
      </c>
      <c r="M37" s="66">
        <v>101.32037784002331</v>
      </c>
      <c r="N37" s="66">
        <f t="shared" si="1"/>
        <v>100.72324501910072</v>
      </c>
      <c r="R37" s="44" t="s">
        <v>10</v>
      </c>
      <c r="S37" s="29"/>
      <c r="T37" s="29"/>
      <c r="U37" s="33"/>
      <c r="V37" s="29"/>
      <c r="W37" s="29"/>
      <c r="X37" s="29"/>
      <c r="Y37" s="29"/>
      <c r="Z37" s="29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 ht="19.5" customHeight="1" x14ac:dyDescent="0.2">
      <c r="A38" s="4" t="s">
        <v>61</v>
      </c>
      <c r="B38" s="66">
        <v>99.992150572363443</v>
      </c>
      <c r="C38" s="66">
        <v>99.992150572363443</v>
      </c>
      <c r="D38" s="66">
        <v>99.992150572363443</v>
      </c>
      <c r="E38" s="66">
        <v>99.992150572363443</v>
      </c>
      <c r="F38" s="66">
        <v>99.992150572363443</v>
      </c>
      <c r="G38" s="66">
        <v>99.992150572363443</v>
      </c>
      <c r="H38" s="66">
        <v>99.992150572363443</v>
      </c>
      <c r="I38" s="66">
        <v>99.992150572363443</v>
      </c>
      <c r="J38" s="66">
        <v>99.992150572363443</v>
      </c>
      <c r="K38" s="66">
        <v>99.992150572363443</v>
      </c>
      <c r="L38" s="66">
        <v>99.992162476789488</v>
      </c>
      <c r="M38" s="66">
        <v>99.992162476789488</v>
      </c>
      <c r="N38" s="66">
        <f t="shared" si="1"/>
        <v>99.992152556434462</v>
      </c>
      <c r="R38" s="50" t="s">
        <v>54</v>
      </c>
      <c r="S38" s="29"/>
      <c r="T38" s="29"/>
      <c r="U38" s="33"/>
      <c r="V38" s="29"/>
      <c r="W38" s="29"/>
      <c r="X38" s="29"/>
      <c r="Y38" s="29"/>
      <c r="Z38" s="29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 ht="25.5" x14ac:dyDescent="0.2">
      <c r="A39" s="3" t="s">
        <v>62</v>
      </c>
      <c r="B39" s="66">
        <v>99.14596904868057</v>
      </c>
      <c r="C39" s="66">
        <v>98.682093793224809</v>
      </c>
      <c r="D39" s="66">
        <v>97.954195895603803</v>
      </c>
      <c r="E39" s="66">
        <v>98.036545174762466</v>
      </c>
      <c r="F39" s="66">
        <v>98.080371403586895</v>
      </c>
      <c r="G39" s="66">
        <v>100.83253609284809</v>
      </c>
      <c r="H39" s="66">
        <v>101.29523532126314</v>
      </c>
      <c r="I39" s="66">
        <v>101.26858916397565</v>
      </c>
      <c r="J39" s="66">
        <v>101.36042490979912</v>
      </c>
      <c r="K39" s="66">
        <v>101.6621201746137</v>
      </c>
      <c r="L39" s="66">
        <v>101.72506385308817</v>
      </c>
      <c r="M39" s="66">
        <v>104.15108873775706</v>
      </c>
      <c r="N39" s="66">
        <f t="shared" si="1"/>
        <v>100.3495194641003</v>
      </c>
      <c r="R39" s="44" t="s">
        <v>11</v>
      </c>
      <c r="S39" s="29"/>
      <c r="T39" s="29"/>
      <c r="U39" s="33"/>
      <c r="V39" s="29"/>
      <c r="W39" s="29"/>
      <c r="X39" s="29"/>
      <c r="Y39" s="29"/>
      <c r="Z39" s="29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 ht="19.5" customHeight="1" x14ac:dyDescent="0.2">
      <c r="A40" s="5" t="s">
        <v>12</v>
      </c>
      <c r="B40" s="66">
        <v>109.00372807708501</v>
      </c>
      <c r="C40" s="66">
        <v>109.87844566690454</v>
      </c>
      <c r="D40" s="66">
        <v>109.94000821525468</v>
      </c>
      <c r="E40" s="66">
        <v>109.94000821525468</v>
      </c>
      <c r="F40" s="66">
        <v>109.94000821525468</v>
      </c>
      <c r="G40" s="66">
        <v>110.92644941626216</v>
      </c>
      <c r="H40" s="66">
        <v>111.33554721597977</v>
      </c>
      <c r="I40" s="66">
        <v>112.2307375922753</v>
      </c>
      <c r="J40" s="66">
        <v>112.2445390985086</v>
      </c>
      <c r="K40" s="66">
        <v>112.33638762339713</v>
      </c>
      <c r="L40" s="66">
        <v>112.33638762339713</v>
      </c>
      <c r="M40" s="66">
        <v>112.33638762339713</v>
      </c>
      <c r="N40" s="66">
        <f>AVERAGE(B40:M40)</f>
        <v>111.03738621524754</v>
      </c>
      <c r="R40" s="44" t="s">
        <v>13</v>
      </c>
      <c r="S40" s="29"/>
      <c r="T40" s="29"/>
      <c r="U40" s="33"/>
      <c r="V40" s="29"/>
      <c r="W40" s="29"/>
      <c r="X40" s="29"/>
      <c r="Y40" s="29"/>
      <c r="Z40" s="29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 ht="19.5" customHeight="1" x14ac:dyDescent="0.2">
      <c r="A41" s="5" t="s">
        <v>63</v>
      </c>
      <c r="B41" s="66">
        <v>101.49640687556042</v>
      </c>
      <c r="C41" s="66">
        <v>100.54742077829157</v>
      </c>
      <c r="D41" s="66">
        <v>100.85808390499982</v>
      </c>
      <c r="E41" s="66">
        <v>100.85808390499982</v>
      </c>
      <c r="F41" s="66">
        <v>98.767951418003278</v>
      </c>
      <c r="G41" s="66">
        <v>99.752090836535004</v>
      </c>
      <c r="H41" s="66">
        <v>99.914139650869799</v>
      </c>
      <c r="I41" s="66">
        <v>100.32897541651271</v>
      </c>
      <c r="J41" s="66">
        <v>100.89688044204854</v>
      </c>
      <c r="K41" s="66">
        <v>100.84214881293089</v>
      </c>
      <c r="L41" s="66">
        <v>99.601038299220875</v>
      </c>
      <c r="M41" s="66">
        <v>100.19759831214198</v>
      </c>
      <c r="N41" s="66">
        <f t="shared" si="1"/>
        <v>100.33840155434289</v>
      </c>
      <c r="R41" s="44" t="s">
        <v>14</v>
      </c>
      <c r="S41" s="29"/>
      <c r="T41" s="29"/>
      <c r="U41" s="33"/>
      <c r="V41" s="29"/>
      <c r="W41" s="29"/>
      <c r="X41" s="29"/>
      <c r="Y41" s="29"/>
      <c r="Z41" s="29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1:40" ht="19.5" customHeight="1" x14ac:dyDescent="0.2">
      <c r="A42" s="5" t="s">
        <v>64</v>
      </c>
      <c r="B42" s="66">
        <v>86.579664932998242</v>
      </c>
      <c r="C42" s="66">
        <v>86.823709155429796</v>
      </c>
      <c r="D42" s="66">
        <v>86.721545270270141</v>
      </c>
      <c r="E42" s="66">
        <v>86.184228090385716</v>
      </c>
      <c r="F42" s="66">
        <v>86.047163393409747</v>
      </c>
      <c r="G42" s="66">
        <v>85.638647303196962</v>
      </c>
      <c r="H42" s="66">
        <v>84.92600103490858</v>
      </c>
      <c r="I42" s="66">
        <v>84.124340409821542</v>
      </c>
      <c r="J42" s="66">
        <v>83.946862464375215</v>
      </c>
      <c r="K42" s="66">
        <v>84.428915987742855</v>
      </c>
      <c r="L42" s="66">
        <v>83.562071378086088</v>
      </c>
      <c r="M42" s="66">
        <v>82.48927660413635</v>
      </c>
      <c r="N42" s="66">
        <f t="shared" si="1"/>
        <v>85.1227021687301</v>
      </c>
      <c r="R42" s="44" t="s">
        <v>15</v>
      </c>
      <c r="S42" s="29"/>
      <c r="T42" s="29"/>
      <c r="U42" s="33"/>
      <c r="V42" s="29"/>
      <c r="W42" s="29"/>
      <c r="X42" s="29"/>
      <c r="Y42" s="29"/>
      <c r="Z42" s="29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9.5" customHeight="1" x14ac:dyDescent="0.2">
      <c r="A43" s="3" t="s">
        <v>65</v>
      </c>
      <c r="B43" s="66">
        <v>103.76704007564614</v>
      </c>
      <c r="C43" s="66">
        <v>103.73434303369422</v>
      </c>
      <c r="D43" s="66">
        <v>103.73434303369422</v>
      </c>
      <c r="E43" s="66">
        <v>104.24194313307679</v>
      </c>
      <c r="F43" s="66">
        <v>104.24194313307679</v>
      </c>
      <c r="G43" s="66">
        <v>103.77159984167405</v>
      </c>
      <c r="H43" s="66">
        <v>103.91632362235516</v>
      </c>
      <c r="I43" s="66">
        <v>103.85181662836115</v>
      </c>
      <c r="J43" s="66">
        <v>103.85181662836115</v>
      </c>
      <c r="K43" s="66">
        <v>102.31068054077876</v>
      </c>
      <c r="L43" s="66">
        <v>104.22284926256508</v>
      </c>
      <c r="M43" s="66">
        <v>104.43237169075354</v>
      </c>
      <c r="N43" s="66">
        <f t="shared" si="1"/>
        <v>103.8397558853364</v>
      </c>
      <c r="R43" s="45" t="s">
        <v>16</v>
      </c>
      <c r="S43" s="29"/>
      <c r="T43" s="29"/>
      <c r="U43" s="33"/>
      <c r="V43" s="29"/>
      <c r="W43" s="29"/>
      <c r="X43" s="29"/>
      <c r="Y43" s="29"/>
      <c r="Z43" s="29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40" ht="19.5" customHeight="1" x14ac:dyDescent="0.2">
      <c r="A44" s="4" t="s">
        <v>66</v>
      </c>
      <c r="B44" s="66">
        <v>107.41077935345608</v>
      </c>
      <c r="C44" s="66">
        <v>107.41077935345608</v>
      </c>
      <c r="D44" s="66">
        <v>107.41077935345608</v>
      </c>
      <c r="E44" s="66">
        <v>107.41077935345608</v>
      </c>
      <c r="F44" s="66">
        <v>108.46776052343448</v>
      </c>
      <c r="G44" s="66">
        <v>108.56742508285889</v>
      </c>
      <c r="H44" s="66">
        <v>108.56742508285889</v>
      </c>
      <c r="I44" s="66">
        <v>108.56742508285889</v>
      </c>
      <c r="J44" s="66">
        <v>108.56742508285889</v>
      </c>
      <c r="K44" s="66">
        <v>108.56742508285889</v>
      </c>
      <c r="L44" s="66">
        <v>108.56742508285889</v>
      </c>
      <c r="M44" s="66">
        <v>108.56742508285889</v>
      </c>
      <c r="N44" s="66">
        <f t="shared" si="1"/>
        <v>108.17357112643924</v>
      </c>
      <c r="R44" s="45" t="s">
        <v>17</v>
      </c>
      <c r="S44" s="29"/>
      <c r="T44" s="29"/>
      <c r="U44" s="33"/>
      <c r="V44" s="29"/>
      <c r="W44" s="29"/>
      <c r="X44" s="29"/>
      <c r="Y44" s="29"/>
      <c r="Z44" s="29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1:40" ht="19.5" customHeight="1" x14ac:dyDescent="0.2">
      <c r="A45" s="4" t="s">
        <v>67</v>
      </c>
      <c r="B45" s="66">
        <v>108.87295003564154</v>
      </c>
      <c r="C45" s="66">
        <v>108.87295003564154</v>
      </c>
      <c r="D45" s="66">
        <v>108.87295003564154</v>
      </c>
      <c r="E45" s="66">
        <v>108.87295003564154</v>
      </c>
      <c r="F45" s="66">
        <v>108.87295003564154</v>
      </c>
      <c r="G45" s="66">
        <v>109.06122379544497</v>
      </c>
      <c r="H45" s="66">
        <v>109.06122379544497</v>
      </c>
      <c r="I45" s="66">
        <v>109.06122379544497</v>
      </c>
      <c r="J45" s="66">
        <v>109.06122379544497</v>
      </c>
      <c r="K45" s="66">
        <v>109.06122379544497</v>
      </c>
      <c r="L45" s="66">
        <v>118.86194338830069</v>
      </c>
      <c r="M45" s="66">
        <v>132.78635013551283</v>
      </c>
      <c r="N45" s="66">
        <f t="shared" si="1"/>
        <v>111.77659688993718</v>
      </c>
      <c r="R45" s="45" t="s">
        <v>18</v>
      </c>
      <c r="S45" s="29"/>
      <c r="T45" s="29"/>
      <c r="U45" s="33"/>
      <c r="V45" s="29"/>
      <c r="W45" s="29"/>
      <c r="X45" s="29"/>
      <c r="Y45" s="29"/>
      <c r="Z45" s="29"/>
      <c r="AB45" s="33"/>
      <c r="AC45" s="33"/>
      <c r="AD45" s="33"/>
      <c r="AE45" s="33"/>
      <c r="AF45" s="12"/>
      <c r="AG45" s="12"/>
      <c r="AH45" s="12"/>
      <c r="AI45" s="33"/>
      <c r="AJ45" s="33"/>
      <c r="AK45" s="33"/>
      <c r="AL45" s="33"/>
      <c r="AM45" s="33"/>
      <c r="AN45" s="33"/>
    </row>
    <row r="46" spans="1:40" ht="19.5" customHeight="1" x14ac:dyDescent="0.2">
      <c r="A46" s="4" t="s">
        <v>68</v>
      </c>
      <c r="B46" s="66">
        <v>108.41870732669004</v>
      </c>
      <c r="C46" s="66">
        <v>108.41870732669004</v>
      </c>
      <c r="D46" s="66">
        <v>108.41870732669004</v>
      </c>
      <c r="E46" s="66">
        <v>107.86339305419153</v>
      </c>
      <c r="F46" s="66">
        <v>107.86339305419153</v>
      </c>
      <c r="G46" s="66">
        <v>107.86339305419153</v>
      </c>
      <c r="H46" s="66">
        <v>107.86339305419153</v>
      </c>
      <c r="I46" s="66">
        <v>107.86339305419153</v>
      </c>
      <c r="J46" s="66">
        <v>107.86339305419153</v>
      </c>
      <c r="K46" s="66">
        <v>107.86339305419153</v>
      </c>
      <c r="L46" s="66">
        <v>108.81762666523862</v>
      </c>
      <c r="M46" s="66">
        <v>108.81762666523862</v>
      </c>
      <c r="N46" s="66">
        <f t="shared" si="1"/>
        <v>108.16126055749066</v>
      </c>
      <c r="R46" s="42" t="s">
        <v>70</v>
      </c>
      <c r="S46" s="29"/>
      <c r="T46" s="29"/>
      <c r="U46" s="33"/>
      <c r="V46" s="29"/>
      <c r="W46" s="29"/>
      <c r="X46" s="29"/>
      <c r="Y46" s="29"/>
      <c r="Z46" s="29"/>
      <c r="AB46" s="33"/>
      <c r="AC46" s="33"/>
      <c r="AD46" s="33"/>
      <c r="AE46" s="33"/>
      <c r="AF46" s="12"/>
      <c r="AG46" s="12"/>
      <c r="AH46" s="12"/>
      <c r="AI46" s="33"/>
      <c r="AJ46" s="33"/>
      <c r="AK46" s="33"/>
      <c r="AL46" s="33"/>
      <c r="AM46" s="33"/>
      <c r="AN46" s="33"/>
    </row>
    <row r="47" spans="1:40" s="1" customFormat="1" ht="25.5" customHeight="1" x14ac:dyDescent="0.2">
      <c r="A47" s="3" t="s">
        <v>69</v>
      </c>
      <c r="B47" s="66">
        <v>106.54460766819732</v>
      </c>
      <c r="C47" s="66">
        <v>106.37704370761902</v>
      </c>
      <c r="D47" s="66">
        <v>106.42445164420489</v>
      </c>
      <c r="E47" s="66">
        <v>106.84908057562117</v>
      </c>
      <c r="F47" s="66">
        <v>107.01097308670961</v>
      </c>
      <c r="G47" s="66">
        <v>107.71876422815468</v>
      </c>
      <c r="H47" s="66">
        <v>107.79012212894489</v>
      </c>
      <c r="I47" s="66">
        <v>108.22586996789731</v>
      </c>
      <c r="J47" s="66">
        <v>108.71061461169819</v>
      </c>
      <c r="K47" s="66">
        <v>109.06948874703315</v>
      </c>
      <c r="L47" s="66">
        <v>109.12729551717779</v>
      </c>
      <c r="M47" s="66">
        <v>109.32012649088442</v>
      </c>
      <c r="N47" s="66">
        <f t="shared" si="1"/>
        <v>107.76403653117853</v>
      </c>
      <c r="O47" s="9"/>
      <c r="P47" s="9"/>
      <c r="Q47" s="9"/>
      <c r="R47" s="45" t="s">
        <v>19</v>
      </c>
      <c r="S47" s="29"/>
      <c r="T47" s="29"/>
      <c r="U47" s="33"/>
      <c r="V47" s="29"/>
      <c r="W47" s="29"/>
      <c r="X47" s="29"/>
      <c r="Y47" s="29"/>
      <c r="Z47" s="29"/>
      <c r="AB47" s="33"/>
      <c r="AC47" s="33"/>
      <c r="AD47" s="33"/>
      <c r="AE47" s="33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9.5" customHeight="1" x14ac:dyDescent="0.2">
      <c r="A48" s="6" t="s">
        <v>20</v>
      </c>
      <c r="B48" s="68">
        <v>102.08748018510175</v>
      </c>
      <c r="C48" s="68">
        <v>102.69240268285709</v>
      </c>
      <c r="D48" s="68">
        <v>101.86200634821328</v>
      </c>
      <c r="E48" s="68">
        <v>101.1046515161258</v>
      </c>
      <c r="F48" s="68">
        <v>103.03820742775216</v>
      </c>
      <c r="G48" s="68">
        <v>103.30063707683071</v>
      </c>
      <c r="H48" s="68">
        <v>103.33645160793183</v>
      </c>
      <c r="I48" s="68">
        <v>103.79717137777703</v>
      </c>
      <c r="J48" s="68">
        <v>103.94015439015095</v>
      </c>
      <c r="K48" s="68">
        <v>103.64394157981461</v>
      </c>
      <c r="L48" s="68">
        <v>105.71935188967406</v>
      </c>
      <c r="M48" s="68">
        <v>106.69372599913423</v>
      </c>
      <c r="N48" s="68">
        <f>AVERAGE(B48:M48)</f>
        <v>103.43468184011363</v>
      </c>
      <c r="R48" s="46" t="s">
        <v>21</v>
      </c>
      <c r="S48" s="29"/>
      <c r="T48" s="29"/>
      <c r="U48" s="33"/>
      <c r="V48" s="33"/>
      <c r="W48" s="33"/>
      <c r="X48" s="33"/>
      <c r="Y48" s="33"/>
      <c r="Z48" s="33"/>
      <c r="AA48" s="33"/>
      <c r="AB48" s="12"/>
      <c r="AC48" s="12"/>
      <c r="AD48" s="12"/>
      <c r="AE48" s="12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1:40" ht="19.5" customHeight="1" x14ac:dyDescent="0.2">
      <c r="A49" s="7" t="s">
        <v>22</v>
      </c>
      <c r="B49" s="69">
        <v>101.78750261223421</v>
      </c>
      <c r="C49" s="69">
        <v>102.22688445392022</v>
      </c>
      <c r="D49" s="69">
        <v>101.24954072420302</v>
      </c>
      <c r="E49" s="69">
        <v>100.30932432917035</v>
      </c>
      <c r="F49" s="69">
        <v>102.35853729063851</v>
      </c>
      <c r="G49" s="69">
        <v>102.6417205686585</v>
      </c>
      <c r="H49" s="69">
        <v>102.71803297380819</v>
      </c>
      <c r="I49" s="69">
        <v>103.08118689823588</v>
      </c>
      <c r="J49" s="69">
        <v>103.32348399354817</v>
      </c>
      <c r="K49" s="69">
        <v>103.0327139940602</v>
      </c>
      <c r="L49" s="69">
        <v>105.08391773996468</v>
      </c>
      <c r="M49" s="69">
        <v>106.21969363119517</v>
      </c>
      <c r="N49" s="69">
        <f t="shared" si="1"/>
        <v>102.83604493413641</v>
      </c>
      <c r="O49" s="21"/>
      <c r="P49" s="21"/>
      <c r="Q49" s="21"/>
      <c r="R49" s="47" t="s">
        <v>23</v>
      </c>
      <c r="S49" s="29"/>
      <c r="T49" s="29"/>
      <c r="U49" s="33"/>
      <c r="V49" s="33"/>
      <c r="W49" s="33"/>
      <c r="X49" s="33"/>
      <c r="Y49" s="33"/>
      <c r="Z49" s="33"/>
      <c r="AA49" s="33"/>
      <c r="AB49" s="12"/>
      <c r="AC49" s="12"/>
      <c r="AD49" s="12"/>
      <c r="AE49" s="12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1:40" x14ac:dyDescent="0.3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</row>
    <row r="51" spans="1:40" ht="15" x14ac:dyDescent="0.35">
      <c r="A51" s="31"/>
      <c r="B51" s="63"/>
      <c r="C51" s="63"/>
      <c r="D51" s="63"/>
      <c r="E51" s="63"/>
      <c r="F51" s="64"/>
      <c r="G51" s="63"/>
      <c r="H51" s="63"/>
      <c r="I51" s="39"/>
      <c r="J51" s="39"/>
      <c r="K51" s="39"/>
      <c r="L51" s="39"/>
      <c r="M51" s="32"/>
      <c r="N51" s="39"/>
    </row>
    <row r="52" spans="1:40" ht="15" x14ac:dyDescent="0.2">
      <c r="A52" s="34" t="s">
        <v>51</v>
      </c>
      <c r="B52" s="23" t="s">
        <v>76</v>
      </c>
      <c r="C52" s="24"/>
      <c r="D52" s="24"/>
      <c r="E52" s="23"/>
      <c r="F52" s="11"/>
      <c r="G52" s="25"/>
      <c r="H52" s="26"/>
      <c r="I52" s="26"/>
      <c r="J52" s="26"/>
      <c r="K52" s="26"/>
      <c r="L52" s="26"/>
      <c r="M52" s="25"/>
      <c r="N52" s="48" t="s">
        <v>75</v>
      </c>
      <c r="O52" s="10"/>
      <c r="P52" s="10"/>
      <c r="Q52" s="10"/>
      <c r="R52" s="51" t="s">
        <v>50</v>
      </c>
    </row>
    <row r="53" spans="1:40" x14ac:dyDescent="0.2">
      <c r="A53" s="27" t="s">
        <v>56</v>
      </c>
      <c r="B53" s="52" t="s">
        <v>25</v>
      </c>
      <c r="C53" s="52" t="s">
        <v>26</v>
      </c>
      <c r="D53" s="52" t="s">
        <v>27</v>
      </c>
      <c r="E53" s="52" t="s">
        <v>28</v>
      </c>
      <c r="F53" s="52" t="s">
        <v>29</v>
      </c>
      <c r="G53" s="53" t="s">
        <v>30</v>
      </c>
      <c r="H53" s="53" t="s">
        <v>31</v>
      </c>
      <c r="I53" s="53" t="s">
        <v>32</v>
      </c>
      <c r="J53" s="53" t="s">
        <v>33</v>
      </c>
      <c r="K53" s="53" t="s">
        <v>34</v>
      </c>
      <c r="L53" s="53" t="s">
        <v>35</v>
      </c>
      <c r="M53" s="53" t="s">
        <v>36</v>
      </c>
      <c r="N53" s="65" t="s">
        <v>37</v>
      </c>
      <c r="R53" s="46" t="s">
        <v>57</v>
      </c>
    </row>
    <row r="54" spans="1:40" x14ac:dyDescent="0.35">
      <c r="A54" s="35"/>
      <c r="B54" s="56" t="s">
        <v>38</v>
      </c>
      <c r="C54" s="57" t="s">
        <v>39</v>
      </c>
      <c r="D54" s="57" t="s">
        <v>40</v>
      </c>
      <c r="E54" s="57" t="s">
        <v>41</v>
      </c>
      <c r="F54" s="57" t="s">
        <v>42</v>
      </c>
      <c r="G54" s="57" t="s">
        <v>43</v>
      </c>
      <c r="H54" s="57" t="s">
        <v>44</v>
      </c>
      <c r="I54" s="57" t="s">
        <v>45</v>
      </c>
      <c r="J54" s="57" t="s">
        <v>46</v>
      </c>
      <c r="K54" s="57" t="s">
        <v>47</v>
      </c>
      <c r="L54" s="57" t="s">
        <v>48</v>
      </c>
      <c r="M54" s="57" t="s">
        <v>49</v>
      </c>
      <c r="N54" s="58" t="s">
        <v>53</v>
      </c>
      <c r="O54" s="21"/>
      <c r="P54" s="21"/>
      <c r="Q54" s="21"/>
      <c r="R54" s="62"/>
    </row>
    <row r="55" spans="1:40" ht="22.5" customHeight="1" x14ac:dyDescent="0.25">
      <c r="A55" s="3" t="s">
        <v>2</v>
      </c>
      <c r="B55" s="66">
        <v>106.04591397098379</v>
      </c>
      <c r="C55" s="66">
        <v>106.14570900664235</v>
      </c>
      <c r="D55" s="66">
        <v>108.0622760940867</v>
      </c>
      <c r="E55" s="66">
        <v>107.60353156627234</v>
      </c>
      <c r="F55" s="66">
        <v>106.45520938812356</v>
      </c>
      <c r="G55" s="66">
        <v>107.80071718374759</v>
      </c>
      <c r="H55" s="66">
        <v>108.79882477826676</v>
      </c>
      <c r="I55" s="66">
        <v>109.470677795168</v>
      </c>
      <c r="J55" s="66">
        <v>109.00916862691597</v>
      </c>
      <c r="K55" s="66">
        <v>109.3305723919848</v>
      </c>
      <c r="L55" s="66">
        <v>108.48832025814706</v>
      </c>
      <c r="M55" s="66">
        <v>110.57255459040154</v>
      </c>
      <c r="N55" s="66">
        <f t="shared" ref="N55:N72" si="2">AVERAGE(B55:M55)</f>
        <v>108.14862297089503</v>
      </c>
      <c r="R55" s="44" t="s">
        <v>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22.5" customHeight="1" x14ac:dyDescent="0.25">
      <c r="A56" s="3" t="s">
        <v>4</v>
      </c>
      <c r="B56" s="66">
        <v>105.76314649587687</v>
      </c>
      <c r="C56" s="66">
        <v>105.84017067705889</v>
      </c>
      <c r="D56" s="66">
        <v>107.38065977980443</v>
      </c>
      <c r="E56" s="66">
        <v>107.05451486859235</v>
      </c>
      <c r="F56" s="66">
        <v>106.29739902192101</v>
      </c>
      <c r="G56" s="66">
        <v>107.6140431458269</v>
      </c>
      <c r="H56" s="66">
        <v>107.56931569433173</v>
      </c>
      <c r="I56" s="66">
        <v>108.48014993865836</v>
      </c>
      <c r="J56" s="66">
        <v>108.78649617607297</v>
      </c>
      <c r="K56" s="66">
        <v>108.38893219143577</v>
      </c>
      <c r="L56" s="66">
        <v>108.04880069127047</v>
      </c>
      <c r="M56" s="66">
        <v>109.57882459413432</v>
      </c>
      <c r="N56" s="66">
        <f>AVERAGE(B56:M56)</f>
        <v>107.5668711062487</v>
      </c>
      <c r="R56" s="44" t="s">
        <v>5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22.5" customHeight="1" x14ac:dyDescent="0.25">
      <c r="A57" s="4" t="s">
        <v>6</v>
      </c>
      <c r="B57" s="66">
        <v>107.11228449642826</v>
      </c>
      <c r="C57" s="66">
        <v>107.29795280320376</v>
      </c>
      <c r="D57" s="66">
        <v>110.63278229158246</v>
      </c>
      <c r="E57" s="66">
        <v>109.6739791103589</v>
      </c>
      <c r="F57" s="66">
        <v>107.05034262635893</v>
      </c>
      <c r="G57" s="66">
        <v>108.50470087858054</v>
      </c>
      <c r="H57" s="66">
        <v>113.43553997112433</v>
      </c>
      <c r="I57" s="66">
        <v>113.20614882278163</v>
      </c>
      <c r="J57" s="66">
        <v>109.848909259454</v>
      </c>
      <c r="K57" s="66">
        <v>112.88167866776567</v>
      </c>
      <c r="L57" s="66">
        <v>110.14583306543156</v>
      </c>
      <c r="M57" s="66">
        <v>114.32010150281955</v>
      </c>
      <c r="N57" s="66">
        <f t="shared" si="2"/>
        <v>110.34252112465748</v>
      </c>
      <c r="R57" s="44" t="s">
        <v>7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22.5" customHeight="1" x14ac:dyDescent="0.25">
      <c r="A58" s="4" t="s">
        <v>8</v>
      </c>
      <c r="B58" s="66">
        <v>102.32275898169389</v>
      </c>
      <c r="C58" s="66">
        <v>102.34121530818182</v>
      </c>
      <c r="D58" s="66">
        <v>102.50107077649139</v>
      </c>
      <c r="E58" s="66">
        <v>102.14366888875905</v>
      </c>
      <c r="F58" s="66">
        <v>102.18034788122191</v>
      </c>
      <c r="G58" s="66">
        <v>102.14971423162494</v>
      </c>
      <c r="H58" s="66">
        <v>102.10897338692587</v>
      </c>
      <c r="I58" s="66">
        <v>102.10897338692587</v>
      </c>
      <c r="J58" s="66">
        <v>102.84096502362155</v>
      </c>
      <c r="K58" s="66">
        <v>102.87843617401953</v>
      </c>
      <c r="L58" s="66">
        <v>174.98604270344896</v>
      </c>
      <c r="M58" s="66">
        <v>204.38323747795451</v>
      </c>
      <c r="N58" s="66">
        <f t="shared" si="2"/>
        <v>116.91211701840577</v>
      </c>
      <c r="R58" s="44" t="s">
        <v>24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22.5" customHeight="1" x14ac:dyDescent="0.25">
      <c r="A59" s="4" t="s">
        <v>59</v>
      </c>
      <c r="B59" s="66">
        <v>102.34580177969001</v>
      </c>
      <c r="C59" s="66">
        <v>102.12379257890927</v>
      </c>
      <c r="D59" s="66">
        <v>102.12379257890927</v>
      </c>
      <c r="E59" s="66">
        <v>101.12152521995021</v>
      </c>
      <c r="F59" s="66">
        <v>101.01780803130551</v>
      </c>
      <c r="G59" s="66">
        <v>101.29198351264814</v>
      </c>
      <c r="H59" s="66">
        <v>101.29198351264814</v>
      </c>
      <c r="I59" s="66">
        <v>101.29198351264814</v>
      </c>
      <c r="J59" s="66">
        <v>101.31498174391663</v>
      </c>
      <c r="K59" s="66">
        <v>101.27671277050729</v>
      </c>
      <c r="L59" s="66">
        <v>101.41430523760744</v>
      </c>
      <c r="M59" s="66">
        <v>101.30515437141254</v>
      </c>
      <c r="N59" s="66">
        <f t="shared" si="2"/>
        <v>101.49331873751272</v>
      </c>
      <c r="R59" s="44" t="s">
        <v>9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22.5" customHeight="1" x14ac:dyDescent="0.25">
      <c r="A60" s="4" t="s">
        <v>60</v>
      </c>
      <c r="B60" s="66">
        <v>103.69819997549237</v>
      </c>
      <c r="C60" s="66">
        <v>105.68809259687147</v>
      </c>
      <c r="D60" s="66">
        <v>90.945189666973974</v>
      </c>
      <c r="E60" s="66">
        <v>86.719840720940425</v>
      </c>
      <c r="F60" s="66">
        <v>98.455453979344313</v>
      </c>
      <c r="G60" s="66">
        <v>107.3878219781211</v>
      </c>
      <c r="H60" s="66">
        <v>107.22030914563656</v>
      </c>
      <c r="I60" s="66">
        <v>104.60120719490439</v>
      </c>
      <c r="J60" s="66">
        <v>106.74696631191348</v>
      </c>
      <c r="K60" s="66">
        <v>105.43569024832166</v>
      </c>
      <c r="L60" s="66">
        <v>105.92946681028234</v>
      </c>
      <c r="M60" s="66">
        <v>104.49781436913138</v>
      </c>
      <c r="N60" s="66">
        <f t="shared" si="2"/>
        <v>102.27717108316114</v>
      </c>
      <c r="R60" s="44" t="s">
        <v>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6" customHeight="1" x14ac:dyDescent="0.25">
      <c r="A61" s="4" t="s">
        <v>61</v>
      </c>
      <c r="B61" s="66">
        <v>99.992150572363443</v>
      </c>
      <c r="C61" s="66">
        <v>99.992150572363443</v>
      </c>
      <c r="D61" s="66">
        <v>99.992150572363443</v>
      </c>
      <c r="E61" s="66">
        <v>99.992150572363443</v>
      </c>
      <c r="F61" s="66">
        <v>99.992150572363443</v>
      </c>
      <c r="G61" s="66">
        <v>99.992150572363443</v>
      </c>
      <c r="H61" s="66">
        <v>99.992150572363443</v>
      </c>
      <c r="I61" s="66">
        <v>99.992150572363443</v>
      </c>
      <c r="J61" s="66">
        <v>99.992150572363443</v>
      </c>
      <c r="K61" s="66">
        <v>99.992150572363443</v>
      </c>
      <c r="L61" s="66">
        <v>99.99216247678946</v>
      </c>
      <c r="M61" s="66">
        <v>99.99216247678946</v>
      </c>
      <c r="N61" s="66">
        <f t="shared" si="2"/>
        <v>99.992152556434462</v>
      </c>
      <c r="R61" s="50" t="s">
        <v>58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30" customHeight="1" x14ac:dyDescent="0.25">
      <c r="A62" s="3" t="s">
        <v>62</v>
      </c>
      <c r="B62" s="66">
        <v>105.63169179386485</v>
      </c>
      <c r="C62" s="66">
        <v>105.52655074303938</v>
      </c>
      <c r="D62" s="66">
        <v>105.63115251101492</v>
      </c>
      <c r="E62" s="66">
        <v>104.65032055221704</v>
      </c>
      <c r="F62" s="66">
        <v>104.6794374709883</v>
      </c>
      <c r="G62" s="66">
        <v>104.61347913628022</v>
      </c>
      <c r="H62" s="66">
        <v>104.5937896550153</v>
      </c>
      <c r="I62" s="66">
        <v>104.62698748484361</v>
      </c>
      <c r="J62" s="66">
        <v>104.74002702042063</v>
      </c>
      <c r="K62" s="66">
        <v>104.71333234704655</v>
      </c>
      <c r="L62" s="66">
        <v>104.8842940131432</v>
      </c>
      <c r="M62" s="66">
        <v>104.42302549727755</v>
      </c>
      <c r="N62" s="66">
        <f t="shared" si="2"/>
        <v>104.89284068542931</v>
      </c>
      <c r="R62" s="44" t="s">
        <v>11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22.5" customHeight="1" x14ac:dyDescent="0.25">
      <c r="A63" s="5" t="s">
        <v>12</v>
      </c>
      <c r="B63" s="66">
        <v>103.26211851068861</v>
      </c>
      <c r="C63" s="66">
        <v>103.26211851068861</v>
      </c>
      <c r="D63" s="66">
        <v>103.26211851068861</v>
      </c>
      <c r="E63" s="66">
        <v>103.75832291370213</v>
      </c>
      <c r="F63" s="66">
        <v>103.75832291370213</v>
      </c>
      <c r="G63" s="66">
        <v>104.27987168970373</v>
      </c>
      <c r="H63" s="66">
        <v>104.09030134701581</v>
      </c>
      <c r="I63" s="66">
        <v>104.09030134701581</v>
      </c>
      <c r="J63" s="66">
        <v>105.30404553662844</v>
      </c>
      <c r="K63" s="66">
        <v>105.30404553662844</v>
      </c>
      <c r="L63" s="66">
        <v>105.33387649344907</v>
      </c>
      <c r="M63" s="66">
        <v>105.52499239300613</v>
      </c>
      <c r="N63" s="66">
        <f t="shared" si="2"/>
        <v>104.26920297524315</v>
      </c>
      <c r="R63" s="44" t="s">
        <v>13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22.5" customHeight="1" x14ac:dyDescent="0.25">
      <c r="A64" s="5" t="s">
        <v>63</v>
      </c>
      <c r="B64" s="66">
        <v>104.75054350312755</v>
      </c>
      <c r="C64" s="66">
        <v>104.74081259718091</v>
      </c>
      <c r="D64" s="66">
        <v>104.74700797545223</v>
      </c>
      <c r="E64" s="66">
        <v>104.15975498509141</v>
      </c>
      <c r="F64" s="66">
        <v>103.99294824242939</v>
      </c>
      <c r="G64" s="66">
        <v>104.06293323048652</v>
      </c>
      <c r="H64" s="66">
        <v>104.06293323048652</v>
      </c>
      <c r="I64" s="66">
        <v>103.70956022339976</v>
      </c>
      <c r="J64" s="66">
        <v>103.70956022339976</v>
      </c>
      <c r="K64" s="66">
        <v>103.70956022339976</v>
      </c>
      <c r="L64" s="66">
        <v>105.83291775123855</v>
      </c>
      <c r="M64" s="66">
        <v>105.83786252235477</v>
      </c>
      <c r="N64" s="66">
        <f t="shared" si="2"/>
        <v>104.44303289233726</v>
      </c>
      <c r="R64" s="44" t="s">
        <v>14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22.5" customHeight="1" x14ac:dyDescent="0.25">
      <c r="A65" s="5" t="s">
        <v>64</v>
      </c>
      <c r="B65" s="66">
        <v>88.692452416384128</v>
      </c>
      <c r="C65" s="66">
        <v>88.88953117290653</v>
      </c>
      <c r="D65" s="66">
        <v>88.77417623377346</v>
      </c>
      <c r="E65" s="66">
        <v>88.232786946918864</v>
      </c>
      <c r="F65" s="66">
        <v>88.093753715084745</v>
      </c>
      <c r="G65" s="66">
        <v>88.192723679763205</v>
      </c>
      <c r="H65" s="66">
        <v>87.449081460192545</v>
      </c>
      <c r="I65" s="66">
        <v>86.632241116359339</v>
      </c>
      <c r="J65" s="66">
        <v>86.516678758315066</v>
      </c>
      <c r="K65" s="66">
        <v>87.405899817309475</v>
      </c>
      <c r="L65" s="66">
        <v>86.436147500785538</v>
      </c>
      <c r="M65" s="66">
        <v>85.45456825580095</v>
      </c>
      <c r="N65" s="66">
        <f t="shared" si="2"/>
        <v>87.564170089466145</v>
      </c>
      <c r="R65" s="44" t="s">
        <v>15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22.5" customHeight="1" x14ac:dyDescent="0.25">
      <c r="A66" s="3" t="s">
        <v>65</v>
      </c>
      <c r="B66" s="66">
        <v>98.435581829104436</v>
      </c>
      <c r="C66" s="66">
        <v>98.435581829104436</v>
      </c>
      <c r="D66" s="66">
        <v>98.456995681222438</v>
      </c>
      <c r="E66" s="66">
        <v>99.02943395860531</v>
      </c>
      <c r="F66" s="66">
        <v>99.02943395860531</v>
      </c>
      <c r="G66" s="66">
        <v>98.915598531848062</v>
      </c>
      <c r="H66" s="66">
        <v>98.915598531848062</v>
      </c>
      <c r="I66" s="66">
        <v>98.915598531848062</v>
      </c>
      <c r="J66" s="66">
        <v>98.915598531848062</v>
      </c>
      <c r="K66" s="66">
        <v>98.614849810200283</v>
      </c>
      <c r="L66" s="66">
        <v>98.651778541090053</v>
      </c>
      <c r="M66" s="66">
        <v>99.137634468861052</v>
      </c>
      <c r="N66" s="66">
        <f t="shared" si="2"/>
        <v>98.787807017015481</v>
      </c>
      <c r="R66" s="45" t="s">
        <v>16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8" customHeight="1" x14ac:dyDescent="0.25">
      <c r="A67" s="4" t="s">
        <v>66</v>
      </c>
      <c r="B67" s="66">
        <v>100.88702071413969</v>
      </c>
      <c r="C67" s="66">
        <v>100.88702071413969</v>
      </c>
      <c r="D67" s="66">
        <v>100.88702071413969</v>
      </c>
      <c r="E67" s="66">
        <v>101.03827123542099</v>
      </c>
      <c r="F67" s="66">
        <v>101.05103121368563</v>
      </c>
      <c r="G67" s="66">
        <v>101.07205369087387</v>
      </c>
      <c r="H67" s="66">
        <v>101.07205369087387</v>
      </c>
      <c r="I67" s="66">
        <v>101.07205369087387</v>
      </c>
      <c r="J67" s="66">
        <v>101.07205369087387</v>
      </c>
      <c r="K67" s="66">
        <v>101.07205369087387</v>
      </c>
      <c r="L67" s="66">
        <v>101.63803479429272</v>
      </c>
      <c r="M67" s="66">
        <v>101.63803479429272</v>
      </c>
      <c r="N67" s="66">
        <f t="shared" si="2"/>
        <v>101.11555855287338</v>
      </c>
      <c r="R67" s="45" t="s">
        <v>17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s="1" customFormat="1" ht="22.5" customHeight="1" x14ac:dyDescent="0.25">
      <c r="A68" s="4" t="s">
        <v>67</v>
      </c>
      <c r="B68" s="66">
        <v>103.80697899096825</v>
      </c>
      <c r="C68" s="66">
        <v>103.80697899096825</v>
      </c>
      <c r="D68" s="66">
        <v>103.80697899096825</v>
      </c>
      <c r="E68" s="66">
        <v>103.91074522718066</v>
      </c>
      <c r="F68" s="66">
        <v>103.91074522718066</v>
      </c>
      <c r="G68" s="66">
        <v>103.91074522718066</v>
      </c>
      <c r="H68" s="66">
        <v>103.91074522718066</v>
      </c>
      <c r="I68" s="66">
        <v>103.91074522718066</v>
      </c>
      <c r="J68" s="66">
        <v>103.91074522718066</v>
      </c>
      <c r="K68" s="66">
        <v>103.91074522718066</v>
      </c>
      <c r="L68" s="66">
        <v>132.32192700479607</v>
      </c>
      <c r="M68" s="66">
        <v>137.9100256687407</v>
      </c>
      <c r="N68" s="66">
        <f>AVERAGE(B68:M68)</f>
        <v>109.08567551972551</v>
      </c>
      <c r="R68" s="45" t="s">
        <v>18</v>
      </c>
      <c r="AA68" s="9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s="1" customFormat="1" ht="22.5" customHeight="1" x14ac:dyDescent="0.25">
      <c r="A69" s="4" t="s">
        <v>68</v>
      </c>
      <c r="B69" s="66">
        <v>107.14229868182086</v>
      </c>
      <c r="C69" s="66">
        <v>107.14229868182086</v>
      </c>
      <c r="D69" s="66">
        <v>107.14229868182086</v>
      </c>
      <c r="E69" s="66">
        <v>106.67117880051933</v>
      </c>
      <c r="F69" s="66">
        <v>106.67117880051933</v>
      </c>
      <c r="G69" s="66">
        <v>106.67117880051933</v>
      </c>
      <c r="H69" s="66">
        <v>106.67117880051933</v>
      </c>
      <c r="I69" s="66">
        <v>106.67117880051933</v>
      </c>
      <c r="J69" s="66">
        <v>106.67117880051933</v>
      </c>
      <c r="K69" s="66">
        <v>106.67117880051933</v>
      </c>
      <c r="L69" s="66">
        <v>107.48073556474178</v>
      </c>
      <c r="M69" s="66">
        <v>107.48073556474178</v>
      </c>
      <c r="N69" s="66">
        <f t="shared" si="2"/>
        <v>106.92388489821512</v>
      </c>
      <c r="R69" s="42" t="s">
        <v>70</v>
      </c>
      <c r="AA69" s="9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s="1" customFormat="1" ht="33.75" customHeight="1" x14ac:dyDescent="0.25">
      <c r="A70" s="3" t="s">
        <v>69</v>
      </c>
      <c r="B70" s="66">
        <v>103.06077926037244</v>
      </c>
      <c r="C70" s="66">
        <v>103.07758479166866</v>
      </c>
      <c r="D70" s="66">
        <v>103.23832728064284</v>
      </c>
      <c r="E70" s="66">
        <v>103.34050695994942</v>
      </c>
      <c r="F70" s="66">
        <v>103.32294126714059</v>
      </c>
      <c r="G70" s="66">
        <v>103.39439239096518</v>
      </c>
      <c r="H70" s="66">
        <v>103.32970223519411</v>
      </c>
      <c r="I70" s="66">
        <v>103.37946708630146</v>
      </c>
      <c r="J70" s="66">
        <v>103.56788227121415</v>
      </c>
      <c r="K70" s="66">
        <v>103.59834868512651</v>
      </c>
      <c r="L70" s="66">
        <v>103.00052947074006</v>
      </c>
      <c r="M70" s="66">
        <v>103.64219895856351</v>
      </c>
      <c r="N70" s="66">
        <f>AVERAGE(B70:M70)</f>
        <v>103.32938838815657</v>
      </c>
      <c r="R70" s="45" t="s">
        <v>19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22.5" customHeight="1" x14ac:dyDescent="0.25">
      <c r="A71" s="6" t="s">
        <v>20</v>
      </c>
      <c r="B71" s="68">
        <v>102.73868963980185</v>
      </c>
      <c r="C71" s="68">
        <v>102.99500617434789</v>
      </c>
      <c r="D71" s="68">
        <v>101.96385342550873</v>
      </c>
      <c r="E71" s="68">
        <v>101.17377461085981</v>
      </c>
      <c r="F71" s="68">
        <v>102.08742556052384</v>
      </c>
      <c r="G71" s="68">
        <v>103.56354353561159</v>
      </c>
      <c r="H71" s="68">
        <v>103.76051699827224</v>
      </c>
      <c r="I71" s="68">
        <v>103.56444692580783</v>
      </c>
      <c r="J71" s="68">
        <v>103.76629416558825</v>
      </c>
      <c r="K71" s="68">
        <v>103.80627276236785</v>
      </c>
      <c r="L71" s="68">
        <v>107.08374738448384</v>
      </c>
      <c r="M71" s="68">
        <v>108.57299947563891</v>
      </c>
      <c r="N71" s="68">
        <f t="shared" si="2"/>
        <v>103.75638088823439</v>
      </c>
      <c r="R71" s="46" t="s">
        <v>21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22.5" customHeight="1" x14ac:dyDescent="0.25">
      <c r="A72" s="7" t="s">
        <v>22</v>
      </c>
      <c r="B72" s="69">
        <v>102.43198757249202</v>
      </c>
      <c r="C72" s="69">
        <v>102.69325837422998</v>
      </c>
      <c r="D72" s="69">
        <v>101.35593739950592</v>
      </c>
      <c r="E72" s="69">
        <v>100.57769052488125</v>
      </c>
      <c r="F72" s="69">
        <v>101.73939677096354</v>
      </c>
      <c r="G72" s="69">
        <v>103.21704066516494</v>
      </c>
      <c r="H72" s="69">
        <v>103.08204776545152</v>
      </c>
      <c r="I72" s="69">
        <v>102.88831436183553</v>
      </c>
      <c r="J72" s="69">
        <v>103.33974559739792</v>
      </c>
      <c r="K72" s="69">
        <v>103.1698521875073</v>
      </c>
      <c r="L72" s="69">
        <v>106.86901601602993</v>
      </c>
      <c r="M72" s="69">
        <v>108.16997904723632</v>
      </c>
      <c r="N72" s="69">
        <f t="shared" si="2"/>
        <v>103.29452219022467</v>
      </c>
      <c r="O72" s="21"/>
      <c r="P72" s="21"/>
      <c r="Q72" s="21"/>
      <c r="R72" s="47" t="s">
        <v>23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7.25" x14ac:dyDescent="0.2">
      <c r="A73" s="43" t="s">
        <v>73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R73" s="42" t="s">
        <v>72</v>
      </c>
    </row>
    <row r="74" spans="1:40" ht="15" customHeight="1" x14ac:dyDescent="0.35"/>
    <row r="75" spans="1:40" ht="15" customHeight="1" x14ac:dyDescent="0.35"/>
    <row r="76" spans="1:40" ht="15" customHeight="1" x14ac:dyDescent="0.35"/>
    <row r="77" spans="1:40" ht="15" customHeight="1" x14ac:dyDescent="0.35">
      <c r="Q77" s="38"/>
    </row>
    <row r="78" spans="1:40" ht="15" customHeight="1" x14ac:dyDescent="0.35">
      <c r="Q78" s="38"/>
    </row>
    <row r="79" spans="1:40" ht="15" customHeight="1" x14ac:dyDescent="0.35">
      <c r="Q79" s="38"/>
    </row>
    <row r="80" spans="1:40" ht="15" customHeight="1" x14ac:dyDescent="0.35">
      <c r="Q80" s="38"/>
    </row>
    <row r="81" spans="17:18" ht="15" customHeight="1" x14ac:dyDescent="0.35">
      <c r="Q81" s="38"/>
    </row>
    <row r="82" spans="17:18" ht="15" customHeight="1" x14ac:dyDescent="0.2">
      <c r="Q82" s="38"/>
      <c r="R82" s="3"/>
    </row>
    <row r="83" spans="17:18" ht="15" customHeight="1" x14ac:dyDescent="0.2">
      <c r="Q83" s="38"/>
      <c r="R83" s="3"/>
    </row>
    <row r="84" spans="17:18" ht="15" customHeight="1" x14ac:dyDescent="0.2">
      <c r="Q84" s="38"/>
      <c r="R84" s="3"/>
    </row>
    <row r="86" spans="17:18" x14ac:dyDescent="0.35">
      <c r="Q86" s="38"/>
    </row>
    <row r="87" spans="17:18" x14ac:dyDescent="0.35">
      <c r="Q87" s="38"/>
    </row>
    <row r="88" spans="17:18" x14ac:dyDescent="0.35">
      <c r="Q88" s="38"/>
    </row>
    <row r="89" spans="17:18" x14ac:dyDescent="0.35">
      <c r="Q89" s="38"/>
    </row>
  </sheetData>
  <mergeCells count="4">
    <mergeCell ref="A1:R1"/>
    <mergeCell ref="A2:R2"/>
    <mergeCell ref="A3:R3"/>
    <mergeCell ref="A4:R4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2025-06-01T05:02:08Z</cp:lastPrinted>
  <dcterms:created xsi:type="dcterms:W3CDTF">2019-03-21T03:27:43Z</dcterms:created>
  <dcterms:modified xsi:type="dcterms:W3CDTF">2025-06-01T05:03:21Z</dcterms:modified>
</cp:coreProperties>
</file>