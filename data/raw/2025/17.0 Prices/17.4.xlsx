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rices\"/>
    </mc:Choice>
  </mc:AlternateContent>
  <xr:revisionPtr revIDLastSave="0" documentId="13_ncr:1_{B4DDCF23-A185-45AD-ACCA-22267D846203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4" sheetId="4" r:id="rId1"/>
  </sheets>
  <definedNames>
    <definedName name="_xlnm.Print_Area" localSheetId="0">'17.4'!$A$1:$P$31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4" l="1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9" i="4"/>
</calcChain>
</file>

<file path=xl/sharedStrings.xml><?xml version="1.0" encoding="utf-8"?>
<sst xmlns="http://schemas.openxmlformats.org/spreadsheetml/2006/main" count="75" uniqueCount="75">
  <si>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</si>
  <si>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</si>
  <si>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</si>
  <si>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</si>
  <si>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</si>
  <si>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</si>
  <si>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</si>
  <si>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</si>
  <si>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</si>
  <si>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</si>
  <si>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</si>
  <si>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</si>
  <si>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</si>
  <si>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</si>
  <si>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</si>
  <si>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</si>
  <si>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</si>
  <si>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</si>
  <si>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</si>
  <si>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</si>
  <si>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</si>
  <si>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</si>
  <si>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</si>
  <si>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</si>
  <si>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</si>
  <si>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</si>
  <si>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</si>
  <si>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na- Not available</t>
  </si>
  <si>
    <t>Monthly CPI</t>
  </si>
  <si>
    <t>iawa.Ip.Is eguhwmcswm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</si>
  <si>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</si>
  <si>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</si>
  <si>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</si>
  <si>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</si>
  <si>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</si>
  <si>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</si>
  <si>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</si>
  <si>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</si>
  <si>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</si>
  <si>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</si>
  <si>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</si>
  <si>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</si>
  <si>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</si>
  <si>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</si>
  <si>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</si>
  <si>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</si>
  <si>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</si>
  <si>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</si>
  <si>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</si>
  <si>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</si>
  <si>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</si>
  <si>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</si>
  <si>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</si>
  <si>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</si>
  <si>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</si>
  <si>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Jan-Dec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</si>
  <si>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</si>
  <si>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</si>
  <si>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</si>
  <si>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</si>
  <si>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</si>
  <si>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</si>
  <si>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</si>
  <si>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</si>
  <si>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</si>
  <si>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</si>
  <si>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</si>
  <si>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In 2019, base of ndex: Aug 2019=100, COICOP 2018 has been adopted in the rebased series</t>
  </si>
  <si>
    <t>އިންޝުއަރެންސް އަދި މާލީ ޚިދުމަތްތައް</t>
  </si>
  <si>
    <t>(Index - base: Nov 2022=100)</t>
  </si>
  <si>
    <t>މަޢުލޫމާތު ދެއްވި ފަރާތް: މޯލްޑިވްސް ބިއުރޯ އޮފް ސްޓެޓިސްޓިކްސް</t>
  </si>
  <si>
    <r>
      <t xml:space="preserve">(cnegiawlwbcSwa 100 IkwDnwgcnim eg </t>
    </r>
    <r>
      <rPr>
        <b/>
        <sz val="9"/>
        <color theme="1"/>
        <rFont val="Faruma"/>
      </rPr>
      <t xml:space="preserve">ނޮވެންބަރ </t>
    </r>
    <r>
      <rPr>
        <b/>
        <sz val="9"/>
        <color theme="1"/>
        <rFont val="A_Faseyha"/>
      </rPr>
      <t>2022 )</t>
    </r>
  </si>
  <si>
    <t xml:space="preserve">Source:   Maldives  Bureau of Statistics   </t>
  </si>
  <si>
    <t>Table 17.4 :   CPI GROUPS, by months,  Republic,  2024</t>
  </si>
  <si>
    <t>2024 ,cSwaejcaWr ,uDnwgcnim egugwa egurWzWb uhwmcswmikea : 17.4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</si>
</sst>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_Randhoo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A_Faseyh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8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</cellStyleXfs>
  <cellXfs count="46">
    <xf numFmtId="0" fontId="0" fillId="0" borderId="0" xfId="0"/>
    <xf numFmtId="0" fontId="0" fillId="2" borderId="0" xfId="0" applyFill="1"/>
    <xf numFmtId="0" fontId="9" fillId="2" borderId="0" xfId="0" applyFont="1" applyFill="1"/>
    <xf numFmtId="0" fontId="9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ill="1" applyBorder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165" fontId="15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2" xfId="2" applyFont="1" applyFill="1" applyBorder="1" applyAlignment="1">
      <alignment horizontal="left"/>
    </xf>
    <xf numFmtId="0" fontId="11" fillId="2" borderId="0" xfId="2" applyFont="1" applyFill="1" applyAlignment="1">
      <alignment horizontal="left" vertical="center"/>
    </xf>
    <xf numFmtId="166" fontId="14" fillId="2" borderId="0" xfId="0" applyNumberFormat="1" applyFont="1" applyFill="1" applyAlignment="1">
      <alignment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2" fontId="11" fillId="2" borderId="0" xfId="5" applyNumberFormat="1" applyFont="1" applyFill="1" applyAlignment="1">
      <alignment horizontal="right" vertical="center"/>
    </xf>
    <xf numFmtId="2" fontId="11" fillId="2" borderId="1" xfId="5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1" fillId="2" borderId="0" xfId="3" applyFont="1" applyFill="1" applyAlignment="1">
      <alignment horizontal="right" vertical="center"/>
    </xf>
    <xf numFmtId="165" fontId="21" fillId="2" borderId="0" xfId="3" applyFont="1" applyFill="1" applyAlignment="1">
      <alignment horizontal="right" vertical="center" indent="1"/>
    </xf>
    <xf numFmtId="165" fontId="21" fillId="2" borderId="0" xfId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165" fontId="19" fillId="2" borderId="1" xfId="1" applyFont="1" applyFill="1" applyBorder="1" applyAlignment="1">
      <alignment horizontal="right" vertical="center"/>
    </xf>
    <xf numFmtId="0" fontId="22" fillId="2" borderId="0" xfId="0" applyFont="1" applyFill="1"/>
    <xf numFmtId="165" fontId="19" fillId="2" borderId="3" xfId="3" applyFont="1" applyFill="1" applyBorder="1" applyAlignment="1">
      <alignment horizontal="right" vertical="center"/>
    </xf>
    <xf numFmtId="165" fontId="19" fillId="2" borderId="0" xfId="3" applyFont="1" applyFill="1" applyAlignment="1">
      <alignment horizontal="right" vertical="center" wrapText="1"/>
    </xf>
    <xf numFmtId="0" fontId="21" fillId="2" borderId="2" xfId="2" applyFont="1" applyFill="1" applyBorder="1" applyAlignment="1">
      <alignment horizontal="right"/>
    </xf>
    <xf numFmtId="0" fontId="20" fillId="2" borderId="0" xfId="2" applyFont="1" applyFill="1" applyAlignment="1">
      <alignment horizontal="right" vertical="center"/>
    </xf>
    <xf numFmtId="0" fontId="19" fillId="2" borderId="1" xfId="2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165" fontId="21" fillId="2" borderId="0" xfId="3" applyFont="1" applyFill="1" applyAlignment="1">
      <alignment horizontal="right" vertical="center" wrapText="1"/>
    </xf>
    <xf numFmtId="2" fontId="12" fillId="2" borderId="0" xfId="5" applyNumberFormat="1" applyFont="1" applyFill="1" applyAlignment="1">
      <alignment horizontal="right" vertical="center"/>
    </xf>
    <xf numFmtId="165" fontId="10" fillId="2" borderId="0" xfId="1" applyFont="1" applyFill="1" applyAlignment="1">
      <alignment horizontal="center" vertical="center"/>
    </xf>
    <xf numFmtId="2" fontId="12" fillId="2" borderId="1" xfId="5" applyNumberFormat="1" applyFont="1" applyFill="1" applyBorder="1" applyAlignment="1">
      <alignment horizontal="right" vertical="center"/>
    </xf>
    <xf numFmtId="165" fontId="4" fillId="2" borderId="0" xfId="1" applyFont="1" applyFill="1" applyAlignment="1">
      <alignment horizontal="center" vertical="center"/>
    </xf>
    <xf numFmtId="165" fontId="23" fillId="2" borderId="0" xfId="1" applyFont="1" applyFill="1" applyAlignment="1">
      <alignment horizontal="center" vertical="center" wrapText="1"/>
    </xf>
    <xf numFmtId="165" fontId="10" fillId="2" borderId="0" xfId="1" applyFont="1" applyFill="1" applyAlignment="1">
      <alignment horizontal="center" vertical="center"/>
    </xf>
    <xf numFmtId="165" fontId="2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D0F5F4"/>
      <color rgb="FF7E5400"/>
      <color rgb="FF003399"/>
      <color rgb="FFF2F2F2"/>
      <color rgb="FFAEAAAA"/>
      <color rgb="FF9BC2E6"/>
      <color rgb="FF33CCCC"/>
      <color rgb="FF249390"/>
      <color rgb="FF196563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31"/>
  <sheetViews>
    <sheetView tabSelected="1" zoomScale="130" zoomScaleNormal="130" zoomScaleSheetLayoutView="93" workbookViewId="0">
      <selection activeCell="I28" sqref="I28"/>
    </sheetView>
  </sheetViews>
  <sheetFormatPr defaultColWidth="9.140625" defaultRowHeight="18" x14ac:dyDescent="0.45"/>
  <cols>
    <col min="1" max="1" width="39.7109375" style="1" customWidth="1"/>
    <col min="2" max="6" width="9.140625" style="1" customWidth="1"/>
    <col min="7" max="9" width="9.140625" style="1"/>
    <col min="10" max="13" width="11" style="1" customWidth="1"/>
    <col min="14" max="14" width="10.28515625" style="1" customWidth="1"/>
    <col min="15" max="15" width="40" style="30" customWidth="1"/>
    <col min="16" max="16" width="3.85546875" style="1" customWidth="1"/>
    <col min="17" max="16384" width="9.140625" style="1"/>
  </cols>
  <sheetData>
    <row r="1" spans="1:24" s="2" customFormat="1" ht="19.5" x14ac:dyDescent="0.2">
      <c r="A1" s="44" t="s">
        <v>74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12"/>
      <c r="Q1" s="41"/>
      <c r="R1" s="41"/>
      <c r="S1" s="41"/>
      <c r="T1" s="41"/>
      <c r="U1" s="41"/>
      <c r="V1" s="41"/>
      <c r="W1" s="41"/>
      <c r="X1" s="41"/>
    </row>
    <row r="2" spans="1:24" s="13" customFormat="1" ht="15" x14ac:dyDescent="0.25">
      <c r="A2" s="45" t="s">
        <v>73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24" s="3" customFormat="1" ht="15.75" customHeight="1" x14ac:dyDescent="0.2">
      <c r="A3" s="42" t="s">
        <v>71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24" s="3" customFormat="1" ht="13.5" customHeight="1" x14ac:dyDescent="0.2">
      <c r="A4" s="43" t="s">
        <v>69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</row>
    <row r="5" spans="1:24" s="3" customFormat="1" ht="17.25" customHeigh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24" s="14" customFormat="1" ht="15.75" customHeight="1" x14ac:dyDescent="0.35">
      <c r="A6" s="15"/>
      <c r="B6" s="4" t="s">
        <v>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1" t="s">
        <v>29</v>
      </c>
      <c r="O6" s="33"/>
    </row>
    <row r="7" spans="1:24" s="14" customFormat="1" ht="15.75" x14ac:dyDescent="0.25">
      <c r="A7" s="16" t="s">
        <v>0</v>
      </c>
      <c r="B7" s="32" t="s">
        <v>30</v>
      </c>
      <c r="C7" s="32" t="s">
        <v>31</v>
      </c>
      <c r="D7" s="32" t="s">
        <v>32</v>
      </c>
      <c r="E7" s="32" t="s">
        <v>33</v>
      </c>
      <c r="F7" s="32" t="s">
        <v>34</v>
      </c>
      <c r="G7" s="32" t="s">
        <v>35</v>
      </c>
      <c r="H7" s="32" t="s">
        <v>36</v>
      </c>
      <c r="I7" s="32" t="s">
        <v>37</v>
      </c>
      <c r="J7" s="32" t="s">
        <v>38</v>
      </c>
      <c r="K7" s="32" t="s">
        <v>39</v>
      </c>
      <c r="L7" s="32" t="s">
        <v>40</v>
      </c>
      <c r="M7" s="32" t="s">
        <v>41</v>
      </c>
      <c r="N7" s="32" t="s">
        <v>42</v>
      </c>
      <c r="O7" s="34" t="s">
        <v>1</v>
      </c>
      <c r="Q7" s="17"/>
    </row>
    <row r="8" spans="1:24" s="14" customFormat="1" ht="14.25" x14ac:dyDescent="0.25">
      <c r="A8" s="18"/>
      <c r="B8" s="19" t="s">
        <v>43</v>
      </c>
      <c r="C8" s="18" t="s">
        <v>44</v>
      </c>
      <c r="D8" s="18" t="s">
        <v>45</v>
      </c>
      <c r="E8" s="18" t="s">
        <v>46</v>
      </c>
      <c r="F8" s="18" t="s">
        <v>47</v>
      </c>
      <c r="G8" s="18" t="s">
        <v>48</v>
      </c>
      <c r="H8" s="18" t="s">
        <v>49</v>
      </c>
      <c r="I8" s="18" t="s">
        <v>50</v>
      </c>
      <c r="J8" s="18" t="s">
        <v>51</v>
      </c>
      <c r="K8" s="18" t="s">
        <v>52</v>
      </c>
      <c r="L8" s="18" t="s">
        <v>53</v>
      </c>
      <c r="M8" s="18" t="s">
        <v>54</v>
      </c>
      <c r="N8" s="18" t="s">
        <v>55</v>
      </c>
      <c r="O8" s="35"/>
      <c r="Q8" s="17"/>
    </row>
    <row r="9" spans="1:24" s="14" customFormat="1" ht="14.25" x14ac:dyDescent="0.25">
      <c r="A9" s="6" t="s">
        <v>2</v>
      </c>
      <c r="B9" s="38">
        <v>106.58157559647717</v>
      </c>
      <c r="C9" s="38">
        <v>107.74620805017962</v>
      </c>
      <c r="D9" s="38">
        <v>109.13726047052565</v>
      </c>
      <c r="E9" s="38">
        <v>109.55834774384989</v>
      </c>
      <c r="F9" s="38">
        <v>108.5031374737553</v>
      </c>
      <c r="G9" s="38">
        <v>109.31540924470536</v>
      </c>
      <c r="H9" s="38">
        <v>110.03354262198339</v>
      </c>
      <c r="I9" s="38">
        <v>111.4023681639233</v>
      </c>
      <c r="J9" s="38">
        <v>111.33472252662231</v>
      </c>
      <c r="K9" s="38">
        <v>110.94552168739732</v>
      </c>
      <c r="L9" s="38">
        <v>110.73802517067858</v>
      </c>
      <c r="M9" s="38">
        <v>112.02436167086934</v>
      </c>
      <c r="N9" s="38">
        <f>AVERAGE(B9:M9)</f>
        <v>109.77670670174727</v>
      </c>
      <c r="O9" s="25" t="s">
        <v>3</v>
      </c>
      <c r="Q9" s="17"/>
    </row>
    <row r="10" spans="1:24" s="14" customFormat="1" ht="14.25" x14ac:dyDescent="0.25">
      <c r="A10" s="6" t="s">
        <v>4</v>
      </c>
      <c r="B10" s="38">
        <v>106.0326900546612</v>
      </c>
      <c r="C10" s="38">
        <v>106.88128847467959</v>
      </c>
      <c r="D10" s="38">
        <v>107.77295790348674</v>
      </c>
      <c r="E10" s="38">
        <v>107.9412063415114</v>
      </c>
      <c r="F10" s="38">
        <v>107.16246651128671</v>
      </c>
      <c r="G10" s="38">
        <v>108.00358989538478</v>
      </c>
      <c r="H10" s="38">
        <v>108.33100638805149</v>
      </c>
      <c r="I10" s="38">
        <v>109.71138847725625</v>
      </c>
      <c r="J10" s="38">
        <v>110.38089410013502</v>
      </c>
      <c r="K10" s="38">
        <v>109.52675762739584</v>
      </c>
      <c r="L10" s="38">
        <v>109.3699483235676</v>
      </c>
      <c r="M10" s="38">
        <v>110.78177503949861</v>
      </c>
      <c r="N10" s="38">
        <f t="shared" ref="N10:N26" si="0">AVERAGE(B10:M10)</f>
        <v>108.4913307614096</v>
      </c>
      <c r="O10" s="25" t="s">
        <v>5</v>
      </c>
      <c r="Q10" s="17"/>
    </row>
    <row r="11" spans="1:24" s="14" customFormat="1" ht="14.25" x14ac:dyDescent="0.25">
      <c r="A11" s="7" t="s">
        <v>6</v>
      </c>
      <c r="B11" s="38">
        <v>108.90402914991157</v>
      </c>
      <c r="C11" s="38">
        <v>111.40587001706099</v>
      </c>
      <c r="D11" s="38">
        <v>114.90991998401208</v>
      </c>
      <c r="E11" s="38">
        <v>116.40082310554564</v>
      </c>
      <c r="F11" s="38">
        <v>114.17580655239422</v>
      </c>
      <c r="G11" s="38">
        <v>114.86600090214594</v>
      </c>
      <c r="H11" s="38">
        <v>117.23734200293256</v>
      </c>
      <c r="I11" s="38">
        <v>118.55726929156458</v>
      </c>
      <c r="J11" s="38">
        <v>115.37057708954828</v>
      </c>
      <c r="K11" s="38">
        <v>116.94861956775654</v>
      </c>
      <c r="L11" s="38">
        <v>116.52665448022843</v>
      </c>
      <c r="M11" s="38">
        <v>117.28201471075295</v>
      </c>
      <c r="N11" s="38">
        <f t="shared" si="0"/>
        <v>115.21541057115449</v>
      </c>
      <c r="O11" s="25" t="s">
        <v>7</v>
      </c>
      <c r="Q11" s="17"/>
    </row>
    <row r="12" spans="1:24" s="14" customFormat="1" ht="14.25" x14ac:dyDescent="0.25">
      <c r="A12" s="7" t="s">
        <v>8</v>
      </c>
      <c r="B12" s="38">
        <v>102.80337787825597</v>
      </c>
      <c r="C12" s="38">
        <v>103.06463683031357</v>
      </c>
      <c r="D12" s="38">
        <v>103.36220853046072</v>
      </c>
      <c r="E12" s="38">
        <v>103.48751313418104</v>
      </c>
      <c r="F12" s="38">
        <v>103.2451147235552</v>
      </c>
      <c r="G12" s="38">
        <v>103.57931213303333</v>
      </c>
      <c r="H12" s="38">
        <v>103.55514060436285</v>
      </c>
      <c r="I12" s="38">
        <v>103.71673073855926</v>
      </c>
      <c r="J12" s="38">
        <v>103.9633936410126</v>
      </c>
      <c r="K12" s="38">
        <v>103.91640585851854</v>
      </c>
      <c r="L12" s="38">
        <v>184.07959441868749</v>
      </c>
      <c r="M12" s="38">
        <v>202.53690731551922</v>
      </c>
      <c r="N12" s="38">
        <f t="shared" si="0"/>
        <v>118.44252798387167</v>
      </c>
      <c r="O12" s="25" t="s">
        <v>25</v>
      </c>
      <c r="Q12" s="17"/>
    </row>
    <row r="13" spans="1:24" ht="15" x14ac:dyDescent="0.25">
      <c r="A13" s="7" t="s">
        <v>56</v>
      </c>
      <c r="B13" s="38">
        <v>101.71036025324342</v>
      </c>
      <c r="C13" s="38">
        <v>101.60346504869753</v>
      </c>
      <c r="D13" s="38">
        <v>101.60346504869753</v>
      </c>
      <c r="E13" s="38">
        <v>100.97113375804783</v>
      </c>
      <c r="F13" s="38">
        <v>100.9916513790768</v>
      </c>
      <c r="G13" s="38">
        <v>101.12366412474913</v>
      </c>
      <c r="H13" s="38">
        <v>101.12366412474913</v>
      </c>
      <c r="I13" s="38">
        <v>101.12249841323631</v>
      </c>
      <c r="J13" s="38">
        <v>100.97397295994853</v>
      </c>
      <c r="K13" s="38">
        <v>101.01857869456083</v>
      </c>
      <c r="L13" s="38">
        <v>102.10385408324839</v>
      </c>
      <c r="M13" s="38">
        <v>102.0422591237719</v>
      </c>
      <c r="N13" s="38">
        <f t="shared" si="0"/>
        <v>101.36571391766894</v>
      </c>
      <c r="O13" s="25" t="s">
        <v>9</v>
      </c>
      <c r="Q13" s="17"/>
    </row>
    <row r="14" spans="1:24" ht="15" x14ac:dyDescent="0.25">
      <c r="A14" s="7" t="s">
        <v>57</v>
      </c>
      <c r="B14" s="38">
        <v>101.1467420477945</v>
      </c>
      <c r="C14" s="38">
        <v>101.88124196203482</v>
      </c>
      <c r="D14" s="38">
        <v>97.10105654399284</v>
      </c>
      <c r="E14" s="38">
        <v>94.056854611200094</v>
      </c>
      <c r="F14" s="38">
        <v>101.13803625499104</v>
      </c>
      <c r="G14" s="38">
        <v>102.6518992166846</v>
      </c>
      <c r="H14" s="38">
        <v>102.56691769062733</v>
      </c>
      <c r="I14" s="38">
        <v>102.23308460785995</v>
      </c>
      <c r="J14" s="38">
        <v>102.72058181311453</v>
      </c>
      <c r="K14" s="38">
        <v>102.18343825728363</v>
      </c>
      <c r="L14" s="38">
        <v>102.34957772203748</v>
      </c>
      <c r="M14" s="38">
        <v>101.8689681590146</v>
      </c>
      <c r="N14" s="38">
        <f t="shared" si="0"/>
        <v>100.99153324055295</v>
      </c>
      <c r="O14" s="25" t="s">
        <v>10</v>
      </c>
      <c r="Q14" s="17"/>
    </row>
    <row r="15" spans="1:24" ht="15" x14ac:dyDescent="0.25">
      <c r="A15" s="7" t="s">
        <v>58</v>
      </c>
      <c r="B15" s="38">
        <v>99.992150572363414</v>
      </c>
      <c r="C15" s="38">
        <v>99.992150572363414</v>
      </c>
      <c r="D15" s="38">
        <v>99.992150572363414</v>
      </c>
      <c r="E15" s="38">
        <v>99.992150572363414</v>
      </c>
      <c r="F15" s="38">
        <v>99.992150572363414</v>
      </c>
      <c r="G15" s="38">
        <v>99.992150572363414</v>
      </c>
      <c r="H15" s="38">
        <v>99.992150572363414</v>
      </c>
      <c r="I15" s="38">
        <v>99.992150572363414</v>
      </c>
      <c r="J15" s="38">
        <v>99.992150572363414</v>
      </c>
      <c r="K15" s="38">
        <v>99.992150572363414</v>
      </c>
      <c r="L15" s="38">
        <v>99.99216247678946</v>
      </c>
      <c r="M15" s="38">
        <v>99.99216247678946</v>
      </c>
      <c r="N15" s="38">
        <f t="shared" si="0"/>
        <v>99.992152556434419</v>
      </c>
      <c r="O15" s="26" t="s">
        <v>11</v>
      </c>
      <c r="Q15" s="17"/>
    </row>
    <row r="16" spans="1:24" ht="25.5" x14ac:dyDescent="0.25">
      <c r="A16" s="6" t="s">
        <v>59</v>
      </c>
      <c r="B16" s="38">
        <v>102.43824633283748</v>
      </c>
      <c r="C16" s="38">
        <v>102.15647144142078</v>
      </c>
      <c r="D16" s="38">
        <v>101.85116634429326</v>
      </c>
      <c r="E16" s="38">
        <v>101.39382443155428</v>
      </c>
      <c r="F16" s="38">
        <v>101.43018393242005</v>
      </c>
      <c r="G16" s="38">
        <v>102.75181531332132</v>
      </c>
      <c r="H16" s="38">
        <v>102.96964477881095</v>
      </c>
      <c r="I16" s="38">
        <v>102.97337657739911</v>
      </c>
      <c r="J16" s="38">
        <v>103.07597577366383</v>
      </c>
      <c r="K16" s="38">
        <v>103.21097400619361</v>
      </c>
      <c r="L16" s="38">
        <v>103.32874968734551</v>
      </c>
      <c r="M16" s="38">
        <v>104.28912905358175</v>
      </c>
      <c r="N16" s="38">
        <f t="shared" si="0"/>
        <v>102.65579647273681</v>
      </c>
      <c r="O16" s="37" t="s">
        <v>12</v>
      </c>
      <c r="Q16" s="17"/>
    </row>
    <row r="17" spans="1:17" ht="15" x14ac:dyDescent="0.25">
      <c r="A17" s="8" t="s">
        <v>13</v>
      </c>
      <c r="B17" s="38">
        <v>106.4172042101863</v>
      </c>
      <c r="C17" s="38">
        <v>106.89787237942072</v>
      </c>
      <c r="D17" s="38">
        <v>106.93170176361657</v>
      </c>
      <c r="E17" s="38">
        <v>107.15523569019462</v>
      </c>
      <c r="F17" s="38">
        <v>107.15523569019462</v>
      </c>
      <c r="G17" s="38">
        <v>107.93224862219273</v>
      </c>
      <c r="H17" s="38">
        <v>108.07165385212181</v>
      </c>
      <c r="I17" s="38">
        <v>108.56357207155422</v>
      </c>
      <c r="J17" s="38">
        <v>109.11793286757899</v>
      </c>
      <c r="K17" s="38">
        <v>109.16840477167567</v>
      </c>
      <c r="L17" s="38">
        <v>109.18184324757634</v>
      </c>
      <c r="M17" s="38">
        <v>109.26793858893173</v>
      </c>
      <c r="N17" s="38">
        <f t="shared" si="0"/>
        <v>107.98840364627034</v>
      </c>
      <c r="O17" s="25" t="s">
        <v>14</v>
      </c>
      <c r="Q17" s="17"/>
    </row>
    <row r="18" spans="1:17" ht="15" x14ac:dyDescent="0.25">
      <c r="A18" s="8" t="s">
        <v>60</v>
      </c>
      <c r="B18" s="38">
        <v>103.32029625863218</v>
      </c>
      <c r="C18" s="38">
        <v>102.89774705308302</v>
      </c>
      <c r="D18" s="38">
        <v>103.03776107761236</v>
      </c>
      <c r="E18" s="38">
        <v>102.70861555703937</v>
      </c>
      <c r="F18" s="38">
        <v>101.69647511732298</v>
      </c>
      <c r="G18" s="38">
        <v>102.16824620254437</v>
      </c>
      <c r="H18" s="38">
        <v>102.23946935531939</v>
      </c>
      <c r="I18" s="38">
        <v>102.22373689813641</v>
      </c>
      <c r="J18" s="38">
        <v>102.47334061514903</v>
      </c>
      <c r="K18" s="38">
        <v>102.44928515261279</v>
      </c>
      <c r="L18" s="38">
        <v>103.09390294197431</v>
      </c>
      <c r="M18" s="38">
        <v>103.35887246504001</v>
      </c>
      <c r="N18" s="38">
        <f t="shared" si="0"/>
        <v>102.63897905787216</v>
      </c>
      <c r="O18" s="25" t="s">
        <v>15</v>
      </c>
      <c r="Q18" s="17"/>
    </row>
    <row r="19" spans="1:17" ht="15" x14ac:dyDescent="0.25">
      <c r="A19" s="8" t="s">
        <v>61</v>
      </c>
      <c r="B19" s="38">
        <v>87.4660060105995</v>
      </c>
      <c r="C19" s="38">
        <v>87.690347625934351</v>
      </c>
      <c r="D19" s="38">
        <v>87.582649926756261</v>
      </c>
      <c r="E19" s="38">
        <v>87.043624446482681</v>
      </c>
      <c r="F19" s="38">
        <v>86.905733924230304</v>
      </c>
      <c r="G19" s="38">
        <v>86.710114654117504</v>
      </c>
      <c r="H19" s="38">
        <v>85.984465192144555</v>
      </c>
      <c r="I19" s="38">
        <v>85.176436483008857</v>
      </c>
      <c r="J19" s="38">
        <v>85.024932909755563</v>
      </c>
      <c r="K19" s="38">
        <v>85.677798365288453</v>
      </c>
      <c r="L19" s="38">
        <v>84.767782670742463</v>
      </c>
      <c r="M19" s="38">
        <v>83.733253965137365</v>
      </c>
      <c r="N19" s="38">
        <f t="shared" si="0"/>
        <v>86.146928847849821</v>
      </c>
      <c r="O19" s="25" t="s">
        <v>16</v>
      </c>
      <c r="Q19" s="17"/>
    </row>
    <row r="20" spans="1:17" ht="15" x14ac:dyDescent="0.25">
      <c r="A20" s="6" t="s">
        <v>62</v>
      </c>
      <c r="B20" s="38">
        <v>101.06787160779871</v>
      </c>
      <c r="C20" s="38">
        <v>101.05172816535885</v>
      </c>
      <c r="D20" s="38">
        <v>101.06256940085939</v>
      </c>
      <c r="E20" s="38">
        <v>101.60299525962678</v>
      </c>
      <c r="F20" s="38">
        <v>101.60299525962678</v>
      </c>
      <c r="G20" s="38">
        <v>101.31314194719273</v>
      </c>
      <c r="H20" s="38">
        <v>101.38459611807892</v>
      </c>
      <c r="I20" s="38">
        <v>101.35274721425324</v>
      </c>
      <c r="J20" s="38">
        <v>101.35274721425324</v>
      </c>
      <c r="K20" s="38">
        <v>100.43958462120561</v>
      </c>
      <c r="L20" s="38">
        <v>101.40237168810275</v>
      </c>
      <c r="M20" s="38">
        <v>101.75179405251727</v>
      </c>
      <c r="N20" s="38">
        <f t="shared" si="0"/>
        <v>101.28209521240619</v>
      </c>
      <c r="O20" s="27" t="s">
        <v>17</v>
      </c>
      <c r="Q20" s="17"/>
    </row>
    <row r="21" spans="1:17" ht="15" x14ac:dyDescent="0.25">
      <c r="A21" s="7" t="s">
        <v>63</v>
      </c>
      <c r="B21" s="38">
        <v>105.3880891503201</v>
      </c>
      <c r="C21" s="38">
        <v>105.3880891503201</v>
      </c>
      <c r="D21" s="38">
        <v>105.3880891503201</v>
      </c>
      <c r="E21" s="38">
        <v>105.43498434748007</v>
      </c>
      <c r="F21" s="38">
        <v>106.1682049231199</v>
      </c>
      <c r="G21" s="38">
        <v>106.24348651896644</v>
      </c>
      <c r="H21" s="38">
        <v>106.24348651896644</v>
      </c>
      <c r="I21" s="38">
        <v>106.24348651896644</v>
      </c>
      <c r="J21" s="38">
        <v>106.24348651896644</v>
      </c>
      <c r="K21" s="38">
        <v>106.24348651896644</v>
      </c>
      <c r="L21" s="38">
        <v>106.41896885918457</v>
      </c>
      <c r="M21" s="38">
        <v>106.41896885918457</v>
      </c>
      <c r="N21" s="38">
        <f t="shared" si="0"/>
        <v>105.98523558623013</v>
      </c>
      <c r="O21" s="27" t="s">
        <v>18</v>
      </c>
      <c r="Q21" s="17"/>
    </row>
    <row r="22" spans="1:17" ht="15" x14ac:dyDescent="0.25">
      <c r="A22" s="7" t="s">
        <v>64</v>
      </c>
      <c r="B22" s="38">
        <v>107.09341333821888</v>
      </c>
      <c r="C22" s="38">
        <v>107.09341333821888</v>
      </c>
      <c r="D22" s="38">
        <v>107.09341333821888</v>
      </c>
      <c r="E22" s="38">
        <v>107.12986357128673</v>
      </c>
      <c r="F22" s="38">
        <v>107.12986357128673</v>
      </c>
      <c r="G22" s="38">
        <v>107.25200192254214</v>
      </c>
      <c r="H22" s="38">
        <v>107.25200192254214</v>
      </c>
      <c r="I22" s="38">
        <v>107.25200192254214</v>
      </c>
      <c r="J22" s="38">
        <v>107.25200192254214</v>
      </c>
      <c r="K22" s="38">
        <v>107.25200192254214</v>
      </c>
      <c r="L22" s="38">
        <v>123.5900665025152</v>
      </c>
      <c r="M22" s="38">
        <v>134.58615683726109</v>
      </c>
      <c r="N22" s="38">
        <f t="shared" si="0"/>
        <v>110.83135000914308</v>
      </c>
      <c r="O22" s="27" t="s">
        <v>19</v>
      </c>
      <c r="Q22" s="17"/>
    </row>
    <row r="23" spans="1:17" ht="17.25" x14ac:dyDescent="0.25">
      <c r="A23" s="7" t="s">
        <v>65</v>
      </c>
      <c r="B23" s="38">
        <v>108.02079541021179</v>
      </c>
      <c r="C23" s="38">
        <v>108.02079541021179</v>
      </c>
      <c r="D23" s="38">
        <v>108.02079541021179</v>
      </c>
      <c r="E23" s="38">
        <v>107.49172817990667</v>
      </c>
      <c r="F23" s="38">
        <v>107.49172817990667</v>
      </c>
      <c r="G23" s="38">
        <v>107.49172817990667</v>
      </c>
      <c r="H23" s="38">
        <v>107.49172817990667</v>
      </c>
      <c r="I23" s="38">
        <v>107.49172817990667</v>
      </c>
      <c r="J23" s="38">
        <v>107.49172817990667</v>
      </c>
      <c r="K23" s="38">
        <v>107.49172817990667</v>
      </c>
      <c r="L23" s="38">
        <v>108.40085974497387</v>
      </c>
      <c r="M23" s="38">
        <v>108.40085974497387</v>
      </c>
      <c r="N23" s="38">
        <f t="shared" si="0"/>
        <v>107.77551691499413</v>
      </c>
      <c r="O23" s="23" t="s">
        <v>68</v>
      </c>
      <c r="Q23" s="17"/>
    </row>
    <row r="24" spans="1:17" ht="25.5" x14ac:dyDescent="0.25">
      <c r="A24" s="6" t="s">
        <v>66</v>
      </c>
      <c r="B24" s="38">
        <v>104.84137641460049</v>
      </c>
      <c r="C24" s="38">
        <v>104.76395003946273</v>
      </c>
      <c r="D24" s="38">
        <v>104.86676683353039</v>
      </c>
      <c r="E24" s="38">
        <v>105.13375147837426</v>
      </c>
      <c r="F24" s="38">
        <v>105.20790751515598</v>
      </c>
      <c r="G24" s="38">
        <v>105.60459429695717</v>
      </c>
      <c r="H24" s="38">
        <v>105.60943878927816</v>
      </c>
      <c r="I24" s="38">
        <v>105.85648092539581</v>
      </c>
      <c r="J24" s="38">
        <v>106.19635115614977</v>
      </c>
      <c r="K24" s="38">
        <v>106.39466793056732</v>
      </c>
      <c r="L24" s="38">
        <v>106.13194150079448</v>
      </c>
      <c r="M24" s="38">
        <v>106.5442080194162</v>
      </c>
      <c r="N24" s="38">
        <f t="shared" si="0"/>
        <v>105.5959529083069</v>
      </c>
      <c r="O24" s="27" t="s">
        <v>20</v>
      </c>
      <c r="Q24" s="17"/>
    </row>
    <row r="25" spans="1:17" ht="15" x14ac:dyDescent="0.25">
      <c r="A25" s="9" t="s">
        <v>21</v>
      </c>
      <c r="B25" s="21">
        <v>102.34816720591982</v>
      </c>
      <c r="C25" s="21">
        <v>102.81353852036146</v>
      </c>
      <c r="D25" s="21">
        <v>101.90277696505173</v>
      </c>
      <c r="E25" s="21">
        <v>101.13232232696224</v>
      </c>
      <c r="F25" s="21">
        <v>102.65759794699783</v>
      </c>
      <c r="G25" s="21">
        <v>103.40588171202255</v>
      </c>
      <c r="H25" s="21">
        <v>103.50621011257574</v>
      </c>
      <c r="I25" s="21">
        <v>103.70400896495029</v>
      </c>
      <c r="J25" s="21">
        <v>103.87055603949287</v>
      </c>
      <c r="K25" s="21">
        <v>103.70892471551728</v>
      </c>
      <c r="L25" s="21">
        <v>106.26553590803022</v>
      </c>
      <c r="M25" s="21">
        <v>107.44602190079328</v>
      </c>
      <c r="N25" s="38">
        <f t="shared" si="0"/>
        <v>103.56346185988961</v>
      </c>
      <c r="O25" s="28" t="s">
        <v>22</v>
      </c>
      <c r="Q25" s="17"/>
    </row>
    <row r="26" spans="1:17" ht="15" x14ac:dyDescent="0.25">
      <c r="A26" s="10" t="s">
        <v>23</v>
      </c>
      <c r="B26" s="22">
        <v>102.03992659053043</v>
      </c>
      <c r="C26" s="22">
        <v>102.40954808084348</v>
      </c>
      <c r="D26" s="22">
        <v>101.29121287128724</v>
      </c>
      <c r="E26" s="22">
        <v>100.41443471488742</v>
      </c>
      <c r="F26" s="22">
        <v>102.11603991251772</v>
      </c>
      <c r="G26" s="22">
        <v>102.86705489996055</v>
      </c>
      <c r="H26" s="22">
        <v>102.8606058304789</v>
      </c>
      <c r="I26" s="22">
        <v>103.00564494466907</v>
      </c>
      <c r="J26" s="22">
        <v>103.32985313944035</v>
      </c>
      <c r="K26" s="22">
        <v>103.08642660257847</v>
      </c>
      <c r="L26" s="22">
        <v>105.78308317636819</v>
      </c>
      <c r="M26" s="22">
        <v>106.98355754406805</v>
      </c>
      <c r="N26" s="40">
        <f t="shared" si="0"/>
        <v>103.0156156923025</v>
      </c>
      <c r="O26" s="29" t="s">
        <v>24</v>
      </c>
      <c r="Q26" s="17"/>
    </row>
    <row r="27" spans="1:17" ht="17.25" x14ac:dyDescent="0.25">
      <c r="A27" s="20" t="s">
        <v>26</v>
      </c>
      <c r="B27" s="20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23" t="s">
        <v>70</v>
      </c>
      <c r="Q27" s="17"/>
    </row>
    <row r="28" spans="1:17" ht="15" x14ac:dyDescent="0.25">
      <c r="A28" s="11" t="s">
        <v>27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36"/>
      <c r="Q28" s="17"/>
    </row>
    <row r="29" spans="1:17" ht="15" x14ac:dyDescent="0.25">
      <c r="A29" s="11" t="s">
        <v>67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36"/>
      <c r="Q29" s="17"/>
    </row>
    <row r="30" spans="1:17" ht="15" x14ac:dyDescent="0.25">
      <c r="A30" s="24" t="s">
        <v>72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36"/>
      <c r="Q30" s="17"/>
    </row>
    <row r="31" spans="1:17" x14ac:dyDescent="0.45">
      <c r="Q31" s="17"/>
    </row>
  </sheetData>
  <mergeCells count="5">
    <mergeCell ref="A1:O1"/>
    <mergeCell ref="Q1:X1"/>
    <mergeCell ref="A2:O2"/>
    <mergeCell ref="A3:O3"/>
    <mergeCell ref="A4:O4"/>
  </mergeCells>
  <pageMargins left="0.7" right="0.7" top="0.75" bottom="0.75" header="0.3" footer="0.3"/>
  <pageSetup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2025-06-01T05:01:21Z</cp:lastPrinted>
  <dcterms:created xsi:type="dcterms:W3CDTF">2019-03-21T03:27:43Z</dcterms:created>
  <dcterms:modified xsi:type="dcterms:W3CDTF">2025-06-01T05:03:29Z</dcterms:modified>
</cp:coreProperties>
</file>