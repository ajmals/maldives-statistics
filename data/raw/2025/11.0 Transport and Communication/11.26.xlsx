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75CFB4C5-2346-49A9-8483-70AE872665A5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11.26" sheetId="16" r:id="rId2"/>
  </sheets>
  <definedNames>
    <definedName name="_xlnm.Print_Area" localSheetId="1">'11.26'!$A$1:$U$166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<sst xmlns="http://schemas.openxmlformats.org/spreadsheetml/2006/main" count="608" uniqueCount="120">
  <si>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</si>
  <si>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</si>
  <si>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</si>
  <si>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</si>
  <si>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</si>
  <si>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</si>
  <si>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</si>
  <si>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</si>
  <si>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</si>
  <si>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</si>
  <si>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</si>
  <si>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</si>
  <si>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</si>
  <si>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</si>
  <si>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</si>
  <si>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</si>
  <si>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</si>
  <si>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</si>
  <si>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</si>
  <si>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</si>
  <si>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</si>
  <si>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</si>
  <si>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</si>
  <si>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</si>
  <si>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</si>
  <si>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</si>
  <si>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</si>
  <si>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</si>
  <si>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</si>
  <si>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</si>
  <si>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</si>
  <si>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</si>
  <si>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</si>
  <si>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</si>
  <si>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</si>
  <si>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</si>
  <si>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</si>
  <si>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</si>
  <si>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</si>
  <si>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</si>
  <si>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</si>
  <si>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</si>
  <si>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</si>
  <si>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</si>
  <si>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</si>
  <si>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</si>
  <si>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</si>
  <si>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</si>
  <si>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</si>
  <si>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</si>
  <si>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</si>
  <si>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</si>
  <si>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</si>
  <si>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</si>
  <si>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</si>
  <si>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</si>
  <si>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</si>
  <si>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</si>
  <si>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</si>
  <si>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</si>
  <si>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</si>
  <si>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</si>
  <si>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</si>
  <si>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</si>
  <si>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MONTH</t>
  </si>
  <si>
    <t>ACFT MVTS</t>
  </si>
  <si>
    <t>PASSENGERS</t>
  </si>
  <si>
    <t>CARGO (kg)</t>
  </si>
  <si>
    <t>MAIL (kg)</t>
  </si>
  <si>
    <t>IN</t>
  </si>
  <si>
    <t>OUT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</si>
  <si>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</si>
  <si>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</si>
  <si>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</si>
  <si>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</si>
  <si>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</si>
  <si>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</si>
  <si>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</si>
  <si>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</si>
  <si>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</si>
  <si>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</si>
  <si>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</si>
  <si>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</si>
  <si>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</si>
  <si>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1</t>
  </si>
  <si>
    <t>3</t>
  </si>
  <si>
    <t>11</t>
  </si>
  <si>
    <t>4471</t>
  </si>
  <si>
    <t>8541</t>
  </si>
  <si>
    <t>3939</t>
  </si>
  <si>
    <t>6778</t>
  </si>
  <si>
    <t>5096</t>
  </si>
  <si>
    <t>9416</t>
  </si>
  <si>
    <t>4476</t>
  </si>
  <si>
    <t>8143</t>
  </si>
  <si>
    <t>2623</t>
  </si>
  <si>
    <t>6506</t>
  </si>
  <si>
    <t>MONTHLY TRAFFIC AT KADHDHOO AIRPORT - 2024</t>
  </si>
  <si>
    <t>241</t>
  </si>
  <si>
    <t>20</t>
  </si>
  <si>
    <t>50</t>
  </si>
  <si>
    <t>100</t>
  </si>
  <si>
    <t>37</t>
  </si>
  <si>
    <t>40</t>
  </si>
  <si>
    <t>31</t>
  </si>
  <si>
    <t>MONTHLY TRAFFIC AT FOAMULAH AIRPORT - 2024</t>
  </si>
  <si>
    <t>MONTHLY TRAFFIC AT DHARAVANDHOO AIRPORT - 2024</t>
  </si>
  <si>
    <t>MONTHLY TRAFFIC AT KOODDOO AIRPORT - 2024</t>
  </si>
  <si>
    <t>MONTHLY TRAFFIC AT THIMARAFUSHI AIRPORT - 2024</t>
  </si>
  <si>
    <t>MONTHLY TRAFFIC AT R.IFURU AIRPORT - 2024</t>
  </si>
  <si>
    <t>MONTHLY TRAFFIC AT DHAALU AIRPORT - 2024</t>
  </si>
  <si>
    <t>MONTHLY TRAFFIC AT MAAMIGILLI AIRPORT -2024</t>
  </si>
  <si>
    <t>MONTHLY TRAFFIC AT MAAVRULU AIRPORT - 2024</t>
  </si>
  <si>
    <t>MONTHLY TRAFFIC AT FUNADHOO AIRPORT - 2024</t>
  </si>
  <si>
    <t>MONTHLY TRAFFIC AT KULHUDHUFFUSHI AIRPORT - 2024</t>
  </si>
  <si>
    <t>MONTHLY TRAFFIC AT HOARAFUSHI AIRPORT - 2024</t>
  </si>
  <si>
    <t>MONTHLY TRAFFIC AT MADIVARU AIRPORT - 2024</t>
  </si>
  <si>
    <t>MONTHLY TRAFFIC AT FARESMAATHODA AIRPORT - 2024</t>
  </si>
  <si>
    <t>MONTHLY TRAFFIC AT KAADEDHDHOO AIRPORT - 2024</t>
  </si>
  <si>
    <t>Table 11:26: Monthly Traffic at Domestic Airports,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</si>
</sst>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  <numFmt numFmtId="167" formatCode="mmmmm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sz val="9"/>
      <name val="Univers Condensed"/>
      <family val="2"/>
    </font>
    <font>
      <b/>
      <sz val="9"/>
      <name val="Univers Condensed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9"/>
      <color theme="1"/>
      <name val="Univers Condensed"/>
      <family val="2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6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76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38" fontId="9" fillId="2" borderId="0" xfId="3" applyNumberFormat="1" applyFont="1" applyFill="1" applyBorder="1" applyAlignment="1">
      <alignment horizontal="right" vertical="center" wrapText="1"/>
    </xf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3" fillId="2" borderId="13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164" fontId="6" fillId="2" borderId="38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11" fillId="2" borderId="38" xfId="2" applyFont="1" applyFill="1" applyBorder="1" applyAlignment="1">
      <alignment horizontal="left" vertical="center"/>
    </xf>
    <xf numFmtId="164" fontId="18" fillId="2" borderId="38" xfId="2" applyFont="1" applyFill="1" applyBorder="1" applyAlignment="1">
      <alignment horizontal="right" vertical="center"/>
    </xf>
    <xf numFmtId="0" fontId="6" fillId="2" borderId="38" xfId="2" applyNumberFormat="1" applyFont="1" applyFill="1" applyBorder="1" applyAlignment="1">
      <alignment horizontal="center" vertical="center"/>
    </xf>
    <xf numFmtId="164" fontId="25" fillId="2" borderId="0" xfId="2" applyFont="1" applyFill="1" applyAlignment="1">
      <alignment horizontal="right" vertical="center"/>
    </xf>
    <xf numFmtId="164" fontId="24" fillId="2" borderId="0" xfId="0" applyNumberFormat="1" applyFont="1" applyFill="1"/>
    <xf numFmtId="0" fontId="30" fillId="2" borderId="11" xfId="5" applyFont="1" applyFill="1" applyBorder="1" applyAlignment="1">
      <alignment horizontal="right"/>
    </xf>
    <xf numFmtId="0" fontId="30" fillId="2" borderId="12" xfId="5" applyFont="1" applyFill="1" applyBorder="1" applyAlignment="1">
      <alignment horizontal="right"/>
    </xf>
    <xf numFmtId="0" fontId="25" fillId="2" borderId="13" xfId="5" applyFont="1" applyFill="1" applyBorder="1" applyAlignment="1">
      <alignment horizontal="right"/>
    </xf>
    <xf numFmtId="164" fontId="31" fillId="2" borderId="8" xfId="2" applyFont="1" applyFill="1" applyBorder="1" applyAlignment="1">
      <alignment horizontal="center" vertical="center"/>
    </xf>
    <xf numFmtId="164" fontId="33" fillId="2" borderId="8" xfId="0" applyNumberFormat="1" applyFont="1" applyFill="1" applyBorder="1"/>
    <xf numFmtId="164" fontId="32" fillId="2" borderId="18" xfId="2" applyFont="1" applyFill="1" applyBorder="1" applyAlignment="1">
      <alignment vertical="center"/>
    </xf>
    <xf numFmtId="164" fontId="34" fillId="2" borderId="8" xfId="0" applyNumberFormat="1" applyFont="1" applyFill="1" applyBorder="1"/>
    <xf numFmtId="164" fontId="3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2" xfId="2" applyFont="1" applyFill="1" applyBorder="1" applyAlignment="1">
      <alignment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38" xfId="2" applyNumberFormat="1" applyFont="1" applyFill="1" applyBorder="1" applyAlignment="1">
      <alignment horizontal="right" vertical="center"/>
    </xf>
    <xf numFmtId="164" fontId="32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0" fontId="0" fillId="2" borderId="0" xfId="0" applyFill="1"/>
    <xf numFmtId="37" fontId="37" fillId="2" borderId="0" xfId="1" applyNumberFormat="1" applyFont="1" applyFill="1" applyAlignment="1">
      <alignment horizontal="right"/>
    </xf>
    <xf numFmtId="37" fontId="38" fillId="2" borderId="15" xfId="1" applyNumberFormat="1" applyFont="1" applyFill="1" applyBorder="1" applyAlignment="1">
      <alignment horizontal="right"/>
    </xf>
    <xf numFmtId="37" fontId="37" fillId="2" borderId="0" xfId="1" applyNumberFormat="1" applyFont="1" applyFill="1"/>
    <xf numFmtId="164" fontId="26" fillId="2" borderId="0" xfId="2" applyFont="1" applyFill="1" applyAlignment="1">
      <alignment vertical="center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29" fillId="2" borderId="18" xfId="2" applyFont="1" applyFill="1" applyBorder="1" applyAlignment="1">
      <alignment vertical="center"/>
    </xf>
    <xf numFmtId="164" fontId="22" fillId="2" borderId="1" xfId="2" applyFont="1" applyFill="1" applyBorder="1" applyAlignment="1">
      <alignment horizontal="center" vertical="center"/>
    </xf>
    <xf numFmtId="164" fontId="22" fillId="2" borderId="22" xfId="2" applyFont="1" applyFill="1" applyBorder="1" applyAlignment="1">
      <alignment vertical="center" wrapText="1"/>
    </xf>
    <xf numFmtId="164" fontId="23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8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24" fillId="2" borderId="1" xfId="2" applyFont="1" applyFill="1" applyBorder="1" applyAlignment="1">
      <alignment horizontal="left" vertical="center" indent="1"/>
    </xf>
    <xf numFmtId="164" fontId="24" fillId="2" borderId="5" xfId="2" applyFont="1" applyFill="1" applyBorder="1" applyAlignment="1">
      <alignment horizontal="left" vertical="center" indent="1"/>
    </xf>
    <xf numFmtId="37" fontId="38" fillId="2" borderId="0" xfId="1" applyNumberFormat="1" applyFont="1" applyFill="1" applyBorder="1" applyAlignment="1">
      <alignment horizontal="right"/>
    </xf>
    <xf numFmtId="37" fontId="37" fillId="2" borderId="0" xfId="1" applyNumberFormat="1" applyFont="1" applyFill="1" applyBorder="1" applyAlignment="1">
      <alignment horizontal="right"/>
    </xf>
    <xf numFmtId="37" fontId="4" fillId="2" borderId="0" xfId="1" applyNumberFormat="1" applyFont="1" applyFill="1"/>
    <xf numFmtId="0" fontId="38" fillId="2" borderId="0" xfId="16" applyFont="1" applyFill="1" applyAlignment="1">
      <alignment horizontal="center"/>
    </xf>
    <xf numFmtId="0" fontId="4" fillId="2" borderId="0" xfId="16" applyFill="1"/>
    <xf numFmtId="0" fontId="38" fillId="2" borderId="0" xfId="16" applyFont="1" applyFill="1"/>
    <xf numFmtId="0" fontId="38" fillId="2" borderId="0" xfId="16" applyFont="1" applyFill="1" applyAlignment="1">
      <alignment horizontal="center" vertical="center"/>
    </xf>
    <xf numFmtId="0" fontId="38" fillId="2" borderId="46" xfId="16" applyFont="1" applyFill="1" applyBorder="1" applyAlignment="1">
      <alignment horizontal="right"/>
    </xf>
    <xf numFmtId="0" fontId="38" fillId="2" borderId="45" xfId="16" applyFont="1" applyFill="1" applyBorder="1" applyAlignment="1">
      <alignment horizontal="right"/>
    </xf>
    <xf numFmtId="0" fontId="38" fillId="2" borderId="42" xfId="16" applyFont="1" applyFill="1" applyBorder="1" applyAlignment="1">
      <alignment horizontal="right"/>
    </xf>
    <xf numFmtId="0" fontId="38" fillId="2" borderId="0" xfId="16" applyFont="1" applyFill="1" applyAlignment="1">
      <alignment horizontal="right"/>
    </xf>
    <xf numFmtId="165" fontId="5" fillId="2" borderId="47" xfId="1" applyNumberFormat="1" applyFont="1" applyFill="1" applyBorder="1"/>
    <xf numFmtId="37" fontId="38" fillId="2" borderId="47" xfId="1" applyNumberFormat="1" applyFont="1" applyFill="1" applyBorder="1" applyAlignment="1">
      <alignment horizontal="right"/>
    </xf>
    <xf numFmtId="37" fontId="38" fillId="2" borderId="40" xfId="1" applyNumberFormat="1" applyFont="1" applyFill="1" applyBorder="1" applyAlignment="1">
      <alignment horizontal="right"/>
    </xf>
    <xf numFmtId="37" fontId="37" fillId="2" borderId="44" xfId="1" applyNumberFormat="1" applyFont="1" applyFill="1" applyBorder="1" applyAlignment="1">
      <alignment horizontal="right"/>
    </xf>
    <xf numFmtId="37" fontId="37" fillId="2" borderId="41" xfId="1" applyNumberFormat="1" applyFont="1" applyFill="1" applyBorder="1" applyAlignment="1">
      <alignment horizontal="right"/>
    </xf>
    <xf numFmtId="0" fontId="37" fillId="2" borderId="0" xfId="16" applyFont="1" applyFill="1"/>
    <xf numFmtId="37" fontId="37" fillId="2" borderId="44" xfId="1" applyNumberFormat="1" applyFont="1" applyFill="1" applyBorder="1"/>
    <xf numFmtId="37" fontId="37" fillId="2" borderId="41" xfId="1" applyNumberFormat="1" applyFont="1" applyFill="1" applyBorder="1"/>
    <xf numFmtId="37" fontId="37" fillId="2" borderId="46" xfId="1" applyNumberFormat="1" applyFont="1" applyFill="1" applyBorder="1" applyAlignment="1">
      <alignment horizontal="right"/>
    </xf>
    <xf numFmtId="37" fontId="37" fillId="2" borderId="45" xfId="1" applyNumberFormat="1" applyFont="1" applyFill="1" applyBorder="1" applyAlignment="1">
      <alignment horizontal="right"/>
    </xf>
    <xf numFmtId="37" fontId="37" fillId="2" borderId="42" xfId="1" applyNumberFormat="1" applyFont="1" applyFill="1" applyBorder="1" applyAlignment="1">
      <alignment horizontal="right"/>
    </xf>
    <xf numFmtId="17" fontId="37" fillId="2" borderId="0" xfId="16" applyNumberFormat="1" applyFont="1" applyFill="1"/>
    <xf numFmtId="2" fontId="37" fillId="2" borderId="0" xfId="16" applyNumberFormat="1" applyFont="1" applyFill="1"/>
    <xf numFmtId="167" fontId="37" fillId="2" borderId="0" xfId="16" applyNumberFormat="1" applyFont="1" applyFill="1" applyAlignment="1">
      <alignment horizontal="left" vertical="center" indent="1"/>
    </xf>
    <xf numFmtId="167" fontId="37" fillId="2" borderId="46" xfId="16" applyNumberFormat="1" applyFont="1" applyFill="1" applyBorder="1" applyAlignment="1">
      <alignment horizontal="left" vertical="center" indent="1"/>
    </xf>
    <xf numFmtId="164" fontId="18" fillId="2" borderId="38" xfId="2" applyFont="1" applyFill="1" applyBorder="1" applyAlignment="1">
      <alignment horizontal="center" vertical="center" wrapText="1"/>
    </xf>
    <xf numFmtId="164" fontId="31" fillId="2" borderId="8" xfId="2" applyFont="1" applyFill="1" applyBorder="1" applyAlignment="1">
      <alignment horizontal="center" vertical="center"/>
    </xf>
    <xf numFmtId="164" fontId="26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164" fontId="9" fillId="2" borderId="38" xfId="2" applyFont="1" applyFill="1" applyBorder="1" applyAlignment="1">
      <alignment horizontal="left" vertical="center"/>
    </xf>
    <xf numFmtId="164" fontId="25" fillId="2" borderId="8" xfId="2" applyFont="1" applyFill="1" applyBorder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5" fillId="2" borderId="38" xfId="2" applyFont="1" applyFill="1" applyBorder="1" applyAlignment="1">
      <alignment horizontal="right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29" fillId="2" borderId="10" xfId="2" applyFont="1" applyFill="1" applyBorder="1" applyAlignment="1">
      <alignment horizontal="center" vertical="center"/>
    </xf>
    <xf numFmtId="164" fontId="29" fillId="2" borderId="18" xfId="2" applyFont="1" applyFill="1" applyBorder="1" applyAlignment="1">
      <alignment horizontal="center" vertical="center"/>
    </xf>
    <xf numFmtId="164" fontId="29" fillId="2" borderId="19" xfId="2" applyFont="1" applyFill="1" applyBorder="1" applyAlignment="1">
      <alignment horizontal="center" vertical="center"/>
    </xf>
    <xf numFmtId="164" fontId="29" fillId="2" borderId="15" xfId="2" applyFont="1" applyFill="1" applyBorder="1" applyAlignment="1">
      <alignment horizontal="center" vertical="center"/>
    </xf>
    <xf numFmtId="164" fontId="29" fillId="2" borderId="8" xfId="2" applyFont="1" applyFill="1" applyBorder="1" applyAlignment="1">
      <alignment horizontal="center" vertical="center"/>
    </xf>
    <xf numFmtId="164" fontId="32" fillId="2" borderId="15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0" fontId="25" fillId="2" borderId="9" xfId="5" applyFont="1" applyFill="1" applyBorder="1" applyAlignment="1">
      <alignment horizontal="right" vertical="center"/>
    </xf>
    <xf numFmtId="0" fontId="25" fillId="2" borderId="11" xfId="5" applyFont="1" applyFill="1" applyBorder="1" applyAlignment="1">
      <alignment horizontal="right" vertical="center"/>
    </xf>
    <xf numFmtId="0" fontId="25" fillId="2" borderId="12" xfId="5" applyFont="1" applyFill="1" applyBorder="1" applyAlignment="1">
      <alignment horizontal="right" vertical="center"/>
    </xf>
    <xf numFmtId="164" fontId="22" fillId="2" borderId="6" xfId="2" applyFont="1" applyFill="1" applyBorder="1" applyAlignment="1">
      <alignment horizontal="center" vertical="center" wrapText="1"/>
    </xf>
    <xf numFmtId="164" fontId="22" fillId="2" borderId="22" xfId="2" applyFont="1" applyFill="1" applyBorder="1" applyAlignment="1">
      <alignment horizontal="center" vertical="center" wrapText="1"/>
    </xf>
    <xf numFmtId="164" fontId="22" fillId="2" borderId="23" xfId="2" applyFont="1" applyFill="1" applyBorder="1" applyAlignment="1">
      <alignment horizontal="center" vertical="center" wrapText="1"/>
    </xf>
    <xf numFmtId="164" fontId="22" fillId="2" borderId="14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 wrapText="1"/>
    </xf>
    <xf numFmtId="164" fontId="16" fillId="2" borderId="14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38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2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32" fillId="2" borderId="21" xfId="2" applyFont="1" applyFill="1" applyBorder="1" applyAlignment="1">
      <alignment horizontal="center" vertical="center"/>
    </xf>
    <xf numFmtId="164" fontId="32" fillId="2" borderId="20" xfId="2" applyFont="1" applyFill="1" applyBorder="1" applyAlignment="1">
      <alignment horizontal="center" vertical="center"/>
    </xf>
    <xf numFmtId="164" fontId="32" fillId="2" borderId="18" xfId="2" applyFont="1" applyFill="1" applyBorder="1" applyAlignment="1">
      <alignment horizontal="center" vertical="center"/>
    </xf>
    <xf numFmtId="164" fontId="32" fillId="2" borderId="19" xfId="2" applyFont="1" applyFill="1" applyBorder="1" applyAlignment="1">
      <alignment horizontal="center" vertical="center"/>
    </xf>
    <xf numFmtId="0" fontId="38" fillId="2" borderId="0" xfId="16" applyFont="1" applyFill="1" applyAlignment="1">
      <alignment horizontal="center"/>
    </xf>
    <xf numFmtId="0" fontId="38" fillId="2" borderId="47" xfId="16" applyFont="1" applyFill="1" applyBorder="1" applyAlignment="1">
      <alignment horizontal="center" vertical="center"/>
    </xf>
    <xf numFmtId="0" fontId="38" fillId="2" borderId="46" xfId="16" applyFont="1" applyFill="1" applyBorder="1" applyAlignment="1">
      <alignment horizontal="center" vertical="center"/>
    </xf>
    <xf numFmtId="0" fontId="38" fillId="2" borderId="47" xfId="16" applyFont="1" applyFill="1" applyBorder="1" applyAlignment="1">
      <alignment horizontal="right" vertical="center" wrapText="1"/>
    </xf>
    <xf numFmtId="0" fontId="38" fillId="2" borderId="46" xfId="16" applyFont="1" applyFill="1" applyBorder="1" applyAlignment="1">
      <alignment horizontal="right" vertical="center" wrapText="1"/>
    </xf>
    <xf numFmtId="0" fontId="38" fillId="2" borderId="48" xfId="16" applyFont="1" applyFill="1" applyBorder="1" applyAlignment="1">
      <alignment horizontal="center" vertical="center"/>
    </xf>
    <xf numFmtId="0" fontId="38" fillId="2" borderId="43" xfId="16" applyFont="1" applyFill="1" applyBorder="1" applyAlignment="1">
      <alignment horizontal="center" vertical="center"/>
    </xf>
    <xf numFmtId="0" fontId="38" fillId="2" borderId="39" xfId="16" applyFont="1" applyFill="1" applyBorder="1" applyAlignment="1">
      <alignment horizontal="center" vertical="center"/>
    </xf>
    <xf numFmtId="0" fontId="41" fillId="2" borderId="0" xfId="16" applyFont="1" applyFill="1" applyAlignment="1">
      <alignment horizontal="center"/>
    </xf>
    <xf numFmtId="164" fontId="42" fillId="2" borderId="0" xfId="2" applyFont="1" applyFill="1" applyAlignment="1">
      <alignment horizontal="center" vertical="center"/>
    </xf>
    <xf numFmtId="164" fontId="42" fillId="2" borderId="0" xfId="2" applyFont="1" applyFill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7" t="s">
        <v>62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spans="1:29" ht="15.75" x14ac:dyDescent="0.25">
      <c r="A2" s="128" t="s">
        <v>63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</row>
    <row r="4" spans="1:29" s="10" customFormat="1" ht="19.5" x14ac:dyDescent="0.15">
      <c r="A4" s="129" t="s">
        <v>8</v>
      </c>
      <c r="B4" s="126" t="s">
        <v>34</v>
      </c>
      <c r="C4" s="126"/>
      <c r="D4" s="62"/>
      <c r="E4" s="126" t="s">
        <v>35</v>
      </c>
      <c r="F4" s="126"/>
      <c r="G4" s="62"/>
      <c r="H4" s="126" t="s">
        <v>36</v>
      </c>
      <c r="I4" s="126"/>
      <c r="J4" s="62"/>
      <c r="K4" s="126" t="s">
        <v>37</v>
      </c>
      <c r="L4" s="126"/>
      <c r="M4" s="62"/>
      <c r="N4" s="126" t="s">
        <v>38</v>
      </c>
      <c r="O4" s="126"/>
      <c r="P4" s="62"/>
      <c r="Q4" s="126" t="s">
        <v>39</v>
      </c>
      <c r="R4" s="126"/>
      <c r="S4" s="62"/>
      <c r="T4" s="126" t="s">
        <v>40</v>
      </c>
      <c r="U4" s="126"/>
      <c r="V4" s="62"/>
      <c r="W4" s="126" t="s">
        <v>41</v>
      </c>
      <c r="X4" s="126"/>
      <c r="Y4" s="62"/>
      <c r="Z4" s="126" t="s">
        <v>42</v>
      </c>
      <c r="AA4" s="126"/>
      <c r="AB4" s="132" t="s">
        <v>9</v>
      </c>
    </row>
    <row r="5" spans="1:29" s="14" customFormat="1" ht="15" customHeight="1" x14ac:dyDescent="0.25">
      <c r="A5" s="130"/>
      <c r="B5" s="125" t="s">
        <v>43</v>
      </c>
      <c r="C5" s="125"/>
      <c r="D5" s="13"/>
      <c r="E5" s="125" t="s">
        <v>44</v>
      </c>
      <c r="F5" s="125"/>
      <c r="G5" s="13"/>
      <c r="H5" s="125" t="s">
        <v>45</v>
      </c>
      <c r="I5" s="125"/>
      <c r="J5" s="13"/>
      <c r="K5" s="125" t="s">
        <v>46</v>
      </c>
      <c r="L5" s="125"/>
      <c r="M5" s="13"/>
      <c r="N5" s="125" t="s">
        <v>47</v>
      </c>
      <c r="O5" s="125"/>
      <c r="P5" s="13"/>
      <c r="Q5" s="125" t="s">
        <v>48</v>
      </c>
      <c r="R5" s="125"/>
      <c r="S5" s="13"/>
      <c r="T5" s="125" t="s">
        <v>49</v>
      </c>
      <c r="U5" s="125"/>
      <c r="V5" s="13"/>
      <c r="W5" s="125" t="s">
        <v>50</v>
      </c>
      <c r="X5" s="125"/>
      <c r="Y5" s="13"/>
      <c r="Z5" s="125" t="s">
        <v>51</v>
      </c>
      <c r="AA5" s="125"/>
      <c r="AB5" s="133"/>
      <c r="AC5" s="2"/>
    </row>
    <row r="6" spans="1:29" s="58" customFormat="1" ht="14.25" x14ac:dyDescent="0.2">
      <c r="A6" s="130"/>
      <c r="B6" s="53" t="s">
        <v>0</v>
      </c>
      <c r="C6" s="53" t="s">
        <v>1</v>
      </c>
      <c r="D6" s="53"/>
      <c r="E6" s="53" t="s">
        <v>0</v>
      </c>
      <c r="F6" s="53" t="s">
        <v>1</v>
      </c>
      <c r="G6" s="53"/>
      <c r="H6" s="53" t="s">
        <v>0</v>
      </c>
      <c r="I6" s="53" t="s">
        <v>1</v>
      </c>
      <c r="J6" s="53"/>
      <c r="K6" s="53" t="s">
        <v>0</v>
      </c>
      <c r="L6" s="53" t="s">
        <v>1</v>
      </c>
      <c r="M6" s="53"/>
      <c r="N6" s="53" t="s">
        <v>0</v>
      </c>
      <c r="O6" s="53" t="s">
        <v>1</v>
      </c>
      <c r="P6" s="53"/>
      <c r="Q6" s="53" t="s">
        <v>0</v>
      </c>
      <c r="R6" s="53" t="s">
        <v>1</v>
      </c>
      <c r="S6" s="53"/>
      <c r="T6" s="53" t="s">
        <v>0</v>
      </c>
      <c r="U6" s="53" t="s">
        <v>1</v>
      </c>
      <c r="V6" s="53"/>
      <c r="W6" s="53" t="s">
        <v>0</v>
      </c>
      <c r="X6" s="53" t="s">
        <v>1</v>
      </c>
      <c r="Y6" s="53"/>
      <c r="Z6" s="53" t="s">
        <v>0</v>
      </c>
      <c r="AA6" s="53" t="s">
        <v>1</v>
      </c>
      <c r="AB6" s="133"/>
    </row>
    <row r="7" spans="1:29" s="14" customFormat="1" ht="14.25" x14ac:dyDescent="0.2">
      <c r="A7" s="131"/>
      <c r="B7" s="55" t="s">
        <v>2</v>
      </c>
      <c r="C7" s="55" t="s">
        <v>3</v>
      </c>
      <c r="D7" s="55"/>
      <c r="E7" s="55" t="s">
        <v>2</v>
      </c>
      <c r="F7" s="55" t="s">
        <v>3</v>
      </c>
      <c r="G7" s="55"/>
      <c r="H7" s="55" t="s">
        <v>2</v>
      </c>
      <c r="I7" s="55" t="s">
        <v>3</v>
      </c>
      <c r="J7" s="55"/>
      <c r="K7" s="55" t="s">
        <v>2</v>
      </c>
      <c r="L7" s="55" t="s">
        <v>3</v>
      </c>
      <c r="M7" s="55"/>
      <c r="N7" s="55" t="s">
        <v>2</v>
      </c>
      <c r="O7" s="55" t="s">
        <v>3</v>
      </c>
      <c r="P7" s="55"/>
      <c r="Q7" s="55" t="s">
        <v>2</v>
      </c>
      <c r="R7" s="55" t="s">
        <v>3</v>
      </c>
      <c r="S7" s="55"/>
      <c r="T7" s="55" t="s">
        <v>2</v>
      </c>
      <c r="U7" s="55" t="s">
        <v>3</v>
      </c>
      <c r="V7" s="55"/>
      <c r="W7" s="55" t="s">
        <v>2</v>
      </c>
      <c r="X7" s="55" t="s">
        <v>3</v>
      </c>
      <c r="Y7" s="55"/>
      <c r="Z7" s="55" t="s">
        <v>2</v>
      </c>
      <c r="AA7" s="55" t="s">
        <v>3</v>
      </c>
      <c r="AB7" s="134"/>
    </row>
    <row r="8" spans="1:29" s="10" customFormat="1" ht="15.75" x14ac:dyDescent="0.1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57" t="s">
        <v>5</v>
      </c>
    </row>
    <row r="9" spans="1:29" s="10" customFormat="1" ht="15.75" x14ac:dyDescent="0.4">
      <c r="A9" s="5" t="s">
        <v>10</v>
      </c>
      <c r="B9" s="69"/>
      <c r="C9" s="69"/>
      <c r="D9" s="69"/>
      <c r="E9" s="70"/>
      <c r="F9" s="70"/>
      <c r="G9" s="70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1"/>
      <c r="Z9" s="71"/>
      <c r="AA9" s="71"/>
      <c r="AB9" s="59" t="s">
        <v>11</v>
      </c>
    </row>
    <row r="10" spans="1:29" s="10" customFormat="1" ht="15.75" x14ac:dyDescent="0.4">
      <c r="A10" s="5" t="s">
        <v>12</v>
      </c>
      <c r="B10" s="69"/>
      <c r="C10" s="69"/>
      <c r="D10" s="69"/>
      <c r="E10" s="70"/>
      <c r="F10" s="70"/>
      <c r="G10" s="70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71"/>
      <c r="Z10" s="71"/>
      <c r="AA10" s="71"/>
      <c r="AB10" s="59" t="s">
        <v>13</v>
      </c>
    </row>
    <row r="11" spans="1:29" s="10" customFormat="1" ht="15.75" x14ac:dyDescent="0.4">
      <c r="A11" s="5" t="s">
        <v>14</v>
      </c>
      <c r="B11" s="69"/>
      <c r="C11" s="69"/>
      <c r="D11" s="69"/>
      <c r="E11" s="70"/>
      <c r="F11" s="70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71"/>
      <c r="Z11" s="71"/>
      <c r="AA11" s="71"/>
      <c r="AB11" s="59" t="s">
        <v>15</v>
      </c>
    </row>
    <row r="12" spans="1:29" s="10" customFormat="1" ht="15.75" x14ac:dyDescent="0.4">
      <c r="A12" s="5" t="s">
        <v>16</v>
      </c>
      <c r="B12" s="69"/>
      <c r="C12" s="69"/>
      <c r="D12" s="69"/>
      <c r="E12" s="70"/>
      <c r="F12" s="70"/>
      <c r="G12" s="70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1"/>
      <c r="Z12" s="71"/>
      <c r="AA12" s="71"/>
      <c r="AB12" s="59" t="s">
        <v>17</v>
      </c>
    </row>
    <row r="13" spans="1:29" s="10" customFormat="1" ht="15.75" x14ac:dyDescent="0.4">
      <c r="A13" s="5" t="s">
        <v>18</v>
      </c>
      <c r="B13" s="69"/>
      <c r="C13" s="69"/>
      <c r="D13" s="69"/>
      <c r="E13" s="70"/>
      <c r="F13" s="70"/>
      <c r="G13" s="70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71"/>
      <c r="Z13" s="71"/>
      <c r="AA13" s="71"/>
      <c r="AB13" s="59" t="s">
        <v>19</v>
      </c>
    </row>
    <row r="14" spans="1:29" s="10" customFormat="1" ht="15.75" x14ac:dyDescent="0.4">
      <c r="A14" s="5" t="s">
        <v>20</v>
      </c>
      <c r="B14" s="69"/>
      <c r="C14" s="69"/>
      <c r="D14" s="69"/>
      <c r="E14" s="70"/>
      <c r="F14" s="70"/>
      <c r="G14" s="70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1"/>
      <c r="Z14" s="71"/>
      <c r="AA14" s="71"/>
      <c r="AB14" s="59" t="s">
        <v>21</v>
      </c>
    </row>
    <row r="15" spans="1:29" s="10" customFormat="1" ht="15.75" x14ac:dyDescent="0.4">
      <c r="A15" s="5" t="s">
        <v>22</v>
      </c>
      <c r="B15" s="69"/>
      <c r="C15" s="69"/>
      <c r="D15" s="69"/>
      <c r="E15" s="70"/>
      <c r="F15" s="70"/>
      <c r="G15" s="70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71"/>
      <c r="Z15" s="71"/>
      <c r="AA15" s="71"/>
      <c r="AB15" s="59" t="s">
        <v>23</v>
      </c>
    </row>
    <row r="16" spans="1:29" s="10" customFormat="1" ht="15.75" x14ac:dyDescent="0.4">
      <c r="A16" s="5" t="s">
        <v>24</v>
      </c>
      <c r="B16" s="69"/>
      <c r="C16" s="69"/>
      <c r="D16" s="69"/>
      <c r="E16" s="70"/>
      <c r="F16" s="70"/>
      <c r="G16" s="70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71"/>
      <c r="Z16" s="71"/>
      <c r="AA16" s="71"/>
      <c r="AB16" s="59" t="s">
        <v>25</v>
      </c>
    </row>
    <row r="17" spans="1:44" s="10" customFormat="1" ht="15.75" x14ac:dyDescent="0.4">
      <c r="A17" s="5" t="s">
        <v>26</v>
      </c>
      <c r="B17" s="69"/>
      <c r="C17" s="69"/>
      <c r="D17" s="69"/>
      <c r="E17" s="70"/>
      <c r="F17" s="70"/>
      <c r="G17" s="70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71"/>
      <c r="Z17" s="71"/>
      <c r="AA17" s="71"/>
      <c r="AB17" s="59" t="s">
        <v>27</v>
      </c>
    </row>
    <row r="18" spans="1:44" s="10" customFormat="1" ht="15.75" x14ac:dyDescent="0.4">
      <c r="A18" s="5" t="s">
        <v>28</v>
      </c>
      <c r="B18" s="69"/>
      <c r="C18" s="69"/>
      <c r="D18" s="69"/>
      <c r="E18" s="70"/>
      <c r="F18" s="70"/>
      <c r="G18" s="70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71"/>
      <c r="Z18" s="71"/>
      <c r="AA18" s="71"/>
      <c r="AB18" s="59" t="s">
        <v>29</v>
      </c>
    </row>
    <row r="19" spans="1:44" s="10" customFormat="1" ht="15.75" x14ac:dyDescent="0.4">
      <c r="A19" s="5" t="s">
        <v>30</v>
      </c>
      <c r="B19" s="69"/>
      <c r="C19" s="69"/>
      <c r="D19" s="69"/>
      <c r="E19" s="70"/>
      <c r="F19" s="70"/>
      <c r="G19" s="70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71"/>
      <c r="Z19" s="71"/>
      <c r="AA19" s="71"/>
      <c r="AB19" s="59" t="s">
        <v>31</v>
      </c>
    </row>
    <row r="20" spans="1:44" s="10" customFormat="1" ht="15.75" x14ac:dyDescent="0.4">
      <c r="A20" s="54" t="s">
        <v>32</v>
      </c>
      <c r="B20" s="72"/>
      <c r="C20" s="72"/>
      <c r="D20" s="72"/>
      <c r="E20" s="73"/>
      <c r="F20" s="73"/>
      <c r="G20" s="73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4"/>
      <c r="Z20" s="74"/>
      <c r="AA20" s="74"/>
      <c r="AB20" s="60" t="s">
        <v>33</v>
      </c>
    </row>
    <row r="21" spans="1:44" ht="18.75" x14ac:dyDescent="0.25">
      <c r="A21" s="6" t="s">
        <v>6</v>
      </c>
      <c r="AB21" s="9" t="s">
        <v>7</v>
      </c>
      <c r="AO21" s="10"/>
      <c r="AP21" s="52" t="s">
        <v>2</v>
      </c>
      <c r="AQ21" s="52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6" customFormat="1" ht="21.75" customHeight="1" x14ac:dyDescent="0.55000000000000004">
      <c r="A44" s="135" t="s">
        <v>8</v>
      </c>
      <c r="B44" s="82"/>
      <c r="D44" s="83"/>
      <c r="F44" s="83"/>
      <c r="G44" s="138" t="s">
        <v>34</v>
      </c>
      <c r="H44" s="139"/>
      <c r="I44" s="139"/>
      <c r="J44" s="139"/>
      <c r="K44" s="140"/>
      <c r="L44" s="65"/>
      <c r="M44" s="84"/>
      <c r="N44" s="65"/>
      <c r="O44" s="84"/>
      <c r="P44" s="141" t="s">
        <v>35</v>
      </c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83"/>
      <c r="AC44" s="143" t="s">
        <v>36</v>
      </c>
      <c r="AD44" s="144"/>
      <c r="AE44" s="144"/>
      <c r="AF44" s="144"/>
      <c r="AG44" s="144"/>
      <c r="AH44" s="144"/>
      <c r="AI44" s="144"/>
      <c r="AJ44" s="144"/>
      <c r="AK44" s="64"/>
      <c r="AL44" s="143" t="s">
        <v>37</v>
      </c>
      <c r="AM44" s="144"/>
      <c r="AN44" s="144"/>
      <c r="AO44" s="144"/>
      <c r="AP44" s="144"/>
      <c r="AQ44" s="144"/>
      <c r="AR44" s="144"/>
      <c r="AS44" s="64"/>
      <c r="AT44" s="143" t="s">
        <v>38</v>
      </c>
      <c r="AU44" s="144"/>
      <c r="AV44" s="144"/>
      <c r="AW44" s="144"/>
      <c r="AX44" s="144"/>
      <c r="AY44" s="75"/>
      <c r="AZ44" s="64"/>
      <c r="BA44" s="143" t="s">
        <v>39</v>
      </c>
      <c r="BB44" s="144"/>
      <c r="BC44" s="144"/>
      <c r="BD44" s="144"/>
      <c r="BE44" s="161"/>
      <c r="BF44" s="63"/>
      <c r="BG44" s="162" t="s">
        <v>40</v>
      </c>
      <c r="BH44" s="163"/>
      <c r="BI44" s="163"/>
      <c r="BJ44" s="163"/>
      <c r="BK44" s="164"/>
      <c r="BL44" s="143" t="s">
        <v>41</v>
      </c>
      <c r="BM44" s="144"/>
      <c r="BN44" s="144"/>
      <c r="BO44" s="144"/>
      <c r="BP44" s="161"/>
      <c r="BQ44" s="143" t="s">
        <v>42</v>
      </c>
      <c r="BR44" s="144"/>
      <c r="BS44" s="144"/>
      <c r="BT44" s="145" t="s">
        <v>9</v>
      </c>
    </row>
    <row r="45" spans="1:80" s="67" customFormat="1" ht="16.5" customHeight="1" x14ac:dyDescent="0.25">
      <c r="A45" s="136"/>
      <c r="B45" s="85"/>
      <c r="D45" s="86"/>
      <c r="F45" s="86"/>
      <c r="G45" s="148" t="s">
        <v>43</v>
      </c>
      <c r="H45" s="149"/>
      <c r="I45" s="149"/>
      <c r="J45" s="149"/>
      <c r="K45" s="150"/>
      <c r="M45" s="86"/>
      <c r="O45" s="86"/>
      <c r="P45" s="151" t="s">
        <v>44</v>
      </c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86"/>
      <c r="AC45" s="153" t="s">
        <v>55</v>
      </c>
      <c r="AD45" s="154"/>
      <c r="AE45" s="154"/>
      <c r="AF45" s="154"/>
      <c r="AG45" s="154"/>
      <c r="AH45" s="154"/>
      <c r="AI45" s="154"/>
      <c r="AJ45" s="154"/>
      <c r="AK45" s="68"/>
      <c r="AL45" s="153" t="s">
        <v>56</v>
      </c>
      <c r="AM45" s="154"/>
      <c r="AN45" s="154"/>
      <c r="AO45" s="154"/>
      <c r="AP45" s="154"/>
      <c r="AQ45" s="154"/>
      <c r="AR45" s="154"/>
      <c r="AS45" s="68"/>
      <c r="AT45" s="153" t="s">
        <v>57</v>
      </c>
      <c r="AU45" s="154"/>
      <c r="AV45" s="154"/>
      <c r="AW45" s="154"/>
      <c r="AX45" s="154"/>
      <c r="AY45" s="76"/>
      <c r="AZ45" s="68"/>
      <c r="BA45" s="155" t="s">
        <v>58</v>
      </c>
      <c r="BB45" s="156"/>
      <c r="BC45" s="156"/>
      <c r="BD45" s="156"/>
      <c r="BE45" s="157"/>
      <c r="BG45" s="158" t="s">
        <v>59</v>
      </c>
      <c r="BH45" s="159"/>
      <c r="BI45" s="159"/>
      <c r="BJ45" s="159"/>
      <c r="BK45" s="160"/>
      <c r="BL45" s="155" t="s">
        <v>60</v>
      </c>
      <c r="BM45" s="156"/>
      <c r="BN45" s="156"/>
      <c r="BO45" s="156"/>
      <c r="BP45" s="157"/>
      <c r="BQ45" s="155" t="s">
        <v>61</v>
      </c>
      <c r="BR45" s="156"/>
      <c r="BS45" s="156"/>
      <c r="BT45" s="146"/>
    </row>
    <row r="46" spans="1:80" ht="23.25" customHeight="1" x14ac:dyDescent="0.25">
      <c r="A46" s="137"/>
      <c r="B46" s="87"/>
      <c r="C46" s="88">
        <v>2011</v>
      </c>
      <c r="D46" s="88">
        <v>2012</v>
      </c>
      <c r="E46" s="89">
        <v>2013</v>
      </c>
      <c r="F46" s="90">
        <v>2014</v>
      </c>
      <c r="G46" s="91">
        <v>2015</v>
      </c>
      <c r="H46" s="92">
        <v>2016</v>
      </c>
      <c r="I46" s="93">
        <v>2017</v>
      </c>
      <c r="J46" s="93">
        <v>2018</v>
      </c>
      <c r="K46" s="93">
        <v>2019</v>
      </c>
      <c r="L46" s="94">
        <v>2011</v>
      </c>
      <c r="M46" s="94">
        <v>2012</v>
      </c>
      <c r="N46" s="94">
        <v>2013</v>
      </c>
      <c r="O46" s="93">
        <v>2014</v>
      </c>
      <c r="P46" s="91">
        <v>2015</v>
      </c>
      <c r="Q46" s="93">
        <v>2016</v>
      </c>
      <c r="R46" s="94">
        <v>2011</v>
      </c>
      <c r="S46" s="94">
        <v>2012</v>
      </c>
      <c r="T46" s="93">
        <v>2013</v>
      </c>
      <c r="U46" s="93">
        <v>2014</v>
      </c>
      <c r="V46" s="94">
        <v>2011</v>
      </c>
      <c r="W46" s="94">
        <v>2012</v>
      </c>
      <c r="X46" s="93">
        <v>2013</v>
      </c>
      <c r="Y46" s="93">
        <v>2017</v>
      </c>
      <c r="Z46" s="93">
        <v>2018</v>
      </c>
      <c r="AA46" s="95">
        <v>2019</v>
      </c>
      <c r="AB46" s="93">
        <v>2014</v>
      </c>
      <c r="AC46" s="24">
        <v>2015</v>
      </c>
      <c r="AD46" s="24">
        <v>2016</v>
      </c>
      <c r="AE46" s="56">
        <v>2011</v>
      </c>
      <c r="AF46" s="56">
        <v>2012</v>
      </c>
      <c r="AG46" s="56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56">
        <v>2012</v>
      </c>
      <c r="AQ46" s="56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56">
        <v>2013</v>
      </c>
      <c r="AW46" s="24">
        <v>2017</v>
      </c>
      <c r="AX46" s="24">
        <v>2018</v>
      </c>
      <c r="AY46" s="24">
        <v>2019</v>
      </c>
      <c r="AZ46" s="56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56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47"/>
      <c r="BU46" s="2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 t="shared" ref="X47:AD47" si="1">SUM(X48:X59)</f>
        <v>2432</v>
      </c>
      <c r="Y47" s="32">
        <f t="shared" si="1"/>
        <v>5182</v>
      </c>
      <c r="Z47" s="32">
        <f t="shared" si="1"/>
        <v>4726</v>
      </c>
      <c r="AA47" s="33">
        <f t="shared" si="1"/>
        <v>4794</v>
      </c>
      <c r="AB47" s="32">
        <f t="shared" si="1"/>
        <v>2773</v>
      </c>
      <c r="AC47" s="32">
        <f t="shared" si="1"/>
        <v>2151</v>
      </c>
      <c r="AD47" s="32">
        <f t="shared" si="1"/>
        <v>1998</v>
      </c>
      <c r="AE47" s="32">
        <f t="shared" si="0"/>
        <v>769</v>
      </c>
      <c r="AF47" s="32">
        <f t="shared" si="0"/>
        <v>3315</v>
      </c>
      <c r="AG47" s="32">
        <f t="shared" ref="AG47:AO47" si="2">SUM(AG48:AG59)</f>
        <v>4519</v>
      </c>
      <c r="AH47" s="32">
        <f t="shared" si="2"/>
        <v>1845</v>
      </c>
      <c r="AI47" s="32">
        <f t="shared" si="2"/>
        <v>1799</v>
      </c>
      <c r="AJ47" s="32">
        <f t="shared" si="2"/>
        <v>2485</v>
      </c>
      <c r="AK47" s="32">
        <f t="shared" si="2"/>
        <v>4924</v>
      </c>
      <c r="AL47" s="30">
        <f t="shared" si="2"/>
        <v>4265</v>
      </c>
      <c r="AM47" s="32">
        <f t="shared" si="2"/>
        <v>3963</v>
      </c>
      <c r="AN47" s="32">
        <f t="shared" si="2"/>
        <v>4305</v>
      </c>
      <c r="AO47" s="32">
        <f t="shared" si="2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>SUM(AU48:AU59)</f>
        <v>3870</v>
      </c>
      <c r="AV47" s="32">
        <f t="shared" si="0"/>
        <v>2906</v>
      </c>
      <c r="AW47" s="32">
        <f t="shared" si="0"/>
        <v>4198</v>
      </c>
      <c r="AX47" s="32">
        <f>SUM(AX48:AX59)</f>
        <v>4532</v>
      </c>
      <c r="AY47" s="32">
        <f>SUM(AY48:AY59)</f>
        <v>5159</v>
      </c>
      <c r="AZ47" s="32">
        <f t="shared" si="0"/>
        <v>2076</v>
      </c>
      <c r="BA47" s="30">
        <f t="shared" ref="BA47:BL47" si="3">SUM(BA48:BA59)</f>
        <v>1988</v>
      </c>
      <c r="BB47" s="32">
        <f t="shared" si="3"/>
        <v>1916</v>
      </c>
      <c r="BC47" s="32">
        <f t="shared" si="3"/>
        <v>1916</v>
      </c>
      <c r="BD47" s="32">
        <f t="shared" si="3"/>
        <v>1975</v>
      </c>
      <c r="BE47" s="32">
        <f t="shared" si="3"/>
        <v>2043</v>
      </c>
      <c r="BF47" s="32">
        <f t="shared" si="3"/>
        <v>826</v>
      </c>
      <c r="BG47" s="30">
        <f t="shared" si="3"/>
        <v>331</v>
      </c>
      <c r="BH47" s="32">
        <f t="shared" si="3"/>
        <v>269</v>
      </c>
      <c r="BI47" s="32">
        <f t="shared" si="3"/>
        <v>245</v>
      </c>
      <c r="BJ47" s="32">
        <f t="shared" si="3"/>
        <v>246</v>
      </c>
      <c r="BK47" s="33">
        <f t="shared" si="3"/>
        <v>241</v>
      </c>
      <c r="BL47" s="30">
        <f t="shared" si="3"/>
        <v>552</v>
      </c>
      <c r="BM47" s="32">
        <f t="shared" ref="BM47:BS47" si="4">SUM(BM48:BM59)</f>
        <v>1475</v>
      </c>
      <c r="BN47" s="32">
        <f t="shared" si="4"/>
        <v>1911</v>
      </c>
      <c r="BO47" s="32">
        <f t="shared" si="4"/>
        <v>1898</v>
      </c>
      <c r="BP47" s="32">
        <f t="shared" si="4"/>
        <v>1940</v>
      </c>
      <c r="BQ47" s="30">
        <f t="shared" si="4"/>
        <v>488</v>
      </c>
      <c r="BR47" s="34">
        <f t="shared" si="4"/>
        <v>1941</v>
      </c>
      <c r="BS47" s="34">
        <f t="shared" si="4"/>
        <v>2224</v>
      </c>
      <c r="BT47" s="61" t="s">
        <v>5</v>
      </c>
    </row>
    <row r="48" spans="1:80" ht="23.25" customHeight="1" x14ac:dyDescent="0.4">
      <c r="A48" s="35" t="s">
        <v>10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53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53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53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54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54</v>
      </c>
      <c r="BR48" s="40">
        <v>171</v>
      </c>
      <c r="BS48" s="40">
        <v>176</v>
      </c>
      <c r="BT48" s="59" t="s">
        <v>11</v>
      </c>
      <c r="BY48" s="22"/>
      <c r="BZ48" s="22"/>
      <c r="CA48" s="22"/>
      <c r="CB48" s="22"/>
    </row>
    <row r="49" spans="1:80" ht="23.25" customHeight="1" x14ac:dyDescent="0.4">
      <c r="A49" s="35" t="s">
        <v>12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53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53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53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54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54</v>
      </c>
      <c r="BR49" s="40">
        <v>168</v>
      </c>
      <c r="BS49" s="40">
        <v>181</v>
      </c>
      <c r="BT49" s="59" t="s">
        <v>13</v>
      </c>
    </row>
    <row r="50" spans="1:80" ht="23.25" customHeight="1" x14ac:dyDescent="0.4">
      <c r="A50" s="35" t="s">
        <v>14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53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53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53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54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54</v>
      </c>
      <c r="BR50" s="40">
        <v>150</v>
      </c>
      <c r="BS50" s="40">
        <v>202</v>
      </c>
      <c r="BT50" s="59" t="s">
        <v>15</v>
      </c>
    </row>
    <row r="51" spans="1:80" ht="23.25" customHeight="1" x14ac:dyDescent="0.4">
      <c r="A51" s="35" t="s">
        <v>16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53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53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53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54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54</v>
      </c>
      <c r="BR51" s="40">
        <v>161</v>
      </c>
      <c r="BS51" s="40">
        <v>181</v>
      </c>
      <c r="BT51" s="59" t="s">
        <v>17</v>
      </c>
      <c r="BY51" s="22"/>
      <c r="BZ51" s="22"/>
      <c r="CA51" s="22"/>
      <c r="CB51" s="22"/>
    </row>
    <row r="52" spans="1:80" ht="23.25" customHeight="1" x14ac:dyDescent="0.4">
      <c r="A52" s="35" t="s">
        <v>18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53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53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53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54</v>
      </c>
      <c r="BR52" s="40">
        <v>148</v>
      </c>
      <c r="BS52" s="40">
        <v>184</v>
      </c>
      <c r="BT52" s="59" t="s">
        <v>19</v>
      </c>
    </row>
    <row r="53" spans="1:80" ht="23.25" customHeight="1" x14ac:dyDescent="0.4">
      <c r="A53" s="35" t="s">
        <v>20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53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53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53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54</v>
      </c>
      <c r="BR53" s="40">
        <v>123</v>
      </c>
      <c r="BS53" s="40">
        <v>166</v>
      </c>
      <c r="BT53" s="59" t="s">
        <v>21</v>
      </c>
    </row>
    <row r="54" spans="1:80" ht="23.25" customHeight="1" x14ac:dyDescent="0.4">
      <c r="A54" s="35" t="s">
        <v>22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53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53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53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54</v>
      </c>
      <c r="BR54" s="40">
        <v>157</v>
      </c>
      <c r="BS54" s="40">
        <v>176</v>
      </c>
      <c r="BT54" s="59" t="s">
        <v>23</v>
      </c>
      <c r="BY54" s="22"/>
      <c r="BZ54" s="22"/>
      <c r="CA54" s="22"/>
      <c r="CB54" s="22"/>
    </row>
    <row r="55" spans="1:80" ht="23.25" customHeight="1" x14ac:dyDescent="0.4">
      <c r="A55" s="35" t="s">
        <v>24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53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53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53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54</v>
      </c>
      <c r="BR55" s="40">
        <v>172</v>
      </c>
      <c r="BS55" s="40">
        <v>189</v>
      </c>
      <c r="BT55" s="59" t="s">
        <v>25</v>
      </c>
    </row>
    <row r="56" spans="1:80" ht="23.25" customHeight="1" x14ac:dyDescent="0.4">
      <c r="A56" s="35" t="s">
        <v>26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53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53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53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54</v>
      </c>
      <c r="BR56" s="40">
        <v>165</v>
      </c>
      <c r="BS56" s="40">
        <v>161</v>
      </c>
      <c r="BT56" s="59" t="s">
        <v>27</v>
      </c>
    </row>
    <row r="57" spans="1:80" ht="23.25" customHeight="1" x14ac:dyDescent="0.4">
      <c r="A57" s="35" t="s">
        <v>28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59" t="s">
        <v>29</v>
      </c>
      <c r="BY57" s="22"/>
      <c r="BZ57" s="22"/>
      <c r="CA57" s="22"/>
      <c r="CB57" s="22"/>
    </row>
    <row r="58" spans="1:80" ht="23.25" customHeight="1" x14ac:dyDescent="0.4">
      <c r="A58" s="35" t="s">
        <v>30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59" t="s">
        <v>31</v>
      </c>
    </row>
    <row r="59" spans="1:80" ht="23.25" customHeight="1" x14ac:dyDescent="0.4">
      <c r="A59" s="44" t="s">
        <v>32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60" t="s">
        <v>33</v>
      </c>
    </row>
    <row r="60" spans="1:80" ht="18.75" x14ac:dyDescent="0.25">
      <c r="A60" s="6" t="s">
        <v>6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7</v>
      </c>
      <c r="BX60" s="17"/>
      <c r="BY60" s="22"/>
      <c r="BZ60" s="22"/>
      <c r="CA60" s="22"/>
      <c r="CB60" s="22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79998168889431442"/>
  </sheetPr>
  <dimension ref="A1:AD164"/>
  <sheetViews>
    <sheetView tabSelected="1" zoomScale="98" zoomScaleNormal="98" zoomScaleSheetLayoutView="98" workbookViewId="0">
      <selection sqref="A1:T1"/>
    </sheetView>
  </sheetViews>
  <sheetFormatPr defaultColWidth="9.140625" defaultRowHeight="15" x14ac:dyDescent="0.25"/>
  <cols>
    <col min="1" max="1" width="13.42578125" style="77" customWidth="1"/>
    <col min="2" max="8" width="10.5703125" style="77" customWidth="1"/>
    <col min="9" max="9" width="1.140625" style="77" customWidth="1"/>
    <col min="10" max="12" width="1.28515625" style="77" customWidth="1"/>
    <col min="13" max="13" width="13.42578125" style="77" customWidth="1"/>
    <col min="14" max="20" width="10.5703125" style="77" customWidth="1"/>
    <col min="21" max="16384" width="9.140625" style="77"/>
  </cols>
  <sheetData>
    <row r="1" spans="1:30" ht="27.75" customHeight="1" x14ac:dyDescent="0.25">
      <c r="A1" s="174" t="s">
        <v>119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81"/>
      <c r="V1" s="81"/>
      <c r="W1" s="81"/>
      <c r="X1" s="81"/>
      <c r="Y1" s="81"/>
      <c r="Z1" s="81"/>
      <c r="AA1" s="81"/>
      <c r="AB1" s="81"/>
      <c r="AC1" s="81"/>
      <c r="AD1" s="81"/>
    </row>
    <row r="2" spans="1:30" ht="12.75" customHeight="1" x14ac:dyDescent="0.25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81"/>
      <c r="V2" s="81"/>
      <c r="W2" s="81"/>
      <c r="X2" s="81"/>
      <c r="Y2" s="81"/>
      <c r="Z2" s="81"/>
      <c r="AA2" s="81"/>
      <c r="AB2" s="81"/>
      <c r="AC2" s="81"/>
      <c r="AD2" s="81"/>
    </row>
    <row r="3" spans="1:30" x14ac:dyDescent="0.25">
      <c r="A3" s="173" t="s">
        <v>118</v>
      </c>
      <c r="B3" s="173"/>
      <c r="C3" s="173"/>
      <c r="D3" s="173"/>
      <c r="E3" s="173"/>
      <c r="F3" s="173"/>
      <c r="G3" s="173"/>
      <c r="H3" s="173"/>
      <c r="I3" s="102"/>
      <c r="J3" s="103"/>
      <c r="K3" s="103"/>
      <c r="L3" s="103"/>
      <c r="M3" s="165" t="s">
        <v>97</v>
      </c>
      <c r="N3" s="165"/>
      <c r="O3" s="165"/>
      <c r="P3" s="165"/>
      <c r="Q3" s="165"/>
      <c r="R3" s="165"/>
      <c r="S3" s="165"/>
      <c r="T3" s="165"/>
    </row>
    <row r="4" spans="1:30" x14ac:dyDescent="0.25">
      <c r="M4" s="104"/>
      <c r="N4" s="103"/>
      <c r="O4" s="103"/>
      <c r="P4" s="103"/>
      <c r="Q4" s="103"/>
      <c r="R4" s="103"/>
      <c r="S4" s="103"/>
      <c r="T4" s="103"/>
    </row>
    <row r="5" spans="1:30" x14ac:dyDescent="0.25">
      <c r="A5" s="166" t="s">
        <v>64</v>
      </c>
      <c r="B5" s="168" t="s">
        <v>65</v>
      </c>
      <c r="C5" s="170" t="s">
        <v>66</v>
      </c>
      <c r="D5" s="170"/>
      <c r="E5" s="171" t="s">
        <v>67</v>
      </c>
      <c r="F5" s="172"/>
      <c r="G5" s="170" t="s">
        <v>68</v>
      </c>
      <c r="H5" s="170"/>
      <c r="I5" s="105"/>
      <c r="J5" s="103"/>
      <c r="K5" s="103"/>
      <c r="L5" s="103"/>
      <c r="M5" s="166" t="s">
        <v>64</v>
      </c>
      <c r="N5" s="168" t="s">
        <v>65</v>
      </c>
      <c r="O5" s="170" t="s">
        <v>66</v>
      </c>
      <c r="P5" s="170"/>
      <c r="Q5" s="171" t="s">
        <v>67</v>
      </c>
      <c r="R5" s="172"/>
      <c r="S5" s="170" t="s">
        <v>68</v>
      </c>
      <c r="T5" s="170"/>
    </row>
    <row r="6" spans="1:30" x14ac:dyDescent="0.25">
      <c r="A6" s="167"/>
      <c r="B6" s="169"/>
      <c r="C6" s="106" t="s">
        <v>69</v>
      </c>
      <c r="D6" s="106" t="s">
        <v>70</v>
      </c>
      <c r="E6" s="107" t="s">
        <v>69</v>
      </c>
      <c r="F6" s="108" t="s">
        <v>70</v>
      </c>
      <c r="G6" s="106" t="s">
        <v>69</v>
      </c>
      <c r="H6" s="106" t="s">
        <v>70</v>
      </c>
      <c r="I6" s="109"/>
      <c r="J6" s="103"/>
      <c r="K6" s="103"/>
      <c r="L6" s="103"/>
      <c r="M6" s="167"/>
      <c r="N6" s="169"/>
      <c r="O6" s="106" t="s">
        <v>69</v>
      </c>
      <c r="P6" s="106" t="s">
        <v>70</v>
      </c>
      <c r="Q6" s="107" t="s">
        <v>69</v>
      </c>
      <c r="R6" s="108" t="s">
        <v>70</v>
      </c>
      <c r="S6" s="106" t="s">
        <v>69</v>
      </c>
      <c r="T6" s="106" t="s">
        <v>70</v>
      </c>
    </row>
    <row r="7" spans="1:30" x14ac:dyDescent="0.25">
      <c r="A7" s="110" t="s">
        <v>4</v>
      </c>
      <c r="B7" s="111"/>
      <c r="C7" s="111"/>
      <c r="D7" s="111"/>
      <c r="E7" s="79"/>
      <c r="F7" s="112"/>
      <c r="G7" s="111"/>
      <c r="H7" s="111"/>
      <c r="I7" s="99"/>
      <c r="J7" s="103"/>
      <c r="K7" s="103"/>
      <c r="L7" s="103"/>
      <c r="M7" s="110" t="s">
        <v>4</v>
      </c>
      <c r="N7" s="111"/>
      <c r="O7" s="111"/>
      <c r="P7" s="111"/>
      <c r="Q7" s="79"/>
      <c r="R7" s="112"/>
      <c r="S7" s="111"/>
      <c r="T7" s="111"/>
    </row>
    <row r="8" spans="1:30" x14ac:dyDescent="0.25">
      <c r="A8" s="97" t="s">
        <v>10</v>
      </c>
      <c r="B8" s="78">
        <v>314</v>
      </c>
      <c r="C8" s="78">
        <v>4736</v>
      </c>
      <c r="D8" s="78">
        <v>4227</v>
      </c>
      <c r="E8" s="113">
        <v>5922</v>
      </c>
      <c r="F8" s="114">
        <v>989</v>
      </c>
      <c r="G8" s="78">
        <v>15</v>
      </c>
      <c r="H8" s="78">
        <v>23</v>
      </c>
      <c r="I8" s="78"/>
      <c r="J8" s="103"/>
      <c r="K8" s="103"/>
      <c r="L8" s="103"/>
      <c r="M8" s="97" t="s">
        <v>10</v>
      </c>
      <c r="N8" s="78">
        <v>129</v>
      </c>
      <c r="O8" s="78">
        <v>3976</v>
      </c>
      <c r="P8" s="78">
        <v>3414</v>
      </c>
      <c r="Q8" s="113" t="s">
        <v>87</v>
      </c>
      <c r="R8" s="114" t="s">
        <v>88</v>
      </c>
      <c r="S8" s="78" t="s">
        <v>98</v>
      </c>
      <c r="T8" s="78" t="s">
        <v>84</v>
      </c>
    </row>
    <row r="9" spans="1:30" x14ac:dyDescent="0.25">
      <c r="A9" s="97" t="s">
        <v>12</v>
      </c>
      <c r="B9" s="78">
        <v>314</v>
      </c>
      <c r="C9" s="78">
        <v>4682</v>
      </c>
      <c r="D9" s="78">
        <v>4773</v>
      </c>
      <c r="E9" s="113">
        <v>4727</v>
      </c>
      <c r="F9" s="114">
        <v>1865</v>
      </c>
      <c r="G9" s="78">
        <v>7</v>
      </c>
      <c r="H9" s="78">
        <v>12</v>
      </c>
      <c r="I9" s="78"/>
      <c r="J9" s="103"/>
      <c r="K9" s="103"/>
      <c r="L9" s="103"/>
      <c r="M9" s="97" t="s">
        <v>12</v>
      </c>
      <c r="N9" s="78">
        <v>113</v>
      </c>
      <c r="O9" s="78">
        <v>3288</v>
      </c>
      <c r="P9" s="78">
        <v>3461</v>
      </c>
      <c r="Q9" s="113" t="s">
        <v>89</v>
      </c>
      <c r="R9" s="114" t="s">
        <v>90</v>
      </c>
      <c r="S9" s="78" t="s">
        <v>85</v>
      </c>
      <c r="T9" s="78" t="s">
        <v>86</v>
      </c>
    </row>
    <row r="10" spans="1:30" x14ac:dyDescent="0.25">
      <c r="A10" s="97" t="s">
        <v>14</v>
      </c>
      <c r="B10" s="78">
        <v>340</v>
      </c>
      <c r="C10" s="78">
        <v>4837</v>
      </c>
      <c r="D10" s="78">
        <v>4329</v>
      </c>
      <c r="E10" s="113">
        <v>7269</v>
      </c>
      <c r="F10" s="114">
        <v>1610</v>
      </c>
      <c r="G10" s="78">
        <v>9</v>
      </c>
      <c r="H10" s="78">
        <v>8</v>
      </c>
      <c r="I10" s="78"/>
      <c r="J10" s="103"/>
      <c r="K10" s="103"/>
      <c r="L10" s="103"/>
      <c r="M10" s="97" t="s">
        <v>14</v>
      </c>
      <c r="N10" s="78">
        <v>111</v>
      </c>
      <c r="O10" s="78">
        <v>3248</v>
      </c>
      <c r="P10" s="78">
        <v>2761</v>
      </c>
      <c r="Q10" s="113" t="s">
        <v>91</v>
      </c>
      <c r="R10" s="114" t="s">
        <v>92</v>
      </c>
      <c r="S10" s="78" t="s">
        <v>99</v>
      </c>
      <c r="T10" s="78" t="s">
        <v>100</v>
      </c>
    </row>
    <row r="11" spans="1:30" x14ac:dyDescent="0.25">
      <c r="A11" s="97" t="s">
        <v>16</v>
      </c>
      <c r="B11" s="78">
        <v>322</v>
      </c>
      <c r="C11" s="78">
        <v>4168</v>
      </c>
      <c r="D11" s="78">
        <v>4744</v>
      </c>
      <c r="E11" s="113">
        <v>6751</v>
      </c>
      <c r="F11" s="114">
        <v>2712</v>
      </c>
      <c r="G11" s="78">
        <v>66</v>
      </c>
      <c r="H11" s="78">
        <v>15</v>
      </c>
      <c r="I11" s="78"/>
      <c r="J11" s="103"/>
      <c r="K11" s="103"/>
      <c r="L11" s="103"/>
      <c r="M11" s="97" t="s">
        <v>16</v>
      </c>
      <c r="N11" s="78">
        <v>140</v>
      </c>
      <c r="O11" s="78">
        <v>3598</v>
      </c>
      <c r="P11" s="78">
        <v>4135</v>
      </c>
      <c r="Q11" s="113" t="s">
        <v>93</v>
      </c>
      <c r="R11" s="114" t="s">
        <v>94</v>
      </c>
      <c r="S11" s="78" t="s">
        <v>101</v>
      </c>
      <c r="T11" s="78" t="s">
        <v>102</v>
      </c>
    </row>
    <row r="12" spans="1:30" x14ac:dyDescent="0.25">
      <c r="A12" s="97" t="s">
        <v>18</v>
      </c>
      <c r="B12" s="78">
        <v>270</v>
      </c>
      <c r="C12" s="78">
        <v>3794</v>
      </c>
      <c r="D12" s="78">
        <v>3652</v>
      </c>
      <c r="E12" s="113">
        <v>3650</v>
      </c>
      <c r="F12" s="114">
        <v>2322</v>
      </c>
      <c r="G12" s="78">
        <v>44</v>
      </c>
      <c r="H12" s="78">
        <v>6</v>
      </c>
      <c r="I12" s="78"/>
      <c r="J12" s="103"/>
      <c r="K12" s="103"/>
      <c r="L12" s="103"/>
      <c r="M12" s="97" t="s">
        <v>18</v>
      </c>
      <c r="N12" s="78">
        <v>128</v>
      </c>
      <c r="O12" s="78">
        <v>3844</v>
      </c>
      <c r="P12" s="78">
        <v>3777</v>
      </c>
      <c r="Q12" s="113" t="s">
        <v>95</v>
      </c>
      <c r="R12" s="114" t="s">
        <v>96</v>
      </c>
      <c r="S12" s="78" t="s">
        <v>103</v>
      </c>
      <c r="T12" s="78" t="s">
        <v>104</v>
      </c>
    </row>
    <row r="13" spans="1:30" x14ac:dyDescent="0.25">
      <c r="A13" s="97" t="s">
        <v>20</v>
      </c>
      <c r="B13" s="78">
        <v>310</v>
      </c>
      <c r="C13" s="78">
        <v>3235</v>
      </c>
      <c r="D13" s="78">
        <v>2981</v>
      </c>
      <c r="E13" s="113">
        <v>4002</v>
      </c>
      <c r="F13" s="114">
        <v>1928</v>
      </c>
      <c r="G13" s="78">
        <v>48</v>
      </c>
      <c r="H13" s="78">
        <v>11</v>
      </c>
      <c r="I13" s="78"/>
      <c r="J13" s="115"/>
      <c r="K13" s="115"/>
      <c r="L13" s="103"/>
      <c r="M13" s="97" t="s">
        <v>20</v>
      </c>
      <c r="N13" s="78">
        <v>128</v>
      </c>
      <c r="O13" s="78">
        <v>3844</v>
      </c>
      <c r="P13" s="78">
        <v>3777</v>
      </c>
      <c r="Q13" s="113">
        <v>2623</v>
      </c>
      <c r="R13" s="114">
        <v>6506</v>
      </c>
      <c r="S13" s="78">
        <v>40</v>
      </c>
      <c r="T13" s="78">
        <v>31</v>
      </c>
    </row>
    <row r="14" spans="1:30" x14ac:dyDescent="0.25">
      <c r="A14" s="97" t="s">
        <v>22</v>
      </c>
      <c r="B14" s="78">
        <v>258</v>
      </c>
      <c r="C14" s="78">
        <v>3109</v>
      </c>
      <c r="D14" s="78">
        <v>2818</v>
      </c>
      <c r="E14" s="113">
        <v>2846</v>
      </c>
      <c r="F14" s="114">
        <v>2792</v>
      </c>
      <c r="G14" s="78">
        <v>56</v>
      </c>
      <c r="H14" s="78">
        <v>16</v>
      </c>
      <c r="I14" s="78"/>
      <c r="J14" s="103"/>
      <c r="K14" s="103"/>
      <c r="L14" s="103"/>
      <c r="M14" s="97" t="s">
        <v>22</v>
      </c>
      <c r="N14" s="78">
        <v>93</v>
      </c>
      <c r="O14" s="78">
        <v>2685</v>
      </c>
      <c r="P14" s="78">
        <v>2841</v>
      </c>
      <c r="Q14" s="113">
        <v>3730</v>
      </c>
      <c r="R14" s="114">
        <v>4838</v>
      </c>
      <c r="S14" s="78">
        <v>36</v>
      </c>
      <c r="T14" s="78">
        <v>4</v>
      </c>
    </row>
    <row r="15" spans="1:30" x14ac:dyDescent="0.25">
      <c r="A15" s="97" t="s">
        <v>24</v>
      </c>
      <c r="B15" s="78">
        <v>250</v>
      </c>
      <c r="C15" s="78">
        <v>3056</v>
      </c>
      <c r="D15" s="78">
        <v>3139</v>
      </c>
      <c r="E15" s="113">
        <v>4147</v>
      </c>
      <c r="F15" s="114">
        <v>1880</v>
      </c>
      <c r="G15" s="78">
        <v>57</v>
      </c>
      <c r="H15" s="78">
        <v>14</v>
      </c>
      <c r="I15" s="78"/>
      <c r="J15" s="103"/>
      <c r="K15" s="103"/>
      <c r="L15" s="103"/>
      <c r="M15" s="97" t="s">
        <v>24</v>
      </c>
      <c r="N15" s="78">
        <v>91</v>
      </c>
      <c r="O15" s="78">
        <v>2444</v>
      </c>
      <c r="P15" s="78">
        <v>2683</v>
      </c>
      <c r="Q15" s="113">
        <v>2381</v>
      </c>
      <c r="R15" s="114">
        <v>13045</v>
      </c>
      <c r="S15" s="78">
        <v>66</v>
      </c>
      <c r="T15" s="78">
        <v>75</v>
      </c>
    </row>
    <row r="16" spans="1:30" x14ac:dyDescent="0.25">
      <c r="A16" s="97" t="s">
        <v>26</v>
      </c>
      <c r="B16" s="101">
        <v>214</v>
      </c>
      <c r="C16" s="101">
        <v>2713</v>
      </c>
      <c r="D16" s="101">
        <v>2767</v>
      </c>
      <c r="E16" s="116">
        <v>4283</v>
      </c>
      <c r="F16" s="117">
        <v>2141</v>
      </c>
      <c r="G16" s="80">
        <v>40</v>
      </c>
      <c r="H16" s="80">
        <v>48</v>
      </c>
      <c r="I16" s="80"/>
      <c r="J16" s="103"/>
      <c r="K16" s="103"/>
      <c r="L16" s="103"/>
      <c r="M16" s="97" t="s">
        <v>26</v>
      </c>
      <c r="N16" s="101">
        <v>79</v>
      </c>
      <c r="O16" s="101">
        <v>2696</v>
      </c>
      <c r="P16" s="101">
        <v>2895</v>
      </c>
      <c r="Q16" s="116">
        <v>3468</v>
      </c>
      <c r="R16" s="117">
        <v>13738</v>
      </c>
      <c r="S16" s="80">
        <v>37</v>
      </c>
      <c r="T16" s="80">
        <v>7</v>
      </c>
    </row>
    <row r="17" spans="1:20" x14ac:dyDescent="0.25">
      <c r="A17" s="97" t="s">
        <v>28</v>
      </c>
      <c r="B17" s="80">
        <v>314</v>
      </c>
      <c r="C17" s="80">
        <v>4644</v>
      </c>
      <c r="D17" s="80">
        <v>4370</v>
      </c>
      <c r="E17" s="116">
        <v>4127</v>
      </c>
      <c r="F17" s="117">
        <v>2122</v>
      </c>
      <c r="G17" s="80">
        <v>52</v>
      </c>
      <c r="H17" s="80">
        <v>183</v>
      </c>
      <c r="I17" s="80"/>
      <c r="J17" s="103"/>
      <c r="K17" s="103"/>
      <c r="L17" s="103"/>
      <c r="M17" s="97" t="s">
        <v>28</v>
      </c>
      <c r="N17" s="80">
        <v>79</v>
      </c>
      <c r="O17" s="80">
        <v>2858</v>
      </c>
      <c r="P17" s="80">
        <v>2622</v>
      </c>
      <c r="Q17" s="116">
        <v>2864</v>
      </c>
      <c r="R17" s="117">
        <v>17241</v>
      </c>
      <c r="S17" s="80">
        <v>35</v>
      </c>
      <c r="T17" s="80">
        <v>8</v>
      </c>
    </row>
    <row r="18" spans="1:20" x14ac:dyDescent="0.25">
      <c r="A18" s="97" t="s">
        <v>30</v>
      </c>
      <c r="B18" s="78">
        <v>316</v>
      </c>
      <c r="C18" s="78">
        <v>4204</v>
      </c>
      <c r="D18" s="78">
        <v>3950</v>
      </c>
      <c r="E18" s="113">
        <v>2847</v>
      </c>
      <c r="F18" s="114">
        <v>1586</v>
      </c>
      <c r="G18" s="78">
        <v>75</v>
      </c>
      <c r="H18" s="78">
        <v>41</v>
      </c>
      <c r="I18" s="78"/>
      <c r="J18" s="103"/>
      <c r="K18" s="103"/>
      <c r="L18" s="103"/>
      <c r="M18" s="97" t="s">
        <v>30</v>
      </c>
      <c r="N18" s="78">
        <v>107</v>
      </c>
      <c r="O18" s="78">
        <v>2744</v>
      </c>
      <c r="P18" s="78">
        <v>2875</v>
      </c>
      <c r="Q18" s="113">
        <v>3465</v>
      </c>
      <c r="R18" s="114">
        <v>11331</v>
      </c>
      <c r="S18" s="78">
        <v>73</v>
      </c>
      <c r="T18" s="78">
        <v>70</v>
      </c>
    </row>
    <row r="19" spans="1:20" x14ac:dyDescent="0.25">
      <c r="A19" s="98" t="s">
        <v>32</v>
      </c>
      <c r="B19" s="118">
        <v>290</v>
      </c>
      <c r="C19" s="118">
        <v>3466</v>
      </c>
      <c r="D19" s="118">
        <v>3788</v>
      </c>
      <c r="E19" s="119">
        <v>2758</v>
      </c>
      <c r="F19" s="120">
        <v>1179</v>
      </c>
      <c r="G19" s="118">
        <v>113</v>
      </c>
      <c r="H19" s="118">
        <v>6</v>
      </c>
      <c r="I19" s="100"/>
      <c r="J19" s="103"/>
      <c r="K19" s="103"/>
      <c r="M19" s="98" t="s">
        <v>32</v>
      </c>
      <c r="N19" s="118">
        <v>135</v>
      </c>
      <c r="O19" s="118">
        <v>3779</v>
      </c>
      <c r="P19" s="118">
        <v>4347</v>
      </c>
      <c r="Q19" s="119">
        <v>3142</v>
      </c>
      <c r="R19" s="120">
        <v>15965</v>
      </c>
      <c r="S19" s="118">
        <v>35</v>
      </c>
      <c r="T19" s="118">
        <v>2</v>
      </c>
    </row>
    <row r="20" spans="1:20" ht="18.75" x14ac:dyDescent="0.25">
      <c r="A20" s="6" t="s">
        <v>6</v>
      </c>
      <c r="B20" s="3"/>
      <c r="C20" s="3"/>
      <c r="D20" s="7"/>
      <c r="E20" s="1"/>
      <c r="H20" s="11" t="s">
        <v>7</v>
      </c>
      <c r="I20" s="12"/>
      <c r="M20" s="6" t="s">
        <v>6</v>
      </c>
      <c r="N20" s="3"/>
      <c r="O20" s="3"/>
      <c r="P20" s="7"/>
      <c r="Q20" s="1"/>
      <c r="T20" s="11" t="s">
        <v>7</v>
      </c>
    </row>
    <row r="21" spans="1:20" x14ac:dyDescent="0.25">
      <c r="A21" s="104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</row>
    <row r="23" spans="1:20" x14ac:dyDescent="0.25">
      <c r="A23" s="165" t="s">
        <v>105</v>
      </c>
      <c r="B23" s="165"/>
      <c r="C23" s="165"/>
      <c r="D23" s="165"/>
      <c r="E23" s="165"/>
      <c r="F23" s="165"/>
      <c r="G23" s="165"/>
      <c r="H23" s="165"/>
      <c r="I23" s="102"/>
      <c r="J23" s="103"/>
      <c r="K23" s="103"/>
      <c r="L23" s="103"/>
      <c r="M23" s="165" t="s">
        <v>106</v>
      </c>
      <c r="N23" s="165"/>
      <c r="O23" s="165"/>
      <c r="P23" s="165"/>
      <c r="Q23" s="165"/>
      <c r="R23" s="165"/>
      <c r="S23" s="165"/>
      <c r="T23" s="165"/>
    </row>
    <row r="24" spans="1:20" x14ac:dyDescent="0.25">
      <c r="A24" s="104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4"/>
      <c r="N24" s="103"/>
      <c r="O24" s="103"/>
      <c r="P24" s="103"/>
      <c r="Q24" s="103"/>
      <c r="R24" s="103"/>
      <c r="S24" s="103"/>
      <c r="T24" s="103"/>
    </row>
    <row r="25" spans="1:20" x14ac:dyDescent="0.25">
      <c r="A25" s="166" t="s">
        <v>64</v>
      </c>
      <c r="B25" s="168" t="s">
        <v>65</v>
      </c>
      <c r="C25" s="170" t="s">
        <v>66</v>
      </c>
      <c r="D25" s="170"/>
      <c r="E25" s="171" t="s">
        <v>67</v>
      </c>
      <c r="F25" s="172"/>
      <c r="G25" s="170" t="s">
        <v>68</v>
      </c>
      <c r="H25" s="170"/>
      <c r="I25" s="105"/>
      <c r="J25" s="103"/>
      <c r="K25" s="103"/>
      <c r="L25" s="103"/>
      <c r="M25" s="166" t="s">
        <v>64</v>
      </c>
      <c r="N25" s="168" t="s">
        <v>65</v>
      </c>
      <c r="O25" s="170" t="s">
        <v>66</v>
      </c>
      <c r="P25" s="170"/>
      <c r="Q25" s="171" t="s">
        <v>67</v>
      </c>
      <c r="R25" s="172"/>
      <c r="S25" s="170" t="s">
        <v>68</v>
      </c>
      <c r="T25" s="170"/>
    </row>
    <row r="26" spans="1:20" x14ac:dyDescent="0.25">
      <c r="A26" s="167"/>
      <c r="B26" s="169"/>
      <c r="C26" s="106" t="s">
        <v>69</v>
      </c>
      <c r="D26" s="106" t="s">
        <v>70</v>
      </c>
      <c r="E26" s="107" t="s">
        <v>69</v>
      </c>
      <c r="F26" s="108" t="s">
        <v>70</v>
      </c>
      <c r="G26" s="106" t="s">
        <v>69</v>
      </c>
      <c r="H26" s="106" t="s">
        <v>70</v>
      </c>
      <c r="I26" s="109"/>
      <c r="J26" s="103"/>
      <c r="K26" s="103"/>
      <c r="L26" s="103"/>
      <c r="M26" s="167"/>
      <c r="N26" s="169"/>
      <c r="O26" s="106" t="s">
        <v>69</v>
      </c>
      <c r="P26" s="106" t="s">
        <v>70</v>
      </c>
      <c r="Q26" s="107" t="s">
        <v>69</v>
      </c>
      <c r="R26" s="108" t="s">
        <v>70</v>
      </c>
      <c r="S26" s="106" t="s">
        <v>69</v>
      </c>
      <c r="T26" s="106" t="s">
        <v>70</v>
      </c>
    </row>
    <row r="27" spans="1:20" x14ac:dyDescent="0.25">
      <c r="A27" s="110" t="s">
        <v>4</v>
      </c>
      <c r="B27" s="111"/>
      <c r="C27" s="111"/>
      <c r="D27" s="111"/>
      <c r="E27" s="79"/>
      <c r="F27" s="112"/>
      <c r="G27" s="111"/>
      <c r="H27" s="111"/>
      <c r="I27" s="99"/>
      <c r="J27" s="103"/>
      <c r="K27" s="103"/>
      <c r="L27" s="103"/>
      <c r="M27" s="110" t="s">
        <v>4</v>
      </c>
      <c r="N27" s="111"/>
      <c r="O27" s="111"/>
      <c r="P27" s="111"/>
      <c r="Q27" s="79"/>
      <c r="R27" s="112"/>
      <c r="S27" s="111"/>
      <c r="T27" s="111"/>
    </row>
    <row r="28" spans="1:20" x14ac:dyDescent="0.25">
      <c r="A28" s="97" t="s">
        <v>10</v>
      </c>
      <c r="B28" s="78">
        <v>142</v>
      </c>
      <c r="C28" s="78">
        <v>2654</v>
      </c>
      <c r="D28" s="78">
        <v>2196</v>
      </c>
      <c r="E28" s="113">
        <v>3786</v>
      </c>
      <c r="F28" s="114">
        <v>112</v>
      </c>
      <c r="G28" s="78">
        <v>94</v>
      </c>
      <c r="H28" s="78">
        <v>7</v>
      </c>
      <c r="I28" s="78"/>
      <c r="J28" s="103"/>
      <c r="K28" s="103"/>
      <c r="L28" s="103"/>
      <c r="M28" s="97" t="s">
        <v>10</v>
      </c>
      <c r="N28" s="78">
        <v>460</v>
      </c>
      <c r="O28" s="78">
        <v>6215</v>
      </c>
      <c r="P28" s="78">
        <v>6377</v>
      </c>
      <c r="Q28" s="113">
        <v>80</v>
      </c>
      <c r="R28" s="114">
        <v>61</v>
      </c>
      <c r="S28" s="78">
        <v>1</v>
      </c>
      <c r="T28" s="78">
        <v>0</v>
      </c>
    </row>
    <row r="29" spans="1:20" x14ac:dyDescent="0.25">
      <c r="A29" s="97" t="s">
        <v>12</v>
      </c>
      <c r="B29" s="78">
        <v>130</v>
      </c>
      <c r="C29" s="78">
        <v>2355</v>
      </c>
      <c r="D29" s="78">
        <v>2166</v>
      </c>
      <c r="E29" s="113">
        <v>4840</v>
      </c>
      <c r="F29" s="114">
        <v>1147</v>
      </c>
      <c r="G29" s="78">
        <v>44</v>
      </c>
      <c r="H29" s="78">
        <v>9</v>
      </c>
      <c r="I29" s="78"/>
      <c r="J29" s="103"/>
      <c r="K29" s="103"/>
      <c r="L29" s="103"/>
      <c r="M29" s="97" t="s">
        <v>12</v>
      </c>
      <c r="N29" s="78">
        <v>460</v>
      </c>
      <c r="O29" s="78">
        <v>6108</v>
      </c>
      <c r="P29" s="78">
        <v>5745</v>
      </c>
      <c r="Q29" s="113">
        <v>101</v>
      </c>
      <c r="R29" s="114">
        <v>91</v>
      </c>
      <c r="S29" s="78">
        <v>0</v>
      </c>
      <c r="T29" s="78">
        <v>0</v>
      </c>
    </row>
    <row r="30" spans="1:20" x14ac:dyDescent="0.25">
      <c r="A30" s="97" t="s">
        <v>14</v>
      </c>
      <c r="B30" s="78">
        <v>140</v>
      </c>
      <c r="C30" s="78">
        <v>2481</v>
      </c>
      <c r="D30" s="78">
        <v>2174</v>
      </c>
      <c r="E30" s="113">
        <v>4643</v>
      </c>
      <c r="F30" s="114">
        <v>371</v>
      </c>
      <c r="G30" s="78">
        <v>31</v>
      </c>
      <c r="H30" s="78">
        <v>24</v>
      </c>
      <c r="I30" s="78"/>
      <c r="J30" s="103"/>
      <c r="K30" s="103"/>
      <c r="L30" s="103"/>
      <c r="M30" s="97" t="s">
        <v>14</v>
      </c>
      <c r="N30" s="78">
        <v>372</v>
      </c>
      <c r="O30" s="78">
        <v>5333</v>
      </c>
      <c r="P30" s="78">
        <v>4805</v>
      </c>
      <c r="Q30" s="113">
        <v>305</v>
      </c>
      <c r="R30" s="114">
        <v>42</v>
      </c>
      <c r="S30" s="78">
        <v>0</v>
      </c>
      <c r="T30" s="78">
        <v>0</v>
      </c>
    </row>
    <row r="31" spans="1:20" x14ac:dyDescent="0.25">
      <c r="A31" s="97" t="s">
        <v>16</v>
      </c>
      <c r="B31" s="78">
        <v>186</v>
      </c>
      <c r="C31" s="78">
        <v>2723</v>
      </c>
      <c r="D31" s="78">
        <v>3296</v>
      </c>
      <c r="E31" s="113">
        <v>4553</v>
      </c>
      <c r="F31" s="114">
        <v>241</v>
      </c>
      <c r="G31" s="78">
        <v>33</v>
      </c>
      <c r="H31" s="78">
        <v>10</v>
      </c>
      <c r="I31" s="78"/>
      <c r="J31" s="103"/>
      <c r="K31" s="103"/>
      <c r="L31" s="103"/>
      <c r="M31" s="97" t="s">
        <v>16</v>
      </c>
      <c r="N31" s="78">
        <v>388</v>
      </c>
      <c r="O31" s="78">
        <v>5399</v>
      </c>
      <c r="P31" s="78">
        <v>5771</v>
      </c>
      <c r="Q31" s="113">
        <v>0</v>
      </c>
      <c r="R31" s="114">
        <v>0</v>
      </c>
      <c r="S31" s="78">
        <v>0</v>
      </c>
      <c r="T31" s="78">
        <v>0</v>
      </c>
    </row>
    <row r="32" spans="1:20" x14ac:dyDescent="0.25">
      <c r="A32" s="97" t="s">
        <v>18</v>
      </c>
      <c r="B32" s="78">
        <v>168</v>
      </c>
      <c r="C32" s="78">
        <v>2968</v>
      </c>
      <c r="D32" s="78">
        <v>2930</v>
      </c>
      <c r="E32" s="113">
        <v>3775</v>
      </c>
      <c r="F32" s="114">
        <v>716</v>
      </c>
      <c r="G32" s="78">
        <v>63</v>
      </c>
      <c r="H32" s="78">
        <v>4</v>
      </c>
      <c r="I32" s="78"/>
      <c r="J32" s="103"/>
      <c r="K32" s="103"/>
      <c r="L32" s="103"/>
      <c r="M32" s="97" t="s">
        <v>18</v>
      </c>
      <c r="N32" s="78">
        <v>350</v>
      </c>
      <c r="O32" s="78">
        <v>5913</v>
      </c>
      <c r="P32" s="78">
        <v>6043</v>
      </c>
      <c r="Q32" s="113">
        <v>49</v>
      </c>
      <c r="R32" s="114">
        <v>36</v>
      </c>
      <c r="S32" s="78">
        <v>0</v>
      </c>
      <c r="T32" s="78">
        <v>0</v>
      </c>
    </row>
    <row r="33" spans="1:20" x14ac:dyDescent="0.25">
      <c r="A33" s="97" t="s">
        <v>20</v>
      </c>
      <c r="B33" s="78">
        <v>148</v>
      </c>
      <c r="C33" s="78">
        <v>2475</v>
      </c>
      <c r="D33" s="78">
        <v>2509</v>
      </c>
      <c r="E33" s="113">
        <v>2308</v>
      </c>
      <c r="F33" s="114">
        <v>238</v>
      </c>
      <c r="G33" s="78">
        <v>114</v>
      </c>
      <c r="H33" s="78">
        <v>40</v>
      </c>
      <c r="I33" s="78"/>
      <c r="J33" s="115"/>
      <c r="K33" s="115"/>
      <c r="L33" s="103"/>
      <c r="M33" s="97" t="s">
        <v>20</v>
      </c>
      <c r="N33" s="78">
        <v>388</v>
      </c>
      <c r="O33" s="78">
        <v>5877</v>
      </c>
      <c r="P33" s="78">
        <v>5405</v>
      </c>
      <c r="Q33" s="113">
        <v>55</v>
      </c>
      <c r="R33" s="114">
        <v>36</v>
      </c>
      <c r="S33" s="78">
        <v>0</v>
      </c>
      <c r="T33" s="78">
        <v>0</v>
      </c>
    </row>
    <row r="34" spans="1:20" x14ac:dyDescent="0.25">
      <c r="A34" s="97" t="s">
        <v>22</v>
      </c>
      <c r="B34" s="78">
        <v>134</v>
      </c>
      <c r="C34" s="78">
        <v>2186</v>
      </c>
      <c r="D34" s="78">
        <v>2122</v>
      </c>
      <c r="E34" s="113">
        <v>2834</v>
      </c>
      <c r="F34" s="114">
        <v>115</v>
      </c>
      <c r="G34" s="78">
        <v>103</v>
      </c>
      <c r="H34" s="78">
        <v>4</v>
      </c>
      <c r="I34" s="78"/>
      <c r="J34" s="103"/>
      <c r="K34" s="103"/>
      <c r="L34" s="103"/>
      <c r="M34" s="97" t="s">
        <v>22</v>
      </c>
      <c r="N34" s="78">
        <v>462</v>
      </c>
      <c r="O34" s="78">
        <v>6000</v>
      </c>
      <c r="P34" s="78">
        <v>5449</v>
      </c>
      <c r="Q34" s="113">
        <v>604</v>
      </c>
      <c r="R34" s="114">
        <v>11</v>
      </c>
      <c r="S34" s="78">
        <v>0</v>
      </c>
      <c r="T34" s="78">
        <v>0</v>
      </c>
    </row>
    <row r="35" spans="1:20" x14ac:dyDescent="0.25">
      <c r="A35" s="97" t="s">
        <v>24</v>
      </c>
      <c r="B35" s="78">
        <v>118</v>
      </c>
      <c r="C35" s="78">
        <v>1756</v>
      </c>
      <c r="D35" s="78">
        <v>1800</v>
      </c>
      <c r="E35" s="113">
        <v>2454</v>
      </c>
      <c r="F35" s="114">
        <v>546</v>
      </c>
      <c r="G35" s="78">
        <v>63</v>
      </c>
      <c r="H35" s="78">
        <v>3</v>
      </c>
      <c r="I35" s="78"/>
      <c r="J35" s="103"/>
      <c r="K35" s="103"/>
      <c r="L35" s="103"/>
      <c r="M35" s="97" t="s">
        <v>24</v>
      </c>
      <c r="N35" s="78">
        <v>236</v>
      </c>
      <c r="O35" s="78">
        <v>5865</v>
      </c>
      <c r="P35" s="78">
        <v>6469</v>
      </c>
      <c r="Q35" s="113">
        <v>149</v>
      </c>
      <c r="R35" s="114">
        <v>16</v>
      </c>
      <c r="S35" s="78">
        <v>0</v>
      </c>
      <c r="T35" s="78">
        <v>0</v>
      </c>
    </row>
    <row r="36" spans="1:20" x14ac:dyDescent="0.25">
      <c r="A36" s="97" t="s">
        <v>26</v>
      </c>
      <c r="B36" s="101">
        <v>120</v>
      </c>
      <c r="C36" s="101">
        <v>2229</v>
      </c>
      <c r="D36" s="101">
        <v>2268</v>
      </c>
      <c r="E36" s="116">
        <v>1735</v>
      </c>
      <c r="F36" s="117">
        <v>315</v>
      </c>
      <c r="G36" s="80">
        <v>124</v>
      </c>
      <c r="H36" s="80">
        <v>5</v>
      </c>
      <c r="I36" s="80"/>
      <c r="J36" s="103"/>
      <c r="K36" s="103"/>
      <c r="L36" s="103"/>
      <c r="M36" s="97" t="s">
        <v>26</v>
      </c>
      <c r="N36" s="101">
        <v>374</v>
      </c>
      <c r="O36" s="101">
        <v>5587</v>
      </c>
      <c r="P36" s="101">
        <v>5048</v>
      </c>
      <c r="Q36" s="116">
        <v>154</v>
      </c>
      <c r="R36" s="117">
        <v>42</v>
      </c>
      <c r="S36" s="80">
        <v>0</v>
      </c>
      <c r="T36" s="80">
        <v>0</v>
      </c>
    </row>
    <row r="37" spans="1:20" x14ac:dyDescent="0.25">
      <c r="A37" s="97" t="s">
        <v>28</v>
      </c>
      <c r="B37" s="80">
        <v>126</v>
      </c>
      <c r="C37" s="80">
        <v>2424</v>
      </c>
      <c r="D37" s="80">
        <v>2285</v>
      </c>
      <c r="E37" s="116">
        <v>2032</v>
      </c>
      <c r="F37" s="117">
        <v>263</v>
      </c>
      <c r="G37" s="80">
        <v>267</v>
      </c>
      <c r="H37" s="80">
        <v>16</v>
      </c>
      <c r="I37" s="80"/>
      <c r="J37" s="103"/>
      <c r="K37" s="103"/>
      <c r="L37" s="103"/>
      <c r="M37" s="97" t="s">
        <v>28</v>
      </c>
      <c r="N37" s="80">
        <v>228</v>
      </c>
      <c r="O37" s="80">
        <v>6140</v>
      </c>
      <c r="P37" s="80">
        <v>5316</v>
      </c>
      <c r="Q37" s="116">
        <v>481</v>
      </c>
      <c r="R37" s="117">
        <v>14</v>
      </c>
      <c r="S37" s="80">
        <v>0</v>
      </c>
      <c r="T37" s="80">
        <v>0</v>
      </c>
    </row>
    <row r="38" spans="1:20" x14ac:dyDescent="0.25">
      <c r="A38" s="97" t="s">
        <v>30</v>
      </c>
      <c r="B38" s="78">
        <v>140</v>
      </c>
      <c r="C38" s="78">
        <v>2501</v>
      </c>
      <c r="D38" s="78">
        <v>2523</v>
      </c>
      <c r="E38" s="113">
        <v>2438</v>
      </c>
      <c r="F38" s="114">
        <v>429</v>
      </c>
      <c r="G38" s="78">
        <v>87</v>
      </c>
      <c r="H38" s="78">
        <v>10</v>
      </c>
      <c r="I38" s="78"/>
      <c r="J38" s="103"/>
      <c r="K38" s="103"/>
      <c r="L38" s="103"/>
      <c r="M38" s="97" t="s">
        <v>30</v>
      </c>
      <c r="N38" s="78">
        <v>240</v>
      </c>
      <c r="O38" s="78">
        <v>4955</v>
      </c>
      <c r="P38" s="78">
        <v>4556</v>
      </c>
      <c r="Q38" s="113">
        <v>132</v>
      </c>
      <c r="R38" s="114">
        <v>182</v>
      </c>
      <c r="S38" s="78">
        <v>0</v>
      </c>
      <c r="T38" s="78">
        <v>0</v>
      </c>
    </row>
    <row r="39" spans="1:20" x14ac:dyDescent="0.25">
      <c r="A39" s="98" t="s">
        <v>32</v>
      </c>
      <c r="B39" s="118">
        <v>168</v>
      </c>
      <c r="C39" s="118">
        <v>2665</v>
      </c>
      <c r="D39" s="118">
        <v>3293</v>
      </c>
      <c r="E39" s="119">
        <v>2904</v>
      </c>
      <c r="F39" s="120">
        <v>604</v>
      </c>
      <c r="G39" s="118">
        <v>42</v>
      </c>
      <c r="H39" s="118">
        <v>5</v>
      </c>
      <c r="I39" s="100"/>
      <c r="J39" s="103"/>
      <c r="K39" s="103"/>
      <c r="M39" s="98" t="s">
        <v>32</v>
      </c>
      <c r="N39" s="118">
        <v>232</v>
      </c>
      <c r="O39" s="118">
        <v>6027</v>
      </c>
      <c r="P39" s="118">
        <v>4774</v>
      </c>
      <c r="Q39" s="119">
        <v>123</v>
      </c>
      <c r="R39" s="120">
        <v>76</v>
      </c>
      <c r="S39" s="118">
        <v>0</v>
      </c>
      <c r="T39" s="118">
        <v>0</v>
      </c>
    </row>
    <row r="40" spans="1:20" ht="18.75" x14ac:dyDescent="0.25">
      <c r="A40" s="6" t="s">
        <v>6</v>
      </c>
      <c r="B40" s="3"/>
      <c r="C40" s="3"/>
      <c r="D40" s="7"/>
      <c r="E40" s="1"/>
      <c r="H40" s="11" t="s">
        <v>7</v>
      </c>
      <c r="I40" s="12"/>
      <c r="J40" s="103"/>
      <c r="K40" s="103"/>
      <c r="L40" s="103"/>
      <c r="M40" s="6" t="s">
        <v>6</v>
      </c>
      <c r="N40" s="3"/>
      <c r="O40" s="3"/>
      <c r="P40" s="7"/>
      <c r="Q40" s="1"/>
      <c r="T40" s="11" t="s">
        <v>7</v>
      </c>
    </row>
    <row r="41" spans="1:20" x14ac:dyDescent="0.25">
      <c r="A41" s="103"/>
      <c r="J41" s="103"/>
      <c r="K41" s="103"/>
      <c r="L41" s="103"/>
      <c r="M41" s="103"/>
      <c r="N41" s="103"/>
      <c r="O41" s="103"/>
    </row>
    <row r="42" spans="1:20" x14ac:dyDescent="0.25">
      <c r="A42" s="103"/>
      <c r="J42" s="103"/>
      <c r="K42" s="103"/>
    </row>
    <row r="43" spans="1:20" x14ac:dyDescent="0.25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</row>
    <row r="45" spans="1:20" x14ac:dyDescent="0.25">
      <c r="A45" s="165" t="s">
        <v>107</v>
      </c>
      <c r="B45" s="165"/>
      <c r="C45" s="165"/>
      <c r="D45" s="165"/>
      <c r="E45" s="165"/>
      <c r="F45" s="165"/>
      <c r="G45" s="165"/>
      <c r="H45" s="165"/>
      <c r="I45" s="102"/>
      <c r="J45" s="103"/>
      <c r="K45" s="103"/>
      <c r="M45" s="165" t="s">
        <v>108</v>
      </c>
      <c r="N45" s="165"/>
      <c r="O45" s="165"/>
      <c r="P45" s="165"/>
      <c r="Q45" s="165"/>
      <c r="R45" s="165"/>
      <c r="S45" s="165"/>
      <c r="T45" s="165"/>
    </row>
    <row r="46" spans="1:20" x14ac:dyDescent="0.25">
      <c r="A46" s="104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M46" s="104"/>
      <c r="N46" s="103"/>
      <c r="O46" s="103"/>
      <c r="P46" s="103"/>
      <c r="Q46" s="103"/>
      <c r="R46" s="103"/>
      <c r="S46" s="103"/>
      <c r="T46" s="103"/>
    </row>
    <row r="47" spans="1:20" x14ac:dyDescent="0.25">
      <c r="A47" s="166" t="s">
        <v>64</v>
      </c>
      <c r="B47" s="168" t="s">
        <v>65</v>
      </c>
      <c r="C47" s="170" t="s">
        <v>66</v>
      </c>
      <c r="D47" s="170"/>
      <c r="E47" s="171" t="s">
        <v>67</v>
      </c>
      <c r="F47" s="172"/>
      <c r="G47" s="170" t="s">
        <v>68</v>
      </c>
      <c r="H47" s="170"/>
      <c r="I47" s="105"/>
      <c r="J47" s="103"/>
      <c r="K47" s="103"/>
      <c r="L47" s="103"/>
      <c r="M47" s="166" t="s">
        <v>64</v>
      </c>
      <c r="N47" s="168" t="s">
        <v>65</v>
      </c>
      <c r="O47" s="170" t="s">
        <v>66</v>
      </c>
      <c r="P47" s="170"/>
      <c r="Q47" s="171" t="s">
        <v>67</v>
      </c>
      <c r="R47" s="172"/>
      <c r="S47" s="170" t="s">
        <v>68</v>
      </c>
      <c r="T47" s="170"/>
    </row>
    <row r="48" spans="1:20" x14ac:dyDescent="0.25">
      <c r="A48" s="167"/>
      <c r="B48" s="169"/>
      <c r="C48" s="106" t="s">
        <v>69</v>
      </c>
      <c r="D48" s="106" t="s">
        <v>70</v>
      </c>
      <c r="E48" s="107" t="s">
        <v>69</v>
      </c>
      <c r="F48" s="108" t="s">
        <v>70</v>
      </c>
      <c r="G48" s="106" t="s">
        <v>69</v>
      </c>
      <c r="H48" s="106" t="s">
        <v>70</v>
      </c>
      <c r="I48" s="109"/>
      <c r="J48" s="103"/>
      <c r="K48" s="103"/>
      <c r="L48" s="103"/>
      <c r="M48" s="167"/>
      <c r="N48" s="169"/>
      <c r="O48" s="106" t="s">
        <v>69</v>
      </c>
      <c r="P48" s="106" t="s">
        <v>70</v>
      </c>
      <c r="Q48" s="107" t="s">
        <v>69</v>
      </c>
      <c r="R48" s="108" t="s">
        <v>70</v>
      </c>
      <c r="S48" s="106" t="s">
        <v>69</v>
      </c>
      <c r="T48" s="106" t="s">
        <v>70</v>
      </c>
    </row>
    <row r="49" spans="1:20" x14ac:dyDescent="0.25">
      <c r="A49" s="110" t="s">
        <v>4</v>
      </c>
      <c r="B49" s="111"/>
      <c r="C49" s="111"/>
      <c r="D49" s="111"/>
      <c r="E49" s="79"/>
      <c r="F49" s="112"/>
      <c r="G49" s="111"/>
      <c r="H49" s="111"/>
      <c r="I49" s="99"/>
      <c r="J49" s="103"/>
      <c r="K49" s="103"/>
      <c r="L49" s="103"/>
      <c r="M49" s="110" t="s">
        <v>4</v>
      </c>
      <c r="N49" s="111"/>
      <c r="O49" s="111"/>
      <c r="P49" s="111"/>
      <c r="Q49" s="79"/>
      <c r="R49" s="112"/>
      <c r="S49" s="111"/>
      <c r="T49" s="111"/>
    </row>
    <row r="50" spans="1:20" x14ac:dyDescent="0.25">
      <c r="A50" s="97" t="s">
        <v>10</v>
      </c>
      <c r="B50" s="78">
        <v>170</v>
      </c>
      <c r="C50" s="78">
        <v>6276</v>
      </c>
      <c r="D50" s="78">
        <v>6185</v>
      </c>
      <c r="E50" s="113">
        <v>4904</v>
      </c>
      <c r="F50" s="114">
        <v>1305</v>
      </c>
      <c r="G50" s="78">
        <v>6</v>
      </c>
      <c r="H50" s="78">
        <v>6.82</v>
      </c>
      <c r="I50" s="78"/>
      <c r="J50" s="103" t="s">
        <v>83</v>
      </c>
      <c r="K50" s="103"/>
      <c r="L50" s="103"/>
      <c r="M50" s="97" t="s">
        <v>10</v>
      </c>
      <c r="N50" s="78">
        <v>10</v>
      </c>
      <c r="O50" s="78">
        <v>360</v>
      </c>
      <c r="P50" s="78">
        <v>347</v>
      </c>
      <c r="Q50" s="113">
        <v>226</v>
      </c>
      <c r="R50" s="114">
        <v>186</v>
      </c>
      <c r="S50" s="78">
        <v>0</v>
      </c>
      <c r="T50" s="78">
        <v>0</v>
      </c>
    </row>
    <row r="51" spans="1:20" x14ac:dyDescent="0.25">
      <c r="A51" s="97" t="s">
        <v>12</v>
      </c>
      <c r="B51" s="78">
        <v>168</v>
      </c>
      <c r="C51" s="78">
        <v>6957</v>
      </c>
      <c r="D51" s="78">
        <v>7097</v>
      </c>
      <c r="E51" s="113">
        <v>7409</v>
      </c>
      <c r="F51" s="114">
        <v>1778.4</v>
      </c>
      <c r="G51" s="78">
        <v>4</v>
      </c>
      <c r="H51" s="78">
        <v>14</v>
      </c>
      <c r="I51" s="78"/>
      <c r="J51" s="103"/>
      <c r="K51" s="103"/>
      <c r="L51" s="103"/>
      <c r="M51" s="97" t="s">
        <v>12</v>
      </c>
      <c r="N51" s="78">
        <v>10</v>
      </c>
      <c r="O51" s="78">
        <v>323</v>
      </c>
      <c r="P51" s="78">
        <v>378</v>
      </c>
      <c r="Q51" s="113">
        <v>472</v>
      </c>
      <c r="R51" s="114">
        <v>37</v>
      </c>
      <c r="S51" s="78">
        <v>0</v>
      </c>
      <c r="T51" s="78">
        <v>0</v>
      </c>
    </row>
    <row r="52" spans="1:20" x14ac:dyDescent="0.25">
      <c r="A52" s="97" t="s">
        <v>14</v>
      </c>
      <c r="B52" s="78">
        <v>171</v>
      </c>
      <c r="C52" s="78">
        <v>6070</v>
      </c>
      <c r="D52" s="78">
        <v>6051</v>
      </c>
      <c r="E52" s="113">
        <v>9769</v>
      </c>
      <c r="F52" s="114">
        <v>1483</v>
      </c>
      <c r="G52" s="78">
        <v>4</v>
      </c>
      <c r="H52" s="78">
        <v>2</v>
      </c>
      <c r="I52" s="78"/>
      <c r="J52" s="103"/>
      <c r="K52" s="103"/>
      <c r="L52" s="103"/>
      <c r="M52" s="97" t="s">
        <v>14</v>
      </c>
      <c r="N52" s="78">
        <v>12</v>
      </c>
      <c r="O52" s="78">
        <v>304</v>
      </c>
      <c r="P52" s="78">
        <v>304</v>
      </c>
      <c r="Q52" s="113">
        <v>285</v>
      </c>
      <c r="R52" s="114">
        <v>13</v>
      </c>
      <c r="S52" s="78">
        <v>1</v>
      </c>
      <c r="T52" s="78">
        <v>0</v>
      </c>
    </row>
    <row r="53" spans="1:20" x14ac:dyDescent="0.25">
      <c r="A53" s="97" t="s">
        <v>16</v>
      </c>
      <c r="B53" s="78">
        <v>158</v>
      </c>
      <c r="C53" s="78">
        <v>5072</v>
      </c>
      <c r="D53" s="78">
        <v>6350</v>
      </c>
      <c r="E53" s="113">
        <v>4810</v>
      </c>
      <c r="F53" s="114">
        <v>943</v>
      </c>
      <c r="G53" s="78">
        <v>3</v>
      </c>
      <c r="H53" s="78">
        <v>5</v>
      </c>
      <c r="I53" s="78"/>
      <c r="J53" s="103"/>
      <c r="K53" s="103"/>
      <c r="L53" s="103"/>
      <c r="M53" s="97" t="s">
        <v>16</v>
      </c>
      <c r="N53" s="78">
        <v>18</v>
      </c>
      <c r="O53" s="78">
        <v>461</v>
      </c>
      <c r="P53" s="78">
        <v>544</v>
      </c>
      <c r="Q53" s="113">
        <v>554</v>
      </c>
      <c r="R53" s="114">
        <v>5</v>
      </c>
      <c r="S53" s="78">
        <v>0</v>
      </c>
      <c r="T53" s="78">
        <v>0</v>
      </c>
    </row>
    <row r="54" spans="1:20" x14ac:dyDescent="0.25">
      <c r="A54" s="97" t="s">
        <v>18</v>
      </c>
      <c r="B54" s="78">
        <v>162</v>
      </c>
      <c r="C54" s="78">
        <v>4677</v>
      </c>
      <c r="D54" s="78">
        <v>4911</v>
      </c>
      <c r="E54" s="113">
        <v>2924.56</v>
      </c>
      <c r="F54" s="114">
        <v>1066</v>
      </c>
      <c r="G54" s="78">
        <v>34</v>
      </c>
      <c r="H54" s="78">
        <v>37</v>
      </c>
      <c r="I54" s="78"/>
      <c r="J54" s="103"/>
      <c r="K54" s="103"/>
      <c r="L54" s="103"/>
      <c r="M54" s="97" t="s">
        <v>18</v>
      </c>
      <c r="N54" s="78">
        <v>22</v>
      </c>
      <c r="O54" s="78">
        <v>693</v>
      </c>
      <c r="P54" s="78">
        <v>731</v>
      </c>
      <c r="Q54" s="113">
        <v>1007</v>
      </c>
      <c r="R54" s="114">
        <v>1003</v>
      </c>
      <c r="S54" s="78">
        <v>0</v>
      </c>
      <c r="T54" s="78">
        <v>0</v>
      </c>
    </row>
    <row r="55" spans="1:20" x14ac:dyDescent="0.25">
      <c r="A55" s="97" t="s">
        <v>20</v>
      </c>
      <c r="B55" s="78">
        <v>165</v>
      </c>
      <c r="C55" s="78">
        <v>4615</v>
      </c>
      <c r="D55" s="78">
        <v>4621</v>
      </c>
      <c r="E55" s="113">
        <v>2648</v>
      </c>
      <c r="F55" s="114">
        <v>1191</v>
      </c>
      <c r="G55" s="78">
        <v>30</v>
      </c>
      <c r="H55" s="78">
        <v>0</v>
      </c>
      <c r="I55" s="78"/>
      <c r="J55" s="115"/>
      <c r="K55" s="115"/>
      <c r="L55" s="103"/>
      <c r="M55" s="97" t="s">
        <v>20</v>
      </c>
      <c r="N55" s="78">
        <v>21</v>
      </c>
      <c r="O55" s="78">
        <v>609</v>
      </c>
      <c r="P55" s="78">
        <v>641</v>
      </c>
      <c r="Q55" s="113">
        <v>473</v>
      </c>
      <c r="R55" s="114">
        <v>225</v>
      </c>
      <c r="S55" s="78">
        <v>0</v>
      </c>
      <c r="T55" s="78">
        <v>0</v>
      </c>
    </row>
    <row r="56" spans="1:20" x14ac:dyDescent="0.25">
      <c r="A56" s="97" t="s">
        <v>22</v>
      </c>
      <c r="B56" s="78">
        <v>169</v>
      </c>
      <c r="C56" s="78">
        <v>4007</v>
      </c>
      <c r="D56" s="78">
        <v>4109</v>
      </c>
      <c r="E56" s="113">
        <v>3136</v>
      </c>
      <c r="F56" s="114">
        <v>1480</v>
      </c>
      <c r="G56" s="78">
        <v>37</v>
      </c>
      <c r="H56" s="78">
        <v>4</v>
      </c>
      <c r="I56" s="78"/>
      <c r="J56" s="103"/>
      <c r="K56" s="103"/>
      <c r="L56" s="103"/>
      <c r="M56" s="97" t="s">
        <v>22</v>
      </c>
      <c r="N56" s="78">
        <v>14</v>
      </c>
      <c r="O56" s="78">
        <v>296</v>
      </c>
      <c r="P56" s="78">
        <v>317</v>
      </c>
      <c r="Q56" s="113">
        <v>517</v>
      </c>
      <c r="R56" s="114">
        <v>21</v>
      </c>
      <c r="S56" s="78">
        <v>97</v>
      </c>
      <c r="T56" s="78">
        <v>0</v>
      </c>
    </row>
    <row r="57" spans="1:20" x14ac:dyDescent="0.25">
      <c r="A57" s="97" t="s">
        <v>24</v>
      </c>
      <c r="B57" s="78">
        <v>152</v>
      </c>
      <c r="C57" s="78">
        <v>4230</v>
      </c>
      <c r="D57" s="78">
        <v>4473</v>
      </c>
      <c r="E57" s="113">
        <v>3186</v>
      </c>
      <c r="F57" s="114">
        <v>658</v>
      </c>
      <c r="G57" s="78">
        <v>28</v>
      </c>
      <c r="H57" s="78">
        <v>7</v>
      </c>
      <c r="I57" s="78"/>
      <c r="J57" s="103"/>
      <c r="K57" s="103"/>
      <c r="L57" s="103"/>
      <c r="M57" s="97" t="s">
        <v>24</v>
      </c>
      <c r="N57" s="78">
        <v>18</v>
      </c>
      <c r="O57" s="78">
        <v>364</v>
      </c>
      <c r="P57" s="78">
        <v>450</v>
      </c>
      <c r="Q57" s="113">
        <v>217</v>
      </c>
      <c r="R57" s="114">
        <v>731</v>
      </c>
      <c r="S57" s="78">
        <v>0</v>
      </c>
      <c r="T57" s="78">
        <v>0</v>
      </c>
    </row>
    <row r="58" spans="1:20" x14ac:dyDescent="0.25">
      <c r="A58" s="97" t="s">
        <v>26</v>
      </c>
      <c r="B58" s="101">
        <v>135</v>
      </c>
      <c r="C58" s="101">
        <v>4146</v>
      </c>
      <c r="D58" s="101">
        <v>4309</v>
      </c>
      <c r="E58" s="116">
        <v>2326</v>
      </c>
      <c r="F58" s="117">
        <v>1165</v>
      </c>
      <c r="G58" s="80">
        <v>34</v>
      </c>
      <c r="H58" s="80">
        <v>1</v>
      </c>
      <c r="I58" s="80"/>
      <c r="J58" s="103"/>
      <c r="K58" s="103"/>
      <c r="L58" s="103"/>
      <c r="M58" s="97" t="s">
        <v>26</v>
      </c>
      <c r="N58" s="101">
        <v>11</v>
      </c>
      <c r="O58" s="101">
        <v>250</v>
      </c>
      <c r="P58" s="101">
        <v>318</v>
      </c>
      <c r="Q58" s="116">
        <v>312</v>
      </c>
      <c r="R58" s="117">
        <v>6</v>
      </c>
      <c r="S58" s="80">
        <v>0</v>
      </c>
      <c r="T58" s="80">
        <v>0</v>
      </c>
    </row>
    <row r="59" spans="1:20" x14ac:dyDescent="0.25">
      <c r="A59" s="97" t="s">
        <v>28</v>
      </c>
      <c r="B59" s="80">
        <v>54</v>
      </c>
      <c r="C59" s="80">
        <v>1719</v>
      </c>
      <c r="D59" s="80">
        <v>1655</v>
      </c>
      <c r="E59" s="116">
        <v>702</v>
      </c>
      <c r="F59" s="117">
        <v>35</v>
      </c>
      <c r="G59" s="80">
        <v>35</v>
      </c>
      <c r="H59" s="80">
        <v>4</v>
      </c>
      <c r="I59" s="80"/>
      <c r="J59" s="103"/>
      <c r="K59" s="103"/>
      <c r="L59" s="103"/>
      <c r="M59" s="97" t="s">
        <v>28</v>
      </c>
      <c r="N59" s="80">
        <v>16</v>
      </c>
      <c r="O59" s="80">
        <v>564</v>
      </c>
      <c r="P59" s="80">
        <v>439</v>
      </c>
      <c r="Q59" s="116">
        <v>694</v>
      </c>
      <c r="R59" s="117">
        <v>861</v>
      </c>
      <c r="S59" s="80">
        <v>0</v>
      </c>
      <c r="T59" s="80">
        <v>0</v>
      </c>
    </row>
    <row r="60" spans="1:20" x14ac:dyDescent="0.25">
      <c r="A60" s="97" t="s">
        <v>30</v>
      </c>
      <c r="B60" s="78">
        <v>113</v>
      </c>
      <c r="C60" s="78">
        <v>2657</v>
      </c>
      <c r="D60" s="78">
        <v>2957</v>
      </c>
      <c r="E60" s="113">
        <v>2316</v>
      </c>
      <c r="F60" s="114">
        <v>288</v>
      </c>
      <c r="G60" s="78">
        <v>28</v>
      </c>
      <c r="H60" s="78">
        <v>21</v>
      </c>
      <c r="I60" s="78"/>
      <c r="J60" s="103"/>
      <c r="K60" s="103"/>
      <c r="L60" s="103"/>
      <c r="M60" s="97" t="s">
        <v>30</v>
      </c>
      <c r="N60" s="78">
        <v>16</v>
      </c>
      <c r="O60" s="78">
        <v>293</v>
      </c>
      <c r="P60" s="78">
        <v>320</v>
      </c>
      <c r="Q60" s="113">
        <v>18</v>
      </c>
      <c r="R60" s="114">
        <v>258</v>
      </c>
      <c r="S60" s="78">
        <v>36</v>
      </c>
      <c r="T60" s="78">
        <v>0</v>
      </c>
    </row>
    <row r="61" spans="1:20" x14ac:dyDescent="0.25">
      <c r="A61" s="98" t="s">
        <v>32</v>
      </c>
      <c r="B61" s="118">
        <v>152</v>
      </c>
      <c r="C61" s="118">
        <v>4629</v>
      </c>
      <c r="D61" s="118">
        <v>5219</v>
      </c>
      <c r="E61" s="119">
        <v>2539</v>
      </c>
      <c r="F61" s="120">
        <v>760</v>
      </c>
      <c r="G61" s="118">
        <v>42</v>
      </c>
      <c r="H61" s="118">
        <v>4</v>
      </c>
      <c r="I61" s="100"/>
      <c r="J61" s="103"/>
      <c r="K61" s="103"/>
      <c r="M61" s="98" t="s">
        <v>32</v>
      </c>
      <c r="N61" s="118">
        <v>18</v>
      </c>
      <c r="O61" s="118">
        <v>389</v>
      </c>
      <c r="P61" s="118">
        <v>455</v>
      </c>
      <c r="Q61" s="119">
        <v>111</v>
      </c>
      <c r="R61" s="120">
        <v>235</v>
      </c>
      <c r="S61" s="118">
        <v>0</v>
      </c>
      <c r="T61" s="118">
        <v>0</v>
      </c>
    </row>
    <row r="62" spans="1:20" ht="18.75" x14ac:dyDescent="0.25">
      <c r="A62" s="6" t="s">
        <v>6</v>
      </c>
      <c r="B62" s="3"/>
      <c r="C62" s="3"/>
      <c r="D62" s="7"/>
      <c r="E62" s="1"/>
      <c r="H62" s="11" t="s">
        <v>7</v>
      </c>
      <c r="I62" s="12"/>
      <c r="J62" s="103"/>
      <c r="K62" s="103"/>
      <c r="M62" s="6" t="s">
        <v>6</v>
      </c>
      <c r="N62" s="3"/>
      <c r="O62" s="3"/>
      <c r="P62" s="7"/>
      <c r="Q62" s="1"/>
      <c r="T62" s="11" t="s">
        <v>7</v>
      </c>
    </row>
    <row r="63" spans="1:20" x14ac:dyDescent="0.25">
      <c r="A63" s="103"/>
      <c r="J63" s="103"/>
      <c r="K63" s="103"/>
    </row>
    <row r="64" spans="1:20" x14ac:dyDescent="0.25">
      <c r="A64" s="121"/>
      <c r="B64" s="103"/>
      <c r="C64" s="103"/>
      <c r="D64" s="103"/>
      <c r="E64" s="122"/>
      <c r="F64" s="122"/>
      <c r="G64" s="122"/>
      <c r="H64" s="122"/>
      <c r="I64" s="122"/>
    </row>
    <row r="65" spans="1:20" x14ac:dyDescent="0.25">
      <c r="A65" s="103"/>
    </row>
    <row r="67" spans="1:20" x14ac:dyDescent="0.25">
      <c r="A67" s="165" t="s">
        <v>109</v>
      </c>
      <c r="B67" s="165"/>
      <c r="C67" s="165"/>
      <c r="D67" s="165"/>
      <c r="E67" s="165"/>
      <c r="F67" s="165"/>
      <c r="G67" s="165"/>
      <c r="H67" s="165"/>
      <c r="I67" s="102"/>
      <c r="M67" s="165" t="s">
        <v>110</v>
      </c>
      <c r="N67" s="165"/>
      <c r="O67" s="165"/>
      <c r="P67" s="165"/>
      <c r="Q67" s="165"/>
      <c r="R67" s="165"/>
      <c r="S67" s="165"/>
      <c r="T67" s="165"/>
    </row>
    <row r="68" spans="1:20" x14ac:dyDescent="0.25">
      <c r="A68" s="104"/>
      <c r="B68" s="103"/>
      <c r="C68" s="103"/>
      <c r="D68" s="103"/>
      <c r="E68" s="103"/>
      <c r="F68" s="103"/>
      <c r="G68" s="103"/>
      <c r="H68" s="103"/>
      <c r="I68" s="102"/>
      <c r="M68" s="104"/>
      <c r="N68" s="103"/>
      <c r="O68" s="103"/>
      <c r="P68" s="103"/>
      <c r="Q68" s="103"/>
      <c r="R68" s="103"/>
      <c r="S68" s="103"/>
      <c r="T68" s="103"/>
    </row>
    <row r="69" spans="1:20" x14ac:dyDescent="0.25">
      <c r="A69" s="166" t="s">
        <v>64</v>
      </c>
      <c r="B69" s="168" t="s">
        <v>65</v>
      </c>
      <c r="C69" s="170" t="s">
        <v>66</v>
      </c>
      <c r="D69" s="170"/>
      <c r="E69" s="171" t="s">
        <v>67</v>
      </c>
      <c r="F69" s="172"/>
      <c r="G69" s="170" t="s">
        <v>68</v>
      </c>
      <c r="H69" s="170"/>
      <c r="I69" s="105"/>
      <c r="M69" s="166" t="s">
        <v>64</v>
      </c>
      <c r="N69" s="168" t="s">
        <v>65</v>
      </c>
      <c r="O69" s="170" t="s">
        <v>66</v>
      </c>
      <c r="P69" s="170"/>
      <c r="Q69" s="171" t="s">
        <v>67</v>
      </c>
      <c r="R69" s="172"/>
      <c r="S69" s="170" t="s">
        <v>68</v>
      </c>
      <c r="T69" s="170"/>
    </row>
    <row r="70" spans="1:20" x14ac:dyDescent="0.25">
      <c r="A70" s="167"/>
      <c r="B70" s="169"/>
      <c r="C70" s="106" t="s">
        <v>69</v>
      </c>
      <c r="D70" s="106" t="s">
        <v>70</v>
      </c>
      <c r="E70" s="107" t="s">
        <v>69</v>
      </c>
      <c r="F70" s="108" t="s">
        <v>70</v>
      </c>
      <c r="G70" s="106" t="s">
        <v>69</v>
      </c>
      <c r="H70" s="106" t="s">
        <v>70</v>
      </c>
      <c r="I70" s="109"/>
      <c r="J70" s="103"/>
      <c r="K70" s="103"/>
      <c r="M70" s="167"/>
      <c r="N70" s="169"/>
      <c r="O70" s="106" t="s">
        <v>69</v>
      </c>
      <c r="P70" s="106" t="s">
        <v>70</v>
      </c>
      <c r="Q70" s="107" t="s">
        <v>69</v>
      </c>
      <c r="R70" s="108" t="s">
        <v>70</v>
      </c>
      <c r="S70" s="106" t="s">
        <v>69</v>
      </c>
      <c r="T70" s="106" t="s">
        <v>70</v>
      </c>
    </row>
    <row r="71" spans="1:20" x14ac:dyDescent="0.25">
      <c r="A71" s="110" t="s">
        <v>4</v>
      </c>
      <c r="B71" s="111"/>
      <c r="C71" s="111"/>
      <c r="D71" s="111"/>
      <c r="E71" s="79"/>
      <c r="F71" s="112"/>
      <c r="G71" s="111"/>
      <c r="H71" s="111"/>
      <c r="I71" s="99"/>
      <c r="J71" s="103"/>
      <c r="K71" s="103"/>
      <c r="M71" s="110" t="s">
        <v>4</v>
      </c>
      <c r="N71" s="111"/>
      <c r="O71" s="111"/>
      <c r="P71" s="111"/>
      <c r="Q71" s="79"/>
      <c r="R71" s="112"/>
      <c r="S71" s="111"/>
      <c r="T71" s="111"/>
    </row>
    <row r="72" spans="1:20" x14ac:dyDescent="0.25">
      <c r="A72" s="123" t="s">
        <v>71</v>
      </c>
      <c r="B72" s="78">
        <v>42</v>
      </c>
      <c r="C72" s="78">
        <v>742</v>
      </c>
      <c r="D72" s="78">
        <v>801</v>
      </c>
      <c r="E72" s="113">
        <v>655</v>
      </c>
      <c r="F72" s="114">
        <v>42</v>
      </c>
      <c r="G72" s="78">
        <v>0</v>
      </c>
      <c r="H72" s="78">
        <v>0</v>
      </c>
      <c r="I72" s="78"/>
      <c r="J72" s="115" t="s">
        <v>83</v>
      </c>
      <c r="K72" s="115"/>
      <c r="M72" s="123" t="s">
        <v>71</v>
      </c>
      <c r="N72" s="78">
        <v>320</v>
      </c>
      <c r="O72" s="78">
        <v>6779</v>
      </c>
      <c r="P72" s="78">
        <v>6467</v>
      </c>
      <c r="Q72" s="113">
        <v>476</v>
      </c>
      <c r="R72" s="114">
        <v>323</v>
      </c>
      <c r="S72" s="78">
        <v>0</v>
      </c>
      <c r="T72" s="78">
        <v>0</v>
      </c>
    </row>
    <row r="73" spans="1:20" x14ac:dyDescent="0.25">
      <c r="A73" s="123" t="s">
        <v>72</v>
      </c>
      <c r="B73" s="78">
        <v>74</v>
      </c>
      <c r="C73" s="78">
        <v>1008</v>
      </c>
      <c r="D73" s="78">
        <v>906</v>
      </c>
      <c r="E73" s="113">
        <v>800</v>
      </c>
      <c r="F73" s="114">
        <v>110</v>
      </c>
      <c r="G73" s="78">
        <v>0</v>
      </c>
      <c r="H73" s="78">
        <v>0</v>
      </c>
      <c r="I73" s="78"/>
      <c r="J73" s="103"/>
      <c r="K73" s="103"/>
      <c r="M73" s="123" t="s">
        <v>72</v>
      </c>
      <c r="N73" s="78">
        <v>313</v>
      </c>
      <c r="O73" s="78">
        <v>6825</v>
      </c>
      <c r="P73" s="78">
        <v>6570</v>
      </c>
      <c r="Q73" s="113">
        <v>410</v>
      </c>
      <c r="R73" s="114">
        <v>703</v>
      </c>
      <c r="S73" s="78">
        <v>0</v>
      </c>
      <c r="T73" s="78">
        <v>0</v>
      </c>
    </row>
    <row r="74" spans="1:20" x14ac:dyDescent="0.25">
      <c r="A74" s="123" t="s">
        <v>73</v>
      </c>
      <c r="B74" s="78">
        <v>52</v>
      </c>
      <c r="C74" s="78">
        <v>861</v>
      </c>
      <c r="D74" s="78">
        <v>725</v>
      </c>
      <c r="E74" s="113">
        <v>409</v>
      </c>
      <c r="F74" s="114">
        <v>21</v>
      </c>
      <c r="G74" s="78">
        <v>0</v>
      </c>
      <c r="H74" s="78">
        <v>0</v>
      </c>
      <c r="I74" s="78"/>
      <c r="J74" s="103"/>
      <c r="K74" s="103"/>
      <c r="M74" s="123" t="s">
        <v>73</v>
      </c>
      <c r="N74" s="78">
        <v>335</v>
      </c>
      <c r="O74" s="78">
        <v>6603</v>
      </c>
      <c r="P74" s="78">
        <v>6234</v>
      </c>
      <c r="Q74" s="113">
        <v>583</v>
      </c>
      <c r="R74" s="114">
        <v>797</v>
      </c>
      <c r="S74" s="78">
        <v>0</v>
      </c>
      <c r="T74" s="78">
        <v>2</v>
      </c>
    </row>
    <row r="75" spans="1:20" x14ac:dyDescent="0.25">
      <c r="A75" s="123" t="s">
        <v>74</v>
      </c>
      <c r="B75" s="78">
        <v>46</v>
      </c>
      <c r="C75" s="78">
        <v>808</v>
      </c>
      <c r="D75" s="78">
        <v>941</v>
      </c>
      <c r="E75" s="113">
        <v>587</v>
      </c>
      <c r="F75" s="114">
        <v>153</v>
      </c>
      <c r="G75" s="78">
        <v>0</v>
      </c>
      <c r="H75" s="78">
        <v>0</v>
      </c>
      <c r="I75" s="78"/>
      <c r="J75" s="103"/>
      <c r="K75" s="103"/>
      <c r="M75" s="123" t="s">
        <v>74</v>
      </c>
      <c r="N75" s="78">
        <v>304</v>
      </c>
      <c r="O75" s="78">
        <v>5978</v>
      </c>
      <c r="P75" s="78">
        <v>6408</v>
      </c>
      <c r="Q75" s="113">
        <v>261</v>
      </c>
      <c r="R75" s="114">
        <v>371</v>
      </c>
      <c r="S75" s="78">
        <v>0</v>
      </c>
      <c r="T75" s="78">
        <v>2</v>
      </c>
    </row>
    <row r="76" spans="1:20" x14ac:dyDescent="0.25">
      <c r="A76" s="123" t="s">
        <v>75</v>
      </c>
      <c r="B76" s="78">
        <v>39</v>
      </c>
      <c r="C76" s="78">
        <v>1281</v>
      </c>
      <c r="D76" s="78">
        <v>1342</v>
      </c>
      <c r="E76" s="113">
        <v>327</v>
      </c>
      <c r="F76" s="114">
        <v>78</v>
      </c>
      <c r="G76" s="78">
        <v>0</v>
      </c>
      <c r="H76" s="78">
        <v>0</v>
      </c>
      <c r="I76" s="78"/>
      <c r="J76" s="103"/>
      <c r="K76" s="103"/>
      <c r="M76" s="123" t="s">
        <v>75</v>
      </c>
      <c r="N76" s="78">
        <v>291</v>
      </c>
      <c r="O76" s="78">
        <v>5767</v>
      </c>
      <c r="P76" s="78">
        <v>5863</v>
      </c>
      <c r="Q76" s="113">
        <v>678</v>
      </c>
      <c r="R76" s="114">
        <v>405</v>
      </c>
      <c r="S76" s="78">
        <v>0</v>
      </c>
      <c r="T76" s="78">
        <v>0</v>
      </c>
    </row>
    <row r="77" spans="1:20" x14ac:dyDescent="0.25">
      <c r="A77" s="123" t="s">
        <v>76</v>
      </c>
      <c r="B77" s="78">
        <v>53</v>
      </c>
      <c r="C77" s="78">
        <v>1416</v>
      </c>
      <c r="D77" s="78">
        <v>1496</v>
      </c>
      <c r="E77" s="113">
        <v>520</v>
      </c>
      <c r="F77" s="114">
        <v>72</v>
      </c>
      <c r="G77" s="78">
        <v>0</v>
      </c>
      <c r="H77" s="78">
        <v>0</v>
      </c>
      <c r="I77" s="78"/>
      <c r="J77" s="103"/>
      <c r="K77" s="103"/>
      <c r="M77" s="123" t="s">
        <v>76</v>
      </c>
      <c r="N77" s="78">
        <v>300</v>
      </c>
      <c r="O77" s="78">
        <v>5680</v>
      </c>
      <c r="P77" s="78">
        <v>5461</v>
      </c>
      <c r="Q77" s="113">
        <v>554</v>
      </c>
      <c r="R77" s="114">
        <v>247</v>
      </c>
      <c r="S77" s="78">
        <v>0</v>
      </c>
      <c r="T77" s="78">
        <v>0</v>
      </c>
    </row>
    <row r="78" spans="1:20" x14ac:dyDescent="0.25">
      <c r="A78" s="123" t="s">
        <v>77</v>
      </c>
      <c r="B78" s="78">
        <v>48</v>
      </c>
      <c r="C78" s="78">
        <v>1058</v>
      </c>
      <c r="D78" s="78">
        <v>883</v>
      </c>
      <c r="E78" s="113">
        <v>1062</v>
      </c>
      <c r="F78" s="114">
        <v>52</v>
      </c>
      <c r="G78" s="78">
        <v>0</v>
      </c>
      <c r="H78" s="78">
        <v>0</v>
      </c>
      <c r="I78" s="78"/>
      <c r="J78" s="103"/>
      <c r="K78" s="103"/>
      <c r="M78" s="123" t="s">
        <v>77</v>
      </c>
      <c r="N78" s="78">
        <v>292</v>
      </c>
      <c r="O78" s="78">
        <v>5866</v>
      </c>
      <c r="P78" s="78">
        <v>5656</v>
      </c>
      <c r="Q78" s="113">
        <v>422</v>
      </c>
      <c r="R78" s="114">
        <v>492</v>
      </c>
      <c r="S78" s="78">
        <v>0</v>
      </c>
      <c r="T78" s="78">
        <v>0</v>
      </c>
    </row>
    <row r="79" spans="1:20" x14ac:dyDescent="0.25">
      <c r="A79" s="123" t="s">
        <v>78</v>
      </c>
      <c r="B79" s="78">
        <v>72</v>
      </c>
      <c r="C79" s="78">
        <v>1045</v>
      </c>
      <c r="D79" s="78">
        <v>1214</v>
      </c>
      <c r="E79" s="113">
        <v>679</v>
      </c>
      <c r="F79" s="114">
        <v>17</v>
      </c>
      <c r="G79" s="78">
        <v>0</v>
      </c>
      <c r="H79" s="78">
        <v>0</v>
      </c>
      <c r="I79" s="78"/>
      <c r="J79" s="103"/>
      <c r="K79" s="103"/>
      <c r="M79" s="123" t="s">
        <v>78</v>
      </c>
      <c r="N79" s="78">
        <v>308</v>
      </c>
      <c r="O79" s="78">
        <v>4987</v>
      </c>
      <c r="P79" s="78">
        <v>5427</v>
      </c>
      <c r="Q79" s="113">
        <v>259</v>
      </c>
      <c r="R79" s="114">
        <v>1054</v>
      </c>
      <c r="S79" s="78">
        <v>0</v>
      </c>
      <c r="T79" s="78">
        <v>0</v>
      </c>
    </row>
    <row r="80" spans="1:20" x14ac:dyDescent="0.25">
      <c r="A80" s="123" t="s">
        <v>79</v>
      </c>
      <c r="B80" s="101">
        <v>39</v>
      </c>
      <c r="C80" s="101">
        <v>843</v>
      </c>
      <c r="D80" s="101">
        <v>754</v>
      </c>
      <c r="E80" s="116">
        <v>686</v>
      </c>
      <c r="F80" s="117">
        <v>50</v>
      </c>
      <c r="G80" s="80">
        <v>0</v>
      </c>
      <c r="H80" s="80">
        <v>0</v>
      </c>
      <c r="I80" s="80"/>
      <c r="J80" s="103"/>
      <c r="K80" s="103"/>
      <c r="M80" s="123" t="s">
        <v>79</v>
      </c>
      <c r="N80" s="101">
        <v>304</v>
      </c>
      <c r="O80" s="101">
        <v>5488</v>
      </c>
      <c r="P80" s="101">
        <v>5511</v>
      </c>
      <c r="Q80" s="116">
        <v>402</v>
      </c>
      <c r="R80" s="117">
        <v>825</v>
      </c>
      <c r="S80" s="80">
        <v>0</v>
      </c>
      <c r="T80" s="80">
        <v>0</v>
      </c>
    </row>
    <row r="81" spans="1:20" x14ac:dyDescent="0.25">
      <c r="A81" s="123" t="s">
        <v>80</v>
      </c>
      <c r="B81" s="80">
        <v>87</v>
      </c>
      <c r="C81" s="80">
        <v>1697</v>
      </c>
      <c r="D81" s="80">
        <v>1473</v>
      </c>
      <c r="E81" s="116">
        <v>418</v>
      </c>
      <c r="F81" s="117">
        <v>43</v>
      </c>
      <c r="G81" s="80">
        <v>0</v>
      </c>
      <c r="H81" s="80">
        <v>0</v>
      </c>
      <c r="I81" s="80"/>
      <c r="J81" s="103"/>
      <c r="K81" s="103"/>
      <c r="M81" s="123" t="s">
        <v>80</v>
      </c>
      <c r="N81" s="80">
        <v>299</v>
      </c>
      <c r="O81" s="80">
        <v>5733</v>
      </c>
      <c r="P81" s="80">
        <v>5234</v>
      </c>
      <c r="Q81" s="116">
        <v>227</v>
      </c>
      <c r="R81" s="117">
        <v>518</v>
      </c>
      <c r="S81" s="80">
        <v>0</v>
      </c>
      <c r="T81" s="80">
        <v>0</v>
      </c>
    </row>
    <row r="82" spans="1:20" x14ac:dyDescent="0.25">
      <c r="A82" s="123" t="s">
        <v>81</v>
      </c>
      <c r="B82" s="78">
        <v>89</v>
      </c>
      <c r="C82" s="78">
        <v>1503</v>
      </c>
      <c r="D82" s="78">
        <v>1278</v>
      </c>
      <c r="E82" s="113">
        <v>457</v>
      </c>
      <c r="F82" s="114">
        <v>42</v>
      </c>
      <c r="G82" s="78">
        <v>0</v>
      </c>
      <c r="H82" s="78">
        <v>0</v>
      </c>
      <c r="I82" s="78"/>
      <c r="J82" s="103"/>
      <c r="K82" s="103"/>
      <c r="M82" s="123" t="s">
        <v>81</v>
      </c>
      <c r="N82" s="78">
        <v>326</v>
      </c>
      <c r="O82" s="78">
        <v>5414</v>
      </c>
      <c r="P82" s="78">
        <v>5370</v>
      </c>
      <c r="Q82" s="113">
        <v>246</v>
      </c>
      <c r="R82" s="114">
        <v>476</v>
      </c>
      <c r="S82" s="78">
        <v>0</v>
      </c>
      <c r="T82" s="78">
        <v>0</v>
      </c>
    </row>
    <row r="83" spans="1:20" x14ac:dyDescent="0.25">
      <c r="A83" s="124" t="s">
        <v>82</v>
      </c>
      <c r="B83" s="118">
        <v>102</v>
      </c>
      <c r="C83" s="118">
        <v>1777</v>
      </c>
      <c r="D83" s="118">
        <v>1551</v>
      </c>
      <c r="E83" s="119">
        <v>137</v>
      </c>
      <c r="F83" s="120">
        <v>42</v>
      </c>
      <c r="G83" s="118">
        <v>0</v>
      </c>
      <c r="H83" s="118">
        <v>0</v>
      </c>
      <c r="I83" s="100"/>
      <c r="J83" s="103"/>
      <c r="K83" s="103"/>
      <c r="M83" s="124" t="s">
        <v>82</v>
      </c>
      <c r="N83" s="118">
        <v>364</v>
      </c>
      <c r="O83" s="118">
        <v>6858</v>
      </c>
      <c r="P83" s="118">
        <v>6013</v>
      </c>
      <c r="Q83" s="119">
        <v>1155</v>
      </c>
      <c r="R83" s="120">
        <v>555</v>
      </c>
      <c r="S83" s="118">
        <v>0</v>
      </c>
      <c r="T83" s="118">
        <v>0</v>
      </c>
    </row>
    <row r="84" spans="1:20" ht="18.75" x14ac:dyDescent="0.25">
      <c r="A84" s="6" t="s">
        <v>6</v>
      </c>
      <c r="B84" s="3"/>
      <c r="C84" s="3"/>
      <c r="D84" s="7"/>
      <c r="E84" s="1"/>
      <c r="H84" s="11" t="s">
        <v>7</v>
      </c>
      <c r="I84" s="122"/>
      <c r="J84" s="103"/>
      <c r="K84" s="103"/>
      <c r="M84" s="6" t="s">
        <v>6</v>
      </c>
      <c r="N84" s="3"/>
      <c r="O84" s="3"/>
      <c r="P84" s="7"/>
      <c r="Q84" s="1"/>
      <c r="T84" s="11" t="s">
        <v>7</v>
      </c>
    </row>
    <row r="85" spans="1:20" x14ac:dyDescent="0.25">
      <c r="A85" s="103"/>
      <c r="J85" s="103"/>
      <c r="K85" s="103"/>
    </row>
    <row r="87" spans="1:20" x14ac:dyDescent="0.25">
      <c r="A87" s="165" t="s">
        <v>111</v>
      </c>
      <c r="B87" s="165"/>
      <c r="C87" s="165"/>
      <c r="D87" s="165"/>
      <c r="E87" s="165"/>
      <c r="F87" s="165"/>
      <c r="G87" s="165"/>
      <c r="H87" s="165"/>
      <c r="I87" s="102"/>
      <c r="J87" s="103"/>
      <c r="K87" s="103"/>
      <c r="M87" s="165" t="s">
        <v>112</v>
      </c>
      <c r="N87" s="165"/>
      <c r="O87" s="165"/>
      <c r="P87" s="165"/>
      <c r="Q87" s="165"/>
      <c r="R87" s="165"/>
      <c r="S87" s="165"/>
      <c r="T87" s="165"/>
    </row>
    <row r="88" spans="1:20" x14ac:dyDescent="0.25">
      <c r="A88" s="104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M88" s="104"/>
      <c r="N88" s="103"/>
      <c r="O88" s="103"/>
      <c r="P88" s="103"/>
      <c r="Q88" s="103"/>
      <c r="R88" s="103"/>
      <c r="S88" s="103"/>
      <c r="T88" s="103"/>
    </row>
    <row r="89" spans="1:20" x14ac:dyDescent="0.25">
      <c r="A89" s="166" t="s">
        <v>64</v>
      </c>
      <c r="B89" s="168" t="s">
        <v>65</v>
      </c>
      <c r="C89" s="170" t="s">
        <v>66</v>
      </c>
      <c r="D89" s="170"/>
      <c r="E89" s="171" t="s">
        <v>67</v>
      </c>
      <c r="F89" s="172"/>
      <c r="G89" s="170" t="s">
        <v>68</v>
      </c>
      <c r="H89" s="170"/>
      <c r="I89" s="105"/>
      <c r="J89" s="103"/>
      <c r="K89" s="103"/>
      <c r="M89" s="166" t="s">
        <v>64</v>
      </c>
      <c r="N89" s="168" t="s">
        <v>65</v>
      </c>
      <c r="O89" s="170" t="s">
        <v>66</v>
      </c>
      <c r="P89" s="170"/>
      <c r="Q89" s="171" t="s">
        <v>67</v>
      </c>
      <c r="R89" s="172"/>
      <c r="S89" s="170" t="s">
        <v>68</v>
      </c>
      <c r="T89" s="170"/>
    </row>
    <row r="90" spans="1:20" x14ac:dyDescent="0.25">
      <c r="A90" s="167"/>
      <c r="B90" s="169"/>
      <c r="C90" s="106" t="s">
        <v>69</v>
      </c>
      <c r="D90" s="106" t="s">
        <v>70</v>
      </c>
      <c r="E90" s="107" t="s">
        <v>69</v>
      </c>
      <c r="F90" s="108" t="s">
        <v>70</v>
      </c>
      <c r="G90" s="106" t="s">
        <v>69</v>
      </c>
      <c r="H90" s="106" t="s">
        <v>70</v>
      </c>
      <c r="I90" s="109"/>
      <c r="J90" s="103"/>
      <c r="K90" s="103"/>
      <c r="M90" s="167"/>
      <c r="N90" s="169"/>
      <c r="O90" s="106" t="s">
        <v>69</v>
      </c>
      <c r="P90" s="106" t="s">
        <v>70</v>
      </c>
      <c r="Q90" s="107" t="s">
        <v>69</v>
      </c>
      <c r="R90" s="108" t="s">
        <v>70</v>
      </c>
      <c r="S90" s="106" t="s">
        <v>69</v>
      </c>
      <c r="T90" s="106" t="s">
        <v>70</v>
      </c>
    </row>
    <row r="91" spans="1:20" x14ac:dyDescent="0.25">
      <c r="A91" s="110" t="s">
        <v>4</v>
      </c>
      <c r="B91" s="111"/>
      <c r="C91" s="111"/>
      <c r="D91" s="111"/>
      <c r="E91" s="79"/>
      <c r="F91" s="112"/>
      <c r="G91" s="111"/>
      <c r="H91" s="111"/>
      <c r="I91" s="99"/>
      <c r="J91" s="103"/>
      <c r="K91" s="103"/>
      <c r="M91" s="110" t="s">
        <v>4</v>
      </c>
      <c r="N91" s="111"/>
      <c r="O91" s="111"/>
      <c r="P91" s="111"/>
      <c r="Q91" s="79"/>
      <c r="R91" s="112"/>
      <c r="S91" s="111"/>
      <c r="T91" s="111"/>
    </row>
    <row r="92" spans="1:20" x14ac:dyDescent="0.25">
      <c r="A92" s="123" t="s">
        <v>71</v>
      </c>
      <c r="B92" s="78">
        <v>234</v>
      </c>
      <c r="C92" s="78">
        <v>6189</v>
      </c>
      <c r="D92" s="78">
        <v>5988</v>
      </c>
      <c r="E92" s="113">
        <v>0</v>
      </c>
      <c r="F92" s="114">
        <v>0</v>
      </c>
      <c r="G92" s="78">
        <v>0</v>
      </c>
      <c r="H92" s="78">
        <v>0</v>
      </c>
      <c r="I92" s="78"/>
      <c r="J92" s="115" t="s">
        <v>83</v>
      </c>
      <c r="K92" s="115"/>
      <c r="M92" s="123" t="s">
        <v>71</v>
      </c>
      <c r="N92" s="78">
        <v>26</v>
      </c>
      <c r="O92" s="78">
        <v>536</v>
      </c>
      <c r="P92" s="78">
        <v>574</v>
      </c>
      <c r="Q92" s="113">
        <v>116</v>
      </c>
      <c r="R92" s="114">
        <v>0</v>
      </c>
      <c r="S92" s="78">
        <v>0</v>
      </c>
      <c r="T92" s="78">
        <v>0</v>
      </c>
    </row>
    <row r="93" spans="1:20" x14ac:dyDescent="0.25">
      <c r="A93" s="123" t="s">
        <v>72</v>
      </c>
      <c r="B93" s="78">
        <v>171</v>
      </c>
      <c r="C93" s="78">
        <v>5596</v>
      </c>
      <c r="D93" s="78">
        <v>5709</v>
      </c>
      <c r="E93" s="113">
        <v>0</v>
      </c>
      <c r="F93" s="114">
        <v>0</v>
      </c>
      <c r="G93" s="78">
        <v>0</v>
      </c>
      <c r="H93" s="78">
        <v>0</v>
      </c>
      <c r="I93" s="78"/>
      <c r="J93" s="103"/>
      <c r="K93" s="103"/>
      <c r="M93" s="123" t="s">
        <v>72</v>
      </c>
      <c r="N93" s="78">
        <v>20</v>
      </c>
      <c r="O93" s="78">
        <v>481</v>
      </c>
      <c r="P93" s="78">
        <v>458</v>
      </c>
      <c r="Q93" s="113">
        <v>0</v>
      </c>
      <c r="R93" s="114">
        <v>36</v>
      </c>
      <c r="S93" s="78">
        <v>0</v>
      </c>
      <c r="T93" s="78">
        <v>0</v>
      </c>
    </row>
    <row r="94" spans="1:20" x14ac:dyDescent="0.25">
      <c r="A94" s="123" t="s">
        <v>73</v>
      </c>
      <c r="B94" s="78">
        <v>214</v>
      </c>
      <c r="C94" s="78">
        <v>5415</v>
      </c>
      <c r="D94" s="78">
        <v>5753</v>
      </c>
      <c r="E94" s="113">
        <v>0</v>
      </c>
      <c r="F94" s="114">
        <v>0</v>
      </c>
      <c r="G94" s="78">
        <v>0</v>
      </c>
      <c r="H94" s="78">
        <v>0</v>
      </c>
      <c r="I94" s="78"/>
      <c r="J94" s="103"/>
      <c r="K94" s="103"/>
      <c r="M94" s="123" t="s">
        <v>73</v>
      </c>
      <c r="N94" s="78">
        <v>16</v>
      </c>
      <c r="O94" s="78">
        <v>384</v>
      </c>
      <c r="P94" s="78">
        <v>348</v>
      </c>
      <c r="Q94" s="113">
        <v>158</v>
      </c>
      <c r="R94" s="114">
        <v>0</v>
      </c>
      <c r="S94" s="78">
        <v>0</v>
      </c>
      <c r="T94" s="78">
        <v>0</v>
      </c>
    </row>
    <row r="95" spans="1:20" x14ac:dyDescent="0.25">
      <c r="A95" s="123" t="s">
        <v>74</v>
      </c>
      <c r="B95" s="78">
        <v>202</v>
      </c>
      <c r="C95" s="78">
        <v>5171</v>
      </c>
      <c r="D95" s="78">
        <v>5178</v>
      </c>
      <c r="E95" s="113">
        <v>0</v>
      </c>
      <c r="F95" s="114">
        <v>0</v>
      </c>
      <c r="G95" s="78">
        <v>0</v>
      </c>
      <c r="H95" s="78">
        <v>0</v>
      </c>
      <c r="I95" s="78"/>
      <c r="J95" s="103"/>
      <c r="K95" s="103"/>
      <c r="M95" s="123" t="s">
        <v>74</v>
      </c>
      <c r="N95" s="78">
        <v>24</v>
      </c>
      <c r="O95" s="78">
        <v>493</v>
      </c>
      <c r="P95" s="78">
        <v>510</v>
      </c>
      <c r="Q95" s="113">
        <v>80</v>
      </c>
      <c r="R95" s="114">
        <v>317.2</v>
      </c>
      <c r="S95" s="78">
        <v>0</v>
      </c>
      <c r="T95" s="78">
        <v>0</v>
      </c>
    </row>
    <row r="96" spans="1:20" x14ac:dyDescent="0.25">
      <c r="A96" s="123" t="s">
        <v>75</v>
      </c>
      <c r="B96" s="78">
        <v>218</v>
      </c>
      <c r="C96" s="78">
        <v>5312</v>
      </c>
      <c r="D96" s="78">
        <v>5741</v>
      </c>
      <c r="E96" s="113">
        <v>0</v>
      </c>
      <c r="F96" s="114">
        <v>0</v>
      </c>
      <c r="G96" s="78">
        <v>0</v>
      </c>
      <c r="H96" s="78">
        <v>0</v>
      </c>
      <c r="I96" s="78"/>
      <c r="J96" s="103"/>
      <c r="K96" s="103"/>
      <c r="M96" s="123" t="s">
        <v>75</v>
      </c>
      <c r="N96" s="78">
        <v>36</v>
      </c>
      <c r="O96" s="78">
        <v>786</v>
      </c>
      <c r="P96" s="78">
        <v>764</v>
      </c>
      <c r="Q96" s="113">
        <v>286</v>
      </c>
      <c r="R96" s="114">
        <v>0</v>
      </c>
      <c r="S96" s="78">
        <v>0</v>
      </c>
      <c r="T96" s="78">
        <v>0</v>
      </c>
    </row>
    <row r="97" spans="1:20" x14ac:dyDescent="0.25">
      <c r="A97" s="123" t="s">
        <v>76</v>
      </c>
      <c r="B97" s="78">
        <v>212</v>
      </c>
      <c r="C97" s="78">
        <v>4934</v>
      </c>
      <c r="D97" s="78">
        <v>5069</v>
      </c>
      <c r="E97" s="113">
        <v>0</v>
      </c>
      <c r="F97" s="114">
        <v>0</v>
      </c>
      <c r="G97" s="78">
        <v>0</v>
      </c>
      <c r="H97" s="78">
        <v>0</v>
      </c>
      <c r="I97" s="78"/>
      <c r="J97" s="103"/>
      <c r="K97" s="103"/>
      <c r="M97" s="123" t="s">
        <v>76</v>
      </c>
      <c r="N97" s="78">
        <v>26</v>
      </c>
      <c r="O97" s="78">
        <v>544</v>
      </c>
      <c r="P97" s="78">
        <v>566</v>
      </c>
      <c r="Q97" s="113">
        <v>135</v>
      </c>
      <c r="R97" s="114">
        <v>0</v>
      </c>
      <c r="S97" s="78">
        <v>0</v>
      </c>
      <c r="T97" s="78">
        <v>0</v>
      </c>
    </row>
    <row r="98" spans="1:20" x14ac:dyDescent="0.25">
      <c r="A98" s="123" t="s">
        <v>77</v>
      </c>
      <c r="B98" s="78">
        <v>202</v>
      </c>
      <c r="C98" s="78">
        <v>5516</v>
      </c>
      <c r="D98" s="78">
        <v>4982</v>
      </c>
      <c r="E98" s="113">
        <v>0</v>
      </c>
      <c r="F98" s="114">
        <v>0</v>
      </c>
      <c r="G98" s="78">
        <v>0</v>
      </c>
      <c r="H98" s="78">
        <v>0</v>
      </c>
      <c r="I98" s="78"/>
      <c r="J98" s="103"/>
      <c r="K98" s="103"/>
      <c r="M98" s="123" t="s">
        <v>77</v>
      </c>
      <c r="N98" s="78">
        <v>24</v>
      </c>
      <c r="O98" s="78">
        <v>517</v>
      </c>
      <c r="P98" s="78">
        <v>487</v>
      </c>
      <c r="Q98" s="113">
        <v>163</v>
      </c>
      <c r="R98" s="114">
        <v>0</v>
      </c>
      <c r="S98" s="78">
        <v>0</v>
      </c>
      <c r="T98" s="78">
        <v>0</v>
      </c>
    </row>
    <row r="99" spans="1:20" x14ac:dyDescent="0.25">
      <c r="A99" s="123" t="s">
        <v>78</v>
      </c>
      <c r="B99" s="78">
        <v>196</v>
      </c>
      <c r="C99" s="78">
        <v>5153</v>
      </c>
      <c r="D99" s="78">
        <v>5510</v>
      </c>
      <c r="E99" s="113">
        <v>0</v>
      </c>
      <c r="F99" s="114">
        <v>0</v>
      </c>
      <c r="G99" s="78">
        <v>0</v>
      </c>
      <c r="H99" s="78">
        <v>0</v>
      </c>
      <c r="I99" s="78"/>
      <c r="M99" s="123" t="s">
        <v>78</v>
      </c>
      <c r="N99" s="78">
        <v>20</v>
      </c>
      <c r="O99" s="78">
        <v>378</v>
      </c>
      <c r="P99" s="78">
        <v>315</v>
      </c>
      <c r="Q99" s="113">
        <v>145</v>
      </c>
      <c r="R99" s="114">
        <v>0</v>
      </c>
      <c r="S99" s="78">
        <v>0</v>
      </c>
      <c r="T99" s="78">
        <v>0</v>
      </c>
    </row>
    <row r="100" spans="1:20" x14ac:dyDescent="0.25">
      <c r="A100" s="123" t="s">
        <v>79</v>
      </c>
      <c r="B100" s="101">
        <v>94</v>
      </c>
      <c r="C100" s="101">
        <v>4902</v>
      </c>
      <c r="D100" s="101">
        <v>4786</v>
      </c>
      <c r="E100" s="113">
        <v>0</v>
      </c>
      <c r="F100" s="114">
        <v>0</v>
      </c>
      <c r="G100" s="78">
        <v>0</v>
      </c>
      <c r="H100" s="78">
        <v>0</v>
      </c>
      <c r="I100" s="80"/>
      <c r="M100" s="123" t="s">
        <v>79</v>
      </c>
      <c r="N100" s="101">
        <v>18</v>
      </c>
      <c r="O100" s="101">
        <v>364</v>
      </c>
      <c r="P100" s="101">
        <v>355</v>
      </c>
      <c r="Q100" s="116">
        <v>67</v>
      </c>
      <c r="R100" s="117">
        <v>0</v>
      </c>
      <c r="S100" s="80">
        <v>0</v>
      </c>
      <c r="T100" s="80">
        <v>0</v>
      </c>
    </row>
    <row r="101" spans="1:20" x14ac:dyDescent="0.25">
      <c r="A101" s="123" t="s">
        <v>80</v>
      </c>
      <c r="B101" s="80">
        <v>103</v>
      </c>
      <c r="C101" s="80">
        <v>5346</v>
      </c>
      <c r="D101" s="80">
        <v>5227</v>
      </c>
      <c r="E101" s="113">
        <v>0</v>
      </c>
      <c r="F101" s="114">
        <v>0</v>
      </c>
      <c r="G101" s="78">
        <v>0</v>
      </c>
      <c r="H101" s="78">
        <v>0</v>
      </c>
      <c r="I101" s="80"/>
      <c r="M101" s="123" t="s">
        <v>80</v>
      </c>
      <c r="N101" s="80">
        <v>54</v>
      </c>
      <c r="O101" s="80">
        <v>1242</v>
      </c>
      <c r="P101" s="80">
        <v>891</v>
      </c>
      <c r="Q101" s="116">
        <v>711</v>
      </c>
      <c r="R101" s="117">
        <v>0</v>
      </c>
      <c r="S101" s="80">
        <v>0</v>
      </c>
      <c r="T101" s="80">
        <v>0</v>
      </c>
    </row>
    <row r="102" spans="1:20" x14ac:dyDescent="0.25">
      <c r="A102" s="123" t="s">
        <v>81</v>
      </c>
      <c r="B102" s="78">
        <v>104</v>
      </c>
      <c r="C102" s="78">
        <v>4894</v>
      </c>
      <c r="D102" s="78">
        <v>5040</v>
      </c>
      <c r="E102" s="113">
        <v>0</v>
      </c>
      <c r="F102" s="114">
        <v>0</v>
      </c>
      <c r="G102" s="78">
        <v>0</v>
      </c>
      <c r="H102" s="78">
        <v>0</v>
      </c>
      <c r="I102" s="78"/>
      <c r="M102" s="123" t="s">
        <v>81</v>
      </c>
      <c r="N102" s="78">
        <v>44</v>
      </c>
      <c r="O102" s="78">
        <v>875</v>
      </c>
      <c r="P102" s="78">
        <v>679</v>
      </c>
      <c r="Q102" s="113">
        <v>138</v>
      </c>
      <c r="R102" s="114">
        <v>0</v>
      </c>
      <c r="S102" s="78">
        <v>0</v>
      </c>
      <c r="T102" s="78">
        <v>17</v>
      </c>
    </row>
    <row r="103" spans="1:20" x14ac:dyDescent="0.25">
      <c r="A103" s="124" t="s">
        <v>82</v>
      </c>
      <c r="B103" s="118">
        <v>100</v>
      </c>
      <c r="C103" s="118">
        <v>5532</v>
      </c>
      <c r="D103" s="118">
        <v>5369</v>
      </c>
      <c r="E103" s="119">
        <v>0</v>
      </c>
      <c r="F103" s="120">
        <v>0</v>
      </c>
      <c r="G103" s="118">
        <v>0</v>
      </c>
      <c r="H103" s="118">
        <v>0</v>
      </c>
      <c r="I103" s="100"/>
      <c r="M103" s="124" t="s">
        <v>82</v>
      </c>
      <c r="N103" s="118">
        <v>66</v>
      </c>
      <c r="O103" s="118">
        <v>1268</v>
      </c>
      <c r="P103" s="118">
        <v>1090</v>
      </c>
      <c r="Q103" s="119">
        <v>374</v>
      </c>
      <c r="R103" s="120">
        <v>0</v>
      </c>
      <c r="S103" s="118">
        <v>0</v>
      </c>
      <c r="T103" s="118">
        <v>50</v>
      </c>
    </row>
    <row r="104" spans="1:20" ht="18.75" x14ac:dyDescent="0.25">
      <c r="A104" s="6" t="s">
        <v>6</v>
      </c>
      <c r="B104" s="3"/>
      <c r="C104" s="3"/>
      <c r="D104" s="7"/>
      <c r="E104" s="1"/>
      <c r="H104" s="11" t="s">
        <v>7</v>
      </c>
      <c r="I104" s="122"/>
      <c r="M104" s="6" t="s">
        <v>6</v>
      </c>
      <c r="N104" s="3"/>
      <c r="O104" s="3"/>
      <c r="P104" s="7"/>
      <c r="Q104" s="1"/>
      <c r="T104" s="11" t="s">
        <v>7</v>
      </c>
    </row>
    <row r="105" spans="1:20" ht="18.75" x14ac:dyDescent="0.25">
      <c r="A105" s="6"/>
      <c r="B105" s="3"/>
      <c r="C105" s="3"/>
      <c r="D105" s="7"/>
      <c r="E105" s="1"/>
      <c r="H105" s="12"/>
      <c r="I105" s="122"/>
      <c r="M105" s="6"/>
      <c r="N105" s="3"/>
      <c r="O105" s="3"/>
      <c r="P105" s="7"/>
      <c r="Q105" s="1"/>
      <c r="T105" s="12"/>
    </row>
    <row r="106" spans="1:20" ht="18.75" x14ac:dyDescent="0.25">
      <c r="A106" s="6"/>
      <c r="B106" s="3"/>
      <c r="C106" s="3"/>
      <c r="D106" s="7"/>
      <c r="E106" s="1"/>
      <c r="H106" s="12"/>
      <c r="I106" s="122"/>
      <c r="M106" s="6"/>
      <c r="N106" s="3"/>
      <c r="O106" s="3"/>
      <c r="P106" s="7"/>
      <c r="Q106" s="1"/>
      <c r="T106" s="12"/>
    </row>
    <row r="107" spans="1:20" x14ac:dyDescent="0.25">
      <c r="A107" s="165" t="s">
        <v>113</v>
      </c>
      <c r="B107" s="165"/>
      <c r="C107" s="165"/>
      <c r="D107" s="165"/>
      <c r="E107" s="165"/>
      <c r="F107" s="165"/>
      <c r="G107" s="165"/>
      <c r="H107" s="165"/>
      <c r="I107" s="102"/>
      <c r="J107" s="103"/>
      <c r="K107" s="103"/>
      <c r="M107" s="165" t="s">
        <v>114</v>
      </c>
      <c r="N107" s="165"/>
      <c r="O107" s="165"/>
      <c r="P107" s="165"/>
      <c r="Q107" s="165"/>
      <c r="R107" s="165"/>
      <c r="S107" s="165"/>
      <c r="T107" s="165"/>
    </row>
    <row r="108" spans="1:20" x14ac:dyDescent="0.25">
      <c r="A108" s="104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M108" s="104"/>
      <c r="N108" s="103"/>
      <c r="O108" s="103"/>
      <c r="P108" s="103"/>
      <c r="Q108" s="103"/>
      <c r="R108" s="103"/>
      <c r="S108" s="103"/>
      <c r="T108" s="103"/>
    </row>
    <row r="109" spans="1:20" x14ac:dyDescent="0.25">
      <c r="A109" s="166" t="s">
        <v>64</v>
      </c>
      <c r="B109" s="168" t="s">
        <v>65</v>
      </c>
      <c r="C109" s="170" t="s">
        <v>66</v>
      </c>
      <c r="D109" s="170"/>
      <c r="E109" s="171" t="s">
        <v>67</v>
      </c>
      <c r="F109" s="172"/>
      <c r="G109" s="170" t="s">
        <v>68</v>
      </c>
      <c r="H109" s="170"/>
      <c r="I109" s="105"/>
      <c r="J109" s="103"/>
      <c r="K109" s="103"/>
      <c r="M109" s="166" t="s">
        <v>64</v>
      </c>
      <c r="N109" s="168" t="s">
        <v>65</v>
      </c>
      <c r="O109" s="170" t="s">
        <v>66</v>
      </c>
      <c r="P109" s="170"/>
      <c r="Q109" s="171" t="s">
        <v>67</v>
      </c>
      <c r="R109" s="172"/>
      <c r="S109" s="170" t="s">
        <v>68</v>
      </c>
      <c r="T109" s="170"/>
    </row>
    <row r="110" spans="1:20" x14ac:dyDescent="0.25">
      <c r="A110" s="167"/>
      <c r="B110" s="169"/>
      <c r="C110" s="106" t="s">
        <v>69</v>
      </c>
      <c r="D110" s="106" t="s">
        <v>70</v>
      </c>
      <c r="E110" s="107" t="s">
        <v>69</v>
      </c>
      <c r="F110" s="108" t="s">
        <v>70</v>
      </c>
      <c r="G110" s="106" t="s">
        <v>69</v>
      </c>
      <c r="H110" s="106" t="s">
        <v>70</v>
      </c>
      <c r="I110" s="109"/>
      <c r="J110" s="103"/>
      <c r="K110" s="103"/>
      <c r="M110" s="167"/>
      <c r="N110" s="169"/>
      <c r="O110" s="106" t="s">
        <v>69</v>
      </c>
      <c r="P110" s="106" t="s">
        <v>70</v>
      </c>
      <c r="Q110" s="107" t="s">
        <v>69</v>
      </c>
      <c r="R110" s="108" t="s">
        <v>70</v>
      </c>
      <c r="S110" s="106" t="s">
        <v>69</v>
      </c>
      <c r="T110" s="106" t="s">
        <v>70</v>
      </c>
    </row>
    <row r="111" spans="1:20" x14ac:dyDescent="0.25">
      <c r="A111" s="110" t="s">
        <v>4</v>
      </c>
      <c r="B111" s="111"/>
      <c r="C111" s="111"/>
      <c r="D111" s="111"/>
      <c r="E111" s="79"/>
      <c r="F111" s="112"/>
      <c r="G111" s="111"/>
      <c r="H111" s="111"/>
      <c r="I111" s="99"/>
      <c r="J111" s="103"/>
      <c r="K111" s="103"/>
      <c r="M111" s="110" t="s">
        <v>4</v>
      </c>
      <c r="N111" s="111"/>
      <c r="O111" s="111"/>
      <c r="P111" s="111"/>
      <c r="Q111" s="79"/>
      <c r="R111" s="112"/>
      <c r="S111" s="111"/>
      <c r="T111" s="111"/>
    </row>
    <row r="112" spans="1:20" x14ac:dyDescent="0.25">
      <c r="A112" s="123" t="s">
        <v>71</v>
      </c>
      <c r="B112" s="78">
        <v>32</v>
      </c>
      <c r="C112" s="78">
        <v>1011</v>
      </c>
      <c r="D112" s="78">
        <v>907</v>
      </c>
      <c r="E112" s="113">
        <v>312</v>
      </c>
      <c r="F112" s="114">
        <v>15</v>
      </c>
      <c r="G112" s="78">
        <v>14</v>
      </c>
      <c r="H112" s="78">
        <v>0</v>
      </c>
      <c r="I112" s="78"/>
      <c r="J112" s="115" t="s">
        <v>83</v>
      </c>
      <c r="K112" s="115"/>
      <c r="M112" s="123" t="s">
        <v>71</v>
      </c>
      <c r="N112" s="78">
        <v>184</v>
      </c>
      <c r="O112" s="78">
        <v>4173</v>
      </c>
      <c r="P112" s="78">
        <v>3929</v>
      </c>
      <c r="Q112" s="113">
        <v>1187</v>
      </c>
      <c r="R112" s="114">
        <v>207</v>
      </c>
      <c r="S112" s="78">
        <v>31</v>
      </c>
      <c r="T112" s="78">
        <v>20</v>
      </c>
    </row>
    <row r="113" spans="1:20" x14ac:dyDescent="0.25">
      <c r="A113" s="123" t="s">
        <v>72</v>
      </c>
      <c r="B113" s="78">
        <v>26</v>
      </c>
      <c r="C113" s="78">
        <v>808</v>
      </c>
      <c r="D113" s="78">
        <v>788</v>
      </c>
      <c r="E113" s="113">
        <v>114</v>
      </c>
      <c r="F113" s="114">
        <v>8</v>
      </c>
      <c r="G113" s="78">
        <v>1</v>
      </c>
      <c r="H113" s="78">
        <v>0</v>
      </c>
      <c r="I113" s="78"/>
      <c r="J113" s="103"/>
      <c r="K113" s="103"/>
      <c r="M113" s="123" t="s">
        <v>72</v>
      </c>
      <c r="N113" s="78">
        <v>194</v>
      </c>
      <c r="O113" s="78">
        <v>3779</v>
      </c>
      <c r="P113" s="78">
        <v>3783</v>
      </c>
      <c r="Q113" s="113">
        <v>1632</v>
      </c>
      <c r="R113" s="114">
        <v>911</v>
      </c>
      <c r="S113" s="78">
        <v>16</v>
      </c>
      <c r="T113" s="78">
        <v>35</v>
      </c>
    </row>
    <row r="114" spans="1:20" x14ac:dyDescent="0.25">
      <c r="A114" s="123" t="s">
        <v>73</v>
      </c>
      <c r="B114" s="78">
        <v>22</v>
      </c>
      <c r="C114" s="78">
        <v>642</v>
      </c>
      <c r="D114" s="78">
        <v>488</v>
      </c>
      <c r="E114" s="113">
        <v>369</v>
      </c>
      <c r="F114" s="114">
        <v>4</v>
      </c>
      <c r="G114" s="78">
        <v>0</v>
      </c>
      <c r="H114" s="78">
        <v>0</v>
      </c>
      <c r="I114" s="78"/>
      <c r="J114" s="103"/>
      <c r="K114" s="103"/>
      <c r="M114" s="123" t="s">
        <v>73</v>
      </c>
      <c r="N114" s="78">
        <v>190</v>
      </c>
      <c r="O114" s="78">
        <v>3468</v>
      </c>
      <c r="P114" s="78">
        <v>2758</v>
      </c>
      <c r="Q114" s="113">
        <v>1433</v>
      </c>
      <c r="R114" s="114">
        <v>93</v>
      </c>
      <c r="S114" s="78">
        <v>51</v>
      </c>
      <c r="T114" s="78">
        <v>20</v>
      </c>
    </row>
    <row r="115" spans="1:20" x14ac:dyDescent="0.25">
      <c r="A115" s="123" t="s">
        <v>74</v>
      </c>
      <c r="B115" s="78">
        <v>36</v>
      </c>
      <c r="C115" s="78">
        <v>810</v>
      </c>
      <c r="D115" s="78">
        <v>913</v>
      </c>
      <c r="E115" s="113">
        <v>404</v>
      </c>
      <c r="F115" s="114">
        <v>14</v>
      </c>
      <c r="G115" s="78">
        <v>1</v>
      </c>
      <c r="H115" s="78">
        <v>0</v>
      </c>
      <c r="I115" s="78"/>
      <c r="J115" s="103"/>
      <c r="K115" s="103"/>
      <c r="M115" s="123" t="s">
        <v>74</v>
      </c>
      <c r="N115" s="78">
        <v>206</v>
      </c>
      <c r="O115" s="78">
        <v>4132</v>
      </c>
      <c r="P115" s="78">
        <v>4597</v>
      </c>
      <c r="Q115" s="113">
        <v>3078</v>
      </c>
      <c r="R115" s="114">
        <v>115</v>
      </c>
      <c r="S115" s="78">
        <v>35</v>
      </c>
      <c r="T115" s="78">
        <v>28</v>
      </c>
    </row>
    <row r="116" spans="1:20" x14ac:dyDescent="0.25">
      <c r="A116" s="123" t="s">
        <v>75</v>
      </c>
      <c r="B116" s="78">
        <v>52</v>
      </c>
      <c r="C116" s="78">
        <v>1532</v>
      </c>
      <c r="D116" s="78">
        <v>1398</v>
      </c>
      <c r="E116" s="113">
        <v>395</v>
      </c>
      <c r="F116" s="114">
        <v>0</v>
      </c>
      <c r="G116" s="78">
        <v>0</v>
      </c>
      <c r="H116" s="78">
        <v>0</v>
      </c>
      <c r="I116" s="78"/>
      <c r="J116" s="103"/>
      <c r="K116" s="103"/>
      <c r="M116" s="123" t="s">
        <v>75</v>
      </c>
      <c r="N116" s="78">
        <v>200</v>
      </c>
      <c r="O116" s="78">
        <v>5012</v>
      </c>
      <c r="P116" s="78">
        <v>5087</v>
      </c>
      <c r="Q116" s="113">
        <v>3359</v>
      </c>
      <c r="R116" s="114">
        <v>298</v>
      </c>
      <c r="S116" s="78">
        <v>90</v>
      </c>
      <c r="T116" s="78">
        <v>25</v>
      </c>
    </row>
    <row r="117" spans="1:20" x14ac:dyDescent="0.25">
      <c r="A117" s="123" t="s">
        <v>76</v>
      </c>
      <c r="B117" s="78">
        <v>54</v>
      </c>
      <c r="C117" s="78">
        <v>1268</v>
      </c>
      <c r="D117" s="78">
        <v>1209</v>
      </c>
      <c r="E117" s="113">
        <v>162</v>
      </c>
      <c r="F117" s="114">
        <v>5</v>
      </c>
      <c r="G117" s="78">
        <v>0</v>
      </c>
      <c r="H117" s="78">
        <v>4</v>
      </c>
      <c r="I117" s="78"/>
      <c r="J117" s="103"/>
      <c r="K117" s="103"/>
      <c r="M117" s="123" t="s">
        <v>76</v>
      </c>
      <c r="N117" s="78">
        <v>172</v>
      </c>
      <c r="O117" s="78">
        <v>3567</v>
      </c>
      <c r="P117" s="78">
        <v>3501</v>
      </c>
      <c r="Q117" s="113">
        <v>3550</v>
      </c>
      <c r="R117" s="114">
        <v>254</v>
      </c>
      <c r="S117" s="78">
        <v>121</v>
      </c>
      <c r="T117" s="78">
        <v>0</v>
      </c>
    </row>
    <row r="118" spans="1:20" x14ac:dyDescent="0.25">
      <c r="A118" s="123" t="s">
        <v>77</v>
      </c>
      <c r="B118" s="78">
        <v>36</v>
      </c>
      <c r="C118" s="78">
        <v>929</v>
      </c>
      <c r="D118" s="78">
        <v>947</v>
      </c>
      <c r="E118" s="113">
        <v>348</v>
      </c>
      <c r="F118" s="114">
        <v>3</v>
      </c>
      <c r="G118" s="78">
        <v>0</v>
      </c>
      <c r="H118" s="78">
        <v>2</v>
      </c>
      <c r="I118" s="78"/>
      <c r="J118" s="103"/>
      <c r="K118" s="103"/>
      <c r="M118" s="123" t="s">
        <v>77</v>
      </c>
      <c r="N118" s="78">
        <v>162</v>
      </c>
      <c r="O118" s="78">
        <v>3327</v>
      </c>
      <c r="P118" s="78">
        <v>3373</v>
      </c>
      <c r="Q118" s="113">
        <v>1828</v>
      </c>
      <c r="R118" s="114">
        <v>145</v>
      </c>
      <c r="S118" s="78">
        <v>135</v>
      </c>
      <c r="T118" s="78">
        <v>8</v>
      </c>
    </row>
    <row r="119" spans="1:20" x14ac:dyDescent="0.25">
      <c r="A119" s="123" t="s">
        <v>78</v>
      </c>
      <c r="B119" s="78">
        <v>30</v>
      </c>
      <c r="C119" s="78">
        <v>809</v>
      </c>
      <c r="D119" s="78">
        <v>892</v>
      </c>
      <c r="E119" s="113">
        <v>101</v>
      </c>
      <c r="F119" s="114">
        <v>22</v>
      </c>
      <c r="G119" s="78">
        <v>0</v>
      </c>
      <c r="H119" s="78">
        <v>8</v>
      </c>
      <c r="I119" s="78"/>
      <c r="M119" s="123" t="s">
        <v>78</v>
      </c>
      <c r="N119" s="78">
        <v>158</v>
      </c>
      <c r="O119" s="78">
        <v>2839</v>
      </c>
      <c r="P119" s="78">
        <v>3108</v>
      </c>
      <c r="Q119" s="113">
        <v>2232</v>
      </c>
      <c r="R119" s="114">
        <v>104</v>
      </c>
      <c r="S119" s="78">
        <v>123</v>
      </c>
      <c r="T119" s="78">
        <v>25</v>
      </c>
    </row>
    <row r="120" spans="1:20" x14ac:dyDescent="0.25">
      <c r="A120" s="123" t="s">
        <v>79</v>
      </c>
      <c r="B120" s="101">
        <v>32</v>
      </c>
      <c r="C120" s="101">
        <v>771</v>
      </c>
      <c r="D120" s="101">
        <v>860</v>
      </c>
      <c r="E120" s="116">
        <v>496</v>
      </c>
      <c r="F120" s="117">
        <v>6</v>
      </c>
      <c r="G120" s="80">
        <v>0</v>
      </c>
      <c r="H120" s="80">
        <v>0</v>
      </c>
      <c r="I120" s="80"/>
      <c r="M120" s="123" t="s">
        <v>79</v>
      </c>
      <c r="N120" s="101">
        <v>144</v>
      </c>
      <c r="O120" s="101">
        <v>3128</v>
      </c>
      <c r="P120" s="101">
        <v>3407</v>
      </c>
      <c r="Q120" s="116">
        <v>2056</v>
      </c>
      <c r="R120" s="117">
        <v>72</v>
      </c>
      <c r="S120" s="80">
        <v>107</v>
      </c>
      <c r="T120" s="80">
        <v>23</v>
      </c>
    </row>
    <row r="121" spans="1:20" x14ac:dyDescent="0.25">
      <c r="A121" s="123" t="s">
        <v>80</v>
      </c>
      <c r="B121" s="80">
        <v>36</v>
      </c>
      <c r="C121" s="80">
        <v>882</v>
      </c>
      <c r="D121" s="80">
        <v>845</v>
      </c>
      <c r="E121" s="116">
        <v>342</v>
      </c>
      <c r="F121" s="117">
        <v>0</v>
      </c>
      <c r="G121" s="80">
        <v>0</v>
      </c>
      <c r="H121" s="80">
        <v>0</v>
      </c>
      <c r="I121" s="80"/>
      <c r="M121" s="123" t="s">
        <v>80</v>
      </c>
      <c r="N121" s="80">
        <v>160</v>
      </c>
      <c r="O121" s="80">
        <v>3137</v>
      </c>
      <c r="P121" s="80">
        <v>2968</v>
      </c>
      <c r="Q121" s="116">
        <v>1186</v>
      </c>
      <c r="R121" s="117">
        <v>188</v>
      </c>
      <c r="S121" s="80">
        <v>162</v>
      </c>
      <c r="T121" s="80">
        <v>20</v>
      </c>
    </row>
    <row r="122" spans="1:20" x14ac:dyDescent="0.25">
      <c r="A122" s="123" t="s">
        <v>81</v>
      </c>
      <c r="B122" s="78">
        <v>28</v>
      </c>
      <c r="C122" s="78">
        <v>711</v>
      </c>
      <c r="D122" s="78">
        <v>649</v>
      </c>
      <c r="E122" s="113">
        <v>512</v>
      </c>
      <c r="F122" s="114">
        <v>41</v>
      </c>
      <c r="G122" s="78">
        <v>0</v>
      </c>
      <c r="H122" s="78">
        <v>0</v>
      </c>
      <c r="I122" s="78"/>
      <c r="M122" s="123" t="s">
        <v>81</v>
      </c>
      <c r="N122" s="78">
        <v>136</v>
      </c>
      <c r="O122" s="78">
        <v>2773</v>
      </c>
      <c r="P122" s="78">
        <v>2738</v>
      </c>
      <c r="Q122" s="113">
        <v>1052</v>
      </c>
      <c r="R122" s="114">
        <v>329</v>
      </c>
      <c r="S122" s="78">
        <v>143</v>
      </c>
      <c r="T122" s="78">
        <v>23</v>
      </c>
    </row>
    <row r="123" spans="1:20" x14ac:dyDescent="0.25">
      <c r="A123" s="124" t="s">
        <v>82</v>
      </c>
      <c r="B123" s="118">
        <v>34</v>
      </c>
      <c r="C123" s="118">
        <v>1071</v>
      </c>
      <c r="D123" s="118">
        <v>1020</v>
      </c>
      <c r="E123" s="119">
        <v>332</v>
      </c>
      <c r="F123" s="120">
        <v>65</v>
      </c>
      <c r="G123" s="118">
        <v>22</v>
      </c>
      <c r="H123" s="118">
        <v>0</v>
      </c>
      <c r="I123" s="100"/>
      <c r="M123" s="124" t="s">
        <v>82</v>
      </c>
      <c r="N123" s="118">
        <v>162</v>
      </c>
      <c r="O123" s="118">
        <v>3414</v>
      </c>
      <c r="P123" s="118">
        <v>3560</v>
      </c>
      <c r="Q123" s="119">
        <v>1315</v>
      </c>
      <c r="R123" s="120">
        <v>90</v>
      </c>
      <c r="S123" s="118">
        <v>63</v>
      </c>
      <c r="T123" s="118">
        <v>19</v>
      </c>
    </row>
    <row r="124" spans="1:20" ht="18.75" x14ac:dyDescent="0.25">
      <c r="A124" s="6" t="s">
        <v>6</v>
      </c>
      <c r="B124" s="3"/>
      <c r="C124" s="3"/>
      <c r="D124" s="7"/>
      <c r="E124" s="1"/>
      <c r="H124" s="11" t="s">
        <v>7</v>
      </c>
      <c r="I124" s="122"/>
      <c r="M124" s="6" t="s">
        <v>6</v>
      </c>
      <c r="N124" s="3"/>
      <c r="O124" s="3"/>
      <c r="P124" s="7"/>
      <c r="Q124" s="1"/>
      <c r="T124" s="11" t="s">
        <v>7</v>
      </c>
    </row>
    <row r="125" spans="1:20" ht="18.75" x14ac:dyDescent="0.25">
      <c r="A125" s="6"/>
      <c r="B125" s="3"/>
      <c r="C125" s="3"/>
      <c r="D125" s="7"/>
      <c r="E125" s="1"/>
      <c r="H125" s="12"/>
      <c r="I125" s="122"/>
      <c r="M125" s="6"/>
      <c r="N125" s="3"/>
      <c r="O125" s="3"/>
      <c r="P125" s="7"/>
      <c r="Q125" s="1"/>
      <c r="T125" s="12"/>
    </row>
    <row r="126" spans="1:20" ht="18.75" x14ac:dyDescent="0.25">
      <c r="A126" s="6"/>
      <c r="B126" s="3"/>
      <c r="C126" s="3"/>
      <c r="D126" s="7"/>
      <c r="E126" s="1"/>
      <c r="H126" s="12"/>
      <c r="I126" s="122"/>
      <c r="M126" s="6"/>
      <c r="N126" s="3"/>
      <c r="O126" s="3"/>
      <c r="P126" s="7"/>
      <c r="Q126" s="1"/>
      <c r="T126" s="12"/>
    </row>
    <row r="127" spans="1:20" x14ac:dyDescent="0.25">
      <c r="A127" s="165" t="s">
        <v>115</v>
      </c>
      <c r="B127" s="165"/>
      <c r="C127" s="165"/>
      <c r="D127" s="165"/>
      <c r="E127" s="165"/>
      <c r="F127" s="165"/>
      <c r="G127" s="165"/>
      <c r="H127" s="165"/>
      <c r="I127" s="102"/>
      <c r="J127" s="103"/>
      <c r="K127" s="103"/>
      <c r="M127" s="165" t="s">
        <v>116</v>
      </c>
      <c r="N127" s="165"/>
      <c r="O127" s="165"/>
      <c r="P127" s="165"/>
      <c r="Q127" s="165"/>
      <c r="R127" s="165"/>
      <c r="S127" s="165"/>
      <c r="T127" s="165"/>
    </row>
    <row r="128" spans="1:20" x14ac:dyDescent="0.25">
      <c r="A128" s="104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M128" s="104"/>
      <c r="N128" s="103"/>
      <c r="O128" s="103"/>
      <c r="P128" s="103"/>
      <c r="Q128" s="103"/>
      <c r="R128" s="103"/>
      <c r="S128" s="103"/>
      <c r="T128" s="103"/>
    </row>
    <row r="129" spans="1:20" x14ac:dyDescent="0.25">
      <c r="A129" s="166" t="s">
        <v>64</v>
      </c>
      <c r="B129" s="168" t="s">
        <v>65</v>
      </c>
      <c r="C129" s="170" t="s">
        <v>66</v>
      </c>
      <c r="D129" s="170"/>
      <c r="E129" s="171" t="s">
        <v>67</v>
      </c>
      <c r="F129" s="172"/>
      <c r="G129" s="170" t="s">
        <v>68</v>
      </c>
      <c r="H129" s="170"/>
      <c r="I129" s="105"/>
      <c r="J129" s="103"/>
      <c r="K129" s="103"/>
      <c r="M129" s="166" t="s">
        <v>64</v>
      </c>
      <c r="N129" s="168" t="s">
        <v>65</v>
      </c>
      <c r="O129" s="170" t="s">
        <v>66</v>
      </c>
      <c r="P129" s="170"/>
      <c r="Q129" s="171" t="s">
        <v>67</v>
      </c>
      <c r="R129" s="172"/>
      <c r="S129" s="170" t="s">
        <v>68</v>
      </c>
      <c r="T129" s="170"/>
    </row>
    <row r="130" spans="1:20" x14ac:dyDescent="0.25">
      <c r="A130" s="167"/>
      <c r="B130" s="169"/>
      <c r="C130" s="106" t="s">
        <v>69</v>
      </c>
      <c r="D130" s="106" t="s">
        <v>70</v>
      </c>
      <c r="E130" s="107" t="s">
        <v>69</v>
      </c>
      <c r="F130" s="108" t="s">
        <v>70</v>
      </c>
      <c r="G130" s="106" t="s">
        <v>69</v>
      </c>
      <c r="H130" s="106" t="s">
        <v>70</v>
      </c>
      <c r="I130" s="109"/>
      <c r="J130" s="103"/>
      <c r="K130" s="103"/>
      <c r="M130" s="167"/>
      <c r="N130" s="169"/>
      <c r="O130" s="106" t="s">
        <v>69</v>
      </c>
      <c r="P130" s="106" t="s">
        <v>70</v>
      </c>
      <c r="Q130" s="107" t="s">
        <v>69</v>
      </c>
      <c r="R130" s="108" t="s">
        <v>70</v>
      </c>
      <c r="S130" s="106" t="s">
        <v>69</v>
      </c>
      <c r="T130" s="106" t="s">
        <v>70</v>
      </c>
    </row>
    <row r="131" spans="1:20" x14ac:dyDescent="0.25">
      <c r="A131" s="110" t="s">
        <v>4</v>
      </c>
      <c r="B131" s="111"/>
      <c r="C131" s="111"/>
      <c r="D131" s="111"/>
      <c r="E131" s="79"/>
      <c r="F131" s="112"/>
      <c r="G131" s="111"/>
      <c r="H131" s="111"/>
      <c r="I131" s="99"/>
      <c r="J131" s="103"/>
      <c r="K131" s="103"/>
      <c r="M131" s="110" t="s">
        <v>4</v>
      </c>
      <c r="N131" s="111"/>
      <c r="O131" s="111"/>
      <c r="P131" s="111"/>
      <c r="Q131" s="79"/>
      <c r="R131" s="112"/>
      <c r="S131" s="111"/>
      <c r="T131" s="111"/>
    </row>
    <row r="132" spans="1:20" x14ac:dyDescent="0.25">
      <c r="A132" s="123" t="s">
        <v>71</v>
      </c>
      <c r="B132" s="78">
        <v>41</v>
      </c>
      <c r="C132" s="78">
        <v>1384</v>
      </c>
      <c r="D132" s="78">
        <v>1189</v>
      </c>
      <c r="E132" s="113">
        <v>50</v>
      </c>
      <c r="F132" s="114">
        <v>13</v>
      </c>
      <c r="G132" s="78">
        <v>28</v>
      </c>
      <c r="H132" s="78">
        <v>16</v>
      </c>
      <c r="I132" s="78"/>
      <c r="J132" s="115" t="s">
        <v>83</v>
      </c>
      <c r="K132" s="115"/>
      <c r="M132" s="123" t="s">
        <v>71</v>
      </c>
      <c r="N132" s="78">
        <v>148</v>
      </c>
      <c r="O132" s="78">
        <v>812</v>
      </c>
      <c r="P132" s="78">
        <v>879</v>
      </c>
      <c r="Q132" s="113">
        <v>194</v>
      </c>
      <c r="R132" s="114">
        <v>47</v>
      </c>
      <c r="S132" s="78">
        <v>0</v>
      </c>
      <c r="T132" s="78">
        <v>0</v>
      </c>
    </row>
    <row r="133" spans="1:20" x14ac:dyDescent="0.25">
      <c r="A133" s="123" t="s">
        <v>72</v>
      </c>
      <c r="B133" s="78">
        <v>14</v>
      </c>
      <c r="C133" s="78">
        <v>746</v>
      </c>
      <c r="D133" s="78">
        <v>688</v>
      </c>
      <c r="E133" s="113">
        <v>136</v>
      </c>
      <c r="F133" s="114">
        <v>96</v>
      </c>
      <c r="G133" s="78">
        <v>0</v>
      </c>
      <c r="H133" s="78">
        <v>0</v>
      </c>
      <c r="I133" s="78"/>
      <c r="J133" s="103"/>
      <c r="K133" s="103"/>
      <c r="M133" s="123" t="s">
        <v>72</v>
      </c>
      <c r="N133" s="78">
        <v>154</v>
      </c>
      <c r="O133" s="78">
        <v>781</v>
      </c>
      <c r="P133" s="78">
        <v>873</v>
      </c>
      <c r="Q133" s="113">
        <v>81</v>
      </c>
      <c r="R133" s="114">
        <v>3</v>
      </c>
      <c r="S133" s="78">
        <v>0</v>
      </c>
      <c r="T133" s="78">
        <v>0</v>
      </c>
    </row>
    <row r="134" spans="1:20" x14ac:dyDescent="0.25">
      <c r="A134" s="123" t="s">
        <v>73</v>
      </c>
      <c r="B134" s="78">
        <v>14</v>
      </c>
      <c r="C134" s="78">
        <v>762</v>
      </c>
      <c r="D134" s="78">
        <v>614</v>
      </c>
      <c r="E134" s="113">
        <v>334</v>
      </c>
      <c r="F134" s="114">
        <v>193</v>
      </c>
      <c r="G134" s="78">
        <v>1</v>
      </c>
      <c r="H134" s="78">
        <v>0</v>
      </c>
      <c r="I134" s="78"/>
      <c r="J134" s="103"/>
      <c r="K134" s="103"/>
      <c r="M134" s="123" t="s">
        <v>73</v>
      </c>
      <c r="N134" s="78">
        <v>170</v>
      </c>
      <c r="O134" s="78">
        <v>783</v>
      </c>
      <c r="P134" s="78">
        <v>725</v>
      </c>
      <c r="Q134" s="113">
        <v>144</v>
      </c>
      <c r="R134" s="114">
        <v>13</v>
      </c>
      <c r="S134" s="78">
        <v>0</v>
      </c>
      <c r="T134" s="78">
        <v>0</v>
      </c>
    </row>
    <row r="135" spans="1:20" x14ac:dyDescent="0.25">
      <c r="A135" s="123" t="s">
        <v>74</v>
      </c>
      <c r="B135" s="78">
        <v>56</v>
      </c>
      <c r="C135" s="78">
        <v>1230</v>
      </c>
      <c r="D135" s="78">
        <v>1227</v>
      </c>
      <c r="E135" s="113">
        <v>452</v>
      </c>
      <c r="F135" s="114">
        <v>0</v>
      </c>
      <c r="G135" s="78">
        <v>0</v>
      </c>
      <c r="H135" s="78">
        <v>0</v>
      </c>
      <c r="I135" s="78"/>
      <c r="J135" s="103"/>
      <c r="K135" s="103"/>
      <c r="M135" s="123" t="s">
        <v>74</v>
      </c>
      <c r="N135" s="78">
        <v>100</v>
      </c>
      <c r="O135" s="78">
        <v>575</v>
      </c>
      <c r="P135" s="78">
        <v>785</v>
      </c>
      <c r="Q135" s="113">
        <v>9</v>
      </c>
      <c r="R135" s="114">
        <v>35</v>
      </c>
      <c r="S135" s="78">
        <v>0</v>
      </c>
      <c r="T135" s="78">
        <v>0</v>
      </c>
    </row>
    <row r="136" spans="1:20" x14ac:dyDescent="0.25">
      <c r="A136" s="123" t="s">
        <v>75</v>
      </c>
      <c r="B136" s="78">
        <v>58</v>
      </c>
      <c r="C136" s="78">
        <v>1329</v>
      </c>
      <c r="D136" s="78">
        <v>1459</v>
      </c>
      <c r="E136" s="113">
        <v>934.5</v>
      </c>
      <c r="F136" s="114">
        <v>33</v>
      </c>
      <c r="G136" s="78">
        <v>0</v>
      </c>
      <c r="H136" s="78">
        <v>0</v>
      </c>
      <c r="I136" s="78"/>
      <c r="J136" s="103"/>
      <c r="K136" s="103"/>
      <c r="M136" s="123" t="s">
        <v>75</v>
      </c>
      <c r="N136" s="78">
        <v>112</v>
      </c>
      <c r="O136" s="78">
        <v>905</v>
      </c>
      <c r="P136" s="78">
        <v>1124</v>
      </c>
      <c r="Q136" s="113">
        <v>150</v>
      </c>
      <c r="R136" s="114">
        <v>66</v>
      </c>
      <c r="S136" s="78">
        <v>0</v>
      </c>
      <c r="T136" s="78">
        <v>0</v>
      </c>
    </row>
    <row r="137" spans="1:20" x14ac:dyDescent="0.25">
      <c r="A137" s="123" t="s">
        <v>76</v>
      </c>
      <c r="B137" s="78">
        <v>48</v>
      </c>
      <c r="C137" s="78">
        <v>1046</v>
      </c>
      <c r="D137" s="78">
        <v>1039</v>
      </c>
      <c r="E137" s="113">
        <v>231</v>
      </c>
      <c r="F137" s="114">
        <v>0</v>
      </c>
      <c r="G137" s="78">
        <v>0</v>
      </c>
      <c r="H137" s="78">
        <v>2</v>
      </c>
      <c r="I137" s="78"/>
      <c r="J137" s="103"/>
      <c r="K137" s="103"/>
      <c r="M137" s="123" t="s">
        <v>76</v>
      </c>
      <c r="N137" s="78">
        <v>110</v>
      </c>
      <c r="O137" s="78">
        <v>753</v>
      </c>
      <c r="P137" s="78">
        <v>837</v>
      </c>
      <c r="Q137" s="113">
        <v>256</v>
      </c>
      <c r="R137" s="114">
        <v>8</v>
      </c>
      <c r="S137" s="78">
        <v>0</v>
      </c>
      <c r="T137" s="78">
        <v>0</v>
      </c>
    </row>
    <row r="138" spans="1:20" x14ac:dyDescent="0.25">
      <c r="A138" s="123" t="s">
        <v>77</v>
      </c>
      <c r="B138" s="78">
        <v>34</v>
      </c>
      <c r="C138" s="78">
        <v>780</v>
      </c>
      <c r="D138" s="78">
        <v>767</v>
      </c>
      <c r="E138" s="113">
        <v>128</v>
      </c>
      <c r="F138" s="114">
        <v>163</v>
      </c>
      <c r="G138" s="78">
        <v>0</v>
      </c>
      <c r="H138" s="78">
        <v>3</v>
      </c>
      <c r="I138" s="78"/>
      <c r="J138" s="103"/>
      <c r="K138" s="103"/>
      <c r="M138" s="123" t="s">
        <v>77</v>
      </c>
      <c r="N138" s="78">
        <v>112</v>
      </c>
      <c r="O138" s="78">
        <v>638</v>
      </c>
      <c r="P138" s="78">
        <v>722</v>
      </c>
      <c r="Q138" s="113">
        <v>225</v>
      </c>
      <c r="R138" s="114">
        <v>33</v>
      </c>
      <c r="S138" s="78">
        <v>0</v>
      </c>
      <c r="T138" s="78">
        <v>0</v>
      </c>
    </row>
    <row r="139" spans="1:20" x14ac:dyDescent="0.25">
      <c r="A139" s="123" t="s">
        <v>78</v>
      </c>
      <c r="B139" s="78">
        <v>50</v>
      </c>
      <c r="C139" s="78">
        <v>863</v>
      </c>
      <c r="D139" s="78">
        <v>821</v>
      </c>
      <c r="E139" s="113">
        <v>85</v>
      </c>
      <c r="F139" s="114">
        <v>24</v>
      </c>
      <c r="G139" s="78">
        <v>1</v>
      </c>
      <c r="H139" s="78">
        <v>0</v>
      </c>
      <c r="I139" s="78"/>
      <c r="M139" s="123" t="s">
        <v>78</v>
      </c>
      <c r="N139" s="78">
        <v>120</v>
      </c>
      <c r="O139" s="78">
        <v>768</v>
      </c>
      <c r="P139" s="78">
        <v>872</v>
      </c>
      <c r="Q139" s="113">
        <v>1041</v>
      </c>
      <c r="R139" s="114">
        <v>23</v>
      </c>
      <c r="S139" s="78">
        <v>0</v>
      </c>
      <c r="T139" s="78">
        <v>0</v>
      </c>
    </row>
    <row r="140" spans="1:20" x14ac:dyDescent="0.25">
      <c r="A140" s="123" t="s">
        <v>79</v>
      </c>
      <c r="B140" s="101">
        <v>44</v>
      </c>
      <c r="C140" s="101">
        <v>888</v>
      </c>
      <c r="D140" s="101">
        <v>899</v>
      </c>
      <c r="E140" s="116">
        <v>261</v>
      </c>
      <c r="F140" s="117">
        <v>0</v>
      </c>
      <c r="G140" s="80">
        <v>0</v>
      </c>
      <c r="H140" s="80">
        <v>0</v>
      </c>
      <c r="I140" s="80"/>
      <c r="M140" s="123" t="s">
        <v>79</v>
      </c>
      <c r="N140" s="101">
        <v>68</v>
      </c>
      <c r="O140" s="101">
        <v>464</v>
      </c>
      <c r="P140" s="101">
        <v>495</v>
      </c>
      <c r="Q140" s="116">
        <v>419</v>
      </c>
      <c r="R140" s="117">
        <v>11</v>
      </c>
      <c r="S140" s="80">
        <v>0</v>
      </c>
      <c r="T140" s="80">
        <v>0</v>
      </c>
    </row>
    <row r="141" spans="1:20" x14ac:dyDescent="0.25">
      <c r="A141" s="123" t="s">
        <v>80</v>
      </c>
      <c r="B141" s="80">
        <v>42</v>
      </c>
      <c r="C141" s="80">
        <v>906</v>
      </c>
      <c r="D141" s="80">
        <v>821</v>
      </c>
      <c r="E141" s="116">
        <v>170</v>
      </c>
      <c r="F141" s="117">
        <v>0</v>
      </c>
      <c r="G141" s="80">
        <v>0</v>
      </c>
      <c r="H141" s="80">
        <v>1</v>
      </c>
      <c r="I141" s="80"/>
      <c r="M141" s="123" t="s">
        <v>80</v>
      </c>
      <c r="N141" s="80">
        <v>56</v>
      </c>
      <c r="O141" s="80">
        <v>424</v>
      </c>
      <c r="P141" s="80">
        <v>471</v>
      </c>
      <c r="Q141" s="116">
        <v>159</v>
      </c>
      <c r="R141" s="117">
        <v>14</v>
      </c>
      <c r="S141" s="80">
        <v>0</v>
      </c>
      <c r="T141" s="80">
        <v>0</v>
      </c>
    </row>
    <row r="142" spans="1:20" x14ac:dyDescent="0.25">
      <c r="A142" s="123" t="s">
        <v>81</v>
      </c>
      <c r="B142" s="78">
        <v>28</v>
      </c>
      <c r="C142" s="78">
        <v>614</v>
      </c>
      <c r="D142" s="78">
        <v>590</v>
      </c>
      <c r="E142" s="113">
        <v>17</v>
      </c>
      <c r="F142" s="114">
        <v>0</v>
      </c>
      <c r="G142" s="78">
        <v>15</v>
      </c>
      <c r="H142" s="78">
        <v>0</v>
      </c>
      <c r="I142" s="78"/>
      <c r="M142" s="123" t="s">
        <v>81</v>
      </c>
      <c r="N142" s="78">
        <v>20</v>
      </c>
      <c r="O142" s="78">
        <v>102</v>
      </c>
      <c r="P142" s="78">
        <v>118</v>
      </c>
      <c r="Q142" s="113">
        <v>46</v>
      </c>
      <c r="R142" s="114">
        <v>0</v>
      </c>
      <c r="S142" s="78">
        <v>0</v>
      </c>
      <c r="T142" s="78">
        <v>0</v>
      </c>
    </row>
    <row r="143" spans="1:20" x14ac:dyDescent="0.25">
      <c r="A143" s="124" t="s">
        <v>82</v>
      </c>
      <c r="B143" s="118">
        <v>50</v>
      </c>
      <c r="C143" s="118">
        <v>1135</v>
      </c>
      <c r="D143" s="118">
        <v>1241</v>
      </c>
      <c r="E143" s="119">
        <v>475</v>
      </c>
      <c r="F143" s="120">
        <v>52</v>
      </c>
      <c r="G143" s="118">
        <v>3</v>
      </c>
      <c r="H143" s="118">
        <v>1</v>
      </c>
      <c r="I143" s="100"/>
      <c r="M143" s="124" t="s">
        <v>82</v>
      </c>
      <c r="N143" s="118">
        <v>88</v>
      </c>
      <c r="O143" s="118">
        <v>281</v>
      </c>
      <c r="P143" s="118">
        <v>278</v>
      </c>
      <c r="Q143" s="119">
        <v>41</v>
      </c>
      <c r="R143" s="120">
        <v>20</v>
      </c>
      <c r="S143" s="118">
        <v>0</v>
      </c>
      <c r="T143" s="118">
        <v>0</v>
      </c>
    </row>
    <row r="144" spans="1:20" ht="18.75" x14ac:dyDescent="0.25">
      <c r="A144" s="6" t="s">
        <v>6</v>
      </c>
      <c r="B144" s="3"/>
      <c r="C144" s="3"/>
      <c r="D144" s="7"/>
      <c r="E144" s="1"/>
      <c r="H144" s="11" t="s">
        <v>7</v>
      </c>
      <c r="I144" s="122"/>
      <c r="M144" s="6" t="s">
        <v>6</v>
      </c>
      <c r="N144" s="3"/>
      <c r="O144" s="3"/>
      <c r="P144" s="7"/>
      <c r="Q144" s="1"/>
      <c r="T144" s="11" t="s">
        <v>7</v>
      </c>
    </row>
    <row r="147" spans="1:30" x14ac:dyDescent="0.25">
      <c r="A147" s="165" t="s">
        <v>117</v>
      </c>
      <c r="B147" s="165"/>
      <c r="C147" s="165"/>
      <c r="D147" s="165"/>
      <c r="E147" s="165"/>
      <c r="F147" s="165"/>
      <c r="G147" s="165"/>
      <c r="H147" s="165"/>
    </row>
    <row r="148" spans="1:30" x14ac:dyDescent="0.25">
      <c r="A148" s="104"/>
      <c r="B148" s="103"/>
      <c r="C148" s="103"/>
      <c r="D148" s="103"/>
      <c r="E148" s="103"/>
      <c r="F148" s="103"/>
      <c r="G148" s="103"/>
      <c r="H148" s="103"/>
    </row>
    <row r="149" spans="1:30" x14ac:dyDescent="0.25">
      <c r="A149" s="166" t="s">
        <v>64</v>
      </c>
      <c r="B149" s="168" t="s">
        <v>65</v>
      </c>
      <c r="C149" s="170" t="s">
        <v>66</v>
      </c>
      <c r="D149" s="170"/>
      <c r="E149" s="171" t="s">
        <v>67</v>
      </c>
      <c r="F149" s="172"/>
      <c r="G149" s="170" t="s">
        <v>68</v>
      </c>
      <c r="H149" s="170"/>
    </row>
    <row r="150" spans="1:30" x14ac:dyDescent="0.25">
      <c r="A150" s="167"/>
      <c r="B150" s="169"/>
      <c r="C150" s="106" t="s">
        <v>69</v>
      </c>
      <c r="D150" s="106" t="s">
        <v>70</v>
      </c>
      <c r="E150" s="107" t="s">
        <v>69</v>
      </c>
      <c r="F150" s="108" t="s">
        <v>70</v>
      </c>
      <c r="G150" s="106" t="s">
        <v>69</v>
      </c>
      <c r="H150" s="106" t="s">
        <v>70</v>
      </c>
    </row>
    <row r="151" spans="1:30" x14ac:dyDescent="0.25">
      <c r="A151" s="110" t="s">
        <v>4</v>
      </c>
      <c r="B151" s="111"/>
      <c r="C151" s="111"/>
      <c r="D151" s="111"/>
      <c r="E151" s="79"/>
      <c r="F151" s="112"/>
      <c r="G151" s="111"/>
      <c r="H151" s="111"/>
    </row>
    <row r="152" spans="1:30" x14ac:dyDescent="0.25">
      <c r="A152" s="123" t="s">
        <v>71</v>
      </c>
      <c r="B152" s="78">
        <v>22</v>
      </c>
      <c r="C152" s="78">
        <v>630</v>
      </c>
      <c r="D152" s="78">
        <v>526</v>
      </c>
      <c r="E152" s="113">
        <v>31</v>
      </c>
      <c r="F152" s="114">
        <v>27.2</v>
      </c>
      <c r="G152" s="78">
        <v>0</v>
      </c>
      <c r="H152" s="78">
        <v>0</v>
      </c>
    </row>
    <row r="153" spans="1:30" x14ac:dyDescent="0.25">
      <c r="A153" s="123" t="s">
        <v>72</v>
      </c>
      <c r="B153" s="78">
        <v>26</v>
      </c>
      <c r="C153" s="78">
        <v>614</v>
      </c>
      <c r="D153" s="78">
        <v>469</v>
      </c>
      <c r="E153" s="113">
        <v>30</v>
      </c>
      <c r="F153" s="114">
        <v>64.5</v>
      </c>
      <c r="G153" s="78">
        <v>0</v>
      </c>
      <c r="H153" s="78">
        <v>0</v>
      </c>
    </row>
    <row r="154" spans="1:30" ht="18" x14ac:dyDescent="0.25">
      <c r="A154" s="123" t="s">
        <v>73</v>
      </c>
      <c r="B154" s="78">
        <v>16</v>
      </c>
      <c r="C154" s="78">
        <v>366</v>
      </c>
      <c r="D154" s="78">
        <v>226</v>
      </c>
      <c r="E154" s="113">
        <v>351</v>
      </c>
      <c r="F154" s="114">
        <v>20</v>
      </c>
      <c r="G154" s="78">
        <v>0</v>
      </c>
      <c r="H154" s="78">
        <v>0</v>
      </c>
      <c r="I154" s="96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Y154" s="81"/>
      <c r="Z154" s="81"/>
      <c r="AA154" s="81"/>
      <c r="AB154" s="81"/>
      <c r="AC154" s="81"/>
      <c r="AD154" s="81"/>
    </row>
    <row r="155" spans="1:30" x14ac:dyDescent="0.25">
      <c r="A155" s="123" t="s">
        <v>74</v>
      </c>
      <c r="B155" s="78">
        <v>30</v>
      </c>
      <c r="C155" s="78">
        <v>703</v>
      </c>
      <c r="D155" s="78">
        <v>721</v>
      </c>
      <c r="E155" s="113">
        <v>243</v>
      </c>
      <c r="F155" s="114">
        <v>48</v>
      </c>
      <c r="G155" s="78">
        <v>0</v>
      </c>
      <c r="H155" s="78">
        <v>0</v>
      </c>
    </row>
    <row r="156" spans="1:30" x14ac:dyDescent="0.25">
      <c r="A156" s="123" t="s">
        <v>75</v>
      </c>
      <c r="B156" s="78">
        <v>32</v>
      </c>
      <c r="C156" s="78">
        <v>721</v>
      </c>
      <c r="D156" s="78">
        <v>705</v>
      </c>
      <c r="E156" s="113">
        <v>131</v>
      </c>
      <c r="F156" s="114">
        <v>143</v>
      </c>
      <c r="G156" s="78">
        <v>0</v>
      </c>
      <c r="H156" s="78">
        <v>0</v>
      </c>
    </row>
    <row r="157" spans="1:30" x14ac:dyDescent="0.25">
      <c r="A157" s="123" t="s">
        <v>76</v>
      </c>
      <c r="B157" s="78">
        <v>24</v>
      </c>
      <c r="C157" s="78">
        <v>531</v>
      </c>
      <c r="D157" s="78">
        <v>510</v>
      </c>
      <c r="E157" s="113">
        <v>66.5</v>
      </c>
      <c r="F157" s="114">
        <v>20</v>
      </c>
      <c r="G157" s="78">
        <v>0</v>
      </c>
      <c r="H157" s="78">
        <v>0</v>
      </c>
    </row>
    <row r="158" spans="1:30" x14ac:dyDescent="0.25">
      <c r="A158" s="123" t="s">
        <v>77</v>
      </c>
      <c r="B158" s="78">
        <v>26</v>
      </c>
      <c r="C158" s="78">
        <v>503</v>
      </c>
      <c r="D158" s="78">
        <v>390</v>
      </c>
      <c r="E158" s="113">
        <v>29.5</v>
      </c>
      <c r="F158" s="114">
        <v>20.6</v>
      </c>
      <c r="G158" s="78">
        <v>0</v>
      </c>
      <c r="H158" s="78">
        <v>0</v>
      </c>
    </row>
    <row r="159" spans="1:30" x14ac:dyDescent="0.25">
      <c r="A159" s="123" t="s">
        <v>78</v>
      </c>
      <c r="B159" s="78">
        <v>14</v>
      </c>
      <c r="C159" s="78">
        <v>336</v>
      </c>
      <c r="D159" s="78">
        <v>255</v>
      </c>
      <c r="E159" s="113">
        <v>6</v>
      </c>
      <c r="F159" s="114">
        <v>0</v>
      </c>
      <c r="G159" s="78">
        <v>0</v>
      </c>
      <c r="H159" s="78">
        <v>0</v>
      </c>
    </row>
    <row r="160" spans="1:30" x14ac:dyDescent="0.25">
      <c r="A160" s="123" t="s">
        <v>79</v>
      </c>
      <c r="B160" s="101">
        <v>14</v>
      </c>
      <c r="C160" s="101">
        <v>396</v>
      </c>
      <c r="D160" s="101">
        <v>396</v>
      </c>
      <c r="E160" s="116">
        <v>52</v>
      </c>
      <c r="F160" s="117">
        <v>0</v>
      </c>
      <c r="G160" s="80">
        <v>0</v>
      </c>
      <c r="H160" s="80">
        <v>7</v>
      </c>
    </row>
    <row r="161" spans="1:8" x14ac:dyDescent="0.25">
      <c r="A161" s="123" t="s">
        <v>80</v>
      </c>
      <c r="B161" s="80">
        <v>16</v>
      </c>
      <c r="C161" s="80">
        <v>339</v>
      </c>
      <c r="D161" s="80">
        <v>273</v>
      </c>
      <c r="E161" s="116">
        <v>16</v>
      </c>
      <c r="F161" s="117">
        <v>0</v>
      </c>
      <c r="G161" s="80">
        <v>0</v>
      </c>
      <c r="H161" s="80">
        <v>0</v>
      </c>
    </row>
    <row r="162" spans="1:8" x14ac:dyDescent="0.25">
      <c r="A162" s="123" t="s">
        <v>81</v>
      </c>
      <c r="B162" s="78">
        <v>16</v>
      </c>
      <c r="C162" s="78">
        <v>244</v>
      </c>
      <c r="D162" s="78">
        <v>266</v>
      </c>
      <c r="E162" s="113">
        <v>93.55</v>
      </c>
      <c r="F162" s="114">
        <v>23</v>
      </c>
      <c r="G162" s="78">
        <v>0</v>
      </c>
      <c r="H162" s="78">
        <v>0</v>
      </c>
    </row>
    <row r="163" spans="1:8" x14ac:dyDescent="0.25">
      <c r="A163" s="124" t="s">
        <v>82</v>
      </c>
      <c r="B163" s="118">
        <v>26</v>
      </c>
      <c r="C163" s="118">
        <v>515</v>
      </c>
      <c r="D163" s="118">
        <v>501</v>
      </c>
      <c r="E163" s="119">
        <v>76</v>
      </c>
      <c r="F163" s="120">
        <v>10</v>
      </c>
      <c r="G163" s="118">
        <v>0</v>
      </c>
      <c r="H163" s="118">
        <v>0</v>
      </c>
    </row>
    <row r="164" spans="1:8" ht="18.75" x14ac:dyDescent="0.25">
      <c r="A164" s="6" t="s">
        <v>6</v>
      </c>
      <c r="B164" s="3"/>
      <c r="C164" s="3"/>
      <c r="D164" s="7"/>
      <c r="E164" s="1"/>
      <c r="H164" s="11" t="s">
        <v>7</v>
      </c>
    </row>
  </sheetData>
  <mergeCells count="91">
    <mergeCell ref="A1:T1"/>
    <mergeCell ref="S129:T129"/>
    <mergeCell ref="M127:T127"/>
    <mergeCell ref="A129:A130"/>
    <mergeCell ref="B129:B130"/>
    <mergeCell ref="C129:D129"/>
    <mergeCell ref="E129:F129"/>
    <mergeCell ref="G129:H129"/>
    <mergeCell ref="M129:M130"/>
    <mergeCell ref="N129:N130"/>
    <mergeCell ref="O129:P129"/>
    <mergeCell ref="Q129:R129"/>
    <mergeCell ref="M87:T87"/>
    <mergeCell ref="M89:M90"/>
    <mergeCell ref="N89:N90"/>
    <mergeCell ref="O89:P89"/>
    <mergeCell ref="Q89:R89"/>
    <mergeCell ref="S89:T89"/>
    <mergeCell ref="A67:H67"/>
    <mergeCell ref="M67:T67"/>
    <mergeCell ref="A69:A70"/>
    <mergeCell ref="B69:B70"/>
    <mergeCell ref="C69:D69"/>
    <mergeCell ref="E69:F69"/>
    <mergeCell ref="G69:H69"/>
    <mergeCell ref="M69:M70"/>
    <mergeCell ref="N69:N70"/>
    <mergeCell ref="O69:P69"/>
    <mergeCell ref="Q69:R69"/>
    <mergeCell ref="S69:T69"/>
    <mergeCell ref="A87:H87"/>
    <mergeCell ref="A89:A90"/>
    <mergeCell ref="B89:B90"/>
    <mergeCell ref="C89:D89"/>
    <mergeCell ref="E89:F89"/>
    <mergeCell ref="G89:H89"/>
    <mergeCell ref="A45:H45"/>
    <mergeCell ref="M45:T45"/>
    <mergeCell ref="A47:A48"/>
    <mergeCell ref="B47:B48"/>
    <mergeCell ref="C47:D47"/>
    <mergeCell ref="E47:F47"/>
    <mergeCell ref="G47:H47"/>
    <mergeCell ref="M47:M48"/>
    <mergeCell ref="N47:N48"/>
    <mergeCell ref="O47:P47"/>
    <mergeCell ref="Q47:R47"/>
    <mergeCell ref="S47:T47"/>
    <mergeCell ref="A127:H127"/>
    <mergeCell ref="A3:H3"/>
    <mergeCell ref="M3:T3"/>
    <mergeCell ref="A5:A6"/>
    <mergeCell ref="B5:B6"/>
    <mergeCell ref="C5:D5"/>
    <mergeCell ref="E5:F5"/>
    <mergeCell ref="G5:H5"/>
    <mergeCell ref="M5:M6"/>
    <mergeCell ref="N5:N6"/>
    <mergeCell ref="O5:P5"/>
    <mergeCell ref="Q5:R5"/>
    <mergeCell ref="S5:T5"/>
    <mergeCell ref="E25:F25"/>
    <mergeCell ref="G25:H25"/>
    <mergeCell ref="A107:H107"/>
    <mergeCell ref="M107:T107"/>
    <mergeCell ref="A109:A110"/>
    <mergeCell ref="B109:B110"/>
    <mergeCell ref="C109:D109"/>
    <mergeCell ref="E109:F109"/>
    <mergeCell ref="G109:H109"/>
    <mergeCell ref="M109:M110"/>
    <mergeCell ref="N109:N110"/>
    <mergeCell ref="O109:P109"/>
    <mergeCell ref="Q109:R109"/>
    <mergeCell ref="S109:T109"/>
    <mergeCell ref="A147:H147"/>
    <mergeCell ref="A149:A150"/>
    <mergeCell ref="B149:B150"/>
    <mergeCell ref="C149:D149"/>
    <mergeCell ref="E149:F149"/>
    <mergeCell ref="G149:H149"/>
    <mergeCell ref="A23:H23"/>
    <mergeCell ref="M23:T23"/>
    <mergeCell ref="A25:A26"/>
    <mergeCell ref="B25:B26"/>
    <mergeCell ref="C25:D25"/>
    <mergeCell ref="M25:M26"/>
    <mergeCell ref="N25:N26"/>
    <mergeCell ref="O25:P25"/>
    <mergeCell ref="Q25:R25"/>
    <mergeCell ref="S25:T25"/>
  </mergeCells>
  <pageMargins left="0.7" right="0.7" top="0.75" bottom="0.75" header="0.3" footer="0.3"/>
  <pageSetup paperSize="9" scale="46" orientation="portrait" horizontalDpi="4294967295" verticalDpi="4294967295" r:id="rId1"/>
  <rowBreaks count="1" manualBreakCount="1">
    <brk id="105" max="20" man="1"/>
  </rowBreaks>
  <colBreaks count="1" manualBreakCount="1">
    <brk id="21" max="1048575" man="1"/>
  </colBreaks>
  <ignoredErrors>
    <ignoredError sqref="Q8:T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11.26</vt:lpstr>
      <vt:lpstr>'11.26'!Print_Area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2025-07-21T05:47:22Z</cp:lastPrinted>
  <dcterms:created xsi:type="dcterms:W3CDTF">2019-03-24T03:32:16Z</dcterms:created>
  <dcterms:modified xsi:type="dcterms:W3CDTF">2025-07-21T05:47:30Z</dcterms:modified>
</cp:coreProperties>
</file>