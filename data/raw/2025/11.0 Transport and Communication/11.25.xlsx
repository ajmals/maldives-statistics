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6E188DB7-6DF7-4E6A-9DB0-1278B6C5E4EC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11.25 " sheetId="9" r:id="rId2"/>
  </sheets>
  <definedNames>
    <definedName name="_xlnm.Print_Area" localSheetId="1">'11.25 '!$A$1:$AM$27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" i="9" l="1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O6" i="9"/>
  <c r="N6" i="9"/>
  <c r="L6" i="9"/>
  <c r="K6" i="9"/>
  <c r="I6" i="9"/>
  <c r="H6" i="9"/>
  <c r="F6" i="9"/>
  <c r="E6" i="9"/>
  <c r="C6" i="9"/>
  <c r="B6" i="9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<sst xmlns="http://schemas.openxmlformats.org/spreadsheetml/2006/main" count="272" uniqueCount="92">
  <si>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</si>
  <si>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</si>
  <si>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</si>
  <si>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</si>
  <si>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</si>
  <si>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</si>
  <si>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</si>
  <si>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</si>
  <si>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</si>
  <si>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</si>
  <si>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</si>
  <si>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</si>
  <si>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</si>
  <si>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</si>
  <si>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</si>
  <si>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</si>
  <si>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</si>
  <si>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</si>
  <si>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</si>
  <si>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</si>
  <si>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</si>
  <si>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</si>
  <si>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</si>
  <si>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</si>
  <si>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</si>
  <si>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</si>
  <si>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</si>
  <si>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</si>
  <si>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</si>
  <si>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</si>
  <si>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</si>
  <si>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</si>
  <si>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</si>
  <si>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</si>
  <si>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</si>
  <si>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</si>
  <si>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</si>
  <si>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</si>
  <si>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</si>
  <si>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</si>
  <si>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</si>
  <si>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</si>
  <si>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</si>
  <si>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</si>
  <si>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</si>
  <si>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</si>
  <si>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</si>
  <si>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</si>
  <si>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</si>
  <si>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</si>
  <si>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</si>
  <si>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</si>
  <si>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</si>
  <si>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</si>
  <si>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</si>
  <si>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 xml:space="preserve"> ( in kg )</t>
  </si>
  <si>
    <t>HDh.Hanimaadhoo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</si>
  <si>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</si>
  <si>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</si>
  <si>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Raa.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</si>
  <si>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</si>
  <si>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</si>
  <si>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</si>
  <si>
    <t>4_/ Dh. Dhaalu   started flight operations during the month ofOctober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</si>
  <si>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</si>
  <si>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</si>
  <si>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</si>
  <si>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</si>
  <si>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</si>
  <si>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</si>
  <si>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</si>
  <si>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</si>
  <si>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</si>
  <si>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r>
      <t xml:space="preserve">Dhaalu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</si>
  <si>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Maavrulu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</si>
  <si>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Funadhoo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</si>
  <si>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Khuludhifushi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</si>
  <si>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Hoarafushi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</si>
  <si>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Madivaru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</si>
  <si>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Faresmaathoda  </t>
    </r>
    <r>
      <rPr>
        <b/>
        <vertAlign val="superscript"/>
        <sz val="9"/>
        <rFont val="Calibri"/>
        <family val="2"/>
        <scheme val="minor"/>
      </rPr>
      <t xml:space="preserve">4_/ </t>
    </r>
  </si>
  <si>
    <t>ތާވަލު 11.25: މަސްމަހުގެ ގޮތުން ރާއްޖޭގެ ވައިގެބަނދަރުތަކުގައި އުފުލުނު މުދާ، 2024</t>
  </si>
  <si>
    <t>Table 11.25:  CARGO HANDLED AT DOMESTIC AIRPORTS BY MONTH, 2024</t>
  </si>
  <si>
    <t>4471</t>
  </si>
  <si>
    <t>8541</t>
  </si>
  <si>
    <t>3939</t>
  </si>
  <si>
    <t>6778</t>
  </si>
  <si>
    <t>5096</t>
  </si>
  <si>
    <t>9416</t>
  </si>
  <si>
    <t>4476</t>
  </si>
  <si>
    <t>8143</t>
  </si>
  <si>
    <t>2623</t>
  </si>
  <si>
    <t>6506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</si>
</sst>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sz val="9"/>
      <color theme="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42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83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164" fontId="0" fillId="2" borderId="1" xfId="0" applyNumberFormat="1" applyFill="1" applyBorder="1"/>
    <xf numFmtId="164" fontId="5" fillId="2" borderId="27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/>
    </xf>
    <xf numFmtId="164" fontId="5" fillId="2" borderId="43" xfId="2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right" vertical="center"/>
    </xf>
    <xf numFmtId="164" fontId="5" fillId="2" borderId="30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 wrapText="1"/>
    </xf>
    <xf numFmtId="164" fontId="5" fillId="2" borderId="30" xfId="2" applyFont="1" applyFill="1" applyBorder="1" applyAlignment="1">
      <alignment horizontal="right" vertical="center" wrapText="1"/>
    </xf>
    <xf numFmtId="164" fontId="5" fillId="2" borderId="2" xfId="2" applyFont="1" applyFill="1" applyBorder="1" applyAlignment="1">
      <alignment horizontal="left" vertical="center"/>
    </xf>
    <xf numFmtId="38" fontId="5" fillId="2" borderId="2" xfId="3" applyNumberFormat="1" applyFont="1" applyFill="1" applyBorder="1" applyAlignment="1">
      <alignment horizontal="right" vertical="center"/>
    </xf>
    <xf numFmtId="38" fontId="5" fillId="2" borderId="3" xfId="3" applyNumberFormat="1" applyFont="1" applyFill="1" applyBorder="1" applyAlignment="1">
      <alignment horizontal="right" vertical="center"/>
    </xf>
    <xf numFmtId="38" fontId="5" fillId="2" borderId="45" xfId="3" applyNumberFormat="1" applyFont="1" applyFill="1" applyBorder="1" applyAlignment="1">
      <alignment horizontal="right" vertical="center"/>
    </xf>
    <xf numFmtId="38" fontId="5" fillId="2" borderId="46" xfId="3" applyNumberFormat="1" applyFont="1" applyFill="1" applyBorder="1" applyAlignment="1">
      <alignment horizontal="right" vertical="center"/>
    </xf>
    <xf numFmtId="38" fontId="5" fillId="2" borderId="13" xfId="3" applyNumberFormat="1" applyFont="1" applyFill="1" applyBorder="1" applyAlignment="1">
      <alignment horizontal="right" vertical="center"/>
    </xf>
    <xf numFmtId="38" fontId="15" fillId="2" borderId="1" xfId="3" applyNumberFormat="1" applyFont="1" applyFill="1" applyBorder="1" applyAlignment="1">
      <alignment horizontal="right" vertical="center"/>
    </xf>
    <xf numFmtId="38" fontId="15" fillId="2" borderId="4" xfId="3" applyNumberFormat="1" applyFont="1" applyFill="1" applyBorder="1" applyAlignment="1">
      <alignment horizontal="right" vertical="center"/>
    </xf>
    <xf numFmtId="38" fontId="15" fillId="2" borderId="47" xfId="3" applyNumberFormat="1" applyFont="1" applyFill="1" applyBorder="1" applyAlignment="1">
      <alignment horizontal="right" vertical="center"/>
    </xf>
    <xf numFmtId="38" fontId="15" fillId="2" borderId="48" xfId="3" applyNumberFormat="1" applyFont="1" applyFill="1" applyBorder="1" applyAlignment="1">
      <alignment horizontal="right" vertical="center"/>
    </xf>
    <xf numFmtId="38" fontId="15" fillId="2" borderId="11" xfId="3" applyNumberFormat="1" applyFont="1" applyFill="1" applyBorder="1" applyAlignment="1">
      <alignment horizontal="right" vertical="center"/>
    </xf>
    <xf numFmtId="38" fontId="15" fillId="2" borderId="5" xfId="3" applyNumberFormat="1" applyFont="1" applyFill="1" applyBorder="1" applyAlignment="1">
      <alignment horizontal="right" vertical="center"/>
    </xf>
    <xf numFmtId="38" fontId="15" fillId="2" borderId="6" xfId="3" applyNumberFormat="1" applyFont="1" applyFill="1" applyBorder="1" applyAlignment="1">
      <alignment horizontal="right" vertical="center"/>
    </xf>
    <xf numFmtId="38" fontId="15" fillId="2" borderId="49" xfId="3" applyNumberFormat="1" applyFont="1" applyFill="1" applyBorder="1" applyAlignment="1">
      <alignment horizontal="right" vertical="center"/>
    </xf>
    <xf numFmtId="38" fontId="15" fillId="2" borderId="50" xfId="3" applyNumberFormat="1" applyFont="1" applyFill="1" applyBorder="1" applyAlignment="1">
      <alignment horizontal="right" vertical="center"/>
    </xf>
    <xf numFmtId="38" fontId="15" fillId="2" borderId="12" xfId="3" applyNumberFormat="1" applyFont="1" applyFill="1" applyBorder="1" applyAlignment="1">
      <alignment horizontal="right" vertical="center"/>
    </xf>
    <xf numFmtId="164" fontId="14" fillId="2" borderId="2" xfId="2" applyFont="1" applyFill="1" applyBorder="1" applyAlignment="1">
      <alignment horizontal="left" vertical="center"/>
    </xf>
    <xf numFmtId="37" fontId="15" fillId="2" borderId="2" xfId="2" applyNumberFormat="1" applyFont="1" applyFill="1" applyBorder="1" applyAlignment="1">
      <alignment vertical="center"/>
    </xf>
    <xf numFmtId="0" fontId="16" fillId="2" borderId="2" xfId="4" applyFont="1" applyFill="1" applyBorder="1" applyAlignment="1">
      <alignment vertical="center"/>
    </xf>
    <xf numFmtId="0" fontId="25" fillId="2" borderId="1" xfId="0" applyFont="1" applyFill="1" applyBorder="1" applyAlignment="1">
      <alignment horizontal="right" vertical="center"/>
    </xf>
    <xf numFmtId="164" fontId="14" fillId="2" borderId="1" xfId="2" applyFont="1" applyFill="1" applyBorder="1" applyAlignment="1">
      <alignment horizontal="left" vertical="center"/>
    </xf>
    <xf numFmtId="37" fontId="15" fillId="2" borderId="1" xfId="2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164" fontId="27" fillId="2" borderId="1" xfId="0" applyNumberFormat="1" applyFont="1" applyFill="1" applyBorder="1" applyAlignment="1">
      <alignment vertical="center"/>
    </xf>
    <xf numFmtId="164" fontId="15" fillId="2" borderId="1" xfId="2" applyFont="1" applyFill="1" applyBorder="1"/>
    <xf numFmtId="164" fontId="13" fillId="2" borderId="1" xfId="2" applyFont="1" applyFill="1" applyBorder="1"/>
    <xf numFmtId="164" fontId="15" fillId="2" borderId="1" xfId="2" applyFont="1" applyFill="1" applyBorder="1" applyAlignment="1">
      <alignment horizontal="left" vertical="center" indent="1"/>
    </xf>
    <xf numFmtId="164" fontId="15" fillId="2" borderId="5" xfId="2" applyFont="1" applyFill="1" applyBorder="1" applyAlignment="1">
      <alignment horizontal="left" vertical="center" indent="1"/>
    </xf>
    <xf numFmtId="164" fontId="5" fillId="2" borderId="51" xfId="2" applyFont="1" applyFill="1" applyBorder="1" applyAlignment="1">
      <alignment horizontal="right" vertical="center"/>
    </xf>
    <xf numFmtId="164" fontId="34" fillId="2" borderId="0" xfId="2" applyFont="1" applyFill="1" applyAlignment="1">
      <alignment horizontal="right" vertical="center"/>
    </xf>
    <xf numFmtId="164" fontId="10" fillId="2" borderId="51" xfId="2" applyFont="1" applyFill="1" applyBorder="1" applyAlignment="1">
      <alignment horizontal="left" vertical="center"/>
    </xf>
    <xf numFmtId="164" fontId="20" fillId="2" borderId="51" xfId="2" applyFont="1" applyFill="1" applyBorder="1" applyAlignment="1">
      <alignment horizontal="right" vertical="center"/>
    </xf>
    <xf numFmtId="0" fontId="5" fillId="2" borderId="51" xfId="2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right"/>
    </xf>
    <xf numFmtId="0" fontId="36" fillId="2" borderId="1" xfId="5" applyFont="1" applyFill="1" applyBorder="1" applyAlignment="1">
      <alignment horizontal="right" vertical="center" indent="1"/>
    </xf>
    <xf numFmtId="0" fontId="36" fillId="2" borderId="5" xfId="5" applyFont="1" applyFill="1" applyBorder="1" applyAlignment="1">
      <alignment horizontal="right" vertical="center" indent="1"/>
    </xf>
    <xf numFmtId="164" fontId="31" fillId="2" borderId="0" xfId="2" applyFont="1" applyFill="1" applyAlignment="1">
      <alignment horizontal="right" vertical="center"/>
    </xf>
    <xf numFmtId="164" fontId="30" fillId="2" borderId="0" xfId="0" applyNumberFormat="1" applyFont="1" applyFill="1"/>
    <xf numFmtId="0" fontId="36" fillId="2" borderId="11" xfId="5" applyFont="1" applyFill="1" applyBorder="1" applyAlignment="1">
      <alignment horizontal="right"/>
    </xf>
    <xf numFmtId="0" fontId="36" fillId="2" borderId="12" xfId="5" applyFont="1" applyFill="1" applyBorder="1" applyAlignment="1">
      <alignment horizontal="right"/>
    </xf>
    <xf numFmtId="0" fontId="31" fillId="2" borderId="13" xfId="5" applyFont="1" applyFill="1" applyBorder="1" applyAlignment="1">
      <alignment horizontal="right"/>
    </xf>
    <xf numFmtId="164" fontId="37" fillId="2" borderId="8" xfId="2" applyFont="1" applyFill="1" applyBorder="1" applyAlignment="1">
      <alignment horizontal="center" vertical="center"/>
    </xf>
    <xf numFmtId="164" fontId="39" fillId="2" borderId="8" xfId="0" applyNumberFormat="1" applyFont="1" applyFill="1" applyBorder="1"/>
    <xf numFmtId="164" fontId="38" fillId="2" borderId="18" xfId="2" applyFont="1" applyFill="1" applyBorder="1" applyAlignment="1">
      <alignment vertical="center"/>
    </xf>
    <xf numFmtId="164" fontId="40" fillId="2" borderId="8" xfId="0" applyNumberFormat="1" applyFont="1" applyFill="1" applyBorder="1"/>
    <xf numFmtId="164" fontId="39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51" xfId="2" applyNumberFormat="1" applyFont="1" applyFill="1" applyBorder="1" applyAlignment="1">
      <alignment horizontal="right" vertical="center"/>
    </xf>
    <xf numFmtId="164" fontId="38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3" fillId="2" borderId="17" xfId="2" applyFont="1" applyFill="1" applyBorder="1" applyAlignment="1">
      <alignment horizontal="left" vertical="center"/>
    </xf>
    <xf numFmtId="164" fontId="43" fillId="2" borderId="18" xfId="2" applyFont="1" applyFill="1" applyBorder="1" applyAlignment="1">
      <alignment vertical="center"/>
    </xf>
    <xf numFmtId="164" fontId="35" fillId="2" borderId="18" xfId="2" applyFont="1" applyFill="1" applyBorder="1" applyAlignment="1">
      <alignment vertical="center"/>
    </xf>
    <xf numFmtId="164" fontId="28" fillId="2" borderId="1" xfId="2" applyFont="1" applyFill="1" applyBorder="1" applyAlignment="1">
      <alignment horizontal="center" vertical="center"/>
    </xf>
    <xf numFmtId="164" fontId="28" fillId="2" borderId="22" xfId="2" applyFont="1" applyFill="1" applyBorder="1" applyAlignment="1">
      <alignment vertical="center" wrapText="1"/>
    </xf>
    <xf numFmtId="164" fontId="29" fillId="2" borderId="5" xfId="2" applyFont="1" applyFill="1" applyBorder="1" applyAlignment="1">
      <alignment horizontal="left" vertical="center"/>
    </xf>
    <xf numFmtId="0" fontId="44" fillId="2" borderId="26" xfId="2" applyNumberFormat="1" applyFont="1" applyFill="1" applyBorder="1" applyAlignment="1">
      <alignment horizontal="center" vertical="center"/>
    </xf>
    <xf numFmtId="0" fontId="44" fillId="2" borderId="27" xfId="2" applyNumberFormat="1" applyFont="1" applyFill="1" applyBorder="1" applyAlignment="1">
      <alignment horizontal="center" vertical="center"/>
    </xf>
    <xf numFmtId="0" fontId="44" fillId="2" borderId="28" xfId="2" applyNumberFormat="1" applyFont="1" applyFill="1" applyBorder="1" applyAlignment="1">
      <alignment horizontal="center" vertical="center"/>
    </xf>
    <xf numFmtId="0" fontId="44" fillId="2" borderId="29" xfId="2" applyNumberFormat="1" applyFont="1" applyFill="1" applyBorder="1" applyAlignment="1">
      <alignment horizontal="center" vertical="center"/>
    </xf>
    <xf numFmtId="0" fontId="44" fillId="2" borderId="30" xfId="2" applyNumberFormat="1" applyFont="1" applyFill="1" applyBorder="1" applyAlignment="1">
      <alignment horizontal="center" vertical="center"/>
    </xf>
    <xf numFmtId="0" fontId="44" fillId="2" borderId="31" xfId="2" applyNumberFormat="1" applyFont="1" applyFill="1" applyBorder="1" applyAlignment="1">
      <alignment horizontal="center" vertical="center"/>
    </xf>
    <xf numFmtId="0" fontId="44" fillId="2" borderId="51" xfId="2" applyNumberFormat="1" applyFont="1" applyFill="1" applyBorder="1" applyAlignment="1">
      <alignment horizontal="center" vertical="center"/>
    </xf>
    <xf numFmtId="0" fontId="44" fillId="2" borderId="32" xfId="2" applyNumberFormat="1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center" vertical="center" wrapText="1"/>
    </xf>
    <xf numFmtId="164" fontId="5" fillId="2" borderId="39" xfId="2" applyFont="1" applyFill="1" applyBorder="1" applyAlignment="1">
      <alignment horizontal="center" vertical="center" wrapText="1"/>
    </xf>
    <xf numFmtId="164" fontId="26" fillId="2" borderId="1" xfId="0" applyNumberFormat="1" applyFont="1" applyFill="1" applyBorder="1"/>
    <xf numFmtId="0" fontId="31" fillId="2" borderId="9" xfId="5" applyFont="1" applyFill="1" applyBorder="1" applyAlignment="1">
      <alignment horizontal="right" vertical="center"/>
    </xf>
    <xf numFmtId="0" fontId="31" fillId="2" borderId="11" xfId="5" applyFont="1" applyFill="1" applyBorder="1" applyAlignment="1">
      <alignment horizontal="right" vertical="center"/>
    </xf>
    <xf numFmtId="0" fontId="31" fillId="2" borderId="12" xfId="5" applyFont="1" applyFill="1" applyBorder="1" applyAlignment="1">
      <alignment horizontal="right" vertical="center"/>
    </xf>
    <xf numFmtId="164" fontId="28" fillId="2" borderId="6" xfId="2" applyFont="1" applyFill="1" applyBorder="1" applyAlignment="1">
      <alignment horizontal="center" vertical="center" wrapText="1"/>
    </xf>
    <xf numFmtId="164" fontId="28" fillId="2" borderId="22" xfId="2" applyFont="1" applyFill="1" applyBorder="1" applyAlignment="1">
      <alignment horizontal="center" vertical="center" wrapText="1"/>
    </xf>
    <xf numFmtId="164" fontId="28" fillId="2" borderId="23" xfId="2" applyFont="1" applyFill="1" applyBorder="1" applyAlignment="1">
      <alignment horizontal="center" vertical="center" wrapText="1"/>
    </xf>
    <xf numFmtId="164" fontId="28" fillId="2" borderId="14" xfId="2" applyFont="1" applyFill="1" applyBorder="1" applyAlignment="1">
      <alignment horizontal="center" vertical="center" wrapText="1"/>
    </xf>
    <xf numFmtId="164" fontId="28" fillId="2" borderId="0" xfId="2" applyFont="1" applyFill="1" applyAlignment="1">
      <alignment horizontal="center" vertical="center" wrapText="1"/>
    </xf>
    <xf numFmtId="164" fontId="17" fillId="2" borderId="14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6" xfId="2" applyFont="1" applyFill="1" applyBorder="1" applyAlignment="1">
      <alignment horizontal="center" vertical="center" wrapText="1"/>
    </xf>
    <xf numFmtId="164" fontId="17" fillId="2" borderId="51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38" fillId="2" borderId="15" xfId="2" applyFont="1" applyFill="1" applyBorder="1" applyAlignment="1">
      <alignment horizontal="center" vertical="center"/>
    </xf>
    <xf numFmtId="164" fontId="38" fillId="2" borderId="8" xfId="2" applyFont="1" applyFill="1" applyBorder="1" applyAlignment="1">
      <alignment horizontal="center" vertical="center"/>
    </xf>
    <xf numFmtId="164" fontId="38" fillId="2" borderId="21" xfId="2" applyFont="1" applyFill="1" applyBorder="1" applyAlignment="1">
      <alignment horizontal="center" vertical="center"/>
    </xf>
    <xf numFmtId="164" fontId="38" fillId="2" borderId="20" xfId="2" applyFont="1" applyFill="1" applyBorder="1" applyAlignment="1">
      <alignment horizontal="center" vertical="center"/>
    </xf>
    <xf numFmtId="164" fontId="38" fillId="2" borderId="18" xfId="2" applyFont="1" applyFill="1" applyBorder="1" applyAlignment="1">
      <alignment horizontal="center" vertical="center"/>
    </xf>
    <xf numFmtId="164" fontId="38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5" fillId="2" borderId="10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164" fontId="35" fillId="2" borderId="15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164" fontId="32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51" xfId="2" applyFont="1" applyFill="1" applyBorder="1" applyAlignment="1">
      <alignment horizontal="left" vertical="center"/>
    </xf>
    <xf numFmtId="164" fontId="37" fillId="2" borderId="8" xfId="2" applyFont="1" applyFill="1" applyBorder="1" applyAlignment="1">
      <alignment horizontal="center" vertical="center"/>
    </xf>
    <xf numFmtId="164" fontId="20" fillId="2" borderId="51" xfId="2" applyFont="1" applyFill="1" applyBorder="1" applyAlignment="1">
      <alignment horizontal="center" vertical="center" wrapText="1"/>
    </xf>
    <xf numFmtId="164" fontId="31" fillId="2" borderId="8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31" fillId="2" borderId="51" xfId="2" applyFont="1" applyFill="1" applyBorder="1" applyAlignment="1">
      <alignment horizontal="right" vertical="center"/>
    </xf>
    <xf numFmtId="164" fontId="5" fillId="2" borderId="40" xfId="2" applyFont="1" applyFill="1" applyBorder="1" applyAlignment="1">
      <alignment horizontal="center" vertical="center" wrapText="1"/>
    </xf>
    <xf numFmtId="164" fontId="5" fillId="2" borderId="41" xfId="2" applyFont="1" applyFill="1" applyBorder="1" applyAlignment="1">
      <alignment horizontal="center" vertical="center" wrapText="1"/>
    </xf>
    <xf numFmtId="164" fontId="5" fillId="2" borderId="42" xfId="2" applyFont="1" applyFill="1" applyBorder="1" applyAlignment="1">
      <alignment horizontal="center" vertical="center" wrapText="1"/>
    </xf>
    <xf numFmtId="164" fontId="5" fillId="2" borderId="39" xfId="2" applyFont="1" applyFill="1" applyBorder="1" applyAlignment="1">
      <alignment horizontal="center" vertical="center" wrapText="1"/>
    </xf>
    <xf numFmtId="164" fontId="5" fillId="2" borderId="38" xfId="2" applyFont="1" applyFill="1" applyBorder="1" applyAlignment="1">
      <alignment horizontal="center" vertical="center" wrapText="1"/>
    </xf>
    <xf numFmtId="0" fontId="31" fillId="2" borderId="38" xfId="5" applyFont="1" applyFill="1" applyBorder="1" applyAlignment="1">
      <alignment horizontal="right" vertical="center"/>
    </xf>
    <xf numFmtId="0" fontId="31" fillId="2" borderId="26" xfId="5" applyFont="1" applyFill="1" applyBorder="1" applyAlignment="1">
      <alignment horizontal="right" vertical="center"/>
    </xf>
    <xf numFmtId="164" fontId="26" fillId="2" borderId="1" xfId="0" applyNumberFormat="1" applyFont="1" applyFill="1" applyBorder="1" applyAlignment="1">
      <alignment horizontal="center"/>
    </xf>
    <xf numFmtId="164" fontId="17" fillId="2" borderId="1" xfId="2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17" xfId="2" applyFont="1" applyFill="1" applyBorder="1" applyAlignment="1">
      <alignment horizontal="left" vertical="center"/>
    </xf>
    <xf numFmtId="164" fontId="5" fillId="2" borderId="5" xfId="2" applyFont="1" applyFill="1" applyBorder="1" applyAlignment="1">
      <alignment horizontal="lef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1" t="s">
        <v>71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</row>
    <row r="2" spans="1:29" ht="15.75" x14ac:dyDescent="0.25">
      <c r="A2" s="162" t="s">
        <v>72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4" spans="1:29" s="8" customFormat="1" ht="19.5" x14ac:dyDescent="0.15">
      <c r="A4" s="163" t="s">
        <v>8</v>
      </c>
      <c r="B4" s="166" t="s">
        <v>34</v>
      </c>
      <c r="C4" s="166"/>
      <c r="D4" s="99"/>
      <c r="E4" s="166" t="s">
        <v>35</v>
      </c>
      <c r="F4" s="166"/>
      <c r="G4" s="99"/>
      <c r="H4" s="166" t="s">
        <v>36</v>
      </c>
      <c r="I4" s="166"/>
      <c r="J4" s="99"/>
      <c r="K4" s="166" t="s">
        <v>37</v>
      </c>
      <c r="L4" s="166"/>
      <c r="M4" s="99"/>
      <c r="N4" s="166" t="s">
        <v>38</v>
      </c>
      <c r="O4" s="166"/>
      <c r="P4" s="99"/>
      <c r="Q4" s="166" t="s">
        <v>39</v>
      </c>
      <c r="R4" s="166"/>
      <c r="S4" s="99"/>
      <c r="T4" s="166" t="s">
        <v>40</v>
      </c>
      <c r="U4" s="166"/>
      <c r="V4" s="99"/>
      <c r="W4" s="166" t="s">
        <v>41</v>
      </c>
      <c r="X4" s="166"/>
      <c r="Y4" s="99"/>
      <c r="Z4" s="166" t="s">
        <v>42</v>
      </c>
      <c r="AA4" s="166"/>
      <c r="AB4" s="168" t="s">
        <v>9</v>
      </c>
    </row>
    <row r="5" spans="1:29" s="11" customFormat="1" ht="15" customHeight="1" x14ac:dyDescent="0.25">
      <c r="A5" s="164"/>
      <c r="B5" s="167" t="s">
        <v>43</v>
      </c>
      <c r="C5" s="167"/>
      <c r="D5" s="10"/>
      <c r="E5" s="167" t="s">
        <v>44</v>
      </c>
      <c r="F5" s="167"/>
      <c r="G5" s="10"/>
      <c r="H5" s="167" t="s">
        <v>45</v>
      </c>
      <c r="I5" s="167"/>
      <c r="J5" s="10"/>
      <c r="K5" s="167" t="s">
        <v>46</v>
      </c>
      <c r="L5" s="167"/>
      <c r="M5" s="10"/>
      <c r="N5" s="167" t="s">
        <v>47</v>
      </c>
      <c r="O5" s="167"/>
      <c r="P5" s="10"/>
      <c r="Q5" s="167" t="s">
        <v>48</v>
      </c>
      <c r="R5" s="167"/>
      <c r="S5" s="10"/>
      <c r="T5" s="167" t="s">
        <v>49</v>
      </c>
      <c r="U5" s="167"/>
      <c r="V5" s="10"/>
      <c r="W5" s="167" t="s">
        <v>50</v>
      </c>
      <c r="X5" s="167"/>
      <c r="Y5" s="10"/>
      <c r="Z5" s="167" t="s">
        <v>51</v>
      </c>
      <c r="AA5" s="167"/>
      <c r="AB5" s="169"/>
      <c r="AC5" s="2"/>
    </row>
    <row r="6" spans="1:29" s="95" customFormat="1" ht="14.25" x14ac:dyDescent="0.2">
      <c r="A6" s="164"/>
      <c r="B6" s="87" t="s">
        <v>0</v>
      </c>
      <c r="C6" s="87" t="s">
        <v>1</v>
      </c>
      <c r="D6" s="87"/>
      <c r="E6" s="87" t="s">
        <v>0</v>
      </c>
      <c r="F6" s="87" t="s">
        <v>1</v>
      </c>
      <c r="G6" s="87"/>
      <c r="H6" s="87" t="s">
        <v>0</v>
      </c>
      <c r="I6" s="87" t="s">
        <v>1</v>
      </c>
      <c r="J6" s="87"/>
      <c r="K6" s="87" t="s">
        <v>0</v>
      </c>
      <c r="L6" s="87" t="s">
        <v>1</v>
      </c>
      <c r="M6" s="87"/>
      <c r="N6" s="87" t="s">
        <v>0</v>
      </c>
      <c r="O6" s="87" t="s">
        <v>1</v>
      </c>
      <c r="P6" s="87"/>
      <c r="Q6" s="87" t="s">
        <v>0</v>
      </c>
      <c r="R6" s="87" t="s">
        <v>1</v>
      </c>
      <c r="S6" s="87"/>
      <c r="T6" s="87" t="s">
        <v>0</v>
      </c>
      <c r="U6" s="87" t="s">
        <v>1</v>
      </c>
      <c r="V6" s="87"/>
      <c r="W6" s="87" t="s">
        <v>0</v>
      </c>
      <c r="X6" s="87" t="s">
        <v>1</v>
      </c>
      <c r="Y6" s="87"/>
      <c r="Z6" s="87" t="s">
        <v>0</v>
      </c>
      <c r="AA6" s="87" t="s">
        <v>1</v>
      </c>
      <c r="AB6" s="169"/>
    </row>
    <row r="7" spans="1:29" s="11" customFormat="1" ht="14.25" x14ac:dyDescent="0.2">
      <c r="A7" s="165"/>
      <c r="B7" s="89" t="s">
        <v>2</v>
      </c>
      <c r="C7" s="89" t="s">
        <v>3</v>
      </c>
      <c r="D7" s="89"/>
      <c r="E7" s="89" t="s">
        <v>2</v>
      </c>
      <c r="F7" s="89" t="s">
        <v>3</v>
      </c>
      <c r="G7" s="89"/>
      <c r="H7" s="89" t="s">
        <v>2</v>
      </c>
      <c r="I7" s="89" t="s">
        <v>3</v>
      </c>
      <c r="J7" s="89"/>
      <c r="K7" s="89" t="s">
        <v>2</v>
      </c>
      <c r="L7" s="89" t="s">
        <v>3</v>
      </c>
      <c r="M7" s="89"/>
      <c r="N7" s="89" t="s">
        <v>2</v>
      </c>
      <c r="O7" s="89" t="s">
        <v>3</v>
      </c>
      <c r="P7" s="89"/>
      <c r="Q7" s="89" t="s">
        <v>2</v>
      </c>
      <c r="R7" s="89" t="s">
        <v>3</v>
      </c>
      <c r="S7" s="89"/>
      <c r="T7" s="89" t="s">
        <v>2</v>
      </c>
      <c r="U7" s="89" t="s">
        <v>3</v>
      </c>
      <c r="V7" s="89"/>
      <c r="W7" s="89" t="s">
        <v>2</v>
      </c>
      <c r="X7" s="89" t="s">
        <v>3</v>
      </c>
      <c r="Y7" s="89"/>
      <c r="Z7" s="89" t="s">
        <v>2</v>
      </c>
      <c r="AA7" s="89" t="s">
        <v>3</v>
      </c>
      <c r="AB7" s="170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94" t="s">
        <v>5</v>
      </c>
    </row>
    <row r="9" spans="1:29" s="8" customFormat="1" ht="15.75" x14ac:dyDescent="0.4">
      <c r="A9" s="4" t="s">
        <v>10</v>
      </c>
      <c r="B9" s="106"/>
      <c r="C9" s="106"/>
      <c r="D9" s="106"/>
      <c r="E9" s="107"/>
      <c r="F9" s="107"/>
      <c r="G9" s="107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8"/>
      <c r="Z9" s="108"/>
      <c r="AA9" s="108"/>
      <c r="AB9" s="96" t="s">
        <v>11</v>
      </c>
    </row>
    <row r="10" spans="1:29" s="8" customFormat="1" ht="15.75" x14ac:dyDescent="0.4">
      <c r="A10" s="4" t="s">
        <v>12</v>
      </c>
      <c r="B10" s="106"/>
      <c r="C10" s="106"/>
      <c r="D10" s="106"/>
      <c r="E10" s="107"/>
      <c r="F10" s="107"/>
      <c r="G10" s="107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8"/>
      <c r="Z10" s="108"/>
      <c r="AA10" s="108"/>
      <c r="AB10" s="96" t="s">
        <v>13</v>
      </c>
    </row>
    <row r="11" spans="1:29" s="8" customFormat="1" ht="15.75" x14ac:dyDescent="0.4">
      <c r="A11" s="4" t="s">
        <v>14</v>
      </c>
      <c r="B11" s="106"/>
      <c r="C11" s="106"/>
      <c r="D11" s="106"/>
      <c r="E11" s="107"/>
      <c r="F11" s="107"/>
      <c r="G11" s="107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8"/>
      <c r="Z11" s="108"/>
      <c r="AA11" s="108"/>
      <c r="AB11" s="96" t="s">
        <v>15</v>
      </c>
    </row>
    <row r="12" spans="1:29" s="8" customFormat="1" ht="15.75" x14ac:dyDescent="0.4">
      <c r="A12" s="4" t="s">
        <v>16</v>
      </c>
      <c r="B12" s="106"/>
      <c r="C12" s="106"/>
      <c r="D12" s="106"/>
      <c r="E12" s="107"/>
      <c r="F12" s="107"/>
      <c r="G12" s="107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8"/>
      <c r="Z12" s="108"/>
      <c r="AA12" s="108"/>
      <c r="AB12" s="96" t="s">
        <v>17</v>
      </c>
    </row>
    <row r="13" spans="1:29" s="8" customFormat="1" ht="15.75" x14ac:dyDescent="0.4">
      <c r="A13" s="4" t="s">
        <v>18</v>
      </c>
      <c r="B13" s="106"/>
      <c r="C13" s="106"/>
      <c r="D13" s="106"/>
      <c r="E13" s="107"/>
      <c r="F13" s="107"/>
      <c r="G13" s="107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8"/>
      <c r="Z13" s="108"/>
      <c r="AA13" s="108"/>
      <c r="AB13" s="96" t="s">
        <v>19</v>
      </c>
    </row>
    <row r="14" spans="1:29" s="8" customFormat="1" ht="15.75" x14ac:dyDescent="0.4">
      <c r="A14" s="4" t="s">
        <v>20</v>
      </c>
      <c r="B14" s="106"/>
      <c r="C14" s="106"/>
      <c r="D14" s="106"/>
      <c r="E14" s="107"/>
      <c r="F14" s="107"/>
      <c r="G14" s="107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8"/>
      <c r="Z14" s="108"/>
      <c r="AA14" s="108"/>
      <c r="AB14" s="96" t="s">
        <v>21</v>
      </c>
    </row>
    <row r="15" spans="1:29" s="8" customFormat="1" ht="15.75" x14ac:dyDescent="0.4">
      <c r="A15" s="4" t="s">
        <v>22</v>
      </c>
      <c r="B15" s="106"/>
      <c r="C15" s="106"/>
      <c r="D15" s="106"/>
      <c r="E15" s="107"/>
      <c r="F15" s="107"/>
      <c r="G15" s="107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8"/>
      <c r="Z15" s="108"/>
      <c r="AA15" s="108"/>
      <c r="AB15" s="96" t="s">
        <v>23</v>
      </c>
    </row>
    <row r="16" spans="1:29" s="8" customFormat="1" ht="15.75" x14ac:dyDescent="0.4">
      <c r="A16" s="4" t="s">
        <v>24</v>
      </c>
      <c r="B16" s="106"/>
      <c r="C16" s="106"/>
      <c r="D16" s="106"/>
      <c r="E16" s="107"/>
      <c r="F16" s="107"/>
      <c r="G16" s="107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8"/>
      <c r="Z16" s="108"/>
      <c r="AA16" s="108"/>
      <c r="AB16" s="96" t="s">
        <v>25</v>
      </c>
    </row>
    <row r="17" spans="1:44" s="8" customFormat="1" ht="15.75" x14ac:dyDescent="0.4">
      <c r="A17" s="4" t="s">
        <v>26</v>
      </c>
      <c r="B17" s="106"/>
      <c r="C17" s="106"/>
      <c r="D17" s="106"/>
      <c r="E17" s="107"/>
      <c r="F17" s="107"/>
      <c r="G17" s="107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8"/>
      <c r="Z17" s="108"/>
      <c r="AA17" s="108"/>
      <c r="AB17" s="96" t="s">
        <v>27</v>
      </c>
    </row>
    <row r="18" spans="1:44" s="8" customFormat="1" ht="15.75" x14ac:dyDescent="0.4">
      <c r="A18" s="4" t="s">
        <v>28</v>
      </c>
      <c r="B18" s="106"/>
      <c r="C18" s="106"/>
      <c r="D18" s="106"/>
      <c r="E18" s="107"/>
      <c r="F18" s="107"/>
      <c r="G18" s="107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8"/>
      <c r="Z18" s="108"/>
      <c r="AA18" s="108"/>
      <c r="AB18" s="96" t="s">
        <v>29</v>
      </c>
    </row>
    <row r="19" spans="1:44" s="8" customFormat="1" ht="15.75" x14ac:dyDescent="0.4">
      <c r="A19" s="4" t="s">
        <v>30</v>
      </c>
      <c r="B19" s="106"/>
      <c r="C19" s="106"/>
      <c r="D19" s="106"/>
      <c r="E19" s="107"/>
      <c r="F19" s="107"/>
      <c r="G19" s="107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8"/>
      <c r="Z19" s="108"/>
      <c r="AA19" s="108"/>
      <c r="AB19" s="96" t="s">
        <v>31</v>
      </c>
    </row>
    <row r="20" spans="1:44" s="8" customFormat="1" ht="15.75" x14ac:dyDescent="0.4">
      <c r="A20" s="88" t="s">
        <v>32</v>
      </c>
      <c r="B20" s="109"/>
      <c r="C20" s="109"/>
      <c r="D20" s="109"/>
      <c r="E20" s="110"/>
      <c r="F20" s="110"/>
      <c r="G20" s="110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11"/>
      <c r="Z20" s="111"/>
      <c r="AA20" s="111"/>
      <c r="AB20" s="97" t="s">
        <v>33</v>
      </c>
    </row>
    <row r="21" spans="1:44" ht="18.75" x14ac:dyDescent="0.25">
      <c r="A21" s="5" t="s">
        <v>6</v>
      </c>
      <c r="AB21" s="7" t="s">
        <v>7</v>
      </c>
      <c r="AO21" s="8"/>
      <c r="AP21" s="86" t="s">
        <v>2</v>
      </c>
      <c r="AQ21" s="86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03" customFormat="1" ht="21.75" customHeight="1" x14ac:dyDescent="0.55000000000000004">
      <c r="A44" s="153" t="s">
        <v>8</v>
      </c>
      <c r="B44" s="114"/>
      <c r="D44" s="115"/>
      <c r="F44" s="115"/>
      <c r="G44" s="156" t="s">
        <v>34</v>
      </c>
      <c r="H44" s="157"/>
      <c r="I44" s="157"/>
      <c r="J44" s="157"/>
      <c r="K44" s="158"/>
      <c r="L44" s="102"/>
      <c r="M44" s="116"/>
      <c r="N44" s="102"/>
      <c r="O44" s="116"/>
      <c r="P44" s="159" t="s">
        <v>35</v>
      </c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15"/>
      <c r="AC44" s="147" t="s">
        <v>36</v>
      </c>
      <c r="AD44" s="148"/>
      <c r="AE44" s="148"/>
      <c r="AF44" s="148"/>
      <c r="AG44" s="148"/>
      <c r="AH44" s="148"/>
      <c r="AI44" s="148"/>
      <c r="AJ44" s="148"/>
      <c r="AK44" s="101"/>
      <c r="AL44" s="147" t="s">
        <v>37</v>
      </c>
      <c r="AM44" s="148"/>
      <c r="AN44" s="148"/>
      <c r="AO44" s="148"/>
      <c r="AP44" s="148"/>
      <c r="AQ44" s="148"/>
      <c r="AR44" s="148"/>
      <c r="AS44" s="101"/>
      <c r="AT44" s="147" t="s">
        <v>38</v>
      </c>
      <c r="AU44" s="148"/>
      <c r="AV44" s="148"/>
      <c r="AW44" s="148"/>
      <c r="AX44" s="148"/>
      <c r="AY44" s="112"/>
      <c r="AZ44" s="101"/>
      <c r="BA44" s="147" t="s">
        <v>39</v>
      </c>
      <c r="BB44" s="148"/>
      <c r="BC44" s="148"/>
      <c r="BD44" s="148"/>
      <c r="BE44" s="149"/>
      <c r="BF44" s="100"/>
      <c r="BG44" s="150" t="s">
        <v>40</v>
      </c>
      <c r="BH44" s="151"/>
      <c r="BI44" s="151"/>
      <c r="BJ44" s="151"/>
      <c r="BK44" s="152"/>
      <c r="BL44" s="147" t="s">
        <v>41</v>
      </c>
      <c r="BM44" s="148"/>
      <c r="BN44" s="148"/>
      <c r="BO44" s="148"/>
      <c r="BP44" s="149"/>
      <c r="BQ44" s="147" t="s">
        <v>42</v>
      </c>
      <c r="BR44" s="148"/>
      <c r="BS44" s="148"/>
      <c r="BT44" s="131" t="s">
        <v>9</v>
      </c>
    </row>
    <row r="45" spans="1:80" s="104" customFormat="1" ht="16.5" customHeight="1" x14ac:dyDescent="0.25">
      <c r="A45" s="154"/>
      <c r="B45" s="117"/>
      <c r="D45" s="118"/>
      <c r="F45" s="118"/>
      <c r="G45" s="134" t="s">
        <v>43</v>
      </c>
      <c r="H45" s="135"/>
      <c r="I45" s="135"/>
      <c r="J45" s="135"/>
      <c r="K45" s="136"/>
      <c r="M45" s="118"/>
      <c r="O45" s="118"/>
      <c r="P45" s="137" t="s">
        <v>44</v>
      </c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18"/>
      <c r="AC45" s="139" t="s">
        <v>64</v>
      </c>
      <c r="AD45" s="140"/>
      <c r="AE45" s="140"/>
      <c r="AF45" s="140"/>
      <c r="AG45" s="140"/>
      <c r="AH45" s="140"/>
      <c r="AI45" s="140"/>
      <c r="AJ45" s="140"/>
      <c r="AK45" s="105"/>
      <c r="AL45" s="139" t="s">
        <v>65</v>
      </c>
      <c r="AM45" s="140"/>
      <c r="AN45" s="140"/>
      <c r="AO45" s="140"/>
      <c r="AP45" s="140"/>
      <c r="AQ45" s="140"/>
      <c r="AR45" s="140"/>
      <c r="AS45" s="105"/>
      <c r="AT45" s="139" t="s">
        <v>66</v>
      </c>
      <c r="AU45" s="140"/>
      <c r="AV45" s="140"/>
      <c r="AW45" s="140"/>
      <c r="AX45" s="140"/>
      <c r="AY45" s="113"/>
      <c r="AZ45" s="105"/>
      <c r="BA45" s="141" t="s">
        <v>67</v>
      </c>
      <c r="BB45" s="142"/>
      <c r="BC45" s="142"/>
      <c r="BD45" s="142"/>
      <c r="BE45" s="143"/>
      <c r="BG45" s="144" t="s">
        <v>68</v>
      </c>
      <c r="BH45" s="145"/>
      <c r="BI45" s="145"/>
      <c r="BJ45" s="145"/>
      <c r="BK45" s="146"/>
      <c r="BL45" s="141" t="s">
        <v>69</v>
      </c>
      <c r="BM45" s="142"/>
      <c r="BN45" s="142"/>
      <c r="BO45" s="142"/>
      <c r="BP45" s="143"/>
      <c r="BQ45" s="141" t="s">
        <v>70</v>
      </c>
      <c r="BR45" s="142"/>
      <c r="BS45" s="142"/>
      <c r="BT45" s="132"/>
    </row>
    <row r="46" spans="1:80" ht="23.25" customHeight="1" x14ac:dyDescent="0.25">
      <c r="A46" s="155"/>
      <c r="B46" s="119"/>
      <c r="C46" s="120">
        <v>2011</v>
      </c>
      <c r="D46" s="120">
        <v>2012</v>
      </c>
      <c r="E46" s="121">
        <v>2013</v>
      </c>
      <c r="F46" s="122">
        <v>2014</v>
      </c>
      <c r="G46" s="123">
        <v>2015</v>
      </c>
      <c r="H46" s="124">
        <v>2016</v>
      </c>
      <c r="I46" s="125">
        <v>2017</v>
      </c>
      <c r="J46" s="125">
        <v>2018</v>
      </c>
      <c r="K46" s="125">
        <v>2019</v>
      </c>
      <c r="L46" s="126">
        <v>2011</v>
      </c>
      <c r="M46" s="126">
        <v>2012</v>
      </c>
      <c r="N46" s="126">
        <v>2013</v>
      </c>
      <c r="O46" s="125">
        <v>2014</v>
      </c>
      <c r="P46" s="123">
        <v>2015</v>
      </c>
      <c r="Q46" s="125">
        <v>2016</v>
      </c>
      <c r="R46" s="126">
        <v>2011</v>
      </c>
      <c r="S46" s="126">
        <v>2012</v>
      </c>
      <c r="T46" s="125">
        <v>2013</v>
      </c>
      <c r="U46" s="125">
        <v>2014</v>
      </c>
      <c r="V46" s="126">
        <v>2011</v>
      </c>
      <c r="W46" s="126">
        <v>2012</v>
      </c>
      <c r="X46" s="125">
        <v>2013</v>
      </c>
      <c r="Y46" s="125">
        <v>2017</v>
      </c>
      <c r="Z46" s="125">
        <v>2018</v>
      </c>
      <c r="AA46" s="127">
        <v>2019</v>
      </c>
      <c r="AB46" s="125">
        <v>2014</v>
      </c>
      <c r="AC46" s="21">
        <v>2015</v>
      </c>
      <c r="AD46" s="21">
        <v>2016</v>
      </c>
      <c r="AE46" s="90">
        <v>2011</v>
      </c>
      <c r="AF46" s="90">
        <v>2012</v>
      </c>
      <c r="AG46" s="90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90">
        <v>2012</v>
      </c>
      <c r="AQ46" s="90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90">
        <v>2013</v>
      </c>
      <c r="AW46" s="21">
        <v>2017</v>
      </c>
      <c r="AX46" s="21">
        <v>2018</v>
      </c>
      <c r="AY46" s="21">
        <v>2019</v>
      </c>
      <c r="AZ46" s="90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90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33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 t="shared" ref="X47:AD47" si="1">SUM(X48:X59)</f>
        <v>2432</v>
      </c>
      <c r="Y47" s="29">
        <f t="shared" si="1"/>
        <v>5182</v>
      </c>
      <c r="Z47" s="29">
        <f t="shared" si="1"/>
        <v>4726</v>
      </c>
      <c r="AA47" s="30">
        <f t="shared" si="1"/>
        <v>4794</v>
      </c>
      <c r="AB47" s="29">
        <f t="shared" si="1"/>
        <v>2773</v>
      </c>
      <c r="AC47" s="29">
        <f t="shared" si="1"/>
        <v>2151</v>
      </c>
      <c r="AD47" s="29">
        <f t="shared" si="1"/>
        <v>1998</v>
      </c>
      <c r="AE47" s="29">
        <f t="shared" si="0"/>
        <v>769</v>
      </c>
      <c r="AF47" s="29">
        <f t="shared" si="0"/>
        <v>3315</v>
      </c>
      <c r="AG47" s="29">
        <f t="shared" ref="AG47:AO47" si="2">SUM(AG48:AG59)</f>
        <v>4519</v>
      </c>
      <c r="AH47" s="29">
        <f t="shared" si="2"/>
        <v>1845</v>
      </c>
      <c r="AI47" s="29">
        <f t="shared" si="2"/>
        <v>1799</v>
      </c>
      <c r="AJ47" s="29">
        <f t="shared" si="2"/>
        <v>2485</v>
      </c>
      <c r="AK47" s="29">
        <f t="shared" si="2"/>
        <v>4924</v>
      </c>
      <c r="AL47" s="27">
        <f t="shared" si="2"/>
        <v>4265</v>
      </c>
      <c r="AM47" s="29">
        <f t="shared" si="2"/>
        <v>3963</v>
      </c>
      <c r="AN47" s="29">
        <f t="shared" si="2"/>
        <v>4305</v>
      </c>
      <c r="AO47" s="29">
        <f t="shared" si="2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>SUM(AU48:AU59)</f>
        <v>3870</v>
      </c>
      <c r="AV47" s="29">
        <f t="shared" si="0"/>
        <v>2906</v>
      </c>
      <c r="AW47" s="29">
        <f t="shared" si="0"/>
        <v>4198</v>
      </c>
      <c r="AX47" s="29">
        <f>SUM(AX48:AX59)</f>
        <v>4532</v>
      </c>
      <c r="AY47" s="29">
        <f>SUM(AY48:AY59)</f>
        <v>5159</v>
      </c>
      <c r="AZ47" s="29">
        <f t="shared" si="0"/>
        <v>2076</v>
      </c>
      <c r="BA47" s="27">
        <f t="shared" ref="BA47:BL47" si="3">SUM(BA48:BA59)</f>
        <v>1988</v>
      </c>
      <c r="BB47" s="29">
        <f t="shared" si="3"/>
        <v>1916</v>
      </c>
      <c r="BC47" s="29">
        <f t="shared" si="3"/>
        <v>1916</v>
      </c>
      <c r="BD47" s="29">
        <f t="shared" si="3"/>
        <v>1975</v>
      </c>
      <c r="BE47" s="29">
        <f t="shared" si="3"/>
        <v>2043</v>
      </c>
      <c r="BF47" s="29">
        <f t="shared" si="3"/>
        <v>826</v>
      </c>
      <c r="BG47" s="27">
        <f t="shared" si="3"/>
        <v>331</v>
      </c>
      <c r="BH47" s="29">
        <f t="shared" si="3"/>
        <v>269</v>
      </c>
      <c r="BI47" s="29">
        <f t="shared" si="3"/>
        <v>245</v>
      </c>
      <c r="BJ47" s="29">
        <f t="shared" si="3"/>
        <v>246</v>
      </c>
      <c r="BK47" s="30">
        <f t="shared" si="3"/>
        <v>241</v>
      </c>
      <c r="BL47" s="27">
        <f t="shared" si="3"/>
        <v>552</v>
      </c>
      <c r="BM47" s="29">
        <f t="shared" ref="BM47:BS47" si="4">SUM(BM48:BM59)</f>
        <v>1475</v>
      </c>
      <c r="BN47" s="29">
        <f t="shared" si="4"/>
        <v>1911</v>
      </c>
      <c r="BO47" s="29">
        <f t="shared" si="4"/>
        <v>1898</v>
      </c>
      <c r="BP47" s="29">
        <f t="shared" si="4"/>
        <v>1940</v>
      </c>
      <c r="BQ47" s="27">
        <f t="shared" si="4"/>
        <v>488</v>
      </c>
      <c r="BR47" s="31">
        <f t="shared" si="4"/>
        <v>1941</v>
      </c>
      <c r="BS47" s="31">
        <f t="shared" si="4"/>
        <v>2224</v>
      </c>
      <c r="BT47" s="9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9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9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9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9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9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9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9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9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9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9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9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9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</sheetPr>
  <dimension ref="A1:AM24"/>
  <sheetViews>
    <sheetView tabSelected="1" zoomScale="64" zoomScaleNormal="64" workbookViewId="0">
      <selection activeCell="AB33" sqref="AB33"/>
    </sheetView>
  </sheetViews>
  <sheetFormatPr defaultColWidth="9.140625" defaultRowHeight="15" x14ac:dyDescent="0.25"/>
  <cols>
    <col min="1" max="1" width="12" style="49" customWidth="1"/>
    <col min="2" max="3" width="9.42578125" style="49" customWidth="1"/>
    <col min="4" max="4" width="1.42578125" style="49" customWidth="1"/>
    <col min="5" max="6" width="9.42578125" style="49" customWidth="1"/>
    <col min="7" max="7" width="1.28515625" style="49" customWidth="1"/>
    <col min="8" max="9" width="9.42578125" style="49" customWidth="1"/>
    <col min="10" max="10" width="1.140625" style="49" customWidth="1"/>
    <col min="11" max="11" width="9.42578125" style="49" bestFit="1" customWidth="1"/>
    <col min="12" max="12" width="9.5703125" style="49" customWidth="1"/>
    <col min="13" max="13" width="1.140625" style="49" hidden="1" customWidth="1"/>
    <col min="14" max="15" width="9.28515625" style="49" hidden="1" customWidth="1"/>
    <col min="16" max="16" width="1.140625" style="49" customWidth="1"/>
    <col min="17" max="18" width="9.28515625" style="49" bestFit="1" customWidth="1"/>
    <col min="19" max="38" width="9.28515625" style="49" customWidth="1"/>
    <col min="39" max="39" width="12.28515625" style="49" customWidth="1"/>
    <col min="40" max="16384" width="9.140625" style="49"/>
  </cols>
  <sheetData>
    <row r="1" spans="1:39" ht="21" x14ac:dyDescent="0.55000000000000004">
      <c r="A1" s="178" t="s">
        <v>80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</row>
    <row r="2" spans="1:39" x14ac:dyDescent="0.25">
      <c r="A2" s="179" t="s">
        <v>81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</row>
    <row r="3" spans="1:39" x14ac:dyDescent="0.25">
      <c r="A3" s="180" t="s">
        <v>55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</row>
    <row r="4" spans="1:39" ht="14.25" customHeight="1" x14ac:dyDescent="0.25">
      <c r="A4" s="181" t="s">
        <v>8</v>
      </c>
      <c r="B4" s="175" t="s">
        <v>43</v>
      </c>
      <c r="C4" s="175"/>
      <c r="D4" s="129"/>
      <c r="E4" s="171" t="s">
        <v>44</v>
      </c>
      <c r="F4" s="172"/>
      <c r="G4" s="128"/>
      <c r="H4" s="175" t="s">
        <v>56</v>
      </c>
      <c r="I4" s="175"/>
      <c r="J4" s="129"/>
      <c r="K4" s="171" t="s">
        <v>45</v>
      </c>
      <c r="L4" s="172"/>
      <c r="M4" s="128"/>
      <c r="N4" s="175" t="s">
        <v>46</v>
      </c>
      <c r="O4" s="175"/>
      <c r="P4" s="129"/>
      <c r="Q4" s="171" t="s">
        <v>57</v>
      </c>
      <c r="R4" s="172"/>
      <c r="S4" s="173" t="s">
        <v>48</v>
      </c>
      <c r="T4" s="174"/>
      <c r="U4" s="171" t="s">
        <v>58</v>
      </c>
      <c r="V4" s="172"/>
      <c r="W4" s="173" t="s">
        <v>59</v>
      </c>
      <c r="X4" s="174"/>
      <c r="Y4" s="171" t="s">
        <v>78</v>
      </c>
      <c r="Z4" s="174"/>
      <c r="AA4" s="171" t="s">
        <v>73</v>
      </c>
      <c r="AB4" s="172"/>
      <c r="AC4" s="173" t="s">
        <v>74</v>
      </c>
      <c r="AD4" s="174"/>
      <c r="AE4" s="171" t="s">
        <v>75</v>
      </c>
      <c r="AF4" s="172"/>
      <c r="AG4" s="173" t="s">
        <v>76</v>
      </c>
      <c r="AH4" s="174"/>
      <c r="AI4" s="171" t="s">
        <v>77</v>
      </c>
      <c r="AJ4" s="175"/>
      <c r="AK4" s="171" t="s">
        <v>79</v>
      </c>
      <c r="AL4" s="175"/>
      <c r="AM4" s="176" t="s">
        <v>9</v>
      </c>
    </row>
    <row r="5" spans="1:39" ht="13.5" customHeight="1" x14ac:dyDescent="0.25">
      <c r="A5" s="182"/>
      <c r="B5" s="50" t="s">
        <v>2</v>
      </c>
      <c r="C5" s="50" t="s">
        <v>3</v>
      </c>
      <c r="D5" s="51"/>
      <c r="E5" s="52" t="s">
        <v>2</v>
      </c>
      <c r="F5" s="53" t="s">
        <v>3</v>
      </c>
      <c r="G5" s="54"/>
      <c r="H5" s="50" t="s">
        <v>2</v>
      </c>
      <c r="I5" s="50" t="s">
        <v>3</v>
      </c>
      <c r="J5" s="55"/>
      <c r="K5" s="52" t="s">
        <v>2</v>
      </c>
      <c r="L5" s="53" t="s">
        <v>3</v>
      </c>
      <c r="M5" s="56"/>
      <c r="N5" s="50" t="s">
        <v>2</v>
      </c>
      <c r="O5" s="50" t="s">
        <v>3</v>
      </c>
      <c r="P5" s="55"/>
      <c r="Q5" s="52" t="s">
        <v>2</v>
      </c>
      <c r="R5" s="53" t="s">
        <v>3</v>
      </c>
      <c r="S5" s="54" t="s">
        <v>2</v>
      </c>
      <c r="T5" s="51" t="s">
        <v>3</v>
      </c>
      <c r="U5" s="52" t="s">
        <v>2</v>
      </c>
      <c r="V5" s="53" t="s">
        <v>3</v>
      </c>
      <c r="W5" s="54" t="s">
        <v>2</v>
      </c>
      <c r="X5" s="51" t="s">
        <v>3</v>
      </c>
      <c r="Y5" s="52" t="s">
        <v>2</v>
      </c>
      <c r="Z5" s="51" t="s">
        <v>3</v>
      </c>
      <c r="AA5" s="52" t="s">
        <v>2</v>
      </c>
      <c r="AB5" s="53" t="s">
        <v>3</v>
      </c>
      <c r="AC5" s="54" t="s">
        <v>2</v>
      </c>
      <c r="AD5" s="51" t="s">
        <v>3</v>
      </c>
      <c r="AE5" s="52" t="s">
        <v>2</v>
      </c>
      <c r="AF5" s="53" t="s">
        <v>3</v>
      </c>
      <c r="AG5" s="54" t="s">
        <v>2</v>
      </c>
      <c r="AH5" s="51" t="s">
        <v>3</v>
      </c>
      <c r="AI5" s="52" t="s">
        <v>2</v>
      </c>
      <c r="AJ5" s="50" t="s">
        <v>3</v>
      </c>
      <c r="AK5" s="52" t="s">
        <v>2</v>
      </c>
      <c r="AL5" s="50" t="s">
        <v>3</v>
      </c>
      <c r="AM5" s="177"/>
    </row>
    <row r="6" spans="1:39" ht="17.25" x14ac:dyDescent="0.4">
      <c r="A6" s="57" t="s">
        <v>4</v>
      </c>
      <c r="B6" s="58">
        <f>SUM(B7:B18)</f>
        <v>21673</v>
      </c>
      <c r="C6" s="58">
        <f>SUM(C7:C18)</f>
        <v>82664</v>
      </c>
      <c r="D6" s="59"/>
      <c r="E6" s="60">
        <f>SUM(E7:E18)</f>
        <v>53329</v>
      </c>
      <c r="F6" s="61">
        <f>SUM(F7:F18)</f>
        <v>23126</v>
      </c>
      <c r="G6" s="62"/>
      <c r="H6" s="58">
        <f>SUM(H7:H18)</f>
        <v>33525</v>
      </c>
      <c r="I6" s="58">
        <f>SUM(I7:I18)</f>
        <v>2701.7</v>
      </c>
      <c r="J6" s="59"/>
      <c r="K6" s="60">
        <f>SUM(K7:K18)</f>
        <v>38302</v>
      </c>
      <c r="L6" s="61">
        <f>SUM(L7:L18)</f>
        <v>5097</v>
      </c>
      <c r="M6" s="62"/>
      <c r="N6" s="58">
        <f>SUM(N7:N18)</f>
        <v>0</v>
      </c>
      <c r="O6" s="58">
        <f>SUM(O7:O18)</f>
        <v>0</v>
      </c>
      <c r="P6" s="59"/>
      <c r="Q6" s="60">
        <f t="shared" ref="Q6:AL6" si="0">SUM(Q7:Q18)</f>
        <v>2233</v>
      </c>
      <c r="R6" s="61">
        <f t="shared" si="0"/>
        <v>607</v>
      </c>
      <c r="S6" s="62">
        <f t="shared" si="0"/>
        <v>46669.56</v>
      </c>
      <c r="T6" s="59">
        <f t="shared" si="0"/>
        <v>12152.4</v>
      </c>
      <c r="U6" s="60">
        <f t="shared" si="0"/>
        <v>4886</v>
      </c>
      <c r="V6" s="61">
        <f t="shared" si="0"/>
        <v>3581</v>
      </c>
      <c r="W6" s="62">
        <f t="shared" si="0"/>
        <v>6737</v>
      </c>
      <c r="X6" s="59">
        <f t="shared" si="0"/>
        <v>722</v>
      </c>
      <c r="Y6" s="60">
        <f t="shared" si="0"/>
        <v>2765</v>
      </c>
      <c r="Z6" s="59">
        <f t="shared" si="0"/>
        <v>273</v>
      </c>
      <c r="AA6" s="60">
        <f t="shared" si="0"/>
        <v>5673</v>
      </c>
      <c r="AB6" s="61">
        <f t="shared" si="0"/>
        <v>6766</v>
      </c>
      <c r="AC6" s="62">
        <f t="shared" si="0"/>
        <v>2373</v>
      </c>
      <c r="AD6" s="59">
        <f t="shared" si="0"/>
        <v>353.2</v>
      </c>
      <c r="AE6" s="60">
        <f t="shared" si="0"/>
        <v>3887</v>
      </c>
      <c r="AF6" s="61">
        <f t="shared" si="0"/>
        <v>183</v>
      </c>
      <c r="AG6" s="62">
        <f t="shared" si="0"/>
        <v>23908</v>
      </c>
      <c r="AH6" s="59">
        <f t="shared" si="0"/>
        <v>2806</v>
      </c>
      <c r="AI6" s="60">
        <f t="shared" si="0"/>
        <v>3273.5</v>
      </c>
      <c r="AJ6" s="58">
        <f t="shared" si="0"/>
        <v>574</v>
      </c>
      <c r="AK6" s="60">
        <f t="shared" si="0"/>
        <v>1125.55</v>
      </c>
      <c r="AL6" s="58">
        <f t="shared" si="0"/>
        <v>376.3</v>
      </c>
      <c r="AM6" s="91" t="s">
        <v>5</v>
      </c>
    </row>
    <row r="7" spans="1:39" ht="15.75" x14ac:dyDescent="0.25">
      <c r="A7" s="84" t="s">
        <v>10</v>
      </c>
      <c r="B7" s="65" t="s">
        <v>82</v>
      </c>
      <c r="C7" s="66" t="s">
        <v>83</v>
      </c>
      <c r="D7" s="64"/>
      <c r="E7" s="65">
        <v>5922</v>
      </c>
      <c r="F7" s="66">
        <v>989</v>
      </c>
      <c r="G7" s="67"/>
      <c r="H7" s="63">
        <v>2227</v>
      </c>
      <c r="I7" s="63">
        <v>475.3</v>
      </c>
      <c r="J7" s="64"/>
      <c r="K7" s="65">
        <v>3786</v>
      </c>
      <c r="L7" s="66">
        <v>112</v>
      </c>
      <c r="M7" s="67"/>
      <c r="N7" s="63"/>
      <c r="O7" s="63"/>
      <c r="P7" s="64"/>
      <c r="Q7" s="65">
        <v>80</v>
      </c>
      <c r="R7" s="66">
        <v>61</v>
      </c>
      <c r="S7" s="67">
        <v>4904</v>
      </c>
      <c r="T7" s="64">
        <v>1305</v>
      </c>
      <c r="U7" s="65">
        <v>226</v>
      </c>
      <c r="V7" s="66">
        <v>186</v>
      </c>
      <c r="W7" s="67">
        <v>655</v>
      </c>
      <c r="X7" s="64">
        <v>42</v>
      </c>
      <c r="Y7" s="65">
        <v>194</v>
      </c>
      <c r="Z7" s="64">
        <v>47</v>
      </c>
      <c r="AA7" s="65">
        <v>476</v>
      </c>
      <c r="AB7" s="66">
        <v>323</v>
      </c>
      <c r="AC7" s="67">
        <v>116</v>
      </c>
      <c r="AD7" s="64">
        <v>0</v>
      </c>
      <c r="AE7" s="65">
        <v>312</v>
      </c>
      <c r="AF7" s="66">
        <v>15</v>
      </c>
      <c r="AG7" s="67">
        <v>1187</v>
      </c>
      <c r="AH7" s="64">
        <v>207</v>
      </c>
      <c r="AI7" s="65">
        <v>50</v>
      </c>
      <c r="AJ7" s="63">
        <v>13</v>
      </c>
      <c r="AK7" s="65">
        <v>31</v>
      </c>
      <c r="AL7" s="63">
        <v>27.2</v>
      </c>
      <c r="AM7" s="92" t="s">
        <v>11</v>
      </c>
    </row>
    <row r="8" spans="1:39" ht="15.75" x14ac:dyDescent="0.25">
      <c r="A8" s="84" t="s">
        <v>12</v>
      </c>
      <c r="B8" s="65" t="s">
        <v>84</v>
      </c>
      <c r="C8" s="66" t="s">
        <v>85</v>
      </c>
      <c r="D8" s="64"/>
      <c r="E8" s="65">
        <v>4727</v>
      </c>
      <c r="F8" s="66">
        <v>1865</v>
      </c>
      <c r="G8" s="67"/>
      <c r="H8" s="63">
        <v>3348</v>
      </c>
      <c r="I8" s="63">
        <v>271.5</v>
      </c>
      <c r="J8" s="64"/>
      <c r="K8" s="65">
        <v>4840</v>
      </c>
      <c r="L8" s="66">
        <v>1147</v>
      </c>
      <c r="M8" s="67"/>
      <c r="N8" s="63"/>
      <c r="O8" s="63"/>
      <c r="P8" s="64"/>
      <c r="Q8" s="65">
        <v>101</v>
      </c>
      <c r="R8" s="66">
        <v>91</v>
      </c>
      <c r="S8" s="67">
        <v>7409</v>
      </c>
      <c r="T8" s="64">
        <v>1778.4</v>
      </c>
      <c r="U8" s="65">
        <v>472</v>
      </c>
      <c r="V8" s="66">
        <v>37</v>
      </c>
      <c r="W8" s="67">
        <v>800</v>
      </c>
      <c r="X8" s="64">
        <v>110</v>
      </c>
      <c r="Y8" s="65">
        <v>81</v>
      </c>
      <c r="Z8" s="64">
        <v>3</v>
      </c>
      <c r="AA8" s="65">
        <v>410</v>
      </c>
      <c r="AB8" s="66">
        <v>703</v>
      </c>
      <c r="AC8" s="67">
        <v>0</v>
      </c>
      <c r="AD8" s="64">
        <v>36</v>
      </c>
      <c r="AE8" s="65">
        <v>114</v>
      </c>
      <c r="AF8" s="66">
        <v>8</v>
      </c>
      <c r="AG8" s="67">
        <v>1632</v>
      </c>
      <c r="AH8" s="64">
        <v>911</v>
      </c>
      <c r="AI8" s="65">
        <v>136</v>
      </c>
      <c r="AJ8" s="63">
        <v>96</v>
      </c>
      <c r="AK8" s="65">
        <v>30</v>
      </c>
      <c r="AL8" s="63">
        <v>64.5</v>
      </c>
      <c r="AM8" s="92" t="s">
        <v>13</v>
      </c>
    </row>
    <row r="9" spans="1:39" ht="15.75" x14ac:dyDescent="0.25">
      <c r="A9" s="84" t="s">
        <v>14</v>
      </c>
      <c r="B9" s="65" t="s">
        <v>86</v>
      </c>
      <c r="C9" s="66" t="s">
        <v>87</v>
      </c>
      <c r="D9" s="64"/>
      <c r="E9" s="65">
        <v>7269</v>
      </c>
      <c r="F9" s="66">
        <v>1610</v>
      </c>
      <c r="G9" s="67"/>
      <c r="H9" s="63">
        <v>3791</v>
      </c>
      <c r="I9" s="63">
        <v>334</v>
      </c>
      <c r="J9" s="64"/>
      <c r="K9" s="65">
        <v>4643</v>
      </c>
      <c r="L9" s="66">
        <v>371</v>
      </c>
      <c r="M9" s="67"/>
      <c r="N9" s="63"/>
      <c r="O9" s="63"/>
      <c r="P9" s="64"/>
      <c r="Q9" s="65">
        <v>305</v>
      </c>
      <c r="R9" s="66">
        <v>42</v>
      </c>
      <c r="S9" s="67">
        <v>9769</v>
      </c>
      <c r="T9" s="64">
        <v>1483</v>
      </c>
      <c r="U9" s="65">
        <v>285</v>
      </c>
      <c r="V9" s="66">
        <v>13</v>
      </c>
      <c r="W9" s="67">
        <v>409</v>
      </c>
      <c r="X9" s="64">
        <v>21</v>
      </c>
      <c r="Y9" s="65">
        <v>144</v>
      </c>
      <c r="Z9" s="64">
        <v>13</v>
      </c>
      <c r="AA9" s="65">
        <v>583</v>
      </c>
      <c r="AB9" s="66">
        <v>797</v>
      </c>
      <c r="AC9" s="67">
        <v>158</v>
      </c>
      <c r="AD9" s="64">
        <v>0</v>
      </c>
      <c r="AE9" s="65">
        <v>369</v>
      </c>
      <c r="AF9" s="66">
        <v>4</v>
      </c>
      <c r="AG9" s="67">
        <v>1433</v>
      </c>
      <c r="AH9" s="64">
        <v>93</v>
      </c>
      <c r="AI9" s="65">
        <v>334</v>
      </c>
      <c r="AJ9" s="63">
        <v>193</v>
      </c>
      <c r="AK9" s="65">
        <v>351</v>
      </c>
      <c r="AL9" s="63">
        <v>20</v>
      </c>
      <c r="AM9" s="92" t="s">
        <v>15</v>
      </c>
    </row>
    <row r="10" spans="1:39" ht="15.75" x14ac:dyDescent="0.25">
      <c r="A10" s="84" t="s">
        <v>16</v>
      </c>
      <c r="B10" s="65" t="s">
        <v>88</v>
      </c>
      <c r="C10" s="66" t="s">
        <v>89</v>
      </c>
      <c r="D10" s="64"/>
      <c r="E10" s="65">
        <v>6751</v>
      </c>
      <c r="F10" s="66">
        <v>2712</v>
      </c>
      <c r="G10" s="67"/>
      <c r="H10" s="63">
        <v>3085</v>
      </c>
      <c r="I10" s="63">
        <v>213.5</v>
      </c>
      <c r="J10" s="64"/>
      <c r="K10" s="65">
        <v>4553</v>
      </c>
      <c r="L10" s="66">
        <v>241</v>
      </c>
      <c r="M10" s="67"/>
      <c r="N10" s="63"/>
      <c r="O10" s="63"/>
      <c r="P10" s="64"/>
      <c r="Q10" s="65">
        <v>0</v>
      </c>
      <c r="R10" s="66">
        <v>0</v>
      </c>
      <c r="S10" s="67">
        <v>4810</v>
      </c>
      <c r="T10" s="64">
        <v>943</v>
      </c>
      <c r="U10" s="65">
        <v>554</v>
      </c>
      <c r="V10" s="66">
        <v>5</v>
      </c>
      <c r="W10" s="67">
        <v>587</v>
      </c>
      <c r="X10" s="64">
        <v>153</v>
      </c>
      <c r="Y10" s="65">
        <v>9</v>
      </c>
      <c r="Z10" s="64">
        <v>35</v>
      </c>
      <c r="AA10" s="65">
        <v>261</v>
      </c>
      <c r="AB10" s="66">
        <v>371</v>
      </c>
      <c r="AC10" s="67">
        <v>80</v>
      </c>
      <c r="AD10" s="64">
        <v>317.2</v>
      </c>
      <c r="AE10" s="65">
        <v>404</v>
      </c>
      <c r="AF10" s="66">
        <v>14</v>
      </c>
      <c r="AG10" s="67">
        <v>3078</v>
      </c>
      <c r="AH10" s="64">
        <v>115</v>
      </c>
      <c r="AI10" s="65">
        <v>452</v>
      </c>
      <c r="AJ10" s="63">
        <v>0</v>
      </c>
      <c r="AK10" s="65">
        <v>243</v>
      </c>
      <c r="AL10" s="63">
        <v>48</v>
      </c>
      <c r="AM10" s="92" t="s">
        <v>17</v>
      </c>
    </row>
    <row r="11" spans="1:39" ht="15.75" x14ac:dyDescent="0.25">
      <c r="A11" s="84" t="s">
        <v>18</v>
      </c>
      <c r="B11" s="65" t="s">
        <v>90</v>
      </c>
      <c r="C11" s="66" t="s">
        <v>91</v>
      </c>
      <c r="D11" s="64"/>
      <c r="E11" s="65">
        <v>3650</v>
      </c>
      <c r="F11" s="66">
        <v>2322</v>
      </c>
      <c r="G11" s="67"/>
      <c r="H11" s="63">
        <v>1450</v>
      </c>
      <c r="I11" s="63">
        <v>0</v>
      </c>
      <c r="J11" s="64"/>
      <c r="K11" s="65">
        <v>3775</v>
      </c>
      <c r="L11" s="66">
        <v>716</v>
      </c>
      <c r="M11" s="67"/>
      <c r="N11" s="63"/>
      <c r="O11" s="63"/>
      <c r="P11" s="64"/>
      <c r="Q11" s="65">
        <v>49</v>
      </c>
      <c r="R11" s="66">
        <v>36</v>
      </c>
      <c r="S11" s="67">
        <v>2924.56</v>
      </c>
      <c r="T11" s="64">
        <v>1066</v>
      </c>
      <c r="U11" s="65">
        <v>1007</v>
      </c>
      <c r="V11" s="66">
        <v>1003</v>
      </c>
      <c r="W11" s="67">
        <v>327</v>
      </c>
      <c r="X11" s="64">
        <v>78</v>
      </c>
      <c r="Y11" s="65">
        <v>150</v>
      </c>
      <c r="Z11" s="64">
        <v>66</v>
      </c>
      <c r="AA11" s="65">
        <v>678</v>
      </c>
      <c r="AB11" s="66">
        <v>405</v>
      </c>
      <c r="AC11" s="67">
        <v>286</v>
      </c>
      <c r="AD11" s="64">
        <v>0</v>
      </c>
      <c r="AE11" s="65">
        <v>395</v>
      </c>
      <c r="AF11" s="66">
        <v>0</v>
      </c>
      <c r="AG11" s="67">
        <v>3359</v>
      </c>
      <c r="AH11" s="64">
        <v>298</v>
      </c>
      <c r="AI11" s="65">
        <v>934.5</v>
      </c>
      <c r="AJ11" s="63">
        <v>33</v>
      </c>
      <c r="AK11" s="65">
        <v>131</v>
      </c>
      <c r="AL11" s="63">
        <v>143</v>
      </c>
      <c r="AM11" s="92" t="s">
        <v>19</v>
      </c>
    </row>
    <row r="12" spans="1:39" ht="15.75" x14ac:dyDescent="0.25">
      <c r="A12" s="84" t="s">
        <v>20</v>
      </c>
      <c r="B12" s="65">
        <v>2623</v>
      </c>
      <c r="C12" s="66">
        <v>6506</v>
      </c>
      <c r="D12" s="64"/>
      <c r="E12" s="65">
        <v>4002</v>
      </c>
      <c r="F12" s="66">
        <v>1928</v>
      </c>
      <c r="G12" s="67"/>
      <c r="H12" s="63">
        <v>2412</v>
      </c>
      <c r="I12" s="63">
        <v>90</v>
      </c>
      <c r="J12" s="64"/>
      <c r="K12" s="65">
        <v>2308</v>
      </c>
      <c r="L12" s="66">
        <v>238</v>
      </c>
      <c r="M12" s="67"/>
      <c r="N12" s="63"/>
      <c r="O12" s="63"/>
      <c r="P12" s="64"/>
      <c r="Q12" s="65">
        <v>55</v>
      </c>
      <c r="R12" s="66">
        <v>36</v>
      </c>
      <c r="S12" s="67">
        <v>2648</v>
      </c>
      <c r="T12" s="64">
        <v>1191</v>
      </c>
      <c r="U12" s="65">
        <v>473</v>
      </c>
      <c r="V12" s="66">
        <v>225</v>
      </c>
      <c r="W12" s="67">
        <v>520</v>
      </c>
      <c r="X12" s="64">
        <v>72</v>
      </c>
      <c r="Y12" s="65">
        <v>256</v>
      </c>
      <c r="Z12" s="64">
        <v>8</v>
      </c>
      <c r="AA12" s="65">
        <v>554</v>
      </c>
      <c r="AB12" s="66">
        <v>247</v>
      </c>
      <c r="AC12" s="67">
        <v>135</v>
      </c>
      <c r="AD12" s="64">
        <v>0</v>
      </c>
      <c r="AE12" s="65">
        <v>162</v>
      </c>
      <c r="AF12" s="66">
        <v>5</v>
      </c>
      <c r="AG12" s="67">
        <v>3550</v>
      </c>
      <c r="AH12" s="64">
        <v>254</v>
      </c>
      <c r="AI12" s="65">
        <v>231</v>
      </c>
      <c r="AJ12" s="63">
        <v>0</v>
      </c>
      <c r="AK12" s="65">
        <v>66.5</v>
      </c>
      <c r="AL12" s="63">
        <v>20</v>
      </c>
      <c r="AM12" s="92" t="s">
        <v>21</v>
      </c>
    </row>
    <row r="13" spans="1:39" ht="15.75" x14ac:dyDescent="0.25">
      <c r="A13" s="84" t="s">
        <v>22</v>
      </c>
      <c r="B13" s="65">
        <v>3730</v>
      </c>
      <c r="C13" s="66">
        <v>4838</v>
      </c>
      <c r="D13" s="64"/>
      <c r="E13" s="65">
        <v>2846</v>
      </c>
      <c r="F13" s="66">
        <v>2792</v>
      </c>
      <c r="G13" s="67"/>
      <c r="H13" s="63">
        <v>2809</v>
      </c>
      <c r="I13" s="63">
        <v>202</v>
      </c>
      <c r="J13" s="64"/>
      <c r="K13" s="65">
        <v>2834</v>
      </c>
      <c r="L13" s="66">
        <v>115</v>
      </c>
      <c r="M13" s="67"/>
      <c r="N13" s="63"/>
      <c r="O13" s="63"/>
      <c r="P13" s="64"/>
      <c r="Q13" s="65">
        <v>604</v>
      </c>
      <c r="R13" s="66">
        <v>11</v>
      </c>
      <c r="S13" s="67">
        <v>3136</v>
      </c>
      <c r="T13" s="64">
        <v>1480</v>
      </c>
      <c r="U13" s="65">
        <v>517</v>
      </c>
      <c r="V13" s="66">
        <v>21</v>
      </c>
      <c r="W13" s="67">
        <v>1062</v>
      </c>
      <c r="X13" s="64">
        <v>52</v>
      </c>
      <c r="Y13" s="65">
        <v>225</v>
      </c>
      <c r="Z13" s="64">
        <v>33</v>
      </c>
      <c r="AA13" s="65">
        <v>422</v>
      </c>
      <c r="AB13" s="66">
        <v>492</v>
      </c>
      <c r="AC13" s="67">
        <v>163</v>
      </c>
      <c r="AD13" s="64">
        <v>0</v>
      </c>
      <c r="AE13" s="65">
        <v>348</v>
      </c>
      <c r="AF13" s="66">
        <v>3</v>
      </c>
      <c r="AG13" s="67">
        <v>1828</v>
      </c>
      <c r="AH13" s="64">
        <v>145</v>
      </c>
      <c r="AI13" s="65">
        <v>128</v>
      </c>
      <c r="AJ13" s="63">
        <v>163</v>
      </c>
      <c r="AK13" s="65">
        <v>29.5</v>
      </c>
      <c r="AL13" s="63">
        <v>20.6</v>
      </c>
      <c r="AM13" s="92" t="s">
        <v>23</v>
      </c>
    </row>
    <row r="14" spans="1:39" ht="15.75" x14ac:dyDescent="0.25">
      <c r="A14" s="84" t="s">
        <v>24</v>
      </c>
      <c r="B14" s="63">
        <v>2381</v>
      </c>
      <c r="C14" s="63">
        <v>13045</v>
      </c>
      <c r="D14" s="64"/>
      <c r="E14" s="65">
        <v>4147</v>
      </c>
      <c r="F14" s="66">
        <v>1880</v>
      </c>
      <c r="G14" s="67"/>
      <c r="H14" s="63">
        <v>3598</v>
      </c>
      <c r="I14" s="63">
        <v>92.5</v>
      </c>
      <c r="J14" s="64"/>
      <c r="K14" s="65">
        <v>2454</v>
      </c>
      <c r="L14" s="66">
        <v>546</v>
      </c>
      <c r="M14" s="67"/>
      <c r="N14" s="63"/>
      <c r="O14" s="63"/>
      <c r="P14" s="64"/>
      <c r="Q14" s="65">
        <v>149</v>
      </c>
      <c r="R14" s="66">
        <v>16</v>
      </c>
      <c r="S14" s="67">
        <v>3186</v>
      </c>
      <c r="T14" s="64">
        <v>658</v>
      </c>
      <c r="U14" s="65">
        <v>217</v>
      </c>
      <c r="V14" s="66">
        <v>731</v>
      </c>
      <c r="W14" s="67">
        <v>679</v>
      </c>
      <c r="X14" s="64">
        <v>17</v>
      </c>
      <c r="Y14" s="65">
        <v>1041</v>
      </c>
      <c r="Z14" s="64">
        <v>23</v>
      </c>
      <c r="AA14" s="65">
        <v>259</v>
      </c>
      <c r="AB14" s="66">
        <v>1054</v>
      </c>
      <c r="AC14" s="67">
        <v>145</v>
      </c>
      <c r="AD14" s="64">
        <v>0</v>
      </c>
      <c r="AE14" s="65">
        <v>101</v>
      </c>
      <c r="AF14" s="66">
        <v>22</v>
      </c>
      <c r="AG14" s="67">
        <v>2232</v>
      </c>
      <c r="AH14" s="64">
        <v>104</v>
      </c>
      <c r="AI14" s="65">
        <v>85</v>
      </c>
      <c r="AJ14" s="63">
        <v>24</v>
      </c>
      <c r="AK14" s="65">
        <v>6</v>
      </c>
      <c r="AL14" s="63">
        <v>0</v>
      </c>
      <c r="AM14" s="92" t="s">
        <v>25</v>
      </c>
    </row>
    <row r="15" spans="1:39" ht="15.75" x14ac:dyDescent="0.25">
      <c r="A15" s="84" t="s">
        <v>26</v>
      </c>
      <c r="B15" s="63">
        <v>3468</v>
      </c>
      <c r="C15" s="63">
        <v>13738</v>
      </c>
      <c r="D15" s="64"/>
      <c r="E15" s="65">
        <v>4283</v>
      </c>
      <c r="F15" s="66">
        <v>2141</v>
      </c>
      <c r="G15" s="67"/>
      <c r="H15" s="63">
        <v>2142</v>
      </c>
      <c r="I15" s="63">
        <v>253.4</v>
      </c>
      <c r="J15" s="64"/>
      <c r="K15" s="65">
        <v>1735</v>
      </c>
      <c r="L15" s="66">
        <v>315</v>
      </c>
      <c r="M15" s="67"/>
      <c r="N15" s="63"/>
      <c r="O15" s="63"/>
      <c r="P15" s="64"/>
      <c r="Q15" s="65">
        <v>154</v>
      </c>
      <c r="R15" s="66">
        <v>42</v>
      </c>
      <c r="S15" s="67">
        <v>2326</v>
      </c>
      <c r="T15" s="64">
        <v>1165</v>
      </c>
      <c r="U15" s="65">
        <v>312</v>
      </c>
      <c r="V15" s="66">
        <v>6</v>
      </c>
      <c r="W15" s="67">
        <v>686</v>
      </c>
      <c r="X15" s="64">
        <v>50</v>
      </c>
      <c r="Y15" s="65">
        <v>419</v>
      </c>
      <c r="Z15" s="64">
        <v>11</v>
      </c>
      <c r="AA15" s="65">
        <v>402</v>
      </c>
      <c r="AB15" s="66">
        <v>825</v>
      </c>
      <c r="AC15" s="67">
        <v>67</v>
      </c>
      <c r="AD15" s="64">
        <v>0</v>
      </c>
      <c r="AE15" s="65">
        <v>496</v>
      </c>
      <c r="AF15" s="66">
        <v>6</v>
      </c>
      <c r="AG15" s="67">
        <v>2056</v>
      </c>
      <c r="AH15" s="64">
        <v>72</v>
      </c>
      <c r="AI15" s="65">
        <v>261</v>
      </c>
      <c r="AJ15" s="63">
        <v>0</v>
      </c>
      <c r="AK15" s="65">
        <v>52</v>
      </c>
      <c r="AL15" s="63">
        <v>0</v>
      </c>
      <c r="AM15" s="92" t="s">
        <v>27</v>
      </c>
    </row>
    <row r="16" spans="1:39" ht="15.75" x14ac:dyDescent="0.25">
      <c r="A16" s="84" t="s">
        <v>28</v>
      </c>
      <c r="B16" s="63">
        <v>2864</v>
      </c>
      <c r="C16" s="63">
        <v>17241</v>
      </c>
      <c r="D16" s="64"/>
      <c r="E16" s="65">
        <v>4127</v>
      </c>
      <c r="F16" s="66">
        <v>2122</v>
      </c>
      <c r="G16" s="67"/>
      <c r="H16" s="63">
        <v>2167</v>
      </c>
      <c r="I16" s="63">
        <v>271</v>
      </c>
      <c r="J16" s="64"/>
      <c r="K16" s="65">
        <v>2032</v>
      </c>
      <c r="L16" s="66">
        <v>263</v>
      </c>
      <c r="M16" s="67"/>
      <c r="N16" s="63"/>
      <c r="O16" s="63"/>
      <c r="P16" s="64"/>
      <c r="Q16" s="65">
        <v>481</v>
      </c>
      <c r="R16" s="66">
        <v>14</v>
      </c>
      <c r="S16" s="67">
        <v>702</v>
      </c>
      <c r="T16" s="64">
        <v>35</v>
      </c>
      <c r="U16" s="65">
        <v>694</v>
      </c>
      <c r="V16" s="66">
        <v>861</v>
      </c>
      <c r="W16" s="67">
        <v>418</v>
      </c>
      <c r="X16" s="64">
        <v>43</v>
      </c>
      <c r="Y16" s="65">
        <v>159</v>
      </c>
      <c r="Z16" s="64">
        <v>14</v>
      </c>
      <c r="AA16" s="65">
        <v>227</v>
      </c>
      <c r="AB16" s="66">
        <v>518</v>
      </c>
      <c r="AC16" s="67">
        <v>711</v>
      </c>
      <c r="AD16" s="64">
        <v>0</v>
      </c>
      <c r="AE16" s="65">
        <v>342</v>
      </c>
      <c r="AF16" s="66">
        <v>0</v>
      </c>
      <c r="AG16" s="67">
        <v>1186</v>
      </c>
      <c r="AH16" s="64">
        <v>188</v>
      </c>
      <c r="AI16" s="65">
        <v>170</v>
      </c>
      <c r="AJ16" s="63">
        <v>0</v>
      </c>
      <c r="AK16" s="65">
        <v>16</v>
      </c>
      <c r="AL16" s="63">
        <v>0</v>
      </c>
      <c r="AM16" s="92" t="s">
        <v>29</v>
      </c>
    </row>
    <row r="17" spans="1:39" ht="15.75" x14ac:dyDescent="0.25">
      <c r="A17" s="84" t="s">
        <v>30</v>
      </c>
      <c r="B17" s="63">
        <v>3465</v>
      </c>
      <c r="C17" s="63">
        <v>11331</v>
      </c>
      <c r="D17" s="64"/>
      <c r="E17" s="65">
        <v>2847</v>
      </c>
      <c r="F17" s="66">
        <v>1586</v>
      </c>
      <c r="G17" s="67"/>
      <c r="H17" s="63">
        <v>2716</v>
      </c>
      <c r="I17" s="63">
        <v>264.89999999999998</v>
      </c>
      <c r="J17" s="64"/>
      <c r="K17" s="65">
        <v>2438</v>
      </c>
      <c r="L17" s="66">
        <v>429</v>
      </c>
      <c r="M17" s="67"/>
      <c r="N17" s="63"/>
      <c r="O17" s="63"/>
      <c r="P17" s="64"/>
      <c r="Q17" s="65">
        <v>132</v>
      </c>
      <c r="R17" s="66">
        <v>182</v>
      </c>
      <c r="S17" s="67">
        <v>2316</v>
      </c>
      <c r="T17" s="64">
        <v>288</v>
      </c>
      <c r="U17" s="65">
        <v>18</v>
      </c>
      <c r="V17" s="66">
        <v>258</v>
      </c>
      <c r="W17" s="67">
        <v>457</v>
      </c>
      <c r="X17" s="64">
        <v>42</v>
      </c>
      <c r="Y17" s="65">
        <v>46</v>
      </c>
      <c r="Z17" s="64">
        <v>0</v>
      </c>
      <c r="AA17" s="65">
        <v>246</v>
      </c>
      <c r="AB17" s="66">
        <v>476</v>
      </c>
      <c r="AC17" s="67">
        <v>138</v>
      </c>
      <c r="AD17" s="64">
        <v>0</v>
      </c>
      <c r="AE17" s="65">
        <v>512</v>
      </c>
      <c r="AF17" s="66">
        <v>41</v>
      </c>
      <c r="AG17" s="67">
        <v>1052</v>
      </c>
      <c r="AH17" s="64">
        <v>329</v>
      </c>
      <c r="AI17" s="65">
        <v>17</v>
      </c>
      <c r="AJ17" s="63">
        <v>0</v>
      </c>
      <c r="AK17" s="65">
        <v>93.55</v>
      </c>
      <c r="AL17" s="63">
        <v>23</v>
      </c>
      <c r="AM17" s="92" t="s">
        <v>31</v>
      </c>
    </row>
    <row r="18" spans="1:39" ht="15.75" x14ac:dyDescent="0.25">
      <c r="A18" s="85" t="s">
        <v>32</v>
      </c>
      <c r="B18" s="68">
        <v>3142</v>
      </c>
      <c r="C18" s="68">
        <v>15965</v>
      </c>
      <c r="D18" s="69"/>
      <c r="E18" s="70">
        <v>2758</v>
      </c>
      <c r="F18" s="71">
        <v>1179</v>
      </c>
      <c r="G18" s="72"/>
      <c r="H18" s="68">
        <v>3780</v>
      </c>
      <c r="I18" s="68">
        <v>233.6</v>
      </c>
      <c r="J18" s="69"/>
      <c r="K18" s="70">
        <v>2904</v>
      </c>
      <c r="L18" s="71">
        <v>604</v>
      </c>
      <c r="M18" s="72"/>
      <c r="N18" s="68"/>
      <c r="O18" s="68"/>
      <c r="P18" s="69"/>
      <c r="Q18" s="70">
        <v>123</v>
      </c>
      <c r="R18" s="71">
        <v>76</v>
      </c>
      <c r="S18" s="72">
        <v>2539</v>
      </c>
      <c r="T18" s="69">
        <v>760</v>
      </c>
      <c r="U18" s="70">
        <v>111</v>
      </c>
      <c r="V18" s="71">
        <v>235</v>
      </c>
      <c r="W18" s="72">
        <v>137</v>
      </c>
      <c r="X18" s="69">
        <v>42</v>
      </c>
      <c r="Y18" s="70">
        <v>41</v>
      </c>
      <c r="Z18" s="69">
        <v>20</v>
      </c>
      <c r="AA18" s="70">
        <v>1155</v>
      </c>
      <c r="AB18" s="71">
        <v>555</v>
      </c>
      <c r="AC18" s="72">
        <v>374</v>
      </c>
      <c r="AD18" s="69">
        <v>0</v>
      </c>
      <c r="AE18" s="70">
        <v>332</v>
      </c>
      <c r="AF18" s="71">
        <v>65</v>
      </c>
      <c r="AG18" s="72">
        <v>1315</v>
      </c>
      <c r="AH18" s="69">
        <v>90</v>
      </c>
      <c r="AI18" s="70">
        <v>475</v>
      </c>
      <c r="AJ18" s="68">
        <v>52</v>
      </c>
      <c r="AK18" s="70">
        <v>76</v>
      </c>
      <c r="AL18" s="68">
        <v>10</v>
      </c>
      <c r="AM18" s="93" t="s">
        <v>33</v>
      </c>
    </row>
    <row r="19" spans="1:39" ht="18.75" x14ac:dyDescent="0.25">
      <c r="A19" s="73" t="s">
        <v>60</v>
      </c>
      <c r="B19" s="73"/>
      <c r="C19" s="74"/>
      <c r="D19" s="74"/>
      <c r="E19" s="74"/>
      <c r="F19" s="74"/>
      <c r="G19" s="74"/>
      <c r="H19" s="74"/>
      <c r="I19" s="74"/>
      <c r="J19" s="74"/>
      <c r="K19" s="75"/>
      <c r="L19" s="75"/>
      <c r="M19" s="75"/>
      <c r="N19" s="75"/>
      <c r="O19" s="7"/>
      <c r="P19" s="75"/>
      <c r="Q19" s="7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6" t="s">
        <v>7</v>
      </c>
    </row>
    <row r="20" spans="1:39" ht="18.75" x14ac:dyDescent="0.25">
      <c r="A20" s="77" t="s">
        <v>61</v>
      </c>
      <c r="B20" s="77"/>
      <c r="C20" s="78"/>
      <c r="D20" s="78"/>
      <c r="E20" s="78"/>
      <c r="F20" s="78"/>
      <c r="G20" s="78"/>
      <c r="H20" s="78"/>
      <c r="I20" s="78"/>
      <c r="J20" s="78"/>
      <c r="K20" s="79"/>
      <c r="L20" s="79"/>
      <c r="M20" s="79"/>
      <c r="N20" s="79"/>
      <c r="O20" s="80"/>
      <c r="P20" s="79"/>
      <c r="Q20" s="79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1"/>
    </row>
    <row r="21" spans="1:39" ht="18.75" x14ac:dyDescent="0.25">
      <c r="A21" s="77" t="s">
        <v>62</v>
      </c>
      <c r="B21" s="77"/>
      <c r="C21" s="78"/>
      <c r="D21" s="78"/>
      <c r="E21" s="78"/>
      <c r="F21" s="78"/>
      <c r="G21" s="78"/>
      <c r="H21" s="78"/>
      <c r="I21" s="78"/>
      <c r="J21" s="78"/>
      <c r="K21" s="79"/>
      <c r="L21" s="79"/>
      <c r="M21" s="79"/>
      <c r="N21" s="79"/>
      <c r="O21" s="80"/>
      <c r="P21" s="79"/>
      <c r="Q21" s="79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1"/>
    </row>
    <row r="22" spans="1:39" ht="21" x14ac:dyDescent="0.55000000000000004">
      <c r="A22" s="77" t="s">
        <v>63</v>
      </c>
      <c r="B22" s="82"/>
      <c r="C22" s="82"/>
      <c r="D22" s="82"/>
      <c r="E22" s="82"/>
      <c r="F22" s="82"/>
      <c r="G22" s="82"/>
      <c r="H22" s="82"/>
      <c r="I22" s="82"/>
      <c r="J22" s="82"/>
      <c r="K22" s="83"/>
      <c r="L22" s="83"/>
      <c r="M22" s="83"/>
      <c r="P22" s="83"/>
      <c r="S22" s="130"/>
      <c r="AM22" s="76"/>
    </row>
    <row r="23" spans="1:39" ht="14.25" customHeight="1" x14ac:dyDescent="0.25">
      <c r="A23" s="77" t="s">
        <v>6</v>
      </c>
      <c r="B23" s="82"/>
      <c r="C23" s="82"/>
      <c r="D23" s="82"/>
      <c r="E23" s="82"/>
      <c r="F23" s="82"/>
      <c r="G23" s="82"/>
      <c r="H23" s="82"/>
      <c r="I23" s="82"/>
      <c r="J23" s="82"/>
      <c r="K23" s="83"/>
      <c r="L23" s="83"/>
      <c r="M23" s="83"/>
      <c r="P23" s="83"/>
    </row>
    <row r="24" spans="1:39" ht="6" customHeight="1" x14ac:dyDescent="0.25"/>
  </sheetData>
  <mergeCells count="21">
    <mergeCell ref="A1:AM1"/>
    <mergeCell ref="A2:AM2"/>
    <mergeCell ref="A3:AM3"/>
    <mergeCell ref="AK4:AL4"/>
    <mergeCell ref="AM4:AM5"/>
    <mergeCell ref="W4:X4"/>
    <mergeCell ref="Y4:Z4"/>
    <mergeCell ref="AA4:AB4"/>
    <mergeCell ref="AC4:AD4"/>
    <mergeCell ref="AE4:AF4"/>
    <mergeCell ref="AG4:AH4"/>
    <mergeCell ref="AI4:AJ4"/>
    <mergeCell ref="A4:A5"/>
    <mergeCell ref="B4:C4"/>
    <mergeCell ref="E4:F4"/>
    <mergeCell ref="H4:I4"/>
    <mergeCell ref="K4:L4"/>
    <mergeCell ref="N4:O4"/>
    <mergeCell ref="Q4:R4"/>
    <mergeCell ref="S4:T4"/>
    <mergeCell ref="U4:V4"/>
  </mergeCells>
  <pageMargins left="0.7" right="0.7" top="0.75" bottom="0.75" header="0.3" footer="0.3"/>
  <pageSetup scale="29" orientation="portrait" r:id="rId1"/>
  <ignoredErrors>
    <ignoredError sqref="B7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11.25 </vt:lpstr>
      <vt:lpstr>'11.25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2025-07-20T05:19:02Z</cp:lastPrinted>
  <dcterms:created xsi:type="dcterms:W3CDTF">2019-03-24T03:32:16Z</dcterms:created>
  <dcterms:modified xsi:type="dcterms:W3CDTF">2025-07-20T05:19:49Z</dcterms:modified>
</cp:coreProperties>
</file>