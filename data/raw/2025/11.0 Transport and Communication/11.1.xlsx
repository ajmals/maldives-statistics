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09B6C865-F5F1-4916-B806-AF208D8665D6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.1" sheetId="31" r:id="rId1"/>
    <sheet name="11.15" sheetId="4" state="hidden" r:id="rId2"/>
  </sheets>
  <externalReferences>
    <externalReference r:id="rId3"/>
  </externalReferences>
  <definedNames>
    <definedName name="_xlnm.Print_Area" localSheetId="0">'1.1'!$A$1:$P$43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1" l="1"/>
  <c r="C19" i="31"/>
  <c r="C14" i="31"/>
  <c r="C10" i="31"/>
  <c r="C8" i="31"/>
  <c r="C23" i="31"/>
  <c r="C9" i="31"/>
  <c r="C17" i="31"/>
  <c r="C20" i="31"/>
  <c r="C11" i="31"/>
  <c r="C12" i="31"/>
  <c r="C16" i="31"/>
  <c r="C22" i="31"/>
  <c r="C15" i="31"/>
  <c r="C21" i="31"/>
  <c r="C6" i="31"/>
  <c r="C18" i="31"/>
  <c r="C13" i="31"/>
  <c r="C7" i="3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<sst xmlns="http://schemas.openxmlformats.org/spreadsheetml/2006/main" count="213" uniqueCount="99">
  <si>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</si>
  <si>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</si>
  <si>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</si>
  <si>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</si>
  <si>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</si>
  <si>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</si>
  <si>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</si>
  <si>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</si>
  <si>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</si>
  <si>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</si>
  <si>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</si>
  <si>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</si>
  <si>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</si>
  <si>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</si>
  <si>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</si>
  <si>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</si>
  <si>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</si>
  <si>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</si>
  <si>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</si>
  <si>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</si>
  <si>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</si>
  <si>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</si>
  <si>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</si>
  <si>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</si>
  <si>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</si>
  <si>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</si>
  <si>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</si>
  <si>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</si>
  <si>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</si>
  <si>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</si>
  <si>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</si>
  <si>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</si>
  <si>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</si>
  <si>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</si>
  <si>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</si>
  <si>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</si>
  <si>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</si>
  <si>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</si>
  <si>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</si>
  <si>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</si>
  <si>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</si>
  <si>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</si>
  <si>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</si>
  <si>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</si>
  <si>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</si>
  <si>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</si>
  <si>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</si>
  <si>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</si>
  <si>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</si>
  <si>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</si>
  <si>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</si>
  <si>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</si>
  <si>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</si>
  <si>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</si>
  <si>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</si>
  <si>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</si>
  <si>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</si>
  <si>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</si>
  <si>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</si>
  <si>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</si>
  <si>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</si>
  <si>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</si>
  <si>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</si>
  <si>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</si>
  <si>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 xml:space="preserve">Total </t>
  </si>
  <si>
    <t>MOTOR CYCLE</t>
  </si>
  <si>
    <t>CAR</t>
  </si>
  <si>
    <t>PICK-UP</t>
  </si>
  <si>
    <t>VAN</t>
  </si>
  <si>
    <t>JEEP</t>
  </si>
  <si>
    <t>AMBULANCE</t>
  </si>
  <si>
    <t>BOUSER</t>
  </si>
  <si>
    <t>TRUCK</t>
  </si>
  <si>
    <t>FORK-LIFT</t>
  </si>
  <si>
    <t>EXCAVATOR</t>
  </si>
  <si>
    <t>BATTERY SCOOTER</t>
  </si>
  <si>
    <t>BATTERY CAR</t>
  </si>
  <si>
    <t>Tricycle</t>
  </si>
  <si>
    <t>BATTERY TRICYCLE</t>
  </si>
  <si>
    <t>ELECTRIC BICYCLE</t>
  </si>
  <si>
    <t>BUGGY</t>
  </si>
  <si>
    <t>VEHICLE TYPE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</si>
  <si>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</si>
  <si>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</si>
  <si>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</si>
  <si>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</si>
  <si>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</si>
  <si>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</si>
  <si>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</si>
  <si>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</si>
  <si>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</si>
  <si>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</si>
  <si>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</si>
  <si>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CONCRETE MIXER TRUCK</t>
  </si>
  <si>
    <t>DUMP TRUCK</t>
  </si>
  <si>
    <t>TOTAL</t>
  </si>
  <si>
    <t>OTHERS</t>
  </si>
  <si>
    <t>Source:Ministry of Transport and Civil Aviation</t>
  </si>
  <si>
    <t>Table: 1.1: Monthly registered vehicles by type,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</si>
</sst>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46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7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38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3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39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2" borderId="39" xfId="0" applyFont="1" applyFill="1" applyBorder="1" applyAlignment="1">
      <alignment horizontal="left" vertical="top"/>
    </xf>
    <xf numFmtId="0" fontId="21" fillId="2" borderId="39" xfId="0" applyFont="1" applyFill="1" applyBorder="1" applyAlignment="1">
      <alignment horizontal="right" vertical="top"/>
    </xf>
    <xf numFmtId="0" fontId="0" fillId="2" borderId="0" xfId="0" applyFill="1" applyAlignment="1">
      <alignment horizontal="right" vertical="center"/>
    </xf>
    <xf numFmtId="0" fontId="0" fillId="2" borderId="40" xfId="0" applyFill="1" applyBorder="1" applyAlignment="1">
      <alignment horizontal="center" vertical="center"/>
    </xf>
    <xf numFmtId="0" fontId="0" fillId="2" borderId="40" xfId="0" applyFill="1" applyBorder="1"/>
    <xf numFmtId="3" fontId="21" fillId="2" borderId="0" xfId="1" applyNumberFormat="1" applyFont="1" applyFill="1" applyAlignment="1">
      <alignment horizontal="right" vertical="center"/>
    </xf>
    <xf numFmtId="3" fontId="21" fillId="2" borderId="0" xfId="1" applyNumberFormat="1" applyFont="1" applyFill="1" applyAlignment="1">
      <alignment horizontal="right"/>
    </xf>
    <xf numFmtId="3" fontId="0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Alignment="1">
      <alignment horizontal="right"/>
    </xf>
    <xf numFmtId="3" fontId="0" fillId="2" borderId="40" xfId="1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8" fillId="2" borderId="0" xfId="2" applyFont="1" applyFill="1" applyAlignment="1">
      <alignment horizontal="left" vertical="center"/>
    </xf>
    <xf numFmtId="164" fontId="17" fillId="2" borderId="38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38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Types of vehicles with the highest number of registrations in 2024</a:t>
            </a:r>
            <a:endParaRPr lang="en-US" b="1"/>
          </a:p>
        </c:rich>
      </c:tx>
      <c:layout>
        <c:manualLayout>
          <c:xMode val="edge"/>
          <c:yMode val="edge"/>
          <c:x val="0.20532671774288952"/>
          <c:y val="5.1500246302627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17171303499456E-2"/>
          <c:y val="0.17963857760161814"/>
          <c:w val="0.89004040866091272"/>
          <c:h val="0.712962178802558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'1.1'!$B$6:$B$10</c:f>
              <c:strCache>
                <c:ptCount val="5"/>
                <c:pt idx="0">
                  <c:v>MOTOR CYCLE</c:v>
                </c:pt>
                <c:pt idx="1">
                  <c:v>CAR</c:v>
                </c:pt>
                <c:pt idx="2">
                  <c:v>BATTERY TRICYCLE</c:v>
                </c:pt>
                <c:pt idx="3">
                  <c:v>BATTERY SCOOTER</c:v>
                </c:pt>
                <c:pt idx="4">
                  <c:v>ELECTRIC BICYCLE</c:v>
                </c:pt>
              </c:strCache>
            </c:strRef>
          </c:cat>
          <c:val>
            <c:numRef>
              <c:f>'1.1'!$C$6:$C$10</c:f>
              <c:numCache>
                <c:formatCode>#,##0</c:formatCode>
                <c:ptCount val="5"/>
                <c:pt idx="0">
                  <c:v>11773</c:v>
                </c:pt>
                <c:pt idx="1">
                  <c:v>1731</c:v>
                </c:pt>
                <c:pt idx="2">
                  <c:v>865</c:v>
                </c:pt>
                <c:pt idx="3">
                  <c:v>519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3-4441-84DD-5FD8D867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468735"/>
        <c:axId val="796468255"/>
      </c:barChart>
      <c:catAx>
        <c:axId val="79646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68255"/>
        <c:crosses val="autoZero"/>
        <c:auto val="1"/>
        <c:lblAlgn val="ctr"/>
        <c:lblOffset val="100"/>
        <c:noMultiLvlLbl val="0"/>
      </c:catAx>
      <c:valAx>
        <c:axId val="7964682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6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719298</xdr:colOff>
      <xdr:row>25</xdr:row>
      <xdr:rowOff>97714</xdr:rowOff>
    </xdr:from>
    <xdr:to>
      <xdr:col>11</xdr:col>
      <xdr:colOff>690724</xdr:colOff>
      <xdr:row>41</xdr:row>
      <xdr:rowOff>50088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D8995-9334-4941-CFD1-4E9C160D3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3776-E173-4812-93DF-2E6664722B5A}">
  <sheetPr>
    <tabColor rgb="FF92D050"/>
  </sheetPr>
  <dimension ref="A2:T49"/>
  <sheetViews>
    <sheetView tabSelected="1" zoomScaleNormal="100" zoomScaleSheetLayoutView="89" workbookViewId="0">
      <selection activeCell="D1" sqref="D1"/>
    </sheetView>
  </sheetViews>
  <sheetFormatPr defaultRowHeight="15" x14ac:dyDescent="0.25"/>
  <cols>
    <col min="1" max="1" width="5.5703125" style="74" customWidth="1"/>
    <col min="2" max="2" width="23.5703125" style="74" customWidth="1"/>
    <col min="3" max="3" width="14.42578125" style="74" customWidth="1"/>
    <col min="4" max="14" width="13.7109375" style="74" customWidth="1"/>
    <col min="15" max="15" width="13.140625" style="74" customWidth="1"/>
    <col min="16" max="23" width="9.140625" style="74"/>
    <col min="24" max="24" width="13.7109375" style="74" customWidth="1"/>
    <col min="25" max="16384" width="9.140625" style="74"/>
  </cols>
  <sheetData>
    <row r="2" spans="1:20" ht="18.75" x14ac:dyDescent="0.3">
      <c r="A2" s="145" t="s">
        <v>98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4" spans="1:20" x14ac:dyDescent="0.25">
      <c r="A4" s="93"/>
      <c r="B4" s="95" t="s">
        <v>81</v>
      </c>
      <c r="C4" s="96" t="s">
        <v>64</v>
      </c>
      <c r="D4" s="96" t="s">
        <v>82</v>
      </c>
      <c r="E4" s="96" t="s">
        <v>83</v>
      </c>
      <c r="F4" s="96" t="s">
        <v>84</v>
      </c>
      <c r="G4" s="96" t="s">
        <v>85</v>
      </c>
      <c r="H4" s="96" t="s">
        <v>18</v>
      </c>
      <c r="I4" s="96" t="s">
        <v>86</v>
      </c>
      <c r="J4" s="96" t="s">
        <v>87</v>
      </c>
      <c r="K4" s="96" t="s">
        <v>88</v>
      </c>
      <c r="L4" s="96" t="s">
        <v>89</v>
      </c>
      <c r="M4" s="96" t="s">
        <v>90</v>
      </c>
      <c r="N4" s="96" t="s">
        <v>91</v>
      </c>
      <c r="O4" s="96" t="s">
        <v>92</v>
      </c>
    </row>
    <row r="5" spans="1:20" s="89" customFormat="1" x14ac:dyDescent="0.25">
      <c r="A5" s="92"/>
      <c r="B5" s="94" t="s">
        <v>95</v>
      </c>
      <c r="C5" s="100">
        <f t="shared" ref="C5:C23" si="0">SUM(D5:O5)</f>
        <v>16153</v>
      </c>
      <c r="D5" s="101">
        <v>1298</v>
      </c>
      <c r="E5" s="101">
        <v>1376</v>
      </c>
      <c r="F5" s="101">
        <v>1612</v>
      </c>
      <c r="G5" s="101">
        <v>1162</v>
      </c>
      <c r="H5" s="101">
        <v>1650</v>
      </c>
      <c r="I5" s="101">
        <v>1402</v>
      </c>
      <c r="J5" s="101">
        <v>1364</v>
      </c>
      <c r="K5" s="101">
        <v>1191</v>
      </c>
      <c r="L5" s="101">
        <v>1340</v>
      </c>
      <c r="M5" s="101">
        <v>1194</v>
      </c>
      <c r="N5" s="101">
        <v>1148</v>
      </c>
      <c r="O5" s="101">
        <v>1416</v>
      </c>
      <c r="Q5" s="74"/>
      <c r="R5" s="74"/>
      <c r="S5" s="74"/>
      <c r="T5" s="74"/>
    </row>
    <row r="6" spans="1:20" x14ac:dyDescent="0.25">
      <c r="A6" s="91">
        <v>1</v>
      </c>
      <c r="B6" s="74" t="s">
        <v>65</v>
      </c>
      <c r="C6" s="102">
        <f t="shared" si="0"/>
        <v>11773</v>
      </c>
      <c r="D6" s="103">
        <v>960</v>
      </c>
      <c r="E6" s="103">
        <v>1068</v>
      </c>
      <c r="F6" s="103">
        <v>1218</v>
      </c>
      <c r="G6" s="103">
        <v>931</v>
      </c>
      <c r="H6" s="103">
        <v>1226</v>
      </c>
      <c r="I6" s="103">
        <v>1121</v>
      </c>
      <c r="J6" s="103">
        <v>1009</v>
      </c>
      <c r="K6" s="103">
        <v>788</v>
      </c>
      <c r="L6" s="103">
        <v>994</v>
      </c>
      <c r="M6" s="103">
        <v>843</v>
      </c>
      <c r="N6" s="103">
        <v>798</v>
      </c>
      <c r="O6" s="103">
        <v>817</v>
      </c>
    </row>
    <row r="7" spans="1:20" x14ac:dyDescent="0.25">
      <c r="A7" s="91">
        <v>2</v>
      </c>
      <c r="B7" s="74" t="s">
        <v>66</v>
      </c>
      <c r="C7" s="102">
        <f t="shared" si="0"/>
        <v>1731</v>
      </c>
      <c r="D7" s="103">
        <v>140</v>
      </c>
      <c r="E7" s="103">
        <v>98</v>
      </c>
      <c r="F7" s="103">
        <v>155</v>
      </c>
      <c r="G7" s="103">
        <v>64</v>
      </c>
      <c r="H7" s="103">
        <v>188</v>
      </c>
      <c r="I7" s="103">
        <v>105</v>
      </c>
      <c r="J7" s="103">
        <v>134</v>
      </c>
      <c r="K7" s="103">
        <v>143</v>
      </c>
      <c r="L7" s="103">
        <v>117</v>
      </c>
      <c r="M7" s="103">
        <v>136</v>
      </c>
      <c r="N7" s="103">
        <v>148</v>
      </c>
      <c r="O7" s="103">
        <v>303</v>
      </c>
    </row>
    <row r="8" spans="1:20" x14ac:dyDescent="0.25">
      <c r="A8" s="91">
        <v>3</v>
      </c>
      <c r="B8" s="74" t="s">
        <v>78</v>
      </c>
      <c r="C8" s="102">
        <f t="shared" si="0"/>
        <v>865</v>
      </c>
      <c r="D8" s="103">
        <v>45</v>
      </c>
      <c r="E8" s="103">
        <v>87</v>
      </c>
      <c r="F8" s="103">
        <v>60</v>
      </c>
      <c r="G8" s="103">
        <v>69</v>
      </c>
      <c r="H8" s="103">
        <v>82</v>
      </c>
      <c r="I8" s="103">
        <v>59</v>
      </c>
      <c r="J8" s="103">
        <v>87</v>
      </c>
      <c r="K8" s="103">
        <v>74</v>
      </c>
      <c r="L8" s="103">
        <v>76</v>
      </c>
      <c r="M8" s="103">
        <v>65</v>
      </c>
      <c r="N8" s="103">
        <v>69</v>
      </c>
      <c r="O8" s="103">
        <v>92</v>
      </c>
    </row>
    <row r="9" spans="1:20" x14ac:dyDescent="0.25">
      <c r="A9" s="91">
        <v>4</v>
      </c>
      <c r="B9" s="74" t="s">
        <v>75</v>
      </c>
      <c r="C9" s="102">
        <f t="shared" si="0"/>
        <v>519</v>
      </c>
      <c r="D9" s="103">
        <v>41</v>
      </c>
      <c r="E9" s="103">
        <v>35</v>
      </c>
      <c r="F9" s="103">
        <v>45</v>
      </c>
      <c r="G9" s="103">
        <v>40</v>
      </c>
      <c r="H9" s="103">
        <v>55</v>
      </c>
      <c r="I9" s="103">
        <v>40</v>
      </c>
      <c r="J9" s="103">
        <v>37</v>
      </c>
      <c r="K9" s="103">
        <v>35</v>
      </c>
      <c r="L9" s="103">
        <v>44</v>
      </c>
      <c r="M9" s="103">
        <v>51</v>
      </c>
      <c r="N9" s="103">
        <v>46</v>
      </c>
      <c r="O9" s="103">
        <v>50</v>
      </c>
    </row>
    <row r="10" spans="1:20" x14ac:dyDescent="0.25">
      <c r="A10" s="91">
        <v>5</v>
      </c>
      <c r="B10" s="74" t="s">
        <v>79</v>
      </c>
      <c r="C10" s="102">
        <f t="shared" si="0"/>
        <v>285</v>
      </c>
      <c r="D10" s="103">
        <v>13</v>
      </c>
      <c r="E10" s="103">
        <v>16</v>
      </c>
      <c r="F10" s="103">
        <v>49</v>
      </c>
      <c r="G10" s="103">
        <v>20</v>
      </c>
      <c r="H10" s="103">
        <v>32</v>
      </c>
      <c r="I10" s="103">
        <v>18</v>
      </c>
      <c r="J10" s="103">
        <v>23</v>
      </c>
      <c r="K10" s="103">
        <v>27</v>
      </c>
      <c r="L10" s="103">
        <v>34</v>
      </c>
      <c r="M10" s="103">
        <v>16</v>
      </c>
      <c r="N10" s="103">
        <v>7</v>
      </c>
      <c r="O10" s="103">
        <v>30</v>
      </c>
    </row>
    <row r="11" spans="1:20" x14ac:dyDescent="0.25">
      <c r="A11" s="91">
        <v>6</v>
      </c>
      <c r="B11" s="74" t="s">
        <v>67</v>
      </c>
      <c r="C11" s="102">
        <f t="shared" si="0"/>
        <v>195</v>
      </c>
      <c r="D11" s="103">
        <v>23</v>
      </c>
      <c r="E11" s="103">
        <v>9</v>
      </c>
      <c r="F11" s="103">
        <v>10</v>
      </c>
      <c r="G11" s="103">
        <v>7</v>
      </c>
      <c r="H11" s="103">
        <v>13</v>
      </c>
      <c r="I11" s="103">
        <v>12</v>
      </c>
      <c r="J11" s="103">
        <v>17</v>
      </c>
      <c r="K11" s="103">
        <v>20</v>
      </c>
      <c r="L11" s="103">
        <v>16</v>
      </c>
      <c r="M11" s="103">
        <v>21</v>
      </c>
      <c r="N11" s="103">
        <v>15</v>
      </c>
      <c r="O11" s="103">
        <v>32</v>
      </c>
    </row>
    <row r="12" spans="1:20" x14ac:dyDescent="0.25">
      <c r="A12" s="91">
        <v>7</v>
      </c>
      <c r="B12" s="74" t="s">
        <v>72</v>
      </c>
      <c r="C12" s="102">
        <f t="shared" si="0"/>
        <v>179</v>
      </c>
      <c r="D12" s="103">
        <v>17</v>
      </c>
      <c r="E12" s="103">
        <v>11</v>
      </c>
      <c r="F12" s="103">
        <v>11</v>
      </c>
      <c r="G12" s="103">
        <v>5</v>
      </c>
      <c r="H12" s="103">
        <v>13</v>
      </c>
      <c r="I12" s="103">
        <v>13</v>
      </c>
      <c r="J12" s="103">
        <v>18</v>
      </c>
      <c r="K12" s="103">
        <v>32</v>
      </c>
      <c r="L12" s="103">
        <v>11</v>
      </c>
      <c r="M12" s="103">
        <v>14</v>
      </c>
      <c r="N12" s="103">
        <v>15</v>
      </c>
      <c r="O12" s="103">
        <v>19</v>
      </c>
    </row>
    <row r="13" spans="1:20" x14ac:dyDescent="0.25">
      <c r="A13" s="91">
        <v>8</v>
      </c>
      <c r="B13" s="74" t="s">
        <v>68</v>
      </c>
      <c r="C13" s="102">
        <f t="shared" si="0"/>
        <v>159</v>
      </c>
      <c r="D13" s="103">
        <v>23</v>
      </c>
      <c r="E13" s="103">
        <v>12</v>
      </c>
      <c r="F13" s="103">
        <v>12</v>
      </c>
      <c r="G13" s="103">
        <v>9</v>
      </c>
      <c r="H13" s="103">
        <v>8</v>
      </c>
      <c r="I13" s="103">
        <v>8</v>
      </c>
      <c r="J13" s="103">
        <v>7</v>
      </c>
      <c r="K13" s="103">
        <v>13</v>
      </c>
      <c r="L13" s="103">
        <v>11</v>
      </c>
      <c r="M13" s="103">
        <v>8</v>
      </c>
      <c r="N13" s="103">
        <v>18</v>
      </c>
      <c r="O13" s="103">
        <v>30</v>
      </c>
    </row>
    <row r="14" spans="1:20" x14ac:dyDescent="0.25">
      <c r="A14" s="91">
        <v>9</v>
      </c>
      <c r="B14" s="74" t="s">
        <v>80</v>
      </c>
      <c r="C14" s="102">
        <f t="shared" si="0"/>
        <v>150</v>
      </c>
      <c r="D14" s="103">
        <v>8</v>
      </c>
      <c r="E14" s="103">
        <v>9</v>
      </c>
      <c r="F14" s="103">
        <v>22</v>
      </c>
      <c r="G14" s="103">
        <v>7</v>
      </c>
      <c r="H14" s="103">
        <v>9</v>
      </c>
      <c r="I14" s="103">
        <v>10</v>
      </c>
      <c r="J14" s="103">
        <v>12</v>
      </c>
      <c r="K14" s="103">
        <v>25</v>
      </c>
      <c r="L14" s="103">
        <v>16</v>
      </c>
      <c r="M14" s="103">
        <v>12</v>
      </c>
      <c r="N14" s="103">
        <v>10</v>
      </c>
      <c r="O14" s="103">
        <v>10</v>
      </c>
    </row>
    <row r="15" spans="1:20" x14ac:dyDescent="0.25">
      <c r="A15" s="91">
        <v>10</v>
      </c>
      <c r="B15" s="74" t="s">
        <v>74</v>
      </c>
      <c r="C15" s="102">
        <f t="shared" si="0"/>
        <v>47</v>
      </c>
      <c r="D15" s="103">
        <v>2</v>
      </c>
      <c r="E15" s="103">
        <v>2</v>
      </c>
      <c r="F15" s="103">
        <v>2</v>
      </c>
      <c r="G15" s="103">
        <v>4</v>
      </c>
      <c r="H15" s="103">
        <v>4</v>
      </c>
      <c r="I15" s="103">
        <v>0</v>
      </c>
      <c r="J15" s="103">
        <v>6</v>
      </c>
      <c r="K15" s="103">
        <v>2</v>
      </c>
      <c r="L15" s="103">
        <v>8</v>
      </c>
      <c r="M15" s="103">
        <v>3</v>
      </c>
      <c r="N15" s="103">
        <v>4</v>
      </c>
      <c r="O15" s="103">
        <v>10</v>
      </c>
    </row>
    <row r="16" spans="1:20" x14ac:dyDescent="0.25">
      <c r="A16" s="91">
        <v>11</v>
      </c>
      <c r="B16" s="74" t="s">
        <v>69</v>
      </c>
      <c r="C16" s="102">
        <f t="shared" si="0"/>
        <v>44</v>
      </c>
      <c r="D16" s="103">
        <v>0</v>
      </c>
      <c r="E16" s="103">
        <v>1</v>
      </c>
      <c r="F16" s="103">
        <v>6</v>
      </c>
      <c r="G16" s="103">
        <v>1</v>
      </c>
      <c r="H16" s="103">
        <v>2</v>
      </c>
      <c r="I16" s="103">
        <v>5</v>
      </c>
      <c r="J16" s="103">
        <v>4</v>
      </c>
      <c r="K16" s="103">
        <v>8</v>
      </c>
      <c r="L16" s="103">
        <v>3</v>
      </c>
      <c r="M16" s="103">
        <v>4</v>
      </c>
      <c r="N16" s="103">
        <v>4</v>
      </c>
      <c r="O16" s="103">
        <v>6</v>
      </c>
    </row>
    <row r="17" spans="1:15" x14ac:dyDescent="0.25">
      <c r="A17" s="91">
        <v>12</v>
      </c>
      <c r="B17" s="74" t="s">
        <v>73</v>
      </c>
      <c r="C17" s="102">
        <f t="shared" si="0"/>
        <v>30</v>
      </c>
      <c r="D17" s="103">
        <v>10</v>
      </c>
      <c r="E17" s="103">
        <v>1</v>
      </c>
      <c r="F17" s="103">
        <v>0</v>
      </c>
      <c r="G17" s="103">
        <v>2</v>
      </c>
      <c r="H17" s="103">
        <v>1</v>
      </c>
      <c r="I17" s="103">
        <v>1</v>
      </c>
      <c r="J17" s="103">
        <v>0</v>
      </c>
      <c r="K17" s="103">
        <v>1</v>
      </c>
      <c r="L17" s="103">
        <v>1</v>
      </c>
      <c r="M17" s="103">
        <v>3</v>
      </c>
      <c r="N17" s="103">
        <v>3</v>
      </c>
      <c r="O17" s="103">
        <v>7</v>
      </c>
    </row>
    <row r="18" spans="1:15" x14ac:dyDescent="0.25">
      <c r="A18" s="91">
        <v>13</v>
      </c>
      <c r="B18" s="74" t="s">
        <v>77</v>
      </c>
      <c r="C18" s="102">
        <f t="shared" si="0"/>
        <v>28</v>
      </c>
      <c r="D18" s="103">
        <v>3</v>
      </c>
      <c r="E18" s="103">
        <v>10</v>
      </c>
      <c r="F18" s="103">
        <v>3</v>
      </c>
      <c r="G18" s="103">
        <v>1</v>
      </c>
      <c r="H18" s="103">
        <v>3</v>
      </c>
      <c r="I18" s="103">
        <v>1</v>
      </c>
      <c r="J18" s="103">
        <v>4</v>
      </c>
      <c r="K18" s="103">
        <v>1</v>
      </c>
      <c r="L18" s="103">
        <v>0</v>
      </c>
      <c r="M18" s="103">
        <v>1</v>
      </c>
      <c r="N18" s="103">
        <v>1</v>
      </c>
      <c r="O18" s="103">
        <v>0</v>
      </c>
    </row>
    <row r="19" spans="1:15" x14ac:dyDescent="0.25">
      <c r="A19" s="91">
        <v>14</v>
      </c>
      <c r="B19" s="74" t="s">
        <v>94</v>
      </c>
      <c r="C19" s="102">
        <f t="shared" si="0"/>
        <v>26</v>
      </c>
      <c r="D19" s="103">
        <v>6</v>
      </c>
      <c r="E19" s="103">
        <v>2</v>
      </c>
      <c r="F19" s="103">
        <v>1</v>
      </c>
      <c r="G19" s="103">
        <v>0</v>
      </c>
      <c r="H19" s="103">
        <v>4</v>
      </c>
      <c r="I19" s="103">
        <v>0</v>
      </c>
      <c r="J19" s="103">
        <v>1</v>
      </c>
      <c r="K19" s="103">
        <v>2</v>
      </c>
      <c r="L19" s="103">
        <v>0</v>
      </c>
      <c r="M19" s="103">
        <v>3</v>
      </c>
      <c r="N19" s="103">
        <v>4</v>
      </c>
      <c r="O19" s="103">
        <v>3</v>
      </c>
    </row>
    <row r="20" spans="1:15" x14ac:dyDescent="0.25">
      <c r="A20" s="91">
        <v>15</v>
      </c>
      <c r="B20" s="74" t="s">
        <v>70</v>
      </c>
      <c r="C20" s="102">
        <f t="shared" si="0"/>
        <v>21</v>
      </c>
      <c r="D20" s="103">
        <v>0</v>
      </c>
      <c r="E20" s="103">
        <v>7</v>
      </c>
      <c r="F20" s="103">
        <v>13</v>
      </c>
      <c r="G20" s="103">
        <v>1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</row>
    <row r="21" spans="1:15" x14ac:dyDescent="0.25">
      <c r="A21" s="91">
        <v>16</v>
      </c>
      <c r="B21" s="74" t="s">
        <v>71</v>
      </c>
      <c r="C21" s="102">
        <f t="shared" si="0"/>
        <v>12</v>
      </c>
      <c r="D21" s="103">
        <v>0</v>
      </c>
      <c r="E21" s="103">
        <v>2</v>
      </c>
      <c r="F21" s="103">
        <v>0</v>
      </c>
      <c r="G21" s="103">
        <v>0</v>
      </c>
      <c r="H21" s="103">
        <v>2</v>
      </c>
      <c r="I21" s="103">
        <v>0</v>
      </c>
      <c r="J21" s="103">
        <v>0</v>
      </c>
      <c r="K21" s="103">
        <v>7</v>
      </c>
      <c r="L21" s="103">
        <v>1</v>
      </c>
      <c r="M21" s="103">
        <v>0</v>
      </c>
      <c r="N21" s="103">
        <v>0</v>
      </c>
      <c r="O21" s="103">
        <v>0</v>
      </c>
    </row>
    <row r="22" spans="1:15" x14ac:dyDescent="0.25">
      <c r="A22" s="91">
        <v>17</v>
      </c>
      <c r="B22" s="74" t="s">
        <v>93</v>
      </c>
      <c r="C22" s="102">
        <f t="shared" si="0"/>
        <v>11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4</v>
      </c>
      <c r="L22" s="103">
        <v>1</v>
      </c>
      <c r="M22" s="103">
        <v>3</v>
      </c>
      <c r="N22" s="103">
        <v>2</v>
      </c>
      <c r="O22" s="103">
        <v>1</v>
      </c>
    </row>
    <row r="23" spans="1:15" x14ac:dyDescent="0.25">
      <c r="A23" s="91">
        <v>18</v>
      </c>
      <c r="B23" s="74" t="s">
        <v>76</v>
      </c>
      <c r="C23" s="102">
        <f t="shared" si="0"/>
        <v>11</v>
      </c>
      <c r="D23" s="103">
        <v>3</v>
      </c>
      <c r="E23" s="103">
        <v>0</v>
      </c>
      <c r="F23" s="103">
        <v>2</v>
      </c>
      <c r="G23" s="103">
        <v>0</v>
      </c>
      <c r="H23" s="103">
        <v>2</v>
      </c>
      <c r="I23" s="103">
        <v>0</v>
      </c>
      <c r="J23" s="103">
        <v>0</v>
      </c>
      <c r="K23" s="103">
        <v>1</v>
      </c>
      <c r="L23" s="103">
        <v>1</v>
      </c>
      <c r="M23" s="103">
        <v>2</v>
      </c>
      <c r="N23" s="103">
        <v>0</v>
      </c>
      <c r="O23" s="103">
        <v>0</v>
      </c>
    </row>
    <row r="24" spans="1:15" x14ac:dyDescent="0.25">
      <c r="A24" s="98">
        <v>19</v>
      </c>
      <c r="B24" s="99" t="s">
        <v>96</v>
      </c>
      <c r="C24" s="104">
        <v>67</v>
      </c>
      <c r="D24" s="104">
        <v>4</v>
      </c>
      <c r="E24" s="104">
        <v>6</v>
      </c>
      <c r="F24" s="104">
        <v>3</v>
      </c>
      <c r="G24" s="104">
        <v>1</v>
      </c>
      <c r="H24" s="104">
        <v>6</v>
      </c>
      <c r="I24" s="104">
        <v>9</v>
      </c>
      <c r="J24" s="104">
        <v>5</v>
      </c>
      <c r="K24" s="104">
        <v>8</v>
      </c>
      <c r="L24" s="104">
        <v>6</v>
      </c>
      <c r="M24" s="104">
        <v>9</v>
      </c>
      <c r="N24" s="104">
        <v>4</v>
      </c>
      <c r="O24" s="104">
        <v>6</v>
      </c>
    </row>
    <row r="25" spans="1:15" x14ac:dyDescent="0.25">
      <c r="A25" s="90" t="s">
        <v>97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</row>
    <row r="26" spans="1:15" x14ac:dyDescent="0.25">
      <c r="A26" s="91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5" x14ac:dyDescent="0.25">
      <c r="A27" s="9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</row>
    <row r="28" spans="1:15" x14ac:dyDescent="0.25">
      <c r="A28" s="91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</row>
    <row r="29" spans="1:15" x14ac:dyDescent="0.25">
      <c r="A29" s="91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 spans="1:15" x14ac:dyDescent="0.25">
      <c r="A30" s="9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</row>
    <row r="31" spans="1:15" x14ac:dyDescent="0.25">
      <c r="A31" s="91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 spans="1:15" x14ac:dyDescent="0.25">
      <c r="A32" s="91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</row>
    <row r="33" spans="1:15" x14ac:dyDescent="0.25">
      <c r="A33" s="91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</row>
    <row r="34" spans="1:15" x14ac:dyDescent="0.25">
      <c r="A34" s="91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</row>
    <row r="35" spans="1:15" x14ac:dyDescent="0.25">
      <c r="A35" s="91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spans="1:15" x14ac:dyDescent="0.25">
      <c r="A36" s="91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</row>
    <row r="37" spans="1:15" x14ac:dyDescent="0.25">
      <c r="A37" s="91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</row>
    <row r="38" spans="1:15" x14ac:dyDescent="0.25">
      <c r="A38" s="91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</row>
    <row r="39" spans="1:15" x14ac:dyDescent="0.25">
      <c r="A39" s="91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 spans="1:15" x14ac:dyDescent="0.25">
      <c r="A40" s="91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</row>
    <row r="41" spans="1:15" x14ac:dyDescent="0.25">
      <c r="A41" s="91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</row>
    <row r="42" spans="1:15" x14ac:dyDescent="0.25">
      <c r="A42" s="91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</row>
    <row r="43" spans="1:15" x14ac:dyDescent="0.25">
      <c r="A43" s="91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</row>
    <row r="44" spans="1:15" x14ac:dyDescent="0.25">
      <c r="A44" s="91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</row>
    <row r="45" spans="1:15" x14ac:dyDescent="0.25">
      <c r="A45" s="91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x14ac:dyDescent="0.25">
      <c r="A46" s="91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</row>
    <row r="47" spans="1:15" x14ac:dyDescent="0.25">
      <c r="A47" s="91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</row>
    <row r="48" spans="1:15" x14ac:dyDescent="0.25">
      <c r="A48" s="91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</row>
    <row r="49" spans="1:15" x14ac:dyDescent="0.25">
      <c r="A49" s="91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</row>
  </sheetData>
  <mergeCells count="1">
    <mergeCell ref="A2:O2"/>
  </mergeCells>
  <pageMargins left="0.7" right="0.7" top="0.75" bottom="0.75" header="0.3" footer="0.3"/>
  <pageSetup scale="35" orientation="portrait" r:id="rId1"/>
  <colBreaks count="1" manualBreakCount="1">
    <brk id="20" max="7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09" t="s">
        <v>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spans="1:29" ht="15.75" x14ac:dyDescent="0.25">
      <c r="A2" s="105" t="s">
        <v>63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</row>
    <row r="4" spans="1:29" s="8" customFormat="1" ht="19.5" x14ac:dyDescent="0.15">
      <c r="A4" s="110" t="s">
        <v>8</v>
      </c>
      <c r="B4" s="108" t="s">
        <v>34</v>
      </c>
      <c r="C4" s="108"/>
      <c r="D4" s="59"/>
      <c r="E4" s="108" t="s">
        <v>35</v>
      </c>
      <c r="F4" s="108"/>
      <c r="G4" s="59"/>
      <c r="H4" s="108" t="s">
        <v>36</v>
      </c>
      <c r="I4" s="108"/>
      <c r="J4" s="59"/>
      <c r="K4" s="108" t="s">
        <v>37</v>
      </c>
      <c r="L4" s="108"/>
      <c r="M4" s="59"/>
      <c r="N4" s="108" t="s">
        <v>38</v>
      </c>
      <c r="O4" s="108"/>
      <c r="P4" s="59"/>
      <c r="Q4" s="108" t="s">
        <v>39</v>
      </c>
      <c r="R4" s="108"/>
      <c r="S4" s="59"/>
      <c r="T4" s="108" t="s">
        <v>40</v>
      </c>
      <c r="U4" s="108"/>
      <c r="V4" s="59"/>
      <c r="W4" s="108" t="s">
        <v>41</v>
      </c>
      <c r="X4" s="108"/>
      <c r="Y4" s="59"/>
      <c r="Z4" s="108" t="s">
        <v>42</v>
      </c>
      <c r="AA4" s="108"/>
      <c r="AB4" s="112" t="s">
        <v>9</v>
      </c>
    </row>
    <row r="5" spans="1:29" s="11" customFormat="1" ht="15" customHeight="1" x14ac:dyDescent="0.25">
      <c r="A5" s="106"/>
      <c r="B5" s="107" t="s">
        <v>43</v>
      </c>
      <c r="C5" s="107"/>
      <c r="D5" s="10"/>
      <c r="E5" s="107" t="s">
        <v>44</v>
      </c>
      <c r="F5" s="107"/>
      <c r="G5" s="10"/>
      <c r="H5" s="107" t="s">
        <v>45</v>
      </c>
      <c r="I5" s="107"/>
      <c r="J5" s="10"/>
      <c r="K5" s="107" t="s">
        <v>46</v>
      </c>
      <c r="L5" s="107"/>
      <c r="M5" s="10"/>
      <c r="N5" s="107" t="s">
        <v>47</v>
      </c>
      <c r="O5" s="107"/>
      <c r="P5" s="10"/>
      <c r="Q5" s="107" t="s">
        <v>48</v>
      </c>
      <c r="R5" s="107"/>
      <c r="S5" s="10"/>
      <c r="T5" s="107" t="s">
        <v>49</v>
      </c>
      <c r="U5" s="107"/>
      <c r="V5" s="10"/>
      <c r="W5" s="107" t="s">
        <v>50</v>
      </c>
      <c r="X5" s="107"/>
      <c r="Y5" s="10"/>
      <c r="Z5" s="107" t="s">
        <v>51</v>
      </c>
      <c r="AA5" s="107"/>
      <c r="AB5" s="113"/>
      <c r="AC5" s="2"/>
    </row>
    <row r="6" spans="1:29" s="55" customFormat="1" ht="14.25" x14ac:dyDescent="0.2">
      <c r="A6" s="106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13"/>
    </row>
    <row r="7" spans="1:29" s="11" customFormat="1" ht="14.25" x14ac:dyDescent="0.2">
      <c r="A7" s="111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14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15" t="s">
        <v>8</v>
      </c>
      <c r="B44" s="75"/>
      <c r="D44" s="76"/>
      <c r="F44" s="76"/>
      <c r="G44" s="118" t="s">
        <v>34</v>
      </c>
      <c r="H44" s="119"/>
      <c r="I44" s="119"/>
      <c r="J44" s="119"/>
      <c r="K44" s="120"/>
      <c r="L44" s="62"/>
      <c r="M44" s="77"/>
      <c r="N44" s="62"/>
      <c r="O44" s="77"/>
      <c r="P44" s="121" t="s">
        <v>35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76"/>
      <c r="AC44" s="123" t="s">
        <v>36</v>
      </c>
      <c r="AD44" s="124"/>
      <c r="AE44" s="124"/>
      <c r="AF44" s="124"/>
      <c r="AG44" s="124"/>
      <c r="AH44" s="124"/>
      <c r="AI44" s="124"/>
      <c r="AJ44" s="124"/>
      <c r="AK44" s="61"/>
      <c r="AL44" s="123" t="s">
        <v>37</v>
      </c>
      <c r="AM44" s="124"/>
      <c r="AN44" s="124"/>
      <c r="AO44" s="124"/>
      <c r="AP44" s="124"/>
      <c r="AQ44" s="124"/>
      <c r="AR44" s="124"/>
      <c r="AS44" s="61"/>
      <c r="AT44" s="123" t="s">
        <v>38</v>
      </c>
      <c r="AU44" s="124"/>
      <c r="AV44" s="124"/>
      <c r="AW44" s="124"/>
      <c r="AX44" s="124"/>
      <c r="AY44" s="72"/>
      <c r="AZ44" s="61"/>
      <c r="BA44" s="123" t="s">
        <v>39</v>
      </c>
      <c r="BB44" s="124"/>
      <c r="BC44" s="124"/>
      <c r="BD44" s="124"/>
      <c r="BE44" s="141"/>
      <c r="BF44" s="60"/>
      <c r="BG44" s="142" t="s">
        <v>40</v>
      </c>
      <c r="BH44" s="143"/>
      <c r="BI44" s="143"/>
      <c r="BJ44" s="143"/>
      <c r="BK44" s="144"/>
      <c r="BL44" s="123" t="s">
        <v>41</v>
      </c>
      <c r="BM44" s="124"/>
      <c r="BN44" s="124"/>
      <c r="BO44" s="124"/>
      <c r="BP44" s="141"/>
      <c r="BQ44" s="123" t="s">
        <v>42</v>
      </c>
      <c r="BR44" s="124"/>
      <c r="BS44" s="124"/>
      <c r="BT44" s="125" t="s">
        <v>9</v>
      </c>
    </row>
    <row r="45" spans="1:80" s="64" customFormat="1" ht="16.5" customHeight="1" x14ac:dyDescent="0.25">
      <c r="A45" s="116"/>
      <c r="B45" s="78"/>
      <c r="D45" s="79"/>
      <c r="F45" s="79"/>
      <c r="G45" s="128" t="s">
        <v>43</v>
      </c>
      <c r="H45" s="129"/>
      <c r="I45" s="129"/>
      <c r="J45" s="129"/>
      <c r="K45" s="130"/>
      <c r="M45" s="79"/>
      <c r="O45" s="79"/>
      <c r="P45" s="131" t="s">
        <v>44</v>
      </c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79"/>
      <c r="AC45" s="133" t="s">
        <v>55</v>
      </c>
      <c r="AD45" s="134"/>
      <c r="AE45" s="134"/>
      <c r="AF45" s="134"/>
      <c r="AG45" s="134"/>
      <c r="AH45" s="134"/>
      <c r="AI45" s="134"/>
      <c r="AJ45" s="134"/>
      <c r="AK45" s="65"/>
      <c r="AL45" s="133" t="s">
        <v>56</v>
      </c>
      <c r="AM45" s="134"/>
      <c r="AN45" s="134"/>
      <c r="AO45" s="134"/>
      <c r="AP45" s="134"/>
      <c r="AQ45" s="134"/>
      <c r="AR45" s="134"/>
      <c r="AS45" s="65"/>
      <c r="AT45" s="133" t="s">
        <v>57</v>
      </c>
      <c r="AU45" s="134"/>
      <c r="AV45" s="134"/>
      <c r="AW45" s="134"/>
      <c r="AX45" s="134"/>
      <c r="AY45" s="73"/>
      <c r="AZ45" s="65"/>
      <c r="BA45" s="135" t="s">
        <v>58</v>
      </c>
      <c r="BB45" s="136"/>
      <c r="BC45" s="136"/>
      <c r="BD45" s="136"/>
      <c r="BE45" s="137"/>
      <c r="BG45" s="138" t="s">
        <v>59</v>
      </c>
      <c r="BH45" s="139"/>
      <c r="BI45" s="139"/>
      <c r="BJ45" s="139"/>
      <c r="BK45" s="140"/>
      <c r="BL45" s="135" t="s">
        <v>60</v>
      </c>
      <c r="BM45" s="136"/>
      <c r="BN45" s="136"/>
      <c r="BO45" s="136"/>
      <c r="BP45" s="137"/>
      <c r="BQ45" s="135" t="s">
        <v>61</v>
      </c>
      <c r="BR45" s="136"/>
      <c r="BS45" s="136"/>
      <c r="BT45" s="126"/>
    </row>
    <row r="46" spans="1:80" ht="23.25" customHeight="1" x14ac:dyDescent="0.25">
      <c r="A46" s="117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27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 t="shared" ref="X47:AD47" si="1">SUM(X48:X59)</f>
        <v>2432</v>
      </c>
      <c r="Y47" s="29">
        <f t="shared" si="1"/>
        <v>5182</v>
      </c>
      <c r="Z47" s="29">
        <f t="shared" si="1"/>
        <v>4726</v>
      </c>
      <c r="AA47" s="30">
        <f t="shared" si="1"/>
        <v>4794</v>
      </c>
      <c r="AB47" s="29">
        <f t="shared" si="1"/>
        <v>2773</v>
      </c>
      <c r="AC47" s="29">
        <f t="shared" si="1"/>
        <v>2151</v>
      </c>
      <c r="AD47" s="29">
        <f t="shared" si="1"/>
        <v>1998</v>
      </c>
      <c r="AE47" s="29">
        <f t="shared" si="0"/>
        <v>769</v>
      </c>
      <c r="AF47" s="29">
        <f t="shared" si="0"/>
        <v>3315</v>
      </c>
      <c r="AG47" s="29">
        <f t="shared" ref="AG47:AO47" si="2">SUM(AG48:AG59)</f>
        <v>4519</v>
      </c>
      <c r="AH47" s="29">
        <f t="shared" si="2"/>
        <v>1845</v>
      </c>
      <c r="AI47" s="29">
        <f t="shared" si="2"/>
        <v>1799</v>
      </c>
      <c r="AJ47" s="29">
        <f t="shared" si="2"/>
        <v>2485</v>
      </c>
      <c r="AK47" s="29">
        <f t="shared" si="2"/>
        <v>4924</v>
      </c>
      <c r="AL47" s="27">
        <f t="shared" si="2"/>
        <v>4265</v>
      </c>
      <c r="AM47" s="29">
        <f t="shared" si="2"/>
        <v>3963</v>
      </c>
      <c r="AN47" s="29">
        <f t="shared" si="2"/>
        <v>4305</v>
      </c>
      <c r="AO47" s="29">
        <f t="shared" si="2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>SUM(AU48:AU59)</f>
        <v>3870</v>
      </c>
      <c r="AV47" s="29">
        <f t="shared" si="0"/>
        <v>2906</v>
      </c>
      <c r="AW47" s="29">
        <f t="shared" si="0"/>
        <v>4198</v>
      </c>
      <c r="AX47" s="29">
        <f>SUM(AX48:AX59)</f>
        <v>4532</v>
      </c>
      <c r="AY47" s="29">
        <f>SUM(AY48:AY59)</f>
        <v>5159</v>
      </c>
      <c r="AZ47" s="29">
        <f t="shared" si="0"/>
        <v>2076</v>
      </c>
      <c r="BA47" s="27">
        <f t="shared" ref="BA47:BL47" si="3">SUM(BA48:BA59)</f>
        <v>1988</v>
      </c>
      <c r="BB47" s="29">
        <f t="shared" si="3"/>
        <v>1916</v>
      </c>
      <c r="BC47" s="29">
        <f t="shared" si="3"/>
        <v>1916</v>
      </c>
      <c r="BD47" s="29">
        <f t="shared" si="3"/>
        <v>1975</v>
      </c>
      <c r="BE47" s="29">
        <f t="shared" si="3"/>
        <v>2043</v>
      </c>
      <c r="BF47" s="29">
        <f t="shared" si="3"/>
        <v>826</v>
      </c>
      <c r="BG47" s="27">
        <f t="shared" si="3"/>
        <v>331</v>
      </c>
      <c r="BH47" s="29">
        <f t="shared" si="3"/>
        <v>269</v>
      </c>
      <c r="BI47" s="29">
        <f t="shared" si="3"/>
        <v>245</v>
      </c>
      <c r="BJ47" s="29">
        <f t="shared" si="3"/>
        <v>246</v>
      </c>
      <c r="BK47" s="30">
        <f t="shared" si="3"/>
        <v>241</v>
      </c>
      <c r="BL47" s="27">
        <f t="shared" si="3"/>
        <v>552</v>
      </c>
      <c r="BM47" s="29">
        <f t="shared" ref="BM47:BS47" si="4">SUM(BM48:BM59)</f>
        <v>1475</v>
      </c>
      <c r="BN47" s="29">
        <f t="shared" si="4"/>
        <v>1911</v>
      </c>
      <c r="BO47" s="29">
        <f t="shared" si="4"/>
        <v>1898</v>
      </c>
      <c r="BP47" s="29">
        <f t="shared" si="4"/>
        <v>1940</v>
      </c>
      <c r="BQ47" s="27">
        <f t="shared" si="4"/>
        <v>488</v>
      </c>
      <c r="BR47" s="31">
        <f t="shared" si="4"/>
        <v>1941</v>
      </c>
      <c r="BS47" s="31">
        <f t="shared" si="4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11.15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2025-07-14T05:02:53Z</cp:lastPrinted>
  <dcterms:created xsi:type="dcterms:W3CDTF">2019-03-24T03:32:16Z</dcterms:created>
  <dcterms:modified xsi:type="dcterms:W3CDTF">2025-07-14T05:03:00Z</dcterms:modified>
</cp:coreProperties>
</file>