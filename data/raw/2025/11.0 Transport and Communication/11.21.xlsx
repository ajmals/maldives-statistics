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AD4F9EE3-6650-4184-97ED-C3E51AA0BBDD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21 " sheetId="7" r:id="rId2"/>
  </sheets>
  <definedNames>
    <definedName name="_xlnm.Print_Area" localSheetId="1">'11.21 '!$A$1:$J$18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C5" i="7"/>
  <c r="B5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<sst xmlns="http://schemas.openxmlformats.org/spreadsheetml/2006/main" count="218" uniqueCount="75">
  <si>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</si>
  <si>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</si>
  <si>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</si>
  <si>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</si>
  <si>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</si>
  <si>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</si>
  <si>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</si>
  <si>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</si>
  <si>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</si>
  <si>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</si>
  <si>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</si>
  <si>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</si>
  <si>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</si>
  <si>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</si>
  <si>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</si>
  <si>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</si>
  <si>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</si>
  <si>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</si>
  <si>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</si>
  <si>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</si>
  <si>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</si>
  <si>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</si>
  <si>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</si>
  <si>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</si>
  <si>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</si>
  <si>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</si>
  <si>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</si>
  <si>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</si>
  <si>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</si>
  <si>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</si>
  <si>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</si>
  <si>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</si>
  <si>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</si>
  <si>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</si>
  <si>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</si>
  <si>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</si>
  <si>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</si>
  <si>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</si>
  <si>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</si>
  <si>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</si>
  <si>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</si>
  <si>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</si>
  <si>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</si>
  <si>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</si>
  <si>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</si>
  <si>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</si>
  <si>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</si>
  <si>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</si>
  <si>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</si>
  <si>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</si>
  <si>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</si>
  <si>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</si>
  <si>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</si>
  <si>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</si>
  <si>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</si>
  <si>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</si>
  <si>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</si>
  <si>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</si>
  <si>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</si>
  <si>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</si>
  <si>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</si>
  <si>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</si>
  <si>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</si>
  <si>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</si>
  <si>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</si>
  <si>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</si>
  <si>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</si>
  <si>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</si>
  <si>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</si>
  <si>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</si>
  <si>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</si>
  <si>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</si>
  <si>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</si>
  <si>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11.21: މަސްމަހުގެ ގޮތުން ގަން އިންޓަރނޭޝަނަލް އެއަރޕޯޓުގައި ފަސިންޖަރުންގެ ދަތުރުފަތުރު ހުރި ގޮތް، 2024</t>
  </si>
  <si>
    <t>Table 11.21 :  PASSENGER MOVEMENT AT GAN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</si>
</sst>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3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0" fillId="2" borderId="0" xfId="4" applyFont="1" applyFill="1" applyAlignment="1">
      <alignment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164" fontId="10" fillId="2" borderId="0" xfId="0" applyNumberFormat="1" applyFont="1" applyFill="1" applyAlignment="1">
      <alignment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164" fontId="5" fillId="2" borderId="3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8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1" xfId="2" applyFont="1" applyFill="1" applyBorder="1" applyAlignment="1">
      <alignment horizontal="left" vertical="center" indent="1"/>
    </xf>
    <xf numFmtId="3" fontId="5" fillId="2" borderId="42" xfId="2" applyNumberFormat="1" applyFont="1" applyFill="1" applyBorder="1" applyAlignment="1">
      <alignment horizontal="right" vertical="center"/>
    </xf>
    <xf numFmtId="3" fontId="14" fillId="2" borderId="41" xfId="2" applyNumberFormat="1" applyFont="1" applyFill="1" applyBorder="1" applyAlignment="1" applyProtection="1">
      <alignment horizontal="right" vertical="center"/>
      <protection locked="0"/>
    </xf>
    <xf numFmtId="164" fontId="8" fillId="2" borderId="42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3" fontId="5" fillId="2" borderId="41" xfId="2" applyNumberFormat="1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/>
    </xf>
    <xf numFmtId="164" fontId="8" fillId="2" borderId="41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right" vertical="center" wrapText="1"/>
    </xf>
    <xf numFmtId="3" fontId="5" fillId="2" borderId="43" xfId="2" applyNumberFormat="1" applyFont="1" applyFill="1" applyBorder="1" applyAlignment="1">
      <alignment horizontal="right" vertical="center"/>
    </xf>
    <xf numFmtId="164" fontId="31" fillId="2" borderId="41" xfId="2" applyFont="1" applyFill="1" applyBorder="1" applyAlignment="1">
      <alignment horizontal="right" vertical="center"/>
    </xf>
    <xf numFmtId="3" fontId="14" fillId="2" borderId="45" xfId="2" applyNumberFormat="1" applyFont="1" applyFill="1" applyBorder="1" applyAlignment="1" applyProtection="1">
      <alignment horizontal="right" vertical="center"/>
      <protection locked="0"/>
    </xf>
    <xf numFmtId="3" fontId="14" fillId="2" borderId="46" xfId="2" applyNumberFormat="1" applyFont="1" applyFill="1" applyBorder="1" applyAlignment="1" applyProtection="1">
      <alignment horizontal="right" vertical="center"/>
      <protection locked="0"/>
    </xf>
    <xf numFmtId="3" fontId="14" fillId="2" borderId="44" xfId="2" applyNumberFormat="1" applyFont="1" applyFill="1" applyBorder="1" applyAlignment="1" applyProtection="1">
      <alignment horizontal="right" vertical="center"/>
      <protection locked="0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33" fillId="2" borderId="8" xfId="2" applyFont="1" applyFill="1" applyBorder="1" applyAlignment="1">
      <alignment horizontal="center" vertical="center"/>
    </xf>
    <xf numFmtId="164" fontId="18" fillId="2" borderId="38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38" xfId="2" applyFont="1" applyFill="1" applyBorder="1" applyAlignment="1">
      <alignment horizontal="right" vertical="center"/>
    </xf>
    <xf numFmtId="164" fontId="15" fillId="2" borderId="41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26" fillId="2" borderId="42" xfId="2" applyFont="1" applyFill="1" applyBorder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7" t="s">
        <v>71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</row>
    <row r="2" spans="1:29" ht="15.75" x14ac:dyDescent="0.25">
      <c r="A2" s="148" t="s">
        <v>72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</row>
    <row r="4" spans="1:29" s="9" customFormat="1" ht="19.5" x14ac:dyDescent="0.15">
      <c r="A4" s="149" t="s">
        <v>9</v>
      </c>
      <c r="B4" s="152" t="s">
        <v>38</v>
      </c>
      <c r="C4" s="152"/>
      <c r="D4" s="71"/>
      <c r="E4" s="152" t="s">
        <v>39</v>
      </c>
      <c r="F4" s="152"/>
      <c r="G4" s="71"/>
      <c r="H4" s="152" t="s">
        <v>40</v>
      </c>
      <c r="I4" s="152"/>
      <c r="J4" s="71"/>
      <c r="K4" s="152" t="s">
        <v>41</v>
      </c>
      <c r="L4" s="152"/>
      <c r="M4" s="71"/>
      <c r="N4" s="152" t="s">
        <v>42</v>
      </c>
      <c r="O4" s="152"/>
      <c r="P4" s="71"/>
      <c r="Q4" s="152" t="s">
        <v>43</v>
      </c>
      <c r="R4" s="152"/>
      <c r="S4" s="71"/>
      <c r="T4" s="152" t="s">
        <v>44</v>
      </c>
      <c r="U4" s="152"/>
      <c r="V4" s="71"/>
      <c r="W4" s="152" t="s">
        <v>45</v>
      </c>
      <c r="X4" s="152"/>
      <c r="Y4" s="71"/>
      <c r="Z4" s="152" t="s">
        <v>46</v>
      </c>
      <c r="AA4" s="152"/>
      <c r="AB4" s="154" t="s">
        <v>11</v>
      </c>
    </row>
    <row r="5" spans="1:29" s="14" customFormat="1" ht="15" customHeight="1" x14ac:dyDescent="0.25">
      <c r="A5" s="150"/>
      <c r="B5" s="153" t="s">
        <v>47</v>
      </c>
      <c r="C5" s="153"/>
      <c r="D5" s="13"/>
      <c r="E5" s="153" t="s">
        <v>48</v>
      </c>
      <c r="F5" s="153"/>
      <c r="G5" s="13"/>
      <c r="H5" s="153" t="s">
        <v>49</v>
      </c>
      <c r="I5" s="153"/>
      <c r="J5" s="13"/>
      <c r="K5" s="153" t="s">
        <v>50</v>
      </c>
      <c r="L5" s="153"/>
      <c r="M5" s="13"/>
      <c r="N5" s="153" t="s">
        <v>51</v>
      </c>
      <c r="O5" s="153"/>
      <c r="P5" s="13"/>
      <c r="Q5" s="153" t="s">
        <v>52</v>
      </c>
      <c r="R5" s="153"/>
      <c r="S5" s="13"/>
      <c r="T5" s="153" t="s">
        <v>53</v>
      </c>
      <c r="U5" s="153"/>
      <c r="V5" s="13"/>
      <c r="W5" s="153" t="s">
        <v>54</v>
      </c>
      <c r="X5" s="153"/>
      <c r="Y5" s="13"/>
      <c r="Z5" s="153" t="s">
        <v>55</v>
      </c>
      <c r="AA5" s="153"/>
      <c r="AB5" s="155"/>
      <c r="AC5" s="3"/>
    </row>
    <row r="6" spans="1:29" s="67" customFormat="1" ht="14.25" x14ac:dyDescent="0.2">
      <c r="A6" s="150"/>
      <c r="B6" s="60" t="s">
        <v>0</v>
      </c>
      <c r="C6" s="60" t="s">
        <v>1</v>
      </c>
      <c r="D6" s="60"/>
      <c r="E6" s="60" t="s">
        <v>0</v>
      </c>
      <c r="F6" s="60" t="s">
        <v>1</v>
      </c>
      <c r="G6" s="60"/>
      <c r="H6" s="60" t="s">
        <v>0</v>
      </c>
      <c r="I6" s="60" t="s">
        <v>1</v>
      </c>
      <c r="J6" s="60"/>
      <c r="K6" s="60" t="s">
        <v>0</v>
      </c>
      <c r="L6" s="60" t="s">
        <v>1</v>
      </c>
      <c r="M6" s="60"/>
      <c r="N6" s="60" t="s">
        <v>0</v>
      </c>
      <c r="O6" s="60" t="s">
        <v>1</v>
      </c>
      <c r="P6" s="60"/>
      <c r="Q6" s="60" t="s">
        <v>0</v>
      </c>
      <c r="R6" s="60" t="s">
        <v>1</v>
      </c>
      <c r="S6" s="60"/>
      <c r="T6" s="60" t="s">
        <v>0</v>
      </c>
      <c r="U6" s="60" t="s">
        <v>1</v>
      </c>
      <c r="V6" s="60"/>
      <c r="W6" s="60" t="s">
        <v>0</v>
      </c>
      <c r="X6" s="60" t="s">
        <v>1</v>
      </c>
      <c r="Y6" s="60"/>
      <c r="Z6" s="60" t="s">
        <v>0</v>
      </c>
      <c r="AA6" s="60" t="s">
        <v>1</v>
      </c>
      <c r="AB6" s="155"/>
    </row>
    <row r="7" spans="1:29" s="14" customFormat="1" ht="14.25" x14ac:dyDescent="0.2">
      <c r="A7" s="151"/>
      <c r="B7" s="62" t="s">
        <v>2</v>
      </c>
      <c r="C7" s="62" t="s">
        <v>3</v>
      </c>
      <c r="D7" s="62"/>
      <c r="E7" s="62" t="s">
        <v>2</v>
      </c>
      <c r="F7" s="62" t="s">
        <v>3</v>
      </c>
      <c r="G7" s="62"/>
      <c r="H7" s="62" t="s">
        <v>2</v>
      </c>
      <c r="I7" s="62" t="s">
        <v>3</v>
      </c>
      <c r="J7" s="62"/>
      <c r="K7" s="62" t="s">
        <v>2</v>
      </c>
      <c r="L7" s="62" t="s">
        <v>3</v>
      </c>
      <c r="M7" s="62"/>
      <c r="N7" s="62" t="s">
        <v>2</v>
      </c>
      <c r="O7" s="62" t="s">
        <v>3</v>
      </c>
      <c r="P7" s="62"/>
      <c r="Q7" s="62" t="s">
        <v>2</v>
      </c>
      <c r="R7" s="62" t="s">
        <v>3</v>
      </c>
      <c r="S7" s="62"/>
      <c r="T7" s="62" t="s">
        <v>2</v>
      </c>
      <c r="U7" s="62" t="s">
        <v>3</v>
      </c>
      <c r="V7" s="62"/>
      <c r="W7" s="62" t="s">
        <v>2</v>
      </c>
      <c r="X7" s="62" t="s">
        <v>3</v>
      </c>
      <c r="Y7" s="62"/>
      <c r="Z7" s="62" t="s">
        <v>2</v>
      </c>
      <c r="AA7" s="62" t="s">
        <v>3</v>
      </c>
      <c r="AB7" s="156"/>
    </row>
    <row r="8" spans="1:29" s="9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65" t="s">
        <v>5</v>
      </c>
    </row>
    <row r="9" spans="1:29" s="9" customFormat="1" ht="15.75" x14ac:dyDescent="0.4">
      <c r="A9" s="5" t="s">
        <v>14</v>
      </c>
      <c r="B9" s="78"/>
      <c r="C9" s="78"/>
      <c r="D9" s="78"/>
      <c r="E9" s="79"/>
      <c r="F9" s="79"/>
      <c r="G9" s="79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80"/>
      <c r="Z9" s="80"/>
      <c r="AA9" s="80"/>
      <c r="AB9" s="68" t="s">
        <v>15</v>
      </c>
    </row>
    <row r="10" spans="1:29" s="9" customFormat="1" ht="15.75" x14ac:dyDescent="0.4">
      <c r="A10" s="5" t="s">
        <v>16</v>
      </c>
      <c r="B10" s="78"/>
      <c r="C10" s="78"/>
      <c r="D10" s="78"/>
      <c r="E10" s="79"/>
      <c r="F10" s="79"/>
      <c r="G10" s="79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80"/>
      <c r="Z10" s="80"/>
      <c r="AA10" s="80"/>
      <c r="AB10" s="68" t="s">
        <v>17</v>
      </c>
    </row>
    <row r="11" spans="1:29" s="9" customFormat="1" ht="15.75" x14ac:dyDescent="0.4">
      <c r="A11" s="5" t="s">
        <v>18</v>
      </c>
      <c r="B11" s="78"/>
      <c r="C11" s="78"/>
      <c r="D11" s="78"/>
      <c r="E11" s="79"/>
      <c r="F11" s="79"/>
      <c r="G11" s="79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80"/>
      <c r="Z11" s="80"/>
      <c r="AA11" s="80"/>
      <c r="AB11" s="68" t="s">
        <v>19</v>
      </c>
    </row>
    <row r="12" spans="1:29" s="9" customFormat="1" ht="15.75" x14ac:dyDescent="0.4">
      <c r="A12" s="5" t="s">
        <v>20</v>
      </c>
      <c r="B12" s="78"/>
      <c r="C12" s="78"/>
      <c r="D12" s="78"/>
      <c r="E12" s="79"/>
      <c r="F12" s="79"/>
      <c r="G12" s="79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80"/>
      <c r="Z12" s="80"/>
      <c r="AA12" s="80"/>
      <c r="AB12" s="68" t="s">
        <v>21</v>
      </c>
    </row>
    <row r="13" spans="1:29" s="9" customFormat="1" ht="15.75" x14ac:dyDescent="0.4">
      <c r="A13" s="5" t="s">
        <v>22</v>
      </c>
      <c r="B13" s="78"/>
      <c r="C13" s="78"/>
      <c r="D13" s="78"/>
      <c r="E13" s="79"/>
      <c r="F13" s="79"/>
      <c r="G13" s="79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80"/>
      <c r="Z13" s="80"/>
      <c r="AA13" s="80"/>
      <c r="AB13" s="68" t="s">
        <v>23</v>
      </c>
    </row>
    <row r="14" spans="1:29" s="9" customFormat="1" ht="15.75" x14ac:dyDescent="0.4">
      <c r="A14" s="5" t="s">
        <v>24</v>
      </c>
      <c r="B14" s="78"/>
      <c r="C14" s="78"/>
      <c r="D14" s="78"/>
      <c r="E14" s="79"/>
      <c r="F14" s="79"/>
      <c r="G14" s="79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80"/>
      <c r="Z14" s="80"/>
      <c r="AA14" s="80"/>
      <c r="AB14" s="68" t="s">
        <v>25</v>
      </c>
    </row>
    <row r="15" spans="1:29" s="9" customFormat="1" ht="15.75" x14ac:dyDescent="0.4">
      <c r="A15" s="5" t="s">
        <v>26</v>
      </c>
      <c r="B15" s="78"/>
      <c r="C15" s="78"/>
      <c r="D15" s="78"/>
      <c r="E15" s="79"/>
      <c r="F15" s="79"/>
      <c r="G15" s="79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80"/>
      <c r="Z15" s="80"/>
      <c r="AA15" s="80"/>
      <c r="AB15" s="68" t="s">
        <v>27</v>
      </c>
    </row>
    <row r="16" spans="1:29" s="9" customFormat="1" ht="15.75" x14ac:dyDescent="0.4">
      <c r="A16" s="5" t="s">
        <v>28</v>
      </c>
      <c r="B16" s="78"/>
      <c r="C16" s="78"/>
      <c r="D16" s="78"/>
      <c r="E16" s="79"/>
      <c r="F16" s="79"/>
      <c r="G16" s="79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80"/>
      <c r="Z16" s="80"/>
      <c r="AA16" s="80"/>
      <c r="AB16" s="68" t="s">
        <v>29</v>
      </c>
    </row>
    <row r="17" spans="1:44" s="9" customFormat="1" ht="15.75" x14ac:dyDescent="0.4">
      <c r="A17" s="5" t="s">
        <v>30</v>
      </c>
      <c r="B17" s="78"/>
      <c r="C17" s="78"/>
      <c r="D17" s="78"/>
      <c r="E17" s="79"/>
      <c r="F17" s="79"/>
      <c r="G17" s="79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80"/>
      <c r="Z17" s="80"/>
      <c r="AA17" s="80"/>
      <c r="AB17" s="68" t="s">
        <v>31</v>
      </c>
    </row>
    <row r="18" spans="1:44" s="9" customFormat="1" ht="15.75" x14ac:dyDescent="0.4">
      <c r="A18" s="5" t="s">
        <v>32</v>
      </c>
      <c r="B18" s="78"/>
      <c r="C18" s="78"/>
      <c r="D18" s="78"/>
      <c r="E18" s="79"/>
      <c r="F18" s="79"/>
      <c r="G18" s="79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80"/>
      <c r="Z18" s="80"/>
      <c r="AA18" s="80"/>
      <c r="AB18" s="68" t="s">
        <v>33</v>
      </c>
    </row>
    <row r="19" spans="1:44" s="9" customFormat="1" ht="15.75" x14ac:dyDescent="0.4">
      <c r="A19" s="5" t="s">
        <v>34</v>
      </c>
      <c r="B19" s="78"/>
      <c r="C19" s="78"/>
      <c r="D19" s="78"/>
      <c r="E19" s="79"/>
      <c r="F19" s="79"/>
      <c r="G19" s="79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80"/>
      <c r="Z19" s="80"/>
      <c r="AA19" s="80"/>
      <c r="AB19" s="68" t="s">
        <v>35</v>
      </c>
    </row>
    <row r="20" spans="1:44" s="9" customFormat="1" ht="15.75" x14ac:dyDescent="0.4">
      <c r="A20" s="61" t="s">
        <v>36</v>
      </c>
      <c r="B20" s="81"/>
      <c r="C20" s="81"/>
      <c r="D20" s="81"/>
      <c r="E20" s="82"/>
      <c r="F20" s="82"/>
      <c r="G20" s="82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3"/>
      <c r="Z20" s="83"/>
      <c r="AA20" s="83"/>
      <c r="AB20" s="69" t="s">
        <v>37</v>
      </c>
    </row>
    <row r="21" spans="1:44" ht="18.75" x14ac:dyDescent="0.25">
      <c r="A21" s="6" t="s">
        <v>7</v>
      </c>
      <c r="AB21" s="8" t="s">
        <v>8</v>
      </c>
      <c r="AO21" s="9"/>
      <c r="AP21" s="59" t="s">
        <v>2</v>
      </c>
      <c r="AQ21" s="59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59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5" customFormat="1" ht="21.75" customHeight="1" x14ac:dyDescent="0.55000000000000004">
      <c r="A44" s="139" t="s">
        <v>9</v>
      </c>
      <c r="B44" s="86"/>
      <c r="D44" s="87"/>
      <c r="F44" s="87"/>
      <c r="G44" s="142" t="s">
        <v>38</v>
      </c>
      <c r="H44" s="143"/>
      <c r="I44" s="143"/>
      <c r="J44" s="143"/>
      <c r="K44" s="144"/>
      <c r="L44" s="74"/>
      <c r="M44" s="88"/>
      <c r="N44" s="74"/>
      <c r="O44" s="88"/>
      <c r="P44" s="145" t="s">
        <v>39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87"/>
      <c r="AC44" s="133" t="s">
        <v>40</v>
      </c>
      <c r="AD44" s="134"/>
      <c r="AE44" s="134"/>
      <c r="AF44" s="134"/>
      <c r="AG44" s="134"/>
      <c r="AH44" s="134"/>
      <c r="AI44" s="134"/>
      <c r="AJ44" s="134"/>
      <c r="AK44" s="73"/>
      <c r="AL44" s="133" t="s">
        <v>41</v>
      </c>
      <c r="AM44" s="134"/>
      <c r="AN44" s="134"/>
      <c r="AO44" s="134"/>
      <c r="AP44" s="134"/>
      <c r="AQ44" s="134"/>
      <c r="AR44" s="134"/>
      <c r="AS44" s="73"/>
      <c r="AT44" s="133" t="s">
        <v>42</v>
      </c>
      <c r="AU44" s="134"/>
      <c r="AV44" s="134"/>
      <c r="AW44" s="134"/>
      <c r="AX44" s="134"/>
      <c r="AY44" s="84"/>
      <c r="AZ44" s="73"/>
      <c r="BA44" s="133" t="s">
        <v>43</v>
      </c>
      <c r="BB44" s="134"/>
      <c r="BC44" s="134"/>
      <c r="BD44" s="134"/>
      <c r="BE44" s="135"/>
      <c r="BF44" s="72"/>
      <c r="BG44" s="136" t="s">
        <v>44</v>
      </c>
      <c r="BH44" s="137"/>
      <c r="BI44" s="137"/>
      <c r="BJ44" s="137"/>
      <c r="BK44" s="138"/>
      <c r="BL44" s="133" t="s">
        <v>45</v>
      </c>
      <c r="BM44" s="134"/>
      <c r="BN44" s="134"/>
      <c r="BO44" s="134"/>
      <c r="BP44" s="135"/>
      <c r="BQ44" s="133" t="s">
        <v>46</v>
      </c>
      <c r="BR44" s="134"/>
      <c r="BS44" s="134"/>
      <c r="BT44" s="117" t="s">
        <v>11</v>
      </c>
    </row>
    <row r="45" spans="1:80" s="76" customFormat="1" ht="16.5" customHeight="1" x14ac:dyDescent="0.25">
      <c r="A45" s="140"/>
      <c r="B45" s="89"/>
      <c r="D45" s="90"/>
      <c r="F45" s="90"/>
      <c r="G45" s="120" t="s">
        <v>47</v>
      </c>
      <c r="H45" s="121"/>
      <c r="I45" s="121"/>
      <c r="J45" s="121"/>
      <c r="K45" s="122"/>
      <c r="M45" s="90"/>
      <c r="O45" s="90"/>
      <c r="P45" s="123" t="s">
        <v>48</v>
      </c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90"/>
      <c r="AC45" s="125" t="s">
        <v>64</v>
      </c>
      <c r="AD45" s="126"/>
      <c r="AE45" s="126"/>
      <c r="AF45" s="126"/>
      <c r="AG45" s="126"/>
      <c r="AH45" s="126"/>
      <c r="AI45" s="126"/>
      <c r="AJ45" s="126"/>
      <c r="AK45" s="77"/>
      <c r="AL45" s="125" t="s">
        <v>65</v>
      </c>
      <c r="AM45" s="126"/>
      <c r="AN45" s="126"/>
      <c r="AO45" s="126"/>
      <c r="AP45" s="126"/>
      <c r="AQ45" s="126"/>
      <c r="AR45" s="126"/>
      <c r="AS45" s="77"/>
      <c r="AT45" s="125" t="s">
        <v>66</v>
      </c>
      <c r="AU45" s="126"/>
      <c r="AV45" s="126"/>
      <c r="AW45" s="126"/>
      <c r="AX45" s="126"/>
      <c r="AY45" s="85"/>
      <c r="AZ45" s="77"/>
      <c r="BA45" s="127" t="s">
        <v>67</v>
      </c>
      <c r="BB45" s="128"/>
      <c r="BC45" s="128"/>
      <c r="BD45" s="128"/>
      <c r="BE45" s="129"/>
      <c r="BG45" s="130" t="s">
        <v>68</v>
      </c>
      <c r="BH45" s="131"/>
      <c r="BI45" s="131"/>
      <c r="BJ45" s="131"/>
      <c r="BK45" s="132"/>
      <c r="BL45" s="127" t="s">
        <v>69</v>
      </c>
      <c r="BM45" s="128"/>
      <c r="BN45" s="128"/>
      <c r="BO45" s="128"/>
      <c r="BP45" s="129"/>
      <c r="BQ45" s="127" t="s">
        <v>70</v>
      </c>
      <c r="BR45" s="128"/>
      <c r="BS45" s="128"/>
      <c r="BT45" s="118"/>
    </row>
    <row r="46" spans="1:80" ht="23.25" customHeight="1" x14ac:dyDescent="0.25">
      <c r="A46" s="141"/>
      <c r="B46" s="91"/>
      <c r="C46" s="92">
        <v>2011</v>
      </c>
      <c r="D46" s="92">
        <v>2012</v>
      </c>
      <c r="E46" s="93">
        <v>2013</v>
      </c>
      <c r="F46" s="94">
        <v>2014</v>
      </c>
      <c r="G46" s="95">
        <v>2015</v>
      </c>
      <c r="H46" s="96">
        <v>2016</v>
      </c>
      <c r="I46" s="97">
        <v>2017</v>
      </c>
      <c r="J46" s="97">
        <v>2018</v>
      </c>
      <c r="K46" s="97">
        <v>2019</v>
      </c>
      <c r="L46" s="98">
        <v>2011</v>
      </c>
      <c r="M46" s="98">
        <v>2012</v>
      </c>
      <c r="N46" s="98">
        <v>2013</v>
      </c>
      <c r="O46" s="97">
        <v>2014</v>
      </c>
      <c r="P46" s="95">
        <v>2015</v>
      </c>
      <c r="Q46" s="97">
        <v>2016</v>
      </c>
      <c r="R46" s="98">
        <v>2011</v>
      </c>
      <c r="S46" s="98">
        <v>2012</v>
      </c>
      <c r="T46" s="97">
        <v>2013</v>
      </c>
      <c r="U46" s="97">
        <v>2014</v>
      </c>
      <c r="V46" s="98">
        <v>2011</v>
      </c>
      <c r="W46" s="98">
        <v>2012</v>
      </c>
      <c r="X46" s="97">
        <v>2013</v>
      </c>
      <c r="Y46" s="97">
        <v>2017</v>
      </c>
      <c r="Z46" s="97">
        <v>2018</v>
      </c>
      <c r="AA46" s="99">
        <v>2019</v>
      </c>
      <c r="AB46" s="97">
        <v>2014</v>
      </c>
      <c r="AC46" s="24">
        <v>2015</v>
      </c>
      <c r="AD46" s="24">
        <v>2016</v>
      </c>
      <c r="AE46" s="63">
        <v>2011</v>
      </c>
      <c r="AF46" s="63">
        <v>2012</v>
      </c>
      <c r="AG46" s="63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3">
        <v>2012</v>
      </c>
      <c r="AQ46" s="63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3">
        <v>2013</v>
      </c>
      <c r="AW46" s="24">
        <v>2017</v>
      </c>
      <c r="AX46" s="24">
        <v>2018</v>
      </c>
      <c r="AY46" s="24">
        <v>2019</v>
      </c>
      <c r="AZ46" s="63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3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19"/>
      <c r="BU46" s="3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 t="shared" ref="X47:AD47" si="1">SUM(X48:X59)</f>
        <v>2432</v>
      </c>
      <c r="Y47" s="32">
        <f t="shared" si="1"/>
        <v>5182</v>
      </c>
      <c r="Z47" s="32">
        <f t="shared" si="1"/>
        <v>4726</v>
      </c>
      <c r="AA47" s="33">
        <f t="shared" si="1"/>
        <v>4794</v>
      </c>
      <c r="AB47" s="32">
        <f t="shared" si="1"/>
        <v>2773</v>
      </c>
      <c r="AC47" s="32">
        <f t="shared" si="1"/>
        <v>2151</v>
      </c>
      <c r="AD47" s="32">
        <f t="shared" si="1"/>
        <v>1998</v>
      </c>
      <c r="AE47" s="32">
        <f t="shared" si="0"/>
        <v>769</v>
      </c>
      <c r="AF47" s="32">
        <f t="shared" si="0"/>
        <v>3315</v>
      </c>
      <c r="AG47" s="32">
        <f t="shared" ref="AG47:AO47" si="2">SUM(AG48:AG59)</f>
        <v>4519</v>
      </c>
      <c r="AH47" s="32">
        <f t="shared" si="2"/>
        <v>1845</v>
      </c>
      <c r="AI47" s="32">
        <f t="shared" si="2"/>
        <v>1799</v>
      </c>
      <c r="AJ47" s="32">
        <f t="shared" si="2"/>
        <v>2485</v>
      </c>
      <c r="AK47" s="32">
        <f t="shared" si="2"/>
        <v>4924</v>
      </c>
      <c r="AL47" s="30">
        <f t="shared" si="2"/>
        <v>4265</v>
      </c>
      <c r="AM47" s="32">
        <f t="shared" si="2"/>
        <v>3963</v>
      </c>
      <c r="AN47" s="32">
        <f t="shared" si="2"/>
        <v>4305</v>
      </c>
      <c r="AO47" s="32">
        <f t="shared" si="2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>SUM(AU48:AU59)</f>
        <v>3870</v>
      </c>
      <c r="AV47" s="32">
        <f t="shared" si="0"/>
        <v>2906</v>
      </c>
      <c r="AW47" s="32">
        <f t="shared" si="0"/>
        <v>4198</v>
      </c>
      <c r="AX47" s="32">
        <f>SUM(AX48:AX59)</f>
        <v>4532</v>
      </c>
      <c r="AY47" s="32">
        <f>SUM(AY48:AY59)</f>
        <v>5159</v>
      </c>
      <c r="AZ47" s="32">
        <f t="shared" si="0"/>
        <v>2076</v>
      </c>
      <c r="BA47" s="30">
        <f t="shared" ref="BA47:BL47" si="3">SUM(BA48:BA59)</f>
        <v>1988</v>
      </c>
      <c r="BB47" s="32">
        <f t="shared" si="3"/>
        <v>1916</v>
      </c>
      <c r="BC47" s="32">
        <f t="shared" si="3"/>
        <v>1916</v>
      </c>
      <c r="BD47" s="32">
        <f t="shared" si="3"/>
        <v>1975</v>
      </c>
      <c r="BE47" s="32">
        <f t="shared" si="3"/>
        <v>2043</v>
      </c>
      <c r="BF47" s="32">
        <f t="shared" si="3"/>
        <v>826</v>
      </c>
      <c r="BG47" s="30">
        <f t="shared" si="3"/>
        <v>331</v>
      </c>
      <c r="BH47" s="32">
        <f t="shared" si="3"/>
        <v>269</v>
      </c>
      <c r="BI47" s="32">
        <f t="shared" si="3"/>
        <v>245</v>
      </c>
      <c r="BJ47" s="32">
        <f t="shared" si="3"/>
        <v>246</v>
      </c>
      <c r="BK47" s="33">
        <f t="shared" si="3"/>
        <v>241</v>
      </c>
      <c r="BL47" s="30">
        <f t="shared" si="3"/>
        <v>552</v>
      </c>
      <c r="BM47" s="32">
        <f t="shared" ref="BM47:BS47" si="4">SUM(BM48:BM59)</f>
        <v>1475</v>
      </c>
      <c r="BN47" s="32">
        <f t="shared" si="4"/>
        <v>1911</v>
      </c>
      <c r="BO47" s="32">
        <f t="shared" si="4"/>
        <v>1898</v>
      </c>
      <c r="BP47" s="32">
        <f t="shared" si="4"/>
        <v>1940</v>
      </c>
      <c r="BQ47" s="30">
        <f t="shared" si="4"/>
        <v>488</v>
      </c>
      <c r="BR47" s="34">
        <f t="shared" si="4"/>
        <v>1941</v>
      </c>
      <c r="BS47" s="34">
        <f t="shared" si="4"/>
        <v>2224</v>
      </c>
      <c r="BT47" s="70" t="s">
        <v>5</v>
      </c>
    </row>
    <row r="48" spans="1:80" ht="23.25" customHeight="1" x14ac:dyDescent="0.4">
      <c r="A48" s="35" t="s">
        <v>14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60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60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60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61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61</v>
      </c>
      <c r="BR48" s="40">
        <v>171</v>
      </c>
      <c r="BS48" s="40">
        <v>176</v>
      </c>
      <c r="BT48" s="68" t="s">
        <v>15</v>
      </c>
      <c r="BY48" s="22"/>
      <c r="BZ48" s="22"/>
      <c r="CA48" s="22"/>
      <c r="CB48" s="22"/>
    </row>
    <row r="49" spans="1:80" ht="23.25" customHeight="1" x14ac:dyDescent="0.4">
      <c r="A49" s="35" t="s">
        <v>16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60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60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60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61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61</v>
      </c>
      <c r="BR49" s="40">
        <v>168</v>
      </c>
      <c r="BS49" s="40">
        <v>181</v>
      </c>
      <c r="BT49" s="68" t="s">
        <v>17</v>
      </c>
    </row>
    <row r="50" spans="1:80" ht="23.25" customHeight="1" x14ac:dyDescent="0.4">
      <c r="A50" s="35" t="s">
        <v>18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60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60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60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61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61</v>
      </c>
      <c r="BR50" s="40">
        <v>150</v>
      </c>
      <c r="BS50" s="40">
        <v>202</v>
      </c>
      <c r="BT50" s="68" t="s">
        <v>19</v>
      </c>
    </row>
    <row r="51" spans="1:80" ht="23.25" customHeight="1" x14ac:dyDescent="0.4">
      <c r="A51" s="35" t="s">
        <v>20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60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60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60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61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61</v>
      </c>
      <c r="BR51" s="40">
        <v>161</v>
      </c>
      <c r="BS51" s="40">
        <v>181</v>
      </c>
      <c r="BT51" s="68" t="s">
        <v>21</v>
      </c>
      <c r="BY51" s="22"/>
      <c r="BZ51" s="22"/>
      <c r="CA51" s="22"/>
      <c r="CB51" s="22"/>
    </row>
    <row r="52" spans="1:80" ht="23.25" customHeight="1" x14ac:dyDescent="0.4">
      <c r="A52" s="35" t="s">
        <v>22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60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60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60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61</v>
      </c>
      <c r="BR52" s="40">
        <v>148</v>
      </c>
      <c r="BS52" s="40">
        <v>184</v>
      </c>
      <c r="BT52" s="68" t="s">
        <v>23</v>
      </c>
    </row>
    <row r="53" spans="1:80" ht="23.25" customHeight="1" x14ac:dyDescent="0.4">
      <c r="A53" s="35" t="s">
        <v>24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60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60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60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61</v>
      </c>
      <c r="BR53" s="40">
        <v>123</v>
      </c>
      <c r="BS53" s="40">
        <v>166</v>
      </c>
      <c r="BT53" s="68" t="s">
        <v>25</v>
      </c>
    </row>
    <row r="54" spans="1:80" ht="23.25" customHeight="1" x14ac:dyDescent="0.4">
      <c r="A54" s="35" t="s">
        <v>26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60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60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60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61</v>
      </c>
      <c r="BR54" s="40">
        <v>157</v>
      </c>
      <c r="BS54" s="40">
        <v>176</v>
      </c>
      <c r="BT54" s="68" t="s">
        <v>27</v>
      </c>
      <c r="BY54" s="22"/>
      <c r="BZ54" s="22"/>
      <c r="CA54" s="22"/>
      <c r="CB54" s="22"/>
    </row>
    <row r="55" spans="1:80" ht="23.25" customHeight="1" x14ac:dyDescent="0.4">
      <c r="A55" s="35" t="s">
        <v>28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60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60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60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61</v>
      </c>
      <c r="BR55" s="40">
        <v>172</v>
      </c>
      <c r="BS55" s="40">
        <v>189</v>
      </c>
      <c r="BT55" s="68" t="s">
        <v>29</v>
      </c>
    </row>
    <row r="56" spans="1:80" ht="23.25" customHeight="1" x14ac:dyDescent="0.4">
      <c r="A56" s="35" t="s">
        <v>30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60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60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60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61</v>
      </c>
      <c r="BR56" s="40">
        <v>165</v>
      </c>
      <c r="BS56" s="40">
        <v>161</v>
      </c>
      <c r="BT56" s="68" t="s">
        <v>31</v>
      </c>
    </row>
    <row r="57" spans="1:80" ht="23.25" customHeight="1" x14ac:dyDescent="0.4">
      <c r="A57" s="35" t="s">
        <v>32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68" t="s">
        <v>33</v>
      </c>
      <c r="BY57" s="22"/>
      <c r="BZ57" s="22"/>
      <c r="CA57" s="22"/>
      <c r="CB57" s="22"/>
    </row>
    <row r="58" spans="1:80" ht="23.25" customHeight="1" x14ac:dyDescent="0.4">
      <c r="A58" s="35" t="s">
        <v>34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68" t="s">
        <v>35</v>
      </c>
    </row>
    <row r="59" spans="1:80" ht="23.25" customHeight="1" x14ac:dyDescent="0.4">
      <c r="A59" s="44" t="s">
        <v>36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9" t="s">
        <v>37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J18"/>
  <sheetViews>
    <sheetView tabSelected="1" zoomScale="112" zoomScaleNormal="112" workbookViewId="0">
      <selection activeCell="E28" sqref="E28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64" customWidth="1"/>
    <col min="10" max="10" width="12.140625" style="1" customWidth="1"/>
    <col min="11" max="16384" width="9.140625" style="1"/>
  </cols>
  <sheetData>
    <row r="1" spans="1:10" ht="21" x14ac:dyDescent="0.25">
      <c r="A1" s="160" t="s">
        <v>73</v>
      </c>
      <c r="B1" s="160"/>
      <c r="C1" s="160"/>
      <c r="D1" s="160"/>
      <c r="E1" s="160"/>
      <c r="F1" s="160"/>
      <c r="G1" s="160"/>
      <c r="H1" s="160"/>
      <c r="I1" s="160"/>
    </row>
    <row r="2" spans="1:10" ht="15" x14ac:dyDescent="0.25">
      <c r="A2" s="157" t="s">
        <v>74</v>
      </c>
      <c r="B2" s="157"/>
      <c r="C2" s="157"/>
      <c r="D2" s="157"/>
      <c r="E2" s="157"/>
      <c r="F2" s="157"/>
      <c r="G2" s="157"/>
      <c r="H2" s="157"/>
      <c r="I2" s="157"/>
    </row>
    <row r="3" spans="1:10" ht="15" x14ac:dyDescent="0.25">
      <c r="A3" s="105"/>
      <c r="B3" s="53"/>
      <c r="C3" s="159" t="s">
        <v>6</v>
      </c>
      <c r="D3" s="159"/>
      <c r="E3" s="159"/>
      <c r="F3" s="158" t="s">
        <v>10</v>
      </c>
      <c r="G3" s="159"/>
      <c r="H3" s="159"/>
      <c r="I3" s="161" t="s">
        <v>11</v>
      </c>
    </row>
    <row r="4" spans="1:10" ht="15" x14ac:dyDescent="0.25">
      <c r="A4" s="106" t="s">
        <v>9</v>
      </c>
      <c r="B4" s="109" t="s">
        <v>62</v>
      </c>
      <c r="C4" s="10" t="s">
        <v>12</v>
      </c>
      <c r="D4" s="10" t="s">
        <v>13</v>
      </c>
      <c r="E4" s="100" t="s">
        <v>63</v>
      </c>
      <c r="F4" s="108" t="s">
        <v>12</v>
      </c>
      <c r="G4" s="110" t="s">
        <v>13</v>
      </c>
      <c r="H4" s="111" t="s">
        <v>63</v>
      </c>
      <c r="I4" s="162"/>
      <c r="J4" s="3"/>
    </row>
    <row r="5" spans="1:10" ht="15.75" x14ac:dyDescent="0.25">
      <c r="A5" s="2" t="s">
        <v>4</v>
      </c>
      <c r="B5" s="103">
        <f>SUM(C5:H5)</f>
        <v>155736</v>
      </c>
      <c r="C5" s="103">
        <f t="shared" ref="C5:H5" si="0">SUM(C6:C17)</f>
        <v>9062</v>
      </c>
      <c r="D5" s="103">
        <f t="shared" si="0"/>
        <v>9308</v>
      </c>
      <c r="E5" s="103">
        <f t="shared" si="0"/>
        <v>0</v>
      </c>
      <c r="F5" s="112">
        <f t="shared" si="0"/>
        <v>67640</v>
      </c>
      <c r="G5" s="52">
        <f t="shared" si="0"/>
        <v>69028</v>
      </c>
      <c r="H5" s="52">
        <f t="shared" si="0"/>
        <v>698</v>
      </c>
      <c r="I5" s="65" t="s">
        <v>5</v>
      </c>
    </row>
    <row r="6" spans="1:10" ht="15.75" x14ac:dyDescent="0.25">
      <c r="A6" s="101" t="s">
        <v>14</v>
      </c>
      <c r="B6" s="52">
        <f t="shared" ref="B6:B17" si="1">SUM(C6:H6)</f>
        <v>14366</v>
      </c>
      <c r="C6" s="11">
        <v>1242</v>
      </c>
      <c r="D6" s="11">
        <v>806</v>
      </c>
      <c r="E6" s="11">
        <v>0</v>
      </c>
      <c r="F6" s="114">
        <v>6573</v>
      </c>
      <c r="G6" s="11">
        <v>5719</v>
      </c>
      <c r="H6" s="11">
        <v>26</v>
      </c>
      <c r="I6" s="66" t="s">
        <v>15</v>
      </c>
    </row>
    <row r="7" spans="1:10" ht="15.75" x14ac:dyDescent="0.25">
      <c r="A7" s="101" t="s">
        <v>16</v>
      </c>
      <c r="B7" s="52">
        <f t="shared" si="1"/>
        <v>15085</v>
      </c>
      <c r="C7" s="11">
        <v>780</v>
      </c>
      <c r="D7" s="11">
        <v>714</v>
      </c>
      <c r="E7" s="11">
        <v>0</v>
      </c>
      <c r="F7" s="114">
        <v>6881</v>
      </c>
      <c r="G7" s="11">
        <v>6655</v>
      </c>
      <c r="H7" s="11">
        <v>55</v>
      </c>
      <c r="I7" s="66" t="s">
        <v>17</v>
      </c>
    </row>
    <row r="8" spans="1:10" ht="15.75" x14ac:dyDescent="0.25">
      <c r="A8" s="101" t="s">
        <v>18</v>
      </c>
      <c r="B8" s="52">
        <f t="shared" si="1"/>
        <v>15194</v>
      </c>
      <c r="C8" s="11">
        <v>617</v>
      </c>
      <c r="D8" s="11">
        <v>664</v>
      </c>
      <c r="E8" s="11">
        <v>0</v>
      </c>
      <c r="F8" s="114">
        <v>7035</v>
      </c>
      <c r="G8" s="11">
        <v>6694</v>
      </c>
      <c r="H8" s="11">
        <v>184</v>
      </c>
      <c r="I8" s="66" t="s">
        <v>19</v>
      </c>
    </row>
    <row r="9" spans="1:10" ht="15.75" x14ac:dyDescent="0.25">
      <c r="A9" s="101" t="s">
        <v>20</v>
      </c>
      <c r="B9" s="52">
        <f t="shared" si="1"/>
        <v>16151</v>
      </c>
      <c r="C9" s="11">
        <v>704</v>
      </c>
      <c r="D9" s="11">
        <v>927</v>
      </c>
      <c r="E9" s="11">
        <v>0</v>
      </c>
      <c r="F9" s="114">
        <v>6409</v>
      </c>
      <c r="G9" s="11">
        <v>8013</v>
      </c>
      <c r="H9" s="11">
        <v>98</v>
      </c>
      <c r="I9" s="66" t="s">
        <v>56</v>
      </c>
    </row>
    <row r="10" spans="1:10" ht="15.75" x14ac:dyDescent="0.25">
      <c r="A10" s="101" t="s">
        <v>22</v>
      </c>
      <c r="B10" s="52">
        <f t="shared" si="1"/>
        <v>14802</v>
      </c>
      <c r="C10" s="11">
        <v>965</v>
      </c>
      <c r="D10" s="11">
        <v>737</v>
      </c>
      <c r="E10" s="11">
        <v>0</v>
      </c>
      <c r="F10" s="114">
        <v>6578</v>
      </c>
      <c r="G10" s="11">
        <v>6478</v>
      </c>
      <c r="H10" s="11">
        <v>44</v>
      </c>
      <c r="I10" s="66" t="s">
        <v>23</v>
      </c>
    </row>
    <row r="11" spans="1:10" ht="15.75" x14ac:dyDescent="0.25">
      <c r="A11" s="101" t="s">
        <v>24</v>
      </c>
      <c r="B11" s="52">
        <f t="shared" si="1"/>
        <v>12025</v>
      </c>
      <c r="C11" s="11">
        <v>808</v>
      </c>
      <c r="D11" s="11">
        <v>618</v>
      </c>
      <c r="E11" s="11">
        <v>0</v>
      </c>
      <c r="F11" s="114">
        <v>5081</v>
      </c>
      <c r="G11" s="11">
        <v>5518</v>
      </c>
      <c r="H11" s="11">
        <v>0</v>
      </c>
      <c r="I11" s="66" t="s">
        <v>25</v>
      </c>
    </row>
    <row r="12" spans="1:10" ht="15.75" x14ac:dyDescent="0.25">
      <c r="A12" s="101" t="s">
        <v>26</v>
      </c>
      <c r="B12" s="52">
        <f t="shared" si="1"/>
        <v>9918</v>
      </c>
      <c r="C12" s="11">
        <v>763</v>
      </c>
      <c r="D12" s="11">
        <v>578</v>
      </c>
      <c r="E12" s="11">
        <v>0</v>
      </c>
      <c r="F12" s="114">
        <v>4533</v>
      </c>
      <c r="G12" s="11">
        <v>4044</v>
      </c>
      <c r="H12" s="11">
        <v>0</v>
      </c>
      <c r="I12" s="66" t="s">
        <v>27</v>
      </c>
    </row>
    <row r="13" spans="1:10" ht="15.75" x14ac:dyDescent="0.25">
      <c r="A13" s="101" t="s">
        <v>28</v>
      </c>
      <c r="B13" s="52">
        <f t="shared" si="1"/>
        <v>9906</v>
      </c>
      <c r="C13" s="11">
        <v>701</v>
      </c>
      <c r="D13" s="11">
        <v>697</v>
      </c>
      <c r="E13" s="11">
        <v>0</v>
      </c>
      <c r="F13" s="114">
        <v>4099</v>
      </c>
      <c r="G13" s="11">
        <v>4343</v>
      </c>
      <c r="H13" s="11">
        <v>66</v>
      </c>
      <c r="I13" s="66" t="s">
        <v>57</v>
      </c>
    </row>
    <row r="14" spans="1:10" ht="15.75" x14ac:dyDescent="0.25">
      <c r="A14" s="101" t="s">
        <v>30</v>
      </c>
      <c r="B14" s="52">
        <f t="shared" si="1"/>
        <v>10057</v>
      </c>
      <c r="C14" s="11">
        <v>0</v>
      </c>
      <c r="D14" s="11">
        <v>640</v>
      </c>
      <c r="E14" s="11">
        <v>0</v>
      </c>
      <c r="F14" s="114">
        <v>4730</v>
      </c>
      <c r="G14" s="11">
        <v>4680</v>
      </c>
      <c r="H14" s="11">
        <v>7</v>
      </c>
      <c r="I14" s="66" t="s">
        <v>31</v>
      </c>
    </row>
    <row r="15" spans="1:10" ht="15.75" x14ac:dyDescent="0.25">
      <c r="A15" s="101" t="s">
        <v>32</v>
      </c>
      <c r="B15" s="52">
        <f t="shared" si="1"/>
        <v>11751</v>
      </c>
      <c r="C15" s="11">
        <v>1059</v>
      </c>
      <c r="D15" s="11">
        <v>870</v>
      </c>
      <c r="E15" s="11">
        <v>0</v>
      </c>
      <c r="F15" s="114">
        <v>4734</v>
      </c>
      <c r="G15" s="11">
        <v>5073</v>
      </c>
      <c r="H15" s="11">
        <v>15</v>
      </c>
      <c r="I15" s="66" t="s">
        <v>58</v>
      </c>
    </row>
    <row r="16" spans="1:10" ht="15.75" x14ac:dyDescent="0.25">
      <c r="A16" s="101" t="s">
        <v>34</v>
      </c>
      <c r="B16" s="52">
        <f t="shared" si="1"/>
        <v>11537</v>
      </c>
      <c r="C16" s="11">
        <v>657</v>
      </c>
      <c r="D16" s="11">
        <v>675</v>
      </c>
      <c r="E16" s="11">
        <v>0</v>
      </c>
      <c r="F16" s="114">
        <v>4937</v>
      </c>
      <c r="G16" s="11">
        <v>5145</v>
      </c>
      <c r="H16" s="11">
        <v>123</v>
      </c>
      <c r="I16" s="66" t="s">
        <v>35</v>
      </c>
    </row>
    <row r="17" spans="1:9" s="54" customFormat="1" ht="15.75" x14ac:dyDescent="0.25">
      <c r="A17" s="102" t="s">
        <v>36</v>
      </c>
      <c r="B17" s="107">
        <f t="shared" si="1"/>
        <v>14944</v>
      </c>
      <c r="C17" s="104">
        <v>766</v>
      </c>
      <c r="D17" s="104">
        <v>1382</v>
      </c>
      <c r="E17" s="115">
        <v>0</v>
      </c>
      <c r="F17" s="116">
        <v>6050</v>
      </c>
      <c r="G17" s="104">
        <v>6666</v>
      </c>
      <c r="H17" s="104">
        <v>80</v>
      </c>
      <c r="I17" s="113" t="s">
        <v>37</v>
      </c>
    </row>
    <row r="18" spans="1:9" ht="18.75" x14ac:dyDescent="0.25">
      <c r="A18" s="55" t="s">
        <v>7</v>
      </c>
      <c r="B18" s="56"/>
      <c r="C18" s="56"/>
      <c r="D18" s="56"/>
      <c r="E18" s="56"/>
      <c r="F18" s="56"/>
      <c r="G18" s="56"/>
      <c r="H18" s="57"/>
      <c r="I18" s="58" t="s">
        <v>8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11.21 </vt:lpstr>
      <vt:lpstr>'11.21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2025-07-20T05:05:08Z</cp:lastPrinted>
  <dcterms:created xsi:type="dcterms:W3CDTF">2019-03-24T03:32:16Z</dcterms:created>
  <dcterms:modified xsi:type="dcterms:W3CDTF">2025-07-20T05:05:13Z</dcterms:modified>
</cp:coreProperties>
</file>