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Money and BAnking\"/>
    </mc:Choice>
  </mc:AlternateContent>
  <xr:revisionPtr revIDLastSave="0" documentId="13_ncr:1_{39F2614A-DE92-4DDE-A887-0C4A20C155BF}" xr6:coauthVersionLast="47" xr6:coauthVersionMax="47" xr10:uidLastSave="{00000000-0000-0000-0000-000000000000}"/>
  <bookViews>
    <workbookView xWindow="-120" yWindow="-120" windowWidth="29040" windowHeight="15720" tabRatio="626" xr2:uid="{00000000-000D-0000-FFFF-FFFF00000000}"/>
  </bookViews>
  <sheets>
    <sheet name="14.1" sheetId="2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'14.1'!$A$1:$T$40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0" i="2" l="1"/>
  <c r="N33" i="2"/>
  <c r="O34" i="2"/>
  <c r="P34" i="2"/>
  <c r="Q34" i="2"/>
  <c r="N34" i="2"/>
  <c r="O33" i="2"/>
  <c r="P33" i="2"/>
  <c r="Q33" i="2"/>
  <c r="O27" i="2"/>
  <c r="O32" i="2"/>
  <c r="P32" i="2"/>
  <c r="Q32" i="2"/>
  <c r="N32" i="2"/>
  <c r="O31" i="2"/>
  <c r="P31" i="2"/>
  <c r="Q31" i="2"/>
  <c r="N31" i="2"/>
  <c r="N29" i="2"/>
  <c r="N28" i="2"/>
  <c r="O28" i="2"/>
  <c r="P28" i="2"/>
  <c r="Q28" i="2"/>
  <c r="O29" i="2"/>
  <c r="P29" i="2"/>
  <c r="Q29" i="2"/>
  <c r="O30" i="2"/>
  <c r="P30" i="2"/>
  <c r="Q30" i="2"/>
  <c r="N27" i="2"/>
  <c r="Q27" i="2"/>
  <c r="P27" i="2"/>
</calcChain>
</file>

<file path=xl/sharedStrings.xml><?xml version="1.0" encoding="utf-8"?>
<sst xmlns="http://schemas.openxmlformats.org/spreadsheetml/2006/main" count="91" uniqueCount="61">
  <si>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</si>
  <si>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</si>
  <si>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</si>
  <si>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</si>
  <si>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</si>
  <si>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</si>
  <si>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</si>
  <si>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</si>
  <si>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</si>
  <si>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</si>
  <si>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</si>
  <si>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</si>
  <si>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Other items (net)</t>
  </si>
  <si>
    <t>Annual percentage change</t>
  </si>
  <si>
    <t>Net foreign assets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</si>
  <si>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</si>
  <si>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</si>
  <si>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</si>
  <si>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</si>
  <si>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>Net claims on central government</t>
  </si>
  <si>
    <t>Claims on other sectors</t>
  </si>
  <si>
    <t>Monetary base</t>
  </si>
  <si>
    <t>މަނިޓަރީބޭސް</t>
  </si>
  <si>
    <t xml:space="preserve">ވިޔަފާރި ބޭންކް ތަކަށް ލިބެންވާ </t>
  </si>
  <si>
    <t>އެހެނިހެން ފަރާތްތަކަށް ލިބެންވާ</t>
  </si>
  <si>
    <t>Claims on non-residents</t>
  </si>
  <si>
    <t>Liabilities to non-residents</t>
  </si>
  <si>
    <t>Currency in circulation</t>
  </si>
  <si>
    <t>ނޯޓް:</t>
  </si>
  <si>
    <t>NOTE:</t>
  </si>
  <si>
    <t/>
  </si>
  <si>
    <t>Claims on nonresidents</t>
  </si>
  <si>
    <t>Liabilities to nonresidents</t>
  </si>
  <si>
    <t>Liabilities to other depository corporations</t>
  </si>
  <si>
    <t>ތަފްޞީލް</t>
  </si>
  <si>
    <t>Net domestic assets</t>
  </si>
  <si>
    <t>Liabilities to other sectors</t>
  </si>
  <si>
    <t>Liabilities to ODC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</si>
  <si>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Claims on central government</t>
    </r>
  </si>
  <si>
    <t xml:space="preserve">ނެޓް ފޮރިން އެސެޓްސް </t>
  </si>
  <si>
    <t xml:space="preserve">ނެޓް ޑޮމެސްޓިކް އެސެޓްސް 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</si>
  <si>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</si>
  <si>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</si>
  <si>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</si>
  <si>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ފަރާތްތަކުން އަދާކުރަންޖެހޭ ފައިސާ</t>
  </si>
  <si>
    <t>އެހެނިހެން އެސެޓްސް (ސާފުބާކީ)</t>
  </si>
  <si>
    <t>ދައުރުވާ ފައިސާ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</si>
  <si>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</si>
  <si>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</si>
  <si>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</si>
  <si>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</si>
  <si>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</si>
  <si>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Currency in circulation</t>
    </r>
  </si>
  <si>
    <t>މީގެ ތެރެއިން: ދައުރުވާ ފައިސާ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</si>
  <si>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Net claims on central government</t>
    </r>
  </si>
  <si>
    <t>މީގެ ތެރެއިން: ސަރުކާރުން އަދާކުރަންޖެހޭ ފައިސާ (ސާފުބާކީ)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</si>
  <si>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</si>
  <si>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</si>
  <si>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</si>
  <si>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            ތާވަލު 14.1 : މަރުކަޒީ ބޭންކުގެ ސަރވޭ 2021- 2024            </t>
  </si>
  <si>
    <t xml:space="preserve"> Table 14.1: CENTRAL BANK SURVEY, 2021 - 2024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</si>
</sst>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365F91"/>
      <name val="Calibri"/>
      <family val="2"/>
    </font>
    <font>
      <vertAlign val="superscript"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color rgb="FFFF0000"/>
      <name val="Faruma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b/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4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4" fillId="0" borderId="0" applyFill="0" applyBorder="0" applyAlignment="0"/>
    <xf numFmtId="0" fontId="28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17" fontId="4" fillId="0" borderId="0" applyFont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10" applyNumberFormat="0" applyAlignment="0" applyProtection="0">
      <alignment horizontal="left" vertical="center"/>
    </xf>
    <xf numFmtId="0" fontId="34" fillId="0" borderId="7">
      <alignment horizontal="left" vertical="center"/>
    </xf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4" applyNumberFormat="0" applyBorder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3">
    <xf numFmtId="0" fontId="0" fillId="0" borderId="0" xfId="0"/>
    <xf numFmtId="165" fontId="23" fillId="0" borderId="0" xfId="1" applyNumberFormat="1" applyFont="1"/>
    <xf numFmtId="0" fontId="0" fillId="21" borderId="0" xfId="0" applyFill="1"/>
    <xf numFmtId="165" fontId="6" fillId="21" borderId="5" xfId="0" applyNumberFormat="1" applyFont="1" applyFill="1" applyBorder="1" applyAlignment="1">
      <alignment vertical="center"/>
    </xf>
    <xf numFmtId="164" fontId="10" fillId="21" borderId="24" xfId="2" applyNumberFormat="1" applyFont="1" applyFill="1" applyBorder="1" applyAlignment="1">
      <alignment horizontal="right"/>
    </xf>
    <xf numFmtId="164" fontId="10" fillId="21" borderId="6" xfId="2" applyNumberFormat="1" applyFont="1" applyFill="1" applyBorder="1" applyAlignment="1">
      <alignment horizontal="right"/>
    </xf>
    <xf numFmtId="164" fontId="10" fillId="21" borderId="23" xfId="2" applyNumberFormat="1" applyFont="1" applyFill="1" applyBorder="1" applyAlignment="1">
      <alignment horizontal="right"/>
    </xf>
    <xf numFmtId="0" fontId="8" fillId="21" borderId="19" xfId="0" applyFont="1" applyFill="1" applyBorder="1" applyAlignment="1">
      <alignment horizontal="right"/>
    </xf>
    <xf numFmtId="43" fontId="6" fillId="21" borderId="27" xfId="1" applyFont="1" applyFill="1" applyBorder="1" applyAlignment="1">
      <alignment horizontal="right"/>
    </xf>
    <xf numFmtId="43" fontId="6" fillId="21" borderId="4" xfId="1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166" fontId="12" fillId="21" borderId="22" xfId="0" applyNumberFormat="1" applyFont="1" applyFill="1" applyBorder="1" applyAlignment="1">
      <alignment vertical="center"/>
    </xf>
    <xf numFmtId="166" fontId="12" fillId="21" borderId="0" xfId="0" applyNumberFormat="1" applyFont="1" applyFill="1" applyAlignment="1">
      <alignment vertical="center"/>
    </xf>
    <xf numFmtId="166" fontId="12" fillId="21" borderId="25" xfId="0" applyNumberFormat="1" applyFont="1" applyFill="1" applyBorder="1" applyAlignment="1">
      <alignment vertical="center"/>
    </xf>
    <xf numFmtId="166" fontId="11" fillId="21" borderId="22" xfId="0" applyNumberFormat="1" applyFont="1" applyFill="1" applyBorder="1" applyAlignment="1">
      <alignment vertical="center"/>
    </xf>
    <xf numFmtId="166" fontId="11" fillId="21" borderId="0" xfId="0" applyNumberFormat="1" applyFont="1" applyFill="1" applyAlignment="1">
      <alignment vertical="center"/>
    </xf>
    <xf numFmtId="166" fontId="11" fillId="21" borderId="25" xfId="0" applyNumberFormat="1" applyFont="1" applyFill="1" applyBorder="1" applyAlignment="1">
      <alignment vertical="center"/>
    </xf>
    <xf numFmtId="166" fontId="17" fillId="21" borderId="0" xfId="2" applyNumberFormat="1" applyFont="1" applyFill="1" applyAlignment="1">
      <alignment horizontal="right" vertical="center"/>
    </xf>
    <xf numFmtId="0" fontId="13" fillId="21" borderId="0" xfId="0" applyFont="1" applyFill="1" applyAlignment="1">
      <alignment horizontal="left"/>
    </xf>
    <xf numFmtId="164" fontId="51" fillId="21" borderId="0" xfId="2" applyNumberFormat="1" applyFont="1" applyFill="1" applyAlignment="1">
      <alignment horizontal="right" vertical="center"/>
    </xf>
    <xf numFmtId="164" fontId="15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/>
    </xf>
    <xf numFmtId="164" fontId="16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165" fontId="53" fillId="21" borderId="22" xfId="1" applyNumberFormat="1" applyFont="1" applyFill="1" applyBorder="1"/>
    <xf numFmtId="165" fontId="53" fillId="21" borderId="0" xfId="1" applyNumberFormat="1" applyFont="1" applyFill="1" applyBorder="1"/>
    <xf numFmtId="165" fontId="53" fillId="21" borderId="25" xfId="1" applyNumberFormat="1" applyFont="1" applyFill="1" applyBorder="1"/>
    <xf numFmtId="165" fontId="23" fillId="21" borderId="22" xfId="1" applyNumberFormat="1" applyFont="1" applyFill="1" applyBorder="1"/>
    <xf numFmtId="165" fontId="23" fillId="21" borderId="0" xfId="1" applyNumberFormat="1" applyFont="1" applyFill="1" applyBorder="1"/>
    <xf numFmtId="165" fontId="23" fillId="21" borderId="25" xfId="1" applyNumberFormat="1" applyFont="1" applyFill="1" applyBorder="1"/>
    <xf numFmtId="0" fontId="12" fillId="21" borderId="0" xfId="0" applyFont="1" applyFill="1"/>
    <xf numFmtId="164" fontId="52" fillId="21" borderId="0" xfId="2" applyNumberFormat="1" applyFont="1" applyFill="1" applyAlignment="1">
      <alignment horizontal="right" vertical="center" indent="2" readingOrder="2"/>
    </xf>
    <xf numFmtId="0" fontId="4" fillId="21" borderId="0" xfId="0" applyFont="1" applyFill="1"/>
    <xf numFmtId="43" fontId="0" fillId="21" borderId="0" xfId="1" applyFont="1" applyFill="1" applyBorder="1"/>
    <xf numFmtId="166" fontId="53" fillId="21" borderId="22" xfId="1" applyNumberFormat="1" applyFont="1" applyFill="1" applyBorder="1"/>
    <xf numFmtId="166" fontId="53" fillId="21" borderId="0" xfId="1" applyNumberFormat="1" applyFont="1" applyFill="1" applyBorder="1"/>
    <xf numFmtId="166" fontId="53" fillId="21" borderId="25" xfId="1" applyNumberFormat="1" applyFont="1" applyFill="1" applyBorder="1"/>
    <xf numFmtId="166" fontId="23" fillId="21" borderId="22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4" fontId="10" fillId="21" borderId="0" xfId="2" applyNumberFormat="1" applyFont="1" applyFill="1" applyAlignment="1">
      <alignment horizontal="right"/>
    </xf>
    <xf numFmtId="0" fontId="18" fillId="21" borderId="0" xfId="0" applyFont="1" applyFill="1"/>
    <xf numFmtId="0" fontId="5" fillId="21" borderId="0" xfId="0" applyFont="1" applyFill="1" applyAlignment="1">
      <alignment horizontal="center"/>
    </xf>
    <xf numFmtId="0" fontId="6" fillId="21" borderId="0" xfId="0" applyFont="1" applyFill="1"/>
    <xf numFmtId="0" fontId="19" fillId="21" borderId="22" xfId="0" applyFont="1" applyFill="1" applyBorder="1" applyAlignment="1">
      <alignment horizontal="right"/>
    </xf>
    <xf numFmtId="0" fontId="19" fillId="21" borderId="0" xfId="0" applyFont="1" applyFill="1" applyAlignment="1">
      <alignment horizontal="right"/>
    </xf>
    <xf numFmtId="0" fontId="19" fillId="21" borderId="25" xfId="0" applyFont="1" applyFill="1" applyBorder="1" applyAlignment="1">
      <alignment horizontal="right"/>
    </xf>
    <xf numFmtId="0" fontId="8" fillId="21" borderId="0" xfId="0" applyFont="1" applyFill="1"/>
    <xf numFmtId="165" fontId="11" fillId="21" borderId="1" xfId="0" applyNumberFormat="1" applyFont="1" applyFill="1" applyBorder="1" applyAlignment="1">
      <alignment vertical="center"/>
    </xf>
    <xf numFmtId="165" fontId="11" fillId="21" borderId="0" xfId="0" applyNumberFormat="1" applyFont="1" applyFill="1" applyAlignment="1">
      <alignment vertical="center"/>
    </xf>
    <xf numFmtId="164" fontId="8" fillId="21" borderId="0" xfId="2" applyNumberFormat="1" applyFont="1" applyFill="1" applyAlignment="1">
      <alignment vertical="center"/>
    </xf>
    <xf numFmtId="166" fontId="11" fillId="21" borderId="21" xfId="0" applyNumberFormat="1" applyFont="1" applyFill="1" applyBorder="1" applyAlignment="1">
      <alignment vertical="center"/>
    </xf>
    <xf numFmtId="166" fontId="11" fillId="21" borderId="1" xfId="0" applyNumberFormat="1" applyFont="1" applyFill="1" applyBorder="1" applyAlignment="1">
      <alignment vertical="center"/>
    </xf>
    <xf numFmtId="166" fontId="11" fillId="21" borderId="26" xfId="0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horizontal="right" vertical="center"/>
    </xf>
    <xf numFmtId="164" fontId="9" fillId="21" borderId="0" xfId="2" applyNumberFormat="1" applyFont="1" applyFill="1" applyAlignment="1">
      <alignment vertical="center" wrapText="1"/>
    </xf>
    <xf numFmtId="164" fontId="17" fillId="21" borderId="1" xfId="2" applyNumberFormat="1" applyFont="1" applyFill="1" applyBorder="1" applyAlignment="1">
      <alignment horizontal="right" vertical="center"/>
    </xf>
    <xf numFmtId="0" fontId="18" fillId="21" borderId="0" xfId="0" applyFont="1" applyFill="1" applyAlignment="1">
      <alignment horizontal="right"/>
    </xf>
    <xf numFmtId="0" fontId="6" fillId="21" borderId="0" xfId="0" applyFont="1" applyFill="1" applyAlignment="1">
      <alignment horizontal="right"/>
    </xf>
    <xf numFmtId="49" fontId="19" fillId="21" borderId="0" xfId="0" applyNumberFormat="1" applyFont="1" applyFill="1" applyAlignment="1">
      <alignment vertical="center"/>
    </xf>
    <xf numFmtId="165" fontId="14" fillId="21" borderId="0" xfId="0" applyNumberFormat="1" applyFont="1" applyFill="1" applyAlignment="1">
      <alignment horizontal="left" vertical="center" indent="2"/>
    </xf>
    <xf numFmtId="165" fontId="19" fillId="21" borderId="0" xfId="0" applyNumberFormat="1" applyFont="1" applyFill="1" applyAlignment="1">
      <alignment vertical="center"/>
    </xf>
    <xf numFmtId="165" fontId="14" fillId="21" borderId="0" xfId="0" applyNumberFormat="1" applyFont="1" applyFill="1" applyAlignment="1">
      <alignment horizontal="left" vertical="center" indent="4"/>
    </xf>
    <xf numFmtId="164" fontId="16" fillId="21" borderId="0" xfId="2" applyNumberFormat="1" applyFont="1" applyFill="1" applyAlignment="1">
      <alignment horizontal="right" vertical="center" indent="4"/>
    </xf>
    <xf numFmtId="165" fontId="14" fillId="21" borderId="0" xfId="0" applyNumberFormat="1" applyFont="1" applyFill="1" applyAlignment="1">
      <alignment horizontal="left" vertical="center" indent="6"/>
    </xf>
    <xf numFmtId="164" fontId="16" fillId="21" borderId="0" xfId="2" applyNumberFormat="1" applyFont="1" applyFill="1" applyAlignment="1">
      <alignment horizontal="right" vertical="center" indent="6"/>
    </xf>
    <xf numFmtId="165" fontId="19" fillId="21" borderId="1" xfId="0" applyNumberFormat="1" applyFont="1" applyFill="1" applyBorder="1" applyAlignment="1">
      <alignment vertical="center"/>
    </xf>
    <xf numFmtId="164" fontId="49" fillId="21" borderId="1" xfId="2" applyNumberFormat="1" applyFont="1" applyFill="1" applyBorder="1" applyAlignment="1">
      <alignment horizontal="right" vertical="center"/>
    </xf>
    <xf numFmtId="164" fontId="49" fillId="21" borderId="0" xfId="2" applyNumberFormat="1" applyFont="1" applyFill="1" applyAlignment="1">
      <alignment horizontal="right" vertical="center"/>
    </xf>
    <xf numFmtId="167" fontId="19" fillId="21" borderId="0" xfId="1" applyNumberFormat="1" applyFont="1" applyFill="1" applyBorder="1" applyAlignment="1" applyProtection="1">
      <alignment vertical="center"/>
    </xf>
    <xf numFmtId="164" fontId="46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vertical="center" readingOrder="2"/>
    </xf>
    <xf numFmtId="43" fontId="8" fillId="21" borderId="0" xfId="1" applyFont="1" applyFill="1" applyBorder="1" applyAlignment="1">
      <alignment vertical="center"/>
    </xf>
    <xf numFmtId="0" fontId="20" fillId="21" borderId="0" xfId="0" applyFont="1" applyFill="1" applyAlignment="1">
      <alignment horizontal="left" indent="4"/>
    </xf>
    <xf numFmtId="43" fontId="6" fillId="21" borderId="0" xfId="1" applyFont="1" applyFill="1" applyBorder="1" applyAlignment="1" applyProtection="1">
      <alignment vertical="center"/>
    </xf>
    <xf numFmtId="0" fontId="5" fillId="21" borderId="2" xfId="0" applyFont="1" applyFill="1" applyBorder="1" applyAlignment="1">
      <alignment horizontal="center" vertical="center"/>
    </xf>
    <xf numFmtId="43" fontId="6" fillId="21" borderId="1" xfId="1" applyFont="1" applyFill="1" applyBorder="1" applyAlignment="1">
      <alignment horizontal="right"/>
    </xf>
    <xf numFmtId="167" fontId="5" fillId="21" borderId="0" xfId="1" applyNumberFormat="1" applyFont="1" applyFill="1" applyAlignment="1">
      <alignment horizontal="center"/>
    </xf>
    <xf numFmtId="0" fontId="55" fillId="21" borderId="0" xfId="0" applyFont="1" applyFill="1" applyAlignment="1">
      <alignment horizontal="center" vertical="center"/>
    </xf>
    <xf numFmtId="167" fontId="7" fillId="21" borderId="0" xfId="1" applyNumberFormat="1" applyFont="1" applyFill="1" applyAlignment="1">
      <alignment horizontal="center"/>
    </xf>
    <xf numFmtId="164" fontId="10" fillId="21" borderId="31" xfId="2" applyNumberFormat="1" applyFont="1" applyFill="1" applyBorder="1" applyAlignment="1">
      <alignment horizontal="right"/>
    </xf>
    <xf numFmtId="43" fontId="6" fillId="21" borderId="19" xfId="1" applyFont="1" applyFill="1" applyBorder="1" applyAlignment="1">
      <alignment horizontal="right"/>
    </xf>
    <xf numFmtId="0" fontId="24" fillId="0" borderId="0" xfId="0" applyFont="1"/>
    <xf numFmtId="165" fontId="0" fillId="0" borderId="0" xfId="0" applyNumberFormat="1"/>
    <xf numFmtId="164" fontId="54" fillId="21" borderId="0" xfId="2" applyNumberFormat="1" applyFont="1" applyFill="1" applyAlignment="1">
      <alignment horizontal="center" vertical="center" readingOrder="2"/>
    </xf>
    <xf numFmtId="0" fontId="48" fillId="21" borderId="0" xfId="0" applyFont="1" applyFill="1" applyAlignment="1">
      <alignment horizontal="center" vertical="center"/>
    </xf>
    <xf numFmtId="164" fontId="50" fillId="21" borderId="0" xfId="2" applyNumberFormat="1" applyFont="1" applyFill="1" applyAlignment="1">
      <alignment horizontal="center" vertical="center" wrapText="1"/>
    </xf>
    <xf numFmtId="0" fontId="5" fillId="21" borderId="20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164" fontId="17" fillId="21" borderId="2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C86"/>
  <sheetViews>
    <sheetView showGridLines="0" tabSelected="1" zoomScale="95" zoomScaleNormal="95" zoomScaleSheetLayoutView="77" workbookViewId="0">
      <pane xSplit="1" ySplit="9" topLeftCell="B10" activePane="bottomRight" state="frozen"/>
      <selection pane="topRight"/>
      <selection pane="bottomLeft"/>
      <selection pane="bottomRight" activeCell="AA16" sqref="AA16"/>
    </sheetView>
  </sheetViews>
  <sheetFormatPr defaultColWidth="9.140625" defaultRowHeight="15" x14ac:dyDescent="0.25"/>
  <cols>
    <col min="1" max="1" width="38.140625" style="32" customWidth="1"/>
    <col min="2" max="5" width="11.28515625" style="2" customWidth="1"/>
    <col min="6" max="19" width="9.7109375" style="2" customWidth="1"/>
    <col min="20" max="20" width="30.140625" style="2" customWidth="1"/>
    <col min="21" max="16384" width="9.140625" style="2"/>
  </cols>
  <sheetData>
    <row r="1" spans="1:26" ht="20.100000000000001" customHeight="1" x14ac:dyDescent="0.25">
      <c r="A1" s="84" t="s">
        <v>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</row>
    <row r="2" spans="1:26" s="30" customFormat="1" ht="20.100000000000001" customHeight="1" x14ac:dyDescent="0.2">
      <c r="A2" s="85" t="s">
        <v>60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</row>
    <row r="3" spans="1:26" s="32" customFormat="1" ht="15.95" customHeight="1" x14ac:dyDescent="0.2">
      <c r="A3" s="86" t="s">
        <v>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</row>
    <row r="4" spans="1:26" s="30" customFormat="1" ht="15.95" customHeight="1" x14ac:dyDescent="0.2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</row>
    <row r="5" spans="1:26" s="41" customFormat="1" ht="15.95" customHeight="1" x14ac:dyDescent="0.2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8"/>
      <c r="S5" s="78"/>
      <c r="T5" s="78"/>
    </row>
    <row r="6" spans="1:26" s="32" customFormat="1" ht="5.25" customHeight="1" x14ac:dyDescent="0.25">
      <c r="A6" s="77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 s="42"/>
      <c r="S6" s="42"/>
      <c r="T6" s="42"/>
    </row>
    <row r="7" spans="1:26" s="32" customFormat="1" ht="15.95" customHeight="1" x14ac:dyDescent="0.2">
      <c r="A7" s="23"/>
      <c r="B7" s="87">
        <v>2021</v>
      </c>
      <c r="C7" s="88"/>
      <c r="D7" s="88"/>
      <c r="E7" s="89"/>
      <c r="F7" s="87">
        <v>2022</v>
      </c>
      <c r="G7" s="88"/>
      <c r="H7" s="88"/>
      <c r="I7" s="89"/>
      <c r="J7" s="87">
        <v>2023</v>
      </c>
      <c r="K7" s="88"/>
      <c r="L7" s="88"/>
      <c r="M7" s="89"/>
      <c r="N7" s="87">
        <v>2024</v>
      </c>
      <c r="O7" s="88"/>
      <c r="P7" s="88"/>
      <c r="Q7" s="88"/>
      <c r="R7" s="75"/>
      <c r="S7" s="75"/>
      <c r="T7" s="90" t="s">
        <v>34</v>
      </c>
    </row>
    <row r="8" spans="1:26" s="32" customFormat="1" ht="15.95" customHeight="1" x14ac:dyDescent="0.35">
      <c r="A8" s="3" t="s">
        <v>2</v>
      </c>
      <c r="B8" s="4" t="s">
        <v>3</v>
      </c>
      <c r="C8" s="5" t="s">
        <v>4</v>
      </c>
      <c r="D8" s="5" t="s">
        <v>5</v>
      </c>
      <c r="E8" s="6" t="s">
        <v>6</v>
      </c>
      <c r="F8" s="4" t="s">
        <v>3</v>
      </c>
      <c r="G8" s="5" t="s">
        <v>4</v>
      </c>
      <c r="H8" s="5" t="s">
        <v>5</v>
      </c>
      <c r="I8" s="6" t="s">
        <v>6</v>
      </c>
      <c r="J8" s="4" t="s">
        <v>3</v>
      </c>
      <c r="K8" s="5" t="s">
        <v>4</v>
      </c>
      <c r="L8" s="5" t="s">
        <v>5</v>
      </c>
      <c r="M8" s="6" t="s">
        <v>6</v>
      </c>
      <c r="N8" s="4" t="s">
        <v>3</v>
      </c>
      <c r="O8" s="5" t="s">
        <v>4</v>
      </c>
      <c r="P8" s="5" t="s">
        <v>5</v>
      </c>
      <c r="Q8" s="80" t="s">
        <v>6</v>
      </c>
      <c r="R8" s="40"/>
      <c r="S8" s="40"/>
      <c r="T8" s="91" t="s">
        <v>7</v>
      </c>
      <c r="V8" s="2"/>
      <c r="W8" s="2"/>
      <c r="X8" s="2"/>
      <c r="Y8" s="2"/>
      <c r="Z8" s="2"/>
    </row>
    <row r="9" spans="1:26" s="32" customFormat="1" ht="15.95" customHeight="1" x14ac:dyDescent="0.25">
      <c r="A9" s="7"/>
      <c r="B9" s="8" t="s">
        <v>8</v>
      </c>
      <c r="C9" s="9" t="s">
        <v>9</v>
      </c>
      <c r="D9" s="9" t="s">
        <v>10</v>
      </c>
      <c r="E9" s="10" t="s">
        <v>16</v>
      </c>
      <c r="F9" s="8" t="s">
        <v>8</v>
      </c>
      <c r="G9" s="9" t="s">
        <v>9</v>
      </c>
      <c r="H9" s="9" t="s">
        <v>10</v>
      </c>
      <c r="I9" s="10" t="s">
        <v>16</v>
      </c>
      <c r="J9" s="8" t="s">
        <v>8</v>
      </c>
      <c r="K9" s="9" t="s">
        <v>9</v>
      </c>
      <c r="L9" s="9" t="s">
        <v>10</v>
      </c>
      <c r="M9" s="10" t="s">
        <v>16</v>
      </c>
      <c r="N9" s="8" t="s">
        <v>8</v>
      </c>
      <c r="O9" s="9" t="s">
        <v>9</v>
      </c>
      <c r="P9" s="9" t="s">
        <v>10</v>
      </c>
      <c r="Q9" s="81" t="s">
        <v>16</v>
      </c>
      <c r="R9" s="76"/>
      <c r="S9" s="76"/>
      <c r="T9" s="92"/>
      <c r="V9" s="2"/>
      <c r="W9" s="2"/>
      <c r="X9" s="2"/>
      <c r="Y9" s="2"/>
      <c r="Z9" s="2"/>
    </row>
    <row r="10" spans="1:26" s="32" customFormat="1" ht="8.1" customHeight="1" x14ac:dyDescent="0.25">
      <c r="A10" s="57"/>
      <c r="B10" s="45"/>
      <c r="C10" s="45"/>
      <c r="D10" s="45"/>
      <c r="E10" s="45"/>
      <c r="F10" s="44"/>
      <c r="G10" s="45"/>
      <c r="H10" s="45"/>
      <c r="I10" s="46"/>
      <c r="J10" s="44"/>
      <c r="K10" s="45"/>
      <c r="L10" s="45"/>
      <c r="M10" s="46"/>
      <c r="N10" s="44"/>
      <c r="O10" s="45"/>
      <c r="P10" s="45"/>
      <c r="Q10" s="45"/>
      <c r="R10" s="45"/>
      <c r="S10" s="45"/>
      <c r="T10" s="58"/>
      <c r="V10" s="2"/>
      <c r="W10" s="2"/>
      <c r="X10" s="2"/>
      <c r="Y10" s="2"/>
      <c r="Z10" s="2"/>
    </row>
    <row r="11" spans="1:26" s="47" customFormat="1" ht="15.95" customHeight="1" x14ac:dyDescent="0.25">
      <c r="A11" s="59" t="s">
        <v>14</v>
      </c>
      <c r="B11" s="34">
        <v>8667.1839162249998</v>
      </c>
      <c r="C11" s="35">
        <v>9626.7645972100217</v>
      </c>
      <c r="D11" s="35">
        <v>10942.605981404391</v>
      </c>
      <c r="E11" s="36">
        <v>11265.40430415347</v>
      </c>
      <c r="F11" s="34">
        <v>12333.653365388607</v>
      </c>
      <c r="G11" s="35">
        <v>10263.550263956473</v>
      </c>
      <c r="H11" s="35">
        <v>7948.7426376439253</v>
      </c>
      <c r="I11" s="36">
        <v>10376.879522746414</v>
      </c>
      <c r="J11" s="34">
        <v>9559.2298855097106</v>
      </c>
      <c r="K11" s="35">
        <v>8184.9389365994602</v>
      </c>
      <c r="L11" s="35">
        <v>7233.5161232516903</v>
      </c>
      <c r="M11" s="36">
        <v>8211.1711511897392</v>
      </c>
      <c r="N11" s="34">
        <v>7630.1</v>
      </c>
      <c r="O11" s="35">
        <v>6813.1</v>
      </c>
      <c r="P11" s="35">
        <v>5135.8</v>
      </c>
      <c r="Q11" s="35">
        <v>3049.4</v>
      </c>
      <c r="R11" s="35"/>
      <c r="S11" s="35"/>
      <c r="T11" s="54" t="s">
        <v>39</v>
      </c>
      <c r="V11" s="2"/>
      <c r="W11" s="2"/>
      <c r="X11" s="2"/>
      <c r="Y11" s="2"/>
      <c r="Z11" s="2"/>
    </row>
    <row r="12" spans="1:26" s="47" customFormat="1" ht="15.95" customHeight="1" x14ac:dyDescent="0.25">
      <c r="A12" s="60" t="s">
        <v>31</v>
      </c>
      <c r="B12" s="37">
        <v>12975.681649914239</v>
      </c>
      <c r="C12" s="38">
        <v>13986.447361174485</v>
      </c>
      <c r="D12" s="38">
        <v>15666.996473226682</v>
      </c>
      <c r="E12" s="39">
        <v>12410.484568614454</v>
      </c>
      <c r="F12" s="37">
        <v>13307.036444776848</v>
      </c>
      <c r="G12" s="38">
        <v>11573.438012501352</v>
      </c>
      <c r="H12" s="38">
        <v>8323.9513157907913</v>
      </c>
      <c r="I12" s="39">
        <v>12823.350125405503</v>
      </c>
      <c r="J12" s="37">
        <v>11776.6791613676</v>
      </c>
      <c r="K12" s="38">
        <v>10808.335841588399</v>
      </c>
      <c r="L12" s="38">
        <v>9149.08466525925</v>
      </c>
      <c r="M12" s="39">
        <v>9103.1447866932904</v>
      </c>
      <c r="N12" s="37">
        <v>8357.6</v>
      </c>
      <c r="O12" s="38">
        <v>7861.2</v>
      </c>
      <c r="P12" s="38">
        <v>5718.4</v>
      </c>
      <c r="Q12" s="38">
        <v>10389.9</v>
      </c>
      <c r="R12" s="38"/>
      <c r="S12" s="38"/>
      <c r="T12" s="22" t="s">
        <v>17</v>
      </c>
      <c r="V12" s="2"/>
      <c r="W12" s="2"/>
      <c r="X12" s="2"/>
      <c r="Y12" s="2"/>
      <c r="Z12" s="2"/>
    </row>
    <row r="13" spans="1:26" s="47" customFormat="1" ht="15.95" customHeight="1" x14ac:dyDescent="0.25">
      <c r="A13" s="60" t="s">
        <v>32</v>
      </c>
      <c r="B13" s="37">
        <v>-4308.4977339999996</v>
      </c>
      <c r="C13" s="38">
        <v>-4359.6827640000001</v>
      </c>
      <c r="D13" s="38">
        <v>-4724.3904920000004</v>
      </c>
      <c r="E13" s="39">
        <v>-1145.0802639999999</v>
      </c>
      <c r="F13" s="37">
        <v>-973.38307939999993</v>
      </c>
      <c r="G13" s="38">
        <v>-1309.887749</v>
      </c>
      <c r="H13" s="38">
        <v>-375.20867810000004</v>
      </c>
      <c r="I13" s="39">
        <v>-2446.4706030000002</v>
      </c>
      <c r="J13" s="37">
        <v>-2217.4492759999998</v>
      </c>
      <c r="K13" s="38">
        <v>-2623.3969050000001</v>
      </c>
      <c r="L13" s="38">
        <v>-1915.568542</v>
      </c>
      <c r="M13" s="39">
        <v>-891.9736355</v>
      </c>
      <c r="N13" s="37">
        <v>-727.5</v>
      </c>
      <c r="O13" s="38">
        <v>-1048.0999999999999</v>
      </c>
      <c r="P13" s="38">
        <v>-582.6</v>
      </c>
      <c r="Q13" s="38">
        <v>-7340.5</v>
      </c>
      <c r="R13" s="38"/>
      <c r="S13" s="38"/>
      <c r="T13" s="22" t="s">
        <v>18</v>
      </c>
      <c r="V13" s="2"/>
      <c r="W13" s="2"/>
      <c r="X13" s="2"/>
      <c r="Y13" s="2"/>
      <c r="Z13" s="2"/>
    </row>
    <row r="14" spans="1:26" s="47" customFormat="1" ht="15.95" customHeight="1" x14ac:dyDescent="0.25">
      <c r="A14" s="61" t="s">
        <v>35</v>
      </c>
      <c r="B14" s="34">
        <v>3459.9053227149961</v>
      </c>
      <c r="C14" s="35">
        <v>3706.6782497299755</v>
      </c>
      <c r="D14" s="35">
        <v>1749.6606734556071</v>
      </c>
      <c r="E14" s="36">
        <v>1163.7306371765317</v>
      </c>
      <c r="F14" s="34">
        <v>1404.1423981413927</v>
      </c>
      <c r="G14" s="35">
        <v>2560.0938508635272</v>
      </c>
      <c r="H14" s="35">
        <v>3839.8227433160737</v>
      </c>
      <c r="I14" s="36">
        <v>2329.2166799135848</v>
      </c>
      <c r="J14" s="34">
        <v>3389.90614857029</v>
      </c>
      <c r="K14" s="35">
        <v>4700.2926538305401</v>
      </c>
      <c r="L14" s="35">
        <v>5400.9396415383098</v>
      </c>
      <c r="M14" s="36">
        <v>4437.5278317702596</v>
      </c>
      <c r="N14" s="34">
        <v>4687.8999999999996</v>
      </c>
      <c r="O14" s="35">
        <v>5715.4</v>
      </c>
      <c r="P14" s="35">
        <v>6117.2</v>
      </c>
      <c r="Q14" s="35">
        <v>8523.7000000000007</v>
      </c>
      <c r="R14" s="35"/>
      <c r="S14" s="35"/>
      <c r="T14" s="54" t="s">
        <v>40</v>
      </c>
      <c r="V14" s="2"/>
      <c r="W14" s="2"/>
      <c r="X14" s="2"/>
      <c r="Y14" s="2"/>
      <c r="Z14" s="2"/>
    </row>
    <row r="15" spans="1:26" s="47" customFormat="1" ht="15.95" customHeight="1" x14ac:dyDescent="0.25">
      <c r="A15" s="60" t="s">
        <v>11</v>
      </c>
      <c r="B15" s="37">
        <v>8697.2418307799999</v>
      </c>
      <c r="C15" s="38">
        <v>8949.6237230600018</v>
      </c>
      <c r="D15" s="38">
        <v>6801.1275878399993</v>
      </c>
      <c r="E15" s="39">
        <v>7880.4650607800013</v>
      </c>
      <c r="F15" s="37">
        <v>8088.46216577</v>
      </c>
      <c r="G15" s="38">
        <v>9562.4661008999992</v>
      </c>
      <c r="H15" s="38">
        <v>10321.456814180001</v>
      </c>
      <c r="I15" s="39">
        <v>9669.6570379700006</v>
      </c>
      <c r="J15" s="37">
        <v>11038.08130057</v>
      </c>
      <c r="K15" s="38">
        <v>12388.66644503</v>
      </c>
      <c r="L15" s="38">
        <v>13240.677587390001</v>
      </c>
      <c r="M15" s="39">
        <v>12693.42607428</v>
      </c>
      <c r="N15" s="37">
        <v>12567</v>
      </c>
      <c r="O15" s="38">
        <v>12739.8</v>
      </c>
      <c r="P15" s="38">
        <v>12726.2</v>
      </c>
      <c r="Q15" s="38">
        <v>15077.1</v>
      </c>
      <c r="R15" s="38"/>
      <c r="S15" s="38"/>
      <c r="T15" s="22" t="s">
        <v>41</v>
      </c>
      <c r="V15" s="2"/>
      <c r="W15" s="2"/>
      <c r="X15" s="2"/>
      <c r="Y15" s="2"/>
      <c r="Z15" s="2"/>
    </row>
    <row r="16" spans="1:26" s="47" customFormat="1" ht="15.95" customHeight="1" x14ac:dyDescent="0.25">
      <c r="A16" s="62" t="s">
        <v>19</v>
      </c>
      <c r="B16" s="37">
        <v>8002.7341649400005</v>
      </c>
      <c r="C16" s="38">
        <v>8255.1676686300016</v>
      </c>
      <c r="D16" s="38">
        <v>6108.3579233599994</v>
      </c>
      <c r="E16" s="39">
        <v>7650.5224756200014</v>
      </c>
      <c r="F16" s="37">
        <v>7855.7960770099999</v>
      </c>
      <c r="G16" s="38">
        <v>9484.8478657899996</v>
      </c>
      <c r="H16" s="38">
        <v>10245.99659914</v>
      </c>
      <c r="I16" s="39">
        <v>9588.4980280899999</v>
      </c>
      <c r="J16" s="37">
        <v>10958.404136880001</v>
      </c>
      <c r="K16" s="38">
        <v>12311.87523095</v>
      </c>
      <c r="L16" s="38">
        <v>13165.622086290001</v>
      </c>
      <c r="M16" s="39">
        <v>12611.98227275</v>
      </c>
      <c r="N16" s="37">
        <v>12481.2</v>
      </c>
      <c r="O16" s="38">
        <v>12660.1</v>
      </c>
      <c r="P16" s="38">
        <v>12648.3</v>
      </c>
      <c r="Q16" s="38">
        <v>12704</v>
      </c>
      <c r="R16" s="38"/>
      <c r="S16" s="38"/>
      <c r="T16" s="63" t="s">
        <v>42</v>
      </c>
      <c r="V16" s="2"/>
      <c r="W16" s="2"/>
      <c r="X16" s="2"/>
      <c r="Y16" s="2"/>
      <c r="Z16" s="2"/>
    </row>
    <row r="17" spans="1:26" s="47" customFormat="1" ht="15.95" customHeight="1" x14ac:dyDescent="0.25">
      <c r="A17" s="64" t="s">
        <v>38</v>
      </c>
      <c r="B17" s="37">
        <v>9468.1653835100005</v>
      </c>
      <c r="C17" s="38">
        <v>9661.9157687700008</v>
      </c>
      <c r="D17" s="38">
        <v>7529.9781320399998</v>
      </c>
      <c r="E17" s="39">
        <v>9696.6420067600011</v>
      </c>
      <c r="F17" s="37">
        <v>10313.9676318</v>
      </c>
      <c r="G17" s="38">
        <v>11485.40226481</v>
      </c>
      <c r="H17" s="38">
        <v>11738.648260780001</v>
      </c>
      <c r="I17" s="39">
        <v>12355.57016218</v>
      </c>
      <c r="J17" s="37">
        <v>13346.51235743</v>
      </c>
      <c r="K17" s="38">
        <v>13166.81531512</v>
      </c>
      <c r="L17" s="38">
        <v>14109.146942220001</v>
      </c>
      <c r="M17" s="39">
        <v>14606.809012</v>
      </c>
      <c r="N17" s="37">
        <v>14546.4</v>
      </c>
      <c r="O17" s="38">
        <v>14490</v>
      </c>
      <c r="P17" s="38">
        <v>14438.6</v>
      </c>
      <c r="Q17" s="38">
        <v>14383.7</v>
      </c>
      <c r="R17" s="38"/>
      <c r="S17" s="38"/>
      <c r="T17" s="65" t="s">
        <v>43</v>
      </c>
      <c r="V17" s="2"/>
      <c r="W17" s="2"/>
      <c r="X17" s="2"/>
      <c r="Y17" s="2"/>
      <c r="Z17" s="2"/>
    </row>
    <row r="18" spans="1:26" s="43" customFormat="1" ht="15.95" customHeight="1" x14ac:dyDescent="0.25">
      <c r="A18" s="60" t="s">
        <v>20</v>
      </c>
      <c r="B18" s="37">
        <v>694.50766583999996</v>
      </c>
      <c r="C18" s="38">
        <v>694.45605442999988</v>
      </c>
      <c r="D18" s="38">
        <v>692.76966448000007</v>
      </c>
      <c r="E18" s="39">
        <v>229.94258516000002</v>
      </c>
      <c r="F18" s="37">
        <v>232.66608876000001</v>
      </c>
      <c r="G18" s="38">
        <v>77.618235110000001</v>
      </c>
      <c r="H18" s="38">
        <v>75.460215040000008</v>
      </c>
      <c r="I18" s="39">
        <v>81.159009879999999</v>
      </c>
      <c r="J18" s="37">
        <v>79.67716369</v>
      </c>
      <c r="K18" s="38">
        <v>76.791214080000003</v>
      </c>
      <c r="L18" s="38">
        <v>75.055501100000001</v>
      </c>
      <c r="M18" s="39">
        <v>81.443801530000002</v>
      </c>
      <c r="N18" s="37">
        <v>85.8</v>
      </c>
      <c r="O18" s="38">
        <v>79.7</v>
      </c>
      <c r="P18" s="38">
        <v>78</v>
      </c>
      <c r="Q18" s="38">
        <v>2373.1</v>
      </c>
      <c r="R18" s="38"/>
      <c r="S18" s="38"/>
      <c r="T18" s="22" t="s">
        <v>44</v>
      </c>
      <c r="V18" s="2"/>
      <c r="W18" s="2"/>
      <c r="X18" s="2"/>
      <c r="Y18" s="2"/>
      <c r="Z18" s="2"/>
    </row>
    <row r="19" spans="1:26" s="43" customFormat="1" ht="15.95" customHeight="1" x14ac:dyDescent="0.25">
      <c r="A19" s="60" t="s">
        <v>12</v>
      </c>
      <c r="B19" s="37">
        <v>-5237.3365080650037</v>
      </c>
      <c r="C19" s="38">
        <v>-5242.9454733300263</v>
      </c>
      <c r="D19" s="38">
        <v>-5051.4669143843921</v>
      </c>
      <c r="E19" s="39">
        <v>-6716.7344236034696</v>
      </c>
      <c r="F19" s="37">
        <v>-6684.3197676286072</v>
      </c>
      <c r="G19" s="38">
        <v>-7002.372250036472</v>
      </c>
      <c r="H19" s="38">
        <v>-6481.6340708639273</v>
      </c>
      <c r="I19" s="39">
        <v>-7340.4403580564158</v>
      </c>
      <c r="J19" s="37">
        <v>-7648.1751519996997</v>
      </c>
      <c r="K19" s="38">
        <v>-7688.3737911994604</v>
      </c>
      <c r="L19" s="38">
        <v>-7839.7379458516898</v>
      </c>
      <c r="M19" s="39">
        <v>-8255.8982425097493</v>
      </c>
      <c r="N19" s="37">
        <v>-7879.1</v>
      </c>
      <c r="O19" s="38">
        <v>-7024.4</v>
      </c>
      <c r="P19" s="38">
        <v>-6609</v>
      </c>
      <c r="Q19" s="38">
        <v>-6553.4</v>
      </c>
      <c r="R19" s="38"/>
      <c r="S19" s="38"/>
      <c r="T19" s="22" t="s">
        <v>45</v>
      </c>
      <c r="V19" s="2"/>
      <c r="W19" s="2"/>
      <c r="X19" s="2"/>
      <c r="Y19" s="2"/>
      <c r="Z19" s="2"/>
    </row>
    <row r="20" spans="1:26" s="43" customFormat="1" ht="15.95" customHeight="1" x14ac:dyDescent="0.25">
      <c r="A20" s="61" t="s">
        <v>21</v>
      </c>
      <c r="B20" s="34">
        <v>12127.089238940001</v>
      </c>
      <c r="C20" s="35">
        <v>13333.442846939999</v>
      </c>
      <c r="D20" s="35">
        <v>12692.266654860001</v>
      </c>
      <c r="E20" s="36">
        <v>12429.134941329999</v>
      </c>
      <c r="F20" s="34">
        <v>13737.795763530001</v>
      </c>
      <c r="G20" s="35">
        <v>12823.644114820001</v>
      </c>
      <c r="H20" s="35">
        <v>11788.565380959999</v>
      </c>
      <c r="I20" s="36">
        <v>12706.096202659999</v>
      </c>
      <c r="J20" s="34">
        <v>12949.13603408</v>
      </c>
      <c r="K20" s="35">
        <v>12885.231590429999</v>
      </c>
      <c r="L20" s="35">
        <v>12634.45576479</v>
      </c>
      <c r="M20" s="36">
        <v>12648.698982960001</v>
      </c>
      <c r="N20" s="34">
        <v>12317.9</v>
      </c>
      <c r="O20" s="35">
        <v>12528.5</v>
      </c>
      <c r="P20" s="35">
        <v>11253.1</v>
      </c>
      <c r="Q20" s="35">
        <v>11573.1</v>
      </c>
      <c r="R20" s="35"/>
      <c r="S20" s="35"/>
      <c r="T20" s="54" t="s">
        <v>22</v>
      </c>
      <c r="V20" s="2"/>
      <c r="W20" s="2"/>
      <c r="X20" s="2"/>
      <c r="Y20" s="2"/>
      <c r="Z20" s="2"/>
    </row>
    <row r="21" spans="1:26" s="47" customFormat="1" ht="15.95" customHeight="1" x14ac:dyDescent="0.25">
      <c r="A21" s="60" t="s">
        <v>27</v>
      </c>
      <c r="B21" s="37">
        <v>3817.5105944399997</v>
      </c>
      <c r="C21" s="38">
        <v>3968.2341637199993</v>
      </c>
      <c r="D21" s="38">
        <v>3876.0696617199997</v>
      </c>
      <c r="E21" s="39">
        <v>3790.6808063699996</v>
      </c>
      <c r="F21" s="37">
        <v>3747.8146631499994</v>
      </c>
      <c r="G21" s="38">
        <v>3682.7003896599999</v>
      </c>
      <c r="H21" s="38">
        <v>3570.0966183199998</v>
      </c>
      <c r="I21" s="39">
        <v>3726.2773571099997</v>
      </c>
      <c r="J21" s="37">
        <v>3744.01717762</v>
      </c>
      <c r="K21" s="38">
        <v>4083.5603081200002</v>
      </c>
      <c r="L21" s="38">
        <v>4324.6008179</v>
      </c>
      <c r="M21" s="39">
        <v>4046.1394536500002</v>
      </c>
      <c r="N21" s="37">
        <v>4239.8</v>
      </c>
      <c r="O21" s="38">
        <v>4202.8999999999996</v>
      </c>
      <c r="P21" s="38">
        <v>4224.8</v>
      </c>
      <c r="Q21" s="38">
        <v>4228.6000000000004</v>
      </c>
      <c r="R21" s="38"/>
      <c r="S21" s="38"/>
      <c r="T21" s="22" t="s">
        <v>46</v>
      </c>
      <c r="V21" s="2"/>
      <c r="W21" s="2"/>
      <c r="X21" s="2"/>
      <c r="Y21" s="2"/>
      <c r="Z21" s="2"/>
    </row>
    <row r="22" spans="1:26" s="47" customFormat="1" ht="15.95" customHeight="1" x14ac:dyDescent="0.25">
      <c r="A22" s="60" t="s">
        <v>33</v>
      </c>
      <c r="B22" s="37">
        <v>8309.5786445000012</v>
      </c>
      <c r="C22" s="38">
        <v>9365.2086832200002</v>
      </c>
      <c r="D22" s="38">
        <v>8816.1969931400017</v>
      </c>
      <c r="E22" s="39">
        <v>8638.4541349600004</v>
      </c>
      <c r="F22" s="37">
        <v>9989.9811003800005</v>
      </c>
      <c r="G22" s="38">
        <v>9140.9437251600011</v>
      </c>
      <c r="H22" s="38">
        <v>8218.4687626399991</v>
      </c>
      <c r="I22" s="39">
        <v>8979.8188455500003</v>
      </c>
      <c r="J22" s="37">
        <v>8994.1888786599993</v>
      </c>
      <c r="K22" s="38">
        <v>8590.7413045100002</v>
      </c>
      <c r="L22" s="38">
        <v>8098.9249690899996</v>
      </c>
      <c r="M22" s="39">
        <v>8391.6295515099991</v>
      </c>
      <c r="N22" s="37">
        <v>8078.1</v>
      </c>
      <c r="O22" s="38">
        <v>8325.6</v>
      </c>
      <c r="P22" s="38">
        <v>7028.2</v>
      </c>
      <c r="Q22" s="38">
        <v>7344.5</v>
      </c>
      <c r="R22" s="38"/>
      <c r="S22" s="38"/>
      <c r="T22" s="22" t="s">
        <v>23</v>
      </c>
      <c r="V22" s="2"/>
      <c r="W22" s="2"/>
      <c r="X22" s="2"/>
      <c r="Y22" s="2"/>
      <c r="Z22" s="2"/>
    </row>
    <row r="23" spans="1:26" s="47" customFormat="1" ht="15.95" customHeight="1" x14ac:dyDescent="0.25">
      <c r="A23" s="60" t="s">
        <v>36</v>
      </c>
      <c r="B23" s="27">
        <v>0</v>
      </c>
      <c r="C23" s="28">
        <v>0</v>
      </c>
      <c r="D23" s="28">
        <v>0</v>
      </c>
      <c r="E23" s="29">
        <v>0</v>
      </c>
      <c r="F23" s="27">
        <v>0</v>
      </c>
      <c r="G23" s="28">
        <v>0</v>
      </c>
      <c r="H23" s="28">
        <v>0</v>
      </c>
      <c r="I23" s="29">
        <v>0</v>
      </c>
      <c r="J23" s="27">
        <v>210.92997779999999</v>
      </c>
      <c r="K23" s="28">
        <v>210.92997779999999</v>
      </c>
      <c r="L23" s="28">
        <v>210.92997779999999</v>
      </c>
      <c r="M23" s="29">
        <v>210.92997779999999</v>
      </c>
      <c r="N23" s="27">
        <v>0</v>
      </c>
      <c r="O23" s="28">
        <v>0</v>
      </c>
      <c r="P23" s="28">
        <v>0</v>
      </c>
      <c r="Q23" s="28">
        <v>0</v>
      </c>
      <c r="R23" s="28"/>
      <c r="S23" s="28"/>
      <c r="T23" s="22" t="s">
        <v>24</v>
      </c>
      <c r="V23" s="2"/>
      <c r="W23" s="2"/>
      <c r="X23" s="2"/>
      <c r="Y23" s="2"/>
      <c r="Z23" s="2"/>
    </row>
    <row r="24" spans="1:26" s="47" customFormat="1" ht="8.1" customHeight="1" x14ac:dyDescent="0.25">
      <c r="A24" s="66" t="s">
        <v>30</v>
      </c>
      <c r="B24" s="51"/>
      <c r="C24" s="52"/>
      <c r="D24" s="52"/>
      <c r="E24" s="53"/>
      <c r="F24" s="51"/>
      <c r="G24" s="52"/>
      <c r="H24" s="52"/>
      <c r="I24" s="53"/>
      <c r="J24" s="51"/>
      <c r="K24" s="52"/>
      <c r="L24" s="52"/>
      <c r="M24" s="53"/>
      <c r="N24" s="52"/>
      <c r="O24" s="52"/>
      <c r="P24" s="52"/>
      <c r="Q24" s="52"/>
      <c r="R24" s="52"/>
      <c r="S24" s="52"/>
      <c r="T24" s="67"/>
      <c r="V24" s="2"/>
      <c r="W24" s="2"/>
      <c r="X24" s="2"/>
      <c r="Y24" s="2"/>
      <c r="Z24" s="2"/>
    </row>
    <row r="25" spans="1:26" s="47" customFormat="1" ht="8.1" customHeight="1" x14ac:dyDescent="0.25">
      <c r="A25" s="61" t="s">
        <v>30</v>
      </c>
      <c r="B25" s="15"/>
      <c r="C25" s="15"/>
      <c r="D25" s="15"/>
      <c r="E25" s="15"/>
      <c r="F25" s="14"/>
      <c r="G25" s="15"/>
      <c r="H25" s="15"/>
      <c r="I25" s="16"/>
      <c r="J25" s="14"/>
      <c r="K25" s="15"/>
      <c r="L25" s="15"/>
      <c r="M25" s="16"/>
      <c r="N25" s="15"/>
      <c r="O25" s="15"/>
      <c r="P25" s="15"/>
      <c r="Q25" s="15"/>
      <c r="R25" s="15"/>
      <c r="S25" s="15"/>
      <c r="T25" s="68"/>
      <c r="V25" s="2"/>
      <c r="W25" s="2"/>
      <c r="X25" s="2"/>
      <c r="Y25" s="2"/>
      <c r="Z25" s="2"/>
    </row>
    <row r="26" spans="1:26" s="47" customFormat="1" ht="15.95" customHeight="1" x14ac:dyDescent="0.25">
      <c r="A26" s="69" t="s">
        <v>13</v>
      </c>
      <c r="B26" s="11"/>
      <c r="C26" s="12"/>
      <c r="D26" s="12"/>
      <c r="E26" s="13"/>
      <c r="F26" s="11"/>
      <c r="G26" s="12"/>
      <c r="H26" s="12"/>
      <c r="I26" s="13"/>
      <c r="J26" s="11"/>
      <c r="K26" s="12"/>
      <c r="L26" s="12"/>
      <c r="M26" s="13"/>
      <c r="N26" s="82"/>
      <c r="O26" s="82"/>
      <c r="P26" s="82"/>
      <c r="Q26" s="82"/>
      <c r="R26" s="12"/>
      <c r="S26" s="12"/>
      <c r="T26" s="17" t="s">
        <v>56</v>
      </c>
      <c r="V26" s="2"/>
      <c r="W26" s="2"/>
      <c r="X26" s="2"/>
      <c r="Y26" s="2"/>
      <c r="Z26" s="2"/>
    </row>
    <row r="27" spans="1:26" s="47" customFormat="1" ht="15.95" customHeight="1" x14ac:dyDescent="0.2">
      <c r="A27" s="61" t="s">
        <v>14</v>
      </c>
      <c r="B27" s="24">
        <v>-21.006873331405139</v>
      </c>
      <c r="C27" s="25">
        <v>18.875843805557246</v>
      </c>
      <c r="D27" s="25">
        <v>36.891323578229773</v>
      </c>
      <c r="E27" s="26">
        <v>32.580497064012491</v>
      </c>
      <c r="F27" s="24">
        <v>42.302891972789027</v>
      </c>
      <c r="G27" s="25">
        <v>6.614742266898288</v>
      </c>
      <c r="H27" s="25">
        <v>-27.359692461267148</v>
      </c>
      <c r="I27" s="26">
        <v>-7.8871983412034607</v>
      </c>
      <c r="J27" s="24">
        <v>-22.494741806711101</v>
      </c>
      <c r="K27" s="25">
        <v>-20.252361745201199</v>
      </c>
      <c r="L27" s="25">
        <v>-8.9979830395443994</v>
      </c>
      <c r="M27" s="26">
        <v>-20.8705166790207</v>
      </c>
      <c r="N27" s="24">
        <f>(N11-J11)/J11*100</f>
        <v>-20.180808586201778</v>
      </c>
      <c r="O27" s="25">
        <f>(O11-K11)/K11*100</f>
        <v>-16.760527442241472</v>
      </c>
      <c r="P27" s="25">
        <f>(P11-L11)/L11*100</f>
        <v>-28.99995088845812</v>
      </c>
      <c r="Q27" s="25">
        <f>(Q11-M11)/M11*100</f>
        <v>-62.86278846400414</v>
      </c>
      <c r="R27" s="25"/>
      <c r="S27" s="25"/>
      <c r="T27" s="54" t="s">
        <v>47</v>
      </c>
    </row>
    <row r="28" spans="1:26" s="47" customFormat="1" ht="15.95" customHeight="1" x14ac:dyDescent="0.2">
      <c r="A28" s="60" t="s">
        <v>25</v>
      </c>
      <c r="B28" s="27">
        <v>14.187853035243458</v>
      </c>
      <c r="C28" s="28">
        <v>29.084978241034797</v>
      </c>
      <c r="D28" s="28">
        <v>46.018889461976144</v>
      </c>
      <c r="E28" s="29">
        <v>-18.281544412518379</v>
      </c>
      <c r="F28" s="27">
        <v>2.5536600218979633</v>
      </c>
      <c r="G28" s="28">
        <v>-17.252482252008448</v>
      </c>
      <c r="H28" s="28">
        <v>-46.869514332146657</v>
      </c>
      <c r="I28" s="29">
        <v>3.3267480774696434</v>
      </c>
      <c r="J28" s="27">
        <v>-11.5003614047359</v>
      </c>
      <c r="K28" s="28">
        <v>-6.61084606049209</v>
      </c>
      <c r="L28" s="28">
        <v>9.9127603966538302</v>
      </c>
      <c r="M28" s="29">
        <v>-29.0111811837827</v>
      </c>
      <c r="N28" s="27">
        <f>(N12-J12)/J12*100</f>
        <v>-29.032625534909702</v>
      </c>
      <c r="O28" s="28">
        <f t="shared" ref="O28:Q28" si="0">(O12-K12)/K12*100</f>
        <v>-27.267248952871981</v>
      </c>
      <c r="P28" s="28">
        <f t="shared" si="0"/>
        <v>-37.497572607303418</v>
      </c>
      <c r="Q28" s="28">
        <f t="shared" si="0"/>
        <v>14.13528229483563</v>
      </c>
      <c r="R28" s="28"/>
      <c r="S28" s="28"/>
      <c r="T28" s="22" t="s">
        <v>48</v>
      </c>
    </row>
    <row r="29" spans="1:26" s="47" customFormat="1" ht="15.95" customHeight="1" x14ac:dyDescent="0.2">
      <c r="A29" s="60" t="s">
        <v>26</v>
      </c>
      <c r="B29" s="27">
        <v>1000.8524549654995</v>
      </c>
      <c r="C29" s="28">
        <v>59.292586254642245</v>
      </c>
      <c r="D29" s="28">
        <v>72.688556071152988</v>
      </c>
      <c r="E29" s="29">
        <v>-82.883322324210937</v>
      </c>
      <c r="F29" s="27">
        <v>-77.407831231356809</v>
      </c>
      <c r="G29" s="28">
        <v>-69.954516888890851</v>
      </c>
      <c r="H29" s="28">
        <v>-92.058051111644247</v>
      </c>
      <c r="I29" s="29">
        <v>113.65057791915535</v>
      </c>
      <c r="J29" s="27">
        <v>127.808488026269</v>
      </c>
      <c r="K29" s="28">
        <v>100.27646704102899</v>
      </c>
      <c r="L29" s="28">
        <v>410.53417833202599</v>
      </c>
      <c r="M29" s="29">
        <v>-63.540390203992203</v>
      </c>
      <c r="N29" s="27">
        <f>(N13-J13)/J13*100</f>
        <v>-67.192034204619162</v>
      </c>
      <c r="O29" s="28">
        <f t="shared" ref="O29:Q29" si="1">(O13-K13)/K13*100</f>
        <v>-60.047982140925797</v>
      </c>
      <c r="P29" s="28">
        <f t="shared" si="1"/>
        <v>-69.586053058079514</v>
      </c>
      <c r="Q29" s="28">
        <f t="shared" si="1"/>
        <v>722.95033259421939</v>
      </c>
      <c r="R29" s="28"/>
      <c r="S29" s="28"/>
      <c r="T29" s="22" t="s">
        <v>49</v>
      </c>
    </row>
    <row r="30" spans="1:26" s="47" customFormat="1" ht="15.95" customHeight="1" x14ac:dyDescent="0.2">
      <c r="A30" s="61" t="s">
        <v>35</v>
      </c>
      <c r="B30" s="24">
        <v>59.451187705785124</v>
      </c>
      <c r="C30" s="25">
        <v>-2.4782689108614586</v>
      </c>
      <c r="D30" s="25">
        <v>-6.2554329611913424</v>
      </c>
      <c r="E30" s="26">
        <v>-68.981347660787833</v>
      </c>
      <c r="F30" s="24">
        <v>-59.416739269629538</v>
      </c>
      <c r="G30" s="25">
        <v>-30.932935680348706</v>
      </c>
      <c r="H30" s="25">
        <v>119.46099615603542</v>
      </c>
      <c r="I30" s="26">
        <v>100.15084294461651</v>
      </c>
      <c r="J30" s="24">
        <v>141.42182110997999</v>
      </c>
      <c r="K30" s="25">
        <v>83.598450980424801</v>
      </c>
      <c r="L30" s="25">
        <v>40.655962594618501</v>
      </c>
      <c r="M30" s="26">
        <v>90.515887595948797</v>
      </c>
      <c r="N30" s="24">
        <f>(N14-J14)/J14*100</f>
        <v>38.289964221491651</v>
      </c>
      <c r="O30" s="25">
        <f t="shared" ref="O30:Q30" si="2">(O14-K14)/K14*100</f>
        <v>21.59668388610207</v>
      </c>
      <c r="P30" s="25">
        <f t="shared" si="2"/>
        <v>13.26177306172751</v>
      </c>
      <c r="Q30" s="25">
        <f t="shared" si="2"/>
        <v>92.082175552229657</v>
      </c>
      <c r="R30" s="25"/>
      <c r="S30" s="25"/>
      <c r="T30" s="54" t="s">
        <v>50</v>
      </c>
    </row>
    <row r="31" spans="1:26" s="47" customFormat="1" ht="15.95" customHeight="1" x14ac:dyDescent="0.2">
      <c r="A31" s="60" t="s">
        <v>54</v>
      </c>
      <c r="B31" s="27">
        <v>90.943654634745187</v>
      </c>
      <c r="C31" s="28">
        <v>-1.2903822672549636</v>
      </c>
      <c r="D31" s="28">
        <v>-3.2886542178037104</v>
      </c>
      <c r="E31" s="29">
        <v>-7.5780761122765998</v>
      </c>
      <c r="F31" s="27">
        <v>-1.8360985745813796</v>
      </c>
      <c r="G31" s="28">
        <v>14.895883966510294</v>
      </c>
      <c r="H31" s="28">
        <v>67.737331827864253</v>
      </c>
      <c r="I31" s="29">
        <v>25.331283695273953</v>
      </c>
      <c r="J31" s="27">
        <v>39.494508633565303</v>
      </c>
      <c r="K31" s="28">
        <v>29.805721769734799</v>
      </c>
      <c r="L31" s="28">
        <v>28.495280658155401</v>
      </c>
      <c r="M31" s="29">
        <v>31.532407221679001</v>
      </c>
      <c r="N31" s="27">
        <f>(N16-J16)/J16*100</f>
        <v>13.896146228036081</v>
      </c>
      <c r="O31" s="28">
        <f t="shared" ref="O31:Q31" si="3">(O16-K16)/K16*100</f>
        <v>2.8283649932921815</v>
      </c>
      <c r="P31" s="28">
        <f t="shared" si="3"/>
        <v>-3.9293402385346767</v>
      </c>
      <c r="Q31" s="28">
        <f t="shared" si="3"/>
        <v>0.72960558665562025</v>
      </c>
      <c r="R31" s="28"/>
      <c r="S31" s="28"/>
      <c r="T31" s="22" t="s">
        <v>55</v>
      </c>
    </row>
    <row r="32" spans="1:26" s="47" customFormat="1" ht="15.95" customHeight="1" x14ac:dyDescent="0.2">
      <c r="A32" s="61" t="s">
        <v>21</v>
      </c>
      <c r="B32" s="24">
        <v>-7.722350167757341</v>
      </c>
      <c r="C32" s="25">
        <v>12.054765339215635</v>
      </c>
      <c r="D32" s="25">
        <v>28.724062709661212</v>
      </c>
      <c r="E32" s="26">
        <v>1.4727449816322125</v>
      </c>
      <c r="F32" s="24">
        <v>13.281888941808329</v>
      </c>
      <c r="G32" s="25">
        <v>-3.8234590868403973</v>
      </c>
      <c r="H32" s="25">
        <v>-7.120093663915938</v>
      </c>
      <c r="I32" s="26">
        <v>2.2283229093364554</v>
      </c>
      <c r="J32" s="24">
        <v>-5.7408025495885697</v>
      </c>
      <c r="K32" s="25">
        <v>0.480265009372984</v>
      </c>
      <c r="L32" s="25">
        <v>7.1755159045579999</v>
      </c>
      <c r="M32" s="26">
        <v>-0.45172977431087302</v>
      </c>
      <c r="N32" s="24">
        <f>(N20-J20)/J20*100</f>
        <v>-4.8747347500149116</v>
      </c>
      <c r="O32" s="25">
        <f t="shared" ref="O32:Q32" si="4">(O20-K20)/K20*100</f>
        <v>-2.7685306851213118</v>
      </c>
      <c r="P32" s="25">
        <f t="shared" si="4"/>
        <v>-10.93324311316673</v>
      </c>
      <c r="Q32" s="25">
        <f t="shared" si="4"/>
        <v>-8.5036333334283576</v>
      </c>
      <c r="R32" s="25"/>
      <c r="S32" s="25"/>
      <c r="T32" s="54" t="s">
        <v>22</v>
      </c>
    </row>
    <row r="33" spans="1:21" s="47" customFormat="1" ht="15.95" customHeight="1" x14ac:dyDescent="0.2">
      <c r="A33" s="60" t="s">
        <v>52</v>
      </c>
      <c r="B33" s="27">
        <v>-4.3523941561553254</v>
      </c>
      <c r="C33" s="28">
        <v>-6.2531085690512249</v>
      </c>
      <c r="D33" s="28">
        <v>-4.156148340626487</v>
      </c>
      <c r="E33" s="29">
        <v>-3.8415027056182383</v>
      </c>
      <c r="F33" s="27">
        <v>-1.8256905793924583</v>
      </c>
      <c r="G33" s="28">
        <v>-7.1954870171352825</v>
      </c>
      <c r="H33" s="28">
        <v>-7.8938994936490587</v>
      </c>
      <c r="I33" s="29">
        <v>-1.6989942585451612</v>
      </c>
      <c r="J33" s="27">
        <v>-0.101325328793279</v>
      </c>
      <c r="K33" s="28">
        <v>10.884945177335201</v>
      </c>
      <c r="L33" s="28">
        <v>21.133999447192899</v>
      </c>
      <c r="M33" s="29">
        <v>8.5839583553725696</v>
      </c>
      <c r="N33" s="27">
        <f>(N21-J21)/J21*100</f>
        <v>13.242001808740628</v>
      </c>
      <c r="O33" s="28">
        <f t="shared" ref="O33:Q33" si="5">(O21-K21)/K21*100</f>
        <v>2.9224422532146068</v>
      </c>
      <c r="P33" s="28">
        <f t="shared" si="5"/>
        <v>-2.3077463586214306</v>
      </c>
      <c r="Q33" s="28">
        <f t="shared" si="5"/>
        <v>4.5094972242096976</v>
      </c>
      <c r="R33" s="28"/>
      <c r="S33" s="28"/>
      <c r="T33" s="22" t="s">
        <v>53</v>
      </c>
    </row>
    <row r="34" spans="1:21" s="47" customFormat="1" ht="15.95" customHeight="1" x14ac:dyDescent="0.2">
      <c r="A34" s="60" t="s">
        <v>37</v>
      </c>
      <c r="B34" s="27">
        <v>-9.1922052084936432</v>
      </c>
      <c r="C34" s="28">
        <v>22.163640564028796</v>
      </c>
      <c r="D34" s="28">
        <v>51.587654615584896</v>
      </c>
      <c r="E34" s="29">
        <v>3.9947546285952429</v>
      </c>
      <c r="F34" s="27">
        <v>20.22247490240958</v>
      </c>
      <c r="G34" s="28">
        <v>-2.394660553179373</v>
      </c>
      <c r="H34" s="28">
        <v>-6.7798874159130325</v>
      </c>
      <c r="I34" s="29">
        <v>3.9516874808478653</v>
      </c>
      <c r="J34" s="27">
        <v>-9.9679089651343098</v>
      </c>
      <c r="K34" s="28">
        <v>-6.0190986531904302</v>
      </c>
      <c r="L34" s="28">
        <v>-1.4545750188091899</v>
      </c>
      <c r="M34" s="29">
        <v>-6.5501242748508197</v>
      </c>
      <c r="N34" s="27">
        <f>(N22-J22)/J22*100</f>
        <v>-10.18534179144882</v>
      </c>
      <c r="O34" s="28">
        <f t="shared" ref="O34:Q34" si="6">(O22-K22)/K22*100</f>
        <v>-3.0863611778276332</v>
      </c>
      <c r="P34" s="28">
        <f t="shared" si="6"/>
        <v>-13.220581412674912</v>
      </c>
      <c r="Q34" s="28">
        <f t="shared" si="6"/>
        <v>-12.478262357536714</v>
      </c>
      <c r="R34" s="28"/>
      <c r="S34" s="28"/>
      <c r="T34" s="22" t="s">
        <v>23</v>
      </c>
    </row>
    <row r="35" spans="1:21" s="47" customFormat="1" ht="8.1" customHeight="1" x14ac:dyDescent="0.2">
      <c r="A35" s="66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56"/>
    </row>
    <row r="36" spans="1:21" s="47" customFormat="1" ht="8.1" customHeight="1" x14ac:dyDescent="0.2">
      <c r="A36" s="61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54"/>
    </row>
    <row r="37" spans="1:21" s="50" customFormat="1" ht="15.95" customHeight="1" x14ac:dyDescent="0.2">
      <c r="A37" s="18" t="s">
        <v>29</v>
      </c>
      <c r="T37" s="19" t="s">
        <v>28</v>
      </c>
    </row>
    <row r="38" spans="1:21" s="70" customFormat="1" ht="15.95" customHeight="1" x14ac:dyDescent="0.25">
      <c r="A38" s="20" t="s">
        <v>57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31" t="s">
        <v>58</v>
      </c>
      <c r="U38" s="50"/>
    </row>
    <row r="39" spans="1:21" s="50" customFormat="1" ht="15.95" customHeight="1" x14ac:dyDescent="0.25">
      <c r="A39" s="20" t="s">
        <v>15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2" t="s">
        <v>51</v>
      </c>
    </row>
    <row r="40" spans="1:21" s="50" customFormat="1" ht="12.75" customHeight="1" x14ac:dyDescent="0.25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</row>
    <row r="41" spans="1:21" s="50" customFormat="1" ht="12.75" customHeight="1" x14ac:dyDescent="0.25"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72"/>
      <c r="S41" s="72"/>
      <c r="T41" s="21"/>
    </row>
    <row r="42" spans="1:21" s="50" customFormat="1" ht="17.25" x14ac:dyDescent="0.25">
      <c r="A42" s="7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T42" s="21"/>
    </row>
    <row r="43" spans="1:21" x14ac:dyDescent="0.25"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</row>
    <row r="44" spans="1:21" x14ac:dyDescent="0.25"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74"/>
      <c r="S44" s="74"/>
    </row>
    <row r="45" spans="1:21" x14ac:dyDescent="0.25"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74"/>
      <c r="S45" s="74"/>
    </row>
    <row r="46" spans="1:21" x14ac:dyDescent="0.25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74"/>
      <c r="S46" s="74"/>
    </row>
    <row r="47" spans="1:21" x14ac:dyDescent="0.25"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</row>
    <row r="48" spans="1:21" x14ac:dyDescent="0.25"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</row>
    <row r="49" spans="2:19" x14ac:dyDescent="0.25"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</row>
    <row r="50" spans="2:19" x14ac:dyDescent="0.25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</row>
    <row r="51" spans="2:19" x14ac:dyDescent="0.25"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33"/>
      <c r="S51" s="33"/>
    </row>
    <row r="52" spans="2:19" x14ac:dyDescent="0.25"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33"/>
      <c r="S52" s="33"/>
    </row>
    <row r="53" spans="2:19" x14ac:dyDescent="0.25"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33"/>
      <c r="S53" s="33"/>
    </row>
    <row r="54" spans="2:19" x14ac:dyDescent="0.25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33"/>
      <c r="S54" s="33"/>
    </row>
    <row r="55" spans="2:19" x14ac:dyDescent="0.25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33"/>
      <c r="S55" s="33"/>
    </row>
    <row r="56" spans="2:19" x14ac:dyDescent="0.2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82"/>
      <c r="O56" s="33"/>
      <c r="P56" s="33"/>
      <c r="Q56" s="33"/>
      <c r="R56" s="33"/>
      <c r="S56" s="33"/>
    </row>
    <row r="57" spans="2:19" x14ac:dyDescent="0.25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82"/>
      <c r="O57" s="33"/>
      <c r="P57" s="33"/>
      <c r="Q57" s="33"/>
      <c r="R57" s="33"/>
      <c r="S57" s="33"/>
    </row>
    <row r="58" spans="2:19" x14ac:dyDescent="0.25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82"/>
      <c r="O58" s="33"/>
      <c r="P58" s="33"/>
      <c r="Q58" s="33"/>
      <c r="R58" s="33"/>
      <c r="S58" s="33"/>
    </row>
    <row r="59" spans="2:19" x14ac:dyDescent="0.25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82"/>
      <c r="O59" s="33"/>
      <c r="P59" s="33"/>
      <c r="Q59" s="33"/>
      <c r="R59" s="33"/>
      <c r="S59" s="33"/>
    </row>
    <row r="60" spans="2:19" x14ac:dyDescent="0.25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82"/>
      <c r="O60" s="33"/>
      <c r="P60" s="33"/>
      <c r="Q60" s="33"/>
      <c r="R60" s="33"/>
      <c r="S60" s="33"/>
    </row>
    <row r="61" spans="2:19" x14ac:dyDescent="0.25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82"/>
      <c r="O61" s="33"/>
      <c r="P61" s="33"/>
      <c r="Q61" s="33"/>
      <c r="R61" s="33"/>
      <c r="S61" s="33"/>
    </row>
    <row r="62" spans="2:19" x14ac:dyDescent="0.25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82"/>
      <c r="O62" s="33"/>
      <c r="P62" s="33"/>
      <c r="Q62" s="33"/>
      <c r="R62" s="33"/>
      <c r="S62" s="33"/>
    </row>
    <row r="63" spans="2:19" x14ac:dyDescent="0.25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82"/>
      <c r="O63" s="33"/>
      <c r="P63" s="33"/>
      <c r="Q63" s="33"/>
      <c r="R63" s="33"/>
      <c r="S63" s="33"/>
    </row>
    <row r="64" spans="2:19" x14ac:dyDescent="0.25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82"/>
      <c r="O64" s="33"/>
      <c r="P64" s="33"/>
      <c r="Q64" s="33"/>
      <c r="R64" s="33"/>
      <c r="S64" s="33"/>
    </row>
    <row r="65" spans="2:19" x14ac:dyDescent="0.25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82"/>
      <c r="O65" s="33"/>
      <c r="P65" s="33"/>
      <c r="Q65" s="33"/>
      <c r="R65" s="33"/>
      <c r="S65" s="33"/>
    </row>
    <row r="66" spans="2:19" x14ac:dyDescent="0.25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82"/>
      <c r="O66" s="33"/>
      <c r="P66" s="33"/>
      <c r="Q66" s="33"/>
      <c r="R66" s="33"/>
      <c r="S66" s="33"/>
    </row>
    <row r="67" spans="2:19" x14ac:dyDescent="0.25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82"/>
      <c r="O67" s="33"/>
      <c r="P67" s="33"/>
      <c r="Q67" s="33"/>
      <c r="R67" s="33"/>
      <c r="S67" s="33"/>
    </row>
    <row r="68" spans="2:19" x14ac:dyDescent="0.25"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82"/>
      <c r="O68" s="33"/>
      <c r="P68" s="33"/>
      <c r="Q68" s="33"/>
      <c r="R68" s="33"/>
      <c r="S68" s="33"/>
    </row>
    <row r="69" spans="2:19" x14ac:dyDescent="0.25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spans="2:19" x14ac:dyDescent="0.25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2:19" x14ac:dyDescent="0.25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2:19" x14ac:dyDescent="0.25"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2:19" x14ac:dyDescent="0.25"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2:19" x14ac:dyDescent="0.25"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2:19" x14ac:dyDescent="0.25"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2:19" x14ac:dyDescent="0.25"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2:19" x14ac:dyDescent="0.25"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2:19" x14ac:dyDescent="0.25"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2:19" x14ac:dyDescent="0.25"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2:19" x14ac:dyDescent="0.25"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2:19" x14ac:dyDescent="0.25"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spans="2:19" x14ac:dyDescent="0.25"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2:19" x14ac:dyDescent="0.25"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spans="2:19" x14ac:dyDescent="0.25"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2:19" x14ac:dyDescent="0.25"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spans="2:19" x14ac:dyDescent="0.25"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</sheetData>
  <mergeCells count="9">
    <mergeCell ref="A1:T1"/>
    <mergeCell ref="A2:T2"/>
    <mergeCell ref="A3:T3"/>
    <mergeCell ref="A4:T4"/>
    <mergeCell ref="T7:T9"/>
    <mergeCell ref="F7:I7"/>
    <mergeCell ref="B7:E7"/>
    <mergeCell ref="J7:M7"/>
    <mergeCell ref="N7:Q7"/>
  </mergeCells>
  <phoneticPr fontId="18" type="noConversion"/>
  <pageMargins left="0.25" right="0.25" top="0.75" bottom="0.75" header="0.3" footer="0.3"/>
  <pageSetup paperSize="9" scale="5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14.1</vt:lpstr>
      <vt:lpstr>Sheet2</vt:lpstr>
      <vt:lpstr>'14.1'!Print_Area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2025-08-21T02:58:41Z</cp:lastPrinted>
  <dcterms:created xsi:type="dcterms:W3CDTF">2013-04-01T04:26:10Z</dcterms:created>
  <dcterms:modified xsi:type="dcterms:W3CDTF">2025-08-21T03:02:58Z</dcterms:modified>
</cp:coreProperties>
</file>