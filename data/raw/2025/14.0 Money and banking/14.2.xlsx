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5\Final\Money and BAnking\"/>
    </mc:Choice>
  </mc:AlternateContent>
  <xr:revisionPtr revIDLastSave="0" documentId="13_ncr:1_{59FD91A8-F8CD-4C54-B7DF-4EECFAA8F86F}" xr6:coauthVersionLast="47" xr6:coauthVersionMax="47" xr10:uidLastSave="{00000000-0000-0000-0000-000000000000}"/>
  <bookViews>
    <workbookView xWindow="-120" yWindow="-120" windowWidth="29040" windowHeight="15720" tabRatio="626" xr2:uid="{00000000-000D-0000-FFFF-FFFF00000000}"/>
  </bookViews>
  <sheets>
    <sheet name="14.2" sheetId="3" r:id="rId1"/>
    <sheet name="Sheet2" sheetId="24" state="hidden" r:id="rId2"/>
  </sheets>
  <externalReferences>
    <externalReference r:id="rId3"/>
  </externalReferences>
  <definedNames>
    <definedName name="Date_ODC">[1]Industry!$4:$4</definedName>
    <definedName name="LCFC_ODC">[1]Industry!$5:$5</definedName>
    <definedName name="_xlnm.Print_Area" localSheetId="0">'14.2'!$A$1:$R$42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O33" i="3" l="1"/>
  <c r="P33" i="3"/>
  <c r="Q33" i="3"/>
  <c r="O34" i="3"/>
  <c r="P34" i="3"/>
  <c r="Q34" i="3"/>
  <c r="O35" i="3"/>
  <c r="P35" i="3"/>
  <c r="Q35" i="3"/>
  <c r="N34" i="3"/>
  <c r="N35" i="3"/>
  <c r="N33" i="3"/>
  <c r="N32" i="3"/>
  <c r="O31" i="3"/>
  <c r="P31" i="3"/>
  <c r="Q31" i="3"/>
  <c r="N31" i="3"/>
  <c r="O30" i="3"/>
  <c r="P30" i="3"/>
  <c r="Q30" i="3"/>
  <c r="N30" i="3"/>
  <c r="O29" i="3"/>
  <c r="P29" i="3"/>
  <c r="Q29" i="3"/>
  <c r="N29" i="3"/>
  <c r="O28" i="3"/>
  <c r="P28" i="3"/>
  <c r="Q28" i="3"/>
  <c r="N28" i="3"/>
  <c r="O27" i="3"/>
  <c r="P27" i="3"/>
  <c r="Q27" i="3"/>
  <c r="N27" i="3"/>
  <c r="Q32" i="3"/>
  <c r="P32" i="3"/>
  <c r="O32" i="3"/>
</calcChain>
</file>

<file path=xl/sharedStrings.xml><?xml version="1.0" encoding="utf-8"?>
<sst xmlns="http://schemas.openxmlformats.org/spreadsheetml/2006/main" count="103" uniqueCount="53">
  <si>
    <t>(cniaWyifur cnwailim ;cSwlwyin egutwdcaum WviawfiLeawDnwk)</t>
  </si>
  <si>
    <t>(In millions of Rufiyaa; end of period)</t>
  </si>
  <si>
    <t>Particulars</t>
  </si>
  <si>
    <t>cCWm</t>
  </si>
  <si>
    <t>cnUj</t>
  </si>
  <si>
    <t>cTcpes</t>
  </si>
  <si>
    <t>cmesiD</t>
  </si>
  <si>
    <t>clIBcfwt</t>
  </si>
  <si>
    <t>Mar</t>
  </si>
  <si>
    <t>Jun</t>
  </si>
  <si>
    <t>Sep</t>
  </si>
  <si>
    <t>Domestic claims</t>
  </si>
  <si>
    <t>އެހެނިހެން މާލީދާއިރާގެ ކުންފުނިތަކުން</t>
  </si>
  <si>
    <t>ސަރުކާރު ހިއްސާވާ ކުންފުނިތަކުން (މާލީދާއިރާގެ ކުންފުނިތައް ނުހިމަނައި)</t>
  </si>
  <si>
    <t>Other items (net)</t>
  </si>
  <si>
    <t>Annual percentage change</t>
  </si>
  <si>
    <t>Net foreign assets</t>
  </si>
  <si>
    <t>Source: Maldives Monetary Authority.</t>
  </si>
  <si>
    <t>Dec</t>
  </si>
  <si>
    <t>Net claims on central government</t>
  </si>
  <si>
    <t>Claims on other sectors</t>
  </si>
  <si>
    <t>އެހެނިހެން ފަރާތްތަކުން ލިބެންވާ</t>
  </si>
  <si>
    <t>Claims on central bank</t>
  </si>
  <si>
    <t>ނޯޓް:</t>
  </si>
  <si>
    <t>NOTE:</t>
  </si>
  <si>
    <t/>
  </si>
  <si>
    <t>Claims on nonresidents</t>
  </si>
  <si>
    <t>Liabilities to nonresidents</t>
  </si>
  <si>
    <t>Claims on private sector</t>
  </si>
  <si>
    <t>ތަފްޞީލް</t>
  </si>
  <si>
    <t>Net domestic assets</t>
  </si>
  <si>
    <t>Claims on other financial corporations</t>
  </si>
  <si>
    <t>ރާއްޖޭގެ ފަރާތްތަކުން އަދާކުރަންޖެހޭ ފައިސާ (ޑޮމެސްޓިކް އެސެޓްސް)</t>
  </si>
  <si>
    <t>ސަރުކާރުން އަދާކުރަންޖެހޭ ފައިސާ (ސާފުބާކީ)</t>
  </si>
  <si>
    <t>މީގެ ތެރެއިން: ސަރުކާރުން އަދާކުރަންޖެހޭ ފައިސާ</t>
  </si>
  <si>
    <t>އެހެނިހެން އެސެޓްސް (ސާފުބާކީ)</t>
  </si>
  <si>
    <t>ނެޓް ފޮރިން އެސެޓްސް</t>
  </si>
  <si>
    <t>ބޭރުގެ ފަރާތްތަކުން ލިބެންވާ</t>
  </si>
  <si>
    <t>ބޭރުގެ ފަރާތްތަކަށް ދައްކަންޖެހޭ</t>
  </si>
  <si>
    <t>ނެޓް ޑޮމެސްޓިކް އެސެޓްސް</t>
  </si>
  <si>
    <t>މައުލޫމާތު ދެއްވި ފަރާތް: މޯލްޑިވްސް މަނިޓަރީ އޮތޯރިޓީ</t>
  </si>
  <si>
    <t>Claims on public non-financial corporations</t>
  </si>
  <si>
    <t>Transferable deposits, Other deposits, Securities other than shares included in broad money</t>
  </si>
  <si>
    <r>
      <rPr>
        <vertAlign val="superscript"/>
        <sz val="9"/>
        <color theme="1"/>
        <rFont val="Calibri"/>
        <family val="2"/>
        <scheme val="minor"/>
      </rPr>
      <t>o/w</t>
    </r>
    <r>
      <rPr>
        <sz val="9"/>
        <color theme="1"/>
        <rFont val="Calibri"/>
        <family val="2"/>
        <scheme val="minor"/>
      </rPr>
      <t xml:space="preserve"> Claims on central government</t>
    </r>
  </si>
  <si>
    <t>އަމިއްލަ ފަރާތްތަކުން</t>
  </si>
  <si>
    <t>ޖުމްލަ ފައިސާގައި ހިމެނިފައިވާ ޓްރާންސްފަރަބަލް ޑިޕޮސިޓް، އެހެނިހެން ޑިޕޮސިޓް އަދި ސެކިއުރިޓީސް (ހިއްސާ ނުހިމަނައި)</t>
  </si>
  <si>
    <t>މަރުކަޒީ ބޭންކުގައި ބަހައްޓާފައިވާ ފައިސާ</t>
  </si>
  <si>
    <t>އަހަރުން އަހަރަށް އިތުރުވި މިންވަރު އިންސައްތައިން</t>
  </si>
  <si>
    <t xml:space="preserve">Data is compiled based on IMF Monetary and Financial Statistics: Compilation Guide (2008). </t>
  </si>
  <si>
    <t>މިމައުލޫމާތުތައް އެކުލަވާލެވިފައި މިވަނީ އިންޓަނޭޝަނަލް މަނިޓަރީ ފަންޑްގެ މަނިޓަރީ އެންޑް ފައިނޭންސަލް ސްޓެޓިސްޓިކްސް: ކޮމްޕައިލޭޝަން ގައިޑް (2008) ގައި ބަޔާން ކުރެވިފައިވާ ގޮތަށެވެ.</t>
  </si>
  <si>
    <t>2021, 2020  and Dec 2019  furures are revised</t>
  </si>
  <si>
    <t>Table 14.2: OTHER DEPOSITORY CORPORATIONS SURVEY, 2021 - 2024</t>
  </si>
  <si>
    <t xml:space="preserve">            ތާވަލު 14.2: ވިޔަފާރި ބޭންކުތަކުގެ ސާރވޭ 2021 - 2024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</si>
</sst>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General_)"/>
    <numFmt numFmtId="165" formatCode="0.0"/>
    <numFmt numFmtId="166" formatCode="#,##0.0"/>
    <numFmt numFmtId="168" formatCode="_ * #,##0.00_ ;_ * \-#,##0.00_ ;_ * &quot;-&quot;??_ ;_ @_ "/>
    <numFmt numFmtId="169" formatCode="#,##0.0_);\(#,##0.0\)"/>
    <numFmt numFmtId="170" formatCode="mmmm\-yy"/>
    <numFmt numFmtId="171" formatCode="_-&quot;$&quot;* #,##0_-;\-&quot;$&quot;* #,##0_-;_-&quot;$&quot;* &quot;-&quot;_-;_-@_-"/>
    <numFmt numFmtId="172" formatCode="0.0000%"/>
    <numFmt numFmtId="173" formatCode="##,##0.0000"/>
    <numFmt numFmtId="174" formatCode="_-* #,##0\ _F_-;\-* #,##0\ _F_-;_-* &quot;-&quot;\ _F_-;_-@_-"/>
    <numFmt numFmtId="175" formatCode="_-* #,##0.00\ _F_-;\-* #,##0.00\ _F_-;_-* &quot;-&quot;??\ _F_-;_-@_-"/>
    <numFmt numFmtId="176" formatCode="#,##0\ &quot;F&quot;;[Red]\-#,##0\ &quot;F&quot;"/>
    <numFmt numFmtId="177" formatCode="#,##0.00\ &quot;F&quot;;\-#,##0.00\ &quot;F&quot;"/>
    <numFmt numFmtId="178" formatCode="_-&quot;$&quot;* #,##0.00_-;\-&quot;$&quot;* #,##0.00_-;_-&quot;$&quot;* &quot;-&quot;??_-;_-@_-"/>
    <numFmt numFmtId="179" formatCode="#,##0&quot;£&quot;_);\(#,##0&quot;£&quot;\)"/>
    <numFmt numFmtId="182" formatCode="_(* #,##0.0_);_(* \(#,##0.0\);_(* &quot;-&quot;?_);_(@_)"/>
  </numFmts>
  <fonts count="6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0"/>
      <name val="Courier"/>
      <family val="3"/>
    </font>
    <font>
      <b/>
      <sz val="12"/>
      <name val="Faruma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b/>
      <sz val="9"/>
      <name val="Faruma"/>
    </font>
    <font>
      <sz val="9"/>
      <name val="Faruma"/>
    </font>
    <font>
      <b/>
      <sz val="9"/>
      <name val="A_Faseyha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9"/>
      <name val="A_Randhoo"/>
    </font>
    <font>
      <b/>
      <i/>
      <sz val="9"/>
      <name val="Calibri"/>
      <family val="2"/>
      <scheme val="minor"/>
    </font>
    <font>
      <sz val="9"/>
      <name val="Calibri"/>
      <family val="2"/>
      <scheme val="minor"/>
    </font>
    <font>
      <i/>
      <sz val="10"/>
      <name val="Calibri"/>
      <family val="2"/>
      <scheme val="minor"/>
    </font>
    <font>
      <sz val="11"/>
      <name val="Calibri"/>
      <family val="2"/>
      <scheme val="minor"/>
    </font>
    <font>
      <sz val="10"/>
      <name val="Faruma"/>
    </font>
    <font>
      <b/>
      <sz val="10"/>
      <name val="Faruma"/>
    </font>
    <font>
      <sz val="8"/>
      <name val="Calibri"/>
      <family val="2"/>
      <scheme val="minor"/>
    </font>
    <font>
      <b/>
      <sz val="9"/>
      <name val="Calibri"/>
      <family val="2"/>
      <scheme val="minor"/>
    </font>
    <font>
      <sz val="8"/>
      <name val="Arial"/>
      <family val="2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6"/>
      <name val="Calibri"/>
      <family val="2"/>
    </font>
    <font>
      <sz val="12"/>
      <name val="Helv"/>
    </font>
    <font>
      <sz val="12"/>
      <name val="Times New Roman"/>
      <family val="1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indexed="17"/>
      <name val="Calibri"/>
      <family val="2"/>
    </font>
    <font>
      <b/>
      <sz val="12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3"/>
      <name val="Calibri"/>
      <family val="2"/>
    </font>
    <font>
      <sz val="12"/>
      <name val="Bookman Old Style"/>
      <family val="1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sz val="8"/>
      <color indexed="10"/>
      <name val="Arial Narrow"/>
      <family val="2"/>
    </font>
    <font>
      <sz val="11"/>
      <color indexed="10"/>
      <name val="Calibri"/>
      <family val="2"/>
    </font>
    <font>
      <sz val="9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</font>
    <font>
      <b/>
      <sz val="12"/>
      <name val="A_Faseyha"/>
    </font>
    <font>
      <b/>
      <i/>
      <sz val="10"/>
      <name val="Faruma"/>
    </font>
    <font>
      <sz val="10"/>
      <color theme="1"/>
      <name val="Faruma"/>
    </font>
    <font>
      <b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vertAlign val="superscript"/>
      <sz val="9"/>
      <color theme="1"/>
      <name val="Calibri"/>
      <family val="2"/>
      <scheme val="minor"/>
    </font>
    <font>
      <b/>
      <sz val="10"/>
      <color theme="1"/>
      <name val="Faruma"/>
    </font>
    <font>
      <b/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indexed="47"/>
        <bgColor indexed="47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25"/>
        <bgColor indexed="25"/>
      </patternFill>
    </fill>
    <fill>
      <patternFill patternType="solid">
        <fgColor indexed="49"/>
        <bgColor indexed="49"/>
      </patternFill>
    </fill>
    <fill>
      <patternFill patternType="solid">
        <fgColor indexed="26"/>
        <bgColor indexed="26"/>
      </patternFill>
    </fill>
    <fill>
      <patternFill patternType="solid">
        <fgColor indexed="43"/>
        <bgColor indexed="43"/>
      </patternFill>
    </fill>
    <fill>
      <patternFill patternType="solid">
        <fgColor indexed="52"/>
        <bgColor indexed="52"/>
      </patternFill>
    </fill>
    <fill>
      <patternFill patternType="solid">
        <fgColor indexed="45"/>
        <bgColor indexed="45"/>
      </patternFill>
    </fill>
    <fill>
      <patternFill patternType="solid">
        <fgColor indexed="9"/>
        <bgColor indexed="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2"/>
        <bgColor indexed="42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thin">
        <color theme="0"/>
      </left>
      <right style="hair">
        <color indexed="64"/>
      </right>
      <top/>
      <bottom style="thin">
        <color theme="0"/>
      </bottom>
      <diagonal/>
    </border>
    <border>
      <left style="hair">
        <color indexed="64"/>
      </left>
      <right style="thin">
        <color theme="0"/>
      </right>
      <top/>
      <bottom style="thin">
        <color theme="0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hair">
        <color indexed="64"/>
      </right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</borders>
  <cellStyleXfs count="300">
    <xf numFmtId="0" fontId="0" fillId="0" borderId="0"/>
    <xf numFmtId="43" fontId="1" fillId="0" borderId="0" applyFont="0" applyFill="0" applyBorder="0" applyAlignment="0" applyProtection="0"/>
    <xf numFmtId="165" fontId="3" fillId="0" borderId="0"/>
    <xf numFmtId="0" fontId="5" fillId="0" borderId="0"/>
    <xf numFmtId="0" fontId="5" fillId="0" borderId="0"/>
    <xf numFmtId="17" fontId="5" fillId="0" borderId="0" applyFont="0"/>
    <xf numFmtId="17" fontId="5" fillId="0" borderId="0" applyFont="0"/>
    <xf numFmtId="0" fontId="5" fillId="0" borderId="0"/>
    <xf numFmtId="0" fontId="5" fillId="0" borderId="0"/>
    <xf numFmtId="0" fontId="5" fillId="0" borderId="0"/>
    <xf numFmtId="0" fontId="5" fillId="0" borderId="0"/>
    <xf numFmtId="17" fontId="5" fillId="0" borderId="0" applyFont="0"/>
    <xf numFmtId="0" fontId="5" fillId="0" borderId="0"/>
    <xf numFmtId="0" fontId="26" fillId="2" borderId="0" applyNumberFormat="0" applyBorder="0" applyAlignment="0" applyProtection="0"/>
    <xf numFmtId="0" fontId="26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5" borderId="0" applyNumberFormat="0" applyBorder="0" applyAlignment="0" applyProtection="0"/>
    <xf numFmtId="0" fontId="27" fillId="5" borderId="0" applyNumberFormat="0" applyBorder="0" applyAlignment="0" applyProtection="0"/>
    <xf numFmtId="0" fontId="27" fillId="5" borderId="0" applyNumberFormat="0" applyBorder="0" applyAlignment="0" applyProtection="0"/>
    <xf numFmtId="0" fontId="27" fillId="5" borderId="0" applyNumberFormat="0" applyBorder="0" applyAlignment="0" applyProtection="0"/>
    <xf numFmtId="0" fontId="27" fillId="5" borderId="0" applyNumberFormat="0" applyBorder="0" applyAlignment="0" applyProtection="0"/>
    <xf numFmtId="0" fontId="27" fillId="5" borderId="0" applyNumberFormat="0" applyBorder="0" applyAlignment="0" applyProtection="0"/>
    <xf numFmtId="0" fontId="27" fillId="5" borderId="0" applyNumberFormat="0" applyBorder="0" applyAlignment="0" applyProtection="0"/>
    <xf numFmtId="0" fontId="26" fillId="2" borderId="0" applyNumberFormat="0" applyBorder="0" applyAlignment="0" applyProtection="0"/>
    <xf numFmtId="0" fontId="26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8" borderId="0" applyNumberFormat="0" applyBorder="0" applyAlignment="0" applyProtection="0"/>
    <xf numFmtId="0" fontId="27" fillId="8" borderId="0" applyNumberFormat="0" applyBorder="0" applyAlignment="0" applyProtection="0"/>
    <xf numFmtId="0" fontId="27" fillId="8" borderId="0" applyNumberFormat="0" applyBorder="0" applyAlignment="0" applyProtection="0"/>
    <xf numFmtId="0" fontId="27" fillId="8" borderId="0" applyNumberFormat="0" applyBorder="0" applyAlignment="0" applyProtection="0"/>
    <xf numFmtId="0" fontId="27" fillId="8" borderId="0" applyNumberFormat="0" applyBorder="0" applyAlignment="0" applyProtection="0"/>
    <xf numFmtId="0" fontId="27" fillId="8" borderId="0" applyNumberFormat="0" applyBorder="0" applyAlignment="0" applyProtection="0"/>
    <xf numFmtId="0" fontId="27" fillId="8" borderId="0" applyNumberFormat="0" applyBorder="0" applyAlignment="0" applyProtection="0"/>
    <xf numFmtId="0" fontId="26" fillId="2" borderId="0" applyNumberFormat="0" applyBorder="0" applyAlignment="0" applyProtection="0"/>
    <xf numFmtId="0" fontId="26" fillId="2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7" borderId="0" applyNumberFormat="0" applyBorder="0" applyAlignment="0" applyProtection="0"/>
    <xf numFmtId="0" fontId="27" fillId="7" borderId="0" applyNumberFormat="0" applyBorder="0" applyAlignment="0" applyProtection="0"/>
    <xf numFmtId="0" fontId="27" fillId="7" borderId="0" applyNumberFormat="0" applyBorder="0" applyAlignment="0" applyProtection="0"/>
    <xf numFmtId="0" fontId="27" fillId="7" borderId="0" applyNumberFormat="0" applyBorder="0" applyAlignment="0" applyProtection="0"/>
    <xf numFmtId="0" fontId="27" fillId="7" borderId="0" applyNumberFormat="0" applyBorder="0" applyAlignment="0" applyProtection="0"/>
    <xf numFmtId="0" fontId="27" fillId="7" borderId="0" applyNumberFormat="0" applyBorder="0" applyAlignment="0" applyProtection="0"/>
    <xf numFmtId="0" fontId="27" fillId="7" borderId="0" applyNumberFormat="0" applyBorder="0" applyAlignment="0" applyProtection="0"/>
    <xf numFmtId="0" fontId="26" fillId="2" borderId="0" applyNumberFormat="0" applyBorder="0" applyAlignment="0" applyProtection="0"/>
    <xf numFmtId="0" fontId="26" fillId="6" borderId="0" applyNumberFormat="0" applyBorder="0" applyAlignment="0" applyProtection="0"/>
    <xf numFmtId="0" fontId="27" fillId="6" borderId="0" applyNumberFormat="0" applyBorder="0" applyAlignment="0" applyProtection="0"/>
    <xf numFmtId="0" fontId="27" fillId="5" borderId="0" applyNumberFormat="0" applyBorder="0" applyAlignment="0" applyProtection="0"/>
    <xf numFmtId="0" fontId="27" fillId="5" borderId="0" applyNumberFormat="0" applyBorder="0" applyAlignment="0" applyProtection="0"/>
    <xf numFmtId="0" fontId="27" fillId="5" borderId="0" applyNumberFormat="0" applyBorder="0" applyAlignment="0" applyProtection="0"/>
    <xf numFmtId="0" fontId="27" fillId="5" borderId="0" applyNumberFormat="0" applyBorder="0" applyAlignment="0" applyProtection="0"/>
    <xf numFmtId="0" fontId="27" fillId="5" borderId="0" applyNumberFormat="0" applyBorder="0" applyAlignment="0" applyProtection="0"/>
    <xf numFmtId="0" fontId="27" fillId="5" borderId="0" applyNumberFormat="0" applyBorder="0" applyAlignment="0" applyProtection="0"/>
    <xf numFmtId="0" fontId="27" fillId="5" borderId="0" applyNumberFormat="0" applyBorder="0" applyAlignment="0" applyProtection="0"/>
    <xf numFmtId="0" fontId="27" fillId="5" borderId="0" applyNumberFormat="0" applyBorder="0" applyAlignment="0" applyProtection="0"/>
    <xf numFmtId="0" fontId="26" fillId="2" borderId="0" applyNumberFormat="0" applyBorder="0" applyAlignment="0" applyProtection="0"/>
    <xf numFmtId="0" fontId="26" fillId="2" borderId="0" applyNumberFormat="0" applyBorder="0" applyAlignment="0" applyProtection="0"/>
    <xf numFmtId="0" fontId="27" fillId="4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17" fontId="5" fillId="0" borderId="0" applyFont="0"/>
    <xf numFmtId="0" fontId="28" fillId="13" borderId="0" applyNumberFormat="0" applyBorder="0" applyAlignment="0" applyProtection="0"/>
    <xf numFmtId="0" fontId="28" fillId="13" borderId="0" applyNumberFormat="0" applyBorder="0" applyAlignment="0" applyProtection="0"/>
    <xf numFmtId="0" fontId="28" fillId="13" borderId="0" applyNumberFormat="0" applyBorder="0" applyAlignment="0" applyProtection="0"/>
    <xf numFmtId="0" fontId="28" fillId="13" borderId="0" applyNumberFormat="0" applyBorder="0" applyAlignment="0" applyProtection="0"/>
    <xf numFmtId="0" fontId="28" fillId="13" borderId="0" applyNumberFormat="0" applyBorder="0" applyAlignment="0" applyProtection="0"/>
    <xf numFmtId="0" fontId="28" fillId="13" borderId="0" applyNumberFormat="0" applyBorder="0" applyAlignment="0" applyProtection="0"/>
    <xf numFmtId="0" fontId="28" fillId="13" borderId="0" applyNumberFormat="0" applyBorder="0" applyAlignment="0" applyProtection="0"/>
    <xf numFmtId="0" fontId="28" fillId="13" borderId="0" applyNumberFormat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68" fontId="5" fillId="0" borderId="0" applyFill="0" applyBorder="0" applyAlignment="0"/>
    <xf numFmtId="0" fontId="30" fillId="0" borderId="0" applyFill="0" applyBorder="0" applyAlignment="0"/>
    <xf numFmtId="0" fontId="5" fillId="0" borderId="0" applyFill="0" applyBorder="0" applyAlignment="0"/>
    <xf numFmtId="169" fontId="3" fillId="0" borderId="0" applyFill="0" applyBorder="0" applyAlignment="0"/>
    <xf numFmtId="170" fontId="5" fillId="0" borderId="0" applyFill="0" applyBorder="0" applyAlignment="0"/>
    <xf numFmtId="168" fontId="5" fillId="0" borderId="0" applyFill="0" applyBorder="0" applyAlignment="0"/>
    <xf numFmtId="171" fontId="5" fillId="0" borderId="0" applyFill="0" applyBorder="0" applyAlignment="0"/>
    <xf numFmtId="0" fontId="30" fillId="0" borderId="0" applyFill="0" applyBorder="0" applyAlignment="0"/>
    <xf numFmtId="0" fontId="31" fillId="14" borderId="8" applyNumberFormat="0" applyAlignment="0" applyProtection="0"/>
    <xf numFmtId="0" fontId="31" fillId="14" borderId="8" applyNumberFormat="0" applyAlignment="0" applyProtection="0"/>
    <xf numFmtId="0" fontId="31" fillId="14" borderId="8" applyNumberFormat="0" applyAlignment="0" applyProtection="0"/>
    <xf numFmtId="0" fontId="31" fillId="14" borderId="8" applyNumberFormat="0" applyAlignment="0" applyProtection="0"/>
    <xf numFmtId="0" fontId="31" fillId="14" borderId="8" applyNumberFormat="0" applyAlignment="0" applyProtection="0"/>
    <xf numFmtId="0" fontId="31" fillId="14" borderId="8" applyNumberFormat="0" applyAlignment="0" applyProtection="0"/>
    <xf numFmtId="0" fontId="31" fillId="14" borderId="8" applyNumberFormat="0" applyAlignment="0" applyProtection="0"/>
    <xf numFmtId="0" fontId="31" fillId="14" borderId="8" applyNumberFormat="0" applyAlignment="0" applyProtection="0"/>
    <xf numFmtId="17" fontId="5" fillId="0" borderId="0" applyFont="0"/>
    <xf numFmtId="0" fontId="32" fillId="7" borderId="9" applyNumberFormat="0" applyAlignment="0" applyProtection="0"/>
    <xf numFmtId="0" fontId="32" fillId="7" borderId="9" applyNumberFormat="0" applyAlignment="0" applyProtection="0"/>
    <xf numFmtId="0" fontId="32" fillId="7" borderId="9" applyNumberFormat="0" applyAlignment="0" applyProtection="0"/>
    <xf numFmtId="0" fontId="32" fillId="7" borderId="9" applyNumberFormat="0" applyAlignment="0" applyProtection="0"/>
    <xf numFmtId="0" fontId="32" fillId="7" borderId="9" applyNumberFormat="0" applyAlignment="0" applyProtection="0"/>
    <xf numFmtId="0" fontId="32" fillId="7" borderId="9" applyNumberFormat="0" applyAlignment="0" applyProtection="0"/>
    <xf numFmtId="0" fontId="32" fillId="7" borderId="9" applyNumberFormat="0" applyAlignment="0" applyProtection="0"/>
    <xf numFmtId="0" fontId="32" fillId="7" borderId="9" applyNumberFormat="0" applyAlignment="0" applyProtection="0"/>
    <xf numFmtId="172" fontId="5" fillId="0" borderId="0"/>
    <xf numFmtId="172" fontId="5" fillId="0" borderId="0"/>
    <xf numFmtId="172" fontId="5" fillId="0" borderId="0"/>
    <xf numFmtId="172" fontId="5" fillId="0" borderId="0"/>
    <xf numFmtId="172" fontId="5" fillId="0" borderId="0"/>
    <xf numFmtId="172" fontId="5" fillId="0" borderId="0"/>
    <xf numFmtId="172" fontId="5" fillId="0" borderId="0"/>
    <xf numFmtId="172" fontId="5" fillId="0" borderId="0"/>
    <xf numFmtId="168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3" fontId="1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0" fontId="30" fillId="0" borderId="0" applyFont="0" applyFill="0" applyBorder="0" applyAlignment="0" applyProtection="0"/>
    <xf numFmtId="14" fontId="33" fillId="0" borderId="0" applyFill="0" applyBorder="0" applyAlignment="0"/>
    <xf numFmtId="0" fontId="34" fillId="15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168" fontId="5" fillId="0" borderId="0" applyFill="0" applyBorder="0" applyAlignment="0"/>
    <xf numFmtId="0" fontId="30" fillId="0" borderId="0" applyFill="0" applyBorder="0" applyAlignment="0"/>
    <xf numFmtId="168" fontId="5" fillId="0" borderId="0" applyFill="0" applyBorder="0" applyAlignment="0"/>
    <xf numFmtId="171" fontId="5" fillId="0" borderId="0" applyFill="0" applyBorder="0" applyAlignment="0"/>
    <xf numFmtId="0" fontId="30" fillId="0" borderId="0" applyFill="0" applyBorder="0" applyAlignment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38" fontId="24" fillId="19" borderId="0" applyNumberFormat="0" applyBorder="0" applyAlignment="0" applyProtection="0"/>
    <xf numFmtId="0" fontId="36" fillId="0" borderId="10" applyNumberFormat="0" applyAlignment="0" applyProtection="0">
      <alignment horizontal="left" vertical="center"/>
    </xf>
    <xf numFmtId="0" fontId="36" fillId="0" borderId="7">
      <alignment horizontal="left" vertical="center"/>
    </xf>
    <xf numFmtId="0" fontId="37" fillId="0" borderId="11" applyNumberFormat="0" applyFill="0" applyAlignment="0" applyProtection="0"/>
    <xf numFmtId="0" fontId="37" fillId="0" borderId="11" applyNumberFormat="0" applyFill="0" applyAlignment="0" applyProtection="0"/>
    <xf numFmtId="0" fontId="37" fillId="0" borderId="11" applyNumberFormat="0" applyFill="0" applyAlignment="0" applyProtection="0"/>
    <xf numFmtId="0" fontId="37" fillId="0" borderId="11" applyNumberFormat="0" applyFill="0" applyAlignment="0" applyProtection="0"/>
    <xf numFmtId="0" fontId="37" fillId="0" borderId="11" applyNumberFormat="0" applyFill="0" applyAlignment="0" applyProtection="0"/>
    <xf numFmtId="0" fontId="37" fillId="0" borderId="11" applyNumberFormat="0" applyFill="0" applyAlignment="0" applyProtection="0"/>
    <xf numFmtId="0" fontId="37" fillId="0" borderId="11" applyNumberFormat="0" applyFill="0" applyAlignment="0" applyProtection="0"/>
    <xf numFmtId="0" fontId="37" fillId="0" borderId="11" applyNumberFormat="0" applyFill="0" applyAlignment="0" applyProtection="0"/>
    <xf numFmtId="0" fontId="38" fillId="0" borderId="12" applyNumberFormat="0" applyFill="0" applyAlignment="0" applyProtection="0"/>
    <xf numFmtId="0" fontId="38" fillId="0" borderId="12" applyNumberFormat="0" applyFill="0" applyAlignment="0" applyProtection="0"/>
    <xf numFmtId="0" fontId="38" fillId="0" borderId="12" applyNumberFormat="0" applyFill="0" applyAlignment="0" applyProtection="0"/>
    <xf numFmtId="0" fontId="38" fillId="0" borderId="12" applyNumberFormat="0" applyFill="0" applyAlignment="0" applyProtection="0"/>
    <xf numFmtId="0" fontId="38" fillId="0" borderId="12" applyNumberFormat="0" applyFill="0" applyAlignment="0" applyProtection="0"/>
    <xf numFmtId="0" fontId="38" fillId="0" borderId="12" applyNumberFormat="0" applyFill="0" applyAlignment="0" applyProtection="0"/>
    <xf numFmtId="0" fontId="38" fillId="0" borderId="12" applyNumberFormat="0" applyFill="0" applyAlignment="0" applyProtection="0"/>
    <xf numFmtId="0" fontId="38" fillId="0" borderId="12" applyNumberFormat="0" applyFill="0" applyAlignment="0" applyProtection="0"/>
    <xf numFmtId="0" fontId="39" fillId="0" borderId="13" applyNumberFormat="0" applyFill="0" applyAlignment="0" applyProtection="0"/>
    <xf numFmtId="0" fontId="39" fillId="0" borderId="13" applyNumberFormat="0" applyFill="0" applyAlignment="0" applyProtection="0"/>
    <xf numFmtId="0" fontId="39" fillId="0" borderId="13" applyNumberFormat="0" applyFill="0" applyAlignment="0" applyProtection="0"/>
    <xf numFmtId="0" fontId="39" fillId="0" borderId="13" applyNumberFormat="0" applyFill="0" applyAlignment="0" applyProtection="0"/>
    <xf numFmtId="0" fontId="39" fillId="0" borderId="13" applyNumberFormat="0" applyFill="0" applyAlignment="0" applyProtection="0"/>
    <xf numFmtId="0" fontId="39" fillId="0" borderId="13" applyNumberFormat="0" applyFill="0" applyAlignment="0" applyProtection="0"/>
    <xf numFmtId="0" fontId="39" fillId="0" borderId="13" applyNumberFormat="0" applyFill="0" applyAlignment="0" applyProtection="0"/>
    <xf numFmtId="0" fontId="39" fillId="0" borderId="13" applyNumberFormat="0" applyFill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10" fontId="24" fillId="20" borderId="14" applyNumberFormat="0" applyBorder="0" applyAlignment="0" applyProtection="0"/>
    <xf numFmtId="0" fontId="40" fillId="11" borderId="8" applyNumberFormat="0" applyAlignment="0" applyProtection="0"/>
    <xf numFmtId="0" fontId="40" fillId="11" borderId="8" applyNumberFormat="0" applyAlignment="0" applyProtection="0"/>
    <xf numFmtId="0" fontId="40" fillId="11" borderId="8" applyNumberFormat="0" applyAlignment="0" applyProtection="0"/>
    <xf numFmtId="0" fontId="40" fillId="11" borderId="8" applyNumberFormat="0" applyAlignment="0" applyProtection="0"/>
    <xf numFmtId="0" fontId="40" fillId="11" borderId="8" applyNumberFormat="0" applyAlignment="0" applyProtection="0"/>
    <xf numFmtId="0" fontId="40" fillId="11" borderId="8" applyNumberFormat="0" applyAlignment="0" applyProtection="0"/>
    <xf numFmtId="0" fontId="40" fillId="11" borderId="8" applyNumberFormat="0" applyAlignment="0" applyProtection="0"/>
    <xf numFmtId="0" fontId="40" fillId="11" borderId="8" applyNumberFormat="0" applyAlignment="0" applyProtection="0"/>
    <xf numFmtId="168" fontId="5" fillId="0" borderId="0" applyFill="0" applyBorder="0" applyAlignment="0"/>
    <xf numFmtId="0" fontId="30" fillId="0" borderId="0" applyFill="0" applyBorder="0" applyAlignment="0"/>
    <xf numFmtId="168" fontId="5" fillId="0" borderId="0" applyFill="0" applyBorder="0" applyAlignment="0"/>
    <xf numFmtId="171" fontId="5" fillId="0" borderId="0" applyFill="0" applyBorder="0" applyAlignment="0"/>
    <xf numFmtId="0" fontId="30" fillId="0" borderId="0" applyFill="0" applyBorder="0" applyAlignment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174" fontId="42" fillId="0" borderId="0" applyFont="0" applyFill="0" applyBorder="0" applyAlignment="0" applyProtection="0"/>
    <xf numFmtId="175" fontId="42" fillId="0" borderId="0" applyFont="0" applyFill="0" applyBorder="0" applyAlignment="0" applyProtection="0"/>
    <xf numFmtId="42" fontId="42" fillId="0" borderId="0" applyFont="0" applyFill="0" applyBorder="0" applyAlignment="0" applyProtection="0"/>
    <xf numFmtId="44" fontId="42" fillId="0" borderId="0" applyFont="0" applyFill="0" applyBorder="0" applyAlignment="0" applyProtection="0"/>
    <xf numFmtId="0" fontId="43" fillId="11" borderId="0" applyNumberFormat="0" applyBorder="0" applyAlignment="0" applyProtection="0"/>
    <xf numFmtId="0" fontId="43" fillId="11" borderId="0" applyNumberFormat="0" applyBorder="0" applyAlignment="0" applyProtection="0"/>
    <xf numFmtId="0" fontId="43" fillId="11" borderId="0" applyNumberFormat="0" applyBorder="0" applyAlignment="0" applyProtection="0"/>
    <xf numFmtId="0" fontId="43" fillId="11" borderId="0" applyNumberFormat="0" applyBorder="0" applyAlignment="0" applyProtection="0"/>
    <xf numFmtId="0" fontId="43" fillId="11" borderId="0" applyNumberFormat="0" applyBorder="0" applyAlignment="0" applyProtection="0"/>
    <xf numFmtId="0" fontId="43" fillId="11" borderId="0" applyNumberFormat="0" applyBorder="0" applyAlignment="0" applyProtection="0"/>
    <xf numFmtId="0" fontId="43" fillId="11" borderId="0" applyNumberFormat="0" applyBorder="0" applyAlignment="0" applyProtection="0"/>
    <xf numFmtId="0" fontId="43" fillId="11" borderId="0" applyNumberFormat="0" applyBorder="0" applyAlignment="0" applyProtection="0"/>
    <xf numFmtId="176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10" borderId="16" applyNumberFormat="0" applyFont="0" applyAlignment="0" applyProtection="0"/>
    <xf numFmtId="0" fontId="5" fillId="10" borderId="16" applyNumberFormat="0" applyFont="0" applyAlignment="0" applyProtection="0"/>
    <xf numFmtId="0" fontId="5" fillId="10" borderId="16" applyNumberFormat="0" applyFont="0" applyAlignment="0" applyProtection="0"/>
    <xf numFmtId="0" fontId="5" fillId="10" borderId="16" applyNumberFormat="0" applyFont="0" applyAlignment="0" applyProtection="0"/>
    <xf numFmtId="0" fontId="5" fillId="10" borderId="16" applyNumberFormat="0" applyFont="0" applyAlignment="0" applyProtection="0"/>
    <xf numFmtId="0" fontId="5" fillId="10" borderId="16" applyNumberFormat="0" applyFont="0" applyAlignment="0" applyProtection="0"/>
    <xf numFmtId="0" fontId="5" fillId="10" borderId="16" applyNumberFormat="0" applyFont="0" applyAlignment="0" applyProtection="0"/>
    <xf numFmtId="0" fontId="5" fillId="10" borderId="16" applyNumberFormat="0" applyFont="0" applyAlignment="0" applyProtection="0"/>
    <xf numFmtId="0" fontId="44" fillId="14" borderId="17" applyNumberFormat="0" applyAlignment="0" applyProtection="0"/>
    <xf numFmtId="0" fontId="44" fillId="14" borderId="17" applyNumberFormat="0" applyAlignment="0" applyProtection="0"/>
    <xf numFmtId="0" fontId="44" fillId="14" borderId="17" applyNumberFormat="0" applyAlignment="0" applyProtection="0"/>
    <xf numFmtId="0" fontId="44" fillId="14" borderId="17" applyNumberFormat="0" applyAlignment="0" applyProtection="0"/>
    <xf numFmtId="0" fontId="44" fillId="14" borderId="17" applyNumberFormat="0" applyAlignment="0" applyProtection="0"/>
    <xf numFmtId="0" fontId="44" fillId="14" borderId="17" applyNumberFormat="0" applyAlignment="0" applyProtection="0"/>
    <xf numFmtId="0" fontId="44" fillId="14" borderId="17" applyNumberFormat="0" applyAlignment="0" applyProtection="0"/>
    <xf numFmtId="0" fontId="44" fillId="14" borderId="17" applyNumberFormat="0" applyAlignment="0" applyProtection="0"/>
    <xf numFmtId="0" fontId="5" fillId="0" borderId="0"/>
    <xf numFmtId="170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8" fontId="5" fillId="0" borderId="0" applyFill="0" applyBorder="0" applyAlignment="0"/>
    <xf numFmtId="0" fontId="30" fillId="0" borderId="0" applyFill="0" applyBorder="0" applyAlignment="0"/>
    <xf numFmtId="168" fontId="5" fillId="0" borderId="0" applyFill="0" applyBorder="0" applyAlignment="0"/>
    <xf numFmtId="171" fontId="5" fillId="0" borderId="0" applyFill="0" applyBorder="0" applyAlignment="0"/>
    <xf numFmtId="0" fontId="30" fillId="0" borderId="0" applyFill="0" applyBorder="0" applyAlignment="0"/>
    <xf numFmtId="0" fontId="45" fillId="0" borderId="0" applyNumberForma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49" fontId="33" fillId="0" borderId="0" applyFill="0" applyBorder="0" applyAlignment="0"/>
    <xf numFmtId="178" fontId="5" fillId="0" borderId="0" applyFill="0" applyBorder="0" applyAlignment="0"/>
    <xf numFmtId="179" fontId="5" fillId="0" borderId="0" applyFill="0" applyBorder="0" applyAlignment="0"/>
    <xf numFmtId="0" fontId="34" fillId="0" borderId="18" applyNumberFormat="0" applyFill="0" applyAlignment="0" applyProtection="0"/>
    <xf numFmtId="0" fontId="34" fillId="0" borderId="18" applyNumberFormat="0" applyFill="0" applyAlignment="0" applyProtection="0"/>
    <xf numFmtId="0" fontId="34" fillId="0" borderId="18" applyNumberFormat="0" applyFill="0" applyAlignment="0" applyProtection="0"/>
    <xf numFmtId="0" fontId="34" fillId="0" borderId="18" applyNumberFormat="0" applyFill="0" applyAlignment="0" applyProtection="0"/>
    <xf numFmtId="0" fontId="34" fillId="0" borderId="18" applyNumberFormat="0" applyFill="0" applyAlignment="0" applyProtection="0"/>
    <xf numFmtId="0" fontId="34" fillId="0" borderId="18" applyNumberFormat="0" applyFill="0" applyAlignment="0" applyProtection="0"/>
    <xf numFmtId="0" fontId="34" fillId="0" borderId="18" applyNumberFormat="0" applyFill="0" applyAlignment="0" applyProtection="0"/>
    <xf numFmtId="0" fontId="34" fillId="0" borderId="18" applyNumberFormat="0" applyFill="0" applyAlignment="0" applyProtection="0"/>
    <xf numFmtId="0" fontId="46" fillId="0" borderId="0">
      <alignment vertical="top"/>
    </xf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96">
    <xf numFmtId="0" fontId="0" fillId="0" borderId="0" xfId="0"/>
    <xf numFmtId="165" fontId="25" fillId="0" borderId="0" xfId="1" applyNumberFormat="1" applyFont="1"/>
    <xf numFmtId="165" fontId="7" fillId="21" borderId="5" xfId="0" applyNumberFormat="1" applyFont="1" applyFill="1" applyBorder="1" applyAlignment="1">
      <alignment vertical="center"/>
    </xf>
    <xf numFmtId="164" fontId="12" fillId="21" borderId="24" xfId="2" applyNumberFormat="1" applyFont="1" applyFill="1" applyBorder="1" applyAlignment="1">
      <alignment horizontal="right"/>
    </xf>
    <xf numFmtId="164" fontId="12" fillId="21" borderId="6" xfId="2" applyNumberFormat="1" applyFont="1" applyFill="1" applyBorder="1" applyAlignment="1">
      <alignment horizontal="right"/>
    </xf>
    <xf numFmtId="164" fontId="12" fillId="21" borderId="23" xfId="2" applyNumberFormat="1" applyFont="1" applyFill="1" applyBorder="1" applyAlignment="1">
      <alignment horizontal="right"/>
    </xf>
    <xf numFmtId="0" fontId="9" fillId="21" borderId="19" xfId="0" applyFont="1" applyFill="1" applyBorder="1" applyAlignment="1">
      <alignment horizontal="right"/>
    </xf>
    <xf numFmtId="43" fontId="7" fillId="21" borderId="27" xfId="1" applyFont="1" applyFill="1" applyBorder="1" applyAlignment="1">
      <alignment horizontal="right"/>
    </xf>
    <xf numFmtId="43" fontId="7" fillId="21" borderId="4" xfId="1" applyFont="1" applyFill="1" applyBorder="1" applyAlignment="1">
      <alignment horizontal="right"/>
    </xf>
    <xf numFmtId="43" fontId="7" fillId="21" borderId="28" xfId="1" applyFont="1" applyFill="1" applyBorder="1" applyAlignment="1">
      <alignment horizontal="right"/>
    </xf>
    <xf numFmtId="43" fontId="7" fillId="21" borderId="0" xfId="1" applyFont="1" applyFill="1" applyBorder="1" applyAlignment="1">
      <alignment horizontal="right"/>
    </xf>
    <xf numFmtId="166" fontId="14" fillId="21" borderId="0" xfId="0" applyNumberFormat="1" applyFont="1" applyFill="1" applyAlignment="1">
      <alignment vertical="center"/>
    </xf>
    <xf numFmtId="166" fontId="13" fillId="21" borderId="22" xfId="0" applyNumberFormat="1" applyFont="1" applyFill="1" applyBorder="1" applyAlignment="1">
      <alignment vertical="center"/>
    </xf>
    <xf numFmtId="166" fontId="13" fillId="21" borderId="0" xfId="0" applyNumberFormat="1" applyFont="1" applyFill="1" applyAlignment="1">
      <alignment vertical="center"/>
    </xf>
    <xf numFmtId="166" fontId="13" fillId="21" borderId="25" xfId="0" applyNumberFormat="1" applyFont="1" applyFill="1" applyBorder="1" applyAlignment="1">
      <alignment vertical="center"/>
    </xf>
    <xf numFmtId="166" fontId="21" fillId="21" borderId="0" xfId="2" applyNumberFormat="1" applyFont="1" applyFill="1" applyAlignment="1">
      <alignment horizontal="right" vertical="center"/>
    </xf>
    <xf numFmtId="166" fontId="14" fillId="21" borderId="21" xfId="0" applyNumberFormat="1" applyFont="1" applyFill="1" applyBorder="1" applyAlignment="1">
      <alignment vertical="center"/>
    </xf>
    <xf numFmtId="166" fontId="14" fillId="21" borderId="1" xfId="0" applyNumberFormat="1" applyFont="1" applyFill="1" applyBorder="1" applyAlignment="1">
      <alignment vertical="center"/>
    </xf>
    <xf numFmtId="166" fontId="14" fillId="21" borderId="26" xfId="0" applyNumberFormat="1" applyFont="1" applyFill="1" applyBorder="1" applyAlignment="1">
      <alignment vertical="center"/>
    </xf>
    <xf numFmtId="0" fontId="16" fillId="21" borderId="0" xfId="0" applyFont="1" applyFill="1" applyAlignment="1">
      <alignment horizontal="left"/>
    </xf>
    <xf numFmtId="164" fontId="52" fillId="21" borderId="0" xfId="2" applyNumberFormat="1" applyFont="1" applyFill="1" applyAlignment="1">
      <alignment horizontal="right" vertical="center"/>
    </xf>
    <xf numFmtId="164" fontId="18" fillId="21" borderId="0" xfId="2" applyNumberFormat="1" applyFont="1" applyFill="1" applyAlignment="1">
      <alignment horizontal="left" vertical="center" indent="2"/>
    </xf>
    <xf numFmtId="164" fontId="11" fillId="21" borderId="0" xfId="2" applyNumberFormat="1" applyFont="1" applyFill="1" applyAlignment="1">
      <alignment vertical="center"/>
    </xf>
    <xf numFmtId="164" fontId="20" fillId="21" borderId="0" xfId="2" applyNumberFormat="1" applyFont="1" applyFill="1" applyAlignment="1">
      <alignment horizontal="right" vertical="center" indent="2"/>
    </xf>
    <xf numFmtId="0" fontId="8" fillId="21" borderId="30" xfId="0" applyFont="1" applyFill="1" applyBorder="1"/>
    <xf numFmtId="165" fontId="58" fillId="21" borderId="22" xfId="1" applyNumberFormat="1" applyFont="1" applyFill="1" applyBorder="1"/>
    <xf numFmtId="165" fontId="58" fillId="21" borderId="0" xfId="1" applyNumberFormat="1" applyFont="1" applyFill="1" applyBorder="1"/>
    <xf numFmtId="165" fontId="58" fillId="21" borderId="25" xfId="1" applyNumberFormat="1" applyFont="1" applyFill="1" applyBorder="1"/>
    <xf numFmtId="165" fontId="25" fillId="21" borderId="22" xfId="1" applyNumberFormat="1" applyFont="1" applyFill="1" applyBorder="1"/>
    <xf numFmtId="165" fontId="25" fillId="21" borderId="0" xfId="1" applyNumberFormat="1" applyFont="1" applyFill="1" applyBorder="1"/>
    <xf numFmtId="165" fontId="25" fillId="21" borderId="25" xfId="1" applyNumberFormat="1" applyFont="1" applyFill="1" applyBorder="1"/>
    <xf numFmtId="164" fontId="53" fillId="21" borderId="0" xfId="2" applyNumberFormat="1" applyFont="1" applyFill="1" applyAlignment="1">
      <alignment horizontal="right" vertical="center" indent="2" readingOrder="2"/>
    </xf>
    <xf numFmtId="49" fontId="54" fillId="21" borderId="0" xfId="0" applyNumberFormat="1" applyFont="1" applyFill="1" applyAlignment="1">
      <alignment vertical="center"/>
    </xf>
    <xf numFmtId="49" fontId="48" fillId="21" borderId="0" xfId="0" applyNumberFormat="1" applyFont="1" applyFill="1" applyAlignment="1">
      <alignment horizontal="left" vertical="center" indent="2"/>
    </xf>
    <xf numFmtId="49" fontId="48" fillId="21" borderId="0" xfId="0" applyNumberFormat="1" applyFont="1" applyFill="1" applyAlignment="1">
      <alignment horizontal="left" vertical="center" indent="4"/>
    </xf>
    <xf numFmtId="164" fontId="10" fillId="21" borderId="0" xfId="2" applyNumberFormat="1" applyFont="1" applyFill="1" applyAlignment="1">
      <alignment horizontal="right" vertical="center"/>
    </xf>
    <xf numFmtId="166" fontId="58" fillId="21" borderId="22" xfId="1" applyNumberFormat="1" applyFont="1" applyFill="1" applyBorder="1"/>
    <xf numFmtId="166" fontId="58" fillId="21" borderId="0" xfId="1" applyNumberFormat="1" applyFont="1" applyFill="1" applyBorder="1"/>
    <xf numFmtId="166" fontId="58" fillId="21" borderId="25" xfId="1" applyNumberFormat="1" applyFont="1" applyFill="1" applyBorder="1"/>
    <xf numFmtId="166" fontId="25" fillId="21" borderId="22" xfId="1" applyNumberFormat="1" applyFont="1" applyFill="1" applyBorder="1"/>
    <xf numFmtId="166" fontId="25" fillId="21" borderId="0" xfId="1" applyNumberFormat="1" applyFont="1" applyFill="1" applyBorder="1"/>
    <xf numFmtId="166" fontId="25" fillId="21" borderId="25" xfId="1" applyNumberFormat="1" applyFont="1" applyFill="1" applyBorder="1"/>
    <xf numFmtId="164" fontId="53" fillId="21" borderId="0" xfId="2" applyNumberFormat="1" applyFont="1" applyFill="1" applyAlignment="1">
      <alignment vertical="center" readingOrder="2"/>
    </xf>
    <xf numFmtId="49" fontId="55" fillId="21" borderId="0" xfId="0" applyNumberFormat="1" applyFont="1" applyFill="1" applyAlignment="1">
      <alignment vertical="center"/>
    </xf>
    <xf numFmtId="49" fontId="53" fillId="21" borderId="0" xfId="0" applyNumberFormat="1" applyFont="1" applyFill="1" applyAlignment="1">
      <alignment horizontal="right" vertical="center" indent="2"/>
    </xf>
    <xf numFmtId="166" fontId="9" fillId="21" borderId="0" xfId="0" applyNumberFormat="1" applyFont="1" applyFill="1"/>
    <xf numFmtId="164" fontId="23" fillId="21" borderId="0" xfId="2" applyNumberFormat="1" applyFont="1" applyFill="1" applyAlignment="1">
      <alignment horizontal="right" vertical="center"/>
    </xf>
    <xf numFmtId="164" fontId="23" fillId="21" borderId="25" xfId="2" applyNumberFormat="1" applyFont="1" applyFill="1" applyBorder="1" applyAlignment="1">
      <alignment horizontal="right" vertical="center"/>
    </xf>
    <xf numFmtId="0" fontId="9" fillId="21" borderId="0" xfId="0" applyFont="1" applyFill="1"/>
    <xf numFmtId="165" fontId="13" fillId="21" borderId="1" xfId="0" applyNumberFormat="1" applyFont="1" applyFill="1" applyBorder="1" applyAlignment="1">
      <alignment vertical="center"/>
    </xf>
    <xf numFmtId="165" fontId="13" fillId="21" borderId="0" xfId="0" applyNumberFormat="1" applyFont="1" applyFill="1" applyAlignment="1">
      <alignment vertical="center"/>
    </xf>
    <xf numFmtId="165" fontId="14" fillId="21" borderId="1" xfId="0" applyNumberFormat="1" applyFont="1" applyFill="1" applyBorder="1" applyAlignment="1">
      <alignment vertical="center"/>
    </xf>
    <xf numFmtId="165" fontId="14" fillId="21" borderId="0" xfId="0" applyNumberFormat="1" applyFont="1" applyFill="1" applyAlignment="1">
      <alignment vertical="center"/>
    </xf>
    <xf numFmtId="0" fontId="19" fillId="21" borderId="0" xfId="0" applyFont="1" applyFill="1"/>
    <xf numFmtId="49" fontId="53" fillId="21" borderId="0" xfId="0" applyNumberFormat="1" applyFont="1" applyFill="1" applyAlignment="1">
      <alignment horizontal="right" vertical="center" indent="4"/>
    </xf>
    <xf numFmtId="49" fontId="48" fillId="21" borderId="0" xfId="0" applyNumberFormat="1" applyFont="1" applyFill="1" applyAlignment="1">
      <alignment horizontal="left" vertical="center" indent="6"/>
    </xf>
    <xf numFmtId="49" fontId="53" fillId="21" borderId="0" xfId="0" applyNumberFormat="1" applyFont="1" applyFill="1" applyAlignment="1">
      <alignment horizontal="right" vertical="center" indent="6"/>
    </xf>
    <xf numFmtId="164" fontId="9" fillId="21" borderId="0" xfId="2" applyNumberFormat="1" applyFont="1" applyFill="1" applyAlignment="1">
      <alignment vertical="center"/>
    </xf>
    <xf numFmtId="166" fontId="13" fillId="21" borderId="21" xfId="0" applyNumberFormat="1" applyFont="1" applyFill="1" applyBorder="1" applyAlignment="1">
      <alignment vertical="center"/>
    </xf>
    <xf numFmtId="166" fontId="13" fillId="21" borderId="1" xfId="0" applyNumberFormat="1" applyFont="1" applyFill="1" applyBorder="1" applyAlignment="1">
      <alignment vertical="center"/>
    </xf>
    <xf numFmtId="166" fontId="13" fillId="21" borderId="26" xfId="0" applyNumberFormat="1" applyFont="1" applyFill="1" applyBorder="1" applyAlignment="1">
      <alignment vertical="center"/>
    </xf>
    <xf numFmtId="164" fontId="10" fillId="21" borderId="1" xfId="2" applyNumberFormat="1" applyFont="1" applyFill="1" applyBorder="1" applyAlignment="1">
      <alignment horizontal="right" vertical="center"/>
    </xf>
    <xf numFmtId="0" fontId="19" fillId="21" borderId="0" xfId="0" applyFont="1" applyFill="1" applyAlignment="1">
      <alignment horizontal="left"/>
    </xf>
    <xf numFmtId="0" fontId="49" fillId="21" borderId="0" xfId="0" applyFont="1" applyFill="1" applyAlignment="1">
      <alignment horizontal="center"/>
    </xf>
    <xf numFmtId="0" fontId="17" fillId="21" borderId="0" xfId="0" applyFont="1" applyFill="1" applyAlignment="1">
      <alignment horizontal="right"/>
    </xf>
    <xf numFmtId="43" fontId="23" fillId="21" borderId="22" xfId="1" applyFont="1" applyFill="1" applyBorder="1" applyAlignment="1">
      <alignment horizontal="right"/>
    </xf>
    <xf numFmtId="43" fontId="23" fillId="21" borderId="0" xfId="1" applyFont="1" applyFill="1" applyBorder="1" applyAlignment="1">
      <alignment horizontal="right"/>
    </xf>
    <xf numFmtId="49" fontId="57" fillId="21" borderId="0" xfId="0" applyNumberFormat="1" applyFont="1" applyFill="1" applyAlignment="1">
      <alignment vertical="center"/>
    </xf>
    <xf numFmtId="49" fontId="54" fillId="21" borderId="0" xfId="0" applyNumberFormat="1" applyFont="1" applyFill="1" applyAlignment="1">
      <alignment vertical="center" wrapText="1"/>
    </xf>
    <xf numFmtId="49" fontId="57" fillId="21" borderId="0" xfId="0" applyNumberFormat="1" applyFont="1" applyFill="1" applyAlignment="1">
      <alignment vertical="center" wrapText="1"/>
    </xf>
    <xf numFmtId="166" fontId="15" fillId="21" borderId="1" xfId="0" applyNumberFormat="1" applyFont="1" applyFill="1" applyBorder="1" applyAlignment="1">
      <alignment vertical="center"/>
    </xf>
    <xf numFmtId="166" fontId="15" fillId="21" borderId="0" xfId="0" applyNumberFormat="1" applyFont="1" applyFill="1" applyAlignment="1">
      <alignment vertical="center"/>
    </xf>
    <xf numFmtId="0" fontId="50" fillId="21" borderId="0" xfId="0" applyFont="1" applyFill="1" applyAlignment="1">
      <alignment horizontal="left" indent="4"/>
    </xf>
    <xf numFmtId="43" fontId="9" fillId="21" borderId="0" xfId="1" applyFont="1" applyFill="1" applyBorder="1"/>
    <xf numFmtId="164" fontId="9" fillId="21" borderId="0" xfId="1" applyNumberFormat="1" applyFont="1" applyFill="1" applyBorder="1"/>
    <xf numFmtId="164" fontId="12" fillId="21" borderId="31" xfId="2" applyNumberFormat="1" applyFont="1" applyFill="1" applyBorder="1" applyAlignment="1">
      <alignment horizontal="right"/>
    </xf>
    <xf numFmtId="43" fontId="7" fillId="21" borderId="19" xfId="1" applyFont="1" applyFill="1" applyBorder="1" applyAlignment="1">
      <alignment horizontal="right"/>
    </xf>
    <xf numFmtId="182" fontId="49" fillId="21" borderId="0" xfId="0" applyNumberFormat="1" applyFont="1" applyFill="1" applyAlignment="1">
      <alignment horizontal="center"/>
    </xf>
    <xf numFmtId="0" fontId="59" fillId="0" borderId="0" xfId="0" applyFont="1"/>
    <xf numFmtId="166" fontId="58" fillId="21" borderId="22" xfId="1" applyNumberFormat="1" applyFont="1" applyFill="1" applyBorder="1" applyAlignment="1">
      <alignment vertical="center"/>
    </xf>
    <xf numFmtId="166" fontId="58" fillId="21" borderId="0" xfId="1" applyNumberFormat="1" applyFont="1" applyFill="1" applyBorder="1" applyAlignment="1">
      <alignment vertical="center"/>
    </xf>
    <xf numFmtId="166" fontId="58" fillId="21" borderId="25" xfId="1" applyNumberFormat="1" applyFont="1" applyFill="1" applyBorder="1" applyAlignment="1">
      <alignment vertical="center"/>
    </xf>
    <xf numFmtId="0" fontId="59" fillId="0" borderId="22" xfId="0" applyFont="1" applyBorder="1"/>
    <xf numFmtId="0" fontId="59" fillId="0" borderId="25" xfId="0" applyFont="1" applyBorder="1"/>
    <xf numFmtId="1" fontId="0" fillId="0" borderId="0" xfId="0" applyNumberFormat="1"/>
    <xf numFmtId="165" fontId="0" fillId="0" borderId="0" xfId="0" applyNumberFormat="1"/>
    <xf numFmtId="0" fontId="6" fillId="21" borderId="20" xfId="0" applyFont="1" applyFill="1" applyBorder="1" applyAlignment="1">
      <alignment horizontal="center" vertical="center"/>
    </xf>
    <xf numFmtId="0" fontId="6" fillId="21" borderId="3" xfId="0" applyFont="1" applyFill="1" applyBorder="1" applyAlignment="1">
      <alignment horizontal="center" vertical="center"/>
    </xf>
    <xf numFmtId="0" fontId="6" fillId="21" borderId="29" xfId="0" applyFont="1" applyFill="1" applyBorder="1" applyAlignment="1">
      <alignment horizontal="center" vertical="center"/>
    </xf>
    <xf numFmtId="164" fontId="21" fillId="21" borderId="2" xfId="2" applyNumberFormat="1" applyFont="1" applyFill="1" applyBorder="1" applyAlignment="1">
      <alignment horizontal="right" vertical="center"/>
    </xf>
    <xf numFmtId="164" fontId="21" fillId="21" borderId="0" xfId="2" applyNumberFormat="1" applyFont="1" applyFill="1" applyAlignment="1">
      <alignment horizontal="right" vertical="center"/>
    </xf>
    <xf numFmtId="164" fontId="21" fillId="21" borderId="1" xfId="2" applyNumberFormat="1" applyFont="1" applyFill="1" applyBorder="1" applyAlignment="1">
      <alignment horizontal="right" vertical="center"/>
    </xf>
    <xf numFmtId="164" fontId="4" fillId="21" borderId="0" xfId="2" applyNumberFormat="1" applyFont="1" applyFill="1" applyAlignment="1">
      <alignment horizontal="center" vertical="center" readingOrder="2"/>
    </xf>
    <xf numFmtId="164" fontId="49" fillId="21" borderId="0" xfId="2" applyNumberFormat="1" applyFont="1" applyFill="1" applyAlignment="1">
      <alignment horizontal="center" vertical="center"/>
    </xf>
    <xf numFmtId="0" fontId="51" fillId="21" borderId="0" xfId="0" applyFont="1" applyFill="1" applyAlignment="1">
      <alignment horizontal="center"/>
    </xf>
    <xf numFmtId="0" fontId="49" fillId="21" borderId="0" xfId="0" applyFont="1" applyFill="1" applyAlignment="1">
      <alignment horizontal="center"/>
    </xf>
  </cellXfs>
  <cellStyles count="300">
    <cellStyle name="1" xfId="4" xr:uid="{00000000-0005-0000-0000-000000000000}"/>
    <cellStyle name="1_1" xfId="5" xr:uid="{00000000-0005-0000-0000-000001000000}"/>
    <cellStyle name="1_16" xfId="6" xr:uid="{00000000-0005-0000-0000-000002000000}"/>
    <cellStyle name="1_92-2000" xfId="7" xr:uid="{00000000-0005-0000-0000-000003000000}"/>
    <cellStyle name="1_Book2" xfId="8" xr:uid="{00000000-0005-0000-0000-000004000000}"/>
    <cellStyle name="1_Book3" xfId="9" xr:uid="{00000000-0005-0000-0000-000005000000}"/>
    <cellStyle name="1_Book4" xfId="10" xr:uid="{00000000-0005-0000-0000-000006000000}"/>
    <cellStyle name="1_monthly series 89-99" xfId="11" xr:uid="{00000000-0005-0000-0000-000007000000}"/>
    <cellStyle name="1_tab-2000" xfId="12" xr:uid="{00000000-0005-0000-0000-000008000000}"/>
    <cellStyle name="Accent1 - 20%" xfId="13" xr:uid="{00000000-0005-0000-0000-000009000000}"/>
    <cellStyle name="Accent1 - 40%" xfId="14" xr:uid="{00000000-0005-0000-0000-00000A000000}"/>
    <cellStyle name="Accent1 - 60%" xfId="15" xr:uid="{00000000-0005-0000-0000-00000B000000}"/>
    <cellStyle name="Accent1 2" xfId="16" xr:uid="{00000000-0005-0000-0000-00000C000000}"/>
    <cellStyle name="Accent1 3" xfId="17" xr:uid="{00000000-0005-0000-0000-00000D000000}"/>
    <cellStyle name="Accent1 4" xfId="18" xr:uid="{00000000-0005-0000-0000-00000E000000}"/>
    <cellStyle name="Accent1 5" xfId="19" xr:uid="{00000000-0005-0000-0000-00000F000000}"/>
    <cellStyle name="Accent1 6" xfId="20" xr:uid="{00000000-0005-0000-0000-000010000000}"/>
    <cellStyle name="Accent1 7" xfId="21" xr:uid="{00000000-0005-0000-0000-000011000000}"/>
    <cellStyle name="Accent1 8" xfId="22" xr:uid="{00000000-0005-0000-0000-000012000000}"/>
    <cellStyle name="Accent1 9" xfId="23" xr:uid="{00000000-0005-0000-0000-000013000000}"/>
    <cellStyle name="Accent2 - 20%" xfId="24" xr:uid="{00000000-0005-0000-0000-000014000000}"/>
    <cellStyle name="Accent2 - 40%" xfId="25" xr:uid="{00000000-0005-0000-0000-000015000000}"/>
    <cellStyle name="Accent2 - 60%" xfId="26" xr:uid="{00000000-0005-0000-0000-000016000000}"/>
    <cellStyle name="Accent2 2" xfId="27" xr:uid="{00000000-0005-0000-0000-000017000000}"/>
    <cellStyle name="Accent2 3" xfId="28" xr:uid="{00000000-0005-0000-0000-000018000000}"/>
    <cellStyle name="Accent2 4" xfId="29" xr:uid="{00000000-0005-0000-0000-000019000000}"/>
    <cellStyle name="Accent2 5" xfId="30" xr:uid="{00000000-0005-0000-0000-00001A000000}"/>
    <cellStyle name="Accent2 6" xfId="31" xr:uid="{00000000-0005-0000-0000-00001B000000}"/>
    <cellStyle name="Accent2 7" xfId="32" xr:uid="{00000000-0005-0000-0000-00001C000000}"/>
    <cellStyle name="Accent2 8" xfId="33" xr:uid="{00000000-0005-0000-0000-00001D000000}"/>
    <cellStyle name="Accent2 9" xfId="34" xr:uid="{00000000-0005-0000-0000-00001E000000}"/>
    <cellStyle name="Accent3 - 20%" xfId="35" xr:uid="{00000000-0005-0000-0000-00001F000000}"/>
    <cellStyle name="Accent3 - 40%" xfId="36" xr:uid="{00000000-0005-0000-0000-000020000000}"/>
    <cellStyle name="Accent3 - 60%" xfId="37" xr:uid="{00000000-0005-0000-0000-000021000000}"/>
    <cellStyle name="Accent3 2" xfId="38" xr:uid="{00000000-0005-0000-0000-000022000000}"/>
    <cellStyle name="Accent3 3" xfId="39" xr:uid="{00000000-0005-0000-0000-000023000000}"/>
    <cellStyle name="Accent3 4" xfId="40" xr:uid="{00000000-0005-0000-0000-000024000000}"/>
    <cellStyle name="Accent3 5" xfId="41" xr:uid="{00000000-0005-0000-0000-000025000000}"/>
    <cellStyle name="Accent3 6" xfId="42" xr:uid="{00000000-0005-0000-0000-000026000000}"/>
    <cellStyle name="Accent3 7" xfId="43" xr:uid="{00000000-0005-0000-0000-000027000000}"/>
    <cellStyle name="Accent3 8" xfId="44" xr:uid="{00000000-0005-0000-0000-000028000000}"/>
    <cellStyle name="Accent3 9" xfId="45" xr:uid="{00000000-0005-0000-0000-000029000000}"/>
    <cellStyle name="Accent4 - 20%" xfId="46" xr:uid="{00000000-0005-0000-0000-00002A000000}"/>
    <cellStyle name="Accent4 - 40%" xfId="47" xr:uid="{00000000-0005-0000-0000-00002B000000}"/>
    <cellStyle name="Accent4 - 60%" xfId="48" xr:uid="{00000000-0005-0000-0000-00002C000000}"/>
    <cellStyle name="Accent4 2" xfId="49" xr:uid="{00000000-0005-0000-0000-00002D000000}"/>
    <cellStyle name="Accent4 3" xfId="50" xr:uid="{00000000-0005-0000-0000-00002E000000}"/>
    <cellStyle name="Accent4 4" xfId="51" xr:uid="{00000000-0005-0000-0000-00002F000000}"/>
    <cellStyle name="Accent4 5" xfId="52" xr:uid="{00000000-0005-0000-0000-000030000000}"/>
    <cellStyle name="Accent4 6" xfId="53" xr:uid="{00000000-0005-0000-0000-000031000000}"/>
    <cellStyle name="Accent4 7" xfId="54" xr:uid="{00000000-0005-0000-0000-000032000000}"/>
    <cellStyle name="Accent4 8" xfId="55" xr:uid="{00000000-0005-0000-0000-000033000000}"/>
    <cellStyle name="Accent4 9" xfId="56" xr:uid="{00000000-0005-0000-0000-000034000000}"/>
    <cellStyle name="Accent5 - 20%" xfId="57" xr:uid="{00000000-0005-0000-0000-000035000000}"/>
    <cellStyle name="Accent5 - 40%" xfId="58" xr:uid="{00000000-0005-0000-0000-000036000000}"/>
    <cellStyle name="Accent5 - 60%" xfId="59" xr:uid="{00000000-0005-0000-0000-000037000000}"/>
    <cellStyle name="Accent5 2" xfId="60" xr:uid="{00000000-0005-0000-0000-000038000000}"/>
    <cellStyle name="Accent5 3" xfId="61" xr:uid="{00000000-0005-0000-0000-000039000000}"/>
    <cellStyle name="Accent5 4" xfId="62" xr:uid="{00000000-0005-0000-0000-00003A000000}"/>
    <cellStyle name="Accent5 5" xfId="63" xr:uid="{00000000-0005-0000-0000-00003B000000}"/>
    <cellStyle name="Accent5 6" xfId="64" xr:uid="{00000000-0005-0000-0000-00003C000000}"/>
    <cellStyle name="Accent5 7" xfId="65" xr:uid="{00000000-0005-0000-0000-00003D000000}"/>
    <cellStyle name="Accent5 8" xfId="66" xr:uid="{00000000-0005-0000-0000-00003E000000}"/>
    <cellStyle name="Accent5 9" xfId="67" xr:uid="{00000000-0005-0000-0000-00003F000000}"/>
    <cellStyle name="Accent6 - 20%" xfId="68" xr:uid="{00000000-0005-0000-0000-000040000000}"/>
    <cellStyle name="Accent6 - 40%" xfId="69" xr:uid="{00000000-0005-0000-0000-000041000000}"/>
    <cellStyle name="Accent6 - 60%" xfId="70" xr:uid="{00000000-0005-0000-0000-000042000000}"/>
    <cellStyle name="Accent6 2" xfId="71" xr:uid="{00000000-0005-0000-0000-000043000000}"/>
    <cellStyle name="Accent6 3" xfId="72" xr:uid="{00000000-0005-0000-0000-000044000000}"/>
    <cellStyle name="Accent6 4" xfId="73" xr:uid="{00000000-0005-0000-0000-000045000000}"/>
    <cellStyle name="Accent6 5" xfId="74" xr:uid="{00000000-0005-0000-0000-000046000000}"/>
    <cellStyle name="Accent6 6" xfId="75" xr:uid="{00000000-0005-0000-0000-000047000000}"/>
    <cellStyle name="Accent6 7" xfId="76" xr:uid="{00000000-0005-0000-0000-000048000000}"/>
    <cellStyle name="Accent6 8" xfId="77" xr:uid="{00000000-0005-0000-0000-000049000000}"/>
    <cellStyle name="Accent6 9" xfId="78" xr:uid="{00000000-0005-0000-0000-00004A000000}"/>
    <cellStyle name="AutoFormat Options" xfId="79" xr:uid="{00000000-0005-0000-0000-00004B000000}"/>
    <cellStyle name="Bad 2" xfId="80" xr:uid="{00000000-0005-0000-0000-00004C000000}"/>
    <cellStyle name="Bad 3" xfId="81" xr:uid="{00000000-0005-0000-0000-00004D000000}"/>
    <cellStyle name="Bad 4" xfId="82" xr:uid="{00000000-0005-0000-0000-00004E000000}"/>
    <cellStyle name="Bad 5" xfId="83" xr:uid="{00000000-0005-0000-0000-00004F000000}"/>
    <cellStyle name="Bad 6" xfId="84" xr:uid="{00000000-0005-0000-0000-000050000000}"/>
    <cellStyle name="Bad 7" xfId="85" xr:uid="{00000000-0005-0000-0000-000051000000}"/>
    <cellStyle name="Bad 8" xfId="86" xr:uid="{00000000-0005-0000-0000-000052000000}"/>
    <cellStyle name="Bad 9" xfId="87" xr:uid="{00000000-0005-0000-0000-000053000000}"/>
    <cellStyle name="Calc C - Style1" xfId="88" xr:uid="{00000000-0005-0000-0000-000054000000}"/>
    <cellStyle name="Calc C - Style2" xfId="89" xr:uid="{00000000-0005-0000-0000-000055000000}"/>
    <cellStyle name="Calc C - Style3" xfId="90" xr:uid="{00000000-0005-0000-0000-000056000000}"/>
    <cellStyle name="Calc C - Style4" xfId="91" xr:uid="{00000000-0005-0000-0000-000057000000}"/>
    <cellStyle name="Calc C - Style5" xfId="92" xr:uid="{00000000-0005-0000-0000-000058000000}"/>
    <cellStyle name="Calc C - Style6" xfId="93" xr:uid="{00000000-0005-0000-0000-000059000000}"/>
    <cellStyle name="Calc C - Style7" xfId="94" xr:uid="{00000000-0005-0000-0000-00005A000000}"/>
    <cellStyle name="Calc C - Style8" xfId="95" xr:uid="{00000000-0005-0000-0000-00005B000000}"/>
    <cellStyle name="Calc Currency (0)" xfId="96" xr:uid="{00000000-0005-0000-0000-00005C000000}"/>
    <cellStyle name="Calc Currency (2)" xfId="97" xr:uid="{00000000-0005-0000-0000-00005D000000}"/>
    <cellStyle name="Calc Percent (0)" xfId="98" xr:uid="{00000000-0005-0000-0000-00005E000000}"/>
    <cellStyle name="Calc Percent (1)" xfId="99" xr:uid="{00000000-0005-0000-0000-00005F000000}"/>
    <cellStyle name="Calc Percent (2)" xfId="100" xr:uid="{00000000-0005-0000-0000-000060000000}"/>
    <cellStyle name="Calc Units (0)" xfId="101" xr:uid="{00000000-0005-0000-0000-000061000000}"/>
    <cellStyle name="Calc Units (1)" xfId="102" xr:uid="{00000000-0005-0000-0000-000062000000}"/>
    <cellStyle name="Calc Units (2)" xfId="103" xr:uid="{00000000-0005-0000-0000-000063000000}"/>
    <cellStyle name="Calculation 2" xfId="104" xr:uid="{00000000-0005-0000-0000-000064000000}"/>
    <cellStyle name="Calculation 3" xfId="105" xr:uid="{00000000-0005-0000-0000-000065000000}"/>
    <cellStyle name="Calculation 4" xfId="106" xr:uid="{00000000-0005-0000-0000-000066000000}"/>
    <cellStyle name="Calculation 5" xfId="107" xr:uid="{00000000-0005-0000-0000-000067000000}"/>
    <cellStyle name="Calculation 6" xfId="108" xr:uid="{00000000-0005-0000-0000-000068000000}"/>
    <cellStyle name="Calculation 7" xfId="109" xr:uid="{00000000-0005-0000-0000-000069000000}"/>
    <cellStyle name="Calculation 8" xfId="110" xr:uid="{00000000-0005-0000-0000-00006A000000}"/>
    <cellStyle name="Calculation 9" xfId="111" xr:uid="{00000000-0005-0000-0000-00006B000000}"/>
    <cellStyle name="Change A&amp;ll" xfId="112" xr:uid="{00000000-0005-0000-0000-00006C000000}"/>
    <cellStyle name="Check Cell 2" xfId="113" xr:uid="{00000000-0005-0000-0000-00006D000000}"/>
    <cellStyle name="Check Cell 3" xfId="114" xr:uid="{00000000-0005-0000-0000-00006E000000}"/>
    <cellStyle name="Check Cell 4" xfId="115" xr:uid="{00000000-0005-0000-0000-00006F000000}"/>
    <cellStyle name="Check Cell 5" xfId="116" xr:uid="{00000000-0005-0000-0000-000070000000}"/>
    <cellStyle name="Check Cell 6" xfId="117" xr:uid="{00000000-0005-0000-0000-000071000000}"/>
    <cellStyle name="Check Cell 7" xfId="118" xr:uid="{00000000-0005-0000-0000-000072000000}"/>
    <cellStyle name="Check Cell 8" xfId="119" xr:uid="{00000000-0005-0000-0000-000073000000}"/>
    <cellStyle name="Check Cell 9" xfId="120" xr:uid="{00000000-0005-0000-0000-000074000000}"/>
    <cellStyle name="Comma" xfId="1" builtinId="3"/>
    <cellStyle name="Comma  - Style1" xfId="121" xr:uid="{00000000-0005-0000-0000-000076000000}"/>
    <cellStyle name="Comma  - Style2" xfId="122" xr:uid="{00000000-0005-0000-0000-000077000000}"/>
    <cellStyle name="Comma  - Style3" xfId="123" xr:uid="{00000000-0005-0000-0000-000078000000}"/>
    <cellStyle name="Comma  - Style4" xfId="124" xr:uid="{00000000-0005-0000-0000-000079000000}"/>
    <cellStyle name="Comma  - Style5" xfId="125" xr:uid="{00000000-0005-0000-0000-00007A000000}"/>
    <cellStyle name="Comma  - Style6" xfId="126" xr:uid="{00000000-0005-0000-0000-00007B000000}"/>
    <cellStyle name="Comma  - Style7" xfId="127" xr:uid="{00000000-0005-0000-0000-00007C000000}"/>
    <cellStyle name="Comma  - Style8" xfId="128" xr:uid="{00000000-0005-0000-0000-00007D000000}"/>
    <cellStyle name="Comma [00]" xfId="129" xr:uid="{00000000-0005-0000-0000-00007E000000}"/>
    <cellStyle name="Comma 10" xfId="130" xr:uid="{00000000-0005-0000-0000-00007F000000}"/>
    <cellStyle name="Comma 2" xfId="131" xr:uid="{00000000-0005-0000-0000-000080000000}"/>
    <cellStyle name="Comma 2 2" xfId="132" xr:uid="{00000000-0005-0000-0000-000081000000}"/>
    <cellStyle name="Comma 2 3" xfId="133" xr:uid="{00000000-0005-0000-0000-000082000000}"/>
    <cellStyle name="Comma 3" xfId="134" xr:uid="{00000000-0005-0000-0000-000083000000}"/>
    <cellStyle name="Comma 3 2" xfId="135" xr:uid="{00000000-0005-0000-0000-000084000000}"/>
    <cellStyle name="Comma 3 3" xfId="136" xr:uid="{00000000-0005-0000-0000-000085000000}"/>
    <cellStyle name="Comma 3 4" xfId="137" xr:uid="{00000000-0005-0000-0000-000086000000}"/>
    <cellStyle name="Comma 3 5" xfId="138" xr:uid="{00000000-0005-0000-0000-000087000000}"/>
    <cellStyle name="Comma 3 6" xfId="139" xr:uid="{00000000-0005-0000-0000-000088000000}"/>
    <cellStyle name="Comma 3 7" xfId="140" xr:uid="{00000000-0005-0000-0000-000089000000}"/>
    <cellStyle name="Comma 3 8" xfId="141" xr:uid="{00000000-0005-0000-0000-00008A000000}"/>
    <cellStyle name="Currency [00]" xfId="142" xr:uid="{00000000-0005-0000-0000-00008B000000}"/>
    <cellStyle name="Date Short" xfId="143" xr:uid="{00000000-0005-0000-0000-00008C000000}"/>
    <cellStyle name="Emphasis 1" xfId="144" xr:uid="{00000000-0005-0000-0000-00008D000000}"/>
    <cellStyle name="Emphasis 2" xfId="145" xr:uid="{00000000-0005-0000-0000-00008E000000}"/>
    <cellStyle name="Emphasis 3" xfId="146" xr:uid="{00000000-0005-0000-0000-00008F000000}"/>
    <cellStyle name="Enter Currency (0)" xfId="147" xr:uid="{00000000-0005-0000-0000-000090000000}"/>
    <cellStyle name="Enter Currency (2)" xfId="148" xr:uid="{00000000-0005-0000-0000-000091000000}"/>
    <cellStyle name="Enter Units (0)" xfId="149" xr:uid="{00000000-0005-0000-0000-000092000000}"/>
    <cellStyle name="Enter Units (1)" xfId="150" xr:uid="{00000000-0005-0000-0000-000093000000}"/>
    <cellStyle name="Enter Units (2)" xfId="151" xr:uid="{00000000-0005-0000-0000-000094000000}"/>
    <cellStyle name="Good 2" xfId="152" xr:uid="{00000000-0005-0000-0000-000095000000}"/>
    <cellStyle name="Good 3" xfId="153" xr:uid="{00000000-0005-0000-0000-000096000000}"/>
    <cellStyle name="Good 4" xfId="154" xr:uid="{00000000-0005-0000-0000-000097000000}"/>
    <cellStyle name="Good 5" xfId="155" xr:uid="{00000000-0005-0000-0000-000098000000}"/>
    <cellStyle name="Good 6" xfId="156" xr:uid="{00000000-0005-0000-0000-000099000000}"/>
    <cellStyle name="Good 7" xfId="157" xr:uid="{00000000-0005-0000-0000-00009A000000}"/>
    <cellStyle name="Good 8" xfId="158" xr:uid="{00000000-0005-0000-0000-00009B000000}"/>
    <cellStyle name="Good 9" xfId="159" xr:uid="{00000000-0005-0000-0000-00009C000000}"/>
    <cellStyle name="Grey" xfId="160" xr:uid="{00000000-0005-0000-0000-00009D000000}"/>
    <cellStyle name="Header1" xfId="161" xr:uid="{00000000-0005-0000-0000-00009E000000}"/>
    <cellStyle name="Header2" xfId="162" xr:uid="{00000000-0005-0000-0000-00009F000000}"/>
    <cellStyle name="Heading 1 2" xfId="163" xr:uid="{00000000-0005-0000-0000-0000A0000000}"/>
    <cellStyle name="Heading 1 3" xfId="164" xr:uid="{00000000-0005-0000-0000-0000A1000000}"/>
    <cellStyle name="Heading 1 4" xfId="165" xr:uid="{00000000-0005-0000-0000-0000A2000000}"/>
    <cellStyle name="Heading 1 5" xfId="166" xr:uid="{00000000-0005-0000-0000-0000A3000000}"/>
    <cellStyle name="Heading 1 6" xfId="167" xr:uid="{00000000-0005-0000-0000-0000A4000000}"/>
    <cellStyle name="Heading 1 7" xfId="168" xr:uid="{00000000-0005-0000-0000-0000A5000000}"/>
    <cellStyle name="Heading 1 8" xfId="169" xr:uid="{00000000-0005-0000-0000-0000A6000000}"/>
    <cellStyle name="Heading 1 9" xfId="170" xr:uid="{00000000-0005-0000-0000-0000A7000000}"/>
    <cellStyle name="Heading 2 2" xfId="171" xr:uid="{00000000-0005-0000-0000-0000A8000000}"/>
    <cellStyle name="Heading 2 3" xfId="172" xr:uid="{00000000-0005-0000-0000-0000A9000000}"/>
    <cellStyle name="Heading 2 4" xfId="173" xr:uid="{00000000-0005-0000-0000-0000AA000000}"/>
    <cellStyle name="Heading 2 5" xfId="174" xr:uid="{00000000-0005-0000-0000-0000AB000000}"/>
    <cellStyle name="Heading 2 6" xfId="175" xr:uid="{00000000-0005-0000-0000-0000AC000000}"/>
    <cellStyle name="Heading 2 7" xfId="176" xr:uid="{00000000-0005-0000-0000-0000AD000000}"/>
    <cellStyle name="Heading 2 8" xfId="177" xr:uid="{00000000-0005-0000-0000-0000AE000000}"/>
    <cellStyle name="Heading 2 9" xfId="178" xr:uid="{00000000-0005-0000-0000-0000AF000000}"/>
    <cellStyle name="Heading 3 2" xfId="179" xr:uid="{00000000-0005-0000-0000-0000B0000000}"/>
    <cellStyle name="Heading 3 3" xfId="180" xr:uid="{00000000-0005-0000-0000-0000B1000000}"/>
    <cellStyle name="Heading 3 4" xfId="181" xr:uid="{00000000-0005-0000-0000-0000B2000000}"/>
    <cellStyle name="Heading 3 5" xfId="182" xr:uid="{00000000-0005-0000-0000-0000B3000000}"/>
    <cellStyle name="Heading 3 6" xfId="183" xr:uid="{00000000-0005-0000-0000-0000B4000000}"/>
    <cellStyle name="Heading 3 7" xfId="184" xr:uid="{00000000-0005-0000-0000-0000B5000000}"/>
    <cellStyle name="Heading 3 8" xfId="185" xr:uid="{00000000-0005-0000-0000-0000B6000000}"/>
    <cellStyle name="Heading 3 9" xfId="186" xr:uid="{00000000-0005-0000-0000-0000B7000000}"/>
    <cellStyle name="Heading 4 2" xfId="187" xr:uid="{00000000-0005-0000-0000-0000B8000000}"/>
    <cellStyle name="Heading 4 3" xfId="188" xr:uid="{00000000-0005-0000-0000-0000B9000000}"/>
    <cellStyle name="Heading 4 4" xfId="189" xr:uid="{00000000-0005-0000-0000-0000BA000000}"/>
    <cellStyle name="Heading 4 5" xfId="190" xr:uid="{00000000-0005-0000-0000-0000BB000000}"/>
    <cellStyle name="Heading 4 6" xfId="191" xr:uid="{00000000-0005-0000-0000-0000BC000000}"/>
    <cellStyle name="Heading 4 7" xfId="192" xr:uid="{00000000-0005-0000-0000-0000BD000000}"/>
    <cellStyle name="Heading 4 8" xfId="193" xr:uid="{00000000-0005-0000-0000-0000BE000000}"/>
    <cellStyle name="Heading 4 9" xfId="194" xr:uid="{00000000-0005-0000-0000-0000BF000000}"/>
    <cellStyle name="Input [yellow]" xfId="195" xr:uid="{00000000-0005-0000-0000-0000C0000000}"/>
    <cellStyle name="Input 2" xfId="196" xr:uid="{00000000-0005-0000-0000-0000C1000000}"/>
    <cellStyle name="Input 3" xfId="197" xr:uid="{00000000-0005-0000-0000-0000C2000000}"/>
    <cellStyle name="Input 4" xfId="198" xr:uid="{00000000-0005-0000-0000-0000C3000000}"/>
    <cellStyle name="Input 5" xfId="199" xr:uid="{00000000-0005-0000-0000-0000C4000000}"/>
    <cellStyle name="Input 6" xfId="200" xr:uid="{00000000-0005-0000-0000-0000C5000000}"/>
    <cellStyle name="Input 7" xfId="201" xr:uid="{00000000-0005-0000-0000-0000C6000000}"/>
    <cellStyle name="Input 8" xfId="202" xr:uid="{00000000-0005-0000-0000-0000C7000000}"/>
    <cellStyle name="Input 9" xfId="203" xr:uid="{00000000-0005-0000-0000-0000C8000000}"/>
    <cellStyle name="Link Currency (0)" xfId="204" xr:uid="{00000000-0005-0000-0000-0000C9000000}"/>
    <cellStyle name="Link Currency (2)" xfId="205" xr:uid="{00000000-0005-0000-0000-0000CA000000}"/>
    <cellStyle name="Link Units (0)" xfId="206" xr:uid="{00000000-0005-0000-0000-0000CB000000}"/>
    <cellStyle name="Link Units (1)" xfId="207" xr:uid="{00000000-0005-0000-0000-0000CC000000}"/>
    <cellStyle name="Link Units (2)" xfId="208" xr:uid="{00000000-0005-0000-0000-0000CD000000}"/>
    <cellStyle name="Linked Cell 2" xfId="209" xr:uid="{00000000-0005-0000-0000-0000CE000000}"/>
    <cellStyle name="Linked Cell 3" xfId="210" xr:uid="{00000000-0005-0000-0000-0000CF000000}"/>
    <cellStyle name="Linked Cell 4" xfId="211" xr:uid="{00000000-0005-0000-0000-0000D0000000}"/>
    <cellStyle name="Linked Cell 5" xfId="212" xr:uid="{00000000-0005-0000-0000-0000D1000000}"/>
    <cellStyle name="Linked Cell 6" xfId="213" xr:uid="{00000000-0005-0000-0000-0000D2000000}"/>
    <cellStyle name="Linked Cell 7" xfId="214" xr:uid="{00000000-0005-0000-0000-0000D3000000}"/>
    <cellStyle name="Linked Cell 8" xfId="215" xr:uid="{00000000-0005-0000-0000-0000D4000000}"/>
    <cellStyle name="Linked Cell 9" xfId="216" xr:uid="{00000000-0005-0000-0000-0000D5000000}"/>
    <cellStyle name="Milliers [0]_VERA" xfId="217" xr:uid="{00000000-0005-0000-0000-0000D6000000}"/>
    <cellStyle name="Milliers_VERA" xfId="218" xr:uid="{00000000-0005-0000-0000-0000D7000000}"/>
    <cellStyle name="Monétaire [0]_VERA" xfId="219" xr:uid="{00000000-0005-0000-0000-0000D8000000}"/>
    <cellStyle name="Monétaire_VERA" xfId="220" xr:uid="{00000000-0005-0000-0000-0000D9000000}"/>
    <cellStyle name="Neutral 2" xfId="221" xr:uid="{00000000-0005-0000-0000-0000DA000000}"/>
    <cellStyle name="Neutral 3" xfId="222" xr:uid="{00000000-0005-0000-0000-0000DB000000}"/>
    <cellStyle name="Neutral 4" xfId="223" xr:uid="{00000000-0005-0000-0000-0000DC000000}"/>
    <cellStyle name="Neutral 5" xfId="224" xr:uid="{00000000-0005-0000-0000-0000DD000000}"/>
    <cellStyle name="Neutral 6" xfId="225" xr:uid="{00000000-0005-0000-0000-0000DE000000}"/>
    <cellStyle name="Neutral 7" xfId="226" xr:uid="{00000000-0005-0000-0000-0000DF000000}"/>
    <cellStyle name="Neutral 8" xfId="227" xr:uid="{00000000-0005-0000-0000-0000E0000000}"/>
    <cellStyle name="Neutral 9" xfId="228" xr:uid="{00000000-0005-0000-0000-0000E1000000}"/>
    <cellStyle name="Normal" xfId="0" builtinId="0"/>
    <cellStyle name="Normal - Style1" xfId="229" xr:uid="{00000000-0005-0000-0000-0000E3000000}"/>
    <cellStyle name="Normal 14" xfId="3" xr:uid="{00000000-0005-0000-0000-0000E4000000}"/>
    <cellStyle name="Normal 2" xfId="230" xr:uid="{00000000-0005-0000-0000-0000E5000000}"/>
    <cellStyle name="Normal 2 2" xfId="231" xr:uid="{00000000-0005-0000-0000-0000E6000000}"/>
    <cellStyle name="Normal 3" xfId="232" xr:uid="{00000000-0005-0000-0000-0000E7000000}"/>
    <cellStyle name="Normal 5" xfId="233" xr:uid="{00000000-0005-0000-0000-0000E8000000}"/>
    <cellStyle name="Normal 6" xfId="234" xr:uid="{00000000-0005-0000-0000-0000E9000000}"/>
    <cellStyle name="Normal 7" xfId="235" xr:uid="{00000000-0005-0000-0000-0000EA000000}"/>
    <cellStyle name="Normal 8" xfId="236" xr:uid="{00000000-0005-0000-0000-0000EB000000}"/>
    <cellStyle name="Normal 9" xfId="237" xr:uid="{00000000-0005-0000-0000-0000EC000000}"/>
    <cellStyle name="Normal_Finance - XI" xfId="2" xr:uid="{00000000-0005-0000-0000-0000ED000000}"/>
    <cellStyle name="Note 2" xfId="238" xr:uid="{00000000-0005-0000-0000-0000EF000000}"/>
    <cellStyle name="Note 3" xfId="239" xr:uid="{00000000-0005-0000-0000-0000F0000000}"/>
    <cellStyle name="Note 4" xfId="240" xr:uid="{00000000-0005-0000-0000-0000F1000000}"/>
    <cellStyle name="Note 5" xfId="241" xr:uid="{00000000-0005-0000-0000-0000F2000000}"/>
    <cellStyle name="Note 6" xfId="242" xr:uid="{00000000-0005-0000-0000-0000F3000000}"/>
    <cellStyle name="Note 7" xfId="243" xr:uid="{00000000-0005-0000-0000-0000F4000000}"/>
    <cellStyle name="Note 8" xfId="244" xr:uid="{00000000-0005-0000-0000-0000F5000000}"/>
    <cellStyle name="Note 9" xfId="245" xr:uid="{00000000-0005-0000-0000-0000F6000000}"/>
    <cellStyle name="Output 2" xfId="246" xr:uid="{00000000-0005-0000-0000-0000F7000000}"/>
    <cellStyle name="Output 3" xfId="247" xr:uid="{00000000-0005-0000-0000-0000F8000000}"/>
    <cellStyle name="Output 4" xfId="248" xr:uid="{00000000-0005-0000-0000-0000F9000000}"/>
    <cellStyle name="Output 5" xfId="249" xr:uid="{00000000-0005-0000-0000-0000FA000000}"/>
    <cellStyle name="Output 6" xfId="250" xr:uid="{00000000-0005-0000-0000-0000FB000000}"/>
    <cellStyle name="Output 7" xfId="251" xr:uid="{00000000-0005-0000-0000-0000FC000000}"/>
    <cellStyle name="Output 8" xfId="252" xr:uid="{00000000-0005-0000-0000-0000FD000000}"/>
    <cellStyle name="Output 9" xfId="253" xr:uid="{00000000-0005-0000-0000-0000FE000000}"/>
    <cellStyle name="Pattern" xfId="254" xr:uid="{00000000-0005-0000-0000-0000FF000000}"/>
    <cellStyle name="Percent [0]" xfId="255" xr:uid="{00000000-0005-0000-0000-000001010000}"/>
    <cellStyle name="Percent [00]" xfId="256" xr:uid="{00000000-0005-0000-0000-000002010000}"/>
    <cellStyle name="Percent [2]" xfId="257" xr:uid="{00000000-0005-0000-0000-000003010000}"/>
    <cellStyle name="Percent 2" xfId="258" xr:uid="{00000000-0005-0000-0000-000004010000}"/>
    <cellStyle name="Percent 2 2" xfId="259" xr:uid="{00000000-0005-0000-0000-000005010000}"/>
    <cellStyle name="Percent 2 3" xfId="260" xr:uid="{00000000-0005-0000-0000-000006010000}"/>
    <cellStyle name="Percent 3 2" xfId="261" xr:uid="{00000000-0005-0000-0000-000007010000}"/>
    <cellStyle name="Percent 3 3" xfId="262" xr:uid="{00000000-0005-0000-0000-000008010000}"/>
    <cellStyle name="Percent 3 4" xfId="263" xr:uid="{00000000-0005-0000-0000-000009010000}"/>
    <cellStyle name="Percent 3 5" xfId="264" xr:uid="{00000000-0005-0000-0000-00000A010000}"/>
    <cellStyle name="Percent 3 6" xfId="265" xr:uid="{00000000-0005-0000-0000-00000B010000}"/>
    <cellStyle name="Percent 3 7" xfId="266" xr:uid="{00000000-0005-0000-0000-00000C010000}"/>
    <cellStyle name="Percent 3 8" xfId="267" xr:uid="{00000000-0005-0000-0000-00000D010000}"/>
    <cellStyle name="PrePop Currency (0)" xfId="268" xr:uid="{00000000-0005-0000-0000-00000E010000}"/>
    <cellStyle name="PrePop Currency (2)" xfId="269" xr:uid="{00000000-0005-0000-0000-00000F010000}"/>
    <cellStyle name="PrePop Units (0)" xfId="270" xr:uid="{00000000-0005-0000-0000-000010010000}"/>
    <cellStyle name="PrePop Units (1)" xfId="271" xr:uid="{00000000-0005-0000-0000-000011010000}"/>
    <cellStyle name="PrePop Units (2)" xfId="272" xr:uid="{00000000-0005-0000-0000-000012010000}"/>
    <cellStyle name="Sheet Title" xfId="273" xr:uid="{00000000-0005-0000-0000-000013010000}"/>
    <cellStyle name="STYL1 - Style1" xfId="274" xr:uid="{00000000-0005-0000-0000-000014010000}"/>
    <cellStyle name="STYL2 - Style2" xfId="275" xr:uid="{00000000-0005-0000-0000-000015010000}"/>
    <cellStyle name="STYL3 - Style3" xfId="276" xr:uid="{00000000-0005-0000-0000-000016010000}"/>
    <cellStyle name="STYL4 - Style4" xfId="277" xr:uid="{00000000-0005-0000-0000-000017010000}"/>
    <cellStyle name="STYL5 - Style5" xfId="278" xr:uid="{00000000-0005-0000-0000-000018010000}"/>
    <cellStyle name="Text Indent A" xfId="279" xr:uid="{00000000-0005-0000-0000-000019010000}"/>
    <cellStyle name="Text Indent B" xfId="280" xr:uid="{00000000-0005-0000-0000-00001A010000}"/>
    <cellStyle name="Text Indent C" xfId="281" xr:uid="{00000000-0005-0000-0000-00001B010000}"/>
    <cellStyle name="Title 2" xfId="299" xr:uid="{00000000-0005-0000-0000-00001D010000}"/>
    <cellStyle name="Total 2" xfId="282" xr:uid="{00000000-0005-0000-0000-00001E010000}"/>
    <cellStyle name="Total 3" xfId="283" xr:uid="{00000000-0005-0000-0000-00001F010000}"/>
    <cellStyle name="Total 4" xfId="284" xr:uid="{00000000-0005-0000-0000-000020010000}"/>
    <cellStyle name="Total 5" xfId="285" xr:uid="{00000000-0005-0000-0000-000021010000}"/>
    <cellStyle name="Total 6" xfId="286" xr:uid="{00000000-0005-0000-0000-000022010000}"/>
    <cellStyle name="Total 7" xfId="287" xr:uid="{00000000-0005-0000-0000-000023010000}"/>
    <cellStyle name="Total 8" xfId="288" xr:uid="{00000000-0005-0000-0000-000024010000}"/>
    <cellStyle name="Total 9" xfId="289" xr:uid="{00000000-0005-0000-0000-000025010000}"/>
    <cellStyle name="Update" xfId="290" xr:uid="{00000000-0005-0000-0000-000026010000}"/>
    <cellStyle name="Warning Text 2" xfId="291" xr:uid="{00000000-0005-0000-0000-000027010000}"/>
    <cellStyle name="Warning Text 3" xfId="292" xr:uid="{00000000-0005-0000-0000-000028010000}"/>
    <cellStyle name="Warning Text 4" xfId="293" xr:uid="{00000000-0005-0000-0000-000029010000}"/>
    <cellStyle name="Warning Text 5" xfId="294" xr:uid="{00000000-0005-0000-0000-00002A010000}"/>
    <cellStyle name="Warning Text 6" xfId="295" xr:uid="{00000000-0005-0000-0000-00002B010000}"/>
    <cellStyle name="Warning Text 7" xfId="296" xr:uid="{00000000-0005-0000-0000-00002C010000}"/>
    <cellStyle name="Warning Text 8" xfId="297" xr:uid="{00000000-0005-0000-0000-00002D010000}"/>
    <cellStyle name="Warning Text 9" xfId="298" xr:uid="{00000000-0005-0000-0000-00002E010000}"/>
  </cellStyles>
  <dxfs count="0"/>
  <tableStyles count="0" defaultTableStyle="TableStyleMedium9" defaultPivotStyle="PivotStyleLight16"/>
  <colors>
    <mruColors>
      <color rgb="FFFCFC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SD\Statistics_Section\Data_Dissemination\Monetary%20and%20Financial%20statistics_publications%20%20tables\interest%20rate\Publication%20sheets_1.1_re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(LI) (2)"/>
      <sheetName val="Total(DI) (2)"/>
      <sheetName val="Industry"/>
      <sheetName val="SRF_public tab_Dec-01 todate"/>
    </sheetNames>
    <sheetDataSet>
      <sheetData sheetId="0"/>
      <sheetData sheetId="1">
        <row r="13">
          <cell r="B13">
            <v>5</v>
          </cell>
        </row>
      </sheetData>
      <sheetData sheetId="2">
        <row r="4">
          <cell r="A4" t="str">
            <v>LOANS AND ADVANCES</v>
          </cell>
          <cell r="B4">
            <v>39448</v>
          </cell>
          <cell r="C4">
            <v>39448</v>
          </cell>
          <cell r="D4">
            <v>39448</v>
          </cell>
          <cell r="E4">
            <v>39479</v>
          </cell>
          <cell r="F4">
            <v>39479</v>
          </cell>
          <cell r="G4">
            <v>39479</v>
          </cell>
          <cell r="H4">
            <v>39508</v>
          </cell>
          <cell r="I4">
            <v>39508</v>
          </cell>
          <cell r="J4">
            <v>39508</v>
          </cell>
          <cell r="K4">
            <v>39539</v>
          </cell>
          <cell r="L4">
            <v>39539</v>
          </cell>
          <cell r="M4">
            <v>39539</v>
          </cell>
          <cell r="N4">
            <v>39569</v>
          </cell>
          <cell r="O4">
            <v>39569</v>
          </cell>
          <cell r="P4">
            <v>39569</v>
          </cell>
          <cell r="Q4">
            <v>39600</v>
          </cell>
          <cell r="R4">
            <v>39600</v>
          </cell>
          <cell r="S4">
            <v>39600</v>
          </cell>
          <cell r="T4">
            <v>39630</v>
          </cell>
          <cell r="U4">
            <v>39630</v>
          </cell>
          <cell r="V4">
            <v>39630</v>
          </cell>
          <cell r="W4">
            <v>39661</v>
          </cell>
          <cell r="X4">
            <v>39661</v>
          </cell>
          <cell r="Y4">
            <v>39661</v>
          </cell>
          <cell r="Z4">
            <v>39692</v>
          </cell>
          <cell r="AA4">
            <v>39692</v>
          </cell>
          <cell r="AB4">
            <v>39692</v>
          </cell>
          <cell r="AC4">
            <v>39722</v>
          </cell>
          <cell r="AD4">
            <v>39722</v>
          </cell>
          <cell r="AE4">
            <v>39722</v>
          </cell>
          <cell r="AF4">
            <v>39753</v>
          </cell>
          <cell r="AG4">
            <v>39753</v>
          </cell>
          <cell r="AH4">
            <v>39753</v>
          </cell>
          <cell r="AI4">
            <v>39783</v>
          </cell>
          <cell r="AJ4">
            <v>39783</v>
          </cell>
          <cell r="AK4">
            <v>39783</v>
          </cell>
          <cell r="AL4">
            <v>39814</v>
          </cell>
          <cell r="AM4">
            <v>39814</v>
          </cell>
          <cell r="AN4">
            <v>39814</v>
          </cell>
          <cell r="AO4">
            <v>39845</v>
          </cell>
          <cell r="AP4">
            <v>39845</v>
          </cell>
          <cell r="AQ4">
            <v>39845</v>
          </cell>
          <cell r="AR4">
            <v>39873</v>
          </cell>
          <cell r="AS4">
            <v>39873</v>
          </cell>
          <cell r="AT4">
            <v>39873</v>
          </cell>
          <cell r="AU4">
            <v>39904</v>
          </cell>
          <cell r="AV4">
            <v>39904</v>
          </cell>
          <cell r="AW4">
            <v>39904</v>
          </cell>
          <cell r="AX4">
            <v>39934</v>
          </cell>
          <cell r="AY4">
            <v>39934</v>
          </cell>
          <cell r="AZ4">
            <v>39934</v>
          </cell>
          <cell r="BA4">
            <v>39965</v>
          </cell>
          <cell r="BB4">
            <v>39965</v>
          </cell>
          <cell r="BC4">
            <v>39965</v>
          </cell>
          <cell r="BD4">
            <v>39995</v>
          </cell>
          <cell r="BE4">
            <v>39995</v>
          </cell>
          <cell r="BF4">
            <v>39995</v>
          </cell>
          <cell r="BG4">
            <v>40026</v>
          </cell>
          <cell r="BH4">
            <v>40026</v>
          </cell>
          <cell r="BI4">
            <v>40026</v>
          </cell>
          <cell r="BJ4">
            <v>40057</v>
          </cell>
          <cell r="BK4">
            <v>40057</v>
          </cell>
          <cell r="BL4">
            <v>40057</v>
          </cell>
          <cell r="BM4">
            <v>40087</v>
          </cell>
          <cell r="BN4">
            <v>40087</v>
          </cell>
          <cell r="BO4">
            <v>40087</v>
          </cell>
          <cell r="BP4">
            <v>40118</v>
          </cell>
          <cell r="BQ4">
            <v>40118</v>
          </cell>
          <cell r="BR4">
            <v>40118</v>
          </cell>
          <cell r="BS4">
            <v>40148</v>
          </cell>
          <cell r="BT4">
            <v>40148</v>
          </cell>
          <cell r="BU4">
            <v>40148</v>
          </cell>
          <cell r="BV4">
            <v>40179</v>
          </cell>
          <cell r="BW4">
            <v>40179</v>
          </cell>
          <cell r="BX4">
            <v>40179</v>
          </cell>
          <cell r="BY4">
            <v>40210</v>
          </cell>
          <cell r="BZ4">
            <v>40210</v>
          </cell>
          <cell r="CA4">
            <v>40210</v>
          </cell>
          <cell r="CB4">
            <v>40238</v>
          </cell>
          <cell r="CC4">
            <v>40238</v>
          </cell>
          <cell r="CD4">
            <v>40238</v>
          </cell>
          <cell r="CE4">
            <v>40269</v>
          </cell>
          <cell r="CF4">
            <v>40269</v>
          </cell>
          <cell r="CG4">
            <v>40269</v>
          </cell>
          <cell r="CH4">
            <v>40299</v>
          </cell>
          <cell r="CI4">
            <v>40299</v>
          </cell>
          <cell r="CJ4">
            <v>40299</v>
          </cell>
          <cell r="CK4">
            <v>40330</v>
          </cell>
          <cell r="CL4">
            <v>40330</v>
          </cell>
          <cell r="CM4">
            <v>40330</v>
          </cell>
          <cell r="CN4">
            <v>40360</v>
          </cell>
          <cell r="CO4">
            <v>40360</v>
          </cell>
          <cell r="CP4">
            <v>40360</v>
          </cell>
          <cell r="CQ4">
            <v>40391</v>
          </cell>
          <cell r="CR4">
            <v>40391</v>
          </cell>
          <cell r="CS4">
            <v>40391</v>
          </cell>
          <cell r="CT4">
            <v>40422</v>
          </cell>
          <cell r="CU4">
            <v>40422</v>
          </cell>
          <cell r="CV4">
            <v>40422</v>
          </cell>
          <cell r="CW4">
            <v>40452</v>
          </cell>
          <cell r="CX4">
            <v>40452</v>
          </cell>
          <cell r="CY4">
            <v>40452</v>
          </cell>
          <cell r="CZ4">
            <v>40483</v>
          </cell>
          <cell r="DA4">
            <v>40483</v>
          </cell>
          <cell r="DB4">
            <v>40483</v>
          </cell>
          <cell r="DC4">
            <v>40513</v>
          </cell>
          <cell r="DD4">
            <v>40513</v>
          </cell>
          <cell r="DE4">
            <v>40513</v>
          </cell>
          <cell r="DF4">
            <v>40544</v>
          </cell>
          <cell r="DG4">
            <v>40544</v>
          </cell>
          <cell r="DH4">
            <v>40544</v>
          </cell>
          <cell r="DI4">
            <v>40575</v>
          </cell>
          <cell r="DJ4">
            <v>40575</v>
          </cell>
          <cell r="DK4">
            <v>40575</v>
          </cell>
          <cell r="DL4">
            <v>40603</v>
          </cell>
          <cell r="DM4">
            <v>40603</v>
          </cell>
          <cell r="DN4">
            <v>40603</v>
          </cell>
          <cell r="DO4">
            <v>40634</v>
          </cell>
          <cell r="DP4">
            <v>40634</v>
          </cell>
          <cell r="DQ4">
            <v>40634</v>
          </cell>
          <cell r="DR4">
            <v>40664</v>
          </cell>
          <cell r="DS4">
            <v>40664</v>
          </cell>
          <cell r="DT4">
            <v>40664</v>
          </cell>
          <cell r="DU4">
            <v>40695</v>
          </cell>
          <cell r="DV4">
            <v>40695</v>
          </cell>
          <cell r="DW4">
            <v>40695</v>
          </cell>
          <cell r="DX4">
            <v>40725</v>
          </cell>
          <cell r="DY4">
            <v>40725</v>
          </cell>
          <cell r="DZ4">
            <v>40725</v>
          </cell>
          <cell r="EA4">
            <v>40756</v>
          </cell>
          <cell r="EB4">
            <v>40756</v>
          </cell>
          <cell r="EC4">
            <v>40756</v>
          </cell>
        </row>
        <row r="5">
          <cell r="B5" t="str">
            <v>LC</v>
          </cell>
          <cell r="C5" t="str">
            <v>FC</v>
          </cell>
          <cell r="D5" t="str">
            <v>TOTAL</v>
          </cell>
          <cell r="E5" t="str">
            <v>LC</v>
          </cell>
          <cell r="F5" t="str">
            <v>FC</v>
          </cell>
          <cell r="G5" t="str">
            <v>TOTAL</v>
          </cell>
          <cell r="H5" t="str">
            <v>LC</v>
          </cell>
          <cell r="I5" t="str">
            <v>FC</v>
          </cell>
          <cell r="J5" t="str">
            <v>TOTAL</v>
          </cell>
          <cell r="K5" t="str">
            <v>LC</v>
          </cell>
          <cell r="L5" t="str">
            <v>FC</v>
          </cell>
          <cell r="M5" t="str">
            <v>TOTAL</v>
          </cell>
          <cell r="N5" t="str">
            <v>LC</v>
          </cell>
          <cell r="O5" t="str">
            <v>FC</v>
          </cell>
          <cell r="P5" t="str">
            <v>TOTAL</v>
          </cell>
          <cell r="Q5" t="str">
            <v>LC</v>
          </cell>
          <cell r="R5" t="str">
            <v>FC</v>
          </cell>
          <cell r="S5" t="str">
            <v>TOTAL</v>
          </cell>
          <cell r="T5" t="str">
            <v>LC</v>
          </cell>
          <cell r="U5" t="str">
            <v>FC</v>
          </cell>
          <cell r="V5" t="str">
            <v>TOTAL</v>
          </cell>
          <cell r="W5" t="str">
            <v>LC</v>
          </cell>
          <cell r="X5" t="str">
            <v>FC</v>
          </cell>
          <cell r="Y5" t="str">
            <v>TOTAL</v>
          </cell>
          <cell r="Z5" t="str">
            <v>LC</v>
          </cell>
          <cell r="AA5" t="str">
            <v>FC</v>
          </cell>
          <cell r="AB5" t="str">
            <v>TOTAL</v>
          </cell>
          <cell r="AC5" t="str">
            <v>LC</v>
          </cell>
          <cell r="AD5" t="str">
            <v>FC</v>
          </cell>
          <cell r="AE5" t="str">
            <v>TOTAL</v>
          </cell>
          <cell r="AF5" t="str">
            <v>LC</v>
          </cell>
          <cell r="AG5" t="str">
            <v>FC</v>
          </cell>
          <cell r="AH5" t="str">
            <v>TOTAL</v>
          </cell>
          <cell r="AI5" t="str">
            <v>LC</v>
          </cell>
          <cell r="AJ5" t="str">
            <v>FC</v>
          </cell>
          <cell r="AK5" t="str">
            <v>TOTAL</v>
          </cell>
          <cell r="AL5" t="str">
            <v>LC</v>
          </cell>
          <cell r="AM5" t="str">
            <v>FC</v>
          </cell>
          <cell r="AN5" t="str">
            <v>TOTAL</v>
          </cell>
          <cell r="AO5" t="str">
            <v>LC</v>
          </cell>
          <cell r="AP5" t="str">
            <v>FC</v>
          </cell>
          <cell r="AQ5" t="str">
            <v>TOTAL</v>
          </cell>
          <cell r="AR5" t="str">
            <v>LC</v>
          </cell>
          <cell r="AS5" t="str">
            <v>FC</v>
          </cell>
          <cell r="AT5" t="str">
            <v>TOTAL</v>
          </cell>
          <cell r="AU5" t="str">
            <v>LC</v>
          </cell>
          <cell r="AV5" t="str">
            <v>FC</v>
          </cell>
          <cell r="AW5" t="str">
            <v>TOTAL</v>
          </cell>
          <cell r="AX5" t="str">
            <v>LC</v>
          </cell>
          <cell r="AY5" t="str">
            <v>FC</v>
          </cell>
          <cell r="AZ5" t="str">
            <v>TOTAL</v>
          </cell>
          <cell r="BA5" t="str">
            <v>LC</v>
          </cell>
          <cell r="BB5" t="str">
            <v>FC</v>
          </cell>
          <cell r="BC5" t="str">
            <v>TOTAL</v>
          </cell>
          <cell r="BD5" t="str">
            <v>LC</v>
          </cell>
          <cell r="BE5" t="str">
            <v>FC</v>
          </cell>
          <cell r="BF5" t="str">
            <v>TOTAL</v>
          </cell>
          <cell r="BG5" t="str">
            <v>LC</v>
          </cell>
          <cell r="BH5" t="str">
            <v>FC</v>
          </cell>
          <cell r="BI5" t="str">
            <v>TOTAL</v>
          </cell>
          <cell r="BJ5" t="str">
            <v>LC</v>
          </cell>
          <cell r="BK5" t="str">
            <v>FC</v>
          </cell>
          <cell r="BL5" t="str">
            <v>TOTAL</v>
          </cell>
          <cell r="BM5" t="str">
            <v>LC</v>
          </cell>
          <cell r="BN5" t="str">
            <v>FC</v>
          </cell>
          <cell r="BO5" t="str">
            <v>TOTAL</v>
          </cell>
          <cell r="BP5" t="str">
            <v>LC</v>
          </cell>
          <cell r="BQ5" t="str">
            <v>FC</v>
          </cell>
          <cell r="BR5" t="str">
            <v>TOTAL</v>
          </cell>
          <cell r="BS5" t="str">
            <v>LC</v>
          </cell>
          <cell r="BT5" t="str">
            <v>FC</v>
          </cell>
          <cell r="BU5" t="str">
            <v>TOTAL</v>
          </cell>
          <cell r="BV5" t="str">
            <v>LC</v>
          </cell>
          <cell r="BW5" t="str">
            <v>FC</v>
          </cell>
          <cell r="BX5" t="str">
            <v>TOTAL</v>
          </cell>
          <cell r="BY5" t="str">
            <v>LC</v>
          </cell>
          <cell r="BZ5" t="str">
            <v>FC</v>
          </cell>
          <cell r="CA5" t="str">
            <v>TOTAL</v>
          </cell>
          <cell r="CB5" t="str">
            <v>LC</v>
          </cell>
          <cell r="CC5" t="str">
            <v>FC</v>
          </cell>
          <cell r="CD5" t="str">
            <v>TOTAL</v>
          </cell>
          <cell r="CE5" t="str">
            <v>LC</v>
          </cell>
          <cell r="CF5" t="str">
            <v>FC</v>
          </cell>
          <cell r="CG5" t="str">
            <v>TOTAL</v>
          </cell>
          <cell r="CH5" t="str">
            <v>LC</v>
          </cell>
          <cell r="CI5" t="str">
            <v>FC</v>
          </cell>
          <cell r="CJ5" t="str">
            <v>TOTAL</v>
          </cell>
          <cell r="CK5" t="str">
            <v>LC</v>
          </cell>
          <cell r="CL5" t="str">
            <v>FC</v>
          </cell>
          <cell r="CM5" t="str">
            <v>TOTAL</v>
          </cell>
          <cell r="CN5" t="str">
            <v>LC</v>
          </cell>
          <cell r="CO5" t="str">
            <v>FC</v>
          </cell>
          <cell r="CP5" t="str">
            <v>TOTAL</v>
          </cell>
          <cell r="CQ5" t="str">
            <v>LC</v>
          </cell>
          <cell r="CR5" t="str">
            <v>FC</v>
          </cell>
          <cell r="CS5" t="str">
            <v>TOTAL</v>
          </cell>
          <cell r="CT5" t="str">
            <v>LC</v>
          </cell>
          <cell r="CU5" t="str">
            <v>FC</v>
          </cell>
          <cell r="CV5" t="str">
            <v>TOTAL</v>
          </cell>
          <cell r="CW5" t="str">
            <v>LC</v>
          </cell>
          <cell r="CX5" t="str">
            <v>FC</v>
          </cell>
          <cell r="CY5" t="str">
            <v>TOTAL</v>
          </cell>
          <cell r="CZ5" t="str">
            <v>LC</v>
          </cell>
          <cell r="DA5" t="str">
            <v>FC</v>
          </cell>
          <cell r="DB5" t="str">
            <v>TOTAL</v>
          </cell>
          <cell r="DC5" t="str">
            <v>LC</v>
          </cell>
          <cell r="DD5" t="str">
            <v>FC</v>
          </cell>
          <cell r="DE5" t="str">
            <v>TOTAL</v>
          </cell>
          <cell r="DF5" t="str">
            <v>LC</v>
          </cell>
          <cell r="DG5" t="str">
            <v>FC</v>
          </cell>
          <cell r="DH5" t="str">
            <v>TOTAL</v>
          </cell>
          <cell r="DI5" t="str">
            <v>LC</v>
          </cell>
          <cell r="DJ5" t="str">
            <v>FC</v>
          </cell>
          <cell r="DK5" t="str">
            <v>TOTAL</v>
          </cell>
          <cell r="DL5" t="str">
            <v>LC</v>
          </cell>
          <cell r="DM5" t="str">
            <v>FC</v>
          </cell>
          <cell r="DN5" t="str">
            <v>TOTAL</v>
          </cell>
          <cell r="DO5" t="str">
            <v>LC</v>
          </cell>
          <cell r="DP5" t="str">
            <v>FC</v>
          </cell>
          <cell r="DQ5" t="str">
            <v>TOTAL</v>
          </cell>
          <cell r="DR5" t="str">
            <v>LC</v>
          </cell>
          <cell r="DS5" t="str">
            <v>FC</v>
          </cell>
          <cell r="DT5" t="str">
            <v>TOTAL</v>
          </cell>
          <cell r="DU5" t="str">
            <v>LC</v>
          </cell>
          <cell r="DV5" t="str">
            <v>FC</v>
          </cell>
          <cell r="DW5" t="str">
            <v>TOTAL</v>
          </cell>
          <cell r="DX5" t="str">
            <v>LC</v>
          </cell>
          <cell r="DY5" t="str">
            <v>FC</v>
          </cell>
          <cell r="DZ5" t="str">
            <v>TOTAL</v>
          </cell>
          <cell r="EA5" t="str">
            <v>LC</v>
          </cell>
          <cell r="EB5" t="str">
            <v>FC</v>
          </cell>
          <cell r="EC5" t="str">
            <v>TOTAL</v>
          </cell>
        </row>
      </sheetData>
      <sheetData sheetId="3">
        <row r="6">
          <cell r="B6">
            <v>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  <pageSetUpPr fitToPage="1"/>
  </sheetPr>
  <dimension ref="A1:AC98"/>
  <sheetViews>
    <sheetView showGridLines="0" tabSelected="1" zoomScale="91" zoomScaleNormal="91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R12" sqref="R12"/>
    </sheetView>
  </sheetViews>
  <sheetFormatPr defaultColWidth="8.85546875" defaultRowHeight="15" x14ac:dyDescent="0.25"/>
  <cols>
    <col min="1" max="1" width="41.42578125" style="53" customWidth="1"/>
    <col min="2" max="13" width="10.28515625" style="53" customWidth="1"/>
    <col min="14" max="14" width="11.85546875" style="53" customWidth="1"/>
    <col min="15" max="17" width="10.28515625" style="53" customWidth="1"/>
    <col min="18" max="18" width="53.7109375" style="53" customWidth="1"/>
    <col min="19" max="16384" width="8.85546875" style="53"/>
  </cols>
  <sheetData>
    <row r="1" spans="1:18" s="62" customFormat="1" ht="20.100000000000001" customHeight="1" x14ac:dyDescent="0.25">
      <c r="A1" s="92" t="s">
        <v>52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</row>
    <row r="2" spans="1:18" s="62" customFormat="1" ht="20.100000000000001" customHeight="1" x14ac:dyDescent="0.25">
      <c r="A2" s="93" t="s">
        <v>51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</row>
    <row r="3" spans="1:18" s="62" customFormat="1" ht="15.95" customHeight="1" x14ac:dyDescent="0.45">
      <c r="A3" s="94" t="s">
        <v>0</v>
      </c>
      <c r="B3" s="94"/>
      <c r="C3" s="94"/>
      <c r="D3" s="94"/>
      <c r="E3" s="94"/>
      <c r="F3" s="94"/>
      <c r="G3" s="94"/>
      <c r="H3" s="94"/>
      <c r="I3" s="94"/>
      <c r="J3" s="94"/>
      <c r="K3" s="94"/>
      <c r="L3" s="94"/>
      <c r="M3" s="94"/>
      <c r="N3" s="94"/>
      <c r="O3" s="94"/>
      <c r="P3" s="94"/>
      <c r="Q3" s="94"/>
      <c r="R3" s="94"/>
    </row>
    <row r="4" spans="1:18" s="62" customFormat="1" ht="15.95" customHeight="1" x14ac:dyDescent="0.25">
      <c r="A4" s="95" t="s">
        <v>1</v>
      </c>
      <c r="B4" s="95"/>
      <c r="C4" s="95"/>
      <c r="D4" s="95"/>
      <c r="E4" s="95"/>
      <c r="F4" s="95"/>
      <c r="G4" s="95"/>
      <c r="H4" s="95"/>
      <c r="I4" s="95"/>
      <c r="J4" s="95"/>
      <c r="K4" s="95"/>
      <c r="L4" s="95"/>
      <c r="M4" s="95"/>
      <c r="N4" s="95"/>
      <c r="O4" s="95"/>
      <c r="P4" s="95"/>
      <c r="Q4" s="95"/>
      <c r="R4" s="95"/>
    </row>
    <row r="5" spans="1:18" s="62" customFormat="1" ht="10.5" customHeight="1" x14ac:dyDescent="0.25">
      <c r="A5" s="63"/>
      <c r="B5" s="77"/>
      <c r="C5" s="77"/>
      <c r="D5" s="77"/>
      <c r="E5" s="77"/>
      <c r="F5" s="77"/>
      <c r="G5" s="77"/>
      <c r="H5" s="77"/>
      <c r="I5" s="77"/>
      <c r="J5" s="77"/>
      <c r="K5" s="77"/>
      <c r="L5" s="77"/>
      <c r="M5" s="77"/>
      <c r="N5" s="77"/>
      <c r="O5" s="77"/>
      <c r="P5" s="77"/>
      <c r="Q5" s="77"/>
      <c r="R5" s="63"/>
    </row>
    <row r="6" spans="1:18" ht="15.95" customHeight="1" x14ac:dyDescent="0.25">
      <c r="A6" s="24"/>
      <c r="B6" s="86">
        <v>2021</v>
      </c>
      <c r="C6" s="87"/>
      <c r="D6" s="87"/>
      <c r="E6" s="88"/>
      <c r="F6" s="86">
        <v>2022</v>
      </c>
      <c r="G6" s="87"/>
      <c r="H6" s="87"/>
      <c r="I6" s="88"/>
      <c r="J6" s="86">
        <v>2023</v>
      </c>
      <c r="K6" s="87"/>
      <c r="L6" s="87"/>
      <c r="M6" s="88"/>
      <c r="N6" s="86">
        <v>2024</v>
      </c>
      <c r="O6" s="87"/>
      <c r="P6" s="87"/>
      <c r="Q6" s="87"/>
      <c r="R6" s="89" t="s">
        <v>29</v>
      </c>
    </row>
    <row r="7" spans="1:18" ht="15.95" customHeight="1" x14ac:dyDescent="0.35">
      <c r="A7" s="2" t="s">
        <v>2</v>
      </c>
      <c r="B7" s="3" t="s">
        <v>3</v>
      </c>
      <c r="C7" s="4" t="s">
        <v>4</v>
      </c>
      <c r="D7" s="4" t="s">
        <v>5</v>
      </c>
      <c r="E7" s="5" t="s">
        <v>6</v>
      </c>
      <c r="F7" s="3" t="s">
        <v>3</v>
      </c>
      <c r="G7" s="4" t="s">
        <v>4</v>
      </c>
      <c r="H7" s="4" t="s">
        <v>5</v>
      </c>
      <c r="I7" s="5" t="s">
        <v>6</v>
      </c>
      <c r="J7" s="3" t="s">
        <v>3</v>
      </c>
      <c r="K7" s="4" t="s">
        <v>4</v>
      </c>
      <c r="L7" s="4" t="s">
        <v>5</v>
      </c>
      <c r="M7" s="5" t="s">
        <v>6</v>
      </c>
      <c r="N7" s="3" t="s">
        <v>3</v>
      </c>
      <c r="O7" s="4" t="s">
        <v>4</v>
      </c>
      <c r="P7" s="4" t="s">
        <v>5</v>
      </c>
      <c r="Q7" s="75" t="s">
        <v>6</v>
      </c>
      <c r="R7" s="90" t="s">
        <v>7</v>
      </c>
    </row>
    <row r="8" spans="1:18" ht="15.95" customHeight="1" x14ac:dyDescent="0.25">
      <c r="A8" s="6"/>
      <c r="B8" s="7" t="s">
        <v>8</v>
      </c>
      <c r="C8" s="8" t="s">
        <v>9</v>
      </c>
      <c r="D8" s="8" t="s">
        <v>10</v>
      </c>
      <c r="E8" s="9" t="s">
        <v>18</v>
      </c>
      <c r="F8" s="7" t="s">
        <v>8</v>
      </c>
      <c r="G8" s="8" t="s">
        <v>9</v>
      </c>
      <c r="H8" s="8" t="s">
        <v>10</v>
      </c>
      <c r="I8" s="9" t="s">
        <v>18</v>
      </c>
      <c r="J8" s="7" t="s">
        <v>8</v>
      </c>
      <c r="K8" s="8" t="s">
        <v>9</v>
      </c>
      <c r="L8" s="8" t="s">
        <v>10</v>
      </c>
      <c r="M8" s="9" t="s">
        <v>18</v>
      </c>
      <c r="N8" s="7" t="s">
        <v>8</v>
      </c>
      <c r="O8" s="8" t="s">
        <v>9</v>
      </c>
      <c r="P8" s="8" t="s">
        <v>10</v>
      </c>
      <c r="Q8" s="76" t="s">
        <v>18</v>
      </c>
      <c r="R8" s="91"/>
    </row>
    <row r="9" spans="1:18" ht="8.1" customHeight="1" x14ac:dyDescent="0.25">
      <c r="A9" s="64"/>
      <c r="B9" s="65"/>
      <c r="C9" s="66"/>
      <c r="D9" s="66"/>
      <c r="E9" s="47"/>
      <c r="F9" s="65"/>
      <c r="G9" s="66"/>
      <c r="H9" s="66"/>
      <c r="I9" s="47"/>
      <c r="J9" s="65"/>
      <c r="K9" s="66"/>
      <c r="L9" s="66"/>
      <c r="M9" s="47"/>
      <c r="N9" s="46"/>
      <c r="O9" s="46"/>
      <c r="P9" s="46"/>
      <c r="Q9" s="46"/>
      <c r="R9" s="10"/>
    </row>
    <row r="10" spans="1:18" s="48" customFormat="1" ht="15.95" customHeight="1" x14ac:dyDescent="0.2">
      <c r="A10" s="32" t="s">
        <v>16</v>
      </c>
      <c r="B10" s="25">
        <v>-681.90200000000004</v>
      </c>
      <c r="C10" s="26">
        <v>-1295.269</v>
      </c>
      <c r="D10" s="26">
        <v>-1456.8989999999999</v>
      </c>
      <c r="E10" s="27">
        <v>2897.8690000000001</v>
      </c>
      <c r="F10" s="36">
        <v>4691.08</v>
      </c>
      <c r="G10" s="37">
        <v>6269.2759999999998</v>
      </c>
      <c r="H10" s="37">
        <v>1876.136</v>
      </c>
      <c r="I10" s="38">
        <v>1840.78</v>
      </c>
      <c r="J10" s="36">
        <v>3817.3670000000002</v>
      </c>
      <c r="K10" s="37">
        <v>1321.673</v>
      </c>
      <c r="L10" s="37">
        <v>-72.225999999999999</v>
      </c>
      <c r="M10" s="38">
        <v>1274.3409999999999</v>
      </c>
      <c r="N10" s="36">
        <v>2860.8</v>
      </c>
      <c r="O10" s="37">
        <v>-464.5</v>
      </c>
      <c r="P10" s="37">
        <v>-1610.5</v>
      </c>
      <c r="Q10" s="37">
        <v>3476</v>
      </c>
      <c r="R10" s="67" t="s">
        <v>36</v>
      </c>
    </row>
    <row r="11" spans="1:18" s="48" customFormat="1" ht="15.95" customHeight="1" x14ac:dyDescent="0.2">
      <c r="A11" s="33" t="s">
        <v>26</v>
      </c>
      <c r="B11" s="39">
        <v>5497.1080000000002</v>
      </c>
      <c r="C11" s="40">
        <v>5022.6139999999996</v>
      </c>
      <c r="D11" s="40">
        <v>5415.6729999999998</v>
      </c>
      <c r="E11" s="41">
        <v>10524.055</v>
      </c>
      <c r="F11" s="39">
        <v>10905.29</v>
      </c>
      <c r="G11" s="40">
        <v>12468.32</v>
      </c>
      <c r="H11" s="40">
        <v>8254.6890000000003</v>
      </c>
      <c r="I11" s="41">
        <v>9474.2710000000006</v>
      </c>
      <c r="J11" s="39">
        <v>11481.759</v>
      </c>
      <c r="K11" s="40">
        <v>8582.7739999999994</v>
      </c>
      <c r="L11" s="40">
        <v>7027.1940000000004</v>
      </c>
      <c r="M11" s="41">
        <v>8836.4500000000007</v>
      </c>
      <c r="N11" s="39">
        <v>10485.9</v>
      </c>
      <c r="O11" s="40">
        <v>7328.8</v>
      </c>
      <c r="P11" s="40">
        <v>5400.8</v>
      </c>
      <c r="Q11" s="40">
        <v>9364.5</v>
      </c>
      <c r="R11" s="44" t="s">
        <v>37</v>
      </c>
    </row>
    <row r="12" spans="1:18" s="48" customFormat="1" ht="15.95" customHeight="1" x14ac:dyDescent="0.2">
      <c r="A12" s="33" t="s">
        <v>27</v>
      </c>
      <c r="B12" s="39">
        <v>-6179.01</v>
      </c>
      <c r="C12" s="40">
        <v>-6317.8829999999998</v>
      </c>
      <c r="D12" s="40">
        <v>-6872.5720000000001</v>
      </c>
      <c r="E12" s="41">
        <v>-7626.1859999999997</v>
      </c>
      <c r="F12" s="39">
        <v>-6214.21</v>
      </c>
      <c r="G12" s="40">
        <v>-6199.0439999999999</v>
      </c>
      <c r="H12" s="40">
        <v>-6378.5529999999999</v>
      </c>
      <c r="I12" s="41">
        <v>-7633.491</v>
      </c>
      <c r="J12" s="39">
        <v>-7664.3919999999998</v>
      </c>
      <c r="K12" s="40">
        <v>-7261.1009999999997</v>
      </c>
      <c r="L12" s="40">
        <v>-7099.42</v>
      </c>
      <c r="M12" s="41">
        <v>-7562.1090000000004</v>
      </c>
      <c r="N12" s="39">
        <v>-7625.1</v>
      </c>
      <c r="O12" s="40">
        <v>-7793.3</v>
      </c>
      <c r="P12" s="40">
        <v>-7011.3</v>
      </c>
      <c r="Q12" s="40">
        <v>-5888.6</v>
      </c>
      <c r="R12" s="44" t="s">
        <v>38</v>
      </c>
    </row>
    <row r="13" spans="1:18" s="48" customFormat="1" ht="15.95" customHeight="1" x14ac:dyDescent="0.2">
      <c r="A13" s="32" t="s">
        <v>30</v>
      </c>
      <c r="B13" s="36">
        <v>41850.457000000002</v>
      </c>
      <c r="C13" s="37">
        <v>43527.364999999998</v>
      </c>
      <c r="D13" s="37">
        <v>44612.262999999999</v>
      </c>
      <c r="E13" s="38">
        <v>46055.141000000003</v>
      </c>
      <c r="F13" s="36">
        <v>47930.133000000002</v>
      </c>
      <c r="G13" s="37">
        <v>48343.938000000002</v>
      </c>
      <c r="H13" s="37">
        <v>46842.262999999999</v>
      </c>
      <c r="I13" s="38">
        <v>50345.762000000002</v>
      </c>
      <c r="J13" s="36">
        <v>51351.805</v>
      </c>
      <c r="K13" s="37">
        <v>52388.404999999999</v>
      </c>
      <c r="L13" s="37">
        <v>52675.173000000003</v>
      </c>
      <c r="M13" s="38">
        <v>54243.955000000002</v>
      </c>
      <c r="N13" s="36">
        <v>53831.1</v>
      </c>
      <c r="O13" s="37">
        <v>55153.2</v>
      </c>
      <c r="P13" s="37">
        <v>54802.400000000001</v>
      </c>
      <c r="Q13" s="37">
        <v>52055.6</v>
      </c>
      <c r="R13" s="67" t="s">
        <v>39</v>
      </c>
    </row>
    <row r="14" spans="1:18" s="48" customFormat="1" ht="15.95" customHeight="1" x14ac:dyDescent="0.2">
      <c r="A14" s="33" t="s">
        <v>11</v>
      </c>
      <c r="B14" s="39">
        <v>61629.574000000001</v>
      </c>
      <c r="C14" s="40">
        <v>64076.563999999998</v>
      </c>
      <c r="D14" s="40">
        <v>65785.197</v>
      </c>
      <c r="E14" s="41">
        <v>67001.452999999994</v>
      </c>
      <c r="F14" s="39">
        <v>69131.212</v>
      </c>
      <c r="G14" s="40">
        <v>70022.062000000005</v>
      </c>
      <c r="H14" s="40">
        <v>69172.525999999998</v>
      </c>
      <c r="I14" s="41">
        <v>73242.774000000005</v>
      </c>
      <c r="J14" s="39">
        <v>74683.107999999993</v>
      </c>
      <c r="K14" s="40">
        <v>76135.933999999994</v>
      </c>
      <c r="L14" s="40">
        <v>76961.618000000002</v>
      </c>
      <c r="M14" s="41">
        <v>79954.351999999999</v>
      </c>
      <c r="N14" s="39">
        <v>78529.3</v>
      </c>
      <c r="O14" s="40">
        <v>80540</v>
      </c>
      <c r="P14" s="40">
        <v>81028.600000000006</v>
      </c>
      <c r="Q14" s="40">
        <v>81403.600000000006</v>
      </c>
      <c r="R14" s="44" t="s">
        <v>32</v>
      </c>
    </row>
    <row r="15" spans="1:18" s="48" customFormat="1" ht="15.95" customHeight="1" x14ac:dyDescent="0.2">
      <c r="A15" s="34" t="s">
        <v>22</v>
      </c>
      <c r="B15" s="39">
        <v>13392.778</v>
      </c>
      <c r="C15" s="40">
        <v>14466.298000000001</v>
      </c>
      <c r="D15" s="40">
        <v>13827.168</v>
      </c>
      <c r="E15" s="41">
        <v>15217.67</v>
      </c>
      <c r="F15" s="39">
        <v>16539.166000000001</v>
      </c>
      <c r="G15" s="40">
        <v>16037.654</v>
      </c>
      <c r="H15" s="40">
        <v>14624.025</v>
      </c>
      <c r="I15" s="41">
        <v>16017.798000000001</v>
      </c>
      <c r="J15" s="39">
        <v>16658.773000000001</v>
      </c>
      <c r="K15" s="40">
        <v>16350.137000000001</v>
      </c>
      <c r="L15" s="40">
        <v>16009.971</v>
      </c>
      <c r="M15" s="41">
        <v>16553.401000000002</v>
      </c>
      <c r="N15" s="39">
        <v>15711.9</v>
      </c>
      <c r="O15" s="40">
        <v>15324.1</v>
      </c>
      <c r="P15" s="40">
        <v>13336.3</v>
      </c>
      <c r="Q15" s="40">
        <v>13608.9</v>
      </c>
      <c r="R15" s="54" t="s">
        <v>46</v>
      </c>
    </row>
    <row r="16" spans="1:18" s="48" customFormat="1" ht="15.95" customHeight="1" x14ac:dyDescent="0.2">
      <c r="A16" s="34" t="s">
        <v>19</v>
      </c>
      <c r="B16" s="39">
        <v>17701.722000000002</v>
      </c>
      <c r="C16" s="40">
        <v>18450.734</v>
      </c>
      <c r="D16" s="40">
        <v>19551.326000000001</v>
      </c>
      <c r="E16" s="41">
        <v>20052.766</v>
      </c>
      <c r="F16" s="39">
        <v>20860.621999999999</v>
      </c>
      <c r="G16" s="40">
        <v>21778.381000000001</v>
      </c>
      <c r="H16" s="40">
        <v>21733.465</v>
      </c>
      <c r="I16" s="41">
        <v>23587.381000000001</v>
      </c>
      <c r="J16" s="39">
        <v>24315.741999999998</v>
      </c>
      <c r="K16" s="40">
        <v>25032.91</v>
      </c>
      <c r="L16" s="40">
        <v>24227.251</v>
      </c>
      <c r="M16" s="41">
        <v>25543.03</v>
      </c>
      <c r="N16" s="39">
        <v>25171.8</v>
      </c>
      <c r="O16" s="40">
        <v>25963.8</v>
      </c>
      <c r="P16" s="40">
        <v>27353.1</v>
      </c>
      <c r="Q16" s="40">
        <v>28475.5</v>
      </c>
      <c r="R16" s="54" t="s">
        <v>33</v>
      </c>
    </row>
    <row r="17" spans="1:18" s="48" customFormat="1" ht="15.95" customHeight="1" x14ac:dyDescent="0.2">
      <c r="A17" s="55" t="s">
        <v>43</v>
      </c>
      <c r="B17" s="39">
        <v>19568.826000000001</v>
      </c>
      <c r="C17" s="40">
        <v>20617.913</v>
      </c>
      <c r="D17" s="40">
        <v>21554.495999999999</v>
      </c>
      <c r="E17" s="41">
        <v>21989.546999999999</v>
      </c>
      <c r="F17" s="39">
        <v>23454.971000000001</v>
      </c>
      <c r="G17" s="40">
        <v>24496.652999999998</v>
      </c>
      <c r="H17" s="40">
        <v>24651.3</v>
      </c>
      <c r="I17" s="41">
        <v>26103.258999999998</v>
      </c>
      <c r="J17" s="39">
        <v>26968.326000000001</v>
      </c>
      <c r="K17" s="40">
        <v>27973.597000000002</v>
      </c>
      <c r="L17" s="40">
        <v>27716.68</v>
      </c>
      <c r="M17" s="41">
        <v>28350.703000000001</v>
      </c>
      <c r="N17" s="39">
        <v>27783.4</v>
      </c>
      <c r="O17" s="40">
        <v>28981.599999999999</v>
      </c>
      <c r="P17" s="40">
        <v>30641.7</v>
      </c>
      <c r="Q17" s="40">
        <v>31466.7</v>
      </c>
      <c r="R17" s="56" t="s">
        <v>34</v>
      </c>
    </row>
    <row r="18" spans="1:18" s="48" customFormat="1" ht="15.95" customHeight="1" x14ac:dyDescent="0.2">
      <c r="A18" s="34" t="s">
        <v>20</v>
      </c>
      <c r="B18" s="39">
        <v>30535.074000000001</v>
      </c>
      <c r="C18" s="40">
        <v>31159.531999999999</v>
      </c>
      <c r="D18" s="40">
        <v>32406.703000000001</v>
      </c>
      <c r="E18" s="41">
        <v>31731.017</v>
      </c>
      <c r="F18" s="39">
        <v>31731.423999999999</v>
      </c>
      <c r="G18" s="40">
        <v>32206.026999999998</v>
      </c>
      <c r="H18" s="40">
        <v>32815.036</v>
      </c>
      <c r="I18" s="41">
        <v>33637.595000000001</v>
      </c>
      <c r="J18" s="39">
        <v>33708.593000000001</v>
      </c>
      <c r="K18" s="40">
        <v>34752.887000000002</v>
      </c>
      <c r="L18" s="40">
        <v>36724.396000000001</v>
      </c>
      <c r="M18" s="41">
        <v>37857.921000000002</v>
      </c>
      <c r="N18" s="39">
        <v>37645.599999999999</v>
      </c>
      <c r="O18" s="40">
        <v>39252.1</v>
      </c>
      <c r="P18" s="40">
        <v>40339.199999999997</v>
      </c>
      <c r="Q18" s="40">
        <v>39319.199999999997</v>
      </c>
      <c r="R18" s="54" t="s">
        <v>21</v>
      </c>
    </row>
    <row r="19" spans="1:18" s="48" customFormat="1" ht="15.95" customHeight="1" x14ac:dyDescent="0.2">
      <c r="A19" s="55" t="s">
        <v>31</v>
      </c>
      <c r="B19" s="39">
        <v>629.54899999999998</v>
      </c>
      <c r="C19" s="40">
        <v>699.87900000000002</v>
      </c>
      <c r="D19" s="40">
        <v>670.70100000000002</v>
      </c>
      <c r="E19" s="41">
        <v>629.97500000000002</v>
      </c>
      <c r="F19" s="39">
        <v>616.02300000000002</v>
      </c>
      <c r="G19" s="40">
        <v>627.03399999999999</v>
      </c>
      <c r="H19" s="40">
        <v>662.04899999999998</v>
      </c>
      <c r="I19" s="41">
        <v>791.33100000000002</v>
      </c>
      <c r="J19" s="39">
        <v>737.92600000000004</v>
      </c>
      <c r="K19" s="40">
        <v>740.50099999999998</v>
      </c>
      <c r="L19" s="40">
        <v>680.37300000000005</v>
      </c>
      <c r="M19" s="41">
        <v>631.37199999999996</v>
      </c>
      <c r="N19" s="39">
        <v>621.5</v>
      </c>
      <c r="O19" s="40">
        <v>544.5</v>
      </c>
      <c r="P19" s="40">
        <v>493.4</v>
      </c>
      <c r="Q19" s="40">
        <v>473</v>
      </c>
      <c r="R19" s="56" t="s">
        <v>12</v>
      </c>
    </row>
    <row r="20" spans="1:18" s="48" customFormat="1" ht="15.95" customHeight="1" x14ac:dyDescent="0.2">
      <c r="A20" s="55" t="s">
        <v>41</v>
      </c>
      <c r="B20" s="39">
        <v>2448.6550000000002</v>
      </c>
      <c r="C20" s="40">
        <v>2468.0680000000002</v>
      </c>
      <c r="D20" s="40">
        <v>2757.5230000000001</v>
      </c>
      <c r="E20" s="41">
        <v>2952.9580000000001</v>
      </c>
      <c r="F20" s="39">
        <v>3215.192</v>
      </c>
      <c r="G20" s="40">
        <v>3308.39</v>
      </c>
      <c r="H20" s="40">
        <v>3489.7779999999998</v>
      </c>
      <c r="I20" s="41">
        <v>3422.0819999999999</v>
      </c>
      <c r="J20" s="39">
        <v>3409.3939999999998</v>
      </c>
      <c r="K20" s="40">
        <v>3840.355</v>
      </c>
      <c r="L20" s="40">
        <v>4643.5119999999997</v>
      </c>
      <c r="M20" s="41">
        <v>5064.5969999999998</v>
      </c>
      <c r="N20" s="39">
        <v>4976.6000000000004</v>
      </c>
      <c r="O20" s="40">
        <v>5198.3999999999996</v>
      </c>
      <c r="P20" s="40">
        <v>5149.8</v>
      </c>
      <c r="Q20" s="40">
        <v>4569.2</v>
      </c>
      <c r="R20" s="56" t="s">
        <v>13</v>
      </c>
    </row>
    <row r="21" spans="1:18" s="48" customFormat="1" ht="15.95" customHeight="1" x14ac:dyDescent="0.2">
      <c r="A21" s="55" t="s">
        <v>28</v>
      </c>
      <c r="B21" s="39">
        <v>27456.87</v>
      </c>
      <c r="C21" s="40">
        <v>27991.584999999999</v>
      </c>
      <c r="D21" s="40">
        <v>28978.478999999999</v>
      </c>
      <c r="E21" s="41">
        <v>28148.083999999999</v>
      </c>
      <c r="F21" s="39">
        <v>27900.208999999999</v>
      </c>
      <c r="G21" s="40">
        <v>28270.602999999999</v>
      </c>
      <c r="H21" s="40">
        <v>28663.208999999999</v>
      </c>
      <c r="I21" s="41">
        <v>29424.182000000001</v>
      </c>
      <c r="J21" s="39">
        <v>29561.273000000001</v>
      </c>
      <c r="K21" s="40">
        <v>30172.030999999999</v>
      </c>
      <c r="L21" s="40">
        <v>31400.510999999999</v>
      </c>
      <c r="M21" s="41">
        <v>32161.952000000001</v>
      </c>
      <c r="N21" s="39">
        <v>32047.5</v>
      </c>
      <c r="O21" s="40">
        <v>33509.199999999997</v>
      </c>
      <c r="P21" s="40">
        <v>34696</v>
      </c>
      <c r="Q21" s="40">
        <v>34276.9</v>
      </c>
      <c r="R21" s="56" t="s">
        <v>44</v>
      </c>
    </row>
    <row r="22" spans="1:18" s="48" customFormat="1" ht="15.95" customHeight="1" x14ac:dyDescent="0.2">
      <c r="A22" s="33" t="s">
        <v>14</v>
      </c>
      <c r="B22" s="39">
        <v>-19779.116999999998</v>
      </c>
      <c r="C22" s="40">
        <v>-20549.199000000001</v>
      </c>
      <c r="D22" s="40">
        <v>-21172.934000000001</v>
      </c>
      <c r="E22" s="41">
        <v>-20946.312000000002</v>
      </c>
      <c r="F22" s="39">
        <v>-21201.079000000002</v>
      </c>
      <c r="G22" s="40">
        <v>-21678.124</v>
      </c>
      <c r="H22" s="40">
        <v>-22330.262999999999</v>
      </c>
      <c r="I22" s="41">
        <v>-22897.011999999999</v>
      </c>
      <c r="J22" s="39">
        <v>-23331.303</v>
      </c>
      <c r="K22" s="40">
        <v>-23747.528999999999</v>
      </c>
      <c r="L22" s="40">
        <v>-24286.445</v>
      </c>
      <c r="M22" s="41">
        <v>-25710.397000000001</v>
      </c>
      <c r="N22" s="39">
        <v>-24698.2</v>
      </c>
      <c r="O22" s="40">
        <v>-25386.799999999999</v>
      </c>
      <c r="P22" s="40">
        <v>-26226.2</v>
      </c>
      <c r="Q22" s="40">
        <v>-29347.9</v>
      </c>
      <c r="R22" s="44" t="s">
        <v>35</v>
      </c>
    </row>
    <row r="23" spans="1:18" s="48" customFormat="1" ht="31.5" customHeight="1" x14ac:dyDescent="0.2">
      <c r="A23" s="68" t="s">
        <v>42</v>
      </c>
      <c r="B23" s="79">
        <v>41168.555</v>
      </c>
      <c r="C23" s="80">
        <v>42232.095999999998</v>
      </c>
      <c r="D23" s="80">
        <v>43155.363999999994</v>
      </c>
      <c r="E23" s="81">
        <v>48953.010000000009</v>
      </c>
      <c r="F23" s="79">
        <v>52621.213000000003</v>
      </c>
      <c r="G23" s="80">
        <v>54613.214</v>
      </c>
      <c r="H23" s="80">
        <v>48718.399000000005</v>
      </c>
      <c r="I23" s="81">
        <v>52186.542000000001</v>
      </c>
      <c r="J23" s="79">
        <v>53710.078000000001</v>
      </c>
      <c r="K23" s="80">
        <v>53710.078000000001</v>
      </c>
      <c r="L23" s="80">
        <v>52602.947</v>
      </c>
      <c r="M23" s="81">
        <v>55518.296000000002</v>
      </c>
      <c r="N23" s="79">
        <v>56692</v>
      </c>
      <c r="O23" s="80">
        <v>54688.7</v>
      </c>
      <c r="P23" s="80">
        <v>53191.9</v>
      </c>
      <c r="Q23" s="80">
        <v>55531.6</v>
      </c>
      <c r="R23" s="69" t="s">
        <v>45</v>
      </c>
    </row>
    <row r="24" spans="1:18" s="48" customFormat="1" ht="8.1" customHeight="1" x14ac:dyDescent="0.2">
      <c r="A24" s="49" t="s">
        <v>25</v>
      </c>
      <c r="B24" s="58"/>
      <c r="C24" s="59"/>
      <c r="D24" s="59"/>
      <c r="E24" s="60"/>
      <c r="F24" s="58"/>
      <c r="G24" s="59"/>
      <c r="H24" s="59"/>
      <c r="I24" s="60"/>
      <c r="J24" s="58"/>
      <c r="K24" s="59"/>
      <c r="L24" s="59"/>
      <c r="M24" s="60"/>
      <c r="N24" s="59"/>
      <c r="O24" s="59"/>
      <c r="P24" s="59"/>
      <c r="Q24" s="59"/>
      <c r="R24" s="61" t="s">
        <v>25</v>
      </c>
    </row>
    <row r="25" spans="1:18" s="48" customFormat="1" ht="8.1" customHeight="1" x14ac:dyDescent="0.2">
      <c r="A25" s="50" t="s">
        <v>25</v>
      </c>
      <c r="B25" s="12"/>
      <c r="C25" s="13"/>
      <c r="D25" s="13"/>
      <c r="E25" s="14"/>
      <c r="F25" s="12"/>
      <c r="G25" s="13"/>
      <c r="H25" s="13"/>
      <c r="I25" s="14"/>
      <c r="J25" s="12"/>
      <c r="K25" s="13"/>
      <c r="L25" s="13"/>
      <c r="M25" s="14"/>
      <c r="N25" s="13"/>
      <c r="O25" s="13"/>
      <c r="P25" s="13"/>
      <c r="Q25" s="13"/>
      <c r="R25" s="35" t="s">
        <v>25</v>
      </c>
    </row>
    <row r="26" spans="1:18" s="48" customFormat="1" ht="15.95" customHeight="1" x14ac:dyDescent="0.25">
      <c r="A26" s="43" t="s">
        <v>15</v>
      </c>
      <c r="B26" s="82"/>
      <c r="C26" s="78"/>
      <c r="D26" s="78"/>
      <c r="E26" s="83"/>
      <c r="F26" s="78"/>
      <c r="G26" s="78"/>
      <c r="H26" s="78"/>
      <c r="I26" s="78"/>
      <c r="J26" s="82"/>
      <c r="K26" s="78"/>
      <c r="L26" s="78"/>
      <c r="M26" s="83"/>
      <c r="R26" s="15" t="s">
        <v>47</v>
      </c>
    </row>
    <row r="27" spans="1:18" s="48" customFormat="1" ht="15.95" customHeight="1" x14ac:dyDescent="0.2">
      <c r="A27" s="32" t="s">
        <v>16</v>
      </c>
      <c r="B27" s="25">
        <v>-128.3891149982681</v>
      </c>
      <c r="C27" s="26">
        <v>-194.33729613355678</v>
      </c>
      <c r="D27" s="26">
        <v>-58.082786050871519</v>
      </c>
      <c r="E27" s="27">
        <v>-254.21571272645807</v>
      </c>
      <c r="F27" s="25">
        <v>-787.94049584837717</v>
      </c>
      <c r="G27" s="26">
        <v>-584.0134365911639</v>
      </c>
      <c r="H27" s="26">
        <v>-228.77598241195858</v>
      </c>
      <c r="I27" s="27">
        <v>-36.481911363143112</v>
      </c>
      <c r="J27" s="25">
        <v>-18.624986143915699</v>
      </c>
      <c r="K27" s="26">
        <v>-78.918251485498502</v>
      </c>
      <c r="L27" s="26">
        <v>-103.84972091575401</v>
      </c>
      <c r="M27" s="27">
        <v>-30.771683742761301</v>
      </c>
      <c r="N27" s="25">
        <f>(N10-J10)/J10*100</f>
        <v>-25.058292797103341</v>
      </c>
      <c r="O27" s="26">
        <f t="shared" ref="O27:Q27" si="0">(O10-K10)/K10*100</f>
        <v>-135.14485050386895</v>
      </c>
      <c r="P27" s="26">
        <f t="shared" si="0"/>
        <v>2129.8064408938608</v>
      </c>
      <c r="Q27" s="26">
        <f t="shared" si="0"/>
        <v>172.76843482239056</v>
      </c>
      <c r="R27" s="15" t="s">
        <v>36</v>
      </c>
    </row>
    <row r="28" spans="1:18" s="48" customFormat="1" ht="15.95" customHeight="1" x14ac:dyDescent="0.2">
      <c r="A28" s="32" t="s">
        <v>30</v>
      </c>
      <c r="B28" s="25">
        <v>30.859018004628467</v>
      </c>
      <c r="C28" s="26">
        <v>30.896302411196896</v>
      </c>
      <c r="D28" s="26">
        <v>19.720654704851491</v>
      </c>
      <c r="E28" s="27">
        <v>15.515860827177818</v>
      </c>
      <c r="F28" s="25">
        <v>14.527143634297701</v>
      </c>
      <c r="G28" s="26">
        <v>11.065620443599133</v>
      </c>
      <c r="H28" s="26">
        <v>4.9986256021130604</v>
      </c>
      <c r="I28" s="27">
        <v>9.3165060552089063</v>
      </c>
      <c r="J28" s="25">
        <v>7.1388744112185298</v>
      </c>
      <c r="K28" s="26">
        <v>8.3660271945574394</v>
      </c>
      <c r="L28" s="26">
        <v>12.452237843419301</v>
      </c>
      <c r="M28" s="27">
        <v>7.7428423866143898</v>
      </c>
      <c r="N28" s="25">
        <f>(N13-J13)/J13*100</f>
        <v>4.828058137391662</v>
      </c>
      <c r="O28" s="26">
        <f t="shared" ref="O28:Q28" si="1">(O13-K13)/K13*100</f>
        <v>5.2774941325279867</v>
      </c>
      <c r="P28" s="26">
        <f t="shared" si="1"/>
        <v>4.0383863570794514</v>
      </c>
      <c r="Q28" s="26">
        <f t="shared" si="1"/>
        <v>-4.0342836358447745</v>
      </c>
      <c r="R28" s="15" t="s">
        <v>39</v>
      </c>
    </row>
    <row r="29" spans="1:18" s="48" customFormat="1" ht="15.95" customHeight="1" x14ac:dyDescent="0.2">
      <c r="A29" s="33" t="s">
        <v>22</v>
      </c>
      <c r="B29" s="28">
        <v>17.823975997398733</v>
      </c>
      <c r="C29" s="29">
        <v>16.484251437825371</v>
      </c>
      <c r="D29" s="29">
        <v>31.932243354257572</v>
      </c>
      <c r="E29" s="30">
        <v>14.228968518119833</v>
      </c>
      <c r="F29" s="28">
        <v>23.493169228968004</v>
      </c>
      <c r="G29" s="29">
        <v>10.862184644613283</v>
      </c>
      <c r="H29" s="29">
        <v>5.762980532239137</v>
      </c>
      <c r="I29" s="30">
        <v>5.2578877055423412</v>
      </c>
      <c r="J29" s="28">
        <v>0.72317431241698404</v>
      </c>
      <c r="K29" s="29">
        <v>1.94843335565164</v>
      </c>
      <c r="L29" s="29">
        <v>9.4771856585310807</v>
      </c>
      <c r="M29" s="30">
        <v>3.3437991913744902</v>
      </c>
      <c r="N29" s="28">
        <f>(N15-J15)/J15*100</f>
        <v>-5.6839300229374716</v>
      </c>
      <c r="O29" s="29">
        <f t="shared" ref="O29:Q29" si="2">(O15-K15)/K15*100</f>
        <v>-6.275403074604208</v>
      </c>
      <c r="P29" s="29">
        <f t="shared" si="2"/>
        <v>-16.700036496006149</v>
      </c>
      <c r="Q29" s="29">
        <f t="shared" si="2"/>
        <v>-17.787891442972967</v>
      </c>
      <c r="R29" s="44" t="s">
        <v>46</v>
      </c>
    </row>
    <row r="30" spans="1:18" s="48" customFormat="1" ht="15.95" customHeight="1" x14ac:dyDescent="0.2">
      <c r="A30" s="33" t="s">
        <v>19</v>
      </c>
      <c r="B30" s="28">
        <v>70.398072783124974</v>
      </c>
      <c r="C30" s="29">
        <v>75.420204998639946</v>
      </c>
      <c r="D30" s="29">
        <v>23.035017040924721</v>
      </c>
      <c r="E30" s="30">
        <v>21.859791846000199</v>
      </c>
      <c r="F30" s="28">
        <v>17.845156533358697</v>
      </c>
      <c r="G30" s="29">
        <v>18.035309597981318</v>
      </c>
      <c r="H30" s="29">
        <v>11.161079304800104</v>
      </c>
      <c r="I30" s="30">
        <v>17.626570818210308</v>
      </c>
      <c r="J30" s="28">
        <v>16.5628810109306</v>
      </c>
      <c r="K30" s="29">
        <v>14.9438518868781</v>
      </c>
      <c r="L30" s="29">
        <v>11.4744059449333</v>
      </c>
      <c r="M30" s="30">
        <v>8.2910815745080004</v>
      </c>
      <c r="N30" s="28">
        <f>(N16-J16)/J16*100</f>
        <v>3.5205917220210714</v>
      </c>
      <c r="O30" s="29">
        <f t="shared" ref="O30:Q30" si="3">(O16-K16)/K16*100</f>
        <v>3.7186647497234619</v>
      </c>
      <c r="P30" s="29">
        <f t="shared" si="3"/>
        <v>12.902202565202295</v>
      </c>
      <c r="Q30" s="29">
        <f t="shared" si="3"/>
        <v>11.480509555835786</v>
      </c>
      <c r="R30" s="44" t="s">
        <v>33</v>
      </c>
    </row>
    <row r="31" spans="1:18" s="48" customFormat="1" ht="15.95" customHeight="1" x14ac:dyDescent="0.2">
      <c r="A31" s="34" t="s">
        <v>43</v>
      </c>
      <c r="B31" s="28">
        <v>55.459419678148734</v>
      </c>
      <c r="C31" s="29">
        <v>58.218304579885952</v>
      </c>
      <c r="D31" s="29">
        <v>21.201714846154275</v>
      </c>
      <c r="E31" s="30">
        <v>20.766936923266254</v>
      </c>
      <c r="F31" s="28">
        <v>19.858856121465827</v>
      </c>
      <c r="G31" s="29">
        <v>18.812476316104366</v>
      </c>
      <c r="H31" s="29">
        <v>14.367322715409369</v>
      </c>
      <c r="I31" s="30">
        <v>18.707579560415688</v>
      </c>
      <c r="J31" s="28">
        <v>14.979148769785301</v>
      </c>
      <c r="K31" s="29">
        <v>14.193547175608</v>
      </c>
      <c r="L31" s="29">
        <v>12.4349628619991</v>
      </c>
      <c r="M31" s="30">
        <v>8.6098214786130693</v>
      </c>
      <c r="N31" s="28">
        <f>(N17-J17)/J17*100</f>
        <v>3.0223381310356472</v>
      </c>
      <c r="O31" s="29">
        <f t="shared" ref="O31:Q31" si="4">(O17-K17)/K17*100</f>
        <v>3.6034085999022469</v>
      </c>
      <c r="P31" s="29">
        <f t="shared" si="4"/>
        <v>10.55328415957467</v>
      </c>
      <c r="Q31" s="29">
        <f t="shared" si="4"/>
        <v>10.990898532569013</v>
      </c>
      <c r="R31" s="54" t="s">
        <v>34</v>
      </c>
    </row>
    <row r="32" spans="1:18" s="48" customFormat="1" ht="15.95" customHeight="1" x14ac:dyDescent="0.2">
      <c r="A32" s="33" t="s">
        <v>20</v>
      </c>
      <c r="B32" s="28">
        <v>10.468655124170301</v>
      </c>
      <c r="C32" s="29">
        <v>10.328050301282254</v>
      </c>
      <c r="D32" s="29">
        <v>10.320852554779925</v>
      </c>
      <c r="E32" s="30">
        <v>6.1327227937250983</v>
      </c>
      <c r="F32" s="28">
        <v>3.9179534983278641</v>
      </c>
      <c r="G32" s="29">
        <v>3.3585067965719251</v>
      </c>
      <c r="H32" s="29">
        <v>1.2600263593615102</v>
      </c>
      <c r="I32" s="30">
        <v>5.9734612351063143</v>
      </c>
      <c r="J32" s="28">
        <v>6.2309494840193702</v>
      </c>
      <c r="K32" s="29">
        <v>7.9080229299938001</v>
      </c>
      <c r="L32" s="29">
        <v>11.9133192479204</v>
      </c>
      <c r="M32" s="30">
        <v>12.5464558331236</v>
      </c>
      <c r="N32" s="28">
        <f>(N18-J18)/J18*100</f>
        <v>11.67953524491514</v>
      </c>
      <c r="O32" s="29">
        <f t="shared" ref="O32:Q32" si="5">(O20-K20)/K20*100</f>
        <v>35.362486020172604</v>
      </c>
      <c r="P32" s="29">
        <f t="shared" si="5"/>
        <v>10.903126771288639</v>
      </c>
      <c r="Q32" s="29">
        <f t="shared" si="5"/>
        <v>-9.781568010248396</v>
      </c>
      <c r="R32" s="44" t="s">
        <v>21</v>
      </c>
    </row>
    <row r="33" spans="1:20" s="48" customFormat="1" ht="15.95" customHeight="1" x14ac:dyDescent="0.2">
      <c r="A33" s="34" t="s">
        <v>31</v>
      </c>
      <c r="B33" s="28">
        <v>-17.080594813165973</v>
      </c>
      <c r="C33" s="29">
        <v>-2.8110514607247006</v>
      </c>
      <c r="D33" s="29">
        <v>-1.7128060387843314</v>
      </c>
      <c r="E33" s="30">
        <v>-6.8288303744150731</v>
      </c>
      <c r="F33" s="28">
        <v>-2.1485221960482748</v>
      </c>
      <c r="G33" s="29">
        <v>-10.40822770793236</v>
      </c>
      <c r="H33" s="29">
        <v>-1.2899936037071735</v>
      </c>
      <c r="I33" s="30">
        <v>25.613238620580205</v>
      </c>
      <c r="J33" s="28">
        <v>19.788709187806301</v>
      </c>
      <c r="K33" s="29">
        <v>18.095828934316099</v>
      </c>
      <c r="L33" s="29">
        <v>2.7677709655931899</v>
      </c>
      <c r="M33" s="30">
        <v>-20.213918069682599</v>
      </c>
      <c r="N33" s="28">
        <f t="shared" ref="N33:N35" si="6">(N19-J19)/J19*100</f>
        <v>-15.777462780820848</v>
      </c>
      <c r="O33" s="29">
        <f t="shared" ref="O33:O35" si="7">(O19-K19)/K19*100</f>
        <v>-26.468701595271305</v>
      </c>
      <c r="P33" s="29">
        <f t="shared" ref="P33:P35" si="8">(P19-L19)/L19*100</f>
        <v>-27.48095529951954</v>
      </c>
      <c r="Q33" s="29">
        <f t="shared" ref="Q33:Q35" si="9">(Q19-M19)/M19*100</f>
        <v>-25.083785787142915</v>
      </c>
      <c r="R33" s="54" t="s">
        <v>12</v>
      </c>
    </row>
    <row r="34" spans="1:20" s="48" customFormat="1" ht="15.95" customHeight="1" x14ac:dyDescent="0.2">
      <c r="A34" s="34" t="s">
        <v>41</v>
      </c>
      <c r="B34" s="28">
        <v>41.63686802489088</v>
      </c>
      <c r="C34" s="29">
        <v>36.927982193195177</v>
      </c>
      <c r="D34" s="29">
        <v>41.34721352247135</v>
      </c>
      <c r="E34" s="30">
        <v>43.098373414047209</v>
      </c>
      <c r="F34" s="28">
        <v>31.304409972005033</v>
      </c>
      <c r="G34" s="29">
        <v>34.047765296580138</v>
      </c>
      <c r="H34" s="29">
        <v>26.55481024092996</v>
      </c>
      <c r="I34" s="30">
        <v>15.88698518570193</v>
      </c>
      <c r="J34" s="28">
        <v>6.0401369498306696</v>
      </c>
      <c r="K34" s="29">
        <v>16.079271186286999</v>
      </c>
      <c r="L34" s="29">
        <v>33.060383783725001</v>
      </c>
      <c r="M34" s="30">
        <v>47.997534834057198</v>
      </c>
      <c r="N34" s="28">
        <f t="shared" si="6"/>
        <v>45.967289201541405</v>
      </c>
      <c r="O34" s="29">
        <f t="shared" si="7"/>
        <v>35.362486020172604</v>
      </c>
      <c r="P34" s="29">
        <f t="shared" si="8"/>
        <v>10.903126771288639</v>
      </c>
      <c r="Q34" s="29">
        <f t="shared" si="9"/>
        <v>-9.781568010248396</v>
      </c>
      <c r="R34" s="54" t="s">
        <v>13</v>
      </c>
    </row>
    <row r="35" spans="1:20" s="48" customFormat="1" ht="15.95" customHeight="1" x14ac:dyDescent="0.2">
      <c r="A35" s="34" t="s">
        <v>28</v>
      </c>
      <c r="B35" s="28">
        <v>9.157966164011011</v>
      </c>
      <c r="C35" s="29">
        <v>8.8318055169507517</v>
      </c>
      <c r="D35" s="29">
        <v>8.3644588997805016</v>
      </c>
      <c r="E35" s="30">
        <v>3.6465866671664626</v>
      </c>
      <c r="F35" s="28">
        <v>1.6146742145044302</v>
      </c>
      <c r="G35" s="29">
        <v>0.99679242886747677</v>
      </c>
      <c r="H35" s="29">
        <v>-1.0879452989923877</v>
      </c>
      <c r="I35" s="30">
        <v>4.4939008992583629</v>
      </c>
      <c r="J35" s="28">
        <v>5.9535898100261502</v>
      </c>
      <c r="K35" s="29">
        <v>6.7258133828981004</v>
      </c>
      <c r="L35" s="29">
        <v>9.5498797779411095</v>
      </c>
      <c r="M35" s="30">
        <v>9.3044897560788602</v>
      </c>
      <c r="N35" s="28">
        <f t="shared" si="6"/>
        <v>8.4104192671269562</v>
      </c>
      <c r="O35" s="29">
        <f t="shared" si="7"/>
        <v>11.060471865483628</v>
      </c>
      <c r="P35" s="29">
        <f t="shared" si="8"/>
        <v>10.495017103384088</v>
      </c>
      <c r="Q35" s="29">
        <f t="shared" si="9"/>
        <v>6.5759317096176257</v>
      </c>
      <c r="R35" s="54" t="s">
        <v>44</v>
      </c>
    </row>
    <row r="36" spans="1:20" s="48" customFormat="1" ht="8.1" customHeight="1" x14ac:dyDescent="0.2">
      <c r="A36" s="51" t="s">
        <v>25</v>
      </c>
      <c r="B36" s="16"/>
      <c r="C36" s="17"/>
      <c r="D36" s="17"/>
      <c r="E36" s="18"/>
      <c r="F36" s="16"/>
      <c r="G36" s="17"/>
      <c r="H36" s="17"/>
      <c r="I36" s="18"/>
      <c r="J36" s="16"/>
      <c r="K36" s="17"/>
      <c r="L36" s="17"/>
      <c r="M36" s="18"/>
      <c r="N36" s="17"/>
      <c r="O36" s="17"/>
      <c r="P36" s="17"/>
      <c r="Q36" s="17"/>
      <c r="R36" s="70" t="s">
        <v>25</v>
      </c>
    </row>
    <row r="37" spans="1:20" s="48" customFormat="1" ht="8.1" customHeight="1" x14ac:dyDescent="0.2">
      <c r="A37" s="52" t="s">
        <v>25</v>
      </c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71" t="s">
        <v>25</v>
      </c>
    </row>
    <row r="38" spans="1:20" s="57" customFormat="1" ht="15.95" customHeight="1" x14ac:dyDescent="0.2">
      <c r="A38" s="19" t="s">
        <v>24</v>
      </c>
      <c r="R38" s="20" t="s">
        <v>23</v>
      </c>
      <c r="T38" s="48"/>
    </row>
    <row r="39" spans="1:20" s="57" customFormat="1" ht="15.95" customHeight="1" x14ac:dyDescent="0.2">
      <c r="A39" s="21" t="s">
        <v>48</v>
      </c>
      <c r="R39" s="31" t="s">
        <v>49</v>
      </c>
      <c r="T39" s="48"/>
    </row>
    <row r="40" spans="1:20" s="57" customFormat="1" ht="12.75" customHeight="1" x14ac:dyDescent="0.2">
      <c r="A40" s="21" t="s">
        <v>50</v>
      </c>
      <c r="R40" s="42" t="s">
        <v>25</v>
      </c>
      <c r="T40" s="48"/>
    </row>
    <row r="41" spans="1:20" s="57" customFormat="1" ht="15.95" customHeight="1" x14ac:dyDescent="0.2">
      <c r="A41" s="21" t="s">
        <v>17</v>
      </c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3" t="s">
        <v>40</v>
      </c>
      <c r="T41" s="48"/>
    </row>
    <row r="42" spans="1:20" s="57" customFormat="1" ht="16.5" customHeight="1" x14ac:dyDescent="0.2"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2"/>
    </row>
    <row r="43" spans="1:20" s="57" customFormat="1" ht="12.75" customHeight="1" x14ac:dyDescent="0.25">
      <c r="B43" s="85"/>
      <c r="C43" s="85"/>
      <c r="D43" s="85"/>
      <c r="E43" s="85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</row>
    <row r="44" spans="1:20" s="57" customFormat="1" ht="12" customHeight="1" x14ac:dyDescent="0.25">
      <c r="A44" s="72"/>
      <c r="B44" s="85"/>
      <c r="C44" s="85"/>
      <c r="D44" s="85"/>
      <c r="E44" s="85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45"/>
    </row>
    <row r="45" spans="1:20" x14ac:dyDescent="0.25">
      <c r="A45" s="48"/>
      <c r="B45" s="85"/>
      <c r="C45" s="85"/>
      <c r="D45" s="85"/>
      <c r="E45" s="85"/>
      <c r="F45" s="85"/>
      <c r="G45" s="85"/>
      <c r="H45" s="85"/>
      <c r="I45" s="85"/>
      <c r="J45" s="85"/>
      <c r="K45" s="85"/>
      <c r="L45" s="85"/>
      <c r="M45" s="85"/>
      <c r="N45" s="85"/>
      <c r="O45" s="85"/>
      <c r="P45" s="85"/>
      <c r="Q45" s="85"/>
      <c r="R45" s="45"/>
    </row>
    <row r="46" spans="1:20" x14ac:dyDescent="0.25">
      <c r="A46" s="48"/>
      <c r="B46" s="85"/>
      <c r="C46" s="85"/>
      <c r="D46" s="85"/>
      <c r="E46" s="85"/>
      <c r="F46" s="85"/>
      <c r="G46" s="85"/>
      <c r="H46" s="85"/>
      <c r="I46" s="85"/>
      <c r="J46" s="85"/>
      <c r="K46" s="85"/>
      <c r="L46" s="85"/>
      <c r="M46" s="85"/>
      <c r="N46" s="85"/>
      <c r="O46" s="85"/>
      <c r="P46" s="85"/>
      <c r="Q46" s="85"/>
      <c r="R46" s="45"/>
    </row>
    <row r="47" spans="1:20" x14ac:dyDescent="0.25">
      <c r="A47" s="48"/>
      <c r="B47" s="85"/>
      <c r="C47" s="85"/>
      <c r="D47" s="85"/>
      <c r="E47" s="85"/>
      <c r="F47" s="85"/>
      <c r="G47" s="85"/>
      <c r="H47" s="85"/>
      <c r="I47" s="85"/>
      <c r="J47" s="85"/>
      <c r="K47" s="85"/>
      <c r="L47" s="85"/>
      <c r="M47" s="85"/>
      <c r="N47" s="85"/>
      <c r="O47" s="85"/>
      <c r="P47" s="85"/>
      <c r="Q47" s="85"/>
      <c r="R47" s="45"/>
    </row>
    <row r="48" spans="1:20" x14ac:dyDescent="0.25">
      <c r="A48" s="48"/>
      <c r="B48" s="85"/>
      <c r="C48" s="85"/>
      <c r="D48" s="85"/>
      <c r="E48" s="85"/>
      <c r="F48" s="85"/>
      <c r="G48" s="85"/>
      <c r="H48" s="85"/>
      <c r="I48" s="85"/>
      <c r="J48" s="85"/>
      <c r="K48" s="85"/>
      <c r="L48" s="85"/>
      <c r="M48" s="85"/>
      <c r="N48" s="85"/>
      <c r="O48" s="85"/>
      <c r="P48" s="85"/>
      <c r="Q48" s="85"/>
      <c r="R48" s="45"/>
    </row>
    <row r="49" spans="1:18" x14ac:dyDescent="0.25">
      <c r="A49" s="48"/>
      <c r="B49" s="85"/>
      <c r="C49" s="85"/>
      <c r="D49" s="85"/>
      <c r="E49" s="85"/>
      <c r="F49" s="85"/>
      <c r="G49" s="85"/>
      <c r="H49" s="85"/>
      <c r="I49" s="85"/>
      <c r="J49" s="85"/>
      <c r="K49" s="85"/>
      <c r="L49" s="85"/>
      <c r="M49" s="85"/>
      <c r="N49" s="85"/>
      <c r="O49" s="85"/>
      <c r="P49" s="85"/>
      <c r="Q49" s="85"/>
      <c r="R49" s="45"/>
    </row>
    <row r="50" spans="1:18" x14ac:dyDescent="0.25">
      <c r="A50" s="48"/>
      <c r="B50" s="85"/>
      <c r="C50" s="85"/>
      <c r="D50" s="85"/>
      <c r="E50" s="85"/>
      <c r="F50" s="85"/>
      <c r="G50" s="85"/>
      <c r="H50" s="85"/>
      <c r="I50" s="85"/>
      <c r="J50" s="85"/>
      <c r="K50" s="85"/>
      <c r="L50" s="85"/>
      <c r="M50" s="85"/>
      <c r="N50" s="85"/>
      <c r="O50" s="85"/>
      <c r="P50" s="85"/>
      <c r="Q50" s="85"/>
      <c r="R50" s="45"/>
    </row>
    <row r="51" spans="1:18" ht="15" customHeight="1" x14ac:dyDescent="0.25">
      <c r="A51" s="48"/>
      <c r="B51" s="85"/>
      <c r="C51" s="85"/>
      <c r="D51" s="85"/>
      <c r="E51" s="85"/>
      <c r="F51" s="85"/>
      <c r="G51" s="85"/>
      <c r="H51" s="85"/>
      <c r="I51" s="85"/>
      <c r="J51" s="85"/>
      <c r="K51" s="85"/>
      <c r="L51" s="85"/>
      <c r="M51" s="85"/>
      <c r="N51" s="85"/>
      <c r="O51" s="85"/>
      <c r="P51" s="85"/>
      <c r="Q51" s="85"/>
      <c r="R51" s="45"/>
    </row>
    <row r="52" spans="1:18" x14ac:dyDescent="0.25">
      <c r="A52" s="48"/>
      <c r="B52" s="85"/>
      <c r="C52" s="85"/>
      <c r="D52" s="85"/>
      <c r="E52" s="85"/>
      <c r="F52" s="85"/>
      <c r="G52" s="85"/>
      <c r="H52" s="85"/>
      <c r="I52" s="85"/>
      <c r="J52" s="85"/>
      <c r="K52" s="85"/>
      <c r="L52" s="85"/>
      <c r="M52" s="85"/>
      <c r="N52" s="85"/>
      <c r="O52" s="85"/>
      <c r="P52" s="85"/>
      <c r="Q52" s="85"/>
      <c r="R52" s="45"/>
    </row>
    <row r="53" spans="1:18" x14ac:dyDescent="0.25">
      <c r="A53" s="48"/>
      <c r="B53" s="85"/>
      <c r="C53" s="85"/>
      <c r="D53" s="85"/>
      <c r="E53" s="85"/>
      <c r="F53" s="85"/>
      <c r="G53" s="85"/>
      <c r="H53" s="85"/>
      <c r="I53" s="85"/>
      <c r="J53" s="85"/>
      <c r="K53" s="85"/>
      <c r="L53" s="85"/>
      <c r="M53" s="85"/>
      <c r="N53" s="85"/>
      <c r="O53" s="85"/>
      <c r="P53" s="85"/>
      <c r="Q53" s="85"/>
      <c r="R53" s="45"/>
    </row>
    <row r="54" spans="1:18" x14ac:dyDescent="0.25">
      <c r="A54" s="48"/>
      <c r="B54" s="85"/>
      <c r="C54" s="85"/>
      <c r="D54" s="85"/>
      <c r="E54" s="85"/>
      <c r="F54" s="85"/>
      <c r="G54" s="85"/>
      <c r="H54" s="85"/>
      <c r="I54" s="85"/>
      <c r="J54" s="85"/>
      <c r="K54" s="85"/>
      <c r="L54" s="85"/>
      <c r="M54" s="85"/>
      <c r="N54" s="85"/>
      <c r="O54" s="85"/>
      <c r="P54" s="85"/>
      <c r="Q54" s="85"/>
      <c r="R54" s="45"/>
    </row>
    <row r="55" spans="1:18" x14ac:dyDescent="0.25">
      <c r="A55" s="48"/>
      <c r="B55" s="85"/>
      <c r="C55" s="85"/>
      <c r="D55" s="85"/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5"/>
      <c r="P55" s="85"/>
      <c r="Q55" s="85"/>
      <c r="R55" s="45"/>
    </row>
    <row r="56" spans="1:18" x14ac:dyDescent="0.25">
      <c r="A56" s="48"/>
      <c r="B56" s="85"/>
      <c r="C56" s="85"/>
      <c r="D56" s="85"/>
      <c r="E56" s="85"/>
      <c r="F56" s="85"/>
      <c r="G56" s="85"/>
      <c r="H56" s="85"/>
      <c r="I56" s="85"/>
      <c r="J56" s="85"/>
      <c r="K56" s="85"/>
      <c r="L56" s="85"/>
      <c r="M56" s="85"/>
      <c r="N56" s="85"/>
      <c r="O56" s="85"/>
      <c r="P56" s="85"/>
      <c r="Q56" s="85"/>
      <c r="R56" s="45"/>
    </row>
    <row r="57" spans="1:18" x14ac:dyDescent="0.25">
      <c r="A57" s="48"/>
      <c r="B57" s="84"/>
      <c r="C57" s="84"/>
      <c r="D57" s="84"/>
      <c r="E57" s="84"/>
      <c r="F57" s="84"/>
      <c r="G57" s="84"/>
      <c r="H57" s="84"/>
      <c r="I57" s="84"/>
      <c r="J57" s="84"/>
      <c r="K57" s="84"/>
      <c r="L57" s="84"/>
      <c r="M57" s="84"/>
      <c r="N57" s="84"/>
      <c r="O57" s="84"/>
      <c r="P57" s="84"/>
      <c r="Q57" s="84"/>
      <c r="R57" s="45"/>
    </row>
    <row r="58" spans="1:18" x14ac:dyDescent="0.25">
      <c r="A58" s="48"/>
      <c r="B58" s="84"/>
      <c r="C58" s="84"/>
      <c r="D58" s="84"/>
      <c r="E58" s="84"/>
      <c r="F58" s="84"/>
      <c r="G58" s="84"/>
      <c r="H58" s="84"/>
      <c r="I58" s="84"/>
      <c r="J58" s="84"/>
      <c r="K58" s="84"/>
      <c r="L58" s="84"/>
      <c r="M58" s="84"/>
      <c r="N58" s="84"/>
      <c r="O58" s="84"/>
      <c r="P58" s="84"/>
      <c r="Q58" s="84"/>
      <c r="R58" s="45"/>
    </row>
    <row r="59" spans="1:18" x14ac:dyDescent="0.25">
      <c r="A59" s="48"/>
      <c r="B59" s="84"/>
      <c r="C59" s="84"/>
      <c r="D59" s="84"/>
      <c r="E59" s="84"/>
      <c r="F59" s="84"/>
      <c r="G59" s="84"/>
      <c r="H59" s="84"/>
      <c r="I59" s="84"/>
      <c r="J59" s="84"/>
      <c r="K59" s="84"/>
      <c r="L59" s="84"/>
      <c r="M59" s="84"/>
      <c r="N59" s="84"/>
      <c r="O59" s="84"/>
      <c r="P59" s="84"/>
      <c r="Q59" s="84"/>
      <c r="R59" s="45"/>
    </row>
    <row r="60" spans="1:18" x14ac:dyDescent="0.25">
      <c r="A60" s="48"/>
      <c r="B60" s="84"/>
      <c r="C60" s="84"/>
      <c r="D60" s="84"/>
      <c r="E60" s="84"/>
      <c r="F60" s="84"/>
      <c r="G60" s="84"/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45"/>
    </row>
    <row r="61" spans="1:18" x14ac:dyDescent="0.25">
      <c r="A61" s="48"/>
      <c r="B61" s="84"/>
      <c r="C61" s="84"/>
      <c r="D61" s="84"/>
      <c r="E61" s="84"/>
      <c r="F61" s="84"/>
      <c r="G61" s="84"/>
      <c r="H61" s="84"/>
      <c r="I61" s="84"/>
      <c r="J61" s="84"/>
      <c r="K61" s="84"/>
      <c r="L61" s="84"/>
      <c r="M61" s="84"/>
      <c r="N61" s="84"/>
      <c r="O61" s="84"/>
      <c r="P61" s="84"/>
      <c r="Q61" s="84"/>
      <c r="R61" s="45"/>
    </row>
    <row r="62" spans="1:18" x14ac:dyDescent="0.25">
      <c r="A62" s="48"/>
      <c r="B62" s="84"/>
      <c r="C62" s="84"/>
      <c r="D62" s="84"/>
      <c r="E62" s="84"/>
      <c r="F62" s="84"/>
      <c r="G62" s="84"/>
      <c r="H62" s="84"/>
      <c r="I62" s="84"/>
      <c r="J62" s="84"/>
      <c r="K62" s="84"/>
      <c r="L62" s="84"/>
      <c r="M62" s="84"/>
      <c r="N62" s="84"/>
      <c r="O62" s="84"/>
      <c r="P62" s="84"/>
      <c r="Q62" s="84"/>
      <c r="R62" s="45"/>
    </row>
    <row r="63" spans="1:18" x14ac:dyDescent="0.25">
      <c r="A63" s="48"/>
      <c r="B63" s="84"/>
      <c r="C63" s="84"/>
      <c r="D63" s="84"/>
      <c r="E63" s="84"/>
      <c r="F63" s="84"/>
      <c r="G63" s="84"/>
      <c r="H63" s="84"/>
      <c r="I63" s="84"/>
      <c r="J63" s="84"/>
      <c r="K63" s="84"/>
      <c r="L63" s="84"/>
      <c r="M63" s="84"/>
      <c r="N63" s="84"/>
      <c r="O63" s="84"/>
      <c r="P63" s="84"/>
      <c r="Q63" s="84"/>
      <c r="R63" s="45"/>
    </row>
    <row r="64" spans="1:18" x14ac:dyDescent="0.25">
      <c r="A64" s="48"/>
      <c r="B64" s="84"/>
      <c r="C64" s="84"/>
      <c r="D64" s="84"/>
      <c r="E64" s="84"/>
      <c r="F64" s="84"/>
      <c r="G64" s="84"/>
      <c r="H64" s="84"/>
      <c r="I64" s="84"/>
      <c r="J64" s="84"/>
      <c r="K64" s="84"/>
      <c r="L64" s="84"/>
      <c r="M64" s="84"/>
      <c r="N64" s="84"/>
      <c r="O64" s="84"/>
      <c r="P64" s="84"/>
      <c r="Q64" s="84"/>
      <c r="R64" s="45"/>
    </row>
    <row r="65" spans="1:18" x14ac:dyDescent="0.25">
      <c r="A65" s="48"/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4"/>
      <c r="Q65" s="84"/>
      <c r="R65" s="45"/>
    </row>
    <row r="66" spans="1:18" x14ac:dyDescent="0.25">
      <c r="A66" s="48"/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</row>
    <row r="67" spans="1:18" x14ac:dyDescent="0.25">
      <c r="A67" s="48"/>
      <c r="B67" s="45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8"/>
    </row>
    <row r="68" spans="1:18" x14ac:dyDescent="0.25">
      <c r="A68" s="48"/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  <c r="M68" s="73"/>
      <c r="N68" s="45"/>
      <c r="O68" s="45"/>
      <c r="P68" s="45"/>
      <c r="Q68" s="45"/>
      <c r="R68" s="48"/>
    </row>
    <row r="69" spans="1:18" x14ac:dyDescent="0.25">
      <c r="A69" s="48"/>
      <c r="B69" s="73"/>
      <c r="C69" s="73"/>
      <c r="D69" s="73"/>
      <c r="E69" s="73"/>
      <c r="F69" s="73"/>
      <c r="G69" s="73"/>
      <c r="H69" s="73"/>
      <c r="I69" s="73"/>
      <c r="J69" s="73"/>
      <c r="K69" s="73"/>
      <c r="L69" s="73"/>
      <c r="M69" s="73"/>
      <c r="N69" s="45"/>
      <c r="O69" s="45"/>
      <c r="P69" s="45"/>
      <c r="Q69" s="45"/>
      <c r="R69" s="48"/>
    </row>
    <row r="70" spans="1:18" x14ac:dyDescent="0.25">
      <c r="A70" s="48"/>
      <c r="B70" s="73"/>
      <c r="C70" s="73"/>
      <c r="D70" s="73"/>
      <c r="E70" s="73"/>
      <c r="F70" s="73"/>
      <c r="G70" s="73"/>
      <c r="H70" s="73"/>
      <c r="I70" s="73"/>
      <c r="J70" s="73"/>
      <c r="K70" s="73"/>
      <c r="L70" s="73"/>
      <c r="M70" s="73"/>
      <c r="N70" s="45"/>
      <c r="O70" s="45"/>
      <c r="P70" s="45"/>
      <c r="Q70" s="45"/>
      <c r="R70" s="48"/>
    </row>
    <row r="71" spans="1:18" x14ac:dyDescent="0.25">
      <c r="A71" s="48"/>
      <c r="B71" s="73"/>
      <c r="C71" s="73"/>
      <c r="D71" s="73"/>
      <c r="E71" s="73"/>
      <c r="F71" s="73"/>
      <c r="G71" s="73"/>
      <c r="H71" s="73"/>
      <c r="I71" s="73"/>
      <c r="J71" s="73"/>
      <c r="K71" s="73"/>
      <c r="L71" s="73"/>
      <c r="M71" s="73"/>
      <c r="N71" s="45"/>
      <c r="O71" s="45"/>
      <c r="P71" s="45"/>
      <c r="Q71" s="45"/>
      <c r="R71" s="48"/>
    </row>
    <row r="72" spans="1:18" x14ac:dyDescent="0.25">
      <c r="A72" s="48"/>
      <c r="B72" s="73"/>
      <c r="C72" s="73"/>
      <c r="D72" s="73"/>
      <c r="E72" s="73"/>
      <c r="F72" s="73"/>
      <c r="G72" s="73"/>
      <c r="H72" s="73"/>
      <c r="I72" s="73"/>
      <c r="J72" s="73"/>
      <c r="K72" s="73"/>
      <c r="L72" s="73"/>
      <c r="M72" s="73"/>
      <c r="N72" s="45"/>
      <c r="O72" s="45"/>
      <c r="P72" s="45"/>
      <c r="Q72" s="45"/>
      <c r="R72" s="48"/>
    </row>
    <row r="73" spans="1:18" x14ac:dyDescent="0.25">
      <c r="A73" s="48"/>
      <c r="B73" s="73"/>
      <c r="C73" s="73"/>
      <c r="D73" s="73"/>
      <c r="E73" s="73"/>
      <c r="F73" s="73"/>
      <c r="G73" s="73"/>
      <c r="H73" s="73"/>
      <c r="I73" s="73"/>
      <c r="J73" s="73"/>
      <c r="K73" s="73"/>
      <c r="L73" s="73"/>
      <c r="M73" s="73"/>
      <c r="N73" s="45"/>
      <c r="O73" s="45"/>
      <c r="P73" s="45"/>
      <c r="Q73" s="45"/>
      <c r="R73" s="48"/>
    </row>
    <row r="74" spans="1:18" x14ac:dyDescent="0.25">
      <c r="A74" s="48"/>
      <c r="B74" s="73"/>
      <c r="C74" s="73"/>
      <c r="D74" s="73"/>
      <c r="E74" s="73"/>
      <c r="F74" s="73"/>
      <c r="G74" s="73"/>
      <c r="H74" s="73"/>
      <c r="I74" s="73"/>
      <c r="J74" s="73"/>
      <c r="K74" s="73"/>
      <c r="L74" s="73"/>
      <c r="M74" s="73"/>
      <c r="N74" s="45"/>
      <c r="O74" s="45"/>
      <c r="P74" s="45"/>
      <c r="Q74" s="45"/>
      <c r="R74" s="48"/>
    </row>
    <row r="75" spans="1:18" x14ac:dyDescent="0.25">
      <c r="A75" s="48"/>
      <c r="B75" s="73"/>
      <c r="C75" s="73"/>
      <c r="D75" s="73"/>
      <c r="E75" s="73"/>
      <c r="F75" s="73"/>
      <c r="G75" s="73"/>
      <c r="H75" s="73"/>
      <c r="I75" s="73"/>
      <c r="J75" s="73"/>
      <c r="K75" s="73"/>
      <c r="L75" s="73"/>
      <c r="M75" s="73"/>
      <c r="N75" s="45"/>
      <c r="O75" s="45"/>
      <c r="P75" s="45"/>
      <c r="Q75" s="45"/>
      <c r="R75" s="48"/>
    </row>
    <row r="76" spans="1:18" x14ac:dyDescent="0.25">
      <c r="A76" s="48"/>
      <c r="B76" s="73"/>
      <c r="C76" s="73"/>
      <c r="D76" s="73"/>
      <c r="E76" s="73"/>
      <c r="F76" s="73"/>
      <c r="G76" s="73"/>
      <c r="H76" s="73"/>
      <c r="I76" s="73"/>
      <c r="J76" s="73"/>
      <c r="K76" s="73"/>
      <c r="L76" s="73"/>
      <c r="M76" s="73"/>
      <c r="N76" s="45"/>
      <c r="O76" s="45"/>
      <c r="P76" s="45"/>
      <c r="Q76" s="45"/>
      <c r="R76" s="48"/>
    </row>
    <row r="77" spans="1:18" x14ac:dyDescent="0.25">
      <c r="A77" s="48"/>
      <c r="B77" s="73"/>
      <c r="C77" s="73"/>
      <c r="D77" s="73"/>
      <c r="E77" s="73"/>
      <c r="F77" s="73"/>
      <c r="G77" s="73"/>
      <c r="H77" s="73"/>
      <c r="I77" s="73"/>
      <c r="J77" s="73"/>
      <c r="K77" s="73"/>
      <c r="L77" s="73"/>
      <c r="M77" s="73"/>
      <c r="N77" s="45"/>
      <c r="O77" s="45"/>
      <c r="P77" s="45"/>
      <c r="Q77" s="45"/>
      <c r="R77" s="48"/>
    </row>
    <row r="78" spans="1:18" x14ac:dyDescent="0.25">
      <c r="A78" s="48"/>
      <c r="B78" s="73"/>
      <c r="C78" s="73"/>
      <c r="D78" s="73"/>
      <c r="E78" s="73"/>
      <c r="F78" s="73"/>
      <c r="G78" s="73"/>
      <c r="H78" s="73"/>
      <c r="I78" s="73"/>
      <c r="J78" s="73"/>
      <c r="K78" s="73"/>
      <c r="L78" s="73"/>
      <c r="M78" s="73"/>
      <c r="N78" s="45"/>
      <c r="O78" s="45"/>
      <c r="P78" s="45"/>
      <c r="Q78" s="45"/>
      <c r="R78" s="48"/>
    </row>
    <row r="79" spans="1:18" x14ac:dyDescent="0.25">
      <c r="A79" s="48"/>
      <c r="B79" s="73"/>
      <c r="C79" s="73"/>
      <c r="D79" s="73"/>
      <c r="E79" s="73"/>
      <c r="F79" s="73"/>
      <c r="G79" s="73"/>
      <c r="H79" s="73"/>
      <c r="I79" s="73"/>
      <c r="J79" s="73"/>
      <c r="K79" s="73"/>
      <c r="L79" s="73"/>
      <c r="M79" s="73"/>
      <c r="N79" s="45"/>
      <c r="O79" s="45"/>
      <c r="P79" s="45"/>
      <c r="Q79" s="45"/>
      <c r="R79" s="48"/>
    </row>
    <row r="80" spans="1:18" x14ac:dyDescent="0.25">
      <c r="A80" s="48"/>
      <c r="B80" s="73"/>
      <c r="C80" s="73"/>
      <c r="D80" s="73"/>
      <c r="E80" s="73"/>
      <c r="F80" s="73"/>
      <c r="G80" s="73"/>
      <c r="H80" s="73"/>
      <c r="I80" s="73"/>
      <c r="J80" s="73"/>
      <c r="K80" s="73"/>
      <c r="L80" s="73"/>
      <c r="M80" s="73"/>
      <c r="N80" s="45"/>
      <c r="O80" s="45"/>
      <c r="P80" s="45"/>
      <c r="Q80" s="45"/>
      <c r="R80" s="48"/>
    </row>
    <row r="81" spans="1:17" x14ac:dyDescent="0.25">
      <c r="A81" s="48"/>
      <c r="B81" s="73"/>
      <c r="C81" s="73"/>
      <c r="D81" s="73"/>
      <c r="E81" s="73"/>
      <c r="F81" s="73"/>
      <c r="G81" s="73"/>
      <c r="H81" s="73"/>
      <c r="I81" s="73"/>
      <c r="J81" s="73"/>
      <c r="K81" s="73"/>
      <c r="L81" s="73"/>
      <c r="M81" s="73"/>
      <c r="N81" s="45"/>
      <c r="O81" s="45"/>
      <c r="P81" s="45"/>
      <c r="Q81" s="45"/>
    </row>
    <row r="82" spans="1:17" x14ac:dyDescent="0.25">
      <c r="B82" s="73"/>
      <c r="C82" s="73"/>
      <c r="D82" s="73"/>
      <c r="E82" s="73"/>
      <c r="F82" s="73"/>
      <c r="G82" s="73"/>
      <c r="H82" s="73"/>
      <c r="I82" s="73"/>
      <c r="J82" s="73"/>
      <c r="K82" s="73"/>
      <c r="L82" s="73"/>
      <c r="M82" s="73"/>
      <c r="N82" s="45"/>
      <c r="O82" s="45"/>
      <c r="P82" s="45"/>
      <c r="Q82" s="45"/>
    </row>
    <row r="83" spans="1:17" x14ac:dyDescent="0.25">
      <c r="B83" s="73"/>
      <c r="C83" s="73"/>
      <c r="D83" s="73"/>
      <c r="E83" s="73"/>
      <c r="F83" s="73"/>
      <c r="G83" s="73"/>
      <c r="H83" s="73"/>
      <c r="I83" s="73"/>
      <c r="J83" s="73"/>
      <c r="K83" s="73"/>
      <c r="L83" s="73"/>
      <c r="M83" s="73"/>
      <c r="N83" s="45"/>
      <c r="O83" s="45"/>
      <c r="P83" s="45"/>
      <c r="Q83" s="45"/>
    </row>
    <row r="84" spans="1:17" x14ac:dyDescent="0.25">
      <c r="B84" s="73"/>
      <c r="C84" s="73"/>
      <c r="D84" s="73"/>
      <c r="E84" s="73"/>
      <c r="F84" s="73"/>
      <c r="G84" s="73"/>
      <c r="H84" s="73"/>
      <c r="I84" s="73"/>
      <c r="J84" s="73"/>
      <c r="K84" s="73"/>
      <c r="L84" s="73"/>
      <c r="M84" s="73"/>
      <c r="N84" s="73"/>
      <c r="O84" s="73"/>
      <c r="P84" s="73"/>
      <c r="Q84" s="73"/>
    </row>
    <row r="85" spans="1:17" x14ac:dyDescent="0.25"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3"/>
      <c r="N85" s="73"/>
      <c r="O85" s="73"/>
      <c r="P85" s="73"/>
      <c r="Q85" s="73"/>
    </row>
    <row r="86" spans="1:17" x14ac:dyDescent="0.25">
      <c r="B86" s="73"/>
      <c r="C86" s="73"/>
      <c r="D86" s="73"/>
      <c r="E86" s="73"/>
      <c r="F86" s="73"/>
      <c r="G86" s="73"/>
      <c r="H86" s="73"/>
      <c r="I86" s="73"/>
      <c r="J86" s="73"/>
      <c r="K86" s="73"/>
      <c r="L86" s="73"/>
      <c r="M86" s="73"/>
      <c r="N86" s="73"/>
      <c r="O86" s="73"/>
      <c r="P86" s="73"/>
      <c r="Q86" s="73"/>
    </row>
    <row r="87" spans="1:17" x14ac:dyDescent="0.25">
      <c r="B87" s="73"/>
      <c r="C87" s="73"/>
      <c r="D87" s="73"/>
      <c r="E87" s="73"/>
      <c r="F87" s="73"/>
      <c r="G87" s="73"/>
      <c r="H87" s="73"/>
      <c r="I87" s="73"/>
      <c r="J87" s="73"/>
      <c r="K87" s="73"/>
      <c r="L87" s="73"/>
      <c r="M87" s="73"/>
      <c r="N87" s="73"/>
      <c r="O87" s="73"/>
      <c r="P87" s="73"/>
      <c r="Q87" s="73"/>
    </row>
    <row r="88" spans="1:17" x14ac:dyDescent="0.25">
      <c r="B88" s="73"/>
      <c r="C88" s="73"/>
      <c r="D88" s="73"/>
      <c r="E88" s="73"/>
      <c r="F88" s="73"/>
      <c r="G88" s="73"/>
      <c r="H88" s="73"/>
      <c r="I88" s="73"/>
      <c r="J88" s="73"/>
      <c r="K88" s="73"/>
      <c r="L88" s="73"/>
      <c r="M88" s="73"/>
      <c r="N88" s="73"/>
      <c r="O88" s="73"/>
      <c r="P88" s="73"/>
      <c r="Q88" s="73"/>
    </row>
    <row r="89" spans="1:17" x14ac:dyDescent="0.25">
      <c r="B89" s="73"/>
      <c r="C89" s="73"/>
      <c r="D89" s="73"/>
      <c r="E89" s="73"/>
      <c r="F89" s="73"/>
      <c r="G89" s="73"/>
      <c r="H89" s="73"/>
      <c r="I89" s="73"/>
      <c r="J89" s="73"/>
      <c r="K89" s="73"/>
      <c r="L89" s="73"/>
      <c r="M89" s="73"/>
      <c r="N89" s="73"/>
      <c r="O89" s="73"/>
      <c r="P89" s="73"/>
      <c r="Q89" s="73"/>
    </row>
    <row r="90" spans="1:17" x14ac:dyDescent="0.25">
      <c r="B90" s="73"/>
      <c r="C90" s="73"/>
      <c r="D90" s="73"/>
      <c r="E90" s="73"/>
      <c r="F90" s="73"/>
      <c r="G90" s="73"/>
      <c r="H90" s="73"/>
      <c r="I90" s="73"/>
      <c r="J90" s="73"/>
      <c r="K90" s="73"/>
      <c r="L90" s="73"/>
      <c r="M90" s="73"/>
      <c r="N90" s="73"/>
      <c r="O90" s="73"/>
      <c r="P90" s="73"/>
      <c r="Q90" s="73"/>
    </row>
    <row r="91" spans="1:17" x14ac:dyDescent="0.25">
      <c r="B91" s="73"/>
      <c r="C91" s="73"/>
      <c r="D91" s="73"/>
      <c r="E91" s="73"/>
      <c r="F91" s="73"/>
      <c r="G91" s="73"/>
      <c r="H91" s="73"/>
      <c r="I91" s="73"/>
      <c r="J91" s="73"/>
      <c r="K91" s="73"/>
      <c r="L91" s="73"/>
      <c r="M91" s="73"/>
      <c r="N91" s="73"/>
      <c r="O91" s="73"/>
      <c r="P91" s="73"/>
      <c r="Q91" s="73"/>
    </row>
    <row r="92" spans="1:17" x14ac:dyDescent="0.25">
      <c r="B92" s="73"/>
      <c r="C92" s="73"/>
      <c r="D92" s="73"/>
      <c r="E92" s="73"/>
      <c r="F92" s="73"/>
      <c r="G92" s="73"/>
      <c r="H92" s="73"/>
      <c r="I92" s="73"/>
      <c r="J92" s="73"/>
      <c r="K92" s="73"/>
      <c r="L92" s="73"/>
      <c r="M92" s="73"/>
      <c r="N92" s="73"/>
      <c r="O92" s="73"/>
      <c r="P92" s="73"/>
      <c r="Q92" s="73"/>
    </row>
    <row r="93" spans="1:17" x14ac:dyDescent="0.25">
      <c r="B93" s="74"/>
      <c r="C93" s="74"/>
      <c r="D93" s="74"/>
      <c r="E93" s="74"/>
      <c r="F93" s="74"/>
      <c r="G93" s="74"/>
      <c r="H93" s="74"/>
      <c r="I93" s="74"/>
      <c r="J93" s="74"/>
      <c r="K93" s="74"/>
      <c r="L93" s="74"/>
      <c r="M93" s="74"/>
      <c r="N93" s="74"/>
      <c r="O93" s="74"/>
      <c r="P93" s="74"/>
      <c r="Q93" s="74"/>
    </row>
    <row r="94" spans="1:17" x14ac:dyDescent="0.25">
      <c r="B94" s="74"/>
      <c r="C94" s="74"/>
      <c r="D94" s="74"/>
      <c r="E94" s="74"/>
      <c r="F94" s="74"/>
      <c r="G94" s="74"/>
      <c r="H94" s="74"/>
      <c r="I94" s="74"/>
      <c r="J94" s="74"/>
      <c r="K94" s="74"/>
      <c r="L94" s="74"/>
      <c r="M94" s="74"/>
      <c r="N94" s="74"/>
      <c r="O94" s="74"/>
      <c r="P94" s="74"/>
      <c r="Q94" s="74"/>
    </row>
    <row r="95" spans="1:17" x14ac:dyDescent="0.25">
      <c r="B95" s="74"/>
      <c r="C95" s="74"/>
      <c r="D95" s="74"/>
      <c r="E95" s="74"/>
      <c r="F95" s="74"/>
      <c r="G95" s="74"/>
      <c r="H95" s="74"/>
      <c r="I95" s="74"/>
      <c r="J95" s="74"/>
      <c r="K95" s="74"/>
      <c r="L95" s="74"/>
      <c r="M95" s="74"/>
      <c r="N95" s="74"/>
      <c r="O95" s="74"/>
      <c r="P95" s="74"/>
      <c r="Q95" s="74"/>
    </row>
    <row r="96" spans="1:17" x14ac:dyDescent="0.25">
      <c r="B96" s="74"/>
      <c r="C96" s="74"/>
      <c r="D96" s="74"/>
      <c r="E96" s="74"/>
      <c r="F96" s="74"/>
      <c r="G96" s="74"/>
      <c r="H96" s="74"/>
      <c r="I96" s="74"/>
      <c r="J96" s="74"/>
      <c r="K96" s="74"/>
      <c r="L96" s="74"/>
      <c r="M96" s="74"/>
      <c r="N96" s="74"/>
      <c r="O96" s="74"/>
      <c r="P96" s="74"/>
      <c r="Q96" s="74"/>
    </row>
    <row r="97" spans="2:17" x14ac:dyDescent="0.25">
      <c r="B97" s="74"/>
      <c r="C97" s="74"/>
      <c r="D97" s="74"/>
      <c r="E97" s="74"/>
      <c r="F97" s="74"/>
      <c r="G97" s="74"/>
      <c r="H97" s="74"/>
      <c r="I97" s="74"/>
      <c r="J97" s="74"/>
      <c r="K97" s="74"/>
      <c r="L97" s="74"/>
      <c r="M97" s="74"/>
      <c r="N97" s="74"/>
      <c r="O97" s="74"/>
      <c r="P97" s="74"/>
      <c r="Q97" s="74"/>
    </row>
    <row r="98" spans="2:17" x14ac:dyDescent="0.25">
      <c r="B98" s="74"/>
      <c r="C98" s="74"/>
      <c r="D98" s="74"/>
      <c r="E98" s="74"/>
      <c r="F98" s="74"/>
      <c r="G98" s="74"/>
      <c r="H98" s="74"/>
      <c r="I98" s="74"/>
      <c r="J98" s="74"/>
      <c r="K98" s="74"/>
      <c r="L98" s="74"/>
      <c r="M98" s="74"/>
      <c r="N98" s="74"/>
      <c r="O98" s="74"/>
      <c r="P98" s="74"/>
      <c r="Q98" s="74"/>
    </row>
  </sheetData>
  <mergeCells count="9">
    <mergeCell ref="A1:R1"/>
    <mergeCell ref="A2:R2"/>
    <mergeCell ref="A3:R3"/>
    <mergeCell ref="A4:R4"/>
    <mergeCell ref="R6:R8"/>
    <mergeCell ref="B6:E6"/>
    <mergeCell ref="F6:I6"/>
    <mergeCell ref="J6:M6"/>
    <mergeCell ref="N6:Q6"/>
  </mergeCells>
  <phoneticPr fontId="22" type="noConversion"/>
  <printOptions horizontalCentered="1"/>
  <pageMargins left="0.24" right="0.17" top="0.24" bottom="0.19" header="0.17" footer="0.16"/>
  <pageSetup paperSize="9" scale="55" fitToHeight="0" orientation="landscape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2D050"/>
  </sheetPr>
  <dimension ref="A1"/>
  <sheetViews>
    <sheetView workbookViewId="0"/>
  </sheetViews>
  <sheetFormatPr defaultRowHeight="15" x14ac:dyDescent="0.25"/>
  <cols>
    <col min="1" max="1" width="9.5703125" bestFit="1" customWidth="1"/>
  </cols>
  <sheetData>
    <row r="1" spans="1:1" x14ac:dyDescent="0.25">
      <c r="A1" s="1">
        <v>7323.23421637717</v>
      </c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14.2</vt:lpstr>
      <vt:lpstr>Sheet2</vt:lpstr>
      <vt:lpstr>'14.2'!Print_Area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2025-08-21T03:02:23Z</cp:lastPrinted>
  <dcterms:created xsi:type="dcterms:W3CDTF">2013-04-01T04:26:10Z</dcterms:created>
  <dcterms:modified xsi:type="dcterms:W3CDTF">2025-08-21T03:02:41Z</dcterms:modified>
</cp:coreProperties>
</file>