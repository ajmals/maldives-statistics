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5\Final\ELECTRICITY &amp; Water\"/>
    </mc:Choice>
  </mc:AlternateContent>
  <xr:revisionPtr revIDLastSave="0" documentId="13_ncr:1_{20E8DE39-0008-4A81-975F-006C68541BAF}" xr6:coauthVersionLast="47" xr6:coauthVersionMax="47" xr10:uidLastSave="{00000000-0000-0000-0000-000000000000}"/>
  <bookViews>
    <workbookView xWindow="-120" yWindow="-120" windowWidth="29040" windowHeight="15720" tabRatio="754" xr2:uid="{00000000-000D-0000-FFFF-FFFF00000000}"/>
  </bookViews>
  <sheets>
    <sheet name="12.11" sheetId="11" r:id="rId1"/>
  </sheets>
  <definedNames>
    <definedName name="Male">#REF!</definedName>
    <definedName name="_xlnm.Print_Area" localSheetId="0">'12.11'!$A$1:$S$38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6" i="11" l="1"/>
  <c r="C18" i="11" l="1"/>
  <c r="C17" i="11"/>
  <c r="C16" i="11"/>
  <c r="C15" i="11"/>
  <c r="C14" i="11"/>
  <c r="C13" i="11"/>
  <c r="C12" i="11"/>
  <c r="C11" i="11"/>
  <c r="C10" i="11"/>
  <c r="C9" i="11"/>
  <c r="C8" i="11"/>
  <c r="C7" i="11"/>
  <c r="P6" i="11"/>
  <c r="O6" i="11"/>
  <c r="N6" i="11"/>
  <c r="M6" i="11"/>
  <c r="L6" i="11"/>
  <c r="K6" i="11"/>
  <c r="J6" i="11"/>
  <c r="I6" i="11"/>
  <c r="H6" i="11"/>
  <c r="G6" i="11"/>
  <c r="F6" i="11"/>
  <c r="E6" i="11"/>
  <c r="D6" i="11"/>
  <c r="B6" i="11"/>
  <c r="C6" i="11" l="1"/>
</calcChain>
</file>

<file path=xl/sharedStrings.xml><?xml version="1.0" encoding="utf-8"?>
<sst xmlns="http://schemas.openxmlformats.org/spreadsheetml/2006/main" count="33" uniqueCount="33">
  <si>
    <t>cDeTimil Inepcmok cjErevcs cDcnea rwTOv ElWm :ctWrwf ivcaedutWmUluawm</t>
  </si>
  <si>
    <t>Source: Male' Water &amp; Sewerage Company Private Limited</t>
  </si>
  <si>
    <r>
      <rPr>
        <b/>
        <sz val="9"/>
        <rFont val="Arial"/>
        <family val="2"/>
      </rPr>
      <t>(In '000 metric tons)</t>
    </r>
    <r>
      <rPr>
        <b/>
        <sz val="10"/>
        <rFont val="Arial"/>
        <family val="2"/>
      </rPr>
      <t xml:space="preserve">   (</t>
    </r>
    <r>
      <rPr>
        <b/>
        <sz val="10"/>
        <rFont val="A_Randhoo Aa"/>
      </rPr>
      <t>cnunwT ckircTem '000)</t>
    </r>
  </si>
  <si>
    <t>Month</t>
  </si>
  <si>
    <t>cswm</t>
  </si>
  <si>
    <t xml:space="preserve"> Total</t>
  </si>
  <si>
    <t>wlcmuj</t>
  </si>
  <si>
    <t>January</t>
  </si>
  <si>
    <t>Irwaunej</t>
  </si>
  <si>
    <t>February</t>
  </si>
  <si>
    <t>Irwaurcbef</t>
  </si>
  <si>
    <t>March</t>
  </si>
  <si>
    <t>cCrWm</t>
  </si>
  <si>
    <t>April</t>
  </si>
  <si>
    <t>clircpEa</t>
  </si>
  <si>
    <t xml:space="preserve">May </t>
  </si>
  <si>
    <t>Em</t>
  </si>
  <si>
    <t>June</t>
  </si>
  <si>
    <t>cnUj</t>
  </si>
  <si>
    <t>July</t>
  </si>
  <si>
    <t>iawluj</t>
  </si>
  <si>
    <t>August</t>
  </si>
  <si>
    <t>cTcswgoa</t>
  </si>
  <si>
    <t>September</t>
  </si>
  <si>
    <t>rwbcmeTcpes</t>
  </si>
  <si>
    <t>October</t>
  </si>
  <si>
    <t>rwbUTckoa</t>
  </si>
  <si>
    <t>November</t>
  </si>
  <si>
    <t>rwbcmevon</t>
  </si>
  <si>
    <t>December</t>
  </si>
  <si>
    <t>rwbcmesiD</t>
  </si>
  <si>
    <t xml:space="preserve">Table 12.11 : WATER DISTRIBUTION  IN HULHUMALE' BY MONTH, 2010 - 2024                              </t>
  </si>
  <si>
    <t>2024- 2010 ,urwvcnim unuverukcnunEb cnef ހުޅުމާލޭގައި cnutog eguhwmcswm  : 12.11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</si>
</sst>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#,##0.0"/>
    <numFmt numFmtId="166" formatCode="0.0"/>
    <numFmt numFmtId="167" formatCode="_(* #,##0.0_);_(* \(#,##0.0\);_(* &quot;-&quot;??_);_(@_)"/>
  </numFmts>
  <fonts count="19">
    <font>
      <sz val="11"/>
      <color theme="1"/>
      <name val="Calibri"/>
      <charset val="134"/>
      <scheme val="minor"/>
    </font>
    <font>
      <i/>
      <sz val="9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name val="A_Faseyha"/>
    </font>
    <font>
      <b/>
      <sz val="10"/>
      <name val="Calibri"/>
      <family val="2"/>
      <scheme val="minor"/>
    </font>
    <font>
      <b/>
      <sz val="10"/>
      <name val="A_Faseyha"/>
    </font>
    <font>
      <sz val="10"/>
      <name val="A_Faseyha"/>
    </font>
    <font>
      <b/>
      <sz val="10"/>
      <name val="Arial"/>
      <family val="2"/>
    </font>
    <font>
      <b/>
      <sz val="10"/>
      <name val="A_Randhoo"/>
    </font>
    <font>
      <b/>
      <sz val="10"/>
      <name val="A_Funa"/>
    </font>
    <font>
      <b/>
      <sz val="12"/>
      <name val="Calibri"/>
      <family val="2"/>
      <scheme val="minor"/>
    </font>
    <font>
      <sz val="10"/>
      <name val="Garamond"/>
      <family val="1"/>
    </font>
    <font>
      <b/>
      <sz val="9"/>
      <name val="Arial"/>
      <family val="2"/>
    </font>
    <font>
      <sz val="10"/>
      <name val="Arial"/>
      <family val="2"/>
    </font>
    <font>
      <b/>
      <sz val="10"/>
      <name val="A_Randhoo Aa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0">
    <xf numFmtId="0" fontId="0" fillId="0" borderId="0"/>
    <xf numFmtId="43" fontId="18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16" fillId="0" borderId="0"/>
    <xf numFmtId="0" fontId="2" fillId="0" borderId="0"/>
    <xf numFmtId="0" fontId="14" fillId="0" borderId="0"/>
  </cellStyleXfs>
  <cellXfs count="37">
    <xf numFmtId="0" fontId="0" fillId="0" borderId="0" xfId="0"/>
    <xf numFmtId="0" fontId="2" fillId="2" borderId="0" xfId="5" applyFill="1"/>
    <xf numFmtId="0" fontId="3" fillId="2" borderId="0" xfId="5" applyFont="1" applyFill="1"/>
    <xf numFmtId="0" fontId="3" fillId="2" borderId="0" xfId="5" applyFont="1" applyFill="1" applyAlignment="1">
      <alignment wrapText="1"/>
    </xf>
    <xf numFmtId="0" fontId="3" fillId="2" borderId="0" xfId="5" applyFont="1" applyFill="1" applyAlignment="1">
      <alignment vertical="center"/>
    </xf>
    <xf numFmtId="0" fontId="10" fillId="2" borderId="0" xfId="5" applyFont="1" applyFill="1" applyAlignment="1">
      <alignment horizontal="center" vertical="center"/>
    </xf>
    <xf numFmtId="0" fontId="4" fillId="2" borderId="1" xfId="9" applyFont="1" applyFill="1" applyBorder="1" applyAlignment="1">
      <alignment vertical="center"/>
    </xf>
    <xf numFmtId="0" fontId="4" fillId="2" borderId="1" xfId="9" applyFont="1" applyFill="1" applyBorder="1" applyAlignment="1">
      <alignment horizontal="right" vertical="center"/>
    </xf>
    <xf numFmtId="0" fontId="4" fillId="2" borderId="0" xfId="9" applyFont="1" applyFill="1" applyAlignment="1">
      <alignment vertical="center"/>
    </xf>
    <xf numFmtId="166" fontId="4" fillId="2" borderId="0" xfId="5" applyNumberFormat="1" applyFont="1" applyFill="1" applyAlignment="1">
      <alignment horizontal="right" vertical="center"/>
    </xf>
    <xf numFmtId="166" fontId="4" fillId="2" borderId="0" xfId="4" applyNumberFormat="1" applyFont="1" applyFill="1" applyAlignment="1">
      <alignment horizontal="right" vertical="center"/>
    </xf>
    <xf numFmtId="0" fontId="5" fillId="2" borderId="0" xfId="9" applyFont="1" applyFill="1" applyAlignment="1">
      <alignment horizontal="left" vertical="center" indent="1"/>
    </xf>
    <xf numFmtId="166" fontId="5" fillId="2" borderId="0" xfId="5" applyNumberFormat="1" applyFont="1" applyFill="1" applyAlignment="1">
      <alignment horizontal="right" vertical="center"/>
    </xf>
    <xf numFmtId="166" fontId="5" fillId="2" borderId="0" xfId="4" applyNumberFormat="1" applyFont="1" applyFill="1" applyAlignment="1">
      <alignment horizontal="right" vertical="center"/>
    </xf>
    <xf numFmtId="0" fontId="5" fillId="2" borderId="2" xfId="9" applyFont="1" applyFill="1" applyBorder="1" applyAlignment="1">
      <alignment horizontal="left" vertical="center" indent="1"/>
    </xf>
    <xf numFmtId="166" fontId="5" fillId="2" borderId="2" xfId="5" applyNumberFormat="1" applyFont="1" applyFill="1" applyBorder="1" applyAlignment="1">
      <alignment horizontal="right" vertical="center"/>
    </xf>
    <xf numFmtId="166" fontId="5" fillId="2" borderId="2" xfId="4" applyNumberFormat="1" applyFont="1" applyFill="1" applyBorder="1" applyAlignment="1">
      <alignment horizontal="right" vertical="center"/>
    </xf>
    <xf numFmtId="0" fontId="1" fillId="2" borderId="0" xfId="9" applyFont="1" applyFill="1" applyAlignment="1">
      <alignment horizontal="left"/>
    </xf>
    <xf numFmtId="0" fontId="11" fillId="2" borderId="0" xfId="5" applyFont="1" applyFill="1" applyAlignment="1">
      <alignment vertical="center"/>
    </xf>
    <xf numFmtId="165" fontId="4" fillId="2" borderId="0" xfId="5" applyNumberFormat="1" applyFont="1" applyFill="1" applyAlignment="1">
      <alignment horizontal="right" vertical="center"/>
    </xf>
    <xf numFmtId="166" fontId="3" fillId="2" borderId="0" xfId="4" applyNumberFormat="1" applyFont="1" applyFill="1" applyAlignment="1">
      <alignment horizontal="right" vertical="center"/>
    </xf>
    <xf numFmtId="166" fontId="3" fillId="2" borderId="0" xfId="4" applyNumberFormat="1" applyFont="1" applyFill="1" applyBorder="1" applyAlignment="1">
      <alignment horizontal="right" vertical="center"/>
    </xf>
    <xf numFmtId="166" fontId="3" fillId="2" borderId="2" xfId="4" applyNumberFormat="1" applyFont="1" applyFill="1" applyBorder="1" applyAlignment="1">
      <alignment horizontal="right" vertical="center"/>
    </xf>
    <xf numFmtId="0" fontId="10" fillId="2" borderId="0" xfId="5" applyFont="1" applyFill="1" applyAlignment="1">
      <alignment vertical="center"/>
    </xf>
    <xf numFmtId="0" fontId="12" fillId="2" borderId="0" xfId="5" applyFont="1" applyFill="1" applyAlignment="1">
      <alignment vertical="center" wrapText="1"/>
    </xf>
    <xf numFmtId="0" fontId="8" fillId="2" borderId="1" xfId="9" applyFont="1" applyFill="1" applyBorder="1" applyAlignment="1">
      <alignment horizontal="right"/>
    </xf>
    <xf numFmtId="0" fontId="8" fillId="2" borderId="0" xfId="9" applyFont="1" applyFill="1" applyAlignment="1">
      <alignment horizontal="right"/>
    </xf>
    <xf numFmtId="0" fontId="9" fillId="2" borderId="0" xfId="9" applyFont="1" applyFill="1" applyAlignment="1">
      <alignment horizontal="right" vertical="center" indent="1"/>
    </xf>
    <xf numFmtId="0" fontId="9" fillId="2" borderId="2" xfId="9" applyFont="1" applyFill="1" applyBorder="1" applyAlignment="1">
      <alignment horizontal="right" vertical="center" indent="1"/>
    </xf>
    <xf numFmtId="0" fontId="6" fillId="2" borderId="0" xfId="9" applyFont="1" applyFill="1" applyAlignment="1">
      <alignment horizontal="right"/>
    </xf>
    <xf numFmtId="0" fontId="13" fillId="2" borderId="0" xfId="5" applyFont="1" applyFill="1" applyAlignment="1">
      <alignment vertical="center" wrapText="1"/>
    </xf>
    <xf numFmtId="0" fontId="13" fillId="2" borderId="0" xfId="5" applyFont="1" applyFill="1" applyAlignment="1">
      <alignment horizontal="center" vertical="center" wrapText="1"/>
    </xf>
    <xf numFmtId="167" fontId="3" fillId="2" borderId="0" xfId="1" applyNumberFormat="1" applyFont="1" applyFill="1" applyBorder="1" applyAlignment="1">
      <alignment horizontal="right" vertical="center"/>
    </xf>
    <xf numFmtId="167" fontId="3" fillId="2" borderId="2" xfId="1" applyNumberFormat="1" applyFont="1" applyFill="1" applyBorder="1" applyAlignment="1">
      <alignment horizontal="right" vertical="center"/>
    </xf>
    <xf numFmtId="0" fontId="8" fillId="2" borderId="0" xfId="5" applyFont="1" applyFill="1" applyAlignment="1">
      <alignment horizontal="center" vertical="center"/>
    </xf>
    <xf numFmtId="0" fontId="10" fillId="2" borderId="0" xfId="5" applyFont="1" applyFill="1" applyAlignment="1">
      <alignment horizontal="center" vertical="center"/>
    </xf>
    <xf numFmtId="0" fontId="7" fillId="2" borderId="0" xfId="9" applyFont="1" applyFill="1" applyAlignment="1">
      <alignment horizontal="center" wrapText="1"/>
    </xf>
  </cellXfs>
  <cellStyles count="10">
    <cellStyle name="Comma" xfId="1" builtinId="3"/>
    <cellStyle name="Comma 2" xfId="2" xr:uid="{00000000-0005-0000-0000-000001000000}"/>
    <cellStyle name="Comma 2 2" xfId="3" xr:uid="{00000000-0005-0000-0000-000002000000}"/>
    <cellStyle name="Comma 4" xfId="4" xr:uid="{00000000-0005-0000-0000-000003000000}"/>
    <cellStyle name="Normal" xfId="0" builtinId="0"/>
    <cellStyle name="Normal 2" xfId="5" xr:uid="{00000000-0005-0000-0000-000005000000}"/>
    <cellStyle name="Normal 2 2" xfId="6" xr:uid="{00000000-0005-0000-0000-000006000000}"/>
    <cellStyle name="Normal 4" xfId="7" xr:uid="{00000000-0005-0000-0000-000007000000}"/>
    <cellStyle name="Normal 5" xfId="8" xr:uid="{00000000-0005-0000-0000-000008000000}"/>
    <cellStyle name="Normal_X-5 (Electricity)" xfId="9" xr:uid="{00000000-0005-0000-0000-000009000000}"/>
  </cellStyles>
  <dxfs count="0"/>
  <tableStyles count="0" defaultTableStyle="TableStyleMedium2" defaultPivotStyle="PivotStyleLight16"/>
  <colors>
    <mruColors>
      <color rgb="FF003399"/>
      <color rgb="FFEEEEEE"/>
      <color rgb="FF7E5400"/>
      <color rgb="FF33CCCC"/>
      <color rgb="FFAEAAAA"/>
      <color rgb="FF9BC2E6"/>
      <color rgb="FF249390"/>
      <color rgb="FF196563"/>
      <color rgb="FFEAFAFA"/>
      <color rgb="FFC7F2F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1" i="0" baseline="0">
                <a:effectLst/>
              </a:rPr>
              <a:t>Figure 12.12: Water Distribution in Hulhumale, 2010  - 2024</a:t>
            </a:r>
            <a:endParaRPr lang="en-US" sz="1100">
              <a:effectLst/>
            </a:endParaRPr>
          </a:p>
        </c:rich>
      </c:tx>
      <c:layout>
        <c:manualLayout>
          <c:xMode val="edge"/>
          <c:yMode val="edge"/>
          <c:x val="0.21991757355323199"/>
          <c:y val="4.166666666666669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spPr>
            <a:solidFill>
              <a:srgbClr val="003399"/>
            </a:solidFill>
            <a:ln>
              <a:noFill/>
            </a:ln>
            <a:effectLst/>
          </c:spPr>
          <c:invertIfNegative val="0"/>
          <c:cat>
            <c:numRef>
              <c:f>'12.11'!$C$5:$Q$5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'12.11'!$C$6:$Q$6</c:f>
              <c:numCache>
                <c:formatCode>0.0</c:formatCode>
                <c:ptCount val="15"/>
                <c:pt idx="0">
                  <c:v>195.63159999999999</c:v>
                </c:pt>
                <c:pt idx="1">
                  <c:v>260.71799999999996</c:v>
                </c:pt>
                <c:pt idx="2">
                  <c:v>398.70199999999994</c:v>
                </c:pt>
                <c:pt idx="3">
                  <c:v>422.67500000000001</c:v>
                </c:pt>
                <c:pt idx="4">
                  <c:v>622.2589999999999</c:v>
                </c:pt>
                <c:pt idx="5">
                  <c:v>771.779</c:v>
                </c:pt>
                <c:pt idx="6">
                  <c:v>968.56299999999999</c:v>
                </c:pt>
                <c:pt idx="7" formatCode="#,##0.0">
                  <c:v>1176.5320000000002</c:v>
                </c:pt>
                <c:pt idx="8" formatCode="#,##0.0">
                  <c:v>1510.0730000000001</c:v>
                </c:pt>
                <c:pt idx="9" formatCode="#,##0.0">
                  <c:v>1819.587</c:v>
                </c:pt>
                <c:pt idx="10" formatCode="#,##0.0">
                  <c:v>1984.9509999999998</c:v>
                </c:pt>
                <c:pt idx="11" formatCode="#,##0.0">
                  <c:v>2268.5158000000001</c:v>
                </c:pt>
                <c:pt idx="12" formatCode="#,##0.0">
                  <c:v>3247.9136000000008</c:v>
                </c:pt>
                <c:pt idx="13" formatCode="#,##0.0">
                  <c:v>3915.6299999999997</c:v>
                </c:pt>
                <c:pt idx="14" formatCode="#,##0.0">
                  <c:v>4633.0999999999995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F8-45E8-BECB-9A5B1B8841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3367640"/>
        <c:axId val="463363328"/>
      </c:barChart>
      <c:catAx>
        <c:axId val="463367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3363328"/>
        <c:crosses val="autoZero"/>
        <c:auto val="1"/>
        <c:lblAlgn val="ctr"/>
        <c:lblOffset val="100"/>
        <c:noMultiLvlLbl val="0"/>
      </c:catAx>
      <c:valAx>
        <c:axId val="463363328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3367640"/>
        <c:crosses val="autoZero"/>
        <c:crossBetween val="between"/>
      </c:valAx>
      <c:spPr>
        <a:solidFill>
          <a:srgbClr val="EEEEEE"/>
        </a:solidFill>
        <a:ln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14901</xdr:colOff>
      <xdr:row>20</xdr:row>
      <xdr:rowOff>51414</xdr:rowOff>
    </xdr:from>
    <xdr:to>
      <xdr:col>13</xdr:col>
      <xdr:colOff>174113</xdr:colOff>
      <xdr:row>37</xdr:row>
      <xdr:rowOff>3789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AD21"/>
  <sheetViews>
    <sheetView tabSelected="1" zoomScale="85" zoomScaleNormal="85" workbookViewId="0">
      <selection activeCell="Z18" sqref="Z18"/>
    </sheetView>
  </sheetViews>
  <sheetFormatPr defaultColWidth="9.140625" defaultRowHeight="12.75"/>
  <cols>
    <col min="1" max="1" width="11.42578125" style="2" customWidth="1"/>
    <col min="2" max="2" width="12.42578125" style="2" hidden="1" customWidth="1"/>
    <col min="3" max="17" width="11.28515625" style="2" customWidth="1"/>
    <col min="18" max="18" width="15.28515625" style="2" customWidth="1"/>
    <col min="19" max="16384" width="9.140625" style="2"/>
  </cols>
  <sheetData>
    <row r="1" spans="1:30" ht="15.75">
      <c r="A1" s="34" t="s">
        <v>32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</row>
    <row r="2" spans="1:30" s="3" customFormat="1">
      <c r="A2" s="36" t="s">
        <v>31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</row>
    <row r="3" spans="1:30" s="1" customFormat="1" ht="16.5">
      <c r="A3" s="35" t="s">
        <v>2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23"/>
      <c r="T3" s="23"/>
      <c r="U3" s="24"/>
      <c r="V3" s="24"/>
      <c r="W3" s="24"/>
      <c r="X3" s="24"/>
      <c r="Y3" s="24"/>
      <c r="Z3" s="30"/>
      <c r="AA3" s="30"/>
      <c r="AB3" s="30"/>
      <c r="AC3" s="30"/>
      <c r="AD3" s="31"/>
    </row>
    <row r="4" spans="1:30" s="1" customFormat="1" ht="16.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23"/>
      <c r="T4" s="23"/>
      <c r="U4" s="24"/>
      <c r="V4" s="24"/>
      <c r="W4" s="24"/>
      <c r="X4" s="24"/>
      <c r="Y4" s="24"/>
      <c r="Z4" s="30"/>
      <c r="AA4" s="30"/>
      <c r="AB4" s="30"/>
      <c r="AC4" s="30"/>
      <c r="AD4" s="31"/>
    </row>
    <row r="5" spans="1:30" s="4" customFormat="1" ht="15.75">
      <c r="A5" s="6" t="s">
        <v>3</v>
      </c>
      <c r="B5" s="7">
        <v>2009</v>
      </c>
      <c r="C5" s="7">
        <v>2010</v>
      </c>
      <c r="D5" s="7">
        <v>2011</v>
      </c>
      <c r="E5" s="7">
        <v>2012</v>
      </c>
      <c r="F5" s="7">
        <v>2013</v>
      </c>
      <c r="G5" s="7">
        <v>2014</v>
      </c>
      <c r="H5" s="7">
        <v>2015</v>
      </c>
      <c r="I5" s="7">
        <v>2016</v>
      </c>
      <c r="J5" s="7">
        <v>2017</v>
      </c>
      <c r="K5" s="7">
        <v>2018</v>
      </c>
      <c r="L5" s="7">
        <v>2019</v>
      </c>
      <c r="M5" s="7">
        <v>2020</v>
      </c>
      <c r="N5" s="7">
        <v>2021</v>
      </c>
      <c r="O5" s="7">
        <v>2022</v>
      </c>
      <c r="P5" s="7">
        <v>2023</v>
      </c>
      <c r="Q5" s="7">
        <v>2024</v>
      </c>
      <c r="R5" s="25" t="s">
        <v>4</v>
      </c>
    </row>
    <row r="6" spans="1:30" ht="15.75">
      <c r="A6" s="8" t="s">
        <v>5</v>
      </c>
      <c r="B6" s="9">
        <f t="shared" ref="B6:I6" si="0">SUM(B7:B18)</f>
        <v>138.1747</v>
      </c>
      <c r="C6" s="9">
        <f t="shared" si="0"/>
        <v>195.63159999999999</v>
      </c>
      <c r="D6" s="9">
        <f t="shared" si="0"/>
        <v>260.71799999999996</v>
      </c>
      <c r="E6" s="10">
        <f t="shared" si="0"/>
        <v>398.70199999999994</v>
      </c>
      <c r="F6" s="10">
        <f t="shared" si="0"/>
        <v>422.67500000000001</v>
      </c>
      <c r="G6" s="10">
        <f t="shared" si="0"/>
        <v>622.2589999999999</v>
      </c>
      <c r="H6" s="10">
        <f t="shared" si="0"/>
        <v>771.779</v>
      </c>
      <c r="I6" s="10">
        <f t="shared" si="0"/>
        <v>968.56299999999999</v>
      </c>
      <c r="J6" s="19">
        <f t="shared" ref="J6:O6" si="1">SUM(J7:J18)</f>
        <v>1176.5320000000002</v>
      </c>
      <c r="K6" s="19">
        <f t="shared" si="1"/>
        <v>1510.0730000000001</v>
      </c>
      <c r="L6" s="19">
        <f t="shared" si="1"/>
        <v>1819.587</v>
      </c>
      <c r="M6" s="19">
        <f t="shared" si="1"/>
        <v>1984.9509999999998</v>
      </c>
      <c r="N6" s="19">
        <f t="shared" si="1"/>
        <v>2268.5158000000001</v>
      </c>
      <c r="O6" s="19">
        <f t="shared" si="1"/>
        <v>3247.9136000000008</v>
      </c>
      <c r="P6" s="19">
        <f t="shared" ref="P6:Q6" si="2">SUM(P7:P18)</f>
        <v>3915.6299999999997</v>
      </c>
      <c r="Q6" s="19">
        <f t="shared" si="2"/>
        <v>4633.0999999999995</v>
      </c>
      <c r="R6" s="26" t="s">
        <v>6</v>
      </c>
    </row>
    <row r="7" spans="1:30" ht="15.75">
      <c r="A7" s="11" t="s">
        <v>7</v>
      </c>
      <c r="B7" s="12">
        <v>9.6440999999999999</v>
      </c>
      <c r="C7" s="12">
        <f>16473.3/1000</f>
        <v>16.473299999999998</v>
      </c>
      <c r="D7" s="12">
        <v>16.818999999999999</v>
      </c>
      <c r="E7" s="13">
        <v>28.876000000000001</v>
      </c>
      <c r="F7" s="13">
        <v>35.198999999999998</v>
      </c>
      <c r="G7" s="13">
        <v>49.603999999999999</v>
      </c>
      <c r="H7" s="13">
        <v>60.088000000000001</v>
      </c>
      <c r="I7" s="13">
        <v>73.575000000000003</v>
      </c>
      <c r="J7" s="13">
        <v>89.88</v>
      </c>
      <c r="K7" s="13">
        <v>115.749</v>
      </c>
      <c r="L7" s="13">
        <v>153.19300000000001</v>
      </c>
      <c r="M7" s="20">
        <v>166.35499999999999</v>
      </c>
      <c r="N7" s="21">
        <v>169.13200000000001</v>
      </c>
      <c r="O7" s="21">
        <v>248.28800000000001</v>
      </c>
      <c r="P7" s="32">
        <v>306.06400000000002</v>
      </c>
      <c r="Q7" s="32">
        <v>373.8</v>
      </c>
      <c r="R7" s="27" t="s">
        <v>8</v>
      </c>
    </row>
    <row r="8" spans="1:30" ht="15.75">
      <c r="A8" s="11" t="s">
        <v>9</v>
      </c>
      <c r="B8" s="12">
        <v>9.4510000000000005</v>
      </c>
      <c r="C8" s="12">
        <f>15613.3/1000</f>
        <v>15.613299999999999</v>
      </c>
      <c r="D8" s="12">
        <v>15.41</v>
      </c>
      <c r="E8" s="13">
        <v>27.745999999999999</v>
      </c>
      <c r="F8" s="13">
        <v>32.840000000000003</v>
      </c>
      <c r="G8" s="13">
        <v>45.359000000000002</v>
      </c>
      <c r="H8" s="13">
        <v>56.396000000000001</v>
      </c>
      <c r="I8" s="13">
        <v>75.344999999999999</v>
      </c>
      <c r="J8" s="13">
        <v>84.846999999999994</v>
      </c>
      <c r="K8" s="13">
        <v>110.367</v>
      </c>
      <c r="L8" s="13">
        <v>138.864</v>
      </c>
      <c r="M8" s="20">
        <v>158.06899999999999</v>
      </c>
      <c r="N8" s="21">
        <v>156.76499999999999</v>
      </c>
      <c r="O8" s="21">
        <v>231.23599999999999</v>
      </c>
      <c r="P8" s="32">
        <v>289.79000000000002</v>
      </c>
      <c r="Q8" s="32">
        <v>355</v>
      </c>
      <c r="R8" s="27" t="s">
        <v>10</v>
      </c>
    </row>
    <row r="9" spans="1:30" ht="15.75">
      <c r="A9" s="11" t="s">
        <v>11</v>
      </c>
      <c r="B9" s="12">
        <v>11.5985</v>
      </c>
      <c r="C9" s="12">
        <f>17038.5/1000</f>
        <v>17.038499999999999</v>
      </c>
      <c r="D9" s="12">
        <v>19.492999999999999</v>
      </c>
      <c r="E9" s="13">
        <v>30.925999999999998</v>
      </c>
      <c r="F9" s="13">
        <v>35.325000000000003</v>
      </c>
      <c r="G9" s="13">
        <v>49.375</v>
      </c>
      <c r="H9" s="13">
        <v>64.724999999999994</v>
      </c>
      <c r="I9" s="13">
        <v>87.936000000000007</v>
      </c>
      <c r="J9" s="13">
        <v>96.578999999999994</v>
      </c>
      <c r="K9" s="13">
        <v>125.089</v>
      </c>
      <c r="L9" s="13">
        <v>158.08099999999999</v>
      </c>
      <c r="M9" s="20">
        <v>173.65</v>
      </c>
      <c r="N9" s="21">
        <v>171.59610000000001</v>
      </c>
      <c r="O9" s="21">
        <v>263.30610000000001</v>
      </c>
      <c r="P9" s="32">
        <v>330.95</v>
      </c>
      <c r="Q9" s="32">
        <v>398.9</v>
      </c>
      <c r="R9" s="27" t="s">
        <v>12</v>
      </c>
    </row>
    <row r="10" spans="1:30" ht="15.75">
      <c r="A10" s="11" t="s">
        <v>13</v>
      </c>
      <c r="B10" s="12">
        <v>11.151400000000001</v>
      </c>
      <c r="C10" s="12">
        <f>16484.3/1000</f>
        <v>16.484299999999998</v>
      </c>
      <c r="D10" s="12">
        <v>19.390999999999998</v>
      </c>
      <c r="E10" s="13">
        <v>32.526000000000003</v>
      </c>
      <c r="F10" s="13">
        <v>32.479999999999997</v>
      </c>
      <c r="G10" s="13">
        <v>50.628999999999998</v>
      </c>
      <c r="H10" s="13">
        <v>64.364000000000004</v>
      </c>
      <c r="I10" s="13">
        <v>82.372</v>
      </c>
      <c r="J10" s="13">
        <v>97.728999999999999</v>
      </c>
      <c r="K10" s="13">
        <v>120.625</v>
      </c>
      <c r="L10" s="13">
        <v>155.32499999999999</v>
      </c>
      <c r="M10" s="20">
        <v>159.667</v>
      </c>
      <c r="N10" s="21">
        <v>177.36199999999999</v>
      </c>
      <c r="O10" s="21">
        <v>270.47199999999998</v>
      </c>
      <c r="P10" s="32">
        <v>319.42500000000001</v>
      </c>
      <c r="Q10" s="32">
        <v>369.9</v>
      </c>
      <c r="R10" s="27" t="s">
        <v>14</v>
      </c>
    </row>
    <row r="11" spans="1:30" ht="15.75">
      <c r="A11" s="11" t="s">
        <v>15</v>
      </c>
      <c r="B11" s="12">
        <v>10.5847</v>
      </c>
      <c r="C11" s="12">
        <f>15456.1/1000</f>
        <v>15.456100000000001</v>
      </c>
      <c r="D11" s="12">
        <v>21.202000000000002</v>
      </c>
      <c r="E11" s="13">
        <v>35.826000000000001</v>
      </c>
      <c r="F11" s="13">
        <v>31.451000000000001</v>
      </c>
      <c r="G11" s="13">
        <v>51.429000000000002</v>
      </c>
      <c r="H11" s="13">
        <v>66.656999999999996</v>
      </c>
      <c r="I11" s="13">
        <v>80.177000000000007</v>
      </c>
      <c r="J11" s="13">
        <v>96.448999999999998</v>
      </c>
      <c r="K11" s="13">
        <v>120.619</v>
      </c>
      <c r="L11" s="13">
        <v>159.46600000000001</v>
      </c>
      <c r="M11" s="20">
        <v>166.44200000000001</v>
      </c>
      <c r="N11" s="21">
        <v>170.631</v>
      </c>
      <c r="O11" s="21">
        <v>265.13589999999999</v>
      </c>
      <c r="P11" s="32">
        <v>307.21100000000001</v>
      </c>
      <c r="Q11" s="32">
        <v>390.1</v>
      </c>
      <c r="R11" s="27" t="s">
        <v>16</v>
      </c>
    </row>
    <row r="12" spans="1:30" ht="15.75">
      <c r="A12" s="11" t="s">
        <v>17</v>
      </c>
      <c r="B12" s="12">
        <v>10.6518</v>
      </c>
      <c r="C12" s="12">
        <f>15278.5/1000</f>
        <v>15.278499999999999</v>
      </c>
      <c r="D12" s="12">
        <v>20.731999999999999</v>
      </c>
      <c r="E12" s="13">
        <v>36.28</v>
      </c>
      <c r="F12" s="13">
        <v>31.388999999999999</v>
      </c>
      <c r="G12" s="13">
        <v>52.448999999999998</v>
      </c>
      <c r="H12" s="13">
        <v>67.182000000000002</v>
      </c>
      <c r="I12" s="13">
        <v>76.599000000000004</v>
      </c>
      <c r="J12" s="13">
        <v>93.299000000000007</v>
      </c>
      <c r="K12" s="13">
        <v>117.56699999999999</v>
      </c>
      <c r="L12" s="13">
        <v>147.38499999999999</v>
      </c>
      <c r="M12" s="20">
        <v>161.92400000000001</v>
      </c>
      <c r="N12" s="21">
        <v>167.17500000000001</v>
      </c>
      <c r="O12" s="21">
        <v>265.85610000000003</v>
      </c>
      <c r="P12" s="32">
        <v>309.02499999999998</v>
      </c>
      <c r="Q12" s="32">
        <v>374.5</v>
      </c>
      <c r="R12" s="27" t="s">
        <v>18</v>
      </c>
    </row>
    <row r="13" spans="1:30" ht="15.75">
      <c r="A13" s="11" t="s">
        <v>19</v>
      </c>
      <c r="B13" s="12">
        <v>11.2951</v>
      </c>
      <c r="C13" s="12">
        <f>15662.1/1000</f>
        <v>15.662100000000001</v>
      </c>
      <c r="D13" s="12">
        <v>22.3</v>
      </c>
      <c r="E13" s="13">
        <v>39.279000000000003</v>
      </c>
      <c r="F13" s="13">
        <v>34.36</v>
      </c>
      <c r="G13" s="13">
        <v>52.813000000000002</v>
      </c>
      <c r="H13" s="13">
        <v>64.546000000000006</v>
      </c>
      <c r="I13" s="13">
        <v>77.701999999999998</v>
      </c>
      <c r="J13" s="13">
        <v>101.212</v>
      </c>
      <c r="K13" s="13">
        <v>125.96599999999999</v>
      </c>
      <c r="L13" s="13">
        <v>153.505</v>
      </c>
      <c r="M13" s="20">
        <v>168.06299999999999</v>
      </c>
      <c r="N13" s="21">
        <v>174.6549</v>
      </c>
      <c r="O13" s="21">
        <v>259.90300000000002</v>
      </c>
      <c r="P13" s="32">
        <v>312.35500000000002</v>
      </c>
      <c r="Q13" s="32">
        <v>400.1</v>
      </c>
      <c r="R13" s="27" t="s">
        <v>20</v>
      </c>
    </row>
    <row r="14" spans="1:30" ht="15.75">
      <c r="A14" s="11" t="s">
        <v>21</v>
      </c>
      <c r="B14" s="12">
        <v>12.038500000000001</v>
      </c>
      <c r="C14" s="12">
        <f>16729/1000</f>
        <v>16.728999999999999</v>
      </c>
      <c r="D14" s="12">
        <v>24.875</v>
      </c>
      <c r="E14" s="13">
        <v>37.287999999999997</v>
      </c>
      <c r="F14" s="13">
        <v>33.33</v>
      </c>
      <c r="G14" s="13">
        <v>53.771999999999998</v>
      </c>
      <c r="H14" s="13">
        <v>67.123999999999995</v>
      </c>
      <c r="I14" s="13">
        <v>81.769000000000005</v>
      </c>
      <c r="J14" s="13">
        <v>104.381</v>
      </c>
      <c r="K14" s="13">
        <v>126.453</v>
      </c>
      <c r="L14" s="13">
        <v>154.851</v>
      </c>
      <c r="M14" s="20">
        <v>173.38800000000001</v>
      </c>
      <c r="N14" s="21">
        <v>204.62989999999999</v>
      </c>
      <c r="O14" s="21">
        <v>282.73669999999998</v>
      </c>
      <c r="P14" s="32">
        <v>331.53800000000001</v>
      </c>
      <c r="Q14" s="32">
        <v>392.9</v>
      </c>
      <c r="R14" s="27" t="s">
        <v>22</v>
      </c>
    </row>
    <row r="15" spans="1:30" ht="15.75">
      <c r="A15" s="11" t="s">
        <v>23</v>
      </c>
      <c r="B15" s="12">
        <v>12.564</v>
      </c>
      <c r="C15" s="12">
        <f>16091.8/1000</f>
        <v>16.091799999999999</v>
      </c>
      <c r="D15" s="12">
        <v>23.678000000000001</v>
      </c>
      <c r="E15" s="13">
        <v>34.450000000000003</v>
      </c>
      <c r="F15" s="13">
        <v>35.142000000000003</v>
      </c>
      <c r="G15" s="13">
        <v>51.92</v>
      </c>
      <c r="H15" s="13">
        <v>60.133000000000003</v>
      </c>
      <c r="I15" s="13">
        <v>79.206999999999994</v>
      </c>
      <c r="J15" s="13">
        <v>94.138000000000005</v>
      </c>
      <c r="K15" s="13">
        <v>127.758</v>
      </c>
      <c r="L15" s="13">
        <v>147.07300000000001</v>
      </c>
      <c r="M15" s="20">
        <v>165.12200000000001</v>
      </c>
      <c r="N15" s="21">
        <v>213.256</v>
      </c>
      <c r="O15" s="21">
        <v>284.52480000000003</v>
      </c>
      <c r="P15" s="32">
        <v>341.82499999999999</v>
      </c>
      <c r="Q15" s="32">
        <v>383.1</v>
      </c>
      <c r="R15" s="27" t="s">
        <v>24</v>
      </c>
    </row>
    <row r="16" spans="1:30" ht="15.75">
      <c r="A16" s="11" t="s">
        <v>25</v>
      </c>
      <c r="B16" s="12">
        <v>13.2888</v>
      </c>
      <c r="C16" s="12">
        <f>18183/1000</f>
        <v>18.183</v>
      </c>
      <c r="D16" s="12">
        <v>26.515999999999998</v>
      </c>
      <c r="E16" s="13">
        <v>32.64</v>
      </c>
      <c r="F16" s="13">
        <v>38.256999999999998</v>
      </c>
      <c r="G16" s="13">
        <v>52.387</v>
      </c>
      <c r="H16" s="13">
        <v>66.266000000000005</v>
      </c>
      <c r="I16" s="13">
        <v>86.495000000000005</v>
      </c>
      <c r="J16" s="13">
        <v>105.005</v>
      </c>
      <c r="K16" s="13">
        <v>133.58000000000001</v>
      </c>
      <c r="L16" s="13">
        <v>149.947</v>
      </c>
      <c r="M16" s="20">
        <v>163.072</v>
      </c>
      <c r="N16" s="21">
        <v>216.89590000000001</v>
      </c>
      <c r="O16" s="21">
        <v>292.61900000000003</v>
      </c>
      <c r="P16" s="32">
        <v>359.09699999999998</v>
      </c>
      <c r="Q16" s="32">
        <v>397.5</v>
      </c>
      <c r="R16" s="27" t="s">
        <v>26</v>
      </c>
    </row>
    <row r="17" spans="1:21" ht="15.75">
      <c r="A17" s="11" t="s">
        <v>27</v>
      </c>
      <c r="B17" s="12">
        <v>12.004200000000001</v>
      </c>
      <c r="C17" s="12">
        <f>16258.8/1000</f>
        <v>16.258800000000001</v>
      </c>
      <c r="D17" s="12">
        <v>23.587</v>
      </c>
      <c r="E17" s="13">
        <v>31.102</v>
      </c>
      <c r="F17" s="13">
        <v>39.124000000000002</v>
      </c>
      <c r="G17" s="13">
        <v>52.207999999999998</v>
      </c>
      <c r="H17" s="13">
        <v>65.510000000000005</v>
      </c>
      <c r="I17" s="13">
        <v>82.668000000000006</v>
      </c>
      <c r="J17" s="13">
        <v>101.669</v>
      </c>
      <c r="K17" s="13">
        <v>140.12</v>
      </c>
      <c r="L17" s="13">
        <v>148.67400000000001</v>
      </c>
      <c r="M17" s="20">
        <v>162.196</v>
      </c>
      <c r="N17" s="21">
        <v>210.20009999999999</v>
      </c>
      <c r="O17" s="21">
        <v>286.60300000000001</v>
      </c>
      <c r="P17" s="32">
        <v>346.68799999999999</v>
      </c>
      <c r="Q17" s="32">
        <v>389</v>
      </c>
      <c r="R17" s="27" t="s">
        <v>28</v>
      </c>
    </row>
    <row r="18" spans="1:21" ht="15.75">
      <c r="A18" s="14" t="s">
        <v>29</v>
      </c>
      <c r="B18" s="15">
        <v>13.9026</v>
      </c>
      <c r="C18" s="15">
        <f>16362.9/1000</f>
        <v>16.3629</v>
      </c>
      <c r="D18" s="15">
        <v>26.715</v>
      </c>
      <c r="E18" s="16">
        <v>31.763000000000002</v>
      </c>
      <c r="F18" s="16">
        <v>43.777999999999999</v>
      </c>
      <c r="G18" s="16">
        <v>60.314</v>
      </c>
      <c r="H18" s="16">
        <v>68.787999999999997</v>
      </c>
      <c r="I18" s="16">
        <v>84.718000000000004</v>
      </c>
      <c r="J18" s="16">
        <v>111.34399999999999</v>
      </c>
      <c r="K18" s="16">
        <v>146.18</v>
      </c>
      <c r="L18" s="16">
        <v>153.22300000000001</v>
      </c>
      <c r="M18" s="22">
        <v>167.00299999999999</v>
      </c>
      <c r="N18" s="22">
        <v>236.21789999999999</v>
      </c>
      <c r="O18" s="22">
        <v>297.233</v>
      </c>
      <c r="P18" s="33">
        <v>361.66199999999998</v>
      </c>
      <c r="Q18" s="33">
        <v>408.3</v>
      </c>
      <c r="R18" s="28" t="s">
        <v>30</v>
      </c>
    </row>
    <row r="19" spans="1:21" ht="15">
      <c r="A19" s="17" t="s">
        <v>1</v>
      </c>
      <c r="R19" s="29" t="s">
        <v>0</v>
      </c>
    </row>
    <row r="21" spans="1:21" ht="15.75"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</row>
  </sheetData>
  <mergeCells count="3">
    <mergeCell ref="A1:R1"/>
    <mergeCell ref="A2:R2"/>
    <mergeCell ref="A3:R3"/>
  </mergeCells>
  <pageMargins left="0.7" right="0.7" top="0.75" bottom="0.75" header="0.3" footer="0.3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12.11</vt:lpstr>
      <vt:lpstr>'12.11'!Print_Area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2025-06-01T05:29:12Z</cp:lastPrinted>
  <dcterms:created xsi:type="dcterms:W3CDTF">2019-05-21T05:57:00Z</dcterms:created>
  <dcterms:modified xsi:type="dcterms:W3CDTF">2025-06-01T05:29:17Z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1FFA511C9209493481C69AEC409D6FFC_12</vt:lpwstr>
  </property>
  <property fmtid="{D5CDD505-2E9C-101B-9397-08002B2CF9AE}" pid="3" name="KSOProductBuildVer">
    <vt:lpwstr>1033-12.2.0.17562</vt:lpwstr>
  </property>
</Properties>
</file>