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FBA5F93D-26A3-47F2-8174-B89B06FE77C9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9" sheetId="9" r:id="rId1"/>
  </sheets>
  <definedNames>
    <definedName name="Male">#REF!</definedName>
    <definedName name="_xlnm.Print_Area" localSheetId="0">'12.9'!$A$1:$Y$22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9" l="1"/>
  <c r="F18" i="9" l="1"/>
  <c r="F17" i="9"/>
  <c r="F16" i="9"/>
  <c r="F15" i="9"/>
  <c r="F14" i="9"/>
  <c r="F13" i="9"/>
  <c r="F12" i="9"/>
  <c r="F11" i="9"/>
  <c r="F10" i="9"/>
  <c r="F9" i="9"/>
  <c r="F8" i="9"/>
  <c r="F7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E6" i="9"/>
  <c r="D6" i="9"/>
  <c r="C6" i="9"/>
  <c r="B6" i="9"/>
  <c r="F6" i="9" l="1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<sst xmlns="http://schemas.openxmlformats.org/spreadsheetml/2006/main" count="33" uniqueCount="33">
  <si>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</si>
  <si>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</si>
  <si>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</si>
  <si>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</si>
  <si>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</si>
  <si>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</si>
  <si>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</si>
  <si>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</si>
  <si>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</si>
  <si>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</si>
  <si>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</si>
  <si>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</si>
  <si>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</si>
  <si>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</si>
  <si>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</si>
  <si>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</si>
  <si>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</si>
  <si>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</si>
  <si>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</si>
  <si>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</si>
  <si>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</si>
  <si>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</si>
  <si>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</si>
  <si>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</si>
  <si>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</si>
  <si>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</si>
  <si>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</si>
  <si>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</si>
  <si>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</si>
  <si>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</si>
  <si>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</si>
  <si>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12.9 : WATER DISTRIBUTION  IN MALE', BY MONTH 2009 - 2024</t>
  </si>
  <si>
    <t>2024- 2009 ,urwvcnim unuverukcnunEb cnef iawgElWm cnutog eguhwmcswm  : 12.9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</si>
</sst>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_(* #,##0.0_);_(* \(#,##0.0\);_(* &quot;-&quot;??_);_(@_)"/>
  </numFmts>
  <fonts count="20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sz val="10"/>
      <name val="Garamond"/>
      <family val="1"/>
    </font>
    <font>
      <sz val="14"/>
      <name val="A_Utheem"/>
    </font>
    <font>
      <sz val="9"/>
      <name val="Garamond"/>
      <family val="1"/>
    </font>
    <font>
      <b/>
      <sz val="9"/>
      <name val="Arial"/>
      <family val="2"/>
    </font>
    <font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 Aa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0">
    <xf numFmtId="0" fontId="0" fillId="0" borderId="0"/>
    <xf numFmtId="43" fontId="19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7" fillId="0" borderId="0"/>
    <xf numFmtId="0" fontId="3" fillId="0" borderId="0"/>
    <xf numFmtId="0" fontId="11" fillId="0" borderId="0"/>
  </cellStyleXfs>
  <cellXfs count="34">
    <xf numFmtId="0" fontId="0" fillId="0" borderId="0" xfId="0"/>
    <xf numFmtId="0" fontId="3" fillId="2" borderId="0" xfId="5" applyFill="1"/>
    <xf numFmtId="0" fontId="4" fillId="2" borderId="0" xfId="5" applyFont="1" applyFill="1"/>
    <xf numFmtId="0" fontId="2" fillId="2" borderId="0" xfId="9" applyFont="1" applyFill="1"/>
    <xf numFmtId="0" fontId="5" fillId="2" borderId="0" xfId="9" applyFont="1" applyFill="1" applyAlignment="1">
      <alignment vertical="center"/>
    </xf>
    <xf numFmtId="0" fontId="8" fillId="2" borderId="1" xfId="9" applyFont="1" applyFill="1" applyBorder="1" applyAlignment="1">
      <alignment horizontal="right"/>
    </xf>
    <xf numFmtId="0" fontId="7" fillId="2" borderId="0" xfId="9" applyFont="1" applyFill="1" applyAlignment="1">
      <alignment horizontal="right"/>
    </xf>
    <xf numFmtId="0" fontId="11" fillId="2" borderId="0" xfId="9" applyFill="1"/>
    <xf numFmtId="0" fontId="12" fillId="2" borderId="0" xfId="5" applyFont="1" applyFill="1" applyAlignment="1">
      <alignment horizontal="center" vertical="center"/>
    </xf>
    <xf numFmtId="0" fontId="13" fillId="2" borderId="0" xfId="9" applyFont="1" applyFill="1"/>
    <xf numFmtId="0" fontId="14" fillId="2" borderId="2" xfId="9" applyFont="1" applyFill="1" applyBorder="1" applyAlignment="1">
      <alignment horizontal="center"/>
    </xf>
    <xf numFmtId="0" fontId="5" fillId="2" borderId="1" xfId="9" applyFont="1" applyFill="1" applyBorder="1"/>
    <xf numFmtId="0" fontId="5" fillId="2" borderId="1" xfId="9" applyFont="1" applyFill="1" applyBorder="1" applyAlignment="1">
      <alignment horizontal="right"/>
    </xf>
    <xf numFmtId="165" fontId="5" fillId="2" borderId="0" xfId="9" applyNumberFormat="1" applyFont="1" applyFill="1" applyAlignment="1">
      <alignment vertical="center"/>
    </xf>
    <xf numFmtId="0" fontId="6" fillId="2" borderId="0" xfId="9" applyFont="1" applyFill="1" applyAlignment="1">
      <alignment horizontal="left" vertical="center"/>
    </xf>
    <xf numFmtId="165" fontId="6" fillId="2" borderId="0" xfId="9" applyNumberFormat="1" applyFont="1" applyFill="1" applyAlignment="1">
      <alignment vertical="center"/>
    </xf>
    <xf numFmtId="0" fontId="6" fillId="2" borderId="0" xfId="9" applyFont="1" applyFill="1" applyAlignment="1">
      <alignment vertical="center"/>
    </xf>
    <xf numFmtId="0" fontId="6" fillId="2" borderId="3" xfId="9" applyFont="1" applyFill="1" applyBorder="1" applyAlignment="1">
      <alignment horizontal="left" vertical="center"/>
    </xf>
    <xf numFmtId="165" fontId="6" fillId="2" borderId="3" xfId="9" applyNumberFormat="1" applyFont="1" applyFill="1" applyBorder="1" applyAlignment="1">
      <alignment vertical="center"/>
    </xf>
    <xf numFmtId="0" fontId="1" fillId="2" borderId="0" xfId="9" applyFont="1" applyFill="1"/>
    <xf numFmtId="0" fontId="15" fillId="2" borderId="0" xfId="9" applyFont="1" applyFill="1"/>
    <xf numFmtId="166" fontId="15" fillId="2" borderId="0" xfId="9" applyNumberFormat="1" applyFont="1" applyFill="1"/>
    <xf numFmtId="0" fontId="8" fillId="2" borderId="0" xfId="9" applyFont="1" applyFill="1" applyAlignment="1">
      <alignment horizontal="right" vertical="center"/>
    </xf>
    <xf numFmtId="167" fontId="6" fillId="2" borderId="0" xfId="1" applyNumberFormat="1" applyFont="1" applyFill="1"/>
    <xf numFmtId="0" fontId="9" fillId="2" borderId="0" xfId="9" applyFont="1" applyFill="1" applyAlignment="1">
      <alignment horizontal="right" vertical="center"/>
    </xf>
    <xf numFmtId="167" fontId="6" fillId="2" borderId="2" xfId="1" applyNumberFormat="1" applyFont="1" applyFill="1" applyBorder="1"/>
    <xf numFmtId="0" fontId="9" fillId="2" borderId="3" xfId="9" applyFont="1" applyFill="1" applyBorder="1" applyAlignment="1">
      <alignment horizontal="right" vertical="center"/>
    </xf>
    <xf numFmtId="166" fontId="14" fillId="2" borderId="0" xfId="9" applyNumberFormat="1" applyFont="1" applyFill="1"/>
    <xf numFmtId="0" fontId="14" fillId="2" borderId="0" xfId="9" applyFont="1" applyFill="1" applyAlignment="1">
      <alignment horizontal="right"/>
    </xf>
    <xf numFmtId="165" fontId="15" fillId="2" borderId="0" xfId="9" applyNumberFormat="1" applyFont="1" applyFill="1" applyAlignment="1">
      <alignment horizontal="right"/>
    </xf>
    <xf numFmtId="0" fontId="8" fillId="2" borderId="0" xfId="5" applyFont="1" applyFill="1" applyAlignment="1">
      <alignment horizontal="center" vertical="center"/>
    </xf>
    <xf numFmtId="0" fontId="10" fillId="2" borderId="0" xfId="9" applyFont="1" applyFill="1" applyAlignment="1">
      <alignment horizontal="center"/>
    </xf>
    <xf numFmtId="0" fontId="10" fillId="2" borderId="0" xfId="5" applyFont="1" applyFill="1" applyAlignment="1">
      <alignment horizontal="center" vertical="center"/>
    </xf>
    <xf numFmtId="0" fontId="16" fillId="2" borderId="0" xfId="9" applyFont="1" applyFill="1" applyAlignment="1">
      <alignment horizontal="right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A49"/>
  <sheetViews>
    <sheetView tabSelected="1" zoomScale="98" zoomScaleNormal="98" workbookViewId="0">
      <selection activeCell="W6" sqref="W6"/>
    </sheetView>
  </sheetViews>
  <sheetFormatPr defaultColWidth="9.140625" defaultRowHeight="12.75"/>
  <cols>
    <col min="1" max="1" width="13.28515625" style="7" customWidth="1"/>
    <col min="2" max="6" width="9.140625" style="7" hidden="1" customWidth="1"/>
    <col min="7" max="7" width="11.5703125" style="7" hidden="1" customWidth="1"/>
    <col min="8" max="23" width="11.5703125" style="7" customWidth="1"/>
    <col min="24" max="24" width="13.5703125" style="7" customWidth="1"/>
    <col min="25" max="16384" width="9.140625" style="7"/>
  </cols>
  <sheetData>
    <row r="1" spans="1:27" ht="21.75">
      <c r="A1" s="30" t="s">
        <v>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8"/>
      <c r="Z1" s="8"/>
      <c r="AA1" s="8"/>
    </row>
    <row r="2" spans="1:27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7" s="2" customFormat="1" ht="1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7" s="9" customFormat="1" ht="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7" s="9" customFormat="1" ht="17.25">
      <c r="A5" s="11" t="s">
        <v>2</v>
      </c>
      <c r="B5" s="12">
        <v>2001</v>
      </c>
      <c r="C5" s="12">
        <v>2002</v>
      </c>
      <c r="D5" s="12">
        <v>2005</v>
      </c>
      <c r="E5" s="12">
        <v>2006</v>
      </c>
      <c r="F5" s="12">
        <v>2007</v>
      </c>
      <c r="G5" s="12">
        <v>2008</v>
      </c>
      <c r="H5" s="12">
        <v>2009</v>
      </c>
      <c r="I5" s="12">
        <v>2010</v>
      </c>
      <c r="J5" s="12">
        <v>2011</v>
      </c>
      <c r="K5" s="12">
        <v>2012</v>
      </c>
      <c r="L5" s="12">
        <v>2013</v>
      </c>
      <c r="M5" s="12">
        <v>2014</v>
      </c>
      <c r="N5" s="12">
        <v>2015</v>
      </c>
      <c r="O5" s="12">
        <v>2016</v>
      </c>
      <c r="P5" s="12">
        <v>2017</v>
      </c>
      <c r="Q5" s="12">
        <v>2018</v>
      </c>
      <c r="R5" s="12">
        <v>2019</v>
      </c>
      <c r="S5" s="12">
        <v>2020</v>
      </c>
      <c r="T5" s="12">
        <v>2021</v>
      </c>
      <c r="U5" s="12">
        <v>2022</v>
      </c>
      <c r="V5" s="12">
        <v>2023</v>
      </c>
      <c r="W5" s="12">
        <v>2024</v>
      </c>
      <c r="X5" s="5" t="s">
        <v>3</v>
      </c>
    </row>
    <row r="6" spans="1:27" s="9" customFormat="1" ht="15.75">
      <c r="A6" s="4" t="s">
        <v>4</v>
      </c>
      <c r="B6" s="13">
        <f>SUM(B7:B18)</f>
        <v>1206.8999999999999</v>
      </c>
      <c r="C6" s="13">
        <f>SUM(C7:C18)</f>
        <v>1352.8</v>
      </c>
      <c r="D6" s="13">
        <f t="shared" ref="D6:N6" si="0">SUM(D7:D18)</f>
        <v>1969.3999999999999</v>
      </c>
      <c r="E6" s="13">
        <f t="shared" si="0"/>
        <v>2147.41</v>
      </c>
      <c r="F6" s="13">
        <f t="shared" si="0"/>
        <v>2444.4589999999998</v>
      </c>
      <c r="G6" s="13">
        <f t="shared" si="0"/>
        <v>2880.63</v>
      </c>
      <c r="H6" s="13">
        <f t="shared" si="0"/>
        <v>3275.12</v>
      </c>
      <c r="I6" s="13">
        <f t="shared" si="0"/>
        <v>3649.7796999999996</v>
      </c>
      <c r="J6" s="13">
        <f t="shared" si="0"/>
        <v>3997.5260000000007</v>
      </c>
      <c r="K6" s="13">
        <f t="shared" si="0"/>
        <v>4414.3679999999995</v>
      </c>
      <c r="L6" s="13">
        <f t="shared" si="0"/>
        <v>4668.1616000000004</v>
      </c>
      <c r="M6" s="13">
        <f t="shared" si="0"/>
        <v>4977.1473999999998</v>
      </c>
      <c r="N6" s="13">
        <f t="shared" si="0"/>
        <v>5529.7883000000002</v>
      </c>
      <c r="O6" s="13">
        <f t="shared" ref="O6:U6" si="1">SUM(O7:O18)</f>
        <v>6174.5180999999993</v>
      </c>
      <c r="P6" s="13">
        <f t="shared" si="1"/>
        <v>6553.9781000000003</v>
      </c>
      <c r="Q6" s="13">
        <f t="shared" si="1"/>
        <v>6824.6389999999992</v>
      </c>
      <c r="R6" s="13">
        <f t="shared" si="1"/>
        <v>7144.6580999999987</v>
      </c>
      <c r="S6" s="13">
        <f t="shared" si="1"/>
        <v>7078.3444999999992</v>
      </c>
      <c r="T6" s="13">
        <f t="shared" si="1"/>
        <v>7112.0360000000001</v>
      </c>
      <c r="U6" s="13">
        <f t="shared" si="1"/>
        <v>7292.66</v>
      </c>
      <c r="V6" s="13">
        <f t="shared" ref="V6:W6" si="2">SUM(V7:V18)</f>
        <v>7724.058</v>
      </c>
      <c r="W6" s="13">
        <f t="shared" si="2"/>
        <v>8330.7999999999993</v>
      </c>
      <c r="X6" s="22" t="s">
        <v>5</v>
      </c>
    </row>
    <row r="7" spans="1:27" s="9" customFormat="1" ht="15.75">
      <c r="A7" s="14" t="s">
        <v>6</v>
      </c>
      <c r="B7" s="15">
        <v>97.8</v>
      </c>
      <c r="C7" s="15">
        <v>107.4</v>
      </c>
      <c r="D7" s="15">
        <v>154.6</v>
      </c>
      <c r="E7" s="15">
        <v>165.52</v>
      </c>
      <c r="F7" s="15">
        <f>181364/1000</f>
        <v>181.364</v>
      </c>
      <c r="G7" s="15">
        <v>219.124</v>
      </c>
      <c r="H7" s="15">
        <v>260.2</v>
      </c>
      <c r="I7" s="15">
        <v>295.74099999999999</v>
      </c>
      <c r="J7" s="15">
        <v>320.04599999999999</v>
      </c>
      <c r="K7" s="15">
        <v>353.44220000000001</v>
      </c>
      <c r="L7" s="15">
        <v>382.14710000000002</v>
      </c>
      <c r="M7" s="15">
        <v>410.22750000000002</v>
      </c>
      <c r="N7" s="15">
        <v>438.81547</v>
      </c>
      <c r="O7" s="15">
        <v>497.53309999999999</v>
      </c>
      <c r="P7" s="15">
        <v>538.47730000000001</v>
      </c>
      <c r="Q7" s="15">
        <v>558.33500000000004</v>
      </c>
      <c r="R7" s="15">
        <v>588.53499999999997</v>
      </c>
      <c r="S7" s="23">
        <v>615.173</v>
      </c>
      <c r="T7" s="23">
        <v>596.24699999999996</v>
      </c>
      <c r="U7" s="23">
        <v>601.33799999999997</v>
      </c>
      <c r="V7" s="23">
        <v>643.70899999999995</v>
      </c>
      <c r="W7" s="23">
        <v>684.6</v>
      </c>
      <c r="X7" s="24" t="s">
        <v>7</v>
      </c>
    </row>
    <row r="8" spans="1:27" s="9" customFormat="1" ht="15.75">
      <c r="A8" s="14" t="s">
        <v>8</v>
      </c>
      <c r="B8" s="15">
        <v>93.1</v>
      </c>
      <c r="C8" s="15">
        <v>97.3</v>
      </c>
      <c r="D8" s="15">
        <v>160.19999999999999</v>
      </c>
      <c r="E8" s="15">
        <v>166</v>
      </c>
      <c r="F8" s="15">
        <f>181386/1000</f>
        <v>181.386</v>
      </c>
      <c r="G8" s="15">
        <v>223.71199999999999</v>
      </c>
      <c r="H8" s="15">
        <v>247.34700000000001</v>
      </c>
      <c r="I8" s="15">
        <v>274.55099999999999</v>
      </c>
      <c r="J8" s="15">
        <v>297.03500000000003</v>
      </c>
      <c r="K8" s="15">
        <v>339.09739999999999</v>
      </c>
      <c r="L8" s="15">
        <v>355.79899999999998</v>
      </c>
      <c r="M8" s="15">
        <v>386.56700000000001</v>
      </c>
      <c r="N8" s="15">
        <v>408.92599999999999</v>
      </c>
      <c r="O8" s="15">
        <v>482.0061</v>
      </c>
      <c r="P8" s="15">
        <v>499.71370000000002</v>
      </c>
      <c r="Q8" s="15">
        <v>523.89800000000002</v>
      </c>
      <c r="R8" s="15">
        <v>558.35</v>
      </c>
      <c r="S8" s="23">
        <v>595.29</v>
      </c>
      <c r="T8" s="23">
        <v>546.39200000000005</v>
      </c>
      <c r="U8" s="23">
        <v>552.72699999999998</v>
      </c>
      <c r="V8" s="23">
        <v>591.27300000000002</v>
      </c>
      <c r="W8" s="23">
        <v>644.79999999999995</v>
      </c>
      <c r="X8" s="24" t="s">
        <v>9</v>
      </c>
    </row>
    <row r="9" spans="1:27" s="9" customFormat="1" ht="15.75">
      <c r="A9" s="14" t="s">
        <v>10</v>
      </c>
      <c r="B9" s="15">
        <v>106.7</v>
      </c>
      <c r="C9" s="15">
        <v>114</v>
      </c>
      <c r="D9" s="15">
        <v>185.2</v>
      </c>
      <c r="E9" s="15">
        <v>188.21</v>
      </c>
      <c r="F9" s="15">
        <f>211312/1000</f>
        <v>211.31200000000001</v>
      </c>
      <c r="G9" s="15">
        <v>237.709</v>
      </c>
      <c r="H9" s="15">
        <v>293.916</v>
      </c>
      <c r="I9" s="15">
        <v>313.09199999999998</v>
      </c>
      <c r="J9" s="15">
        <v>343.32100000000003</v>
      </c>
      <c r="K9" s="15">
        <v>376.41239999999999</v>
      </c>
      <c r="L9" s="15">
        <v>398.83530000000002</v>
      </c>
      <c r="M9" s="15">
        <v>425.46</v>
      </c>
      <c r="N9" s="15">
        <v>461.67419999999998</v>
      </c>
      <c r="O9" s="15">
        <v>529.94100000000003</v>
      </c>
      <c r="P9" s="15">
        <v>535.98440000000005</v>
      </c>
      <c r="Q9" s="15">
        <v>595.15499999999997</v>
      </c>
      <c r="R9" s="15">
        <v>615.54100000000005</v>
      </c>
      <c r="S9" s="23">
        <v>630.39</v>
      </c>
      <c r="T9" s="23">
        <v>598.33299999999997</v>
      </c>
      <c r="U9" s="23">
        <v>623.58000000000004</v>
      </c>
      <c r="V9" s="23">
        <v>674.99099999999999</v>
      </c>
      <c r="W9" s="23">
        <v>718.1</v>
      </c>
      <c r="X9" s="24" t="s">
        <v>11</v>
      </c>
    </row>
    <row r="10" spans="1:27" s="9" customFormat="1" ht="15.75">
      <c r="A10" s="14" t="s">
        <v>12</v>
      </c>
      <c r="B10" s="15">
        <v>104.7</v>
      </c>
      <c r="C10" s="15">
        <v>113.3</v>
      </c>
      <c r="D10" s="15">
        <v>184.6</v>
      </c>
      <c r="E10" s="15">
        <v>186.82</v>
      </c>
      <c r="F10" s="15">
        <f>203846/1000</f>
        <v>203.846</v>
      </c>
      <c r="G10" s="15">
        <v>236.82400000000001</v>
      </c>
      <c r="H10" s="15">
        <v>279.74200000000002</v>
      </c>
      <c r="I10" s="15">
        <v>312.80700000000002</v>
      </c>
      <c r="J10" s="15">
        <v>335.017</v>
      </c>
      <c r="K10" s="15">
        <v>369.5412</v>
      </c>
      <c r="L10" s="15">
        <v>392.56909999999999</v>
      </c>
      <c r="M10" s="15">
        <v>421.60379999999998</v>
      </c>
      <c r="N10" s="15">
        <v>456.21935999999999</v>
      </c>
      <c r="O10" s="15">
        <v>503.74119999999999</v>
      </c>
      <c r="P10" s="15">
        <v>558.23919999999998</v>
      </c>
      <c r="Q10" s="15">
        <v>580.53</v>
      </c>
      <c r="R10" s="15">
        <v>592.72059999999999</v>
      </c>
      <c r="S10" s="23">
        <v>575.48599999999999</v>
      </c>
      <c r="T10" s="23">
        <v>617.423</v>
      </c>
      <c r="U10" s="23">
        <v>617.06799999999998</v>
      </c>
      <c r="V10" s="23">
        <v>635.92200000000003</v>
      </c>
      <c r="W10" s="23">
        <v>675.1</v>
      </c>
      <c r="X10" s="24" t="s">
        <v>13</v>
      </c>
    </row>
    <row r="11" spans="1:27" s="9" customFormat="1" ht="15.75">
      <c r="A11" s="14" t="s">
        <v>14</v>
      </c>
      <c r="B11" s="15">
        <v>101.8</v>
      </c>
      <c r="C11" s="15">
        <v>119</v>
      </c>
      <c r="D11" s="15">
        <v>177.9</v>
      </c>
      <c r="E11" s="15">
        <v>191.31</v>
      </c>
      <c r="F11" s="15">
        <f>206556/1000</f>
        <v>206.55600000000001</v>
      </c>
      <c r="G11" s="15">
        <v>242.27</v>
      </c>
      <c r="H11" s="15">
        <v>282.65800000000002</v>
      </c>
      <c r="I11" s="15">
        <v>310.40699999999998</v>
      </c>
      <c r="J11" s="15">
        <v>335.98899999999998</v>
      </c>
      <c r="K11" s="15">
        <v>379.00310000000002</v>
      </c>
      <c r="L11" s="15">
        <v>389.09370000000001</v>
      </c>
      <c r="M11" s="15">
        <v>424.5994</v>
      </c>
      <c r="N11" s="15">
        <v>467.64301999999998</v>
      </c>
      <c r="O11" s="15">
        <v>529.41099999999994</v>
      </c>
      <c r="P11" s="15">
        <v>560.82899999999995</v>
      </c>
      <c r="Q11" s="15">
        <v>587.19399999999996</v>
      </c>
      <c r="R11" s="15">
        <v>642.31700000000001</v>
      </c>
      <c r="S11" s="23">
        <v>597.36900000000003</v>
      </c>
      <c r="T11" s="23">
        <v>595.01700000000005</v>
      </c>
      <c r="U11" s="23">
        <v>610.68110000000001</v>
      </c>
      <c r="V11" s="23">
        <v>657.69399999999996</v>
      </c>
      <c r="W11" s="23">
        <v>699.3</v>
      </c>
      <c r="X11" s="24" t="s">
        <v>15</v>
      </c>
      <c r="Z11" s="27"/>
      <c r="AA11" s="27"/>
    </row>
    <row r="12" spans="1:27" s="9" customFormat="1" ht="15.75">
      <c r="A12" s="14" t="s">
        <v>16</v>
      </c>
      <c r="B12" s="15">
        <v>101.5</v>
      </c>
      <c r="C12" s="16">
        <v>113.8</v>
      </c>
      <c r="D12" s="15">
        <v>159.1</v>
      </c>
      <c r="E12" s="15">
        <v>183.01</v>
      </c>
      <c r="F12" s="15">
        <f>202094/1000</f>
        <v>202.09399999999999</v>
      </c>
      <c r="G12" s="15">
        <v>233.53</v>
      </c>
      <c r="H12" s="15">
        <v>269.745</v>
      </c>
      <c r="I12" s="15">
        <v>294.37700000000001</v>
      </c>
      <c r="J12" s="15">
        <v>334.27</v>
      </c>
      <c r="K12" s="15">
        <v>369.7373</v>
      </c>
      <c r="L12" s="15">
        <v>382.3888</v>
      </c>
      <c r="M12" s="15">
        <v>420.19830000000002</v>
      </c>
      <c r="N12" s="15">
        <v>466.07404000000002</v>
      </c>
      <c r="O12" s="15">
        <v>531.23149999999998</v>
      </c>
      <c r="P12" s="15">
        <v>538.4624</v>
      </c>
      <c r="Q12" s="15">
        <v>552.08199999999999</v>
      </c>
      <c r="R12" s="15">
        <v>589.13750000000005</v>
      </c>
      <c r="S12" s="23">
        <v>575.50239999999997</v>
      </c>
      <c r="T12" s="23">
        <v>565.43499999999995</v>
      </c>
      <c r="U12" s="23">
        <v>608.90200000000004</v>
      </c>
      <c r="V12" s="23">
        <v>618.08299999999997</v>
      </c>
      <c r="W12" s="23">
        <v>664.4</v>
      </c>
      <c r="X12" s="24" t="s">
        <v>17</v>
      </c>
      <c r="Z12" s="21"/>
      <c r="AA12" s="21"/>
    </row>
    <row r="13" spans="1:27" s="9" customFormat="1" ht="15.75">
      <c r="A13" s="14" t="s">
        <v>18</v>
      </c>
      <c r="B13" s="15">
        <v>100.4</v>
      </c>
      <c r="C13" s="15">
        <v>121.5</v>
      </c>
      <c r="D13" s="15">
        <v>158.1</v>
      </c>
      <c r="E13" s="15">
        <v>188.97</v>
      </c>
      <c r="F13" s="15">
        <f>205875/1000</f>
        <v>205.875</v>
      </c>
      <c r="G13" s="15">
        <v>247.09399999999999</v>
      </c>
      <c r="H13" s="15">
        <v>276.39100000000002</v>
      </c>
      <c r="I13" s="15">
        <v>303.286</v>
      </c>
      <c r="J13" s="15">
        <v>351.95</v>
      </c>
      <c r="K13" s="15">
        <v>390.94749999999999</v>
      </c>
      <c r="L13" s="15">
        <v>413.60250000000002</v>
      </c>
      <c r="M13" s="15">
        <v>435.791</v>
      </c>
      <c r="N13" s="15">
        <v>474.80604</v>
      </c>
      <c r="O13" s="15">
        <v>528.7396</v>
      </c>
      <c r="P13" s="15">
        <v>577.83000000000004</v>
      </c>
      <c r="Q13" s="15">
        <v>586.29</v>
      </c>
      <c r="R13" s="15">
        <v>621.40099999999995</v>
      </c>
      <c r="S13" s="23">
        <v>614.553</v>
      </c>
      <c r="T13" s="23">
        <v>569.49</v>
      </c>
      <c r="U13" s="23">
        <v>574.66300000000001</v>
      </c>
      <c r="V13" s="23">
        <v>611.65499999999997</v>
      </c>
      <c r="W13" s="23">
        <v>714.6</v>
      </c>
      <c r="X13" s="24" t="s">
        <v>19</v>
      </c>
      <c r="Z13" s="21"/>
      <c r="AA13" s="21"/>
    </row>
    <row r="14" spans="1:27" s="9" customFormat="1" ht="15.75">
      <c r="A14" s="14" t="s">
        <v>20</v>
      </c>
      <c r="B14" s="15">
        <v>107.7</v>
      </c>
      <c r="C14" s="15">
        <v>116.2</v>
      </c>
      <c r="D14" s="15">
        <v>159.80000000000001</v>
      </c>
      <c r="E14" s="15">
        <v>187.66</v>
      </c>
      <c r="F14" s="15">
        <f>217567/1000</f>
        <v>217.56700000000001</v>
      </c>
      <c r="G14" s="15">
        <v>256.178</v>
      </c>
      <c r="H14" s="15">
        <v>277.029</v>
      </c>
      <c r="I14" s="15">
        <v>322.18400000000003</v>
      </c>
      <c r="J14" s="15">
        <v>349.80599999999998</v>
      </c>
      <c r="K14" s="15">
        <v>383.09249999999997</v>
      </c>
      <c r="L14" s="15">
        <v>398.67930000000001</v>
      </c>
      <c r="M14" s="15">
        <v>439.0453</v>
      </c>
      <c r="N14" s="15">
        <v>485.10302000000001</v>
      </c>
      <c r="O14" s="15">
        <v>535.06880000000001</v>
      </c>
      <c r="P14" s="15">
        <v>571.90470000000005</v>
      </c>
      <c r="Q14" s="15">
        <v>576.36199999999997</v>
      </c>
      <c r="R14" s="15">
        <v>592.79</v>
      </c>
      <c r="S14" s="23">
        <v>598.76300000000003</v>
      </c>
      <c r="T14" s="23">
        <v>614.92600000000004</v>
      </c>
      <c r="U14" s="23">
        <v>626.37490000000003</v>
      </c>
      <c r="V14" s="23">
        <v>657.77200000000005</v>
      </c>
      <c r="W14" s="23">
        <v>709.4</v>
      </c>
      <c r="X14" s="24" t="s">
        <v>21</v>
      </c>
      <c r="Z14" s="21"/>
      <c r="AA14" s="21"/>
    </row>
    <row r="15" spans="1:27" s="9" customFormat="1" ht="15.75">
      <c r="A15" s="14" t="s">
        <v>22</v>
      </c>
      <c r="B15" s="15">
        <v>96</v>
      </c>
      <c r="C15" s="15">
        <v>117.4</v>
      </c>
      <c r="D15" s="15">
        <v>154.9</v>
      </c>
      <c r="E15" s="15">
        <v>175.29</v>
      </c>
      <c r="F15" s="15">
        <f>207674/1000</f>
        <v>207.67400000000001</v>
      </c>
      <c r="G15" s="15">
        <v>257.17</v>
      </c>
      <c r="H15" s="15">
        <v>273.44600000000003</v>
      </c>
      <c r="I15" s="15">
        <v>306.30700000000002</v>
      </c>
      <c r="J15" s="15">
        <v>334.33600000000001</v>
      </c>
      <c r="K15" s="15">
        <v>370.42849999999999</v>
      </c>
      <c r="L15" s="15">
        <v>389.27629999999999</v>
      </c>
      <c r="M15" s="15">
        <v>427.08330000000001</v>
      </c>
      <c r="N15" s="15">
        <v>449.75137000000001</v>
      </c>
      <c r="O15" s="15">
        <v>497.27050000000003</v>
      </c>
      <c r="P15" s="15">
        <v>525.71310000000005</v>
      </c>
      <c r="Q15" s="15">
        <v>557.36699999999996</v>
      </c>
      <c r="R15" s="15">
        <v>590.57500000000005</v>
      </c>
      <c r="S15" s="23">
        <v>565.42100000000005</v>
      </c>
      <c r="T15" s="23">
        <v>602.73099999999999</v>
      </c>
      <c r="U15" s="23">
        <v>616.16399999999999</v>
      </c>
      <c r="V15" s="23">
        <v>626.99699999999996</v>
      </c>
      <c r="W15" s="23">
        <v>694.3</v>
      </c>
      <c r="X15" s="24" t="s">
        <v>23</v>
      </c>
      <c r="Z15" s="21"/>
      <c r="AA15" s="21"/>
    </row>
    <row r="16" spans="1:27" s="9" customFormat="1" ht="15.75">
      <c r="A16" s="14" t="s">
        <v>24</v>
      </c>
      <c r="B16" s="15">
        <v>99</v>
      </c>
      <c r="C16" s="15">
        <v>118.6</v>
      </c>
      <c r="D16" s="15">
        <v>159.30000000000001</v>
      </c>
      <c r="E16" s="15">
        <v>190.22</v>
      </c>
      <c r="F16" s="15">
        <f>211456/1000</f>
        <v>211.45599999999999</v>
      </c>
      <c r="G16" s="15">
        <v>251.91200000000001</v>
      </c>
      <c r="H16" s="15">
        <v>293.12799999999999</v>
      </c>
      <c r="I16" s="15">
        <v>328.86500000000001</v>
      </c>
      <c r="J16" s="15">
        <v>349.01900000000001</v>
      </c>
      <c r="K16" s="15">
        <v>370.55220000000003</v>
      </c>
      <c r="L16" s="15">
        <v>392.36540000000002</v>
      </c>
      <c r="M16" s="15">
        <v>425.14699999999999</v>
      </c>
      <c r="N16" s="15">
        <v>487.41095999999999</v>
      </c>
      <c r="O16" s="15">
        <v>528.63199999999995</v>
      </c>
      <c r="P16" s="15">
        <v>576.88589999999999</v>
      </c>
      <c r="Q16" s="15">
        <v>583.43600000000004</v>
      </c>
      <c r="R16" s="15">
        <v>600.56600000000003</v>
      </c>
      <c r="S16" s="23">
        <v>565.11310000000003</v>
      </c>
      <c r="T16" s="23">
        <v>614.99599999999998</v>
      </c>
      <c r="U16" s="23">
        <v>626.26300000000003</v>
      </c>
      <c r="V16" s="23">
        <v>668.71799999999996</v>
      </c>
      <c r="W16" s="23">
        <v>719.7</v>
      </c>
      <c r="X16" s="24" t="s">
        <v>25</v>
      </c>
      <c r="Z16" s="21"/>
      <c r="AA16" s="21"/>
    </row>
    <row r="17" spans="1:27" s="9" customFormat="1" ht="15.75">
      <c r="A17" s="14" t="s">
        <v>26</v>
      </c>
      <c r="B17" s="15">
        <v>103</v>
      </c>
      <c r="C17" s="15">
        <v>112.6</v>
      </c>
      <c r="D17" s="15">
        <v>153.9</v>
      </c>
      <c r="E17" s="15">
        <v>167.42</v>
      </c>
      <c r="F17" s="15">
        <f>216417/1000</f>
        <v>216.417</v>
      </c>
      <c r="G17" s="15">
        <v>245.80699999999999</v>
      </c>
      <c r="H17" s="15">
        <v>253.59700000000001</v>
      </c>
      <c r="I17" s="15">
        <v>289.327</v>
      </c>
      <c r="J17" s="15">
        <v>314.78800000000001</v>
      </c>
      <c r="K17" s="15">
        <v>360.53519999999997</v>
      </c>
      <c r="L17" s="15">
        <v>387.43509999999998</v>
      </c>
      <c r="M17" s="15">
        <v>415.57319999999999</v>
      </c>
      <c r="N17" s="15">
        <v>472.73138</v>
      </c>
      <c r="O17" s="15">
        <v>507.41129999999998</v>
      </c>
      <c r="P17" s="15">
        <v>540.56809999999996</v>
      </c>
      <c r="Q17" s="15">
        <v>564.16800000000001</v>
      </c>
      <c r="R17" s="15">
        <v>578.05600000000004</v>
      </c>
      <c r="S17" s="23">
        <v>564.15509999999995</v>
      </c>
      <c r="T17" s="23">
        <v>581.07899999999995</v>
      </c>
      <c r="U17" s="23">
        <v>611.27800000000002</v>
      </c>
      <c r="V17" s="23">
        <v>660.10699999999997</v>
      </c>
      <c r="W17" s="23">
        <v>693</v>
      </c>
      <c r="X17" s="24" t="s">
        <v>27</v>
      </c>
      <c r="Z17" s="21"/>
      <c r="AA17" s="21"/>
    </row>
    <row r="18" spans="1:27" s="9" customFormat="1" ht="15.75">
      <c r="A18" s="17" t="s">
        <v>28</v>
      </c>
      <c r="B18" s="18">
        <v>95.2</v>
      </c>
      <c r="C18" s="18">
        <v>101.7</v>
      </c>
      <c r="D18" s="18">
        <v>161.80000000000001</v>
      </c>
      <c r="E18" s="18">
        <v>156.97999999999999</v>
      </c>
      <c r="F18" s="18">
        <f>198912/1000</f>
        <v>198.91200000000001</v>
      </c>
      <c r="G18" s="18">
        <v>229.3</v>
      </c>
      <c r="H18" s="18">
        <v>267.92099999999999</v>
      </c>
      <c r="I18" s="18">
        <v>298.83569999999997</v>
      </c>
      <c r="J18" s="18">
        <v>331.94900000000001</v>
      </c>
      <c r="K18" s="18">
        <v>351.57850000000002</v>
      </c>
      <c r="L18" s="18">
        <v>385.97</v>
      </c>
      <c r="M18" s="18">
        <v>345.85160000000002</v>
      </c>
      <c r="N18" s="18">
        <v>460.63344000000001</v>
      </c>
      <c r="O18" s="18">
        <v>503.53199999999998</v>
      </c>
      <c r="P18" s="18">
        <v>529.37030000000004</v>
      </c>
      <c r="Q18" s="18">
        <v>559.822</v>
      </c>
      <c r="R18" s="18">
        <v>574.66899999999998</v>
      </c>
      <c r="S18" s="25">
        <v>581.12890000000004</v>
      </c>
      <c r="T18" s="25">
        <v>609.96699999999998</v>
      </c>
      <c r="U18" s="25">
        <v>623.62099999999998</v>
      </c>
      <c r="V18" s="25">
        <v>677.13699999999994</v>
      </c>
      <c r="W18" s="25">
        <v>713.5</v>
      </c>
      <c r="X18" s="26" t="s">
        <v>29</v>
      </c>
      <c r="Z18" s="21"/>
      <c r="AA18" s="21"/>
    </row>
    <row r="19" spans="1:27" s="9" customFormat="1" ht="14.25">
      <c r="A19" s="3" t="s">
        <v>30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6" t="s">
        <v>0</v>
      </c>
      <c r="Z19" s="21"/>
      <c r="AA19" s="21"/>
    </row>
    <row r="20" spans="1:27" s="9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Y20" s="1"/>
      <c r="Z20" s="1"/>
      <c r="AA20" s="1"/>
    </row>
    <row r="21" spans="1:27" s="9" customFormat="1">
      <c r="A21" s="20"/>
      <c r="B21" s="20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1"/>
    </row>
    <row r="22" spans="1:27" s="9" customFormat="1">
      <c r="A22" s="20"/>
      <c r="B22" s="20"/>
      <c r="C22" s="20"/>
      <c r="AA22" s="1"/>
    </row>
    <row r="23" spans="1:27" s="9" customFormat="1">
      <c r="A23" s="1"/>
      <c r="C23" s="20"/>
      <c r="AA23" s="28"/>
    </row>
    <row r="24" spans="1:27" s="9" customFormat="1">
      <c r="A24" s="1"/>
      <c r="AA24" s="29"/>
    </row>
    <row r="25" spans="1:27" s="9" customFormat="1">
      <c r="A25" s="1"/>
      <c r="AA25" s="29"/>
    </row>
    <row r="26" spans="1:27" s="9" customFormat="1">
      <c r="A26" s="1"/>
      <c r="AA26" s="29"/>
    </row>
    <row r="27" spans="1:27" s="9" customFormat="1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29"/>
    </row>
    <row r="28" spans="1:27">
      <c r="A28" s="1"/>
      <c r="AA28" s="29"/>
    </row>
    <row r="29" spans="1:27">
      <c r="A29" s="1"/>
      <c r="AA29" s="29"/>
    </row>
    <row r="30" spans="1:27">
      <c r="A30" s="1"/>
      <c r="AA30" s="29"/>
    </row>
    <row r="31" spans="1:27">
      <c r="A31" s="1"/>
      <c r="AA31" s="29"/>
    </row>
    <row r="32" spans="1:27">
      <c r="A32" s="1"/>
      <c r="AA32" s="29"/>
    </row>
    <row r="33" spans="1:27">
      <c r="A33" s="1"/>
      <c r="AA33" s="29"/>
    </row>
    <row r="34" spans="1:27">
      <c r="A34" s="1"/>
      <c r="AA34" s="29"/>
    </row>
    <row r="35" spans="1:27">
      <c r="A35" s="1"/>
      <c r="AA35" s="29"/>
    </row>
    <row r="36" spans="1:27">
      <c r="A36" s="1"/>
    </row>
    <row r="49" spans="3:27" ht="15.75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</sheetData>
  <mergeCells count="4">
    <mergeCell ref="A1:X1"/>
    <mergeCell ref="A2:X2"/>
    <mergeCell ref="A3:X3"/>
    <mergeCell ref="C49:AA49"/>
  </mergeCells>
  <pageMargins left="0.7" right="0.7" top="0.75" bottom="0.75" header="0.3" footer="0.3"/>
  <pageSetup paperSize="9" scale="39" orientation="portrait" r:id="rId1"/>
  <colBreaks count="1" manualBreakCount="1">
    <brk id="25" max="2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2025-06-01T05:27:54Z</cp:lastPrinted>
  <dcterms:created xsi:type="dcterms:W3CDTF">2019-05-21T05:57:00Z</dcterms:created>
  <dcterms:modified xsi:type="dcterms:W3CDTF">2025-06-01T05:28:01Z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