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mp\"/>
    </mc:Choice>
  </mc:AlternateContent>
  <xr:revisionPtr revIDLastSave="0" documentId="13_ncr:1_{0BF45DA1-4622-46E5-8F4E-58CE463B5AB7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3" sheetId="3" r:id="rId1"/>
  </sheets>
  <definedNames>
    <definedName name="_xlnm.Print_Area" localSheetId="0">'5.3'!$A$1:$F$64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5" i="3" l="1"/>
  <c r="AA46" i="3" l="1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B45" i="3"/>
  <c r="B16" i="3" l="1"/>
  <c r="B17" i="3"/>
  <c r="D8" i="3" l="1"/>
  <c r="C8" i="3"/>
  <c r="B10" i="3" l="1"/>
  <c r="B11" i="3"/>
  <c r="B12" i="3"/>
  <c r="B13" i="3"/>
  <c r="B14" i="3"/>
  <c r="B15" i="3"/>
  <c r="B18" i="3"/>
  <c r="B19" i="3"/>
  <c r="B20" i="3"/>
  <c r="B21" i="3"/>
  <c r="B22" i="3"/>
  <c r="B23" i="3"/>
  <c r="B24" i="3"/>
  <c r="B25" i="3"/>
  <c r="B26" i="3"/>
  <c r="B27" i="3"/>
  <c r="B28" i="3"/>
  <c r="B9" i="3"/>
  <c r="D6" i="3"/>
  <c r="B8" i="3"/>
  <c r="B7" i="3"/>
  <c r="C6" i="3" l="1"/>
  <c r="B6" i="3" s="1"/>
  <c r="AB64" i="3" l="1"/>
  <c r="AA64" i="3"/>
  <c r="AB63" i="3"/>
  <c r="AA63" i="3"/>
</calcChain>
</file>

<file path=xl/sharedStrings.xml><?xml version="1.0" encoding="utf-8"?>
<sst xmlns="http://schemas.openxmlformats.org/spreadsheetml/2006/main" count="80" uniqueCount="78">
  <si>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</si>
  <si>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</si>
  <si>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</si>
  <si>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</si>
  <si>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</si>
  <si>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</si>
  <si>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</si>
  <si>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</si>
  <si>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</si>
  <si>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</si>
  <si>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</si>
  <si>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</si>
  <si>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</si>
  <si>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</si>
  <si>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</si>
  <si>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</si>
  <si>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</si>
  <si>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</si>
  <si>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</si>
  <si>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</si>
  <si>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</si>
  <si>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</si>
  <si>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</si>
  <si>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</si>
  <si>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</si>
  <si>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</si>
  <si>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</si>
  <si>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</si>
  <si>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</si>
  <si>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</si>
  <si>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</si>
  <si>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</si>
  <si>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</si>
  <si>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</si>
  <si>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</si>
  <si>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</si>
  <si>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</si>
  <si>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</si>
  <si>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</si>
  <si>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</si>
  <si>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</si>
  <si>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</si>
  <si>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</si>
  <si>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</si>
  <si>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</si>
  <si>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</si>
  <si>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</si>
  <si>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</si>
  <si>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</si>
  <si>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</si>
  <si>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</si>
  <si>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</si>
  <si>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</si>
  <si>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</si>
  <si>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</si>
  <si>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</si>
  <si>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</si>
  <si>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</si>
  <si>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</si>
  <si>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</si>
  <si>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</si>
  <si>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</si>
  <si>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</si>
  <si>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</si>
  <si>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</si>
  <si>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</si>
  <si>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</si>
  <si>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</si>
  <si>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</si>
  <si>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</si>
  <si>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</si>
  <si>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</si>
  <si>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</si>
  <si>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</si>
  <si>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</si>
  <si>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</si>
  <si>
    <t>Table 5.3: CIVIL SERVANTS BY ATOLL AND SEX, 2024</t>
  </si>
  <si>
    <t>ތާވަލް 5.3: މާލެ އާއި އަތޮޅުތަކުގައި މަސައްކަތްކުރާ ސިވިލް ސަރވަންޓުންގެ އަދަދު އަދި ޖިންސް،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</si>
</sst>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0"/>
      <name val="A_Randhoo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0" fontId="2" fillId="0" borderId="0"/>
  </cellStyleXfs>
  <cellXfs count="41">
    <xf numFmtId="0" fontId="0" fillId="0" borderId="0" xfId="0"/>
    <xf numFmtId="0" fontId="3" fillId="2" borderId="0" xfId="2" applyFont="1" applyFill="1"/>
    <xf numFmtId="3" fontId="8" fillId="2" borderId="0" xfId="4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6" fillId="2" borderId="5" xfId="6" applyFont="1" applyFill="1" applyBorder="1" applyAlignment="1">
      <alignment horizontal="left" vertical="center" indent="2"/>
    </xf>
    <xf numFmtId="0" fontId="7" fillId="2" borderId="3" xfId="3" applyFont="1" applyFill="1" applyBorder="1"/>
    <xf numFmtId="0" fontId="12" fillId="2" borderId="0" xfId="0" applyFont="1" applyFill="1"/>
    <xf numFmtId="0" fontId="10" fillId="2" borderId="4" xfId="0" applyFont="1" applyFill="1" applyBorder="1" applyAlignment="1">
      <alignment horizontal="right" vertical="center" readingOrder="2"/>
    </xf>
    <xf numFmtId="0" fontId="9" fillId="2" borderId="2" xfId="0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3" fontId="10" fillId="2" borderId="0" xfId="5" applyNumberFormat="1" applyFont="1" applyFill="1" applyAlignment="1">
      <alignment horizontal="right" vertical="center"/>
    </xf>
    <xf numFmtId="3" fontId="4" fillId="2" borderId="0" xfId="1" applyNumberFormat="1" applyFont="1" applyFill="1" applyBorder="1" applyAlignment="1">
      <alignment vertical="center"/>
    </xf>
    <xf numFmtId="0" fontId="4" fillId="2" borderId="0" xfId="0" applyFont="1" applyFill="1"/>
    <xf numFmtId="3" fontId="15" fillId="2" borderId="0" xfId="5" applyNumberFormat="1" applyFont="1" applyFill="1" applyAlignment="1">
      <alignment horizontal="right" vertical="center" indent="2"/>
    </xf>
    <xf numFmtId="3" fontId="12" fillId="2" borderId="0" xfId="1" applyNumberFormat="1" applyFont="1" applyFill="1"/>
    <xf numFmtId="3" fontId="9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 readingOrder="2"/>
    </xf>
    <xf numFmtId="0" fontId="13" fillId="2" borderId="0" xfId="0" applyFont="1" applyFill="1" applyAlignment="1">
      <alignment vertical="center"/>
    </xf>
    <xf numFmtId="3" fontId="12" fillId="2" borderId="0" xfId="1" applyNumberFormat="1" applyFont="1" applyFill="1" applyBorder="1"/>
    <xf numFmtId="0" fontId="11" fillId="3" borderId="0" xfId="0" applyFont="1" applyFill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3" fontId="15" fillId="2" borderId="2" xfId="5" applyNumberFormat="1" applyFont="1" applyFill="1" applyBorder="1" applyAlignment="1">
      <alignment horizontal="right" vertical="center" indent="2"/>
    </xf>
    <xf numFmtId="3" fontId="16" fillId="4" borderId="7" xfId="0" applyNumberFormat="1" applyFont="1" applyFill="1" applyBorder="1" applyAlignment="1">
      <alignment horizontal="right" vertical="center"/>
    </xf>
    <xf numFmtId="3" fontId="16" fillId="4" borderId="0" xfId="0" applyNumberFormat="1" applyFont="1" applyFill="1" applyAlignment="1">
      <alignment horizontal="right"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0" fontId="3" fillId="2" borderId="0" xfId="2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 indent="2"/>
    </xf>
    <xf numFmtId="0" fontId="4" fillId="2" borderId="2" xfId="0" applyFont="1" applyFill="1" applyBorder="1" applyAlignment="1">
      <alignment horizontal="left" vertical="center" indent="2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4" fillId="2" borderId="0" xfId="0" applyFont="1" applyFill="1" applyBorder="1"/>
    <xf numFmtId="0" fontId="12" fillId="2" borderId="0" xfId="0" applyFont="1" applyFill="1" applyBorder="1"/>
    <xf numFmtId="0" fontId="6" fillId="2" borderId="0" xfId="6" applyFont="1" applyFill="1" applyBorder="1" applyAlignment="1">
      <alignment horizontal="left" vertical="center" indent="2"/>
    </xf>
    <xf numFmtId="0" fontId="0" fillId="2" borderId="0" xfId="0" applyFill="1" applyBorder="1"/>
    <xf numFmtId="3" fontId="9" fillId="2" borderId="0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Border="1"/>
  </cellXfs>
  <cellStyles count="13">
    <cellStyle name="1" xfId="12" xr:uid="{00000000-0005-0000-0000-000000000000}"/>
    <cellStyle name="Comma" xfId="1" builtinId="3"/>
    <cellStyle name="Comma 3" xfId="10" xr:uid="{00000000-0005-0000-0000-000002000000}"/>
    <cellStyle name="Normal" xfId="0" builtinId="0"/>
    <cellStyle name="Normal 11" xfId="11" xr:uid="{00000000-0005-0000-0000-000004000000}"/>
    <cellStyle name="Normal 2" xfId="7" xr:uid="{00000000-0005-0000-0000-000005000000}"/>
    <cellStyle name="Normal 4" xfId="8" xr:uid="{00000000-0005-0000-0000-000006000000}"/>
    <cellStyle name="Normal 5" xfId="9" xr:uid="{00000000-0005-0000-0000-000007000000}"/>
    <cellStyle name="Normal_5 Employment_done" xfId="2" xr:uid="{00000000-0005-0000-0000-000008000000}"/>
    <cellStyle name="Normal_II-15(Population) 2" xfId="5" xr:uid="{00000000-0005-0000-0000-000009000000}"/>
    <cellStyle name="Normal_II-16(Populaion)" xfId="4" xr:uid="{00000000-0005-0000-0000-00000A000000}"/>
    <cellStyle name="Normal_immunization" xfId="6" xr:uid="{00000000-0005-0000-0000-00000B000000}"/>
    <cellStyle name="Normal_po" xfId="3" xr:uid="{00000000-0005-0000-0000-00000C000000}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9BC2E6"/>
      <color rgb="FF003399"/>
      <color rgb="FFEEEEEE"/>
      <color rgb="FFAEAAAA"/>
      <color rgb="FF7E5400"/>
      <color rgb="FF33CCCC"/>
      <color rgb="FFEFFFFF"/>
      <color rgb="FFCDFFFF"/>
      <color rgb="FF75DFDD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</c:spPr>
          <c:invertIfNegative val="0"/>
          <c:cat>
            <c:numRef>
              <c:f>'5.3'!$Z$9:$Z$28</c:f>
              <c:numCache>
                <c:formatCode>General</c:formatCode>
                <c:ptCount val="20"/>
              </c:numCache>
            </c:numRef>
          </c:cat>
          <c:val>
            <c:numRef>
              <c:f>'5.3'!$B$9:$B$28</c:f>
              <c:numCache>
                <c:formatCode>#,##0</c:formatCode>
                <c:ptCount val="20"/>
                <c:pt idx="0">
                  <c:v>1457</c:v>
                </c:pt>
                <c:pt idx="1">
                  <c:v>1943</c:v>
                </c:pt>
                <c:pt idx="2">
                  <c:v>1428</c:v>
                </c:pt>
                <c:pt idx="3">
                  <c:v>1183</c:v>
                </c:pt>
                <c:pt idx="4">
                  <c:v>1575</c:v>
                </c:pt>
                <c:pt idx="5">
                  <c:v>1153</c:v>
                </c:pt>
                <c:pt idx="6">
                  <c:v>783</c:v>
                </c:pt>
                <c:pt idx="7">
                  <c:v>1061</c:v>
                </c:pt>
                <c:pt idx="8">
                  <c:v>706</c:v>
                </c:pt>
                <c:pt idx="9">
                  <c:v>865</c:v>
                </c:pt>
                <c:pt idx="10">
                  <c:v>221</c:v>
                </c:pt>
                <c:pt idx="11">
                  <c:v>643</c:v>
                </c:pt>
                <c:pt idx="12">
                  <c:v>647</c:v>
                </c:pt>
                <c:pt idx="13">
                  <c:v>671</c:v>
                </c:pt>
                <c:pt idx="14">
                  <c:v>1223</c:v>
                </c:pt>
                <c:pt idx="15">
                  <c:v>1365</c:v>
                </c:pt>
                <c:pt idx="16">
                  <c:v>859</c:v>
                </c:pt>
                <c:pt idx="17">
                  <c:v>1165</c:v>
                </c:pt>
                <c:pt idx="18">
                  <c:v>671</c:v>
                </c:pt>
                <c:pt idx="19">
                  <c:v>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84287192"/>
        <c:axId val="299421544"/>
      </c:barChart>
      <c:catAx>
        <c:axId val="484287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99421544"/>
        <c:crosses val="autoZero"/>
        <c:auto val="1"/>
        <c:lblAlgn val="ctr"/>
        <c:lblOffset val="100"/>
        <c:noMultiLvlLbl val="0"/>
      </c:catAx>
      <c:valAx>
        <c:axId val="299421544"/>
        <c:scaling>
          <c:orientation val="minMax"/>
          <c:max val="20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484287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'5.3'!$AA$44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'5.3'!$AA$45:$AA$64</c:f>
              <c:numCache>
                <c:formatCode>#,##0</c:formatCode>
                <c:ptCount val="20"/>
                <c:pt idx="0">
                  <c:v>542</c:v>
                </c:pt>
                <c:pt idx="1">
                  <c:v>720</c:v>
                </c:pt>
                <c:pt idx="2">
                  <c:v>635</c:v>
                </c:pt>
                <c:pt idx="3">
                  <c:v>465</c:v>
                </c:pt>
                <c:pt idx="4">
                  <c:v>605</c:v>
                </c:pt>
                <c:pt idx="5">
                  <c:v>391</c:v>
                </c:pt>
                <c:pt idx="6">
                  <c:v>277</c:v>
                </c:pt>
                <c:pt idx="7">
                  <c:v>356</c:v>
                </c:pt>
                <c:pt idx="8">
                  <c:v>251</c:v>
                </c:pt>
                <c:pt idx="9">
                  <c:v>257</c:v>
                </c:pt>
                <c:pt idx="10">
                  <c:v>69</c:v>
                </c:pt>
                <c:pt idx="11">
                  <c:v>253</c:v>
                </c:pt>
                <c:pt idx="12">
                  <c:v>246</c:v>
                </c:pt>
                <c:pt idx="13">
                  <c:v>221</c:v>
                </c:pt>
                <c:pt idx="14">
                  <c:v>512</c:v>
                </c:pt>
                <c:pt idx="15">
                  <c:v>500</c:v>
                </c:pt>
                <c:pt idx="16">
                  <c:v>256</c:v>
                </c:pt>
                <c:pt idx="17">
                  <c:v>373</c:v>
                </c:pt>
                <c:pt idx="18">
                  <c:v>193</c:v>
                </c:pt>
                <c:pt idx="19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'5.3'!$AB$44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'5.3'!$AB$45:$AB$64</c:f>
              <c:numCache>
                <c:formatCode>#,##0</c:formatCode>
                <c:ptCount val="20"/>
                <c:pt idx="0">
                  <c:v>915</c:v>
                </c:pt>
                <c:pt idx="1">
                  <c:v>1223</c:v>
                </c:pt>
                <c:pt idx="2">
                  <c:v>793</c:v>
                </c:pt>
                <c:pt idx="3">
                  <c:v>718</c:v>
                </c:pt>
                <c:pt idx="4">
                  <c:v>970</c:v>
                </c:pt>
                <c:pt idx="5">
                  <c:v>762</c:v>
                </c:pt>
                <c:pt idx="6">
                  <c:v>506</c:v>
                </c:pt>
                <c:pt idx="7">
                  <c:v>705</c:v>
                </c:pt>
                <c:pt idx="8">
                  <c:v>455</c:v>
                </c:pt>
                <c:pt idx="9">
                  <c:v>608</c:v>
                </c:pt>
                <c:pt idx="10">
                  <c:v>152</c:v>
                </c:pt>
                <c:pt idx="11">
                  <c:v>390</c:v>
                </c:pt>
                <c:pt idx="12">
                  <c:v>401</c:v>
                </c:pt>
                <c:pt idx="13">
                  <c:v>450</c:v>
                </c:pt>
                <c:pt idx="14">
                  <c:v>711</c:v>
                </c:pt>
                <c:pt idx="15">
                  <c:v>865</c:v>
                </c:pt>
                <c:pt idx="16">
                  <c:v>603</c:v>
                </c:pt>
                <c:pt idx="17">
                  <c:v>792</c:v>
                </c:pt>
                <c:pt idx="18">
                  <c:v>478</c:v>
                </c:pt>
                <c:pt idx="19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5853600"/>
        <c:axId val="485855560"/>
      </c:barChart>
      <c:catAx>
        <c:axId val="48585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5855560"/>
        <c:crosses val="autoZero"/>
        <c:auto val="1"/>
        <c:lblAlgn val="ctr"/>
        <c:lblOffset val="100"/>
        <c:noMultiLvlLbl val="0"/>
      </c:catAx>
      <c:valAx>
        <c:axId val="485855560"/>
        <c:scaling>
          <c:orientation val="minMax"/>
          <c:max val="1400"/>
          <c:min val="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48585360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2024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121878</xdr:rowOff>
    </xdr:from>
    <xdr:to>
      <xdr:col>4</xdr:col>
      <xdr:colOff>1495424</xdr:colOff>
      <xdr:row>47</xdr:row>
      <xdr:rowOff>165693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63929" y="9270065"/>
          <a:ext cx="4791577" cy="232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2024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293077</xdr:colOff>
      <xdr:row>59</xdr:row>
      <xdr:rowOff>9524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 rot="16200000">
          <a:off x="-657381" y="10656538"/>
          <a:ext cx="1731666" cy="169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72"/>
  <sheetViews>
    <sheetView tabSelected="1" zoomScale="166" zoomScaleNormal="166" zoomScaleSheetLayoutView="91" workbookViewId="0">
      <selection activeCell="I55" sqref="I55"/>
    </sheetView>
  </sheetViews>
  <sheetFormatPr defaultRowHeight="15" x14ac:dyDescent="0.25"/>
  <cols>
    <col min="1" max="1" width="32.85546875" style="7" customWidth="1"/>
    <col min="2" max="4" width="10.28515625" style="7" customWidth="1"/>
    <col min="5" max="5" width="30.42578125" style="7" customWidth="1"/>
    <col min="6" max="6" width="6.5703125" style="7" customWidth="1"/>
    <col min="7" max="16384" width="9.140625" style="7"/>
  </cols>
  <sheetData>
    <row r="1" spans="1:28" ht="21" x14ac:dyDescent="0.55000000000000004">
      <c r="A1" s="29" t="s">
        <v>77</v>
      </c>
      <c r="B1" s="29"/>
      <c r="C1" s="29"/>
      <c r="D1" s="29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8" x14ac:dyDescent="0.25">
      <c r="A2" s="30" t="s">
        <v>76</v>
      </c>
      <c r="B2" s="30"/>
      <c r="C2" s="30"/>
      <c r="D2" s="30"/>
      <c r="E2" s="30"/>
    </row>
    <row r="3" spans="1:28" ht="11.45" customHeight="1" x14ac:dyDescent="0.25"/>
    <row r="4" spans="1:28" ht="18.75" customHeight="1" x14ac:dyDescent="0.25">
      <c r="A4" s="31" t="s">
        <v>10</v>
      </c>
      <c r="B4" s="8" t="s">
        <v>0</v>
      </c>
      <c r="C4" s="8" t="s">
        <v>1</v>
      </c>
      <c r="D4" s="8" t="s">
        <v>2</v>
      </c>
      <c r="E4" s="33" t="s">
        <v>11</v>
      </c>
    </row>
    <row r="5" spans="1:28" ht="15" customHeight="1" x14ac:dyDescent="0.25">
      <c r="A5" s="32"/>
      <c r="B5" s="9" t="s">
        <v>9</v>
      </c>
      <c r="C5" s="9" t="s">
        <v>3</v>
      </c>
      <c r="D5" s="9" t="s">
        <v>4</v>
      </c>
      <c r="E5" s="34"/>
    </row>
    <row r="6" spans="1:28" ht="18.75" x14ac:dyDescent="0.25">
      <c r="A6" s="10" t="s">
        <v>12</v>
      </c>
      <c r="B6" s="25">
        <f>SUM(C6:D6)</f>
        <v>33250</v>
      </c>
      <c r="C6" s="25">
        <f>C8+C7</f>
        <v>11438</v>
      </c>
      <c r="D6" s="25">
        <f>D8+D7</f>
        <v>21812</v>
      </c>
      <c r="E6" s="11" t="s">
        <v>13</v>
      </c>
    </row>
    <row r="7" spans="1:28" s="13" customFormat="1" ht="18.75" x14ac:dyDescent="0.25">
      <c r="A7" s="10" t="s">
        <v>14</v>
      </c>
      <c r="B7" s="26">
        <f t="shared" ref="B7:B8" si="0">SUM(C7:D7)</f>
        <v>12114</v>
      </c>
      <c r="C7" s="3">
        <v>3989</v>
      </c>
      <c r="D7" s="3">
        <v>8125</v>
      </c>
      <c r="E7" s="11" t="s">
        <v>7</v>
      </c>
      <c r="Y7" s="35"/>
      <c r="Z7" s="35"/>
      <c r="AA7" s="35"/>
      <c r="AB7" s="35"/>
    </row>
    <row r="8" spans="1:28" s="13" customFormat="1" ht="18.75" x14ac:dyDescent="0.25">
      <c r="A8" s="10" t="s">
        <v>15</v>
      </c>
      <c r="B8" s="26">
        <f t="shared" si="0"/>
        <v>21136</v>
      </c>
      <c r="C8" s="27">
        <f>SUM(C9:C28)</f>
        <v>7449</v>
      </c>
      <c r="D8" s="27">
        <f>SUM(D9:D28)</f>
        <v>13687</v>
      </c>
      <c r="E8" s="11" t="s">
        <v>8</v>
      </c>
      <c r="Y8" s="35"/>
      <c r="Z8" s="36"/>
      <c r="AA8" s="36"/>
      <c r="AB8" s="35"/>
    </row>
    <row r="9" spans="1:28" ht="15.75" customHeight="1" x14ac:dyDescent="0.25">
      <c r="A9" s="22" t="s">
        <v>16</v>
      </c>
      <c r="B9" s="27">
        <f>SUM(C9:D9)</f>
        <v>1457</v>
      </c>
      <c r="C9" s="3">
        <v>542</v>
      </c>
      <c r="D9" s="3">
        <v>915</v>
      </c>
      <c r="E9" s="14" t="s">
        <v>17</v>
      </c>
      <c r="Y9" s="36"/>
      <c r="Z9" s="37"/>
      <c r="AA9" s="21"/>
      <c r="AB9" s="36"/>
    </row>
    <row r="10" spans="1:28" ht="15.75" customHeight="1" x14ac:dyDescent="0.25">
      <c r="A10" s="22" t="s">
        <v>19</v>
      </c>
      <c r="B10" s="27">
        <f t="shared" ref="B10:B28" si="1">SUM(C10:D10)</f>
        <v>1943</v>
      </c>
      <c r="C10" s="3">
        <v>720</v>
      </c>
      <c r="D10" s="3">
        <v>1223</v>
      </c>
      <c r="E10" s="14" t="s">
        <v>20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Y10" s="36"/>
      <c r="Z10" s="37"/>
      <c r="AA10" s="21"/>
      <c r="AB10" s="36"/>
    </row>
    <row r="11" spans="1:28" ht="15.75" customHeight="1" x14ac:dyDescent="0.25">
      <c r="A11" s="22" t="s">
        <v>22</v>
      </c>
      <c r="B11" s="27">
        <f t="shared" si="1"/>
        <v>1428</v>
      </c>
      <c r="C11" s="3">
        <v>635</v>
      </c>
      <c r="D11" s="3">
        <v>793</v>
      </c>
      <c r="E11" s="14" t="s">
        <v>23</v>
      </c>
      <c r="Y11" s="36"/>
      <c r="Z11" s="37"/>
      <c r="AA11" s="21"/>
      <c r="AB11" s="36"/>
    </row>
    <row r="12" spans="1:28" ht="15.75" customHeight="1" x14ac:dyDescent="0.25">
      <c r="A12" s="22" t="s">
        <v>25</v>
      </c>
      <c r="B12" s="27">
        <f t="shared" si="1"/>
        <v>1183</v>
      </c>
      <c r="C12" s="3">
        <v>465</v>
      </c>
      <c r="D12" s="3">
        <v>718</v>
      </c>
      <c r="E12" s="14" t="s">
        <v>26</v>
      </c>
      <c r="Y12" s="36"/>
      <c r="Z12" s="37"/>
      <c r="AA12" s="21"/>
      <c r="AB12" s="36"/>
    </row>
    <row r="13" spans="1:28" ht="15.75" customHeight="1" x14ac:dyDescent="0.25">
      <c r="A13" s="22" t="s">
        <v>28</v>
      </c>
      <c r="B13" s="27">
        <f t="shared" si="1"/>
        <v>1575</v>
      </c>
      <c r="C13" s="3">
        <v>605</v>
      </c>
      <c r="D13" s="3">
        <v>970</v>
      </c>
      <c r="E13" s="14" t="s">
        <v>29</v>
      </c>
      <c r="Y13" s="36"/>
      <c r="Z13" s="37"/>
      <c r="AA13" s="21"/>
      <c r="AB13" s="36"/>
    </row>
    <row r="14" spans="1:28" ht="15.75" customHeight="1" x14ac:dyDescent="0.25">
      <c r="A14" s="22" t="s">
        <v>31</v>
      </c>
      <c r="B14" s="27">
        <f t="shared" si="1"/>
        <v>1153</v>
      </c>
      <c r="C14" s="3">
        <v>391</v>
      </c>
      <c r="D14" s="3">
        <v>762</v>
      </c>
      <c r="E14" s="14" t="s">
        <v>32</v>
      </c>
      <c r="T14" s="17"/>
      <c r="U14" s="17"/>
      <c r="V14" s="17"/>
      <c r="Y14" s="36"/>
      <c r="Z14" s="37"/>
      <c r="AA14" s="21"/>
      <c r="AB14" s="36"/>
    </row>
    <row r="15" spans="1:28" ht="15.75" customHeight="1" x14ac:dyDescent="0.25">
      <c r="A15" s="22" t="s">
        <v>34</v>
      </c>
      <c r="B15" s="27">
        <f t="shared" si="1"/>
        <v>783</v>
      </c>
      <c r="C15" s="3">
        <v>277</v>
      </c>
      <c r="D15" s="3">
        <v>506</v>
      </c>
      <c r="E15" s="14" t="s">
        <v>35</v>
      </c>
      <c r="T15" s="17"/>
      <c r="U15" s="17"/>
      <c r="V15" s="17"/>
      <c r="Y15" s="36"/>
      <c r="Z15" s="37"/>
      <c r="AA15" s="21"/>
      <c r="AB15" s="36"/>
    </row>
    <row r="16" spans="1:28" ht="15.75" customHeight="1" x14ac:dyDescent="0.25">
      <c r="A16" s="22" t="s">
        <v>37</v>
      </c>
      <c r="B16" s="27">
        <f>SUM(C16:D16)</f>
        <v>1061</v>
      </c>
      <c r="C16" s="3">
        <v>356</v>
      </c>
      <c r="D16" s="3">
        <v>705</v>
      </c>
      <c r="E16" s="14" t="s">
        <v>38</v>
      </c>
      <c r="T16" s="17"/>
      <c r="U16" s="17"/>
      <c r="V16" s="17"/>
      <c r="Y16" s="36"/>
      <c r="Z16" s="37"/>
      <c r="AA16" s="21"/>
      <c r="AB16" s="36"/>
    </row>
    <row r="17" spans="1:28" ht="15.75" customHeight="1" x14ac:dyDescent="0.25">
      <c r="A17" s="22" t="s">
        <v>40</v>
      </c>
      <c r="B17" s="27">
        <f t="shared" si="1"/>
        <v>706</v>
      </c>
      <c r="C17" s="3">
        <v>251</v>
      </c>
      <c r="D17" s="3">
        <v>455</v>
      </c>
      <c r="E17" s="14" t="s">
        <v>41</v>
      </c>
      <c r="G17" s="17"/>
      <c r="T17" s="17"/>
      <c r="U17" s="17"/>
      <c r="V17" s="17"/>
      <c r="Y17" s="36"/>
      <c r="Z17" s="37"/>
      <c r="AA17" s="21"/>
      <c r="AB17" s="36"/>
    </row>
    <row r="18" spans="1:28" ht="15.75" customHeight="1" x14ac:dyDescent="0.25">
      <c r="A18" s="22" t="s">
        <v>43</v>
      </c>
      <c r="B18" s="27">
        <f t="shared" si="1"/>
        <v>865</v>
      </c>
      <c r="C18" s="3">
        <v>257</v>
      </c>
      <c r="D18" s="3">
        <v>608</v>
      </c>
      <c r="E18" s="14" t="s">
        <v>44</v>
      </c>
      <c r="T18" s="17"/>
      <c r="U18" s="17"/>
      <c r="V18" s="17"/>
      <c r="Y18" s="36"/>
      <c r="Z18" s="37"/>
      <c r="AA18" s="21"/>
      <c r="AB18" s="36"/>
    </row>
    <row r="19" spans="1:28" ht="15.75" customHeight="1" x14ac:dyDescent="0.25">
      <c r="A19" s="22" t="s">
        <v>46</v>
      </c>
      <c r="B19" s="27">
        <f t="shared" si="1"/>
        <v>221</v>
      </c>
      <c r="C19" s="3">
        <v>69</v>
      </c>
      <c r="D19" s="3">
        <v>152</v>
      </c>
      <c r="E19" s="14" t="s">
        <v>47</v>
      </c>
      <c r="T19" s="17"/>
      <c r="U19" s="17"/>
      <c r="V19" s="17"/>
      <c r="Y19" s="36"/>
      <c r="Z19" s="37"/>
      <c r="AA19" s="38"/>
      <c r="AB19" s="36"/>
    </row>
    <row r="20" spans="1:28" ht="15.75" customHeight="1" x14ac:dyDescent="0.25">
      <c r="A20" s="22" t="s">
        <v>49</v>
      </c>
      <c r="B20" s="27">
        <f t="shared" si="1"/>
        <v>643</v>
      </c>
      <c r="C20" s="3">
        <v>253</v>
      </c>
      <c r="D20" s="3">
        <v>390</v>
      </c>
      <c r="E20" s="14" t="s">
        <v>50</v>
      </c>
      <c r="G20" s="17"/>
      <c r="T20" s="17"/>
      <c r="U20" s="17"/>
      <c r="V20" s="17"/>
      <c r="Y20" s="36"/>
      <c r="Z20" s="37"/>
      <c r="AA20" s="38"/>
      <c r="AB20" s="36"/>
    </row>
    <row r="21" spans="1:28" ht="15.75" customHeight="1" x14ac:dyDescent="0.25">
      <c r="A21" s="22" t="s">
        <v>52</v>
      </c>
      <c r="B21" s="27">
        <f t="shared" si="1"/>
        <v>647</v>
      </c>
      <c r="C21" s="3">
        <v>246</v>
      </c>
      <c r="D21" s="3">
        <v>401</v>
      </c>
      <c r="E21" s="14" t="s">
        <v>53</v>
      </c>
      <c r="T21" s="17"/>
      <c r="U21" s="17"/>
      <c r="V21" s="17"/>
      <c r="Y21" s="36"/>
      <c r="Z21" s="37"/>
      <c r="AA21" s="38"/>
      <c r="AB21" s="39"/>
    </row>
    <row r="22" spans="1:28" ht="15.75" customHeight="1" x14ac:dyDescent="0.25">
      <c r="A22" s="22" t="s">
        <v>55</v>
      </c>
      <c r="B22" s="27">
        <f t="shared" si="1"/>
        <v>671</v>
      </c>
      <c r="C22" s="3">
        <v>221</v>
      </c>
      <c r="D22" s="3">
        <v>450</v>
      </c>
      <c r="E22" s="14" t="s">
        <v>56</v>
      </c>
      <c r="T22" s="17"/>
      <c r="U22" s="17"/>
      <c r="V22" s="17"/>
      <c r="Y22" s="36"/>
      <c r="Z22" s="37"/>
      <c r="AA22" s="38"/>
      <c r="AB22" s="12"/>
    </row>
    <row r="23" spans="1:28" ht="15.75" customHeight="1" x14ac:dyDescent="0.25">
      <c r="A23" s="22" t="s">
        <v>58</v>
      </c>
      <c r="B23" s="27">
        <f t="shared" si="1"/>
        <v>1223</v>
      </c>
      <c r="C23" s="3">
        <v>512</v>
      </c>
      <c r="D23" s="3">
        <v>711</v>
      </c>
      <c r="E23" s="14" t="s">
        <v>59</v>
      </c>
      <c r="T23" s="17"/>
      <c r="U23" s="17"/>
      <c r="V23" s="17"/>
      <c r="Y23" s="36"/>
      <c r="Z23" s="37"/>
      <c r="AA23" s="38"/>
      <c r="AB23" s="12"/>
    </row>
    <row r="24" spans="1:28" ht="15.75" customHeight="1" x14ac:dyDescent="0.25">
      <c r="A24" s="22" t="s">
        <v>61</v>
      </c>
      <c r="B24" s="27">
        <f t="shared" si="1"/>
        <v>1365</v>
      </c>
      <c r="C24" s="3">
        <v>500</v>
      </c>
      <c r="D24" s="3">
        <v>865</v>
      </c>
      <c r="E24" s="14" t="s">
        <v>62</v>
      </c>
      <c r="T24" s="17"/>
      <c r="U24" s="17"/>
      <c r="V24" s="17"/>
      <c r="Y24" s="36"/>
      <c r="Z24" s="37"/>
      <c r="AA24" s="21"/>
      <c r="AB24" s="39"/>
    </row>
    <row r="25" spans="1:28" ht="15.75" customHeight="1" x14ac:dyDescent="0.25">
      <c r="A25" s="22" t="s">
        <v>64</v>
      </c>
      <c r="B25" s="27">
        <f t="shared" si="1"/>
        <v>859</v>
      </c>
      <c r="C25" s="3">
        <v>256</v>
      </c>
      <c r="D25" s="3">
        <v>603</v>
      </c>
      <c r="E25" s="14" t="s">
        <v>65</v>
      </c>
      <c r="T25" s="17"/>
      <c r="U25" s="17"/>
      <c r="V25" s="17"/>
      <c r="Y25" s="36"/>
      <c r="Z25" s="37"/>
      <c r="AA25" s="21"/>
      <c r="AB25" s="12"/>
    </row>
    <row r="26" spans="1:28" ht="15.75" customHeight="1" x14ac:dyDescent="0.25">
      <c r="A26" s="22" t="s">
        <v>67</v>
      </c>
      <c r="B26" s="27">
        <f t="shared" si="1"/>
        <v>1165</v>
      </c>
      <c r="C26" s="3">
        <v>373</v>
      </c>
      <c r="D26" s="3">
        <v>792</v>
      </c>
      <c r="E26" s="14" t="s">
        <v>68</v>
      </c>
      <c r="T26" s="17"/>
      <c r="U26" s="17"/>
      <c r="V26" s="17"/>
      <c r="Y26" s="36"/>
      <c r="Z26" s="37"/>
      <c r="AA26" s="21"/>
      <c r="AB26" s="12"/>
    </row>
    <row r="27" spans="1:28" ht="15.75" customHeight="1" x14ac:dyDescent="0.25">
      <c r="A27" s="22" t="s">
        <v>70</v>
      </c>
      <c r="B27" s="27">
        <f t="shared" si="1"/>
        <v>671</v>
      </c>
      <c r="C27" s="3">
        <v>193</v>
      </c>
      <c r="D27" s="3">
        <v>478</v>
      </c>
      <c r="E27" s="14" t="s">
        <v>71</v>
      </c>
      <c r="T27" s="17"/>
      <c r="U27" s="17"/>
      <c r="V27" s="17"/>
      <c r="Y27" s="36"/>
      <c r="Z27" s="37"/>
      <c r="AA27" s="21"/>
      <c r="AB27" s="39"/>
    </row>
    <row r="28" spans="1:28" ht="15.75" customHeight="1" x14ac:dyDescent="0.25">
      <c r="A28" s="23" t="s">
        <v>73</v>
      </c>
      <c r="B28" s="28">
        <f t="shared" si="1"/>
        <v>1517</v>
      </c>
      <c r="C28" s="4">
        <v>327</v>
      </c>
      <c r="D28" s="4">
        <v>1190</v>
      </c>
      <c r="E28" s="24" t="s">
        <v>74</v>
      </c>
      <c r="T28" s="17"/>
      <c r="U28" s="17"/>
      <c r="V28" s="17"/>
      <c r="Y28" s="36"/>
      <c r="Z28" s="37"/>
      <c r="AA28" s="21"/>
      <c r="AB28" s="39"/>
    </row>
    <row r="29" spans="1:28" ht="17.25" x14ac:dyDescent="0.25">
      <c r="A29" s="6" t="s">
        <v>5</v>
      </c>
      <c r="B29" s="17"/>
      <c r="C29" s="17"/>
      <c r="E29" s="2" t="s">
        <v>6</v>
      </c>
      <c r="T29" s="17"/>
      <c r="U29" s="17"/>
      <c r="V29" s="17"/>
      <c r="Y29" s="36"/>
      <c r="Z29" s="36"/>
      <c r="AA29" s="40"/>
      <c r="AB29" s="39"/>
    </row>
    <row r="30" spans="1:28" x14ac:dyDescent="0.25">
      <c r="T30" s="17"/>
      <c r="U30" s="17"/>
      <c r="V30" s="17"/>
      <c r="Y30" s="36"/>
      <c r="Z30" s="36"/>
      <c r="AA30" s="36"/>
      <c r="AB30" s="12"/>
    </row>
    <row r="31" spans="1:28" x14ac:dyDescent="0.25">
      <c r="T31" s="17"/>
      <c r="U31" s="17"/>
      <c r="V31" s="17"/>
      <c r="Y31" s="36"/>
      <c r="Z31" s="36"/>
      <c r="AA31" s="36"/>
      <c r="AB31" s="12"/>
    </row>
    <row r="32" spans="1:28" x14ac:dyDescent="0.25">
      <c r="T32" s="17"/>
      <c r="U32" s="17"/>
      <c r="V32" s="17"/>
      <c r="AB32" s="16"/>
    </row>
    <row r="33" spans="20:28" x14ac:dyDescent="0.25">
      <c r="T33" s="17"/>
      <c r="U33" s="17"/>
      <c r="V33" s="17"/>
      <c r="AB33" s="12"/>
    </row>
    <row r="34" spans="20:28" x14ac:dyDescent="0.25">
      <c r="T34" s="17"/>
      <c r="U34" s="17"/>
      <c r="V34" s="17"/>
      <c r="AB34" s="12"/>
    </row>
    <row r="35" spans="20:28" x14ac:dyDescent="0.25">
      <c r="T35" s="17"/>
      <c r="U35" s="17"/>
      <c r="V35" s="17"/>
      <c r="AB35" s="16"/>
    </row>
    <row r="36" spans="20:28" x14ac:dyDescent="0.25">
      <c r="T36" s="17"/>
      <c r="U36" s="17"/>
      <c r="V36" s="17"/>
      <c r="AB36" s="12"/>
    </row>
    <row r="37" spans="20:28" x14ac:dyDescent="0.25">
      <c r="AB37" s="12"/>
    </row>
    <row r="38" spans="20:28" x14ac:dyDescent="0.25">
      <c r="AB38" s="16"/>
    </row>
    <row r="39" spans="20:28" x14ac:dyDescent="0.25">
      <c r="AB39" s="12"/>
    </row>
    <row r="44" spans="20:28" x14ac:dyDescent="0.25">
      <c r="AA44" s="9" t="s">
        <v>3</v>
      </c>
      <c r="AB44" s="9" t="s">
        <v>4</v>
      </c>
    </row>
    <row r="45" spans="20:28" x14ac:dyDescent="0.25">
      <c r="Z45" s="5" t="s">
        <v>18</v>
      </c>
      <c r="AA45" s="15">
        <f>C9</f>
        <v>542</v>
      </c>
      <c r="AB45" s="15">
        <f>D9</f>
        <v>915</v>
      </c>
    </row>
    <row r="46" spans="20:28" x14ac:dyDescent="0.25">
      <c r="Z46" s="5" t="s">
        <v>21</v>
      </c>
      <c r="AA46" s="15">
        <f t="shared" ref="AA46:AB46" si="2">C10</f>
        <v>720</v>
      </c>
      <c r="AB46" s="15">
        <f t="shared" si="2"/>
        <v>1223</v>
      </c>
    </row>
    <row r="47" spans="20:28" x14ac:dyDescent="0.25">
      <c r="Z47" s="5" t="s">
        <v>24</v>
      </c>
      <c r="AA47" s="15">
        <f t="shared" ref="AA47:AB47" si="3">C11</f>
        <v>635</v>
      </c>
      <c r="AB47" s="15">
        <f t="shared" si="3"/>
        <v>793</v>
      </c>
    </row>
    <row r="48" spans="20:28" x14ac:dyDescent="0.25">
      <c r="Z48" s="5" t="s">
        <v>27</v>
      </c>
      <c r="AA48" s="15">
        <f t="shared" ref="AA48:AB48" si="4">C12</f>
        <v>465</v>
      </c>
      <c r="AB48" s="15">
        <f t="shared" si="4"/>
        <v>718</v>
      </c>
    </row>
    <row r="49" spans="1:28" x14ac:dyDescent="0.25">
      <c r="Z49" s="5" t="s">
        <v>30</v>
      </c>
      <c r="AA49" s="15">
        <f t="shared" ref="AA49:AB49" si="5">C13</f>
        <v>605</v>
      </c>
      <c r="AB49" s="15">
        <f t="shared" si="5"/>
        <v>970</v>
      </c>
    </row>
    <row r="50" spans="1:28" x14ac:dyDescent="0.25">
      <c r="Z50" s="5" t="s">
        <v>33</v>
      </c>
      <c r="AA50" s="15">
        <f t="shared" ref="AA50:AB50" si="6">C14</f>
        <v>391</v>
      </c>
      <c r="AB50" s="15">
        <f t="shared" si="6"/>
        <v>762</v>
      </c>
    </row>
    <row r="51" spans="1:28" x14ac:dyDescent="0.25">
      <c r="A51" s="17"/>
      <c r="B51" s="17"/>
      <c r="Z51" s="5" t="s">
        <v>36</v>
      </c>
      <c r="AA51" s="15">
        <f t="shared" ref="AA51:AB51" si="7">C15</f>
        <v>277</v>
      </c>
      <c r="AB51" s="15">
        <f t="shared" si="7"/>
        <v>506</v>
      </c>
    </row>
    <row r="52" spans="1:28" x14ac:dyDescent="0.25">
      <c r="Z52" s="5" t="s">
        <v>39</v>
      </c>
      <c r="AA52" s="15">
        <f t="shared" ref="AA52:AB52" si="8">C16</f>
        <v>356</v>
      </c>
      <c r="AB52" s="15">
        <f t="shared" si="8"/>
        <v>705</v>
      </c>
    </row>
    <row r="53" spans="1:28" x14ac:dyDescent="0.25">
      <c r="Z53" s="5" t="s">
        <v>42</v>
      </c>
      <c r="AA53" s="15">
        <f t="shared" ref="AA53:AB53" si="9">C17</f>
        <v>251</v>
      </c>
      <c r="AB53" s="15">
        <f t="shared" si="9"/>
        <v>455</v>
      </c>
    </row>
    <row r="54" spans="1:28" x14ac:dyDescent="0.25">
      <c r="Z54" s="5" t="s">
        <v>45</v>
      </c>
      <c r="AA54" s="15">
        <f t="shared" ref="AA54:AB54" si="10">C18</f>
        <v>257</v>
      </c>
      <c r="AB54" s="15">
        <f t="shared" si="10"/>
        <v>608</v>
      </c>
    </row>
    <row r="55" spans="1:28" x14ac:dyDescent="0.25">
      <c r="A55" s="17"/>
      <c r="B55" s="17"/>
      <c r="Z55" s="5" t="s">
        <v>48</v>
      </c>
      <c r="AA55" s="15">
        <f t="shared" ref="AA55:AB55" si="11">C19</f>
        <v>69</v>
      </c>
      <c r="AB55" s="15">
        <f t="shared" si="11"/>
        <v>152</v>
      </c>
    </row>
    <row r="56" spans="1:28" x14ac:dyDescent="0.25">
      <c r="Z56" s="5" t="s">
        <v>51</v>
      </c>
      <c r="AA56" s="15">
        <f t="shared" ref="AA56:AB56" si="12">C20</f>
        <v>253</v>
      </c>
      <c r="AB56" s="15">
        <f t="shared" si="12"/>
        <v>390</v>
      </c>
    </row>
    <row r="57" spans="1:28" x14ac:dyDescent="0.25">
      <c r="Z57" s="5" t="s">
        <v>54</v>
      </c>
      <c r="AA57" s="15">
        <f t="shared" ref="AA57:AB57" si="13">C21</f>
        <v>246</v>
      </c>
      <c r="AB57" s="15">
        <f t="shared" si="13"/>
        <v>401</v>
      </c>
    </row>
    <row r="58" spans="1:28" x14ac:dyDescent="0.25">
      <c r="Z58" s="5" t="s">
        <v>57</v>
      </c>
      <c r="AA58" s="15">
        <f t="shared" ref="AA58:AB58" si="14">C22</f>
        <v>221</v>
      </c>
      <c r="AB58" s="15">
        <f t="shared" si="14"/>
        <v>450</v>
      </c>
    </row>
    <row r="59" spans="1:28" x14ac:dyDescent="0.25">
      <c r="Z59" s="5" t="s">
        <v>60</v>
      </c>
      <c r="AA59" s="15">
        <f t="shared" ref="AA59:AB59" si="15">C23</f>
        <v>512</v>
      </c>
      <c r="AB59" s="15">
        <f t="shared" si="15"/>
        <v>711</v>
      </c>
    </row>
    <row r="60" spans="1:28" x14ac:dyDescent="0.25">
      <c r="Z60" s="5" t="s">
        <v>63</v>
      </c>
      <c r="AA60" s="15">
        <f t="shared" ref="AA60:AB60" si="16">C24</f>
        <v>500</v>
      </c>
      <c r="AB60" s="15">
        <f t="shared" si="16"/>
        <v>865</v>
      </c>
    </row>
    <row r="61" spans="1:28" x14ac:dyDescent="0.25">
      <c r="Z61" s="5" t="s">
        <v>66</v>
      </c>
      <c r="AA61" s="15">
        <f t="shared" ref="AA61:AB61" si="17">C25</f>
        <v>256</v>
      </c>
      <c r="AB61" s="15">
        <f t="shared" si="17"/>
        <v>603</v>
      </c>
    </row>
    <row r="62" spans="1:28" x14ac:dyDescent="0.25">
      <c r="Z62" s="5" t="s">
        <v>69</v>
      </c>
      <c r="AA62" s="15">
        <f t="shared" ref="AA62:AB62" si="18">C26</f>
        <v>373</v>
      </c>
      <c r="AB62" s="15">
        <f t="shared" si="18"/>
        <v>792</v>
      </c>
    </row>
    <row r="63" spans="1:28" x14ac:dyDescent="0.25">
      <c r="Z63" s="5" t="s">
        <v>72</v>
      </c>
      <c r="AA63" s="15">
        <f t="shared" ref="AA63:AB64" si="19">C27</f>
        <v>193</v>
      </c>
      <c r="AB63" s="15">
        <f t="shared" si="19"/>
        <v>478</v>
      </c>
    </row>
    <row r="64" spans="1:28" x14ac:dyDescent="0.25">
      <c r="Z64" s="5" t="s">
        <v>75</v>
      </c>
      <c r="AA64" s="15">
        <f t="shared" si="19"/>
        <v>327</v>
      </c>
      <c r="AB64" s="15">
        <f t="shared" si="19"/>
        <v>1190</v>
      </c>
    </row>
    <row r="69" spans="1:5" ht="21" x14ac:dyDescent="0.55000000000000004">
      <c r="A69" s="1"/>
      <c r="B69" s="1"/>
      <c r="C69" s="1"/>
      <c r="D69" s="1"/>
      <c r="E69" s="1"/>
    </row>
    <row r="70" spans="1:5" x14ac:dyDescent="0.25">
      <c r="A70" s="13"/>
      <c r="B70" s="13"/>
      <c r="C70" s="13"/>
      <c r="D70" s="13"/>
      <c r="E70" s="13"/>
    </row>
    <row r="72" spans="1:5" ht="18.75" customHeight="1" x14ac:dyDescent="0.25">
      <c r="A72" s="18"/>
      <c r="B72" s="19"/>
      <c r="C72" s="19"/>
      <c r="D72" s="19"/>
      <c r="E72" s="20"/>
    </row>
  </sheetData>
  <mergeCells count="4">
    <mergeCell ref="A1:E1"/>
    <mergeCell ref="A2:E2"/>
    <mergeCell ref="A4:A5"/>
    <mergeCell ref="E4:E5"/>
  </mergeCells>
  <conditionalFormatting sqref="B1 B29:B68 B73:B1048576">
    <cfRule type="duplicateValues" dxfId="12" priority="42"/>
  </conditionalFormatting>
  <conditionalFormatting sqref="B32">
    <cfRule type="duplicateValues" dxfId="11" priority="15"/>
  </conditionalFormatting>
  <conditionalFormatting sqref="B33 B35:B40 B42 B44 B49 B51:B66 B1 B68 B29:B31 B73:B1048576">
    <cfRule type="duplicateValues" dxfId="10" priority="47"/>
  </conditionalFormatting>
  <conditionalFormatting sqref="B34">
    <cfRule type="duplicateValues" dxfId="9" priority="14"/>
  </conditionalFormatting>
  <conditionalFormatting sqref="B41">
    <cfRule type="duplicateValues" dxfId="8" priority="13"/>
  </conditionalFormatting>
  <conditionalFormatting sqref="B43">
    <cfRule type="duplicateValues" dxfId="7" priority="12"/>
  </conditionalFormatting>
  <conditionalFormatting sqref="B45:B48">
    <cfRule type="duplicateValues" dxfId="6" priority="11"/>
  </conditionalFormatting>
  <conditionalFormatting sqref="B50">
    <cfRule type="duplicateValues" dxfId="5" priority="10"/>
  </conditionalFormatting>
  <conditionalFormatting sqref="B67">
    <cfRule type="duplicateValues" dxfId="4" priority="9"/>
  </conditionalFormatting>
  <conditionalFormatting sqref="B69 B72">
    <cfRule type="duplicateValues" dxfId="3" priority="39"/>
  </conditionalFormatting>
  <conditionalFormatting sqref="B69">
    <cfRule type="duplicateValues" dxfId="2" priority="8"/>
  </conditionalFormatting>
  <conditionalFormatting sqref="AA9:AA18 AA24:AA28">
    <cfRule type="duplicateValues" dxfId="1" priority="40"/>
  </conditionalFormatting>
  <conditionalFormatting sqref="AB21:AB39">
    <cfRule type="duplicateValues" dxfId="0" priority="41"/>
  </conditionalFormatting>
  <pageMargins left="0.7" right="0.7" top="0.75" bottom="0.75" header="0.3" footer="0.3"/>
  <pageSetup paperSize="9" scale="75" orientation="portrait" r:id="rId1"/>
  <rowBreaks count="1" manualBreakCount="1">
    <brk id="64" max="5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2025-10-19T12:45:53Z</cp:lastPrinted>
  <dcterms:created xsi:type="dcterms:W3CDTF">2019-06-03T04:17:39Z</dcterms:created>
  <dcterms:modified xsi:type="dcterms:W3CDTF">2025-10-19T12:46:05Z</dcterms:modified>
</cp:coreProperties>
</file>