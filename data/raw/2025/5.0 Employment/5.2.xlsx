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Emp\"/>
    </mc:Choice>
  </mc:AlternateContent>
  <xr:revisionPtr revIDLastSave="0" documentId="13_ncr:1_{74E60E5E-55F5-4A4B-8E82-39324809104F}" xr6:coauthVersionLast="47" xr6:coauthVersionMax="47" xr10:uidLastSave="{00000000-0000-0000-0000-000000000000}"/>
  <bookViews>
    <workbookView xWindow="-120" yWindow="-120" windowWidth="29040" windowHeight="15720" tabRatio="736" xr2:uid="{00000000-000D-0000-FFFF-FFFF00000000}"/>
  </bookViews>
  <sheets>
    <sheet name="5.2" sheetId="2" r:id="rId1"/>
  </sheets>
  <definedNames>
    <definedName name="_xlnm.Print_Area" localSheetId="0">'5.2'!$A$1:$N$57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2" l="1"/>
  <c r="K88" i="2"/>
  <c r="G88" i="2"/>
  <c r="E88" i="2"/>
  <c r="D88" i="2"/>
  <c r="K87" i="2"/>
  <c r="G87" i="2"/>
  <c r="C87" i="2" s="1"/>
  <c r="E87" i="2"/>
  <c r="D87" i="2"/>
  <c r="K86" i="2"/>
  <c r="G86" i="2"/>
  <c r="C86" i="2" s="1"/>
  <c r="E86" i="2"/>
  <c r="D86" i="2"/>
  <c r="K85" i="2"/>
  <c r="G85" i="2"/>
  <c r="E85" i="2"/>
  <c r="D85" i="2"/>
  <c r="K84" i="2"/>
  <c r="G84" i="2"/>
  <c r="C84" i="2" s="1"/>
  <c r="E84" i="2"/>
  <c r="D84" i="2"/>
  <c r="K83" i="2"/>
  <c r="G83" i="2"/>
  <c r="C83" i="2" s="1"/>
  <c r="E83" i="2"/>
  <c r="D83" i="2"/>
  <c r="K82" i="2"/>
  <c r="G82" i="2"/>
  <c r="E82" i="2"/>
  <c r="D82" i="2"/>
  <c r="K81" i="2"/>
  <c r="G81" i="2"/>
  <c r="C81" i="2" s="1"/>
  <c r="E81" i="2"/>
  <c r="D81" i="2"/>
  <c r="K80" i="2"/>
  <c r="G80" i="2"/>
  <c r="C80" i="2" s="1"/>
  <c r="E80" i="2"/>
  <c r="D80" i="2"/>
  <c r="K79" i="2"/>
  <c r="G79" i="2"/>
  <c r="E79" i="2"/>
  <c r="D79" i="2"/>
  <c r="K78" i="2"/>
  <c r="G78" i="2"/>
  <c r="E78" i="2"/>
  <c r="D78" i="2"/>
  <c r="M77" i="2"/>
  <c r="L77" i="2"/>
  <c r="I77" i="2"/>
  <c r="H77" i="2"/>
  <c r="G77" i="2" s="1"/>
  <c r="E77" i="2"/>
  <c r="C79" i="2" l="1"/>
  <c r="C82" i="2"/>
  <c r="C88" i="2"/>
  <c r="C85" i="2"/>
  <c r="K77" i="2"/>
  <c r="C77" i="2" s="1"/>
  <c r="C78" i="2"/>
  <c r="D77" i="2"/>
  <c r="D11" i="2" l="1"/>
  <c r="M10" i="2" l="1"/>
  <c r="BR34" i="2" s="1"/>
  <c r="L10" i="2"/>
  <c r="BQ34" i="2" s="1"/>
  <c r="I10" i="2"/>
  <c r="H10" i="2"/>
  <c r="K11" i="2"/>
  <c r="K12" i="2"/>
  <c r="K13" i="2"/>
  <c r="K14" i="2"/>
  <c r="K15" i="2"/>
  <c r="K16" i="2"/>
  <c r="K17" i="2"/>
  <c r="K18" i="2"/>
  <c r="K19" i="2"/>
  <c r="K20" i="2"/>
  <c r="K21" i="2"/>
  <c r="G12" i="2"/>
  <c r="G13" i="2"/>
  <c r="G14" i="2"/>
  <c r="G15" i="2"/>
  <c r="G16" i="2"/>
  <c r="G17" i="2"/>
  <c r="G18" i="2"/>
  <c r="G19" i="2"/>
  <c r="G20" i="2"/>
  <c r="G21" i="2"/>
  <c r="E11" i="2"/>
  <c r="D12" i="2"/>
  <c r="E12" i="2"/>
  <c r="D13" i="2"/>
  <c r="E13" i="2"/>
  <c r="D14" i="2"/>
  <c r="E14" i="2"/>
  <c r="D15" i="2"/>
  <c r="E15" i="2"/>
  <c r="D16" i="2"/>
  <c r="E16" i="2"/>
  <c r="D17" i="2"/>
  <c r="E17" i="2"/>
  <c r="D18" i="2"/>
  <c r="E18" i="2"/>
  <c r="D19" i="2"/>
  <c r="E19" i="2"/>
  <c r="D20" i="2"/>
  <c r="E20" i="2"/>
  <c r="D21" i="2"/>
  <c r="E21" i="2"/>
  <c r="BO34" i="2" l="1"/>
  <c r="E10" i="2"/>
  <c r="BN34" i="2"/>
  <c r="D10" i="2"/>
  <c r="C15" i="2"/>
  <c r="C16" i="2"/>
  <c r="C14" i="2"/>
  <c r="C21" i="2"/>
  <c r="C20" i="2"/>
  <c r="C12" i="2"/>
  <c r="C19" i="2"/>
  <c r="C11" i="2"/>
  <c r="C13" i="2"/>
  <c r="K10" i="2"/>
  <c r="BP34" i="2" s="1"/>
  <c r="BL34" i="2"/>
  <c r="BK34" i="2"/>
  <c r="G10" i="2"/>
  <c r="BM34" i="2" s="1"/>
  <c r="C18" i="2"/>
  <c r="C17" i="2"/>
  <c r="C10" i="2" l="1"/>
  <c r="BJ34" i="2" s="1"/>
</calcChain>
</file>

<file path=xl/sharedStrings.xml><?xml version="1.0" encoding="utf-8"?>
<sst xmlns="http://schemas.openxmlformats.org/spreadsheetml/2006/main" count="111" uniqueCount="33">
  <si>
    <t>Republic</t>
  </si>
  <si>
    <t>Male'</t>
  </si>
  <si>
    <t>ދެޖިންސް</t>
  </si>
  <si>
    <t>ފިރިހެން</t>
  </si>
  <si>
    <t>އަންހެން</t>
  </si>
  <si>
    <t>Male</t>
  </si>
  <si>
    <t>Female</t>
  </si>
  <si>
    <t>Source: Civil Service Commision</t>
  </si>
  <si>
    <t>މަޢުލޫމާތު ދެއްވި ފަރާތް: ސިވިލް ސަރވިސް ކޮމިޝަން</t>
  </si>
  <si>
    <t>އުމުރުފުރާ</t>
  </si>
  <si>
    <t xml:space="preserve"> މުޅިރާއްޖެ</t>
  </si>
  <si>
    <t>މާލެ</t>
  </si>
  <si>
    <t>އަތޮޅުތައް</t>
  </si>
  <si>
    <t>Atolls</t>
  </si>
  <si>
    <t>Age groups</t>
  </si>
  <si>
    <t>Both sexes</t>
  </si>
  <si>
    <t xml:space="preserve">     Total</t>
  </si>
  <si>
    <t xml:space="preserve">     15-19</t>
  </si>
  <si>
    <t xml:space="preserve">     20-24</t>
  </si>
  <si>
    <t xml:space="preserve">     25-29</t>
  </si>
  <si>
    <t xml:space="preserve">     30-34</t>
  </si>
  <si>
    <t xml:space="preserve">     35-39</t>
  </si>
  <si>
    <t xml:space="preserve">     40-44</t>
  </si>
  <si>
    <t xml:space="preserve">     45-49</t>
  </si>
  <si>
    <t xml:space="preserve">     50-54</t>
  </si>
  <si>
    <t xml:space="preserve">     55-59</t>
  </si>
  <si>
    <t xml:space="preserve">     60-64</t>
  </si>
  <si>
    <t xml:space="preserve">     65+</t>
  </si>
  <si>
    <t xml:space="preserve"> </t>
  </si>
  <si>
    <t>Table 5.2 :  CIVIL SERVANTS CLASSIFIED BY AGE AND SEX, 2023</t>
  </si>
  <si>
    <t>ތާވަލް 5.2: ސިވިލް ސަރވަންޓުން ބެހިފައިވާ ގޮތް، ޖިންސް އަދި އުމުރުފުރާއިން، 2023</t>
  </si>
  <si>
    <t>ތާވަލް 5.2: ސިވިލް ސަރވަންޓުން ބެހިފައިވާ ގޮތް، ޖިންސް އަދި އުމުރުފުރާއިން، 2024</t>
  </si>
  <si>
    <t>Table 5.2 :  CIVIL SERVANTS CLASSIFIED BY AGE AND SEX,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</si>
</sst>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General_)"/>
    <numFmt numFmtId="165" formatCode="_-* #,##0\ _ރ_._-;_-* #,##0\ _ރ_.\-;_-* &quot;-&quot;??\ _ރ_._-;_-@_-"/>
    <numFmt numFmtId="166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b/>
      <sz val="10"/>
      <name val="Calibri"/>
      <family val="2"/>
      <scheme val="minor"/>
    </font>
    <font>
      <b/>
      <sz val="10"/>
      <name val="Faruma"/>
    </font>
    <font>
      <b/>
      <sz val="11"/>
      <color theme="1"/>
      <name val="Faruma"/>
    </font>
    <font>
      <i/>
      <sz val="10"/>
      <name val="Calibri"/>
      <family val="2"/>
      <scheme val="minor"/>
    </font>
    <font>
      <b/>
      <sz val="11"/>
      <name val="Faruma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theme="1" tint="4.9989318521683403E-2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hair">
        <color indexed="64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16" fillId="0" borderId="0"/>
    <xf numFmtId="0" fontId="3" fillId="0" borderId="0"/>
    <xf numFmtId="43" fontId="3" fillId="0" borderId="0" applyFont="0" applyFill="0" applyBorder="0" applyAlignment="0" applyProtection="0"/>
    <xf numFmtId="0" fontId="17" fillId="0" borderId="0"/>
    <xf numFmtId="0" fontId="3" fillId="0" borderId="0"/>
  </cellStyleXfs>
  <cellXfs count="58">
    <xf numFmtId="0" fontId="0" fillId="0" borderId="0" xfId="0"/>
    <xf numFmtId="0" fontId="0" fillId="2" borderId="0" xfId="0" applyFill="1"/>
    <xf numFmtId="0" fontId="8" fillId="2" borderId="0" xfId="0" applyFont="1" applyFill="1"/>
    <xf numFmtId="0" fontId="6" fillId="2" borderId="0" xfId="0" applyFont="1" applyFill="1" applyAlignment="1">
      <alignment horizontal="right" vertical="center"/>
    </xf>
    <xf numFmtId="0" fontId="6" fillId="2" borderId="3" xfId="0" applyFont="1" applyFill="1" applyBorder="1" applyAlignment="1">
      <alignment horizontal="right" vertical="center"/>
    </xf>
    <xf numFmtId="3" fontId="6" fillId="2" borderId="0" xfId="1" applyNumberFormat="1" applyFont="1" applyFill="1" applyBorder="1" applyAlignment="1">
      <alignment horizontal="right" vertical="center"/>
    </xf>
    <xf numFmtId="3" fontId="8" fillId="2" borderId="0" xfId="1" applyNumberFormat="1" applyFont="1" applyFill="1" applyBorder="1" applyAlignment="1">
      <alignment horizontal="right" vertical="center"/>
    </xf>
    <xf numFmtId="0" fontId="9" fillId="2" borderId="4" xfId="4" applyFont="1" applyFill="1" applyBorder="1" applyAlignment="1">
      <alignment vertical="center"/>
    </xf>
    <xf numFmtId="3" fontId="0" fillId="2" borderId="0" xfId="0" applyNumberFormat="1" applyFill="1"/>
    <xf numFmtId="3" fontId="10" fillId="2" borderId="0" xfId="5" applyNumberFormat="1" applyFont="1" applyFill="1" applyAlignment="1">
      <alignment horizontal="right" vertical="center"/>
    </xf>
    <xf numFmtId="164" fontId="11" fillId="2" borderId="1" xfId="3" applyNumberFormat="1" applyFont="1" applyFill="1" applyBorder="1" applyAlignment="1">
      <alignment horizontal="center" vertical="center"/>
    </xf>
    <xf numFmtId="0" fontId="12" fillId="2" borderId="1" xfId="5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13" fillId="2" borderId="0" xfId="0" applyFont="1" applyFill="1" applyAlignment="1">
      <alignment horizontal="center" readingOrder="2"/>
    </xf>
    <xf numFmtId="0" fontId="2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/>
    <xf numFmtId="3" fontId="6" fillId="2" borderId="0" xfId="0" applyNumberFormat="1" applyFont="1" applyFill="1" applyAlignment="1">
      <alignment horizontal="right" vertical="center"/>
    </xf>
    <xf numFmtId="1" fontId="0" fillId="2" borderId="0" xfId="0" applyNumberFormat="1" applyFill="1"/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/>
    </xf>
    <xf numFmtId="3" fontId="8" fillId="2" borderId="0" xfId="0" applyNumberFormat="1" applyFont="1" applyFill="1" applyAlignment="1">
      <alignment horizontal="right" vertical="center"/>
    </xf>
    <xf numFmtId="3" fontId="8" fillId="2" borderId="0" xfId="0" applyNumberFormat="1" applyFont="1" applyFill="1" applyAlignment="1" applyProtection="1">
      <alignment horizontal="right" vertical="center"/>
      <protection locked="0"/>
    </xf>
    <xf numFmtId="0" fontId="8" fillId="2" borderId="3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/>
    </xf>
    <xf numFmtId="3" fontId="6" fillId="2" borderId="3" xfId="0" applyNumberFormat="1" applyFont="1" applyFill="1" applyBorder="1" applyAlignment="1">
      <alignment horizontal="right" vertical="center"/>
    </xf>
    <xf numFmtId="3" fontId="8" fillId="2" borderId="3" xfId="0" applyNumberFormat="1" applyFont="1" applyFill="1" applyBorder="1" applyAlignment="1">
      <alignment horizontal="right" vertical="center"/>
    </xf>
    <xf numFmtId="3" fontId="8" fillId="2" borderId="3" xfId="0" applyNumberFormat="1" applyFont="1" applyFill="1" applyBorder="1" applyAlignment="1" applyProtection="1">
      <alignment horizontal="right" vertical="center"/>
      <protection locked="0"/>
    </xf>
    <xf numFmtId="0" fontId="14" fillId="2" borderId="0" xfId="4" applyFont="1" applyFill="1"/>
    <xf numFmtId="3" fontId="8" fillId="2" borderId="0" xfId="0" applyNumberFormat="1" applyFont="1" applyFill="1"/>
    <xf numFmtId="0" fontId="6" fillId="2" borderId="1" xfId="0" applyFont="1" applyFill="1" applyBorder="1"/>
    <xf numFmtId="166" fontId="0" fillId="2" borderId="0" xfId="1" applyNumberFormat="1" applyFont="1" applyFill="1"/>
    <xf numFmtId="3" fontId="8" fillId="2" borderId="0" xfId="0" applyNumberFormat="1" applyFont="1" applyFill="1" applyProtection="1">
      <protection locked="0"/>
    </xf>
    <xf numFmtId="3" fontId="8" fillId="2" borderId="3" xfId="0" applyNumberFormat="1" applyFont="1" applyFill="1" applyBorder="1" applyProtection="1">
      <protection locked="0"/>
    </xf>
    <xf numFmtId="0" fontId="7" fillId="2" borderId="3" xfId="0" applyFont="1" applyFill="1" applyBorder="1" applyAlignment="1">
      <alignment horizontal="right" vertical="center" readingOrder="2"/>
    </xf>
    <xf numFmtId="0" fontId="6" fillId="2" borderId="0" xfId="0" applyFont="1" applyFill="1" applyAlignment="1">
      <alignment horizontal="center" vertical="center"/>
    </xf>
    <xf numFmtId="164" fontId="11" fillId="2" borderId="0" xfId="3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right" vertical="center" wrapText="1"/>
    </xf>
    <xf numFmtId="0" fontId="8" fillId="2" borderId="3" xfId="0" applyFont="1" applyFill="1" applyBorder="1" applyAlignment="1">
      <alignment horizontal="right" vertical="center" wrapText="1"/>
    </xf>
    <xf numFmtId="164" fontId="5" fillId="2" borderId="0" xfId="3" applyNumberFormat="1" applyFont="1" applyFill="1" applyAlignment="1">
      <alignment vertical="center"/>
    </xf>
    <xf numFmtId="0" fontId="12" fillId="2" borderId="0" xfId="5" applyFont="1" applyFill="1" applyAlignment="1">
      <alignment horizontal="center" vertical="center"/>
    </xf>
    <xf numFmtId="3" fontId="8" fillId="2" borderId="0" xfId="0" applyNumberFormat="1" applyFont="1" applyFill="1" applyAlignment="1">
      <alignment horizontal="right" vertical="center" wrapText="1"/>
    </xf>
    <xf numFmtId="0" fontId="15" fillId="2" borderId="0" xfId="2" applyFont="1" applyFill="1" applyAlignment="1">
      <alignment vertical="center"/>
    </xf>
    <xf numFmtId="164" fontId="11" fillId="2" borderId="0" xfId="3" applyNumberFormat="1" applyFont="1" applyFill="1" applyAlignment="1">
      <alignment vertical="center"/>
    </xf>
    <xf numFmtId="164" fontId="12" fillId="2" borderId="0" xfId="3" applyNumberFormat="1" applyFont="1" applyFill="1" applyAlignment="1">
      <alignment vertical="center"/>
    </xf>
    <xf numFmtId="0" fontId="12" fillId="2" borderId="0" xfId="5" applyFont="1" applyFill="1" applyAlignment="1">
      <alignment vertical="top"/>
    </xf>
    <xf numFmtId="0" fontId="6" fillId="2" borderId="0" xfId="0" applyFont="1" applyFill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64" fontId="5" fillId="2" borderId="0" xfId="3" applyNumberFormat="1" applyFont="1" applyFill="1" applyAlignment="1">
      <alignment horizontal="center" vertical="center"/>
    </xf>
    <xf numFmtId="165" fontId="6" fillId="2" borderId="2" xfId="1" applyNumberFormat="1" applyFont="1" applyFill="1" applyBorder="1" applyAlignment="1">
      <alignment horizontal="center" vertical="center"/>
    </xf>
    <xf numFmtId="0" fontId="15" fillId="2" borderId="0" xfId="2" applyFont="1" applyFill="1" applyAlignment="1">
      <alignment horizontal="center" vertical="center"/>
    </xf>
    <xf numFmtId="164" fontId="11" fillId="2" borderId="0" xfId="3" applyNumberFormat="1" applyFont="1" applyFill="1" applyAlignment="1">
      <alignment horizontal="center" vertical="center"/>
    </xf>
    <xf numFmtId="164" fontId="12" fillId="2" borderId="1" xfId="3" applyNumberFormat="1" applyFont="1" applyFill="1" applyBorder="1" applyAlignment="1">
      <alignment horizontal="center" vertical="center"/>
    </xf>
    <xf numFmtId="164" fontId="12" fillId="2" borderId="0" xfId="3" applyNumberFormat="1" applyFont="1" applyFill="1" applyAlignment="1">
      <alignment horizontal="center" vertical="center"/>
    </xf>
    <xf numFmtId="0" fontId="12" fillId="2" borderId="1" xfId="5" applyFont="1" applyFill="1" applyBorder="1" applyAlignment="1">
      <alignment horizontal="center" vertical="top"/>
    </xf>
    <xf numFmtId="0" fontId="6" fillId="2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/>
    </xf>
  </cellXfs>
  <cellStyles count="12">
    <cellStyle name="1" xfId="11" xr:uid="{00000000-0005-0000-0000-000000000000}"/>
    <cellStyle name="Comma" xfId="1" builtinId="3"/>
    <cellStyle name="Comma 3" xfId="9" xr:uid="{00000000-0005-0000-0000-000002000000}"/>
    <cellStyle name="Normal" xfId="0" builtinId="0"/>
    <cellStyle name="Normal 11" xfId="10" xr:uid="{00000000-0005-0000-0000-000004000000}"/>
    <cellStyle name="Normal 2" xfId="6" xr:uid="{00000000-0005-0000-0000-000005000000}"/>
    <cellStyle name="Normal 4" xfId="7" xr:uid="{00000000-0005-0000-0000-000006000000}"/>
    <cellStyle name="Normal 5" xfId="8" xr:uid="{00000000-0005-0000-0000-000007000000}"/>
    <cellStyle name="Normal_5 Employment_done" xfId="2" xr:uid="{00000000-0005-0000-0000-000008000000}"/>
    <cellStyle name="Normal_II-16(Populaion)" xfId="5" xr:uid="{00000000-0005-0000-0000-00000A000000}"/>
    <cellStyle name="Normal_po" xfId="4" xr:uid="{00000000-0005-0000-0000-00000C000000}"/>
    <cellStyle name="Normal_Population - II 2" xfId="3" xr:uid="{00000000-0005-0000-0000-00000D000000}"/>
  </cellStyles>
  <dxfs count="11"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472C4"/>
        </top>
        <bottom style="thin">
          <color rgb="FF4472C4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top style="thin">
          <color rgb="FF8EA9DB"/>
        </top>
      </border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</dxfs>
  <tableStyles count="1" defaultTableStyle="TableStyleMedium2" defaultPivotStyle="PivotStyleLight16">
    <tableStyle name="PivotStyleLight16 2" table="0" count="11" xr9:uid="{00000000-0011-0000-FFFF-FFFF00000000}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9BC2E6"/>
      <color rgb="FF003399"/>
      <color rgb="FFEEEEEE"/>
      <color rgb="FFAEAAAA"/>
      <color rgb="FF7E5400"/>
      <color rgb="FF33CCCC"/>
      <color rgb="FFEFFFFF"/>
      <color rgb="FFCDFFFF"/>
      <color rgb="FF75DFDD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GB" sz="1050">
                <a:latin typeface="Consolas" pitchFamily="49" charset="0"/>
                <a:cs typeface="Consolas" pitchFamily="49" charset="0"/>
              </a:defRPr>
            </a:pPr>
            <a:r>
              <a:rPr lang="en-US" sz="1050">
                <a:solidFill>
                  <a:schemeClr val="tx1"/>
                </a:solidFill>
                <a:latin typeface="Consolas" pitchFamily="49" charset="0"/>
                <a:cs typeface="Consolas" pitchFamily="49" charset="0"/>
              </a:rPr>
              <a:t>Figure</a:t>
            </a:r>
            <a:r>
              <a:rPr lang="en-US" sz="1050" baseline="0">
                <a:solidFill>
                  <a:schemeClr val="tx1"/>
                </a:solidFill>
                <a:latin typeface="Consolas" pitchFamily="49" charset="0"/>
                <a:cs typeface="Consolas" pitchFamily="49" charset="0"/>
              </a:rPr>
              <a:t> 5.2: </a:t>
            </a:r>
            <a:r>
              <a:rPr lang="en-US" sz="1050" baseline="0">
                <a:latin typeface="Consolas" pitchFamily="49" charset="0"/>
                <a:cs typeface="Consolas" pitchFamily="49" charset="0"/>
              </a:rPr>
              <a:t>Number of civil servants by locaity &amp; sex, 2022 - 2024</a:t>
            </a:r>
            <a:endParaRPr lang="en-US" sz="1050">
              <a:latin typeface="Consolas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14385432473444612"/>
          <c:y val="4.97054567326502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101828508158784"/>
          <c:y val="0.14420086562027432"/>
          <c:w val="0.86477578770028551"/>
          <c:h val="0.69115255228852446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'5.2'!$BI$32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003399"/>
            </a:solidFill>
          </c:spPr>
          <c:invertIfNegative val="0"/>
          <c:cat>
            <c:multiLvlStrRef>
              <c:f>'5.2'!$BJ$20:$BR$21</c:f>
              <c:multiLvlStrCache>
                <c:ptCount val="9"/>
                <c:lvl>
                  <c:pt idx="0">
                    <c:v>Both sexes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Both sexes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Both sexes</c:v>
                  </c:pt>
                  <c:pt idx="7">
                    <c:v>Male</c:v>
                  </c:pt>
                  <c:pt idx="8">
                    <c:v>Female</c:v>
                  </c:pt>
                </c:lvl>
                <c:lvl>
                  <c:pt idx="0">
                    <c:v> Republic </c:v>
                  </c:pt>
                  <c:pt idx="3">
                    <c:v> Male' </c:v>
                  </c:pt>
                  <c:pt idx="6">
                    <c:v> Atolls </c:v>
                  </c:pt>
                </c:lvl>
              </c:multiLvlStrCache>
            </c:multiLvlStrRef>
          </c:cat>
          <c:val>
            <c:numRef>
              <c:f>'5.2'!$BJ$32:$BR$32</c:f>
              <c:numCache>
                <c:formatCode>General</c:formatCode>
                <c:ptCount val="9"/>
                <c:pt idx="0" formatCode="#,##0">
                  <c:v>28294</c:v>
                </c:pt>
                <c:pt idx="1">
                  <c:v>9975</c:v>
                </c:pt>
                <c:pt idx="2">
                  <c:v>18319</c:v>
                </c:pt>
                <c:pt idx="3">
                  <c:v>10231</c:v>
                </c:pt>
                <c:pt idx="4">
                  <c:v>3583</c:v>
                </c:pt>
                <c:pt idx="5">
                  <c:v>6648</c:v>
                </c:pt>
                <c:pt idx="6">
                  <c:v>18063</c:v>
                </c:pt>
                <c:pt idx="7">
                  <c:v>6392</c:v>
                </c:pt>
                <c:pt idx="8">
                  <c:v>11671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47-4E3E-BD02-64200FB07299}"/>
            </c:ext>
          </c:extLst>
        </c:ser>
        <c:ser>
          <c:idx val="3"/>
          <c:order val="1"/>
          <c:tx>
            <c:strRef>
              <c:f>'5.2'!$BI$33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9BC2E6"/>
            </a:solidFill>
          </c:spPr>
          <c:invertIfNegative val="0"/>
          <c:cat>
            <c:multiLvlStrRef>
              <c:f>'5.2'!$BJ$20:$BR$21</c:f>
              <c:multiLvlStrCache>
                <c:ptCount val="9"/>
                <c:lvl>
                  <c:pt idx="0">
                    <c:v>Both sexes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Both sexes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Both sexes</c:v>
                  </c:pt>
                  <c:pt idx="7">
                    <c:v>Male</c:v>
                  </c:pt>
                  <c:pt idx="8">
                    <c:v>Female</c:v>
                  </c:pt>
                </c:lvl>
                <c:lvl>
                  <c:pt idx="0">
                    <c:v> Republic </c:v>
                  </c:pt>
                  <c:pt idx="3">
                    <c:v> Male' </c:v>
                  </c:pt>
                  <c:pt idx="6">
                    <c:v> Atolls </c:v>
                  </c:pt>
                </c:lvl>
              </c:multiLvlStrCache>
            </c:multiLvlStrRef>
          </c:cat>
          <c:val>
            <c:numRef>
              <c:f>'5.2'!$BJ$33:$BR$33</c:f>
              <c:numCache>
                <c:formatCode>General</c:formatCode>
                <c:ptCount val="9"/>
                <c:pt idx="0" formatCode="#,##0">
                  <c:v>30127</c:v>
                </c:pt>
                <c:pt idx="1">
                  <c:v>10307</c:v>
                </c:pt>
                <c:pt idx="2">
                  <c:v>19820</c:v>
                </c:pt>
                <c:pt idx="3">
                  <c:v>10818</c:v>
                </c:pt>
                <c:pt idx="4">
                  <c:v>3602</c:v>
                </c:pt>
                <c:pt idx="5">
                  <c:v>7216</c:v>
                </c:pt>
                <c:pt idx="6">
                  <c:v>19309</c:v>
                </c:pt>
                <c:pt idx="7">
                  <c:v>6705</c:v>
                </c:pt>
                <c:pt idx="8">
                  <c:v>12604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47-4E3E-BD02-64200FB07299}"/>
            </c:ext>
          </c:extLst>
        </c:ser>
        <c:ser>
          <c:idx val="0"/>
          <c:order val="2"/>
          <c:tx>
            <c:strRef>
              <c:f>'5.2'!$BI$34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multiLvlStrRef>
              <c:f>'5.2'!$BJ$20:$BR$21</c:f>
              <c:multiLvlStrCache>
                <c:ptCount val="9"/>
                <c:lvl>
                  <c:pt idx="0">
                    <c:v>Both sexes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Both sexes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Both sexes</c:v>
                  </c:pt>
                  <c:pt idx="7">
                    <c:v>Male</c:v>
                  </c:pt>
                  <c:pt idx="8">
                    <c:v>Female</c:v>
                  </c:pt>
                </c:lvl>
                <c:lvl>
                  <c:pt idx="0">
                    <c:v> Republic </c:v>
                  </c:pt>
                  <c:pt idx="3">
                    <c:v> Male' </c:v>
                  </c:pt>
                  <c:pt idx="6">
                    <c:v> Atolls </c:v>
                  </c:pt>
                </c:lvl>
              </c:multiLvlStrCache>
            </c:multiLvlStrRef>
          </c:cat>
          <c:val>
            <c:numRef>
              <c:f>'5.2'!$BJ$34:$BR$34</c:f>
              <c:numCache>
                <c:formatCode>General</c:formatCode>
                <c:ptCount val="9"/>
                <c:pt idx="0" formatCode="#,##0">
                  <c:v>33250</c:v>
                </c:pt>
                <c:pt idx="1">
                  <c:v>11438</c:v>
                </c:pt>
                <c:pt idx="2">
                  <c:v>21812</c:v>
                </c:pt>
                <c:pt idx="3">
                  <c:v>12114</c:v>
                </c:pt>
                <c:pt idx="4">
                  <c:v>3989</c:v>
                </c:pt>
                <c:pt idx="5">
                  <c:v>8125</c:v>
                </c:pt>
                <c:pt idx="6">
                  <c:v>21136</c:v>
                </c:pt>
                <c:pt idx="7">
                  <c:v>7449</c:v>
                </c:pt>
                <c:pt idx="8">
                  <c:v>13687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B1-4ABC-A5F6-F745EBF1E2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3"/>
        <c:axId val="484289152"/>
        <c:axId val="484293072"/>
      </c:barChart>
      <c:catAx>
        <c:axId val="484289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en-GB" b="0"/>
            </a:pPr>
            <a:endParaRPr lang="en-US"/>
          </a:p>
        </c:txPr>
        <c:crossAx val="484293072"/>
        <c:crosses val="autoZero"/>
        <c:auto val="1"/>
        <c:lblAlgn val="ctr"/>
        <c:lblOffset val="100"/>
        <c:noMultiLvlLbl val="0"/>
      </c:catAx>
      <c:valAx>
        <c:axId val="484293072"/>
        <c:scaling>
          <c:orientation val="minMax"/>
          <c:max val="35000"/>
          <c:min val="0"/>
        </c:scaling>
        <c:delete val="0"/>
        <c:axPos val="l"/>
        <c:majorGridlines>
          <c:spPr>
            <a:ln>
              <a:solidFill>
                <a:schemeClr val="accent1">
                  <a:lumMod val="40000"/>
                  <a:lumOff val="60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lang="en-GB"/>
                </a:pPr>
                <a:r>
                  <a:rPr lang="en-US"/>
                  <a:t>Number</a:t>
                </a:r>
              </a:p>
            </c:rich>
          </c:tx>
          <c:layout>
            <c:manualLayout>
              <c:xMode val="edge"/>
              <c:yMode val="edge"/>
              <c:x val="4.0247093544262952E-3"/>
              <c:y val="0.37498828778695764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lang="en-GB" sz="900"/>
            </a:pPr>
            <a:endParaRPr lang="en-US"/>
          </a:p>
        </c:txPr>
        <c:crossAx val="484289152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679482043581888"/>
          <c:y val="0.16777764161917993"/>
          <c:w val="0.21608080027897941"/>
          <c:h val="6.1427178214141565E-2"/>
        </c:manualLayout>
      </c:layout>
      <c:overlay val="0"/>
      <c:txPr>
        <a:bodyPr/>
        <a:lstStyle/>
        <a:p>
          <a:pPr>
            <a:defRPr lang="en-GB" sz="1000" b="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27812389563257"/>
          <c:y val="0.15587257475168545"/>
          <c:w val="0.85138416699425412"/>
          <c:h val="0.693288927454825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'5.2'!$D$7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strRef>
              <c:f>'5.2'!$A$11:$A$21</c:f>
              <c:strCache>
                <c:ptCount val="11"/>
                <c:pt idx="0">
                  <c:v>     15-19</c:v>
                </c:pt>
                <c:pt idx="1">
                  <c:v>     20-24</c:v>
                </c:pt>
                <c:pt idx="2">
                  <c:v>     25-29</c:v>
                </c:pt>
                <c:pt idx="3">
                  <c:v>     30-34</c:v>
                </c:pt>
                <c:pt idx="4">
                  <c:v>     35-39</c:v>
                </c:pt>
                <c:pt idx="5">
                  <c:v>     40-44</c:v>
                </c:pt>
                <c:pt idx="6">
                  <c:v>     45-49</c:v>
                </c:pt>
                <c:pt idx="7">
                  <c:v>     50-54</c:v>
                </c:pt>
                <c:pt idx="8">
                  <c:v>     55-59</c:v>
                </c:pt>
                <c:pt idx="9">
                  <c:v>     60-64</c:v>
                </c:pt>
                <c:pt idx="10">
                  <c:v>     65+</c:v>
                </c:pt>
              </c:strCache>
            </c:strRef>
          </c:cat>
          <c:val>
            <c:numRef>
              <c:f>'5.2'!$D$11:$D$21</c:f>
              <c:numCache>
                <c:formatCode>#,##0</c:formatCode>
                <c:ptCount val="11"/>
                <c:pt idx="0">
                  <c:v>26</c:v>
                </c:pt>
                <c:pt idx="1">
                  <c:v>450</c:v>
                </c:pt>
                <c:pt idx="2">
                  <c:v>921</c:v>
                </c:pt>
                <c:pt idx="3">
                  <c:v>1463</c:v>
                </c:pt>
                <c:pt idx="4">
                  <c:v>1989</c:v>
                </c:pt>
                <c:pt idx="5">
                  <c:v>1864</c:v>
                </c:pt>
                <c:pt idx="6">
                  <c:v>1426</c:v>
                </c:pt>
                <c:pt idx="7">
                  <c:v>1291</c:v>
                </c:pt>
                <c:pt idx="8">
                  <c:v>1110</c:v>
                </c:pt>
                <c:pt idx="9">
                  <c:v>723</c:v>
                </c:pt>
                <c:pt idx="10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6F-461E-9AB1-DC66E6E19A18}"/>
            </c:ext>
          </c:extLst>
        </c:ser>
        <c:ser>
          <c:idx val="1"/>
          <c:order val="1"/>
          <c:tx>
            <c:strRef>
              <c:f>'5.2'!$E$7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003399"/>
            </a:solidFill>
          </c:spPr>
          <c:invertIfNegative val="0"/>
          <c:cat>
            <c:strRef>
              <c:f>'5.2'!$A$11:$A$21</c:f>
              <c:strCache>
                <c:ptCount val="11"/>
                <c:pt idx="0">
                  <c:v>     15-19</c:v>
                </c:pt>
                <c:pt idx="1">
                  <c:v>     20-24</c:v>
                </c:pt>
                <c:pt idx="2">
                  <c:v>     25-29</c:v>
                </c:pt>
                <c:pt idx="3">
                  <c:v>     30-34</c:v>
                </c:pt>
                <c:pt idx="4">
                  <c:v>     35-39</c:v>
                </c:pt>
                <c:pt idx="5">
                  <c:v>     40-44</c:v>
                </c:pt>
                <c:pt idx="6">
                  <c:v>     45-49</c:v>
                </c:pt>
                <c:pt idx="7">
                  <c:v>     50-54</c:v>
                </c:pt>
                <c:pt idx="8">
                  <c:v>     55-59</c:v>
                </c:pt>
                <c:pt idx="9">
                  <c:v>     60-64</c:v>
                </c:pt>
                <c:pt idx="10">
                  <c:v>     65+</c:v>
                </c:pt>
              </c:strCache>
            </c:strRef>
          </c:cat>
          <c:val>
            <c:numRef>
              <c:f>'5.2'!$E$11:$E$21</c:f>
              <c:numCache>
                <c:formatCode>#,##0</c:formatCode>
                <c:ptCount val="11"/>
                <c:pt idx="0">
                  <c:v>34</c:v>
                </c:pt>
                <c:pt idx="1">
                  <c:v>1047</c:v>
                </c:pt>
                <c:pt idx="2">
                  <c:v>3137</c:v>
                </c:pt>
                <c:pt idx="3">
                  <c:v>4210</c:v>
                </c:pt>
                <c:pt idx="4">
                  <c:v>4243</c:v>
                </c:pt>
                <c:pt idx="5">
                  <c:v>3390</c:v>
                </c:pt>
                <c:pt idx="6">
                  <c:v>2333</c:v>
                </c:pt>
                <c:pt idx="7">
                  <c:v>1715</c:v>
                </c:pt>
                <c:pt idx="8">
                  <c:v>1081</c:v>
                </c:pt>
                <c:pt idx="9">
                  <c:v>533</c:v>
                </c:pt>
                <c:pt idx="10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6F-461E-9AB1-DC66E6E19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484290720"/>
        <c:axId val="484294248"/>
      </c:barChart>
      <c:catAx>
        <c:axId val="4842907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484294248"/>
        <c:crosses val="autoZero"/>
        <c:auto val="1"/>
        <c:lblAlgn val="ctr"/>
        <c:lblOffset val="100"/>
        <c:noMultiLvlLbl val="0"/>
      </c:catAx>
      <c:valAx>
        <c:axId val="484294248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40000"/>
                  <a:lumOff val="60000"/>
                </a:schemeClr>
              </a:solidFill>
            </a:ln>
          </c:spPr>
        </c:majorGridlines>
        <c:numFmt formatCode="#,##0" sourceLinked="1"/>
        <c:majorTickMark val="none"/>
        <c:minorTickMark val="none"/>
        <c:tickLblPos val="nextTo"/>
        <c:crossAx val="484290720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accent5">
              <a:lumMod val="20000"/>
              <a:lumOff val="8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7447953272104222"/>
          <c:y val="0.24217659067126412"/>
          <c:w val="0.20023697491671336"/>
          <c:h val="6.5582531350247872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23</xdr:row>
      <xdr:rowOff>114299</xdr:rowOff>
    </xdr:from>
    <xdr:to>
      <xdr:col>12</xdr:col>
      <xdr:colOff>523875</xdr:colOff>
      <xdr:row>39</xdr:row>
      <xdr:rowOff>43960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168449</xdr:colOff>
      <xdr:row>39</xdr:row>
      <xdr:rowOff>148616</xdr:rowOff>
    </xdr:from>
    <xdr:to>
      <xdr:col>12</xdr:col>
      <xdr:colOff>549449</xdr:colOff>
      <xdr:row>55</xdr:row>
      <xdr:rowOff>15266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244913</xdr:colOff>
      <xdr:row>44</xdr:row>
      <xdr:rowOff>147616</xdr:rowOff>
    </xdr:from>
    <xdr:to>
      <xdr:col>0</xdr:col>
      <xdr:colOff>453134</xdr:colOff>
      <xdr:row>48</xdr:row>
      <xdr:rowOff>76450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 rot="16200000">
          <a:off x="3607" y="8608997"/>
          <a:ext cx="690834" cy="2082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/>
            <a:t>Number</a:t>
          </a:r>
        </a:p>
      </xdr:txBody>
    </xdr:sp>
    <xdr:clientData/>
  </xdr:twoCellAnchor>
  <xdr:twoCellAnchor>
    <xdr:from>
      <xdr:col>6</xdr:col>
      <xdr:colOff>182301</xdr:colOff>
      <xdr:row>54</xdr:row>
      <xdr:rowOff>777</xdr:rowOff>
    </xdr:from>
    <xdr:to>
      <xdr:col>7</xdr:col>
      <xdr:colOff>391919</xdr:colOff>
      <xdr:row>55</xdr:row>
      <xdr:rowOff>26872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2935026" y="10125852"/>
          <a:ext cx="819218" cy="2165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/>
            <a:t>Age Group</a:t>
          </a:r>
        </a:p>
      </xdr:txBody>
    </xdr:sp>
    <xdr:clientData/>
  </xdr:twoCellAnchor>
  <xdr:twoCellAnchor>
    <xdr:from>
      <xdr:col>2</xdr:col>
      <xdr:colOff>246686</xdr:colOff>
      <xdr:row>40</xdr:row>
      <xdr:rowOff>65286</xdr:rowOff>
    </xdr:from>
    <xdr:to>
      <xdr:col>12</xdr:col>
      <xdr:colOff>86152</xdr:colOff>
      <xdr:row>41</xdr:row>
      <xdr:rowOff>95251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1056311" y="7523361"/>
          <a:ext cx="4944866" cy="2204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 b="1">
              <a:latin typeface="Consolas" pitchFamily="49" charset="0"/>
              <a:cs typeface="Consolas" pitchFamily="49" charset="0"/>
            </a:rPr>
            <a:t>Figure 5.3: Number of civil</a:t>
          </a:r>
          <a:r>
            <a:rPr lang="en-US" sz="1050" b="1" baseline="0">
              <a:latin typeface="Consolas" pitchFamily="49" charset="0"/>
              <a:cs typeface="Consolas" pitchFamily="49" charset="0"/>
            </a:rPr>
            <a:t> servants by sex and age group, 2024</a:t>
          </a:r>
          <a:endParaRPr lang="en-US" sz="1050" b="1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2:BS89"/>
  <sheetViews>
    <sheetView tabSelected="1" zoomScaleNormal="100" zoomScaleSheetLayoutView="96" workbookViewId="0">
      <selection activeCell="P24" sqref="P24"/>
    </sheetView>
  </sheetViews>
  <sheetFormatPr defaultRowHeight="15" x14ac:dyDescent="0.25"/>
  <cols>
    <col min="1" max="1" width="10.28515625" style="1" customWidth="1"/>
    <col min="2" max="2" width="1.85546875" style="1" customWidth="1"/>
    <col min="3" max="5" width="9.140625" style="1"/>
    <col min="6" max="6" width="1.7109375" style="1" customWidth="1"/>
    <col min="7" max="9" width="9.140625" style="1"/>
    <col min="10" max="10" width="1.7109375" style="1" customWidth="1"/>
    <col min="11" max="13" width="9.140625" style="1"/>
    <col min="14" max="55" width="7.28515625" style="1" customWidth="1"/>
    <col min="56" max="16384" width="9.140625" style="1"/>
  </cols>
  <sheetData>
    <row r="2" spans="1:60" ht="21" x14ac:dyDescent="0.25">
      <c r="A2" s="51" t="s">
        <v>31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</row>
    <row r="3" spans="1:60" x14ac:dyDescent="0.25">
      <c r="A3" s="49" t="s">
        <v>32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</row>
    <row r="4" spans="1:60" ht="1.1499999999999999" customHeight="1" x14ac:dyDescent="0.25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</row>
    <row r="5" spans="1:60" ht="13.5" customHeight="1" x14ac:dyDescent="0.25">
      <c r="A5" s="53" t="s">
        <v>9</v>
      </c>
      <c r="B5" s="10"/>
      <c r="C5" s="55" t="s">
        <v>10</v>
      </c>
      <c r="D5" s="55"/>
      <c r="E5" s="55"/>
      <c r="F5" s="11"/>
      <c r="G5" s="55" t="s">
        <v>11</v>
      </c>
      <c r="H5" s="55"/>
      <c r="I5" s="55"/>
      <c r="J5" s="11"/>
      <c r="K5" s="55" t="s">
        <v>12</v>
      </c>
      <c r="L5" s="55"/>
      <c r="M5" s="55"/>
    </row>
    <row r="6" spans="1:60" ht="12" customHeight="1" x14ac:dyDescent="0.25">
      <c r="A6" s="54"/>
      <c r="B6" s="12"/>
      <c r="C6" s="56" t="s">
        <v>0</v>
      </c>
      <c r="D6" s="56"/>
      <c r="E6" s="56"/>
      <c r="F6" s="12"/>
      <c r="G6" s="57" t="s">
        <v>1</v>
      </c>
      <c r="H6" s="57"/>
      <c r="I6" s="57"/>
      <c r="J6" s="12"/>
      <c r="K6" s="57" t="s">
        <v>13</v>
      </c>
      <c r="L6" s="57"/>
      <c r="M6" s="57"/>
    </row>
    <row r="7" spans="1:60" x14ac:dyDescent="0.25">
      <c r="A7" s="47" t="s">
        <v>14</v>
      </c>
      <c r="B7" s="12"/>
      <c r="C7" s="3" t="s">
        <v>15</v>
      </c>
      <c r="D7" s="3" t="s">
        <v>5</v>
      </c>
      <c r="E7" s="3" t="s">
        <v>6</v>
      </c>
      <c r="F7" s="36"/>
      <c r="G7" s="3" t="s">
        <v>15</v>
      </c>
      <c r="H7" s="3" t="s">
        <v>5</v>
      </c>
      <c r="I7" s="3" t="s">
        <v>6</v>
      </c>
      <c r="J7" s="36"/>
      <c r="K7" s="3" t="s">
        <v>15</v>
      </c>
      <c r="L7" s="3" t="s">
        <v>5</v>
      </c>
      <c r="M7" s="3" t="s">
        <v>6</v>
      </c>
    </row>
    <row r="8" spans="1:60" ht="18.75" x14ac:dyDescent="0.25">
      <c r="A8" s="48"/>
      <c r="B8" s="13"/>
      <c r="C8" s="35" t="s">
        <v>2</v>
      </c>
      <c r="D8" s="35" t="s">
        <v>3</v>
      </c>
      <c r="E8" s="35" t="s">
        <v>4</v>
      </c>
      <c r="F8" s="4"/>
      <c r="G8" s="35" t="s">
        <v>2</v>
      </c>
      <c r="H8" s="35" t="s">
        <v>3</v>
      </c>
      <c r="I8" s="35" t="s">
        <v>4</v>
      </c>
      <c r="J8" s="4"/>
      <c r="K8" s="35" t="s">
        <v>2</v>
      </c>
      <c r="L8" s="35" t="s">
        <v>3</v>
      </c>
      <c r="M8" s="35" t="s">
        <v>4</v>
      </c>
    </row>
    <row r="9" spans="1:60" ht="9.6" customHeight="1" x14ac:dyDescent="0.55000000000000004">
      <c r="A9" s="36"/>
      <c r="B9" s="12"/>
      <c r="C9" s="14"/>
      <c r="D9" s="14"/>
      <c r="E9" s="14"/>
      <c r="F9" s="15"/>
      <c r="G9" s="14"/>
      <c r="H9" s="14"/>
      <c r="I9" s="14"/>
      <c r="J9" s="15"/>
      <c r="K9" s="14"/>
      <c r="L9" s="14"/>
      <c r="M9" s="14"/>
    </row>
    <row r="10" spans="1:60" x14ac:dyDescent="0.25">
      <c r="A10" s="16" t="s">
        <v>16</v>
      </c>
      <c r="B10" s="17"/>
      <c r="C10" s="18">
        <f>G10+K10</f>
        <v>33250</v>
      </c>
      <c r="D10" s="18">
        <f>H10+L10</f>
        <v>11438</v>
      </c>
      <c r="E10" s="18">
        <f>I10+M10</f>
        <v>21812</v>
      </c>
      <c r="F10" s="18"/>
      <c r="G10" s="18">
        <f>SUM(H10:I10)</f>
        <v>12114</v>
      </c>
      <c r="H10" s="18">
        <f>SUM(H11:H21)</f>
        <v>3989</v>
      </c>
      <c r="I10" s="18">
        <f>SUM(I11:I21)</f>
        <v>8125</v>
      </c>
      <c r="J10" s="18"/>
      <c r="K10" s="18">
        <f>SUM(L10:M10)</f>
        <v>21136</v>
      </c>
      <c r="L10" s="18">
        <f>SUM(L11:L21)</f>
        <v>7449</v>
      </c>
      <c r="M10" s="18">
        <f>SUM(M11:M21)</f>
        <v>13687</v>
      </c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</row>
    <row r="11" spans="1:60" x14ac:dyDescent="0.25">
      <c r="A11" s="20" t="s">
        <v>17</v>
      </c>
      <c r="B11" s="21"/>
      <c r="C11" s="18">
        <f t="shared" ref="C11:C21" si="0">G11+K11</f>
        <v>60</v>
      </c>
      <c r="D11" s="22">
        <f>H11+L11</f>
        <v>26</v>
      </c>
      <c r="E11" s="22">
        <f t="shared" ref="E11:E21" si="1">I11+M11</f>
        <v>34</v>
      </c>
      <c r="F11" s="23"/>
      <c r="G11" s="18">
        <f t="shared" ref="G11:G21" si="2">SUM(H11:I11)</f>
        <v>24</v>
      </c>
      <c r="H11" s="22">
        <v>9</v>
      </c>
      <c r="I11" s="22">
        <v>15</v>
      </c>
      <c r="J11" s="23"/>
      <c r="K11" s="18">
        <f t="shared" ref="K11:K21" si="3">SUM(L11:M11)</f>
        <v>36</v>
      </c>
      <c r="L11" s="22">
        <v>17</v>
      </c>
      <c r="M11" s="22">
        <v>19</v>
      </c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</row>
    <row r="12" spans="1:60" x14ac:dyDescent="0.25">
      <c r="A12" s="20" t="s">
        <v>18</v>
      </c>
      <c r="B12" s="21"/>
      <c r="C12" s="18">
        <f t="shared" si="0"/>
        <v>1497</v>
      </c>
      <c r="D12" s="22">
        <f t="shared" ref="D12:D21" si="4">H12+L12</f>
        <v>450</v>
      </c>
      <c r="E12" s="22">
        <f t="shared" si="1"/>
        <v>1047</v>
      </c>
      <c r="F12" s="23"/>
      <c r="G12" s="18">
        <f t="shared" si="2"/>
        <v>767</v>
      </c>
      <c r="H12" s="22">
        <v>252</v>
      </c>
      <c r="I12" s="22">
        <v>515</v>
      </c>
      <c r="J12" s="23"/>
      <c r="K12" s="18">
        <f t="shared" si="3"/>
        <v>730</v>
      </c>
      <c r="L12" s="22">
        <v>198</v>
      </c>
      <c r="M12" s="22">
        <v>532</v>
      </c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</row>
    <row r="13" spans="1:60" x14ac:dyDescent="0.25">
      <c r="A13" s="20" t="s">
        <v>19</v>
      </c>
      <c r="B13" s="21"/>
      <c r="C13" s="18">
        <f t="shared" si="0"/>
        <v>4058</v>
      </c>
      <c r="D13" s="22">
        <f t="shared" si="4"/>
        <v>921</v>
      </c>
      <c r="E13" s="22">
        <f t="shared" si="1"/>
        <v>3137</v>
      </c>
      <c r="F13" s="23"/>
      <c r="G13" s="18">
        <f t="shared" si="2"/>
        <v>1700</v>
      </c>
      <c r="H13" s="22">
        <v>418</v>
      </c>
      <c r="I13" s="22">
        <v>1282</v>
      </c>
      <c r="J13" s="23"/>
      <c r="K13" s="18">
        <f t="shared" si="3"/>
        <v>2358</v>
      </c>
      <c r="L13" s="22">
        <v>503</v>
      </c>
      <c r="M13" s="22">
        <v>1855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6"/>
      <c r="BC13" s="6"/>
      <c r="BD13" s="6"/>
      <c r="BE13" s="5"/>
      <c r="BF13" s="6"/>
      <c r="BG13" s="6"/>
      <c r="BH13" s="6"/>
    </row>
    <row r="14" spans="1:60" x14ac:dyDescent="0.25">
      <c r="A14" s="20" t="s">
        <v>20</v>
      </c>
      <c r="B14" s="21"/>
      <c r="C14" s="18">
        <f t="shared" si="0"/>
        <v>5673</v>
      </c>
      <c r="D14" s="22">
        <f t="shared" si="4"/>
        <v>1463</v>
      </c>
      <c r="E14" s="22">
        <f t="shared" si="1"/>
        <v>4210</v>
      </c>
      <c r="F14" s="23"/>
      <c r="G14" s="18">
        <f t="shared" si="2"/>
        <v>1873</v>
      </c>
      <c r="H14" s="22">
        <v>490</v>
      </c>
      <c r="I14" s="22">
        <v>1383</v>
      </c>
      <c r="J14" s="23"/>
      <c r="K14" s="18">
        <f t="shared" si="3"/>
        <v>3800</v>
      </c>
      <c r="L14" s="22">
        <v>973</v>
      </c>
      <c r="M14" s="22">
        <v>2827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 t="s">
        <v>28</v>
      </c>
      <c r="BD14" s="19"/>
    </row>
    <row r="15" spans="1:60" x14ac:dyDescent="0.25">
      <c r="A15" s="20" t="s">
        <v>21</v>
      </c>
      <c r="B15" s="21"/>
      <c r="C15" s="18">
        <f t="shared" si="0"/>
        <v>6232</v>
      </c>
      <c r="D15" s="22">
        <f t="shared" si="4"/>
        <v>1989</v>
      </c>
      <c r="E15" s="22">
        <f t="shared" si="1"/>
        <v>4243</v>
      </c>
      <c r="F15" s="23"/>
      <c r="G15" s="18">
        <f t="shared" si="2"/>
        <v>1921</v>
      </c>
      <c r="H15" s="22">
        <v>564</v>
      </c>
      <c r="I15" s="22">
        <v>1357</v>
      </c>
      <c r="J15" s="23"/>
      <c r="K15" s="18">
        <f t="shared" si="3"/>
        <v>4311</v>
      </c>
      <c r="L15" s="22">
        <v>1425</v>
      </c>
      <c r="M15" s="22">
        <v>2886</v>
      </c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</row>
    <row r="16" spans="1:60" x14ac:dyDescent="0.25">
      <c r="A16" s="20" t="s">
        <v>22</v>
      </c>
      <c r="B16" s="21"/>
      <c r="C16" s="18">
        <f t="shared" si="0"/>
        <v>5254</v>
      </c>
      <c r="D16" s="22">
        <f t="shared" si="4"/>
        <v>1864</v>
      </c>
      <c r="E16" s="22">
        <f t="shared" si="1"/>
        <v>3390</v>
      </c>
      <c r="F16" s="23"/>
      <c r="G16" s="18">
        <f t="shared" si="2"/>
        <v>1837</v>
      </c>
      <c r="H16" s="22">
        <v>601</v>
      </c>
      <c r="I16" s="22">
        <v>1236</v>
      </c>
      <c r="J16" s="23"/>
      <c r="K16" s="18">
        <f t="shared" si="3"/>
        <v>3417</v>
      </c>
      <c r="L16" s="22">
        <v>1263</v>
      </c>
      <c r="M16" s="22">
        <v>2154</v>
      </c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</row>
    <row r="17" spans="1:71" x14ac:dyDescent="0.25">
      <c r="A17" s="20" t="s">
        <v>23</v>
      </c>
      <c r="B17" s="21"/>
      <c r="C17" s="18">
        <f t="shared" si="0"/>
        <v>3759</v>
      </c>
      <c r="D17" s="22">
        <f t="shared" si="4"/>
        <v>1426</v>
      </c>
      <c r="E17" s="22">
        <f t="shared" si="1"/>
        <v>2333</v>
      </c>
      <c r="F17" s="23"/>
      <c r="G17" s="18">
        <f t="shared" si="2"/>
        <v>1476</v>
      </c>
      <c r="H17" s="22">
        <v>483</v>
      </c>
      <c r="I17" s="22">
        <v>993</v>
      </c>
      <c r="J17" s="23"/>
      <c r="K17" s="18">
        <f t="shared" si="3"/>
        <v>2283</v>
      </c>
      <c r="L17" s="22">
        <v>943</v>
      </c>
      <c r="M17" s="22">
        <v>1340</v>
      </c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</row>
    <row r="18" spans="1:71" x14ac:dyDescent="0.25">
      <c r="A18" s="20" t="s">
        <v>24</v>
      </c>
      <c r="B18" s="21"/>
      <c r="C18" s="18">
        <f t="shared" si="0"/>
        <v>3006</v>
      </c>
      <c r="D18" s="22">
        <f t="shared" si="4"/>
        <v>1291</v>
      </c>
      <c r="E18" s="22">
        <f t="shared" si="1"/>
        <v>1715</v>
      </c>
      <c r="F18" s="23"/>
      <c r="G18" s="18">
        <f t="shared" si="2"/>
        <v>1173</v>
      </c>
      <c r="H18" s="22">
        <v>463</v>
      </c>
      <c r="I18" s="22">
        <v>710</v>
      </c>
      <c r="J18" s="23"/>
      <c r="K18" s="18">
        <f t="shared" si="3"/>
        <v>1833</v>
      </c>
      <c r="L18" s="22">
        <v>828</v>
      </c>
      <c r="M18" s="22">
        <v>1005</v>
      </c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</row>
    <row r="19" spans="1:71" x14ac:dyDescent="0.25">
      <c r="A19" s="20" t="s">
        <v>25</v>
      </c>
      <c r="B19" s="21"/>
      <c r="C19" s="18">
        <f t="shared" si="0"/>
        <v>2191</v>
      </c>
      <c r="D19" s="22">
        <f t="shared" si="4"/>
        <v>1110</v>
      </c>
      <c r="E19" s="22">
        <f t="shared" si="1"/>
        <v>1081</v>
      </c>
      <c r="F19" s="23"/>
      <c r="G19" s="18">
        <f t="shared" si="2"/>
        <v>800</v>
      </c>
      <c r="H19" s="22">
        <v>403</v>
      </c>
      <c r="I19" s="22">
        <v>397</v>
      </c>
      <c r="J19" s="23"/>
      <c r="K19" s="18">
        <f t="shared" si="3"/>
        <v>1391</v>
      </c>
      <c r="L19" s="22">
        <v>707</v>
      </c>
      <c r="M19" s="22">
        <v>684</v>
      </c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</row>
    <row r="20" spans="1:71" x14ac:dyDescent="0.25">
      <c r="A20" s="20" t="s">
        <v>26</v>
      </c>
      <c r="B20" s="21"/>
      <c r="C20" s="18">
        <f t="shared" si="0"/>
        <v>1256</v>
      </c>
      <c r="D20" s="22">
        <f t="shared" si="4"/>
        <v>723</v>
      </c>
      <c r="E20" s="22">
        <f t="shared" si="1"/>
        <v>533</v>
      </c>
      <c r="F20" s="23"/>
      <c r="G20" s="18">
        <f t="shared" si="2"/>
        <v>455</v>
      </c>
      <c r="H20" s="22">
        <v>249</v>
      </c>
      <c r="I20" s="22">
        <v>206</v>
      </c>
      <c r="J20" s="23"/>
      <c r="K20" s="18">
        <f t="shared" si="3"/>
        <v>801</v>
      </c>
      <c r="L20" s="22">
        <v>474</v>
      </c>
      <c r="M20" s="22">
        <v>327</v>
      </c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J20" s="50" t="s">
        <v>0</v>
      </c>
      <c r="BK20" s="50"/>
      <c r="BL20" s="50"/>
      <c r="BM20" s="50" t="s">
        <v>1</v>
      </c>
      <c r="BN20" s="50"/>
      <c r="BO20" s="50"/>
      <c r="BP20" s="50" t="s">
        <v>13</v>
      </c>
      <c r="BQ20" s="50"/>
      <c r="BR20" s="50"/>
    </row>
    <row r="21" spans="1:71" x14ac:dyDescent="0.25">
      <c r="A21" s="24" t="s">
        <v>27</v>
      </c>
      <c r="B21" s="25"/>
      <c r="C21" s="26">
        <f t="shared" si="0"/>
        <v>264</v>
      </c>
      <c r="D21" s="27">
        <f t="shared" si="4"/>
        <v>175</v>
      </c>
      <c r="E21" s="27">
        <f t="shared" si="1"/>
        <v>89</v>
      </c>
      <c r="F21" s="28"/>
      <c r="G21" s="26">
        <f t="shared" si="2"/>
        <v>88</v>
      </c>
      <c r="H21" s="27">
        <v>57</v>
      </c>
      <c r="I21" s="27">
        <v>31</v>
      </c>
      <c r="J21" s="28"/>
      <c r="K21" s="26">
        <f t="shared" si="3"/>
        <v>176</v>
      </c>
      <c r="L21" s="27">
        <v>118</v>
      </c>
      <c r="M21" s="27">
        <v>58</v>
      </c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I21" s="12"/>
      <c r="BJ21" s="3" t="s">
        <v>15</v>
      </c>
      <c r="BK21" s="3" t="s">
        <v>5</v>
      </c>
      <c r="BL21" s="3" t="s">
        <v>6</v>
      </c>
      <c r="BM21" s="3" t="s">
        <v>15</v>
      </c>
      <c r="BN21" s="3" t="s">
        <v>5</v>
      </c>
      <c r="BO21" s="3" t="s">
        <v>6</v>
      </c>
      <c r="BP21" s="3" t="s">
        <v>15</v>
      </c>
      <c r="BQ21" s="3" t="s">
        <v>5</v>
      </c>
      <c r="BR21" s="3" t="s">
        <v>6</v>
      </c>
    </row>
    <row r="22" spans="1:71" s="2" customFormat="1" ht="17.25" x14ac:dyDescent="0.25">
      <c r="A22" s="7" t="s">
        <v>7</v>
      </c>
      <c r="B22" s="29"/>
      <c r="C22" s="30"/>
      <c r="D22" s="30"/>
      <c r="E22" s="30"/>
      <c r="F22" s="30"/>
      <c r="G22" s="30"/>
      <c r="H22" s="30"/>
      <c r="I22" s="30"/>
      <c r="M22" s="9" t="s">
        <v>8</v>
      </c>
      <c r="BI22" s="1">
        <v>2012</v>
      </c>
      <c r="BJ22" s="32">
        <v>17657</v>
      </c>
      <c r="BK22" s="32">
        <v>8603</v>
      </c>
      <c r="BL22" s="32">
        <v>9054</v>
      </c>
      <c r="BM22" s="32">
        <v>7540</v>
      </c>
      <c r="BN22" s="32">
        <v>3549</v>
      </c>
      <c r="BO22" s="32">
        <v>3991</v>
      </c>
      <c r="BP22" s="32">
        <v>10117</v>
      </c>
      <c r="BQ22" s="32">
        <v>5054</v>
      </c>
      <c r="BR22" s="32">
        <v>5063</v>
      </c>
      <c r="BS22" s="1"/>
    </row>
    <row r="23" spans="1:71" x14ac:dyDescent="0.25">
      <c r="BI23" s="1">
        <v>2013</v>
      </c>
      <c r="BJ23" s="1">
        <v>24207</v>
      </c>
      <c r="BK23" s="1">
        <v>11219</v>
      </c>
      <c r="BL23" s="1">
        <v>12988</v>
      </c>
      <c r="BM23" s="1">
        <v>8522</v>
      </c>
      <c r="BN23" s="1">
        <v>3837</v>
      </c>
      <c r="BO23" s="1">
        <v>4685</v>
      </c>
      <c r="BP23" s="1">
        <v>15685</v>
      </c>
      <c r="BQ23" s="1">
        <v>7382</v>
      </c>
      <c r="BR23" s="1">
        <v>8303</v>
      </c>
    </row>
    <row r="24" spans="1:71" x14ac:dyDescent="0.25">
      <c r="BI24" s="31">
        <v>2014</v>
      </c>
      <c r="BJ24" s="8">
        <v>24883</v>
      </c>
      <c r="BK24" s="8">
        <v>11547</v>
      </c>
      <c r="BL24" s="8">
        <v>13336</v>
      </c>
      <c r="BM24" s="8">
        <v>8749</v>
      </c>
      <c r="BN24" s="8">
        <v>3839</v>
      </c>
      <c r="BO24" s="8">
        <v>4910</v>
      </c>
      <c r="BP24" s="8">
        <v>16134</v>
      </c>
      <c r="BQ24" s="8">
        <v>7708</v>
      </c>
      <c r="BR24" s="8">
        <v>8426</v>
      </c>
    </row>
    <row r="25" spans="1:71" x14ac:dyDescent="0.25">
      <c r="BI25" s="1">
        <v>2015</v>
      </c>
      <c r="BJ25" s="8">
        <v>24696</v>
      </c>
      <c r="BK25" s="8">
        <v>11191</v>
      </c>
      <c r="BL25" s="8">
        <v>13505</v>
      </c>
      <c r="BM25" s="8">
        <v>8549</v>
      </c>
      <c r="BN25" s="8">
        <v>3692</v>
      </c>
      <c r="BO25" s="8">
        <v>4857</v>
      </c>
      <c r="BP25" s="8">
        <v>16147</v>
      </c>
      <c r="BQ25" s="8">
        <v>7499</v>
      </c>
      <c r="BR25" s="8">
        <v>8648</v>
      </c>
    </row>
    <row r="26" spans="1:71" x14ac:dyDescent="0.25">
      <c r="BI26" s="1">
        <v>2016</v>
      </c>
      <c r="BJ26" s="1">
        <v>24501</v>
      </c>
      <c r="BK26" s="1">
        <v>10881</v>
      </c>
      <c r="BL26" s="1">
        <v>13620</v>
      </c>
      <c r="BM26" s="1">
        <v>9500</v>
      </c>
      <c r="BN26" s="1">
        <v>4500</v>
      </c>
      <c r="BO26" s="1">
        <v>5000</v>
      </c>
      <c r="BP26" s="1">
        <v>15001</v>
      </c>
      <c r="BQ26" s="1">
        <v>6381</v>
      </c>
      <c r="BR26" s="1">
        <v>8620</v>
      </c>
    </row>
    <row r="27" spans="1:71" x14ac:dyDescent="0.25">
      <c r="C27" s="12" t="s">
        <v>14</v>
      </c>
      <c r="D27" s="1" t="s">
        <v>5</v>
      </c>
      <c r="E27" s="1" t="s">
        <v>6</v>
      </c>
      <c r="BI27" s="1">
        <v>2017</v>
      </c>
      <c r="BJ27" s="1">
        <v>22082</v>
      </c>
      <c r="BK27" s="1">
        <v>8907</v>
      </c>
      <c r="BL27" s="1">
        <v>13175</v>
      </c>
      <c r="BM27" s="1">
        <v>8977</v>
      </c>
      <c r="BN27" s="1">
        <v>4008</v>
      </c>
      <c r="BO27" s="1">
        <v>4969</v>
      </c>
      <c r="BP27" s="1">
        <v>13105</v>
      </c>
      <c r="BQ27" s="1">
        <v>4899</v>
      </c>
      <c r="BR27" s="1">
        <v>8206</v>
      </c>
    </row>
    <row r="28" spans="1:71" x14ac:dyDescent="0.25">
      <c r="C28" s="21" t="s">
        <v>17</v>
      </c>
      <c r="D28" s="33">
        <v>8</v>
      </c>
      <c r="E28" s="33">
        <v>12</v>
      </c>
      <c r="BI28" s="1">
        <v>2018</v>
      </c>
      <c r="BJ28" s="1">
        <v>23647</v>
      </c>
      <c r="BK28" s="1">
        <v>9122</v>
      </c>
      <c r="BL28" s="1">
        <v>14525</v>
      </c>
      <c r="BM28" s="1">
        <v>8833</v>
      </c>
      <c r="BN28" s="1">
        <v>3791</v>
      </c>
      <c r="BO28" s="1">
        <v>5042</v>
      </c>
      <c r="BP28" s="1">
        <v>14814</v>
      </c>
      <c r="BQ28" s="1">
        <v>5331</v>
      </c>
      <c r="BR28" s="1">
        <v>9483</v>
      </c>
    </row>
    <row r="29" spans="1:71" x14ac:dyDescent="0.25">
      <c r="C29" s="21" t="s">
        <v>18</v>
      </c>
      <c r="D29" s="33">
        <v>554</v>
      </c>
      <c r="E29" s="33">
        <v>736</v>
      </c>
      <c r="BI29" s="1">
        <v>2019</v>
      </c>
      <c r="BJ29" s="1">
        <v>25652</v>
      </c>
      <c r="BK29" s="1">
        <v>9573</v>
      </c>
      <c r="BL29" s="1">
        <v>16079</v>
      </c>
      <c r="BM29" s="1">
        <v>9280</v>
      </c>
      <c r="BN29" s="1">
        <v>3678</v>
      </c>
      <c r="BO29" s="1">
        <v>5602</v>
      </c>
      <c r="BP29" s="1">
        <v>16372</v>
      </c>
      <c r="BQ29" s="1">
        <v>5895</v>
      </c>
      <c r="BR29" s="1">
        <v>10477</v>
      </c>
    </row>
    <row r="30" spans="1:71" x14ac:dyDescent="0.25">
      <c r="C30" s="21" t="s">
        <v>19</v>
      </c>
      <c r="D30" s="33">
        <v>1534</v>
      </c>
      <c r="E30" s="33">
        <v>2232</v>
      </c>
      <c r="BI30" s="1">
        <v>2020</v>
      </c>
      <c r="BJ30" s="1">
        <v>26668</v>
      </c>
      <c r="BK30" s="1">
        <v>10075</v>
      </c>
      <c r="BL30" s="1">
        <v>16593</v>
      </c>
      <c r="BM30" s="1">
        <v>10067</v>
      </c>
      <c r="BN30" s="1">
        <v>3932</v>
      </c>
      <c r="BO30" s="1">
        <v>6135</v>
      </c>
      <c r="BP30" s="1">
        <v>16601</v>
      </c>
      <c r="BQ30" s="1">
        <v>6143</v>
      </c>
      <c r="BR30" s="1">
        <v>10458</v>
      </c>
    </row>
    <row r="31" spans="1:71" x14ac:dyDescent="0.25">
      <c r="C31" s="21" t="s">
        <v>20</v>
      </c>
      <c r="D31" s="33">
        <v>1451</v>
      </c>
      <c r="E31" s="33">
        <v>1873</v>
      </c>
      <c r="BI31" s="1">
        <v>2021</v>
      </c>
      <c r="BJ31" s="1">
        <v>26834</v>
      </c>
      <c r="BK31" s="1">
        <v>9695</v>
      </c>
      <c r="BL31" s="1">
        <v>17139</v>
      </c>
      <c r="BM31" s="1">
        <v>9683</v>
      </c>
      <c r="BN31" s="1">
        <v>3547</v>
      </c>
      <c r="BO31" s="1">
        <v>6136</v>
      </c>
      <c r="BP31" s="1">
        <v>17151</v>
      </c>
      <c r="BQ31" s="1">
        <v>6148</v>
      </c>
      <c r="BR31" s="1">
        <v>11003</v>
      </c>
    </row>
    <row r="32" spans="1:71" x14ac:dyDescent="0.25">
      <c r="C32" s="21" t="s">
        <v>21</v>
      </c>
      <c r="D32" s="33">
        <v>1208</v>
      </c>
      <c r="E32" s="33">
        <v>1440</v>
      </c>
      <c r="BI32" s="1">
        <v>2022</v>
      </c>
      <c r="BJ32" s="6">
        <v>28294</v>
      </c>
      <c r="BK32" s="1">
        <v>9975</v>
      </c>
      <c r="BL32" s="1">
        <v>18319</v>
      </c>
      <c r="BM32" s="1">
        <v>10231</v>
      </c>
      <c r="BN32" s="1">
        <v>3583</v>
      </c>
      <c r="BO32" s="1">
        <v>6648</v>
      </c>
      <c r="BP32" s="1">
        <v>18063</v>
      </c>
      <c r="BQ32" s="1">
        <v>6392</v>
      </c>
      <c r="BR32" s="1">
        <v>11671</v>
      </c>
    </row>
    <row r="33" spans="3:70" x14ac:dyDescent="0.25">
      <c r="C33" s="21" t="s">
        <v>22</v>
      </c>
      <c r="D33" s="33">
        <v>1108</v>
      </c>
      <c r="E33" s="33">
        <v>1123</v>
      </c>
      <c r="BI33" s="1">
        <v>2023</v>
      </c>
      <c r="BJ33" s="6">
        <v>30127</v>
      </c>
      <c r="BK33" s="1">
        <v>10307</v>
      </c>
      <c r="BL33" s="1">
        <v>19820</v>
      </c>
      <c r="BM33" s="1">
        <v>10818</v>
      </c>
      <c r="BN33" s="1">
        <v>3602</v>
      </c>
      <c r="BO33" s="1">
        <v>7216</v>
      </c>
      <c r="BP33" s="1">
        <v>19309</v>
      </c>
      <c r="BQ33" s="1">
        <v>6705</v>
      </c>
      <c r="BR33" s="1">
        <v>12604</v>
      </c>
    </row>
    <row r="34" spans="3:70" x14ac:dyDescent="0.25">
      <c r="C34" s="21" t="s">
        <v>23</v>
      </c>
      <c r="D34" s="33">
        <v>954</v>
      </c>
      <c r="E34" s="33">
        <v>776</v>
      </c>
      <c r="BI34" s="1">
        <v>2024</v>
      </c>
      <c r="BJ34" s="6">
        <f>C10</f>
        <v>33250</v>
      </c>
      <c r="BK34" s="1">
        <f>D10</f>
        <v>11438</v>
      </c>
      <c r="BL34" s="1">
        <f>E10</f>
        <v>21812</v>
      </c>
      <c r="BM34" s="1">
        <f>G10</f>
        <v>12114</v>
      </c>
      <c r="BN34" s="1">
        <f>H10</f>
        <v>3989</v>
      </c>
      <c r="BO34" s="1">
        <f>I10</f>
        <v>8125</v>
      </c>
      <c r="BP34" s="1">
        <f>K10</f>
        <v>21136</v>
      </c>
      <c r="BQ34" s="1">
        <f>L10</f>
        <v>7449</v>
      </c>
      <c r="BR34" s="1">
        <f>M10</f>
        <v>13687</v>
      </c>
    </row>
    <row r="35" spans="3:70" x14ac:dyDescent="0.25">
      <c r="C35" s="21" t="s">
        <v>24</v>
      </c>
      <c r="D35" s="33">
        <v>781</v>
      </c>
      <c r="E35" s="33">
        <v>448</v>
      </c>
    </row>
    <row r="36" spans="3:70" x14ac:dyDescent="0.25">
      <c r="C36" s="21" t="s">
        <v>25</v>
      </c>
      <c r="D36" s="33">
        <v>611</v>
      </c>
      <c r="E36" s="33">
        <v>282</v>
      </c>
    </row>
    <row r="37" spans="3:70" x14ac:dyDescent="0.25">
      <c r="C37" s="21" t="s">
        <v>26</v>
      </c>
      <c r="D37" s="33">
        <v>327</v>
      </c>
      <c r="E37" s="33">
        <v>114</v>
      </c>
    </row>
    <row r="38" spans="3:70" x14ac:dyDescent="0.25">
      <c r="C38" s="25" t="s">
        <v>27</v>
      </c>
      <c r="D38" s="34">
        <v>67</v>
      </c>
      <c r="E38" s="34">
        <v>18</v>
      </c>
    </row>
    <row r="40" spans="3:70" x14ac:dyDescent="0.25">
      <c r="BD40" s="18"/>
      <c r="BH40" s="18"/>
    </row>
    <row r="49" spans="1:61" x14ac:dyDescent="0.25"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</row>
    <row r="50" spans="1:61" x14ac:dyDescent="0.25"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</row>
    <row r="51" spans="1:61" x14ac:dyDescent="0.25"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</row>
    <row r="52" spans="1:61" x14ac:dyDescent="0.25"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</row>
    <row r="53" spans="1:61" x14ac:dyDescent="0.25"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</row>
    <row r="54" spans="1:61" x14ac:dyDescent="0.25"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</row>
    <row r="55" spans="1:61" x14ac:dyDescent="0.25"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</row>
    <row r="56" spans="1:61" x14ac:dyDescent="0.25"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</row>
    <row r="57" spans="1:61" x14ac:dyDescent="0.25"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</row>
    <row r="58" spans="1:61" x14ac:dyDescent="0.25"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</row>
    <row r="59" spans="1:61" x14ac:dyDescent="0.25"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</row>
    <row r="60" spans="1:61" x14ac:dyDescent="0.25"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</row>
    <row r="63" spans="1:61" ht="21" x14ac:dyDescent="0.25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</row>
    <row r="64" spans="1:61" x14ac:dyDescent="0.25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</row>
    <row r="65" spans="1:14" x14ac:dyDescent="0.25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</row>
    <row r="66" spans="1:14" ht="18.75" x14ac:dyDescent="0.25">
      <c r="A66" s="45"/>
      <c r="B66" s="37"/>
      <c r="C66" s="46"/>
      <c r="D66" s="46"/>
      <c r="E66" s="46"/>
      <c r="F66" s="41"/>
      <c r="G66" s="46"/>
      <c r="H66" s="46"/>
      <c r="I66" s="46"/>
      <c r="J66" s="41"/>
      <c r="K66" s="46"/>
      <c r="L66" s="46"/>
      <c r="M66" s="46"/>
    </row>
    <row r="67" spans="1:14" ht="15" customHeight="1" x14ac:dyDescent="0.25">
      <c r="A67" s="45"/>
      <c r="B67" s="12"/>
      <c r="C67" s="16"/>
      <c r="D67" s="16"/>
      <c r="E67" s="16"/>
      <c r="F67" s="12"/>
      <c r="G67" s="17"/>
      <c r="H67" s="17"/>
      <c r="I67" s="17"/>
      <c r="J67" s="12"/>
      <c r="K67" s="17"/>
      <c r="L67" s="17"/>
      <c r="M67" s="17"/>
    </row>
    <row r="68" spans="1:14" x14ac:dyDescent="0.25">
      <c r="A68" s="16"/>
      <c r="B68" s="12"/>
      <c r="C68" s="3"/>
      <c r="D68" s="3"/>
      <c r="E68" s="3"/>
      <c r="F68" s="36"/>
      <c r="G68" s="3"/>
      <c r="H68" s="3"/>
      <c r="I68" s="3"/>
      <c r="J68" s="36"/>
      <c r="K68" s="3"/>
      <c r="L68" s="3"/>
      <c r="M68" s="3"/>
    </row>
    <row r="69" spans="1:14" ht="21" x14ac:dyDescent="0.25">
      <c r="A69" s="51" t="s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</row>
    <row r="70" spans="1:14" x14ac:dyDescent="0.25">
      <c r="A70" s="49" t="s">
        <v>29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</row>
    <row r="71" spans="1:14" x14ac:dyDescent="0.25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</row>
    <row r="72" spans="1:14" ht="18.75" x14ac:dyDescent="0.25">
      <c r="A72" s="53" t="s">
        <v>9</v>
      </c>
      <c r="B72" s="10"/>
      <c r="C72" s="55" t="s">
        <v>10</v>
      </c>
      <c r="D72" s="55"/>
      <c r="E72" s="55"/>
      <c r="F72" s="11"/>
      <c r="G72" s="55" t="s">
        <v>11</v>
      </c>
      <c r="H72" s="55"/>
      <c r="I72" s="55"/>
      <c r="J72" s="11"/>
      <c r="K72" s="55" t="s">
        <v>12</v>
      </c>
      <c r="L72" s="55"/>
      <c r="M72" s="55"/>
    </row>
    <row r="73" spans="1:14" x14ac:dyDescent="0.25">
      <c r="A73" s="54"/>
      <c r="B73" s="12"/>
      <c r="C73" s="56" t="s">
        <v>0</v>
      </c>
      <c r="D73" s="56"/>
      <c r="E73" s="56"/>
      <c r="F73" s="12"/>
      <c r="G73" s="57" t="s">
        <v>1</v>
      </c>
      <c r="H73" s="57"/>
      <c r="I73" s="57"/>
      <c r="J73" s="12"/>
      <c r="K73" s="57" t="s">
        <v>13</v>
      </c>
      <c r="L73" s="57"/>
      <c r="M73" s="57"/>
    </row>
    <row r="74" spans="1:14" x14ac:dyDescent="0.25">
      <c r="A74" s="47" t="s">
        <v>14</v>
      </c>
      <c r="B74" s="12"/>
      <c r="C74" s="3" t="s">
        <v>15</v>
      </c>
      <c r="D74" s="3" t="s">
        <v>5</v>
      </c>
      <c r="E74" s="3" t="s">
        <v>6</v>
      </c>
      <c r="F74" s="36"/>
      <c r="G74" s="3" t="s">
        <v>15</v>
      </c>
      <c r="H74" s="3" t="s">
        <v>5</v>
      </c>
      <c r="I74" s="3" t="s">
        <v>6</v>
      </c>
      <c r="J74" s="36"/>
      <c r="K74" s="3" t="s">
        <v>15</v>
      </c>
      <c r="L74" s="3" t="s">
        <v>5</v>
      </c>
      <c r="M74" s="3" t="s">
        <v>6</v>
      </c>
    </row>
    <row r="75" spans="1:14" ht="18.75" x14ac:dyDescent="0.25">
      <c r="A75" s="48"/>
      <c r="B75" s="13"/>
      <c r="C75" s="35" t="s">
        <v>2</v>
      </c>
      <c r="D75" s="35" t="s">
        <v>3</v>
      </c>
      <c r="E75" s="35" t="s">
        <v>4</v>
      </c>
      <c r="F75" s="4"/>
      <c r="G75" s="35" t="s">
        <v>2</v>
      </c>
      <c r="H75" s="35" t="s">
        <v>3</v>
      </c>
      <c r="I75" s="35" t="s">
        <v>4</v>
      </c>
      <c r="J75" s="4"/>
      <c r="K75" s="35" t="s">
        <v>2</v>
      </c>
      <c r="L75" s="35" t="s">
        <v>3</v>
      </c>
      <c r="M75" s="35" t="s">
        <v>4</v>
      </c>
    </row>
    <row r="76" spans="1:14" ht="21" x14ac:dyDescent="0.55000000000000004">
      <c r="A76" s="36"/>
      <c r="B76" s="12"/>
      <c r="C76" s="14"/>
      <c r="D76" s="14"/>
      <c r="E76" s="14"/>
      <c r="F76" s="15"/>
      <c r="G76" s="14"/>
      <c r="H76" s="14"/>
      <c r="I76" s="14"/>
      <c r="J76" s="15"/>
      <c r="K76" s="14"/>
      <c r="L76" s="14"/>
      <c r="M76" s="14"/>
    </row>
    <row r="77" spans="1:14" x14ac:dyDescent="0.25">
      <c r="A77" s="16" t="s">
        <v>16</v>
      </c>
      <c r="B77" s="17"/>
      <c r="C77" s="18">
        <f>G77+K77</f>
        <v>30127</v>
      </c>
      <c r="D77" s="18">
        <f t="shared" ref="D77" si="5">H77+L77</f>
        <v>10307</v>
      </c>
      <c r="E77" s="18">
        <f t="shared" ref="E77:E88" si="6">I77+M77</f>
        <v>19820</v>
      </c>
      <c r="F77" s="18"/>
      <c r="G77" s="18">
        <f>SUM(H77:I77)</f>
        <v>10818</v>
      </c>
      <c r="H77" s="18">
        <f>SUM(H78:H88)</f>
        <v>3602</v>
      </c>
      <c r="I77" s="18">
        <f>SUM(I78:I88)</f>
        <v>7216</v>
      </c>
      <c r="J77" s="18"/>
      <c r="K77" s="18">
        <f>SUM(L77:M77)</f>
        <v>19309</v>
      </c>
      <c r="L77" s="18">
        <f>SUM(L78:L88)</f>
        <v>6705</v>
      </c>
      <c r="M77" s="18">
        <f>SUM(M78:M88)</f>
        <v>12604</v>
      </c>
      <c r="N77" s="19"/>
    </row>
    <row r="78" spans="1:14" x14ac:dyDescent="0.25">
      <c r="A78" s="20" t="s">
        <v>17</v>
      </c>
      <c r="B78" s="21"/>
      <c r="C78" s="18">
        <f t="shared" ref="C78:C88" si="7">G78+K78</f>
        <v>39</v>
      </c>
      <c r="D78" s="22">
        <f>H78+L78</f>
        <v>13</v>
      </c>
      <c r="E78" s="22">
        <f t="shared" si="6"/>
        <v>26</v>
      </c>
      <c r="F78" s="23"/>
      <c r="G78" s="18">
        <f t="shared" ref="G78:G88" si="8">SUM(H78:I78)</f>
        <v>15</v>
      </c>
      <c r="H78" s="38">
        <v>6</v>
      </c>
      <c r="I78" s="38">
        <v>9</v>
      </c>
      <c r="J78" s="23"/>
      <c r="K78" s="18">
        <f t="shared" ref="K78:K88" si="9">SUM(L78:M78)</f>
        <v>24</v>
      </c>
      <c r="L78" s="38">
        <v>7</v>
      </c>
      <c r="M78" s="38">
        <v>17</v>
      </c>
      <c r="N78" s="19"/>
    </row>
    <row r="79" spans="1:14" x14ac:dyDescent="0.25">
      <c r="A79" s="20" t="s">
        <v>18</v>
      </c>
      <c r="B79" s="21"/>
      <c r="C79" s="18">
        <f t="shared" si="7"/>
        <v>1389</v>
      </c>
      <c r="D79" s="22">
        <f t="shared" ref="D79:D88" si="10">H79+L79</f>
        <v>379</v>
      </c>
      <c r="E79" s="22">
        <f t="shared" si="6"/>
        <v>1010</v>
      </c>
      <c r="F79" s="23"/>
      <c r="G79" s="18">
        <f t="shared" si="8"/>
        <v>690</v>
      </c>
      <c r="H79" s="38">
        <v>212</v>
      </c>
      <c r="I79" s="38">
        <v>478</v>
      </c>
      <c r="J79" s="23"/>
      <c r="K79" s="18">
        <f t="shared" si="9"/>
        <v>699</v>
      </c>
      <c r="L79" s="38">
        <v>167</v>
      </c>
      <c r="M79" s="38">
        <v>532</v>
      </c>
      <c r="N79" s="19"/>
    </row>
    <row r="80" spans="1:14" x14ac:dyDescent="0.25">
      <c r="A80" s="20" t="s">
        <v>19</v>
      </c>
      <c r="B80" s="21"/>
      <c r="C80" s="18">
        <f t="shared" si="7"/>
        <v>3724</v>
      </c>
      <c r="D80" s="22">
        <f t="shared" si="10"/>
        <v>798</v>
      </c>
      <c r="E80" s="22">
        <f t="shared" si="6"/>
        <v>2926</v>
      </c>
      <c r="F80" s="23"/>
      <c r="G80" s="18">
        <f t="shared" si="8"/>
        <v>1423</v>
      </c>
      <c r="H80" s="38">
        <v>334</v>
      </c>
      <c r="I80" s="42">
        <v>1089</v>
      </c>
      <c r="J80" s="23"/>
      <c r="K80" s="18">
        <f t="shared" si="9"/>
        <v>2301</v>
      </c>
      <c r="L80" s="38">
        <v>464</v>
      </c>
      <c r="M80" s="38">
        <v>1837</v>
      </c>
      <c r="N80" s="19"/>
    </row>
    <row r="81" spans="1:14" x14ac:dyDescent="0.25">
      <c r="A81" s="20" t="s">
        <v>20</v>
      </c>
      <c r="B81" s="21"/>
      <c r="C81" s="18">
        <f t="shared" si="7"/>
        <v>5498</v>
      </c>
      <c r="D81" s="22">
        <f t="shared" si="10"/>
        <v>1457</v>
      </c>
      <c r="E81" s="22">
        <f t="shared" si="6"/>
        <v>4041</v>
      </c>
      <c r="F81" s="23"/>
      <c r="G81" s="18">
        <f t="shared" si="8"/>
        <v>1755</v>
      </c>
      <c r="H81" s="38">
        <v>451</v>
      </c>
      <c r="I81" s="42">
        <v>1304</v>
      </c>
      <c r="J81" s="23"/>
      <c r="K81" s="18">
        <f t="shared" si="9"/>
        <v>3743</v>
      </c>
      <c r="L81" s="38">
        <v>1006</v>
      </c>
      <c r="M81" s="38">
        <v>2737</v>
      </c>
      <c r="N81" s="19"/>
    </row>
    <row r="82" spans="1:14" x14ac:dyDescent="0.25">
      <c r="A82" s="20" t="s">
        <v>21</v>
      </c>
      <c r="B82" s="21"/>
      <c r="C82" s="18">
        <f t="shared" si="7"/>
        <v>5712</v>
      </c>
      <c r="D82" s="22">
        <f t="shared" si="10"/>
        <v>1804</v>
      </c>
      <c r="E82" s="22">
        <f t="shared" si="6"/>
        <v>3908</v>
      </c>
      <c r="F82" s="23"/>
      <c r="G82" s="18">
        <f t="shared" si="8"/>
        <v>1748</v>
      </c>
      <c r="H82" s="38">
        <v>524</v>
      </c>
      <c r="I82" s="38">
        <v>1224</v>
      </c>
      <c r="J82" s="23"/>
      <c r="K82" s="18">
        <f t="shared" si="9"/>
        <v>3964</v>
      </c>
      <c r="L82" s="38">
        <v>1280</v>
      </c>
      <c r="M82" s="38">
        <v>2684</v>
      </c>
      <c r="N82" s="19"/>
    </row>
    <row r="83" spans="1:14" x14ac:dyDescent="0.25">
      <c r="A83" s="20" t="s">
        <v>22</v>
      </c>
      <c r="B83" s="21"/>
      <c r="C83" s="18">
        <f t="shared" si="7"/>
        <v>4536</v>
      </c>
      <c r="D83" s="22">
        <f t="shared" si="10"/>
        <v>1647</v>
      </c>
      <c r="E83" s="22">
        <f t="shared" si="6"/>
        <v>2889</v>
      </c>
      <c r="F83" s="23"/>
      <c r="G83" s="18">
        <f t="shared" si="8"/>
        <v>1627</v>
      </c>
      <c r="H83" s="38">
        <v>553</v>
      </c>
      <c r="I83" s="38">
        <v>1074</v>
      </c>
      <c r="J83" s="23"/>
      <c r="K83" s="18">
        <f t="shared" si="9"/>
        <v>2909</v>
      </c>
      <c r="L83" s="38">
        <v>1094</v>
      </c>
      <c r="M83" s="38">
        <v>1815</v>
      </c>
      <c r="N83" s="19"/>
    </row>
    <row r="84" spans="1:14" x14ac:dyDescent="0.25">
      <c r="A84" s="20" t="s">
        <v>23</v>
      </c>
      <c r="B84" s="21"/>
      <c r="C84" s="18">
        <f t="shared" si="7"/>
        <v>3332</v>
      </c>
      <c r="D84" s="22">
        <f t="shared" si="10"/>
        <v>1249</v>
      </c>
      <c r="E84" s="22">
        <f t="shared" si="6"/>
        <v>2083</v>
      </c>
      <c r="F84" s="23"/>
      <c r="G84" s="18">
        <f t="shared" si="8"/>
        <v>1304</v>
      </c>
      <c r="H84" s="38">
        <v>424</v>
      </c>
      <c r="I84" s="38">
        <v>880</v>
      </c>
      <c r="J84" s="23"/>
      <c r="K84" s="18">
        <f t="shared" si="9"/>
        <v>2028</v>
      </c>
      <c r="L84" s="38">
        <v>825</v>
      </c>
      <c r="M84" s="38">
        <v>1203</v>
      </c>
      <c r="N84" s="19"/>
    </row>
    <row r="85" spans="1:14" x14ac:dyDescent="0.25">
      <c r="A85" s="20" t="s">
        <v>24</v>
      </c>
      <c r="B85" s="21"/>
      <c r="C85" s="18">
        <f t="shared" si="7"/>
        <v>2757</v>
      </c>
      <c r="D85" s="22">
        <f t="shared" si="10"/>
        <v>1250</v>
      </c>
      <c r="E85" s="22">
        <f t="shared" si="6"/>
        <v>1507</v>
      </c>
      <c r="F85" s="23"/>
      <c r="G85" s="18">
        <f t="shared" si="8"/>
        <v>1079</v>
      </c>
      <c r="H85" s="38">
        <v>464</v>
      </c>
      <c r="I85" s="38">
        <v>615</v>
      </c>
      <c r="J85" s="23"/>
      <c r="K85" s="18">
        <f t="shared" si="9"/>
        <v>1678</v>
      </c>
      <c r="L85" s="38">
        <v>786</v>
      </c>
      <c r="M85" s="38">
        <v>892</v>
      </c>
      <c r="N85" s="19"/>
    </row>
    <row r="86" spans="1:14" x14ac:dyDescent="0.25">
      <c r="A86" s="20" t="s">
        <v>25</v>
      </c>
      <c r="B86" s="21"/>
      <c r="C86" s="18">
        <f t="shared" si="7"/>
        <v>1979</v>
      </c>
      <c r="D86" s="22">
        <f t="shared" si="10"/>
        <v>999</v>
      </c>
      <c r="E86" s="22">
        <f t="shared" si="6"/>
        <v>980</v>
      </c>
      <c r="F86" s="23"/>
      <c r="G86" s="18">
        <f t="shared" si="8"/>
        <v>726</v>
      </c>
      <c r="H86" s="38">
        <v>366</v>
      </c>
      <c r="I86" s="38">
        <v>360</v>
      </c>
      <c r="J86" s="23"/>
      <c r="K86" s="18">
        <f t="shared" si="9"/>
        <v>1253</v>
      </c>
      <c r="L86" s="38">
        <v>633</v>
      </c>
      <c r="M86" s="38">
        <v>620</v>
      </c>
      <c r="N86" s="19"/>
    </row>
    <row r="87" spans="1:14" x14ac:dyDescent="0.25">
      <c r="A87" s="20" t="s">
        <v>26</v>
      </c>
      <c r="B87" s="21"/>
      <c r="C87" s="18">
        <f t="shared" si="7"/>
        <v>1068</v>
      </c>
      <c r="D87" s="22">
        <f t="shared" si="10"/>
        <v>648</v>
      </c>
      <c r="E87" s="22">
        <f t="shared" si="6"/>
        <v>420</v>
      </c>
      <c r="F87" s="23"/>
      <c r="G87" s="18">
        <f t="shared" si="8"/>
        <v>417</v>
      </c>
      <c r="H87" s="38">
        <v>246</v>
      </c>
      <c r="I87" s="38">
        <v>171</v>
      </c>
      <c r="J87" s="23"/>
      <c r="K87" s="18">
        <f t="shared" si="9"/>
        <v>651</v>
      </c>
      <c r="L87" s="38">
        <v>402</v>
      </c>
      <c r="M87" s="38">
        <v>249</v>
      </c>
      <c r="N87" s="19"/>
    </row>
    <row r="88" spans="1:14" x14ac:dyDescent="0.25">
      <c r="A88" s="24" t="s">
        <v>27</v>
      </c>
      <c r="B88" s="25"/>
      <c r="C88" s="26">
        <f t="shared" si="7"/>
        <v>93</v>
      </c>
      <c r="D88" s="27">
        <f t="shared" si="10"/>
        <v>63</v>
      </c>
      <c r="E88" s="27">
        <f t="shared" si="6"/>
        <v>30</v>
      </c>
      <c r="F88" s="28"/>
      <c r="G88" s="26">
        <f t="shared" si="8"/>
        <v>34</v>
      </c>
      <c r="H88" s="39">
        <v>22</v>
      </c>
      <c r="I88" s="39">
        <v>12</v>
      </c>
      <c r="J88" s="28"/>
      <c r="K88" s="26">
        <f t="shared" si="9"/>
        <v>59</v>
      </c>
      <c r="L88" s="39">
        <v>41</v>
      </c>
      <c r="M88" s="39">
        <v>18</v>
      </c>
      <c r="N88" s="19"/>
    </row>
    <row r="89" spans="1:14" ht="17.25" x14ac:dyDescent="0.25">
      <c r="A89" s="7" t="s">
        <v>7</v>
      </c>
      <c r="B89" s="29"/>
      <c r="C89" s="30"/>
      <c r="D89" s="30"/>
      <c r="E89" s="30"/>
      <c r="F89" s="30"/>
      <c r="G89" s="30"/>
      <c r="H89" s="30"/>
      <c r="I89" s="30"/>
      <c r="J89" s="2"/>
      <c r="K89" s="2"/>
      <c r="L89" s="2"/>
      <c r="M89" s="9" t="s">
        <v>8</v>
      </c>
      <c r="N89" s="2"/>
    </row>
  </sheetData>
  <mergeCells count="25">
    <mergeCell ref="A7:A8"/>
    <mergeCell ref="BJ20:BL20"/>
    <mergeCell ref="BM20:BO20"/>
    <mergeCell ref="BP20:BR20"/>
    <mergeCell ref="A2:M2"/>
    <mergeCell ref="A3:M3"/>
    <mergeCell ref="A4:N4"/>
    <mergeCell ref="A5:A6"/>
    <mergeCell ref="C5:E5"/>
    <mergeCell ref="G5:I5"/>
    <mergeCell ref="K5:M5"/>
    <mergeCell ref="C6:E6"/>
    <mergeCell ref="G6:I6"/>
    <mergeCell ref="K6:M6"/>
    <mergeCell ref="A74:A75"/>
    <mergeCell ref="A69:M69"/>
    <mergeCell ref="A70:M70"/>
    <mergeCell ref="A71:N71"/>
    <mergeCell ref="A72:A73"/>
    <mergeCell ref="C72:E72"/>
    <mergeCell ref="G72:I72"/>
    <mergeCell ref="K72:M72"/>
    <mergeCell ref="C73:E73"/>
    <mergeCell ref="G73:I73"/>
    <mergeCell ref="K73:M73"/>
  </mergeCells>
  <pageMargins left="0.7" right="0.7" top="0.75" bottom="0.75" header="0.3" footer="0.3"/>
  <pageSetup paperSize="9" scale="83" orientation="portrait" horizontalDpi="4294967295" verticalDpi="4294967295" r:id="rId1"/>
  <colBreaks count="1" manualBreakCount="1">
    <brk id="1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5.2</vt:lpstr>
      <vt:lpstr>'5.2'!Print_Area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2025-10-19T12:39:46Z</cp:lastPrinted>
  <dcterms:created xsi:type="dcterms:W3CDTF">2019-06-03T04:17:39Z</dcterms:created>
  <dcterms:modified xsi:type="dcterms:W3CDTF">2025-10-19T12:46:10Z</dcterms:modified>
</cp:coreProperties>
</file>