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6. HEALTH\"/>
    </mc:Choice>
  </mc:AlternateContent>
  <xr:revisionPtr revIDLastSave="0" documentId="13_ncr:1_{4194C045-20C0-4C7F-A5F7-053C393B63CB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2" sheetId="2" r:id="rId1"/>
  </sheets>
  <definedNames>
    <definedName name="_xlnm.Print_Area" localSheetId="0">'6.2'!$A$1:$N$37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C11" i="2"/>
  <c r="D10" i="2"/>
  <c r="C10" i="2"/>
  <c r="D9" i="2"/>
  <c r="C9" i="2"/>
  <c r="D8" i="2"/>
  <c r="C8" i="2"/>
  <c r="D7" i="2"/>
  <c r="C7" i="2"/>
  <c r="J6" i="2" l="1"/>
  <c r="I6" i="2"/>
  <c r="F6" i="2"/>
  <c r="G6" i="2"/>
  <c r="H11" i="2"/>
  <c r="E11" i="2"/>
  <c r="K10" i="2"/>
  <c r="H10" i="2"/>
  <c r="E10" i="2"/>
  <c r="K9" i="2"/>
  <c r="H9" i="2"/>
  <c r="E9" i="2"/>
  <c r="H8" i="2"/>
  <c r="E8" i="2"/>
  <c r="K7" i="2"/>
  <c r="H7" i="2"/>
  <c r="E7" i="2"/>
  <c r="B9" i="2" l="1"/>
  <c r="E6" i="2"/>
  <c r="B10" i="2"/>
  <c r="L6" i="2"/>
  <c r="C6" i="2" s="1"/>
  <c r="B7" i="2"/>
  <c r="M6" i="2"/>
  <c r="D6" i="2" s="1"/>
  <c r="K11" i="2"/>
  <c r="B11" i="2" s="1"/>
  <c r="H6" i="2"/>
  <c r="K8" i="2"/>
  <c r="B8" i="2" s="1"/>
  <c r="K6" i="2" l="1"/>
  <c r="B6" i="2" s="1"/>
</calcChain>
</file>

<file path=xl/sharedStrings.xml><?xml version="1.0" encoding="utf-8"?>
<sst xmlns="http://schemas.openxmlformats.org/spreadsheetml/2006/main" count="33" uniqueCount="23">
  <si>
    <t>Categories of Health Personnel</t>
  </si>
  <si>
    <t>Total</t>
  </si>
  <si>
    <t>Note:</t>
  </si>
  <si>
    <t>Source: Ministry of Health</t>
  </si>
  <si>
    <t>Expatriates</t>
  </si>
  <si>
    <t>Locals</t>
  </si>
  <si>
    <t>Data taken from the HR reports collected from health facilities via DHIS2</t>
  </si>
  <si>
    <t xml:space="preserve">Atoll data includes hospitals and Health Centers </t>
  </si>
  <si>
    <t>Pvt. Sector data includes ADK,IMDC,TreeTop hospital only ,IMDC is the only private hospital in periphery</t>
  </si>
  <si>
    <t>Allied Health Professionals</t>
  </si>
  <si>
    <t>TOTAL</t>
  </si>
  <si>
    <t>PUBLIC SECTOR MALE'</t>
  </si>
  <si>
    <t>PUBLIC SECTOR ATOLLS</t>
  </si>
  <si>
    <t>PRIVATE SECTOR</t>
  </si>
  <si>
    <t>1_/:  Non-Medical staff are refered as Administrative staff working at the Health Sector</t>
  </si>
  <si>
    <t>Table 6.2: HEALTH PERSONNEL BY LOCALS AND EXPATRIATES, 2021</t>
  </si>
  <si>
    <t xml:space="preserve">2021, udwdwA egcnIsEdib iaWncnihevid Wrukctwkcawswm iawgWriaWd IHcaiB : 6.2 clwvWt   </t>
  </si>
  <si>
    <t>12th March 2023</t>
  </si>
  <si>
    <t>Doctors (Including Specialists)</t>
  </si>
  <si>
    <t>Other Staff</t>
  </si>
  <si>
    <t xml:space="preserve">Data as of : 01 January to 31 December 2021  </t>
  </si>
  <si>
    <t>Non Medical Staff</t>
  </si>
  <si>
    <t>Nurse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</si>
</sst>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General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Faruma"/>
    </font>
    <font>
      <i/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0"/>
      <name val="Calibri"/>
      <family val="2"/>
      <scheme val="minor"/>
    </font>
    <font>
      <i/>
      <sz val="9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Courier"/>
      <family val="3"/>
    </font>
    <font>
      <sz val="10"/>
      <name val="MS Sans Serif"/>
      <family val="2"/>
    </font>
    <font>
      <b/>
      <sz val="11"/>
      <name val="A_Faseyha"/>
    </font>
    <font>
      <b/>
      <sz val="18"/>
      <color rgb="FF1A1A1A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auto="1"/>
      </top>
      <bottom style="hair">
        <color indexed="64"/>
      </bottom>
      <diagonal/>
    </border>
  </borders>
  <cellStyleXfs count="9">
    <xf numFmtId="0" fontId="0" fillId="0" borderId="0"/>
    <xf numFmtId="0" fontId="1" fillId="0" borderId="0"/>
    <xf numFmtId="165" fontId="18" fillId="0" borderId="0"/>
    <xf numFmtId="165" fontId="18" fillId="0" borderId="0"/>
    <xf numFmtId="165" fontId="18" fillId="0" borderId="0"/>
    <xf numFmtId="40" fontId="19" fillId="0" borderId="0" applyFont="0" applyFill="0" applyBorder="0" applyAlignment="0" applyProtection="0"/>
    <xf numFmtId="165" fontId="18" fillId="0" borderId="0"/>
    <xf numFmtId="0" fontId="1" fillId="0" borderId="0"/>
    <xf numFmtId="0" fontId="16" fillId="0" borderId="0"/>
  </cellStyleXfs>
  <cellXfs count="58">
    <xf numFmtId="0" fontId="0" fillId="0" borderId="0" xfId="0"/>
    <xf numFmtId="0" fontId="3" fillId="2" borderId="0" xfId="0" applyFont="1" applyFill="1" applyAlignment="1">
      <alignment vertical="center"/>
    </xf>
    <xf numFmtId="3" fontId="5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/>
    </xf>
    <xf numFmtId="0" fontId="0" fillId="2" borderId="0" xfId="0" applyFill="1"/>
    <xf numFmtId="0" fontId="11" fillId="2" borderId="0" xfId="0" applyFont="1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14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3" fontId="0" fillId="2" borderId="0" xfId="0" applyNumberFormat="1" applyFill="1" applyAlignment="1">
      <alignment horizontal="right" vertical="center"/>
    </xf>
    <xf numFmtId="3" fontId="0" fillId="2" borderId="4" xfId="0" applyNumberFormat="1" applyFill="1" applyBorder="1" applyAlignment="1">
      <alignment horizontal="right" vertical="center"/>
    </xf>
    <xf numFmtId="3" fontId="4" fillId="2" borderId="0" xfId="0" applyNumberFormat="1" applyFont="1" applyFill="1" applyAlignment="1">
      <alignment horizontal="right" vertical="center" wrapText="1"/>
    </xf>
    <xf numFmtId="3" fontId="17" fillId="2" borderId="0" xfId="0" applyNumberFormat="1" applyFont="1" applyFill="1" applyAlignment="1">
      <alignment horizontal="right" vertical="center" wrapText="1"/>
    </xf>
    <xf numFmtId="3" fontId="17" fillId="2" borderId="4" xfId="0" applyNumberFormat="1" applyFont="1" applyFill="1" applyBorder="1" applyAlignment="1">
      <alignment horizontal="right" vertical="center" wrapText="1"/>
    </xf>
    <xf numFmtId="0" fontId="3" fillId="2" borderId="4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vertical="center"/>
    </xf>
    <xf numFmtId="0" fontId="3" fillId="2" borderId="6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right" vertical="center" wrapText="1"/>
    </xf>
    <xf numFmtId="0" fontId="14" fillId="2" borderId="0" xfId="0" applyFont="1" applyFill="1" applyAlignment="1">
      <alignment horizontal="right" vertical="center"/>
    </xf>
    <xf numFmtId="164" fontId="0" fillId="2" borderId="0" xfId="0" applyNumberFormat="1" applyFill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horizontal="right" vertical="center" wrapText="1"/>
    </xf>
    <xf numFmtId="3" fontId="0" fillId="2" borderId="8" xfId="0" applyNumberFormat="1" applyFill="1" applyBorder="1" applyAlignment="1">
      <alignment horizontal="right" vertical="center"/>
    </xf>
    <xf numFmtId="3" fontId="0" fillId="2" borderId="5" xfId="0" applyNumberFormat="1" applyFill="1" applyBorder="1" applyAlignment="1">
      <alignment horizontal="right" vertical="center"/>
    </xf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horizontal="right" vertical="center" wrapText="1"/>
    </xf>
    <xf numFmtId="0" fontId="6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horizontal="left" vertical="center" indent="1"/>
    </xf>
    <xf numFmtId="0" fontId="16" fillId="2" borderId="4" xfId="0" applyFont="1" applyFill="1" applyBorder="1" applyAlignment="1">
      <alignment horizontal="left" vertical="center" indent="1"/>
    </xf>
    <xf numFmtId="3" fontId="4" fillId="2" borderId="8" xfId="0" applyNumberFormat="1" applyFont="1" applyFill="1" applyBorder="1" applyAlignment="1">
      <alignment horizontal="right" vertical="center" wrapText="1"/>
    </xf>
    <xf numFmtId="3" fontId="4" fillId="2" borderId="7" xfId="0" applyNumberFormat="1" applyFont="1" applyFill="1" applyBorder="1" applyAlignment="1">
      <alignment horizontal="right" vertical="center" wrapText="1"/>
    </xf>
    <xf numFmtId="3" fontId="17" fillId="2" borderId="8" xfId="0" applyNumberFormat="1" applyFont="1" applyFill="1" applyBorder="1" applyAlignment="1">
      <alignment horizontal="right" vertical="center" wrapText="1"/>
    </xf>
    <xf numFmtId="3" fontId="4" fillId="2" borderId="7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Alignment="1">
      <alignment horizontal="right" vertical="center"/>
    </xf>
    <xf numFmtId="3" fontId="4" fillId="2" borderId="4" xfId="0" applyNumberFormat="1" applyFont="1" applyFill="1" applyBorder="1" applyAlignment="1">
      <alignment horizontal="right" vertical="center" wrapText="1"/>
    </xf>
    <xf numFmtId="3" fontId="17" fillId="2" borderId="5" xfId="0" applyNumberFormat="1" applyFont="1" applyFill="1" applyBorder="1" applyAlignment="1">
      <alignment horizontal="right" vertical="center" wrapText="1"/>
    </xf>
    <xf numFmtId="3" fontId="4" fillId="2" borderId="6" xfId="0" applyNumberFormat="1" applyFont="1" applyFill="1" applyBorder="1" applyAlignment="1">
      <alignment horizontal="right" vertical="center"/>
    </xf>
    <xf numFmtId="3" fontId="4" fillId="2" borderId="4" xfId="0" applyNumberFormat="1" applyFont="1" applyFill="1" applyBorder="1" applyAlignment="1">
      <alignment horizontal="right" vertical="center"/>
    </xf>
    <xf numFmtId="0" fontId="21" fillId="0" borderId="0" xfId="0" applyFont="1"/>
    <xf numFmtId="0" fontId="3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9" fillId="2" borderId="0" xfId="0" applyFont="1" applyFill="1"/>
    <xf numFmtId="0" fontId="15" fillId="2" borderId="0" xfId="0" applyFont="1" applyFill="1"/>
    <xf numFmtId="0" fontId="9" fillId="2" borderId="0" xfId="0" applyFont="1" applyFill="1" applyAlignment="1">
      <alignment horizontal="right" vertical="center"/>
    </xf>
    <xf numFmtId="0" fontId="20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9">
    <cellStyle name="1" xfId="8" xr:uid="{00000000-0005-0000-0000-000000000000}"/>
    <cellStyle name="Comma 3" xfId="5" xr:uid="{00000000-0005-0000-0000-000002000000}"/>
    <cellStyle name="Normal" xfId="0" builtinId="0"/>
    <cellStyle name="Normal 14" xfId="2" xr:uid="{00000000-0005-0000-0000-000004000000}"/>
    <cellStyle name="Normal 15" xfId="4" xr:uid="{00000000-0005-0000-0000-000005000000}"/>
    <cellStyle name="Normal 17" xfId="7" xr:uid="{00000000-0005-0000-0000-000006000000}"/>
    <cellStyle name="Normal 2" xfId="1" xr:uid="{00000000-0005-0000-0000-000007000000}"/>
    <cellStyle name="Normal 3" xfId="3" xr:uid="{00000000-0005-0000-0000-000008000000}"/>
    <cellStyle name="Normal 9" xfId="6" xr:uid="{00000000-0005-0000-0000-000009000000}"/>
  </cellStyles>
  <dxfs count="0"/>
  <tableStyles count="0" defaultTableStyle="TableStyleMedium2" defaultPivotStyle="PivotStyleLight16"/>
  <colors>
    <mruColors>
      <color rgb="FFC4F2F1"/>
      <color rgb="FF249390"/>
      <color rgb="FF33CCCC"/>
      <color rgb="FF196563"/>
      <color rgb="FFEAFAFA"/>
      <color rgb="FFDAF7F6"/>
      <color rgb="FFFF9900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196095078446874"/>
          <c:y val="0.16015327356900413"/>
          <c:w val="0.57482897454899173"/>
          <c:h val="0.77433998995589837"/>
        </c:manualLayout>
      </c:layout>
      <c:doughnutChart>
        <c:varyColors val="1"/>
        <c:ser>
          <c:idx val="0"/>
          <c:order val="0"/>
          <c:spPr>
            <a:solidFill>
              <a:srgbClr val="249390"/>
            </a:solidFill>
          </c:spPr>
          <c:explosion val="2"/>
          <c:dPt>
            <c:idx val="0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1-2074-4050-B7FF-51DA3462971B}"/>
              </c:ext>
            </c:extLst>
          </c:dPt>
          <c:dPt>
            <c:idx val="1"/>
            <c:bubble3D val="0"/>
            <c:spPr>
              <a:solidFill>
                <a:srgbClr val="249390"/>
              </a:solidFill>
            </c:spPr>
            <c:extLst>
              <c:ext xmlns:c16="http://schemas.microsoft.com/office/drawing/2014/chart" uri="{C3380CC4-5D6E-409C-BE32-E72D297353CC}">
                <c16:uniqueId val="{00000002-DA4B-4204-BF2C-C8D03D6734D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2074-4050-B7FF-51DA346297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'6.2'!$C$5:$D$5</c:f>
              <c:strCache>
                <c:ptCount val="2"/>
                <c:pt idx="0">
                  <c:v>Expatriates</c:v>
                </c:pt>
                <c:pt idx="1">
                  <c:v>Locals</c:v>
                </c:pt>
              </c:strCache>
            </c:strRef>
          </c:cat>
          <c:val>
            <c:numRef>
              <c:f>'6.2'!$C$6:$D$6</c:f>
              <c:numCache>
                <c:formatCode>#,##0</c:formatCode>
                <c:ptCount val="2"/>
                <c:pt idx="0">
                  <c:v>2918</c:v>
                </c:pt>
                <c:pt idx="1">
                  <c:v>7906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74-4050-B7FF-51DA3462971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563162754932155E-2"/>
          <c:y val="0.15347704865039599"/>
          <c:w val="0.91643683724506797"/>
          <c:h val="0.703860267158956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'6.2'!$C$5</c:f>
              <c:strCache>
                <c:ptCount val="1"/>
                <c:pt idx="0">
                  <c:v>Expatriates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'6.2'!$A$7:$A$11</c15:sqref>
                  </c15:fullRef>
                </c:ext>
              </c:extLst>
              <c:f>('6.2'!$A$7:$A$8,'6.2'!$A$10)</c:f>
              <c:strCache>
                <c:ptCount val="3"/>
                <c:pt idx="0">
                  <c:v>Allied Health Professionals</c:v>
                </c:pt>
                <c:pt idx="1">
                  <c:v>Doctors (Including Specialists)</c:v>
                </c:pt>
                <c:pt idx="2">
                  <c:v>Nurse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'6.2'!$C$7:$C$11</c15:sqref>
                  </c15:fullRef>
                </c:ext>
              </c:extLst>
              <c:f>('6.2'!$C$7:$C$8,'6.2'!$C$10)</c:f>
              <c:numCache>
                <c:formatCode>#,##0</c:formatCode>
                <c:ptCount val="3"/>
                <c:pt idx="0">
                  <c:v>705</c:v>
                </c:pt>
                <c:pt idx="1">
                  <c:v>697</c:v>
                </c:pt>
                <c:pt idx="2">
                  <c:v>1160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59-4154-8CAE-78DD475351EF}"/>
            </c:ext>
          </c:extLst>
        </c:ser>
        <c:ser>
          <c:idx val="1"/>
          <c:order val="1"/>
          <c:tx>
            <c:strRef>
              <c:f>'6.2'!$D$5</c:f>
              <c:strCache>
                <c:ptCount val="1"/>
                <c:pt idx="0">
                  <c:v>Locals</c:v>
                </c:pt>
              </c:strCache>
            </c:strRef>
          </c:tx>
          <c:spPr>
            <a:solidFill>
              <a:srgbClr val="24939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'6.2'!$A$7:$A$11</c15:sqref>
                  </c15:fullRef>
                </c:ext>
              </c:extLst>
              <c:f>('6.2'!$A$7:$A$8,'6.2'!$A$10)</c:f>
              <c:strCache>
                <c:ptCount val="3"/>
                <c:pt idx="0">
                  <c:v>Allied Health Professionals</c:v>
                </c:pt>
                <c:pt idx="1">
                  <c:v>Doctors (Including Specialists)</c:v>
                </c:pt>
                <c:pt idx="2">
                  <c:v>Nurse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'6.2'!$D$7:$D$11</c15:sqref>
                  </c15:fullRef>
                </c:ext>
              </c:extLst>
              <c:f>('6.2'!$D$7:$D$8,'6.2'!$D$10)</c:f>
              <c:numCache>
                <c:formatCode>#,##0</c:formatCode>
                <c:ptCount val="3"/>
                <c:pt idx="0">
                  <c:v>1427</c:v>
                </c:pt>
                <c:pt idx="1">
                  <c:v>490</c:v>
                </c:pt>
                <c:pt idx="2">
                  <c:v>1918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59-4154-8CAE-78DD47535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9193704"/>
        <c:axId val="369194088"/>
      </c:barChart>
      <c:catAx>
        <c:axId val="369193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194088"/>
        <c:crosses val="autoZero"/>
        <c:auto val="1"/>
        <c:lblAlgn val="ctr"/>
        <c:lblOffset val="100"/>
        <c:noMultiLvlLbl val="0"/>
      </c:catAx>
      <c:valAx>
        <c:axId val="369194088"/>
        <c:scaling>
          <c:orientation val="minMax"/>
          <c:max val="2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193704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636030181632184"/>
          <c:y val="0.1996675715381033"/>
          <c:w val="0.19034247061581783"/>
          <c:h val="8.24941713187696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62812</xdr:colOff>
      <xdr:row>20</xdr:row>
      <xdr:rowOff>88556</xdr:rowOff>
    </xdr:from>
    <xdr:to>
      <xdr:col>5</xdr:col>
      <xdr:colOff>175299</xdr:colOff>
      <xdr:row>34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496652</xdr:colOff>
      <xdr:row>20</xdr:row>
      <xdr:rowOff>140986</xdr:rowOff>
    </xdr:from>
    <xdr:to>
      <xdr:col>13</xdr:col>
      <xdr:colOff>17162</xdr:colOff>
      <xdr:row>35</xdr:row>
      <xdr:rowOff>5578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619125</xdr:colOff>
      <xdr:row>20</xdr:row>
      <xdr:rowOff>152400</xdr:rowOff>
    </xdr:from>
    <xdr:to>
      <xdr:col>11</xdr:col>
      <xdr:colOff>600075</xdr:colOff>
      <xdr:row>23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6505575" y="4752975"/>
          <a:ext cx="3924300" cy="447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6.4: Number of</a:t>
          </a:r>
          <a:r>
            <a:rPr lang="en-US" sz="1050" b="1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 local and expatriate health personnel by type, </a:t>
          </a:r>
          <a:r>
            <a:rPr lang="en-MY" sz="1050" b="1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2021</a:t>
          </a:r>
          <a:endParaRPr lang="en-US" sz="1050">
            <a:effectLst/>
            <a:latin typeface="Consolas" pitchFamily="49" charset="0"/>
            <a:cs typeface="Consolas" pitchFamily="49" charset="0"/>
          </a:endParaRPr>
        </a:p>
        <a:p>
          <a:pPr algn="ctr"/>
          <a:endParaRPr lang="en-US" sz="105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0.03055</cdr:y>
    </cdr:from>
    <cdr:to>
      <cdr:x>1</cdr:x>
      <cdr:y>0.18557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79367"/>
          <a:ext cx="4341716" cy="4027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>
              <a:effectLst/>
              <a:latin typeface="Consolas" pitchFamily="49" charset="0"/>
              <a:ea typeface="+mn-ea"/>
              <a:cs typeface="Consolas" pitchFamily="49" charset="0"/>
            </a:rPr>
            <a:t>Figure 6.3: Percenatge of Local and Expatriate health personnel, </a:t>
          </a:r>
          <a:r>
            <a:rPr lang="en-MY" sz="1000" b="1">
              <a:effectLst/>
              <a:latin typeface="Consolas" pitchFamily="49" charset="0"/>
              <a:ea typeface="+mn-ea"/>
              <a:cs typeface="Consolas" pitchFamily="49" charset="0"/>
            </a:rPr>
            <a:t>2021</a:t>
          </a:r>
          <a:endParaRPr lang="en-US" sz="100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Q82"/>
  <sheetViews>
    <sheetView tabSelected="1" zoomScaleNormal="100" workbookViewId="0">
      <selection activeCell="Q20" sqref="Q20"/>
    </sheetView>
  </sheetViews>
  <sheetFormatPr defaultRowHeight="15" x14ac:dyDescent="0.25"/>
  <cols>
    <col min="1" max="1" width="26.42578125" style="5" customWidth="1"/>
    <col min="2" max="2" width="12.5703125" style="7" customWidth="1"/>
    <col min="3" max="3" width="13.140625" style="7" customWidth="1"/>
    <col min="4" max="4" width="10.42578125" style="7" customWidth="1"/>
    <col min="5" max="5" width="12.5703125" style="7" customWidth="1"/>
    <col min="6" max="6" width="13.140625" style="7" customWidth="1"/>
    <col min="7" max="7" width="10.42578125" style="7" customWidth="1"/>
    <col min="8" max="8" width="12.5703125" style="7" customWidth="1"/>
    <col min="9" max="9" width="13.140625" style="7" customWidth="1"/>
    <col min="10" max="10" width="10.42578125" style="7" customWidth="1"/>
    <col min="11" max="11" width="12.5703125" style="7" customWidth="1"/>
    <col min="12" max="12" width="13.140625" style="7" customWidth="1"/>
    <col min="13" max="13" width="9.140625" style="7" customWidth="1"/>
    <col min="14" max="16" width="9.140625" style="5"/>
    <col min="17" max="17" width="30.85546875" style="5" customWidth="1"/>
    <col min="18" max="18" width="18.5703125" style="5" customWidth="1"/>
    <col min="19" max="204" width="9.140625" style="5"/>
    <col min="205" max="205" width="31" style="5" customWidth="1"/>
    <col min="206" max="211" width="9.140625" style="5"/>
    <col min="212" max="212" width="3.5703125" style="5" customWidth="1"/>
    <col min="213" max="214" width="9.140625" style="5"/>
    <col min="215" max="215" width="0" style="5" hidden="1" customWidth="1"/>
    <col min="216" max="460" width="9.140625" style="5"/>
    <col min="461" max="461" width="31" style="5" customWidth="1"/>
    <col min="462" max="467" width="9.140625" style="5"/>
    <col min="468" max="468" width="3.5703125" style="5" customWidth="1"/>
    <col min="469" max="470" width="9.140625" style="5"/>
    <col min="471" max="471" width="0" style="5" hidden="1" customWidth="1"/>
    <col min="472" max="716" width="9.140625" style="5"/>
    <col min="717" max="717" width="31" style="5" customWidth="1"/>
    <col min="718" max="723" width="9.140625" style="5"/>
    <col min="724" max="724" width="3.5703125" style="5" customWidth="1"/>
    <col min="725" max="726" width="9.140625" style="5"/>
    <col min="727" max="727" width="0" style="5" hidden="1" customWidth="1"/>
    <col min="728" max="972" width="9.140625" style="5"/>
    <col min="973" max="973" width="31" style="5" customWidth="1"/>
    <col min="974" max="979" width="9.140625" style="5"/>
    <col min="980" max="980" width="3.5703125" style="5" customWidth="1"/>
    <col min="981" max="982" width="9.140625" style="5"/>
    <col min="983" max="983" width="0" style="5" hidden="1" customWidth="1"/>
    <col min="984" max="1228" width="9.140625" style="5"/>
    <col min="1229" max="1229" width="31" style="5" customWidth="1"/>
    <col min="1230" max="1235" width="9.140625" style="5"/>
    <col min="1236" max="1236" width="3.5703125" style="5" customWidth="1"/>
    <col min="1237" max="1238" width="9.140625" style="5"/>
    <col min="1239" max="1239" width="0" style="5" hidden="1" customWidth="1"/>
    <col min="1240" max="1484" width="9.140625" style="5"/>
    <col min="1485" max="1485" width="31" style="5" customWidth="1"/>
    <col min="1486" max="1491" width="9.140625" style="5"/>
    <col min="1492" max="1492" width="3.5703125" style="5" customWidth="1"/>
    <col min="1493" max="1494" width="9.140625" style="5"/>
    <col min="1495" max="1495" width="0" style="5" hidden="1" customWidth="1"/>
    <col min="1496" max="1740" width="9.140625" style="5"/>
    <col min="1741" max="1741" width="31" style="5" customWidth="1"/>
    <col min="1742" max="1747" width="9.140625" style="5"/>
    <col min="1748" max="1748" width="3.5703125" style="5" customWidth="1"/>
    <col min="1749" max="1750" width="9.140625" style="5"/>
    <col min="1751" max="1751" width="0" style="5" hidden="1" customWidth="1"/>
    <col min="1752" max="1996" width="9.140625" style="5"/>
    <col min="1997" max="1997" width="31" style="5" customWidth="1"/>
    <col min="1998" max="2003" width="9.140625" style="5"/>
    <col min="2004" max="2004" width="3.5703125" style="5" customWidth="1"/>
    <col min="2005" max="2006" width="9.140625" style="5"/>
    <col min="2007" max="2007" width="0" style="5" hidden="1" customWidth="1"/>
    <col min="2008" max="2252" width="9.140625" style="5"/>
    <col min="2253" max="2253" width="31" style="5" customWidth="1"/>
    <col min="2254" max="2259" width="9.140625" style="5"/>
    <col min="2260" max="2260" width="3.5703125" style="5" customWidth="1"/>
    <col min="2261" max="2262" width="9.140625" style="5"/>
    <col min="2263" max="2263" width="0" style="5" hidden="1" customWidth="1"/>
    <col min="2264" max="2508" width="9.140625" style="5"/>
    <col min="2509" max="2509" width="31" style="5" customWidth="1"/>
    <col min="2510" max="2515" width="9.140625" style="5"/>
    <col min="2516" max="2516" width="3.5703125" style="5" customWidth="1"/>
    <col min="2517" max="2518" width="9.140625" style="5"/>
    <col min="2519" max="2519" width="0" style="5" hidden="1" customWidth="1"/>
    <col min="2520" max="2764" width="9.140625" style="5"/>
    <col min="2765" max="2765" width="31" style="5" customWidth="1"/>
    <col min="2766" max="2771" width="9.140625" style="5"/>
    <col min="2772" max="2772" width="3.5703125" style="5" customWidth="1"/>
    <col min="2773" max="2774" width="9.140625" style="5"/>
    <col min="2775" max="2775" width="0" style="5" hidden="1" customWidth="1"/>
    <col min="2776" max="3020" width="9.140625" style="5"/>
    <col min="3021" max="3021" width="31" style="5" customWidth="1"/>
    <col min="3022" max="3027" width="9.140625" style="5"/>
    <col min="3028" max="3028" width="3.5703125" style="5" customWidth="1"/>
    <col min="3029" max="3030" width="9.140625" style="5"/>
    <col min="3031" max="3031" width="0" style="5" hidden="1" customWidth="1"/>
    <col min="3032" max="3276" width="9.140625" style="5"/>
    <col min="3277" max="3277" width="31" style="5" customWidth="1"/>
    <col min="3278" max="3283" width="9.140625" style="5"/>
    <col min="3284" max="3284" width="3.5703125" style="5" customWidth="1"/>
    <col min="3285" max="3286" width="9.140625" style="5"/>
    <col min="3287" max="3287" width="0" style="5" hidden="1" customWidth="1"/>
    <col min="3288" max="3532" width="9.140625" style="5"/>
    <col min="3533" max="3533" width="31" style="5" customWidth="1"/>
    <col min="3534" max="3539" width="9.140625" style="5"/>
    <col min="3540" max="3540" width="3.5703125" style="5" customWidth="1"/>
    <col min="3541" max="3542" width="9.140625" style="5"/>
    <col min="3543" max="3543" width="0" style="5" hidden="1" customWidth="1"/>
    <col min="3544" max="3788" width="9.140625" style="5"/>
    <col min="3789" max="3789" width="31" style="5" customWidth="1"/>
    <col min="3790" max="3795" width="9.140625" style="5"/>
    <col min="3796" max="3796" width="3.5703125" style="5" customWidth="1"/>
    <col min="3797" max="3798" width="9.140625" style="5"/>
    <col min="3799" max="3799" width="0" style="5" hidden="1" customWidth="1"/>
    <col min="3800" max="4044" width="9.140625" style="5"/>
    <col min="4045" max="4045" width="31" style="5" customWidth="1"/>
    <col min="4046" max="4051" width="9.140625" style="5"/>
    <col min="4052" max="4052" width="3.5703125" style="5" customWidth="1"/>
    <col min="4053" max="4054" width="9.140625" style="5"/>
    <col min="4055" max="4055" width="0" style="5" hidden="1" customWidth="1"/>
    <col min="4056" max="4300" width="9.140625" style="5"/>
    <col min="4301" max="4301" width="31" style="5" customWidth="1"/>
    <col min="4302" max="4307" width="9.140625" style="5"/>
    <col min="4308" max="4308" width="3.5703125" style="5" customWidth="1"/>
    <col min="4309" max="4310" width="9.140625" style="5"/>
    <col min="4311" max="4311" width="0" style="5" hidden="1" customWidth="1"/>
    <col min="4312" max="4556" width="9.140625" style="5"/>
    <col min="4557" max="4557" width="31" style="5" customWidth="1"/>
    <col min="4558" max="4563" width="9.140625" style="5"/>
    <col min="4564" max="4564" width="3.5703125" style="5" customWidth="1"/>
    <col min="4565" max="4566" width="9.140625" style="5"/>
    <col min="4567" max="4567" width="0" style="5" hidden="1" customWidth="1"/>
    <col min="4568" max="4812" width="9.140625" style="5"/>
    <col min="4813" max="4813" width="31" style="5" customWidth="1"/>
    <col min="4814" max="4819" width="9.140625" style="5"/>
    <col min="4820" max="4820" width="3.5703125" style="5" customWidth="1"/>
    <col min="4821" max="4822" width="9.140625" style="5"/>
    <col min="4823" max="4823" width="0" style="5" hidden="1" customWidth="1"/>
    <col min="4824" max="5068" width="9.140625" style="5"/>
    <col min="5069" max="5069" width="31" style="5" customWidth="1"/>
    <col min="5070" max="5075" width="9.140625" style="5"/>
    <col min="5076" max="5076" width="3.5703125" style="5" customWidth="1"/>
    <col min="5077" max="5078" width="9.140625" style="5"/>
    <col min="5079" max="5079" width="0" style="5" hidden="1" customWidth="1"/>
    <col min="5080" max="5324" width="9.140625" style="5"/>
    <col min="5325" max="5325" width="31" style="5" customWidth="1"/>
    <col min="5326" max="5331" width="9.140625" style="5"/>
    <col min="5332" max="5332" width="3.5703125" style="5" customWidth="1"/>
    <col min="5333" max="5334" width="9.140625" style="5"/>
    <col min="5335" max="5335" width="0" style="5" hidden="1" customWidth="1"/>
    <col min="5336" max="5580" width="9.140625" style="5"/>
    <col min="5581" max="5581" width="31" style="5" customWidth="1"/>
    <col min="5582" max="5587" width="9.140625" style="5"/>
    <col min="5588" max="5588" width="3.5703125" style="5" customWidth="1"/>
    <col min="5589" max="5590" width="9.140625" style="5"/>
    <col min="5591" max="5591" width="0" style="5" hidden="1" customWidth="1"/>
    <col min="5592" max="5836" width="9.140625" style="5"/>
    <col min="5837" max="5837" width="31" style="5" customWidth="1"/>
    <col min="5838" max="5843" width="9.140625" style="5"/>
    <col min="5844" max="5844" width="3.5703125" style="5" customWidth="1"/>
    <col min="5845" max="5846" width="9.140625" style="5"/>
    <col min="5847" max="5847" width="0" style="5" hidden="1" customWidth="1"/>
    <col min="5848" max="6092" width="9.140625" style="5"/>
    <col min="6093" max="6093" width="31" style="5" customWidth="1"/>
    <col min="6094" max="6099" width="9.140625" style="5"/>
    <col min="6100" max="6100" width="3.5703125" style="5" customWidth="1"/>
    <col min="6101" max="6102" width="9.140625" style="5"/>
    <col min="6103" max="6103" width="0" style="5" hidden="1" customWidth="1"/>
    <col min="6104" max="6348" width="9.140625" style="5"/>
    <col min="6349" max="6349" width="31" style="5" customWidth="1"/>
    <col min="6350" max="6355" width="9.140625" style="5"/>
    <col min="6356" max="6356" width="3.5703125" style="5" customWidth="1"/>
    <col min="6357" max="6358" width="9.140625" style="5"/>
    <col min="6359" max="6359" width="0" style="5" hidden="1" customWidth="1"/>
    <col min="6360" max="6604" width="9.140625" style="5"/>
    <col min="6605" max="6605" width="31" style="5" customWidth="1"/>
    <col min="6606" max="6611" width="9.140625" style="5"/>
    <col min="6612" max="6612" width="3.5703125" style="5" customWidth="1"/>
    <col min="6613" max="6614" width="9.140625" style="5"/>
    <col min="6615" max="6615" width="0" style="5" hidden="1" customWidth="1"/>
    <col min="6616" max="6860" width="9.140625" style="5"/>
    <col min="6861" max="6861" width="31" style="5" customWidth="1"/>
    <col min="6862" max="6867" width="9.140625" style="5"/>
    <col min="6868" max="6868" width="3.5703125" style="5" customWidth="1"/>
    <col min="6869" max="6870" width="9.140625" style="5"/>
    <col min="6871" max="6871" width="0" style="5" hidden="1" customWidth="1"/>
    <col min="6872" max="7116" width="9.140625" style="5"/>
    <col min="7117" max="7117" width="31" style="5" customWidth="1"/>
    <col min="7118" max="7123" width="9.140625" style="5"/>
    <col min="7124" max="7124" width="3.5703125" style="5" customWidth="1"/>
    <col min="7125" max="7126" width="9.140625" style="5"/>
    <col min="7127" max="7127" width="0" style="5" hidden="1" customWidth="1"/>
    <col min="7128" max="7372" width="9.140625" style="5"/>
    <col min="7373" max="7373" width="31" style="5" customWidth="1"/>
    <col min="7374" max="7379" width="9.140625" style="5"/>
    <col min="7380" max="7380" width="3.5703125" style="5" customWidth="1"/>
    <col min="7381" max="7382" width="9.140625" style="5"/>
    <col min="7383" max="7383" width="0" style="5" hidden="1" customWidth="1"/>
    <col min="7384" max="7628" width="9.140625" style="5"/>
    <col min="7629" max="7629" width="31" style="5" customWidth="1"/>
    <col min="7630" max="7635" width="9.140625" style="5"/>
    <col min="7636" max="7636" width="3.5703125" style="5" customWidth="1"/>
    <col min="7637" max="7638" width="9.140625" style="5"/>
    <col min="7639" max="7639" width="0" style="5" hidden="1" customWidth="1"/>
    <col min="7640" max="7884" width="9.140625" style="5"/>
    <col min="7885" max="7885" width="31" style="5" customWidth="1"/>
    <col min="7886" max="7891" width="9.140625" style="5"/>
    <col min="7892" max="7892" width="3.5703125" style="5" customWidth="1"/>
    <col min="7893" max="7894" width="9.140625" style="5"/>
    <col min="7895" max="7895" width="0" style="5" hidden="1" customWidth="1"/>
    <col min="7896" max="8140" width="9.140625" style="5"/>
    <col min="8141" max="8141" width="31" style="5" customWidth="1"/>
    <col min="8142" max="8147" width="9.140625" style="5"/>
    <col min="8148" max="8148" width="3.5703125" style="5" customWidth="1"/>
    <col min="8149" max="8150" width="9.140625" style="5"/>
    <col min="8151" max="8151" width="0" style="5" hidden="1" customWidth="1"/>
    <col min="8152" max="8396" width="9.140625" style="5"/>
    <col min="8397" max="8397" width="31" style="5" customWidth="1"/>
    <col min="8398" max="8403" width="9.140625" style="5"/>
    <col min="8404" max="8404" width="3.5703125" style="5" customWidth="1"/>
    <col min="8405" max="8406" width="9.140625" style="5"/>
    <col min="8407" max="8407" width="0" style="5" hidden="1" customWidth="1"/>
    <col min="8408" max="8652" width="9.140625" style="5"/>
    <col min="8653" max="8653" width="31" style="5" customWidth="1"/>
    <col min="8654" max="8659" width="9.140625" style="5"/>
    <col min="8660" max="8660" width="3.5703125" style="5" customWidth="1"/>
    <col min="8661" max="8662" width="9.140625" style="5"/>
    <col min="8663" max="8663" width="0" style="5" hidden="1" customWidth="1"/>
    <col min="8664" max="8908" width="9.140625" style="5"/>
    <col min="8909" max="8909" width="31" style="5" customWidth="1"/>
    <col min="8910" max="8915" width="9.140625" style="5"/>
    <col min="8916" max="8916" width="3.5703125" style="5" customWidth="1"/>
    <col min="8917" max="8918" width="9.140625" style="5"/>
    <col min="8919" max="8919" width="0" style="5" hidden="1" customWidth="1"/>
    <col min="8920" max="9164" width="9.140625" style="5"/>
    <col min="9165" max="9165" width="31" style="5" customWidth="1"/>
    <col min="9166" max="9171" width="9.140625" style="5"/>
    <col min="9172" max="9172" width="3.5703125" style="5" customWidth="1"/>
    <col min="9173" max="9174" width="9.140625" style="5"/>
    <col min="9175" max="9175" width="0" style="5" hidden="1" customWidth="1"/>
    <col min="9176" max="9420" width="9.140625" style="5"/>
    <col min="9421" max="9421" width="31" style="5" customWidth="1"/>
    <col min="9422" max="9427" width="9.140625" style="5"/>
    <col min="9428" max="9428" width="3.5703125" style="5" customWidth="1"/>
    <col min="9429" max="9430" width="9.140625" style="5"/>
    <col min="9431" max="9431" width="0" style="5" hidden="1" customWidth="1"/>
    <col min="9432" max="9676" width="9.140625" style="5"/>
    <col min="9677" max="9677" width="31" style="5" customWidth="1"/>
    <col min="9678" max="9683" width="9.140625" style="5"/>
    <col min="9684" max="9684" width="3.5703125" style="5" customWidth="1"/>
    <col min="9685" max="9686" width="9.140625" style="5"/>
    <col min="9687" max="9687" width="0" style="5" hidden="1" customWidth="1"/>
    <col min="9688" max="9932" width="9.140625" style="5"/>
    <col min="9933" max="9933" width="31" style="5" customWidth="1"/>
    <col min="9934" max="9939" width="9.140625" style="5"/>
    <col min="9940" max="9940" width="3.5703125" style="5" customWidth="1"/>
    <col min="9941" max="9942" width="9.140625" style="5"/>
    <col min="9943" max="9943" width="0" style="5" hidden="1" customWidth="1"/>
    <col min="9944" max="10188" width="9.140625" style="5"/>
    <col min="10189" max="10189" width="31" style="5" customWidth="1"/>
    <col min="10190" max="10195" width="9.140625" style="5"/>
    <col min="10196" max="10196" width="3.5703125" style="5" customWidth="1"/>
    <col min="10197" max="10198" width="9.140625" style="5"/>
    <col min="10199" max="10199" width="0" style="5" hidden="1" customWidth="1"/>
    <col min="10200" max="10444" width="9.140625" style="5"/>
    <col min="10445" max="10445" width="31" style="5" customWidth="1"/>
    <col min="10446" max="10451" width="9.140625" style="5"/>
    <col min="10452" max="10452" width="3.5703125" style="5" customWidth="1"/>
    <col min="10453" max="10454" width="9.140625" style="5"/>
    <col min="10455" max="10455" width="0" style="5" hidden="1" customWidth="1"/>
    <col min="10456" max="10700" width="9.140625" style="5"/>
    <col min="10701" max="10701" width="31" style="5" customWidth="1"/>
    <col min="10702" max="10707" width="9.140625" style="5"/>
    <col min="10708" max="10708" width="3.5703125" style="5" customWidth="1"/>
    <col min="10709" max="10710" width="9.140625" style="5"/>
    <col min="10711" max="10711" width="0" style="5" hidden="1" customWidth="1"/>
    <col min="10712" max="10956" width="9.140625" style="5"/>
    <col min="10957" max="10957" width="31" style="5" customWidth="1"/>
    <col min="10958" max="10963" width="9.140625" style="5"/>
    <col min="10964" max="10964" width="3.5703125" style="5" customWidth="1"/>
    <col min="10965" max="10966" width="9.140625" style="5"/>
    <col min="10967" max="10967" width="0" style="5" hidden="1" customWidth="1"/>
    <col min="10968" max="11212" width="9.140625" style="5"/>
    <col min="11213" max="11213" width="31" style="5" customWidth="1"/>
    <col min="11214" max="11219" width="9.140625" style="5"/>
    <col min="11220" max="11220" width="3.5703125" style="5" customWidth="1"/>
    <col min="11221" max="11222" width="9.140625" style="5"/>
    <col min="11223" max="11223" width="0" style="5" hidden="1" customWidth="1"/>
    <col min="11224" max="11468" width="9.140625" style="5"/>
    <col min="11469" max="11469" width="31" style="5" customWidth="1"/>
    <col min="11470" max="11475" width="9.140625" style="5"/>
    <col min="11476" max="11476" width="3.5703125" style="5" customWidth="1"/>
    <col min="11477" max="11478" width="9.140625" style="5"/>
    <col min="11479" max="11479" width="0" style="5" hidden="1" customWidth="1"/>
    <col min="11480" max="11724" width="9.140625" style="5"/>
    <col min="11725" max="11725" width="31" style="5" customWidth="1"/>
    <col min="11726" max="11731" width="9.140625" style="5"/>
    <col min="11732" max="11732" width="3.5703125" style="5" customWidth="1"/>
    <col min="11733" max="11734" width="9.140625" style="5"/>
    <col min="11735" max="11735" width="0" style="5" hidden="1" customWidth="1"/>
    <col min="11736" max="11980" width="9.140625" style="5"/>
    <col min="11981" max="11981" width="31" style="5" customWidth="1"/>
    <col min="11982" max="11987" width="9.140625" style="5"/>
    <col min="11988" max="11988" width="3.5703125" style="5" customWidth="1"/>
    <col min="11989" max="11990" width="9.140625" style="5"/>
    <col min="11991" max="11991" width="0" style="5" hidden="1" customWidth="1"/>
    <col min="11992" max="12236" width="9.140625" style="5"/>
    <col min="12237" max="12237" width="31" style="5" customWidth="1"/>
    <col min="12238" max="12243" width="9.140625" style="5"/>
    <col min="12244" max="12244" width="3.5703125" style="5" customWidth="1"/>
    <col min="12245" max="12246" width="9.140625" style="5"/>
    <col min="12247" max="12247" width="0" style="5" hidden="1" customWidth="1"/>
    <col min="12248" max="12492" width="9.140625" style="5"/>
    <col min="12493" max="12493" width="31" style="5" customWidth="1"/>
    <col min="12494" max="12499" width="9.140625" style="5"/>
    <col min="12500" max="12500" width="3.5703125" style="5" customWidth="1"/>
    <col min="12501" max="12502" width="9.140625" style="5"/>
    <col min="12503" max="12503" width="0" style="5" hidden="1" customWidth="1"/>
    <col min="12504" max="12748" width="9.140625" style="5"/>
    <col min="12749" max="12749" width="31" style="5" customWidth="1"/>
    <col min="12750" max="12755" width="9.140625" style="5"/>
    <col min="12756" max="12756" width="3.5703125" style="5" customWidth="1"/>
    <col min="12757" max="12758" width="9.140625" style="5"/>
    <col min="12759" max="12759" width="0" style="5" hidden="1" customWidth="1"/>
    <col min="12760" max="13004" width="9.140625" style="5"/>
    <col min="13005" max="13005" width="31" style="5" customWidth="1"/>
    <col min="13006" max="13011" width="9.140625" style="5"/>
    <col min="13012" max="13012" width="3.5703125" style="5" customWidth="1"/>
    <col min="13013" max="13014" width="9.140625" style="5"/>
    <col min="13015" max="13015" width="0" style="5" hidden="1" customWidth="1"/>
    <col min="13016" max="13260" width="9.140625" style="5"/>
    <col min="13261" max="13261" width="31" style="5" customWidth="1"/>
    <col min="13262" max="13267" width="9.140625" style="5"/>
    <col min="13268" max="13268" width="3.5703125" style="5" customWidth="1"/>
    <col min="13269" max="13270" width="9.140625" style="5"/>
    <col min="13271" max="13271" width="0" style="5" hidden="1" customWidth="1"/>
    <col min="13272" max="13516" width="9.140625" style="5"/>
    <col min="13517" max="13517" width="31" style="5" customWidth="1"/>
    <col min="13518" max="13523" width="9.140625" style="5"/>
    <col min="13524" max="13524" width="3.5703125" style="5" customWidth="1"/>
    <col min="13525" max="13526" width="9.140625" style="5"/>
    <col min="13527" max="13527" width="0" style="5" hidden="1" customWidth="1"/>
    <col min="13528" max="13772" width="9.140625" style="5"/>
    <col min="13773" max="13773" width="31" style="5" customWidth="1"/>
    <col min="13774" max="13779" width="9.140625" style="5"/>
    <col min="13780" max="13780" width="3.5703125" style="5" customWidth="1"/>
    <col min="13781" max="13782" width="9.140625" style="5"/>
    <col min="13783" max="13783" width="0" style="5" hidden="1" customWidth="1"/>
    <col min="13784" max="14028" width="9.140625" style="5"/>
    <col min="14029" max="14029" width="31" style="5" customWidth="1"/>
    <col min="14030" max="14035" width="9.140625" style="5"/>
    <col min="14036" max="14036" width="3.5703125" style="5" customWidth="1"/>
    <col min="14037" max="14038" width="9.140625" style="5"/>
    <col min="14039" max="14039" width="0" style="5" hidden="1" customWidth="1"/>
    <col min="14040" max="14284" width="9.140625" style="5"/>
    <col min="14285" max="14285" width="31" style="5" customWidth="1"/>
    <col min="14286" max="14291" width="9.140625" style="5"/>
    <col min="14292" max="14292" width="3.5703125" style="5" customWidth="1"/>
    <col min="14293" max="14294" width="9.140625" style="5"/>
    <col min="14295" max="14295" width="0" style="5" hidden="1" customWidth="1"/>
    <col min="14296" max="14540" width="9.140625" style="5"/>
    <col min="14541" max="14541" width="31" style="5" customWidth="1"/>
    <col min="14542" max="14547" width="9.140625" style="5"/>
    <col min="14548" max="14548" width="3.5703125" style="5" customWidth="1"/>
    <col min="14549" max="14550" width="9.140625" style="5"/>
    <col min="14551" max="14551" width="0" style="5" hidden="1" customWidth="1"/>
    <col min="14552" max="14796" width="9.140625" style="5"/>
    <col min="14797" max="14797" width="31" style="5" customWidth="1"/>
    <col min="14798" max="14803" width="9.140625" style="5"/>
    <col min="14804" max="14804" width="3.5703125" style="5" customWidth="1"/>
    <col min="14805" max="14806" width="9.140625" style="5"/>
    <col min="14807" max="14807" width="0" style="5" hidden="1" customWidth="1"/>
    <col min="14808" max="15052" width="9.140625" style="5"/>
    <col min="15053" max="15053" width="31" style="5" customWidth="1"/>
    <col min="15054" max="15059" width="9.140625" style="5"/>
    <col min="15060" max="15060" width="3.5703125" style="5" customWidth="1"/>
    <col min="15061" max="15062" width="9.140625" style="5"/>
    <col min="15063" max="15063" width="0" style="5" hidden="1" customWidth="1"/>
    <col min="15064" max="15308" width="9.140625" style="5"/>
    <col min="15309" max="15309" width="31" style="5" customWidth="1"/>
    <col min="15310" max="15315" width="9.140625" style="5"/>
    <col min="15316" max="15316" width="3.5703125" style="5" customWidth="1"/>
    <col min="15317" max="15318" width="9.140625" style="5"/>
    <col min="15319" max="15319" width="0" style="5" hidden="1" customWidth="1"/>
    <col min="15320" max="15564" width="9.140625" style="5"/>
    <col min="15565" max="15565" width="31" style="5" customWidth="1"/>
    <col min="15566" max="15571" width="9.140625" style="5"/>
    <col min="15572" max="15572" width="3.5703125" style="5" customWidth="1"/>
    <col min="15573" max="15574" width="9.140625" style="5"/>
    <col min="15575" max="15575" width="0" style="5" hidden="1" customWidth="1"/>
    <col min="15576" max="15820" width="9.140625" style="5"/>
    <col min="15821" max="15821" width="31" style="5" customWidth="1"/>
    <col min="15822" max="15827" width="9.140625" style="5"/>
    <col min="15828" max="15828" width="3.5703125" style="5" customWidth="1"/>
    <col min="15829" max="15830" width="9.140625" style="5"/>
    <col min="15831" max="15831" width="0" style="5" hidden="1" customWidth="1"/>
    <col min="15832" max="16076" width="9.140625" style="5"/>
    <col min="16077" max="16077" width="31" style="5" customWidth="1"/>
    <col min="16078" max="16083" width="9.140625" style="5"/>
    <col min="16084" max="16084" width="3.5703125" style="5" customWidth="1"/>
    <col min="16085" max="16086" width="9.140625" style="5"/>
    <col min="16087" max="16087" width="0" style="5" hidden="1" customWidth="1"/>
    <col min="16088" max="16343" width="9.140625" style="5"/>
    <col min="16344" max="16371" width="9.140625" style="5" customWidth="1"/>
    <col min="16372" max="16384" width="9.140625" style="5"/>
  </cols>
  <sheetData>
    <row r="1" spans="1:13" ht="18" x14ac:dyDescent="0.25">
      <c r="A1" s="50" t="s">
        <v>16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</row>
    <row r="2" spans="1:13" ht="15.75" x14ac:dyDescent="0.25">
      <c r="A2" s="52" t="s">
        <v>15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1:13" x14ac:dyDescent="0.25">
      <c r="A3" s="8"/>
      <c r="B3" s="19"/>
      <c r="C3" s="19"/>
      <c r="D3" s="20"/>
      <c r="E3" s="20"/>
      <c r="F3" s="20"/>
      <c r="G3" s="20"/>
      <c r="H3" s="20"/>
      <c r="I3" s="20"/>
      <c r="J3" s="20"/>
      <c r="K3" s="20"/>
      <c r="L3" s="20"/>
    </row>
    <row r="4" spans="1:13" ht="26.25" customHeight="1" x14ac:dyDescent="0.25">
      <c r="A4" s="56" t="s">
        <v>0</v>
      </c>
      <c r="B4" s="54" t="s">
        <v>10</v>
      </c>
      <c r="C4" s="54"/>
      <c r="D4" s="55"/>
      <c r="E4" s="53" t="s">
        <v>11</v>
      </c>
      <c r="F4" s="54"/>
      <c r="G4" s="55"/>
      <c r="H4" s="54" t="s">
        <v>12</v>
      </c>
      <c r="I4" s="54"/>
      <c r="J4" s="54"/>
      <c r="K4" s="53" t="s">
        <v>13</v>
      </c>
      <c r="L4" s="54"/>
      <c r="M4" s="54"/>
    </row>
    <row r="5" spans="1:13" ht="20.25" customHeight="1" x14ac:dyDescent="0.25">
      <c r="A5" s="57"/>
      <c r="B5" s="15" t="s">
        <v>1</v>
      </c>
      <c r="C5" s="15" t="s">
        <v>4</v>
      </c>
      <c r="D5" s="16" t="s">
        <v>5</v>
      </c>
      <c r="E5" s="17" t="s">
        <v>1</v>
      </c>
      <c r="F5" s="15" t="s">
        <v>4</v>
      </c>
      <c r="G5" s="16" t="s">
        <v>5</v>
      </c>
      <c r="H5" s="15" t="s">
        <v>1</v>
      </c>
      <c r="I5" s="15" t="s">
        <v>4</v>
      </c>
      <c r="J5" s="15" t="s">
        <v>5</v>
      </c>
      <c r="K5" s="17" t="s">
        <v>1</v>
      </c>
      <c r="L5" s="15" t="s">
        <v>4</v>
      </c>
      <c r="M5" s="15" t="s">
        <v>5</v>
      </c>
    </row>
    <row r="6" spans="1:13" ht="23.25" customHeight="1" x14ac:dyDescent="0.25">
      <c r="A6" s="9" t="s">
        <v>1</v>
      </c>
      <c r="B6" s="12">
        <f>E6+H6+K6</f>
        <v>10824</v>
      </c>
      <c r="C6" s="12">
        <f t="shared" ref="C6:D6" si="0">F6+I6+L6</f>
        <v>2918</v>
      </c>
      <c r="D6" s="31">
        <f t="shared" si="0"/>
        <v>7906</v>
      </c>
      <c r="E6" s="32">
        <f t="shared" ref="E6:E11" si="1">SUM(F6:G6)</f>
        <v>2557</v>
      </c>
      <c r="F6" s="12">
        <f t="shared" ref="F6:G6" si="2">SUM(F7:F11)</f>
        <v>461</v>
      </c>
      <c r="G6" s="31">
        <f t="shared" si="2"/>
        <v>2096</v>
      </c>
      <c r="H6" s="12">
        <f t="shared" ref="H6:H11" si="3">SUM(I6:J6)</f>
        <v>6038</v>
      </c>
      <c r="I6" s="12">
        <f t="shared" ref="I6" si="4">SUM(I7:I11)</f>
        <v>1488</v>
      </c>
      <c r="J6" s="12">
        <f t="shared" ref="J6" si="5">SUM(J7:J11)</f>
        <v>4550</v>
      </c>
      <c r="K6" s="32">
        <f t="shared" ref="K6:K11" si="6">SUM(L6:M6)</f>
        <v>2229</v>
      </c>
      <c r="L6" s="12">
        <f t="shared" ref="L6" si="7">SUM(L7:L11)</f>
        <v>969</v>
      </c>
      <c r="M6" s="12">
        <f t="shared" ref="M6" si="8">SUM(M7:M11)</f>
        <v>1260</v>
      </c>
    </row>
    <row r="7" spans="1:13" ht="21" customHeight="1" x14ac:dyDescent="0.25">
      <c r="A7" s="29" t="s">
        <v>9</v>
      </c>
      <c r="B7" s="12">
        <f t="shared" ref="B7:B11" si="9">E7+H7+K7</f>
        <v>2132</v>
      </c>
      <c r="C7" s="13">
        <f>F7+I7+L7</f>
        <v>705</v>
      </c>
      <c r="D7" s="33">
        <f>G7+J7+M7</f>
        <v>1427</v>
      </c>
      <c r="E7" s="34">
        <f t="shared" si="1"/>
        <v>267</v>
      </c>
      <c r="F7" s="10">
        <v>54</v>
      </c>
      <c r="G7" s="24">
        <v>213</v>
      </c>
      <c r="H7" s="35">
        <f t="shared" si="3"/>
        <v>823</v>
      </c>
      <c r="I7" s="10">
        <v>241</v>
      </c>
      <c r="J7" s="10">
        <v>582</v>
      </c>
      <c r="K7" s="34">
        <f t="shared" si="6"/>
        <v>1042</v>
      </c>
      <c r="L7" s="10">
        <v>410</v>
      </c>
      <c r="M7" s="10">
        <v>632</v>
      </c>
    </row>
    <row r="8" spans="1:13" ht="21" customHeight="1" x14ac:dyDescent="0.25">
      <c r="A8" s="29" t="s">
        <v>18</v>
      </c>
      <c r="B8" s="12">
        <f t="shared" si="9"/>
        <v>1187</v>
      </c>
      <c r="C8" s="13">
        <f t="shared" ref="C8:C10" si="10">F8+I8+L8</f>
        <v>697</v>
      </c>
      <c r="D8" s="33">
        <f t="shared" ref="D8:D10" si="11">G8+J8+M8</f>
        <v>490</v>
      </c>
      <c r="E8" s="34">
        <f t="shared" si="1"/>
        <v>378</v>
      </c>
      <c r="F8" s="10">
        <v>80</v>
      </c>
      <c r="G8" s="24">
        <v>298</v>
      </c>
      <c r="H8" s="35">
        <f t="shared" si="3"/>
        <v>564</v>
      </c>
      <c r="I8" s="10">
        <v>530</v>
      </c>
      <c r="J8" s="10">
        <v>34</v>
      </c>
      <c r="K8" s="34">
        <f t="shared" si="6"/>
        <v>245</v>
      </c>
      <c r="L8" s="10">
        <v>87</v>
      </c>
      <c r="M8" s="10">
        <v>158</v>
      </c>
    </row>
    <row r="9" spans="1:13" ht="21" customHeight="1" x14ac:dyDescent="0.25">
      <c r="A9" s="29" t="s">
        <v>21</v>
      </c>
      <c r="B9" s="12">
        <f t="shared" si="9"/>
        <v>4228</v>
      </c>
      <c r="C9" s="13">
        <f t="shared" si="10"/>
        <v>351</v>
      </c>
      <c r="D9" s="33">
        <f t="shared" si="11"/>
        <v>3877</v>
      </c>
      <c r="E9" s="34">
        <f t="shared" si="1"/>
        <v>944</v>
      </c>
      <c r="F9" s="10">
        <v>95</v>
      </c>
      <c r="G9" s="24">
        <v>849</v>
      </c>
      <c r="H9" s="35">
        <f t="shared" si="3"/>
        <v>2820</v>
      </c>
      <c r="I9" s="10">
        <v>36</v>
      </c>
      <c r="J9" s="10">
        <v>2784</v>
      </c>
      <c r="K9" s="34">
        <f t="shared" si="6"/>
        <v>464</v>
      </c>
      <c r="L9" s="10">
        <v>220</v>
      </c>
      <c r="M9" s="10">
        <v>244</v>
      </c>
    </row>
    <row r="10" spans="1:13" ht="21" customHeight="1" x14ac:dyDescent="0.25">
      <c r="A10" s="29" t="s">
        <v>22</v>
      </c>
      <c r="B10" s="12">
        <f t="shared" si="9"/>
        <v>3078</v>
      </c>
      <c r="C10" s="13">
        <f t="shared" si="10"/>
        <v>1160</v>
      </c>
      <c r="D10" s="33">
        <f t="shared" si="11"/>
        <v>1918</v>
      </c>
      <c r="E10" s="34">
        <f t="shared" si="1"/>
        <v>946</v>
      </c>
      <c r="F10" s="10">
        <v>232</v>
      </c>
      <c r="G10" s="24">
        <v>714</v>
      </c>
      <c r="H10" s="35">
        <f t="shared" si="3"/>
        <v>1719</v>
      </c>
      <c r="I10" s="10">
        <v>676</v>
      </c>
      <c r="J10" s="10">
        <v>1043</v>
      </c>
      <c r="K10" s="34">
        <f t="shared" si="6"/>
        <v>413</v>
      </c>
      <c r="L10" s="10">
        <v>252</v>
      </c>
      <c r="M10" s="10">
        <v>161</v>
      </c>
    </row>
    <row r="11" spans="1:13" ht="25.5" customHeight="1" x14ac:dyDescent="0.25">
      <c r="A11" s="30" t="s">
        <v>19</v>
      </c>
      <c r="B11" s="36">
        <f t="shared" si="9"/>
        <v>199</v>
      </c>
      <c r="C11" s="14">
        <f>F11+I11+L11</f>
        <v>5</v>
      </c>
      <c r="D11" s="37">
        <f>G11+J11+M11</f>
        <v>194</v>
      </c>
      <c r="E11" s="38">
        <f t="shared" si="1"/>
        <v>22</v>
      </c>
      <c r="F11" s="11">
        <v>0</v>
      </c>
      <c r="G11" s="25">
        <v>22</v>
      </c>
      <c r="H11" s="39">
        <f t="shared" si="3"/>
        <v>112</v>
      </c>
      <c r="I11" s="11">
        <v>5</v>
      </c>
      <c r="J11" s="11">
        <v>107</v>
      </c>
      <c r="K11" s="38">
        <f t="shared" si="6"/>
        <v>65</v>
      </c>
      <c r="L11" s="11">
        <v>0</v>
      </c>
      <c r="M11" s="11">
        <v>65</v>
      </c>
    </row>
    <row r="12" spans="1:13" x14ac:dyDescent="0.25">
      <c r="A12" s="4" t="s">
        <v>2</v>
      </c>
    </row>
    <row r="13" spans="1:13" ht="14.45" customHeight="1" x14ac:dyDescent="0.25">
      <c r="A13" s="26" t="s">
        <v>20</v>
      </c>
    </row>
    <row r="14" spans="1:13" ht="14.45" customHeight="1" x14ac:dyDescent="0.25">
      <c r="A14" s="26" t="s">
        <v>6</v>
      </c>
      <c r="B14" s="18"/>
      <c r="C14" s="18"/>
    </row>
    <row r="15" spans="1:13" ht="14.45" customHeight="1" x14ac:dyDescent="0.25">
      <c r="A15" s="26" t="s">
        <v>7</v>
      </c>
      <c r="D15" s="21"/>
      <c r="E15" s="21"/>
      <c r="G15" s="10"/>
    </row>
    <row r="16" spans="1:13" ht="14.45" customHeight="1" x14ac:dyDescent="0.25">
      <c r="A16" s="26" t="s">
        <v>8</v>
      </c>
      <c r="D16" s="21"/>
      <c r="E16" s="21"/>
      <c r="M16" s="22"/>
    </row>
    <row r="17" spans="1:17" ht="14.45" customHeight="1" x14ac:dyDescent="0.25">
      <c r="A17" s="26" t="s">
        <v>14</v>
      </c>
      <c r="D17" s="21"/>
      <c r="E17" s="21"/>
    </row>
    <row r="18" spans="1:17" ht="14.45" customHeight="1" x14ac:dyDescent="0.25">
      <c r="A18" s="26" t="s">
        <v>3</v>
      </c>
    </row>
    <row r="19" spans="1:17" ht="50.25" customHeight="1" x14ac:dyDescent="0.45">
      <c r="A19" s="26" t="s">
        <v>17</v>
      </c>
      <c r="B19" s="27"/>
      <c r="C19" s="27"/>
      <c r="D19" s="22"/>
      <c r="E19" s="22"/>
      <c r="F19" s="22"/>
      <c r="G19" s="22"/>
      <c r="H19" s="22"/>
      <c r="I19" s="22"/>
      <c r="J19" s="22"/>
      <c r="K19" s="22"/>
      <c r="L19" s="5"/>
      <c r="M19" s="28"/>
      <c r="Q19" s="40"/>
    </row>
    <row r="20" spans="1:17" ht="17.25" x14ac:dyDescent="0.25">
      <c r="B20" s="23"/>
      <c r="C20" s="23"/>
      <c r="D20" s="22"/>
      <c r="E20" s="22"/>
      <c r="F20" s="22"/>
      <c r="G20" s="22"/>
      <c r="H20" s="22"/>
      <c r="I20" s="22"/>
      <c r="J20" s="22"/>
      <c r="K20" s="22"/>
      <c r="L20" s="22"/>
      <c r="M20" s="6"/>
    </row>
    <row r="21" spans="1:17" ht="17.25" x14ac:dyDescent="0.25">
      <c r="M21" s="6"/>
    </row>
    <row r="22" spans="1:17" x14ac:dyDescent="0.25">
      <c r="K22" s="10"/>
      <c r="L22" s="10"/>
    </row>
    <row r="37" ht="20.25" customHeight="1" x14ac:dyDescent="0.25"/>
    <row r="38" ht="7.5" customHeight="1" x14ac:dyDescent="0.25"/>
    <row r="39" ht="17.25" customHeight="1" x14ac:dyDescent="0.25"/>
    <row r="64" spans="1:13" ht="18" x14ac:dyDescent="0.25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</row>
    <row r="65" spans="1:13" ht="15.75" x14ac:dyDescent="0.2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</row>
    <row r="66" spans="1:13" x14ac:dyDescent="0.25">
      <c r="A66" s="42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</row>
    <row r="67" spans="1:13" x14ac:dyDescent="0.25">
      <c r="A67" s="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x14ac:dyDescent="0.25">
      <c r="A68" s="3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</row>
    <row r="69" spans="1:13" x14ac:dyDescent="0.25">
      <c r="A69" s="4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x14ac:dyDescent="0.25">
      <c r="A70" s="44"/>
      <c r="B70" s="2"/>
      <c r="C70" s="2"/>
      <c r="D70" s="2"/>
      <c r="E70" s="2"/>
      <c r="F70" s="10"/>
      <c r="G70" s="10"/>
      <c r="H70" s="2"/>
      <c r="I70" s="10"/>
      <c r="J70" s="10"/>
      <c r="K70" s="2"/>
      <c r="L70" s="10"/>
      <c r="M70" s="10"/>
    </row>
    <row r="71" spans="1:13" x14ac:dyDescent="0.25">
      <c r="A71" s="44"/>
      <c r="B71" s="2"/>
      <c r="C71" s="2"/>
      <c r="D71" s="2"/>
      <c r="E71" s="2"/>
      <c r="F71" s="10"/>
      <c r="G71" s="10"/>
      <c r="H71" s="2"/>
      <c r="I71" s="10"/>
      <c r="J71" s="10"/>
      <c r="K71" s="2"/>
      <c r="L71" s="10"/>
      <c r="M71" s="10"/>
    </row>
    <row r="72" spans="1:13" x14ac:dyDescent="0.25">
      <c r="A72" s="44"/>
      <c r="B72" s="2"/>
      <c r="C72" s="2"/>
      <c r="D72" s="2"/>
      <c r="E72" s="2"/>
      <c r="F72" s="10"/>
      <c r="G72" s="10"/>
      <c r="H72" s="2"/>
      <c r="I72" s="10"/>
      <c r="J72" s="10"/>
      <c r="K72" s="2"/>
      <c r="L72" s="10"/>
      <c r="M72" s="10"/>
    </row>
    <row r="73" spans="1:13" x14ac:dyDescent="0.25">
      <c r="A73" s="44"/>
      <c r="B73" s="2"/>
      <c r="C73" s="2"/>
      <c r="D73" s="2"/>
      <c r="E73" s="2"/>
      <c r="F73" s="10"/>
      <c r="G73" s="10"/>
      <c r="H73" s="2"/>
      <c r="I73" s="10"/>
      <c r="J73" s="10"/>
      <c r="K73" s="2"/>
      <c r="L73" s="10"/>
      <c r="M73" s="10"/>
    </row>
    <row r="74" spans="1:13" x14ac:dyDescent="0.25">
      <c r="A74" s="44"/>
      <c r="B74" s="2"/>
      <c r="C74" s="2"/>
      <c r="D74" s="2"/>
      <c r="E74" s="2"/>
      <c r="F74" s="10"/>
      <c r="G74" s="10"/>
      <c r="H74" s="2"/>
      <c r="I74" s="10"/>
      <c r="J74" s="10"/>
      <c r="K74" s="2"/>
      <c r="L74" s="10"/>
      <c r="M74" s="10"/>
    </row>
    <row r="75" spans="1:13" x14ac:dyDescent="0.25">
      <c r="A75" s="4"/>
    </row>
    <row r="76" spans="1:13" x14ac:dyDescent="0.25">
      <c r="A76" s="26"/>
    </row>
    <row r="77" spans="1:13" x14ac:dyDescent="0.25">
      <c r="A77" s="45"/>
      <c r="B77" s="18"/>
      <c r="C77" s="18"/>
    </row>
    <row r="78" spans="1:13" x14ac:dyDescent="0.25">
      <c r="A78" s="45"/>
      <c r="D78" s="21"/>
      <c r="E78" s="21"/>
      <c r="G78" s="10"/>
    </row>
    <row r="79" spans="1:13" x14ac:dyDescent="0.25">
      <c r="A79" s="45"/>
      <c r="D79" s="21"/>
      <c r="E79" s="21"/>
      <c r="M79" s="22"/>
    </row>
    <row r="80" spans="1:13" x14ac:dyDescent="0.25">
      <c r="A80" s="46"/>
      <c r="D80" s="21"/>
      <c r="E80" s="21"/>
    </row>
    <row r="81" spans="1:13" x14ac:dyDescent="0.25">
      <c r="A81" s="45"/>
    </row>
    <row r="82" spans="1:13" x14ac:dyDescent="0.25">
      <c r="A82" s="45"/>
      <c r="B82" s="47"/>
      <c r="C82" s="47"/>
      <c r="D82" s="22"/>
      <c r="E82" s="22"/>
      <c r="F82" s="22"/>
      <c r="G82" s="22"/>
      <c r="H82" s="22"/>
      <c r="I82" s="22"/>
      <c r="J82" s="22"/>
      <c r="K82" s="22"/>
      <c r="L82" s="5"/>
      <c r="M82" s="28"/>
    </row>
  </sheetData>
  <mergeCells count="7">
    <mergeCell ref="A1:M1"/>
    <mergeCell ref="A2:M2"/>
    <mergeCell ref="E4:G4"/>
    <mergeCell ref="H4:J4"/>
    <mergeCell ref="K4:M4"/>
    <mergeCell ref="A4:A5"/>
    <mergeCell ref="B4:D4"/>
  </mergeCells>
  <pageMargins left="0.7" right="0.7" top="0.75" bottom="0.75" header="0.3" footer="0.3"/>
  <pageSetup scale="50" orientation="portrait" r:id="rId1"/>
  <colBreaks count="1" manualBreakCount="1">
    <brk id="14" max="1048575" man="1"/>
  </colBreaks>
  <ignoredErrors>
    <ignoredError sqref="H6:K6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6.2</vt:lpstr>
      <vt:lpstr>'6.2'!Print_Area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2024-09-23T08:36:20Z</cp:lastPrinted>
  <dcterms:created xsi:type="dcterms:W3CDTF">2019-08-06T05:35:20Z</dcterms:created>
  <dcterms:modified xsi:type="dcterms:W3CDTF">2024-09-23T08:36:28Z</dcterms:modified>
</cp:coreProperties>
</file>