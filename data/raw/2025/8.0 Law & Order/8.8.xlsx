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law and order\"/>
    </mc:Choice>
  </mc:AlternateContent>
  <xr:revisionPtr revIDLastSave="0" documentId="13_ncr:1_{79CF4D13-7645-41F9-806E-A4D53C96A59E}" xr6:coauthVersionLast="47" xr6:coauthVersionMax="47" xr10:uidLastSave="{00000000-0000-0000-0000-000000000000}"/>
  <bookViews>
    <workbookView xWindow="-120" yWindow="-120" windowWidth="29040" windowHeight="15720" tabRatio="862" xr2:uid="{00000000-000D-0000-FFFF-FFFF00000000}"/>
  </bookViews>
  <sheets>
    <sheet name="8.8" sheetId="8" r:id="rId1"/>
  </sheets>
  <definedNames>
    <definedName name="_xlnm.Print_Area" localSheetId="0">'8.8'!$A$1:$O$53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0" i="8" l="1"/>
  <c r="AZ9" i="8" l="1"/>
  <c r="AZ8" i="8"/>
  <c r="M7" i="8"/>
  <c r="M8" i="8"/>
  <c r="M9" i="8"/>
  <c r="M11" i="8"/>
  <c r="M12" i="8"/>
  <c r="M13" i="8"/>
  <c r="M14" i="8"/>
  <c r="M15" i="8"/>
  <c r="L8" i="8"/>
  <c r="L9" i="8"/>
  <c r="L10" i="8"/>
  <c r="L11" i="8"/>
  <c r="L12" i="8"/>
  <c r="L13" i="8"/>
  <c r="L15" i="8"/>
  <c r="L16" i="8"/>
  <c r="L17" i="8"/>
  <c r="L18" i="8"/>
  <c r="L19" i="8"/>
  <c r="L20" i="8"/>
  <c r="M16" i="8"/>
  <c r="L14" i="8"/>
  <c r="L7" i="8"/>
  <c r="H7" i="8"/>
  <c r="G7" i="8"/>
  <c r="AZ10" i="8" l="1"/>
  <c r="M6" i="8"/>
  <c r="M20" i="8"/>
  <c r="M19" i="8"/>
  <c r="M18" i="8"/>
  <c r="M17" i="8"/>
  <c r="L6" i="8"/>
  <c r="M21" i="8" l="1"/>
  <c r="H14" i="8" l="1"/>
  <c r="H6" i="8" l="1"/>
  <c r="G14" i="8" l="1"/>
  <c r="G6" i="8" l="1"/>
  <c r="F14" i="8" l="1"/>
  <c r="F7" i="8"/>
  <c r="F6" i="8" l="1"/>
  <c r="C14" i="8" l="1"/>
  <c r="D14" i="8"/>
  <c r="E14" i="8"/>
  <c r="C7" i="8"/>
  <c r="D7" i="8"/>
  <c r="E7" i="8"/>
  <c r="E6" i="8" l="1"/>
  <c r="C6" i="8" l="1"/>
  <c r="B14" i="8"/>
  <c r="B7" i="8"/>
  <c r="D6" i="8"/>
  <c r="B6" i="8" l="1"/>
  <c r="L21" i="8" l="1"/>
</calcChain>
</file>

<file path=xl/sharedStrings.xml><?xml version="1.0" encoding="utf-8"?>
<sst xmlns="http://schemas.openxmlformats.org/spreadsheetml/2006/main" count="49" uniqueCount="33">
  <si>
    <t>Total</t>
  </si>
  <si>
    <t>Drugs</t>
  </si>
  <si>
    <t>Others</t>
  </si>
  <si>
    <t>އެހެނިހެން</t>
  </si>
  <si>
    <t>Source: Maldives Police Service</t>
  </si>
  <si>
    <t>csivrws csilop cscviDclOm :Ivcaed utWmUluAwm</t>
  </si>
  <si>
    <t>ކުރީ އަހަރާއި  އަޅާ</t>
  </si>
  <si>
    <t>ބަލާއިރު އިތުރުވި މިންވަރު</t>
  </si>
  <si>
    <t>-</t>
  </si>
  <si>
    <t>ޖުމްލަ</t>
  </si>
  <si>
    <t xml:space="preserve">Type </t>
  </si>
  <si>
    <t>އިންސައްތަ</t>
  </si>
  <si>
    <t>Percentage share</t>
  </si>
  <si>
    <t>މައްސަލައިގެ ބާވަތް</t>
  </si>
  <si>
    <t>މަސްތުވާތަކެތީގެ މައްސަލަތައް</t>
  </si>
  <si>
    <t xml:space="preserve">Use </t>
  </si>
  <si>
    <t xml:space="preserve">   ބޭނުންކުރުން</t>
  </si>
  <si>
    <t xml:space="preserve">Possession </t>
  </si>
  <si>
    <t xml:space="preserve">   ގެންގުޅުން</t>
  </si>
  <si>
    <t>Production</t>
  </si>
  <si>
    <t xml:space="preserve">   އުފެއްދުން</t>
  </si>
  <si>
    <t xml:space="preserve">Import </t>
  </si>
  <si>
    <t xml:space="preserve">   އެތެރެކުރުން</t>
  </si>
  <si>
    <t xml:space="preserve">Sale </t>
  </si>
  <si>
    <t xml:space="preserve">   ވިޔަފާރިކުރުން</t>
  </si>
  <si>
    <t>others</t>
  </si>
  <si>
    <t>Alcohol</t>
  </si>
  <si>
    <t>ރަލުގެ މައްސަލަތައް</t>
  </si>
  <si>
    <t>Other cases related to drug offences</t>
  </si>
  <si>
    <t>ޑްރަގްސް އާއި ގުޅުން ހުރި އެހެނިހެން މައްސަލަތައް</t>
  </si>
  <si>
    <t>% change over 2023</t>
  </si>
  <si>
    <t>Table 8.8:  DRUG CASES LOGGED BY TYPE, 2016 - 2024</t>
  </si>
  <si>
    <t>ތާވަލު 8.8: ހުށަހެޅިފައިވާ މަސްތުވާތަކެތީގެ މައްސަލަތަކާއި އަދި ބާވަތް، 2016- 2024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</si>
</sst>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General_)"/>
    <numFmt numFmtId="165" formatCode="_-* #,##0_-;\-* #,##0_-;_-* &quot;-&quot;??_-;_-@_-"/>
    <numFmt numFmtId="166" formatCode="#,##0.0"/>
    <numFmt numFmtId="167" formatCode="0.00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rgb="FF000000"/>
      <name val="Faruma"/>
      <family val="3"/>
    </font>
    <font>
      <b/>
      <sz val="10"/>
      <name val="Faruma"/>
      <family val="3"/>
    </font>
    <font>
      <sz val="10"/>
      <color rgb="FFFF0000"/>
      <name val="Courier"/>
      <family val="3"/>
    </font>
    <font>
      <sz val="10"/>
      <name val="Faruma"/>
      <family val="3"/>
    </font>
    <font>
      <b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name val="Calibri"/>
      <family val="2"/>
      <scheme val="minor"/>
    </font>
    <font>
      <sz val="9"/>
      <name val="Courier"/>
      <family val="3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sz val="9"/>
      <name val="A_Randhoo"/>
    </font>
    <font>
      <b/>
      <sz val="11"/>
      <name val="Faruma"/>
      <family val="3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b/>
      <sz val="10"/>
      <name val="Courier"/>
      <family val="3"/>
    </font>
    <font>
      <sz val="9"/>
      <name val="Faruma"/>
      <family val="3"/>
    </font>
    <font>
      <b/>
      <sz val="9"/>
      <name val="Faruma"/>
      <family val="3"/>
    </font>
    <font>
      <b/>
      <sz val="10"/>
      <color rgb="FFFF0000"/>
      <name val="Courier"/>
      <family val="3"/>
    </font>
    <font>
      <i/>
      <sz val="10"/>
      <name val="Courier"/>
      <family val="3"/>
    </font>
    <font>
      <sz val="10"/>
      <name val="Arial"/>
      <family val="2"/>
    </font>
    <font>
      <b/>
      <sz val="15"/>
      <color theme="3"/>
      <name val="Arial Mäori"/>
      <family val="2"/>
    </font>
    <font>
      <sz val="9"/>
      <name val="A_Faseyha"/>
    </font>
    <font>
      <sz val="10"/>
      <name val="Helv"/>
    </font>
    <font>
      <b/>
      <i/>
      <sz val="16"/>
      <name val="Helv"/>
    </font>
    <font>
      <b/>
      <sz val="10"/>
      <name val="TimesNewRomanPS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sz val="11"/>
      <color rgb="FF000000"/>
      <name val="Calibri"/>
      <family val="2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9"/>
      </top>
      <bottom/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2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166" fontId="21" fillId="0" borderId="0"/>
    <xf numFmtId="0" fontId="28" fillId="0" borderId="6" applyNumberFormat="0" applyFill="0" applyAlignment="0" applyProtection="0"/>
    <xf numFmtId="0" fontId="27" fillId="0" borderId="0"/>
    <xf numFmtId="0" fontId="27" fillId="0" borderId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167" fontId="31" fillId="0" borderId="0"/>
    <xf numFmtId="1" fontId="32" fillId="0" borderId="11" applyNumberFormat="0"/>
    <xf numFmtId="0" fontId="27" fillId="0" borderId="0"/>
    <xf numFmtId="0" fontId="1" fillId="0" borderId="0"/>
    <xf numFmtId="0" fontId="27" fillId="0" borderId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30" fillId="0" borderId="0"/>
    <xf numFmtId="40" fontId="30" fillId="0" borderId="0" applyFont="0" applyFill="0" applyBorder="0" applyAlignment="0" applyProtection="0"/>
    <xf numFmtId="0" fontId="30" fillId="0" borderId="0"/>
    <xf numFmtId="0" fontId="27" fillId="0" borderId="0"/>
    <xf numFmtId="1" fontId="32" fillId="0" borderId="11" applyNumberFormat="0"/>
    <xf numFmtId="0" fontId="1" fillId="0" borderId="0"/>
    <xf numFmtId="0" fontId="30" fillId="0" borderId="0"/>
    <xf numFmtId="0" fontId="20" fillId="0" borderId="0" applyFill="0" applyProtection="0"/>
    <xf numFmtId="1" fontId="32" fillId="0" borderId="11" applyNumberFormat="0"/>
    <xf numFmtId="43" fontId="1" fillId="0" borderId="0" applyFont="0" applyFill="0" applyBorder="0" applyAlignment="0" applyProtection="0"/>
    <xf numFmtId="0" fontId="1" fillId="0" borderId="0"/>
    <xf numFmtId="0" fontId="33" fillId="0" borderId="0"/>
    <xf numFmtId="0" fontId="34" fillId="0" borderId="0"/>
    <xf numFmtId="0" fontId="33" fillId="0" borderId="0"/>
    <xf numFmtId="0" fontId="1" fillId="0" borderId="0"/>
    <xf numFmtId="0" fontId="30" fillId="0" borderId="0"/>
    <xf numFmtId="0" fontId="20" fillId="0" borderId="0" applyFill="0" applyProtection="0"/>
    <xf numFmtId="1" fontId="32" fillId="0" borderId="11" applyNumberFormat="0"/>
    <xf numFmtId="0" fontId="1" fillId="0" borderId="0"/>
    <xf numFmtId="0" fontId="27" fillId="0" borderId="0"/>
    <xf numFmtId="0" fontId="33" fillId="0" borderId="0"/>
    <xf numFmtId="0" fontId="34" fillId="0" borderId="0"/>
    <xf numFmtId="0" fontId="27" fillId="0" borderId="0"/>
    <xf numFmtId="0" fontId="33" fillId="0" borderId="0"/>
    <xf numFmtId="0" fontId="35" fillId="0" borderId="0"/>
    <xf numFmtId="0" fontId="33" fillId="0" borderId="0"/>
    <xf numFmtId="0" fontId="33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0" fontId="30" fillId="0" borderId="0" applyFont="0" applyFill="0" applyBorder="0" applyAlignment="0" applyProtection="0"/>
    <xf numFmtId="0" fontId="1" fillId="0" borderId="0"/>
    <xf numFmtId="0" fontId="35" fillId="0" borderId="0" applyBorder="0"/>
    <xf numFmtId="0" fontId="1" fillId="0" borderId="0"/>
    <xf numFmtId="40" fontId="30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5" fillId="0" borderId="0" applyBorder="0"/>
    <xf numFmtId="0" fontId="1" fillId="0" borderId="0"/>
    <xf numFmtId="0" fontId="1" fillId="0" borderId="0"/>
    <xf numFmtId="1" fontId="32" fillId="0" borderId="11" applyNumberFormat="0"/>
    <xf numFmtId="1" fontId="32" fillId="0" borderId="11" applyNumberFormat="0"/>
    <xf numFmtId="1" fontId="32" fillId="0" borderId="11" applyNumberFormat="0"/>
    <xf numFmtId="1" fontId="32" fillId="0" borderId="11" applyNumberFormat="0"/>
    <xf numFmtId="0" fontId="36" fillId="0" borderId="0"/>
    <xf numFmtId="0" fontId="36" fillId="0" borderId="0"/>
  </cellStyleXfs>
  <cellXfs count="58">
    <xf numFmtId="0" fontId="0" fillId="0" borderId="0" xfId="0"/>
    <xf numFmtId="164" fontId="0" fillId="2" borderId="0" xfId="0" applyNumberFormat="1" applyFill="1"/>
    <xf numFmtId="164" fontId="8" fillId="2" borderId="0" xfId="0" applyNumberFormat="1" applyFont="1" applyFill="1"/>
    <xf numFmtId="164" fontId="4" fillId="2" borderId="0" xfId="0" applyNumberFormat="1" applyFont="1" applyFill="1" applyAlignment="1">
      <alignment vertical="center"/>
    </xf>
    <xf numFmtId="165" fontId="12" fillId="2" borderId="0" xfId="1" applyNumberFormat="1" applyFont="1" applyFill="1" applyBorder="1" applyAlignment="1">
      <alignment horizontal="center"/>
    </xf>
    <xf numFmtId="164" fontId="9" fillId="2" borderId="0" xfId="0" applyNumberFormat="1" applyFont="1" applyFill="1" applyAlignment="1">
      <alignment horizontal="right" vertical="center"/>
    </xf>
    <xf numFmtId="164" fontId="9" fillId="2" borderId="0" xfId="0" applyNumberFormat="1" applyFont="1" applyFill="1" applyAlignment="1">
      <alignment horizontal="right" vertical="center" indent="2"/>
    </xf>
    <xf numFmtId="166" fontId="15" fillId="2" borderId="0" xfId="1" applyNumberFormat="1" applyFont="1" applyFill="1" applyBorder="1" applyAlignment="1">
      <alignment horizontal="right"/>
    </xf>
    <xf numFmtId="164" fontId="22" fillId="2" borderId="0" xfId="0" applyNumberFormat="1" applyFont="1" applyFill="1"/>
    <xf numFmtId="164" fontId="14" fillId="2" borderId="0" xfId="0" applyNumberFormat="1" applyFont="1" applyFill="1"/>
    <xf numFmtId="164" fontId="16" fillId="2" borderId="5" xfId="0" applyNumberFormat="1" applyFont="1" applyFill="1" applyBorder="1" applyAlignment="1">
      <alignment vertical="center"/>
    </xf>
    <xf numFmtId="164" fontId="12" fillId="2" borderId="0" xfId="0" applyNumberFormat="1" applyFont="1" applyFill="1"/>
    <xf numFmtId="164" fontId="23" fillId="2" borderId="0" xfId="0" applyNumberFormat="1" applyFont="1" applyFill="1" applyAlignment="1">
      <alignment horizontal="right" vertical="center"/>
    </xf>
    <xf numFmtId="164" fontId="11" fillId="2" borderId="0" xfId="0" applyNumberFormat="1" applyFont="1" applyFill="1" applyAlignment="1">
      <alignment horizontal="left" vertical="center" indent="1"/>
    </xf>
    <xf numFmtId="164" fontId="26" fillId="2" borderId="0" xfId="0" applyNumberFormat="1" applyFont="1" applyFill="1"/>
    <xf numFmtId="164" fontId="6" fillId="2" borderId="0" xfId="0" applyNumberFormat="1" applyFont="1" applyFill="1" applyAlignment="1">
      <alignment horizontal="center" vertical="center" wrapText="1"/>
    </xf>
    <xf numFmtId="164" fontId="6" fillId="2" borderId="0" xfId="0" applyNumberFormat="1" applyFont="1" applyFill="1" applyAlignment="1">
      <alignment horizontal="center" vertical="top" wrapText="1"/>
    </xf>
    <xf numFmtId="164" fontId="5" fillId="2" borderId="0" xfId="0" applyNumberFormat="1" applyFont="1" applyFill="1" applyAlignment="1">
      <alignment horizontal="center" vertical="center" wrapText="1"/>
    </xf>
    <xf numFmtId="164" fontId="5" fillId="2" borderId="4" xfId="0" applyNumberFormat="1" applyFont="1" applyFill="1" applyBorder="1" applyAlignment="1">
      <alignment horizontal="center" vertical="center" wrapText="1"/>
    </xf>
    <xf numFmtId="164" fontId="17" fillId="2" borderId="5" xfId="0" applyNumberFormat="1" applyFont="1" applyFill="1" applyBorder="1" applyAlignment="1">
      <alignment horizontal="right" vertical="center"/>
    </xf>
    <xf numFmtId="164" fontId="4" fillId="2" borderId="3" xfId="0" applyNumberFormat="1" applyFont="1" applyFill="1" applyBorder="1" applyAlignment="1">
      <alignment horizontal="center" vertical="top"/>
    </xf>
    <xf numFmtId="164" fontId="19" fillId="2" borderId="3" xfId="0" applyNumberFormat="1" applyFont="1" applyFill="1" applyBorder="1" applyAlignment="1">
      <alignment horizontal="center" vertical="center"/>
    </xf>
    <xf numFmtId="165" fontId="10" fillId="2" borderId="0" xfId="1" applyNumberFormat="1" applyFont="1" applyFill="1" applyBorder="1" applyAlignment="1">
      <alignment horizontal="right" vertical="center"/>
    </xf>
    <xf numFmtId="165" fontId="4" fillId="2" borderId="0" xfId="1" applyNumberFormat="1" applyFont="1" applyFill="1" applyBorder="1" applyAlignment="1">
      <alignment horizontal="right" vertical="center"/>
    </xf>
    <xf numFmtId="164" fontId="7" fillId="2" borderId="0" xfId="0" applyNumberFormat="1" applyFont="1" applyFill="1" applyAlignment="1">
      <alignment horizontal="right" vertical="center"/>
    </xf>
    <xf numFmtId="164" fontId="2" fillId="2" borderId="0" xfId="0" applyNumberFormat="1" applyFont="1" applyFill="1"/>
    <xf numFmtId="164" fontId="25" fillId="2" borderId="0" xfId="0" applyNumberFormat="1" applyFont="1" applyFill="1"/>
    <xf numFmtId="165" fontId="11" fillId="2" borderId="0" xfId="1" applyNumberFormat="1" applyFont="1" applyFill="1" applyBorder="1" applyAlignment="1">
      <alignment horizontal="right" vertical="center"/>
    </xf>
    <xf numFmtId="164" fontId="4" fillId="2" borderId="4" xfId="0" applyNumberFormat="1" applyFont="1" applyFill="1" applyBorder="1" applyAlignment="1">
      <alignment vertical="center" wrapText="1"/>
    </xf>
    <xf numFmtId="165" fontId="4" fillId="2" borderId="4" xfId="1" applyNumberFormat="1" applyFont="1" applyFill="1" applyBorder="1" applyAlignment="1">
      <alignment horizontal="right" vertical="center"/>
    </xf>
    <xf numFmtId="164" fontId="2" fillId="2" borderId="4" xfId="0" applyNumberFormat="1" applyFont="1" applyFill="1" applyBorder="1"/>
    <xf numFmtId="1" fontId="0" fillId="2" borderId="0" xfId="0" applyNumberFormat="1" applyFill="1"/>
    <xf numFmtId="165" fontId="11" fillId="2" borderId="0" xfId="1" applyNumberFormat="1" applyFont="1" applyFill="1" applyBorder="1" applyAlignment="1">
      <alignment horizontal="center" vertical="center"/>
    </xf>
    <xf numFmtId="164" fontId="29" fillId="2" borderId="5" xfId="0" applyNumberFormat="1" applyFont="1" applyFill="1" applyBorder="1" applyAlignment="1">
      <alignment horizontal="right" vertical="center"/>
    </xf>
    <xf numFmtId="164" fontId="6" fillId="2" borderId="3" xfId="0" applyNumberFormat="1" applyFont="1" applyFill="1" applyBorder="1" applyAlignment="1">
      <alignment horizontal="center" vertical="center" wrapText="1"/>
    </xf>
    <xf numFmtId="164" fontId="7" fillId="2" borderId="4" xfId="0" applyNumberFormat="1" applyFont="1" applyFill="1" applyBorder="1" applyAlignment="1">
      <alignment horizontal="right" vertical="center" wrapText="1"/>
    </xf>
    <xf numFmtId="1" fontId="10" fillId="2" borderId="0" xfId="2" applyNumberFormat="1" applyFont="1" applyFill="1" applyBorder="1" applyAlignment="1">
      <alignment horizontal="center" vertical="center"/>
    </xf>
    <xf numFmtId="1" fontId="13" fillId="2" borderId="0" xfId="2" applyNumberFormat="1" applyFont="1" applyFill="1" applyBorder="1" applyAlignment="1">
      <alignment horizontal="center" vertical="center"/>
    </xf>
    <xf numFmtId="1" fontId="13" fillId="2" borderId="4" xfId="2" applyNumberFormat="1" applyFont="1" applyFill="1" applyBorder="1" applyAlignment="1">
      <alignment horizontal="center" vertical="center"/>
    </xf>
    <xf numFmtId="1" fontId="10" fillId="2" borderId="12" xfId="0" applyNumberFormat="1" applyFont="1" applyFill="1" applyBorder="1" applyAlignment="1">
      <alignment horizontal="center" vertical="center"/>
    </xf>
    <xf numFmtId="1" fontId="10" fillId="2" borderId="0" xfId="0" applyNumberFormat="1" applyFont="1" applyFill="1" applyAlignment="1">
      <alignment horizontal="center" vertical="center"/>
    </xf>
    <xf numFmtId="1" fontId="13" fillId="2" borderId="0" xfId="0" applyNumberFormat="1" applyFont="1" applyFill="1" applyAlignment="1">
      <alignment horizontal="center" vertical="center"/>
    </xf>
    <xf numFmtId="1" fontId="13" fillId="2" borderId="4" xfId="0" applyNumberFormat="1" applyFont="1" applyFill="1" applyBorder="1" applyAlignment="1">
      <alignment horizontal="center" vertical="center"/>
    </xf>
    <xf numFmtId="164" fontId="6" fillId="2" borderId="3" xfId="0" applyNumberFormat="1" applyFont="1" applyFill="1" applyBorder="1" applyAlignment="1">
      <alignment horizontal="right" vertical="center" wrapText="1"/>
    </xf>
    <xf numFmtId="164" fontId="6" fillId="2" borderId="0" xfId="0" applyNumberFormat="1" applyFont="1" applyFill="1" applyAlignment="1">
      <alignment horizontal="right" vertical="center" wrapText="1"/>
    </xf>
    <xf numFmtId="164" fontId="6" fillId="2" borderId="4" xfId="0" applyNumberFormat="1" applyFont="1" applyFill="1" applyBorder="1" applyAlignment="1">
      <alignment horizontal="right" vertical="center" wrapText="1"/>
    </xf>
    <xf numFmtId="164" fontId="24" fillId="2" borderId="3" xfId="0" applyNumberFormat="1" applyFont="1" applyFill="1" applyBorder="1" applyAlignment="1">
      <alignment horizontal="right" vertical="center" wrapText="1"/>
    </xf>
    <xf numFmtId="164" fontId="24" fillId="2" borderId="0" xfId="0" applyNumberFormat="1" applyFont="1" applyFill="1" applyAlignment="1">
      <alignment horizontal="right" vertical="center" wrapText="1"/>
    </xf>
    <xf numFmtId="164" fontId="24" fillId="2" borderId="4" xfId="0" applyNumberFormat="1" applyFont="1" applyFill="1" applyBorder="1" applyAlignment="1">
      <alignment horizontal="right" vertical="center" wrapText="1"/>
    </xf>
    <xf numFmtId="164" fontId="18" fillId="2" borderId="1" xfId="0" applyNumberFormat="1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top"/>
    </xf>
    <xf numFmtId="164" fontId="3" fillId="2" borderId="7" xfId="0" applyNumberFormat="1" applyFont="1" applyFill="1" applyBorder="1" applyAlignment="1">
      <alignment horizontal="center" vertical="top"/>
    </xf>
    <xf numFmtId="164" fontId="3" fillId="2" borderId="9" xfId="0" applyNumberFormat="1" applyFont="1" applyFill="1" applyBorder="1" applyAlignment="1">
      <alignment horizontal="center" vertical="top"/>
    </xf>
    <xf numFmtId="164" fontId="3" fillId="2" borderId="10" xfId="0" applyNumberFormat="1" applyFont="1" applyFill="1" applyBorder="1" applyAlignment="1">
      <alignment horizontal="center" vertical="top"/>
    </xf>
    <xf numFmtId="164" fontId="3" fillId="2" borderId="8" xfId="0" applyNumberFormat="1" applyFont="1" applyFill="1" applyBorder="1" applyAlignment="1">
      <alignment horizontal="center" vertical="top"/>
    </xf>
    <xf numFmtId="164" fontId="5" fillId="2" borderId="3" xfId="0" applyNumberFormat="1" applyFont="1" applyFill="1" applyBorder="1" applyAlignment="1">
      <alignment horizontal="left" vertical="center" wrapText="1"/>
    </xf>
    <xf numFmtId="164" fontId="5" fillId="2" borderId="0" xfId="0" applyNumberFormat="1" applyFont="1" applyFill="1" applyAlignment="1">
      <alignment horizontal="left" vertical="center" wrapText="1"/>
    </xf>
    <xf numFmtId="164" fontId="5" fillId="2" borderId="4" xfId="0" applyNumberFormat="1" applyFont="1" applyFill="1" applyBorder="1" applyAlignment="1">
      <alignment horizontal="left" vertical="center" wrapText="1"/>
    </xf>
  </cellXfs>
  <cellStyles count="72">
    <cellStyle name="1" xfId="8" xr:uid="{00000000-0005-0000-0000-000000000000}"/>
    <cellStyle name="Comma" xfId="1" builtinId="3"/>
    <cellStyle name="Comma 2" xfId="3" xr:uid="{00000000-0005-0000-0000-000002000000}"/>
    <cellStyle name="Comma 2 2" xfId="52" xr:uid="{9A84C4CD-F55D-4D7F-A24D-2331BEF12D2F}"/>
    <cellStyle name="Comma 2 2 2 5" xfId="33" xr:uid="{72CAE074-9478-48BE-827F-7C347CA8E33E}"/>
    <cellStyle name="Comma 2 3" xfId="59" xr:uid="{48917DD4-5850-420F-B56E-6D1242EC9C7D}"/>
    <cellStyle name="Comma 2 4" xfId="25" xr:uid="{25E79544-726A-40BC-9B88-F4040A358A37}"/>
    <cellStyle name="Comma 3" xfId="12" xr:uid="{B8EE6C01-62F8-4757-AEA0-A8E2BB20DD32}"/>
    <cellStyle name="Comma 3 2" xfId="55" xr:uid="{32AB1500-45AA-4601-AE5B-CC2189D86C97}"/>
    <cellStyle name="Heading 1 2" xfId="6" xr:uid="{00000000-0005-0000-0000-000003000000}"/>
    <cellStyle name="Normal" xfId="0" builtinId="0"/>
    <cellStyle name="Normal - Style1" xfId="13" xr:uid="{643D6BAF-51F0-40E9-A034-4148317B748D}"/>
    <cellStyle name="Normal 10" xfId="19" xr:uid="{53C320C8-74A4-4753-953E-745E7CA03BF9}"/>
    <cellStyle name="Normal 11" xfId="30" xr:uid="{C334F9A6-404A-429F-AAC8-A64A5D797F6B}"/>
    <cellStyle name="Normal 12" xfId="32" xr:uid="{AD19A09E-E36B-4581-9623-F54EE49DE1A7}"/>
    <cellStyle name="Normal 13" xfId="41" xr:uid="{8F3E15E1-866E-4642-A160-6EC78A16082E}"/>
    <cellStyle name="Normal 14" xfId="66" xr:uid="{38102293-679E-4BC4-8C21-B50A9352FE0D}"/>
    <cellStyle name="Normal 15" xfId="67" xr:uid="{DDD174B3-A44D-4519-9D5A-E09E51F6BD36}"/>
    <cellStyle name="Normal 16" xfId="68" xr:uid="{2B037F2C-6E53-4DFC-BCEF-4BAE4D22C99F}"/>
    <cellStyle name="Normal 17" xfId="69" xr:uid="{862E1F38-3D0E-4A33-9EDA-CE90F84B8E45}"/>
    <cellStyle name="Normal 18" xfId="70" xr:uid="{CF87BC40-E55D-4F82-AE28-8FA1017CE6B1}"/>
    <cellStyle name="Normal 19" xfId="71" xr:uid="{FA237C1A-38D9-46F9-9E54-DD0D4DE6F649}"/>
    <cellStyle name="Normal 2" xfId="7" xr:uid="{00000000-0005-0000-0000-000006000000}"/>
    <cellStyle name="Normal 2 2" xfId="14" xr:uid="{E1B4ADD7-AF9F-4C31-814B-2F7CCD24FB28}"/>
    <cellStyle name="Normal 2 2 2" xfId="26" xr:uid="{86D4674A-12DC-467D-8791-E9A1C7FC3D5C}"/>
    <cellStyle name="Normal 2 2 2 2" xfId="50" xr:uid="{E5E93CD8-FF9A-48B1-ADA9-AB3C731E6334}"/>
    <cellStyle name="Normal 2 2 3" xfId="27" xr:uid="{A9406696-2B5F-40B4-B07A-9A75502DB3A9}"/>
    <cellStyle name="Normal 2 2 3 2" xfId="48" xr:uid="{F69FCC6A-DC9B-4565-AD31-066A6C2F5064}"/>
    <cellStyle name="Normal 2 2 4" xfId="44" xr:uid="{6F0840CA-9553-405D-ACE5-D01A72852DAD}"/>
    <cellStyle name="Normal 2 3" xfId="29" xr:uid="{E13F57EA-1139-4D18-983A-599F278AD76F}"/>
    <cellStyle name="Normal 2 3 2" xfId="40" xr:uid="{0043EE02-D5BD-4812-AD16-BFACC7EF42A8}"/>
    <cellStyle name="Normal 2 3 3" xfId="43" xr:uid="{0A8706C9-91EC-4327-A8A0-F2E5BA34A857}"/>
    <cellStyle name="Normal 2 4" xfId="31" xr:uid="{20B2D89D-D384-47E8-A9EE-FCD14F76982F}"/>
    <cellStyle name="Normal 2 4 2" xfId="51" xr:uid="{3F0CEA5C-059B-43A9-859D-A965B48327F7}"/>
    <cellStyle name="Normal 2 5" xfId="35" xr:uid="{CE7AC479-92A4-4367-8F5E-D56B9C5A1031}"/>
    <cellStyle name="Normal 3" xfId="5" xr:uid="{00000000-0005-0000-0000-000007000000}"/>
    <cellStyle name="Normal 3 2" xfId="28" xr:uid="{D8C0391F-9AA5-43CD-9EDF-E1CEE95293DA}"/>
    <cellStyle name="Normal 3 2 2" xfId="37" xr:uid="{519BA7B2-00D0-4BC8-9FC5-2049B7FF832F}"/>
    <cellStyle name="Normal 3 2 2 2" xfId="62" xr:uid="{FFD9FBF6-074E-4300-A11B-1E9E248674A4}"/>
    <cellStyle name="Normal 3 3" xfId="46" xr:uid="{96442A53-EA32-4F89-842D-FC2B3500B36F}"/>
    <cellStyle name="Normal 3 3 2" xfId="65" xr:uid="{FC90F908-F2F6-489E-BDC8-B211A625F9C1}"/>
    <cellStyle name="Normal 3 4" xfId="56" xr:uid="{8D94B436-169A-4EF4-AF1F-BD2D38E48701}"/>
    <cellStyle name="Normal 3 5" xfId="60" xr:uid="{20B92D94-623A-4A41-B83E-988C78EE9919}"/>
    <cellStyle name="Normal 3 6" xfId="15" xr:uid="{2260A489-F0D9-40BA-A22E-29EA47F1B2F4}"/>
    <cellStyle name="Normal 4" xfId="20" xr:uid="{D3B53A52-2AD8-4381-AB54-845A42EF1FF2}"/>
    <cellStyle name="Normal 4 2" xfId="16" xr:uid="{861AA663-ADE1-4537-934E-8307E5FD8F74}"/>
    <cellStyle name="Normal 4 2 2" xfId="21" xr:uid="{E8677BA3-8211-444C-BEC4-9A07A188675B}"/>
    <cellStyle name="Normal 4 2 3" xfId="45" xr:uid="{A1A62C66-066C-4E8B-898C-FFCDC593C940}"/>
    <cellStyle name="Normal 4 3" xfId="36" xr:uid="{41EDC26E-37D1-45EB-B40D-C33CA90D2064}"/>
    <cellStyle name="Normal 4 3 2" xfId="53" xr:uid="{F0BD437D-A11C-4FCC-8D12-ECC542C171DB}"/>
    <cellStyle name="Normal 4 4" xfId="58" xr:uid="{644A2FD9-99FD-44AF-AD6A-7DA7696F10CB}"/>
    <cellStyle name="Normal 5" xfId="17" xr:uid="{497704D6-52EF-4ABE-A3CD-97569A2A33A7}"/>
    <cellStyle name="Normal 5 2" xfId="10" xr:uid="{00CB0B8C-510E-4BED-8B9B-553F22BD15C7}"/>
    <cellStyle name="Normal 5 2 2" xfId="61" xr:uid="{C310ED55-448A-4742-B398-B242C3A89A52}"/>
    <cellStyle name="Normal 5 3" xfId="34" xr:uid="{B6E770DA-49EF-4C68-912F-2AD9E34AB464}"/>
    <cellStyle name="Normal 5 4" xfId="47" xr:uid="{439C9414-9BA2-497D-BF7E-0C5A82DE1171}"/>
    <cellStyle name="Normal 6" xfId="22" xr:uid="{FF1D5E57-8C3F-43A7-8100-05F86404E24E}"/>
    <cellStyle name="Normal 6 2" xfId="38" xr:uid="{BF19C48D-9054-4CB1-8B26-C788F7386A5B}"/>
    <cellStyle name="Normal 6 2 2" xfId="63" xr:uid="{8DCBD4A4-A7DB-4626-B9AE-A2DBD111A1EA}"/>
    <cellStyle name="Normal 6 3" xfId="49" xr:uid="{EF61BC19-A02A-4B29-B5E5-F8ADBFFE6AF9}"/>
    <cellStyle name="Normal 7" xfId="23" xr:uid="{5E137597-5161-4D95-90E4-F6DC879E5B22}"/>
    <cellStyle name="Normal 7 2" xfId="39" xr:uid="{AF7B1DEB-2498-4714-A82C-DA80CF2C533D}"/>
    <cellStyle name="Normal 7 2 2" xfId="54" xr:uid="{72B3ACED-6426-4333-A31F-F7A584556C09}"/>
    <cellStyle name="Normal 7 3" xfId="64" xr:uid="{479EC22B-EFA4-4A4A-859B-B213AB646001}"/>
    <cellStyle name="Normal 7 4" xfId="42" xr:uid="{2E7F84E1-ECE1-404D-A212-C39658E7599D}"/>
    <cellStyle name="Normal 8" xfId="24" xr:uid="{CEB51C94-2E45-4D5B-9F0F-359FEE19D53C}"/>
    <cellStyle name="Normal 8 2" xfId="57" xr:uid="{286B7DE3-B5D9-42D4-91CA-A0F00AB06695}"/>
    <cellStyle name="Normal 9" xfId="11" xr:uid="{585AC317-7540-4658-AB5A-C34FB49F1152}"/>
    <cellStyle name="Percent" xfId="2" builtinId="5"/>
    <cellStyle name="Percent 2" xfId="4" xr:uid="{00000000-0005-0000-0000-00000E000000}"/>
    <cellStyle name="Percent 2 2" xfId="9" xr:uid="{67C19ACC-B2FB-4E73-ACA6-0EF4958B92CE}"/>
    <cellStyle name="Percent 2 3" xfId="18" xr:uid="{2ABB9611-6919-4949-B383-4EF485E15F01}"/>
  </cellStyles>
  <dxfs count="0"/>
  <tableStyles count="0" defaultTableStyle="TableStyleMedium2" defaultPivotStyle="PivotStyleLight16"/>
  <colors>
    <mruColors>
      <color rgb="FF9BC2E6"/>
      <color rgb="FF003399"/>
      <color rgb="FFAEAAAA"/>
      <color rgb="FF33CCCC"/>
      <color rgb="FFEEEEEE"/>
      <color rgb="FF7E5400"/>
      <color rgb="FFFFC5C5"/>
      <color rgb="FFFF6969"/>
      <color rgb="FFFFEFEF"/>
      <color rgb="FFFFE5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57364661578736"/>
          <c:y val="0.18124667109492446"/>
          <c:w val="0.42795192618350192"/>
          <c:h val="0.73864744830214712"/>
        </c:manualLayout>
      </c:layout>
      <c:pieChart>
        <c:varyColors val="1"/>
        <c:ser>
          <c:idx val="0"/>
          <c:order val="0"/>
          <c:spPr>
            <a:solidFill>
              <a:schemeClr val="accent5">
                <a:lumMod val="75000"/>
              </a:schemeClr>
            </a:solidFill>
          </c:spPr>
          <c:explosion val="3"/>
          <c:dPt>
            <c:idx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6B1-4759-89FB-17FE9121C893}"/>
              </c:ext>
            </c:extLst>
          </c:dPt>
          <c:dPt>
            <c:idx val="1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6B1-4759-89FB-17FE9121C893}"/>
              </c:ext>
            </c:extLst>
          </c:dPt>
          <c:dLbls>
            <c:dLbl>
              <c:idx val="0"/>
              <c:layout>
                <c:manualLayout>
                  <c:x val="9.5348029521647837E-2"/>
                  <c:y val="-0.2888622735196645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6B1-4759-89FB-17FE9121C89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'8.8'!$AY$8:$AY$10</c15:sqref>
                  </c15:fullRef>
                </c:ext>
              </c:extLst>
              <c:f>'8.8'!$AY$8:$AY$9</c:f>
              <c:strCache>
                <c:ptCount val="2"/>
                <c:pt idx="0">
                  <c:v>Drugs</c:v>
                </c:pt>
                <c:pt idx="1">
                  <c:v>Alcohol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'8.8'!$AZ$8:$AZ$10</c15:sqref>
                  </c15:fullRef>
                </c:ext>
              </c:extLst>
              <c:f>'8.8'!$AZ$8:$AZ$9</c:f>
              <c:numCache>
                <c:formatCode>_-* #,##0_-;\-* #,##0_-;_-* "-"??_-;_-@_-</c:formatCode>
                <c:ptCount val="2"/>
                <c:pt idx="0" formatCode="General_)">
                  <c:v>1503</c:v>
                </c:pt>
                <c:pt idx="1">
                  <c:v>182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'8.8'!$AZ$10</c15:sqref>
                  <c15:dLbl>
                    <c:idx val="1"/>
                    <c:delete val="1"/>
                    <c:extLst xmlns:c16="http://schemas.microsoft.com/office/drawing/2014/chart">
                      <c:ext uri="{CE6537A1-D6FC-4f65-9D91-7224C49458BB}"/>
                      <c:ext xmlns:c16="http://schemas.microsoft.com/office/drawing/2014/chart" uri="{C3380CC4-5D6E-409C-BE32-E72D297353CC}">
                        <c16:uniqueId val="{00000004-E907-4098-8D05-DABC150C0992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6-76B1-4759-89FB-17FE9121C8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54"/>
      </c:pieChart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377" l="0.70000000000000062" r="0.70000000000000062" t="0.75000000000000377" header="0.30000000000000032" footer="0.30000000000000032"/>
    <c:pageSetup orientation="portrait"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2708167971070746E-2"/>
          <c:y val="0.16217493386411694"/>
          <c:w val="0.87207829922349411"/>
          <c:h val="0.687655582098203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'8.8'!$H$3:$H$5</c:f>
              <c:strCache>
                <c:ptCount val="3"/>
                <c:pt idx="0">
                  <c:v>2022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'8.8'!$A$8:$A$13</c15:sqref>
                  </c15:fullRef>
                </c:ext>
              </c:extLst>
              <c:f>('8.8'!$A$8:$A$9,'8.8'!$A$11:$A$13)</c:f>
              <c:strCache>
                <c:ptCount val="5"/>
                <c:pt idx="0">
                  <c:v>Use </c:v>
                </c:pt>
                <c:pt idx="1">
                  <c:v>Possession </c:v>
                </c:pt>
                <c:pt idx="2">
                  <c:v>Import </c:v>
                </c:pt>
                <c:pt idx="3">
                  <c:v>Sale </c:v>
                </c:pt>
                <c:pt idx="4">
                  <c:v>others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'8.8'!$H$8:$H$13</c15:sqref>
                  </c15:fullRef>
                </c:ext>
              </c:extLst>
              <c:f>('8.8'!$H$8:$H$9,'8.8'!$H$11:$H$13)</c:f>
              <c:numCache>
                <c:formatCode>_-* #,##0_-;\-* #,##0_-;_-* "-"??_-;_-@_-</c:formatCode>
                <c:ptCount val="5"/>
                <c:pt idx="0">
                  <c:v>142</c:v>
                </c:pt>
                <c:pt idx="1">
                  <c:v>632</c:v>
                </c:pt>
                <c:pt idx="2">
                  <c:v>91</c:v>
                </c:pt>
                <c:pt idx="3">
                  <c:v>400</c:v>
                </c:pt>
                <c:pt idx="4">
                  <c:v>24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7832-426D-BAEF-F06F4B391A89}"/>
            </c:ext>
          </c:extLst>
        </c:ser>
        <c:ser>
          <c:idx val="1"/>
          <c:order val="1"/>
          <c:tx>
            <c:strRef>
              <c:f>'8.8'!$I$3:$I$5</c:f>
              <c:strCache>
                <c:ptCount val="3"/>
                <c:pt idx="0">
                  <c:v>2023 </c:v>
                </c:pt>
              </c:strCache>
            </c:strRef>
          </c:tx>
          <c:spPr>
            <a:solidFill>
              <a:srgbClr val="9BC2E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'8.8'!$A$8:$A$13</c15:sqref>
                  </c15:fullRef>
                </c:ext>
              </c:extLst>
              <c:f>('8.8'!$A$8:$A$9,'8.8'!$A$11:$A$13)</c:f>
              <c:strCache>
                <c:ptCount val="5"/>
                <c:pt idx="0">
                  <c:v>Use </c:v>
                </c:pt>
                <c:pt idx="1">
                  <c:v>Possession </c:v>
                </c:pt>
                <c:pt idx="2">
                  <c:v>Import </c:v>
                </c:pt>
                <c:pt idx="3">
                  <c:v>Sale </c:v>
                </c:pt>
                <c:pt idx="4">
                  <c:v>others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'8.8'!$I$8:$I$13</c15:sqref>
                  </c15:fullRef>
                </c:ext>
              </c:extLst>
              <c:f>('8.8'!$I$8:$I$9,'8.8'!$I$11:$I$13)</c:f>
              <c:numCache>
                <c:formatCode>_-* #,##0_-;\-* #,##0_-;_-* "-"??_-;_-@_-</c:formatCode>
                <c:ptCount val="5"/>
                <c:pt idx="0">
                  <c:v>289</c:v>
                </c:pt>
                <c:pt idx="1">
                  <c:v>620</c:v>
                </c:pt>
                <c:pt idx="2">
                  <c:v>105</c:v>
                </c:pt>
                <c:pt idx="3">
                  <c:v>536</c:v>
                </c:pt>
                <c:pt idx="4">
                  <c:v>18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4-7832-426D-BAEF-F06F4B391A89}"/>
            </c:ext>
          </c:extLst>
        </c:ser>
        <c:ser>
          <c:idx val="2"/>
          <c:order val="2"/>
          <c:tx>
            <c:strRef>
              <c:f>'8.8'!$J$3:$J$5</c:f>
              <c:strCache>
                <c:ptCount val="3"/>
                <c:pt idx="0">
                  <c:v>2024 </c:v>
                </c:pt>
              </c:strCache>
            </c:strRef>
          </c:tx>
          <c:spPr>
            <a:solidFill>
              <a:srgbClr val="003399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'8.8'!$A$8:$A$13</c15:sqref>
                  </c15:fullRef>
                </c:ext>
              </c:extLst>
              <c:f>('8.8'!$A$8:$A$9,'8.8'!$A$11:$A$13)</c:f>
              <c:strCache>
                <c:ptCount val="5"/>
                <c:pt idx="0">
                  <c:v>Use </c:v>
                </c:pt>
                <c:pt idx="1">
                  <c:v>Possession </c:v>
                </c:pt>
                <c:pt idx="2">
                  <c:v>Import </c:v>
                </c:pt>
                <c:pt idx="3">
                  <c:v>Sale </c:v>
                </c:pt>
                <c:pt idx="4">
                  <c:v>others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'8.8'!$J$8:$J$13</c15:sqref>
                  </c15:fullRef>
                </c:ext>
              </c:extLst>
              <c:f>('8.8'!$J$8:$J$9,'8.8'!$J$11:$J$13)</c:f>
              <c:numCache>
                <c:formatCode>_-* #,##0_-;\-* #,##0_-;_-* "-"??_-;_-@_-</c:formatCode>
                <c:ptCount val="5"/>
                <c:pt idx="0">
                  <c:v>467</c:v>
                </c:pt>
                <c:pt idx="1">
                  <c:v>348</c:v>
                </c:pt>
                <c:pt idx="2">
                  <c:v>138</c:v>
                </c:pt>
                <c:pt idx="3">
                  <c:v>544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32-426D-BAEF-F06F4B391A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3877888"/>
        <c:axId val="43879424"/>
        <c:extLst/>
      </c:barChart>
      <c:catAx>
        <c:axId val="438778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79424"/>
        <c:crosses val="autoZero"/>
        <c:auto val="1"/>
        <c:lblAlgn val="ctr"/>
        <c:lblOffset val="100"/>
        <c:noMultiLvlLbl val="0"/>
      </c:catAx>
      <c:valAx>
        <c:axId val="43879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</a:p>
            </c:rich>
          </c:tx>
          <c:layout>
            <c:manualLayout>
              <c:xMode val="edge"/>
              <c:yMode val="edge"/>
              <c:x val="1.4757860226209165E-2"/>
              <c:y val="7.8992567007239514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77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772348274233374"/>
          <c:y val="0.1765718317119524"/>
          <c:w val="0.16489241236644964"/>
          <c:h val="7.64010368187588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377" l="0.70000000000000062" r="0.70000000000000062" t="0.75000000000000377" header="0.30000000000000032" footer="0.30000000000000032"/>
    <c:pageSetup orientation="portrait"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946703</xdr:colOff>
      <xdr:row>37</xdr:row>
      <xdr:rowOff>142585</xdr:rowOff>
    </xdr:from>
    <xdr:to>
      <xdr:col>13</xdr:col>
      <xdr:colOff>400051</xdr:colOff>
      <xdr:row>52</xdr:row>
      <xdr:rowOff>6438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962025</xdr:colOff>
      <xdr:row>22</xdr:row>
      <xdr:rowOff>166680</xdr:rowOff>
    </xdr:from>
    <xdr:to>
      <xdr:col>13</xdr:col>
      <xdr:colOff>466725</xdr:colOff>
      <xdr:row>36</xdr:row>
      <xdr:rowOff>142874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0.24787</cdr:x>
      <cdr:y>0.01651</cdr:y>
    </cdr:from>
    <cdr:to>
      <cdr:x>0.83527</cdr:x>
      <cdr:y>0.10861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060205" y="44928"/>
          <a:ext cx="4882233" cy="25063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 i="0" baseline="0">
              <a:effectLst/>
              <a:latin typeface="Candara" panose="020E0502030303020204" pitchFamily="34" charset="0"/>
              <a:ea typeface="+mn-ea"/>
              <a:cs typeface="Consolas" pitchFamily="49" charset="0"/>
            </a:rPr>
            <a:t>Figure 8.12: Percentage share of drugs and alcohol related cases, </a:t>
          </a:r>
          <a:r>
            <a:rPr lang="en-US" sz="1050" b="1" i="0" baseline="0">
              <a:effectLst/>
              <a:latin typeface="Candara" panose="020E0502030303020204" pitchFamily="34" charset="0"/>
              <a:ea typeface="+mn-ea"/>
              <a:cs typeface="Consolas" pitchFamily="49" charset="0"/>
            </a:rPr>
            <a:t>2024</a:t>
          </a:r>
          <a:endParaRPr lang="en-US" sz="1000" b="1">
            <a:effectLst/>
            <a:latin typeface="Candara" panose="020E0502030303020204" pitchFamily="34" charset="0"/>
            <a:cs typeface="Consolas" pitchFamily="49" charset="0"/>
          </a:endParaRPr>
        </a:p>
        <a:p xmlns:a="http://schemas.openxmlformats.org/drawingml/2006/main">
          <a:endParaRPr lang="en-US" sz="9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0.2627</cdr:x>
      <cdr:y>0.03119</cdr:y>
    </cdr:from>
    <cdr:to>
      <cdr:x>0.78694</cdr:x>
      <cdr:y>0.15289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775627" y="79219"/>
          <a:ext cx="3543456" cy="3091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andara" panose="020E0502030303020204" pitchFamily="34" charset="0"/>
              <a:ea typeface="+mn-ea"/>
              <a:cs typeface="+mn-cs"/>
            </a:rPr>
            <a:t>Figure 8.11: </a:t>
          </a:r>
          <a:r>
            <a:rPr lang="en-US" sz="1100" b="1" i="0" baseline="0">
              <a:effectLst/>
              <a:latin typeface="Candara" panose="020E0502030303020204" pitchFamily="34" charset="0"/>
              <a:ea typeface="+mn-ea"/>
              <a:cs typeface="Consolas" pitchFamily="49" charset="0"/>
            </a:rPr>
            <a:t>Number</a:t>
          </a:r>
          <a:r>
            <a:rPr lang="en-US" sz="1100" b="1" i="0" baseline="0">
              <a:effectLst/>
              <a:latin typeface="Candara" panose="020E0502030303020204" pitchFamily="34" charset="0"/>
              <a:ea typeface="+mn-ea"/>
              <a:cs typeface="+mn-cs"/>
            </a:rPr>
            <a:t> of logged </a:t>
          </a:r>
          <a:r>
            <a:rPr lang="en-US" sz="1100" b="1" i="0" baseline="0">
              <a:effectLst/>
              <a:latin typeface="Candara" panose="020E0502030303020204" pitchFamily="34" charset="0"/>
              <a:ea typeface="+mn-ea"/>
              <a:cs typeface="Consolas" pitchFamily="49" charset="0"/>
            </a:rPr>
            <a:t>drug</a:t>
          </a:r>
          <a:r>
            <a:rPr lang="en-US" sz="1100" b="1" i="0" baseline="0">
              <a:effectLst/>
              <a:latin typeface="Candara" panose="020E0502030303020204" pitchFamily="34" charset="0"/>
              <a:ea typeface="+mn-ea"/>
              <a:cs typeface="+mn-cs"/>
            </a:rPr>
            <a:t> cases, 2022- 2024</a:t>
          </a:r>
          <a:endParaRPr lang="en-US">
            <a:effectLst/>
            <a:latin typeface="Candara" panose="020E0502030303020204" pitchFamily="34" charset="0"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rgb="FF92D050"/>
  </sheetPr>
  <dimension ref="A1:AZ31"/>
  <sheetViews>
    <sheetView tabSelected="1" zoomScale="87" zoomScaleNormal="87" workbookViewId="0">
      <selection activeCell="S17" sqref="S17"/>
    </sheetView>
  </sheetViews>
  <sheetFormatPr defaultColWidth="9.140625" defaultRowHeight="15"/>
  <cols>
    <col min="1" max="1" width="14.5703125" style="1" customWidth="1"/>
    <col min="2" max="10" width="11.42578125" style="1" customWidth="1"/>
    <col min="11" max="11" width="2.7109375" style="1" customWidth="1"/>
    <col min="12" max="12" width="20.5703125" style="1" customWidth="1"/>
    <col min="13" max="13" width="15" style="1" customWidth="1"/>
    <col min="14" max="14" width="20.28515625" style="1" customWidth="1"/>
    <col min="15" max="15" width="7.5703125" style="1" customWidth="1"/>
    <col min="16" max="16" width="9.140625" style="1"/>
    <col min="17" max="22" width="9.28515625" style="1" customWidth="1"/>
    <col min="23" max="23" width="11.140625" style="1" customWidth="1"/>
    <col min="24" max="16384" width="9.140625" style="1"/>
  </cols>
  <sheetData>
    <row r="1" spans="1:52" ht="21">
      <c r="A1" s="49" t="s">
        <v>32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</row>
    <row r="2" spans="1:52" ht="21.75" customHeight="1">
      <c r="A2" s="50" t="s">
        <v>31</v>
      </c>
      <c r="B2" s="50"/>
      <c r="C2" s="50"/>
      <c r="D2" s="50"/>
      <c r="E2" s="51"/>
      <c r="F2" s="51"/>
      <c r="G2" s="52"/>
      <c r="H2" s="53"/>
      <c r="I2" s="53"/>
      <c r="J2" s="53"/>
      <c r="K2" s="50"/>
      <c r="L2" s="54"/>
      <c r="M2" s="54"/>
      <c r="N2" s="50"/>
    </row>
    <row r="3" spans="1:52" ht="17.25">
      <c r="A3" s="55" t="s">
        <v>10</v>
      </c>
      <c r="B3" s="43">
        <v>2016</v>
      </c>
      <c r="C3" s="43">
        <v>2017</v>
      </c>
      <c r="D3" s="43">
        <v>2018</v>
      </c>
      <c r="E3" s="43">
        <v>2019</v>
      </c>
      <c r="F3" s="43">
        <v>2020</v>
      </c>
      <c r="G3" s="43">
        <v>2021</v>
      </c>
      <c r="H3" s="43">
        <v>2022</v>
      </c>
      <c r="I3" s="43">
        <v>2023</v>
      </c>
      <c r="J3" s="43">
        <v>2024</v>
      </c>
      <c r="K3" s="20"/>
      <c r="L3" s="34" t="s">
        <v>6</v>
      </c>
      <c r="M3" s="21">
        <v>2024</v>
      </c>
      <c r="N3" s="46" t="s">
        <v>13</v>
      </c>
    </row>
    <row r="4" spans="1:52" ht="27" customHeight="1">
      <c r="A4" s="56"/>
      <c r="B4" s="44"/>
      <c r="C4" s="44"/>
      <c r="D4" s="44"/>
      <c r="E4" s="44"/>
      <c r="F4" s="44"/>
      <c r="G4" s="44"/>
      <c r="H4" s="44"/>
      <c r="I4" s="44"/>
      <c r="J4" s="44"/>
      <c r="K4" s="15"/>
      <c r="L4" s="16" t="s">
        <v>7</v>
      </c>
      <c r="M4" s="15" t="s">
        <v>11</v>
      </c>
      <c r="N4" s="47"/>
      <c r="P4" s="2"/>
      <c r="Q4" s="2"/>
      <c r="R4" s="2"/>
      <c r="S4" s="2"/>
    </row>
    <row r="5" spans="1:52" ht="25.5" customHeight="1">
      <c r="A5" s="57"/>
      <c r="B5" s="45"/>
      <c r="C5" s="45"/>
      <c r="D5" s="45"/>
      <c r="E5" s="45"/>
      <c r="F5" s="45"/>
      <c r="G5" s="45"/>
      <c r="H5" s="45"/>
      <c r="I5" s="45"/>
      <c r="J5" s="45"/>
      <c r="K5" s="18"/>
      <c r="L5" s="18" t="s">
        <v>30</v>
      </c>
      <c r="M5" s="17" t="s">
        <v>12</v>
      </c>
      <c r="N5" s="48"/>
      <c r="P5" s="2"/>
      <c r="Q5" s="2"/>
      <c r="R5" s="2"/>
      <c r="S5" s="2"/>
    </row>
    <row r="6" spans="1:52" s="25" customFormat="1" ht="18.75">
      <c r="A6" s="3" t="s">
        <v>0</v>
      </c>
      <c r="B6" s="22">
        <f t="shared" ref="B6" si="0">B7+B14+B21</f>
        <v>2375</v>
      </c>
      <c r="C6" s="22">
        <f t="shared" ref="C6:H6" si="1">C7+C14+C21</f>
        <v>2038</v>
      </c>
      <c r="D6" s="22">
        <f t="shared" si="1"/>
        <v>2230</v>
      </c>
      <c r="E6" s="22">
        <f t="shared" si="1"/>
        <v>2188</v>
      </c>
      <c r="F6" s="22">
        <f t="shared" si="1"/>
        <v>1425</v>
      </c>
      <c r="G6" s="22">
        <f t="shared" si="1"/>
        <v>1440</v>
      </c>
      <c r="H6" s="22">
        <f t="shared" si="1"/>
        <v>1429</v>
      </c>
      <c r="I6" s="22">
        <v>1732</v>
      </c>
      <c r="J6" s="22">
        <v>1687</v>
      </c>
      <c r="K6" s="23"/>
      <c r="L6" s="36">
        <f>IFERROR(((J6-I6)/I6)*100,"-")</f>
        <v>-2.5981524249422634</v>
      </c>
      <c r="M6" s="39">
        <f>IFERROR((J6/$J$6*100),"-")</f>
        <v>100</v>
      </c>
      <c r="N6" s="24" t="s">
        <v>9</v>
      </c>
      <c r="P6" s="26"/>
      <c r="Q6" s="26"/>
      <c r="R6" s="26"/>
      <c r="S6" s="26"/>
    </row>
    <row r="7" spans="1:52" s="8" customFormat="1" ht="18.75">
      <c r="A7" s="3" t="s">
        <v>1</v>
      </c>
      <c r="B7" s="23">
        <f t="shared" ref="B7:G7" si="2">SUM(B8:B13)</f>
        <v>2216</v>
      </c>
      <c r="C7" s="23">
        <f t="shared" si="2"/>
        <v>1857</v>
      </c>
      <c r="D7" s="23">
        <f t="shared" si="2"/>
        <v>2046</v>
      </c>
      <c r="E7" s="23">
        <f t="shared" si="2"/>
        <v>1966</v>
      </c>
      <c r="F7" s="23">
        <f t="shared" si="2"/>
        <v>1280</v>
      </c>
      <c r="G7" s="23">
        <f t="shared" si="2"/>
        <v>1296</v>
      </c>
      <c r="H7" s="23">
        <f>SUM(H8:H13)</f>
        <v>1289</v>
      </c>
      <c r="I7" s="23">
        <v>1568</v>
      </c>
      <c r="J7" s="23">
        <v>1503</v>
      </c>
      <c r="K7" s="23"/>
      <c r="L7" s="36">
        <f t="shared" ref="L7:M21" si="3">IFERROR(((J7-I7)/I7)*100,"-")</f>
        <v>-4.1454081632653059</v>
      </c>
      <c r="M7" s="40">
        <f t="shared" ref="M7:M21" si="4">IFERROR((J7/$J$6*100),"-")</f>
        <v>89.093064611736821</v>
      </c>
      <c r="N7" s="24" t="s">
        <v>14</v>
      </c>
      <c r="O7" s="23"/>
      <c r="P7" s="26"/>
      <c r="Q7" s="26"/>
      <c r="R7" s="26"/>
      <c r="S7" s="26"/>
    </row>
    <row r="8" spans="1:52" ht="18.75">
      <c r="A8" s="13" t="s">
        <v>15</v>
      </c>
      <c r="B8" s="27">
        <v>1281</v>
      </c>
      <c r="C8" s="27">
        <v>949</v>
      </c>
      <c r="D8" s="27">
        <v>718</v>
      </c>
      <c r="E8" s="27">
        <v>561</v>
      </c>
      <c r="F8" s="27">
        <v>174</v>
      </c>
      <c r="G8" s="27">
        <v>344</v>
      </c>
      <c r="H8" s="27">
        <v>142</v>
      </c>
      <c r="I8" s="27">
        <v>289</v>
      </c>
      <c r="J8" s="27">
        <v>467</v>
      </c>
      <c r="K8" s="27"/>
      <c r="L8" s="37">
        <f t="shared" si="3"/>
        <v>61.591695501730101</v>
      </c>
      <c r="M8" s="41">
        <f t="shared" si="4"/>
        <v>27.682276229994073</v>
      </c>
      <c r="N8" s="5" t="s">
        <v>16</v>
      </c>
      <c r="O8" s="27"/>
      <c r="P8" s="2"/>
      <c r="S8" s="2"/>
      <c r="AY8" s="3" t="s">
        <v>1</v>
      </c>
      <c r="AZ8" s="2">
        <f>J7</f>
        <v>1503</v>
      </c>
    </row>
    <row r="9" spans="1:52" ht="18.75">
      <c r="A9" s="13" t="s">
        <v>17</v>
      </c>
      <c r="B9" s="27">
        <v>550</v>
      </c>
      <c r="C9" s="27">
        <v>492</v>
      </c>
      <c r="D9" s="27">
        <v>918</v>
      </c>
      <c r="E9" s="27">
        <v>878</v>
      </c>
      <c r="F9" s="27">
        <v>590</v>
      </c>
      <c r="G9" s="27">
        <v>543</v>
      </c>
      <c r="H9" s="27">
        <v>632</v>
      </c>
      <c r="I9" s="27">
        <v>620</v>
      </c>
      <c r="J9" s="27">
        <v>348</v>
      </c>
      <c r="K9" s="27"/>
      <c r="L9" s="37">
        <f t="shared" si="3"/>
        <v>-43.870967741935488</v>
      </c>
      <c r="M9" s="41">
        <f t="shared" si="4"/>
        <v>20.628334321280377</v>
      </c>
      <c r="N9" s="5" t="s">
        <v>18</v>
      </c>
      <c r="O9" s="27"/>
      <c r="P9" s="2"/>
      <c r="S9" s="2"/>
      <c r="AY9" s="3" t="s">
        <v>26</v>
      </c>
      <c r="AZ9" s="23">
        <f>J14</f>
        <v>182</v>
      </c>
    </row>
    <row r="10" spans="1:52" ht="22.5" customHeight="1">
      <c r="A10" s="13" t="s">
        <v>19</v>
      </c>
      <c r="B10" s="27">
        <v>0</v>
      </c>
      <c r="C10" s="27" t="s">
        <v>8</v>
      </c>
      <c r="D10" s="27">
        <v>2</v>
      </c>
      <c r="E10" s="27">
        <v>1</v>
      </c>
      <c r="F10" s="27">
        <v>1</v>
      </c>
      <c r="G10" s="27" t="s">
        <v>8</v>
      </c>
      <c r="H10" s="27" t="s">
        <v>8</v>
      </c>
      <c r="I10" s="27">
        <v>0</v>
      </c>
      <c r="J10" s="27">
        <v>0</v>
      </c>
      <c r="K10" s="32"/>
      <c r="L10" s="37" t="str">
        <f t="shared" si="3"/>
        <v>-</v>
      </c>
      <c r="M10" s="37" t="str">
        <f t="shared" si="3"/>
        <v>-</v>
      </c>
      <c r="N10" s="5" t="s">
        <v>20</v>
      </c>
      <c r="O10" s="27"/>
      <c r="P10" s="2"/>
      <c r="S10" s="2"/>
      <c r="AY10" s="28" t="s">
        <v>28</v>
      </c>
      <c r="AZ10" s="2">
        <f>J21</f>
        <v>2</v>
      </c>
    </row>
    <row r="11" spans="1:52" ht="18.75">
      <c r="A11" s="13" t="s">
        <v>21</v>
      </c>
      <c r="B11" s="27">
        <v>122</v>
      </c>
      <c r="C11" s="27">
        <v>159</v>
      </c>
      <c r="D11" s="27">
        <v>146</v>
      </c>
      <c r="E11" s="27">
        <v>175</v>
      </c>
      <c r="F11" s="27">
        <v>132</v>
      </c>
      <c r="G11" s="27">
        <v>102</v>
      </c>
      <c r="H11" s="27">
        <v>91</v>
      </c>
      <c r="I11" s="27">
        <v>105</v>
      </c>
      <c r="J11" s="27">
        <v>138</v>
      </c>
      <c r="K11" s="27"/>
      <c r="L11" s="37">
        <f t="shared" si="3"/>
        <v>31.428571428571427</v>
      </c>
      <c r="M11" s="41">
        <f t="shared" si="4"/>
        <v>8.1802015411973912</v>
      </c>
      <c r="N11" s="5" t="s">
        <v>22</v>
      </c>
      <c r="O11" s="27"/>
      <c r="P11" s="2"/>
      <c r="Q11" s="2"/>
      <c r="R11" s="2"/>
      <c r="S11" s="2"/>
    </row>
    <row r="12" spans="1:52" ht="18.75">
      <c r="A12" s="13" t="s">
        <v>23</v>
      </c>
      <c r="B12" s="27">
        <v>184</v>
      </c>
      <c r="C12" s="27">
        <v>210</v>
      </c>
      <c r="D12" s="27">
        <v>207</v>
      </c>
      <c r="E12" s="27">
        <v>305</v>
      </c>
      <c r="F12" s="27">
        <v>334</v>
      </c>
      <c r="G12" s="27">
        <v>277</v>
      </c>
      <c r="H12" s="27">
        <v>400</v>
      </c>
      <c r="I12" s="27">
        <v>536</v>
      </c>
      <c r="J12" s="27">
        <v>544</v>
      </c>
      <c r="K12" s="27"/>
      <c r="L12" s="37">
        <f t="shared" si="3"/>
        <v>1.4925373134328357</v>
      </c>
      <c r="M12" s="41">
        <f t="shared" si="4"/>
        <v>32.246591582691167</v>
      </c>
      <c r="N12" s="5" t="s">
        <v>24</v>
      </c>
      <c r="O12" s="27"/>
      <c r="P12" s="2"/>
      <c r="Q12" s="2"/>
      <c r="R12" s="2"/>
      <c r="S12" s="2"/>
    </row>
    <row r="13" spans="1:52" ht="18.75">
      <c r="A13" s="13" t="s">
        <v>25</v>
      </c>
      <c r="B13" s="27">
        <v>79</v>
      </c>
      <c r="C13" s="27">
        <v>47</v>
      </c>
      <c r="D13" s="27">
        <v>55</v>
      </c>
      <c r="E13" s="27">
        <v>46</v>
      </c>
      <c r="F13" s="27">
        <v>49</v>
      </c>
      <c r="G13" s="27">
        <v>30</v>
      </c>
      <c r="H13" s="27">
        <v>24</v>
      </c>
      <c r="I13" s="27">
        <v>18</v>
      </c>
      <c r="J13" s="27">
        <v>6</v>
      </c>
      <c r="K13" s="27"/>
      <c r="L13" s="37">
        <f t="shared" si="3"/>
        <v>-66.666666666666657</v>
      </c>
      <c r="M13" s="41">
        <f t="shared" si="4"/>
        <v>0.35566093657379966</v>
      </c>
      <c r="N13" s="6" t="s">
        <v>3</v>
      </c>
      <c r="O13" s="27"/>
      <c r="P13" s="2"/>
      <c r="Q13" s="2"/>
      <c r="R13" s="2"/>
      <c r="S13" s="2"/>
    </row>
    <row r="14" spans="1:52" s="8" customFormat="1" ht="18.75">
      <c r="A14" s="3" t="s">
        <v>26</v>
      </c>
      <c r="B14" s="23">
        <f t="shared" ref="B14:E14" si="5">SUM(B15:B20)</f>
        <v>151</v>
      </c>
      <c r="C14" s="23">
        <f t="shared" si="5"/>
        <v>168</v>
      </c>
      <c r="D14" s="23">
        <f t="shared" si="5"/>
        <v>178</v>
      </c>
      <c r="E14" s="23">
        <f t="shared" si="5"/>
        <v>216</v>
      </c>
      <c r="F14" s="23">
        <f>SUM(F15:F20)</f>
        <v>141</v>
      </c>
      <c r="G14" s="23">
        <f>SUM(G15:G20)</f>
        <v>143</v>
      </c>
      <c r="H14" s="23">
        <f>SUM(H15:H20)</f>
        <v>138</v>
      </c>
      <c r="I14" s="23">
        <v>162</v>
      </c>
      <c r="J14" s="23">
        <v>182</v>
      </c>
      <c r="K14" s="23"/>
      <c r="L14" s="36">
        <f t="shared" si="3"/>
        <v>12.345679012345679</v>
      </c>
      <c r="M14" s="40">
        <f t="shared" si="4"/>
        <v>10.78838174273859</v>
      </c>
      <c r="N14" s="24" t="s">
        <v>27</v>
      </c>
      <c r="O14" s="23"/>
      <c r="P14" s="26"/>
      <c r="Q14" s="26"/>
      <c r="R14" s="26"/>
      <c r="S14" s="26"/>
    </row>
    <row r="15" spans="1:52" ht="18.75">
      <c r="A15" s="13" t="s">
        <v>15</v>
      </c>
      <c r="B15" s="27">
        <v>48</v>
      </c>
      <c r="C15" s="27">
        <v>59</v>
      </c>
      <c r="D15" s="27">
        <v>46</v>
      </c>
      <c r="E15" s="27">
        <v>32</v>
      </c>
      <c r="F15" s="27">
        <v>10</v>
      </c>
      <c r="G15" s="27">
        <v>16</v>
      </c>
      <c r="H15" s="27">
        <v>6</v>
      </c>
      <c r="I15" s="27">
        <v>9</v>
      </c>
      <c r="J15" s="27">
        <v>20</v>
      </c>
      <c r="K15" s="27"/>
      <c r="L15" s="37">
        <f t="shared" si="3"/>
        <v>122.22222222222223</v>
      </c>
      <c r="M15" s="41">
        <f t="shared" si="4"/>
        <v>1.1855364552459988</v>
      </c>
      <c r="N15" s="5" t="s">
        <v>16</v>
      </c>
      <c r="O15" s="27"/>
      <c r="P15" s="2"/>
      <c r="Q15" s="2"/>
      <c r="R15" s="2"/>
      <c r="S15" s="2"/>
    </row>
    <row r="16" spans="1:52" ht="18.75">
      <c r="A16" s="13" t="s">
        <v>17</v>
      </c>
      <c r="B16" s="27">
        <v>55</v>
      </c>
      <c r="C16" s="27">
        <v>70</v>
      </c>
      <c r="D16" s="27">
        <v>83</v>
      </c>
      <c r="E16" s="27">
        <v>123</v>
      </c>
      <c r="F16" s="27">
        <v>54</v>
      </c>
      <c r="G16" s="27">
        <v>62</v>
      </c>
      <c r="H16" s="27">
        <v>72</v>
      </c>
      <c r="I16" s="27">
        <v>82</v>
      </c>
      <c r="J16" s="27">
        <v>91</v>
      </c>
      <c r="K16" s="27"/>
      <c r="L16" s="37">
        <f t="shared" si="3"/>
        <v>10.975609756097562</v>
      </c>
      <c r="M16" s="41">
        <f t="shared" si="4"/>
        <v>5.394190871369295</v>
      </c>
      <c r="N16" s="5" t="s">
        <v>18</v>
      </c>
      <c r="O16" s="27"/>
      <c r="P16" s="2"/>
      <c r="Q16" s="2"/>
      <c r="R16" s="2"/>
      <c r="S16" s="2"/>
    </row>
    <row r="17" spans="1:20" ht="18.75">
      <c r="A17" s="13" t="s">
        <v>19</v>
      </c>
      <c r="B17" s="27">
        <v>15</v>
      </c>
      <c r="C17" s="27">
        <v>6</v>
      </c>
      <c r="D17" s="27">
        <v>9</v>
      </c>
      <c r="E17" s="27">
        <v>11</v>
      </c>
      <c r="F17" s="27">
        <v>25</v>
      </c>
      <c r="G17" s="27">
        <v>1</v>
      </c>
      <c r="H17" s="27">
        <v>4</v>
      </c>
      <c r="I17" s="27">
        <v>6</v>
      </c>
      <c r="J17" s="27">
        <v>6</v>
      </c>
      <c r="K17" s="27"/>
      <c r="L17" s="37">
        <f t="shared" si="3"/>
        <v>0</v>
      </c>
      <c r="M17" s="41">
        <f t="shared" si="4"/>
        <v>0.35566093657379966</v>
      </c>
      <c r="N17" s="5" t="s">
        <v>20</v>
      </c>
      <c r="O17" s="27"/>
      <c r="P17" s="2"/>
      <c r="Q17" s="2"/>
      <c r="R17" s="2"/>
      <c r="S17" s="2"/>
    </row>
    <row r="18" spans="1:20" ht="18.75">
      <c r="A18" s="13" t="s">
        <v>21</v>
      </c>
      <c r="B18" s="27">
        <v>6</v>
      </c>
      <c r="C18" s="27">
        <v>6</v>
      </c>
      <c r="D18" s="27">
        <v>7</v>
      </c>
      <c r="E18" s="27">
        <v>7</v>
      </c>
      <c r="F18" s="27">
        <v>4</v>
      </c>
      <c r="G18" s="27">
        <v>2</v>
      </c>
      <c r="H18" s="27">
        <v>4</v>
      </c>
      <c r="I18" s="27">
        <v>4</v>
      </c>
      <c r="J18" s="27">
        <v>4</v>
      </c>
      <c r="K18" s="27"/>
      <c r="L18" s="37">
        <f t="shared" si="3"/>
        <v>0</v>
      </c>
      <c r="M18" s="41">
        <f t="shared" si="4"/>
        <v>0.23710729104919975</v>
      </c>
      <c r="N18" s="5" t="s">
        <v>22</v>
      </c>
      <c r="O18" s="27"/>
      <c r="P18" s="2"/>
      <c r="Q18" s="2"/>
      <c r="R18" s="2"/>
      <c r="S18" s="2"/>
    </row>
    <row r="19" spans="1:20" ht="18.75">
      <c r="A19" s="13" t="s">
        <v>23</v>
      </c>
      <c r="B19" s="27">
        <v>23</v>
      </c>
      <c r="C19" s="27">
        <v>26</v>
      </c>
      <c r="D19" s="27">
        <v>29</v>
      </c>
      <c r="E19" s="27">
        <v>41</v>
      </c>
      <c r="F19" s="27">
        <v>38</v>
      </c>
      <c r="G19" s="27">
        <v>48</v>
      </c>
      <c r="H19" s="27">
        <v>44</v>
      </c>
      <c r="I19" s="27">
        <v>39</v>
      </c>
      <c r="J19" s="27">
        <v>45</v>
      </c>
      <c r="K19" s="27"/>
      <c r="L19" s="37">
        <f t="shared" si="3"/>
        <v>15.384615384615385</v>
      </c>
      <c r="M19" s="41">
        <f t="shared" si="4"/>
        <v>2.6674570243034972</v>
      </c>
      <c r="N19" s="5" t="s">
        <v>24</v>
      </c>
      <c r="O19" s="27"/>
      <c r="P19" s="2"/>
      <c r="Q19" s="2"/>
      <c r="R19" s="2"/>
      <c r="S19" s="2"/>
    </row>
    <row r="20" spans="1:20" ht="18.75">
      <c r="A20" s="13" t="s">
        <v>2</v>
      </c>
      <c r="B20" s="27">
        <v>4</v>
      </c>
      <c r="C20" s="27">
        <v>1</v>
      </c>
      <c r="D20" s="27">
        <v>4</v>
      </c>
      <c r="E20" s="27">
        <v>2</v>
      </c>
      <c r="F20" s="27">
        <v>10</v>
      </c>
      <c r="G20" s="27">
        <v>14</v>
      </c>
      <c r="H20" s="27">
        <v>8</v>
      </c>
      <c r="I20" s="27">
        <v>22</v>
      </c>
      <c r="J20" s="27">
        <v>16</v>
      </c>
      <c r="K20" s="27"/>
      <c r="L20" s="37">
        <f t="shared" si="3"/>
        <v>-27.27272727272727</v>
      </c>
      <c r="M20" s="41">
        <f t="shared" si="4"/>
        <v>0.94842916419679901</v>
      </c>
      <c r="N20" s="6" t="s">
        <v>3</v>
      </c>
      <c r="O20" s="27"/>
      <c r="P20" s="2"/>
      <c r="Q20" s="2"/>
      <c r="R20" s="2"/>
      <c r="S20" s="2"/>
    </row>
    <row r="21" spans="1:20" s="25" customFormat="1" ht="38.25">
      <c r="A21" s="28" t="s">
        <v>28</v>
      </c>
      <c r="B21" s="29">
        <v>8</v>
      </c>
      <c r="C21" s="29">
        <v>13</v>
      </c>
      <c r="D21" s="29">
        <v>6</v>
      </c>
      <c r="E21" s="29">
        <v>6</v>
      </c>
      <c r="F21" s="29">
        <v>4</v>
      </c>
      <c r="G21" s="29">
        <v>1</v>
      </c>
      <c r="H21" s="29">
        <v>2</v>
      </c>
      <c r="I21" s="29">
        <v>2</v>
      </c>
      <c r="J21" s="29">
        <v>2</v>
      </c>
      <c r="K21" s="30"/>
      <c r="L21" s="38">
        <f t="shared" si="3"/>
        <v>0</v>
      </c>
      <c r="M21" s="42">
        <f t="shared" si="4"/>
        <v>0.11855364552459988</v>
      </c>
      <c r="N21" s="35" t="s">
        <v>29</v>
      </c>
      <c r="O21" s="23"/>
      <c r="P21" s="26"/>
      <c r="Q21" s="26"/>
      <c r="R21" s="26"/>
    </row>
    <row r="22" spans="1:20" ht="15.6" customHeight="1">
      <c r="A22" s="10" t="s">
        <v>4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19"/>
      <c r="N22" s="33" t="s">
        <v>5</v>
      </c>
      <c r="P22" s="2"/>
      <c r="Q22" s="2"/>
      <c r="R22" s="2"/>
      <c r="S22" s="2"/>
    </row>
    <row r="23" spans="1:20" ht="25.5" customHeight="1">
      <c r="A23" s="14"/>
      <c r="P23" s="2"/>
      <c r="Q23" s="2"/>
      <c r="R23" s="2"/>
      <c r="S23" s="2"/>
    </row>
    <row r="24" spans="1:20">
      <c r="P24" s="2"/>
      <c r="Q24" s="2"/>
      <c r="R24" s="2"/>
      <c r="S24" s="2"/>
    </row>
    <row r="25" spans="1:20">
      <c r="P25" s="2"/>
      <c r="Q25" s="2"/>
      <c r="R25" s="2"/>
      <c r="S25" s="2"/>
    </row>
    <row r="26" spans="1:20">
      <c r="P26" s="2"/>
      <c r="Q26" s="2"/>
      <c r="R26" s="2"/>
      <c r="S26" s="2"/>
    </row>
    <row r="27" spans="1:20">
      <c r="P27" s="2"/>
      <c r="Q27" s="2"/>
      <c r="R27" s="2"/>
      <c r="S27" s="2"/>
    </row>
    <row r="28" spans="1:20" ht="17.25">
      <c r="A28" s="11"/>
      <c r="B28" s="4"/>
      <c r="C28" s="4"/>
      <c r="D28" s="4"/>
      <c r="E28" s="4"/>
      <c r="F28" s="4"/>
      <c r="G28" s="4"/>
      <c r="H28" s="4"/>
      <c r="I28" s="4"/>
      <c r="J28" s="4"/>
      <c r="K28" s="4"/>
      <c r="L28" s="7"/>
      <c r="M28" s="7"/>
      <c r="N28" s="12"/>
      <c r="P28" s="2"/>
      <c r="Q28" s="2"/>
      <c r="R28" s="2"/>
      <c r="S28" s="2"/>
    </row>
    <row r="29" spans="1:20">
      <c r="P29" s="2"/>
      <c r="Q29" s="2"/>
      <c r="R29" s="3"/>
      <c r="S29" s="23"/>
      <c r="T29" s="31"/>
    </row>
    <row r="30" spans="1:20">
      <c r="P30" s="2"/>
      <c r="Q30" s="2"/>
      <c r="R30" s="3"/>
      <c r="S30" s="23"/>
      <c r="T30" s="31"/>
    </row>
    <row r="31" spans="1:20">
      <c r="R31" s="3"/>
      <c r="S31" s="23"/>
      <c r="T31" s="31"/>
    </row>
  </sheetData>
  <mergeCells count="13">
    <mergeCell ref="J3:J5"/>
    <mergeCell ref="H3:H5"/>
    <mergeCell ref="I3:I5"/>
    <mergeCell ref="D3:D5"/>
    <mergeCell ref="N3:N5"/>
    <mergeCell ref="A1:N1"/>
    <mergeCell ref="A2:N2"/>
    <mergeCell ref="A3:A5"/>
    <mergeCell ref="B3:B5"/>
    <mergeCell ref="C3:C5"/>
    <mergeCell ref="E3:E5"/>
    <mergeCell ref="F3:F5"/>
    <mergeCell ref="G3:G5"/>
  </mergeCells>
  <pageMargins left="0.7" right="0.7" top="0.75" bottom="0.75" header="0.3" footer="0.3"/>
  <pageSetup paperSize="9" scale="54" orientation="portrait" horizontalDpi="4294967295" verticalDpi="4294967295" r:id="rId1"/>
  <colBreaks count="1" manualBreakCount="1">
    <brk id="15" max="1048575" man="1"/>
  </colBreaks>
  <ignoredErrors>
    <ignoredError sqref="K14 B14" formulaRange="1"/>
    <ignoredError sqref="M10" formula="1"/>
  </ignoredErrors>
  <drawing r:id="rId2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75c82633-bac2-4eeb-a472-e92fb7a90b9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8.8</vt:lpstr>
      <vt:lpstr>'8.8'!Print_Area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2026-01-20T03:42:56Z</cp:lastPrinted>
  <dcterms:created xsi:type="dcterms:W3CDTF">2019-06-30T04:22:49Z</dcterms:created>
  <dcterms:modified xsi:type="dcterms:W3CDTF">2026-01-20T03:45:23Z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2023-07-17T04:33:18Z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75c82633-bac2-4eeb-a472-e92fb7a90b9f</vt:lpwstr>
  </property>
  <property fmtid="{D5CDD505-2E9C-101B-9397-08002B2CF9AE}" pid="7" name="MSIP_Label_defa4170-0d19-0005-0004-bc88714345d2_ActionId">
    <vt:lpwstr>b5bda0bc-38ca-4d61-82ae-4e15e380adf9</vt:lpwstr>
  </property>
  <property fmtid="{D5CDD505-2E9C-101B-9397-08002B2CF9AE}" pid="8" name="MSIP_Label_defa4170-0d19-0005-0004-bc88714345d2_ContentBits">
    <vt:lpwstr>0</vt:lpwstr>
  </property>
</Properties>
</file>