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law and order\"/>
    </mc:Choice>
  </mc:AlternateContent>
  <xr:revisionPtr revIDLastSave="0" documentId="13_ncr:1_{06AC8725-1413-4151-A658-351B5AFD6580}" xr6:coauthVersionLast="47" xr6:coauthVersionMax="47" xr10:uidLastSave="{00000000-0000-0000-0000-000000000000}"/>
  <bookViews>
    <workbookView xWindow="-120" yWindow="-120" windowWidth="29040" windowHeight="15720" tabRatio="862" xr2:uid="{00000000-000D-0000-FFFF-FFFF00000000}"/>
  </bookViews>
  <sheets>
    <sheet name="8.10" sheetId="10" r:id="rId1"/>
  </sheets>
  <externalReferences>
    <externalReference r:id="rId2"/>
  </externalReferences>
  <definedNames>
    <definedName name="_xlnm.Print_Area" localSheetId="0">'8.10'!$A$1:$N$45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0" l="1"/>
  <c r="L8" i="10"/>
  <c r="J6" i="10" l="1"/>
  <c r="I6" i="10" l="1"/>
  <c r="L6" i="10" s="1"/>
  <c r="H6" i="10" l="1"/>
  <c r="H5" i="10" s="1"/>
  <c r="G6" i="10" l="1"/>
  <c r="G5" i="10" l="1"/>
  <c r="F6" i="10" l="1"/>
  <c r="F5" i="10" l="1"/>
  <c r="E6" i="10" l="1"/>
  <c r="E5" i="10" l="1"/>
  <c r="D6" i="10" l="1"/>
  <c r="D5" i="10" s="1"/>
  <c r="C6" i="10"/>
  <c r="C5" i="10" s="1"/>
  <c r="B6" i="10"/>
  <c r="B5" i="10" s="1"/>
  <c r="I10" i="10" l="1"/>
  <c r="K6" i="10"/>
  <c r="K9" i="10"/>
  <c r="K8" i="10"/>
  <c r="K7" i="10"/>
  <c r="K5" i="10"/>
  <c r="J10" i="10"/>
  <c r="K10" i="10" s="1"/>
  <c r="L5" i="10"/>
  <c r="L10" i="10" l="1"/>
</calcChain>
</file>

<file path=xl/sharedStrings.xml><?xml version="1.0" encoding="utf-8"?>
<sst xmlns="http://schemas.openxmlformats.org/spreadsheetml/2006/main" count="24" uniqueCount="24">
  <si>
    <t>Total</t>
  </si>
  <si>
    <t>Source: Maldives Police Service</t>
  </si>
  <si>
    <t>csivrws csilop cscviDclOm :Ivcaed utWmUluAwm</t>
  </si>
  <si>
    <t>ޖުމްލަ</t>
  </si>
  <si>
    <t xml:space="preserve">Type </t>
  </si>
  <si>
    <t xml:space="preserve"> މައްސަލައިގެ ބާވަތް</t>
  </si>
  <si>
    <t xml:space="preserve">  ކުރީ އަހަރާއި  އަޅާބަލާއިރު  އިތުރުވި މިންވަރު</t>
  </si>
  <si>
    <t xml:space="preserve">Percentage share </t>
  </si>
  <si>
    <t>Assault by group of persons</t>
  </si>
  <si>
    <t>ގްރޫޕް މާރާމާރީ</t>
  </si>
  <si>
    <t>Using weapons</t>
  </si>
  <si>
    <t xml:space="preserve">   ހަތިޔާރު ބޭނުންކޮށްގެން</t>
  </si>
  <si>
    <t>Using sharp weapons</t>
  </si>
  <si>
    <t xml:space="preserve">   ތޫނު ހަތިޔާރު ބޭނުންކޮށްގެން</t>
  </si>
  <si>
    <t>Without use of weapons</t>
  </si>
  <si>
    <t xml:space="preserve">   ހަތިޔާރު ބޭނުންނުކޮށް</t>
  </si>
  <si>
    <t>Other Assault</t>
  </si>
  <si>
    <t>އެހެނިހެން މާރާމާރީ</t>
  </si>
  <si>
    <t>%change over 2023</t>
  </si>
  <si>
    <t>Table 8.10:  ASSAULT CASES LOGGED BY TYPE, 2016 - 2024</t>
  </si>
  <si>
    <t>ތާވަލު 8.10: ހުށަހެޅިފައިވާ މާރާމާރީގެ މައްސަލަތައް، 2016- 2024</t>
  </si>
  <si>
    <t>އިންސައްތަ 2024</t>
  </si>
  <si>
    <t>(*)</t>
  </si>
  <si>
    <t xml:space="preserve">(*) - Indicates if the percentage change is greater than 100.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</si>
</sst>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Arial"/>
      <charset val="134"/>
    </font>
    <font>
      <i/>
      <sz val="9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167" fontId="22" fillId="0" borderId="0"/>
    <xf numFmtId="0" fontId="30" fillId="0" borderId="10" applyNumberFormat="0" applyFill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172" fontId="33" fillId="0" borderId="0"/>
    <xf numFmtId="1" fontId="34" fillId="0" borderId="13" applyNumberFormat="0"/>
    <xf numFmtId="0" fontId="29" fillId="0" borderId="0"/>
    <xf numFmtId="0" fontId="1" fillId="0" borderId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0" fontId="29" fillId="0" borderId="0"/>
    <xf numFmtId="0" fontId="1" fillId="0" borderId="0"/>
    <xf numFmtId="0" fontId="29" fillId="0" borderId="0"/>
    <xf numFmtId="0" fontId="29" fillId="0" borderId="0"/>
    <xf numFmtId="0" fontId="32" fillId="0" borderId="0"/>
    <xf numFmtId="40" fontId="32" fillId="0" borderId="0" applyFont="0" applyFill="0" applyBorder="0" applyAlignment="0" applyProtection="0"/>
    <xf numFmtId="0" fontId="32" fillId="0" borderId="0"/>
    <xf numFmtId="0" fontId="29" fillId="0" borderId="0"/>
    <xf numFmtId="1" fontId="34" fillId="0" borderId="13" applyNumberFormat="0"/>
    <xf numFmtId="0" fontId="1" fillId="0" borderId="0"/>
    <xf numFmtId="0" fontId="32" fillId="0" borderId="0"/>
    <xf numFmtId="0" fontId="21" fillId="0" borderId="0" applyFill="0" applyProtection="0"/>
    <xf numFmtId="1" fontId="34" fillId="0" borderId="13" applyNumberFormat="0"/>
    <xf numFmtId="43" fontId="1" fillId="0" borderId="0" applyFont="0" applyFill="0" applyBorder="0" applyAlignment="0" applyProtection="0"/>
    <xf numFmtId="0" fontId="1" fillId="0" borderId="0"/>
    <xf numFmtId="0" fontId="35" fillId="0" borderId="0"/>
    <xf numFmtId="0" fontId="36" fillId="0" borderId="0"/>
    <xf numFmtId="0" fontId="35" fillId="0" borderId="0"/>
    <xf numFmtId="0" fontId="1" fillId="0" borderId="0"/>
    <xf numFmtId="0" fontId="32" fillId="0" borderId="0"/>
    <xf numFmtId="0" fontId="21" fillId="0" borderId="0" applyFill="0" applyProtection="0"/>
    <xf numFmtId="1" fontId="34" fillId="0" borderId="13" applyNumberFormat="0"/>
    <xf numFmtId="0" fontId="1" fillId="0" borderId="0"/>
    <xf numFmtId="0" fontId="29" fillId="0" borderId="0"/>
    <xf numFmtId="0" fontId="35" fillId="0" borderId="0"/>
    <xf numFmtId="0" fontId="36" fillId="0" borderId="0"/>
    <xf numFmtId="0" fontId="29" fillId="0" borderId="0"/>
    <xf numFmtId="0" fontId="35" fillId="0" borderId="0"/>
    <xf numFmtId="0" fontId="37" fillId="0" borderId="0"/>
    <xf numFmtId="0" fontId="35" fillId="0" borderId="0"/>
    <xf numFmtId="0" fontId="35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2" fillId="0" borderId="0" applyFont="0" applyFill="0" applyBorder="0" applyAlignment="0" applyProtection="0"/>
    <xf numFmtId="0" fontId="1" fillId="0" borderId="0"/>
    <xf numFmtId="0" fontId="37" fillId="0" borderId="0" applyBorder="0"/>
    <xf numFmtId="0" fontId="1" fillId="0" borderId="0"/>
    <xf numFmtId="40" fontId="3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7" fillId="0" borderId="0" applyBorder="0"/>
    <xf numFmtId="0" fontId="1" fillId="0" borderId="0"/>
    <xf numFmtId="0" fontId="1" fillId="0" borderId="0"/>
    <xf numFmtId="1" fontId="34" fillId="0" borderId="13" applyNumberFormat="0"/>
    <xf numFmtId="1" fontId="34" fillId="0" borderId="13" applyNumberFormat="0"/>
    <xf numFmtId="1" fontId="34" fillId="0" borderId="13" applyNumberFormat="0"/>
    <xf numFmtId="1" fontId="34" fillId="0" borderId="13" applyNumberFormat="0"/>
    <xf numFmtId="0" fontId="38" fillId="0" borderId="0"/>
    <xf numFmtId="0" fontId="38" fillId="0" borderId="0"/>
  </cellStyleXfs>
  <cellXfs count="55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10" fillId="2" borderId="0" xfId="0" applyNumberFormat="1" applyFont="1" applyFill="1"/>
    <xf numFmtId="164" fontId="6" fillId="2" borderId="4" xfId="0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3" fontId="6" fillId="2" borderId="0" xfId="1" applyNumberFormat="1" applyFont="1" applyFill="1" applyBorder="1" applyAlignment="1">
      <alignment horizontal="right" vertical="center"/>
    </xf>
    <xf numFmtId="166" fontId="15" fillId="2" borderId="0" xfId="1" applyNumberFormat="1" applyFont="1" applyFill="1" applyBorder="1" applyAlignment="1">
      <alignment horizontal="center"/>
    </xf>
    <xf numFmtId="164" fontId="11" fillId="2" borderId="0" xfId="0" applyNumberFormat="1" applyFont="1" applyFill="1" applyAlignment="1">
      <alignment horizontal="right" vertical="center"/>
    </xf>
    <xf numFmtId="167" fontId="18" fillId="2" borderId="0" xfId="1" applyNumberFormat="1" applyFont="1" applyFill="1" applyBorder="1" applyAlignment="1">
      <alignment horizontal="right"/>
    </xf>
    <xf numFmtId="164" fontId="17" fillId="2" borderId="0" xfId="0" applyNumberFormat="1" applyFont="1" applyFill="1"/>
    <xf numFmtId="164" fontId="19" fillId="2" borderId="5" xfId="0" applyNumberFormat="1" applyFont="1" applyFill="1" applyBorder="1" applyAlignment="1">
      <alignment vertical="center"/>
    </xf>
    <xf numFmtId="164" fontId="15" fillId="2" borderId="0" xfId="0" applyNumberFormat="1" applyFont="1" applyFill="1"/>
    <xf numFmtId="164" fontId="24" fillId="2" borderId="0" xfId="0" applyNumberFormat="1" applyFont="1" applyFill="1" applyAlignment="1">
      <alignment horizontal="right" vertical="center"/>
    </xf>
    <xf numFmtId="164" fontId="23" fillId="2" borderId="0" xfId="0" applyNumberFormat="1" applyFont="1" applyFill="1" applyAlignment="1">
      <alignment vertical="center"/>
    </xf>
    <xf numFmtId="164" fontId="26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horizontal="left" vertical="center" indent="1"/>
    </xf>
    <xf numFmtId="164" fontId="10" fillId="2" borderId="0" xfId="0" applyNumberFormat="1" applyFont="1" applyFill="1" applyAlignment="1">
      <alignment vertical="center"/>
    </xf>
    <xf numFmtId="164" fontId="27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7" fillId="2" borderId="4" xfId="0" applyNumberFormat="1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/>
    </xf>
    <xf numFmtId="166" fontId="6" fillId="2" borderId="4" xfId="1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vertical="center"/>
    </xf>
    <xf numFmtId="164" fontId="28" fillId="2" borderId="0" xfId="0" applyNumberFormat="1" applyFont="1" applyFill="1"/>
    <xf numFmtId="164" fontId="13" fillId="2" borderId="0" xfId="0" applyNumberFormat="1" applyFont="1" applyFill="1" applyAlignment="1">
      <alignment vertical="center"/>
    </xf>
    <xf numFmtId="3" fontId="13" fillId="2" borderId="0" xfId="1" applyNumberFormat="1" applyFont="1" applyFill="1" applyBorder="1" applyAlignment="1">
      <alignment horizontal="right" vertical="center"/>
    </xf>
    <xf numFmtId="164" fontId="7" fillId="2" borderId="8" xfId="0" applyNumberFormat="1" applyFont="1" applyFill="1" applyBorder="1" applyAlignment="1">
      <alignment horizontal="right" vertical="center" wrapText="1"/>
    </xf>
    <xf numFmtId="164" fontId="8" fillId="2" borderId="6" xfId="0" applyNumberFormat="1" applyFont="1" applyFill="1" applyBorder="1" applyAlignment="1">
      <alignment horizontal="right" vertical="center" wrapText="1"/>
    </xf>
    <xf numFmtId="164" fontId="31" fillId="2" borderId="5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center" vertical="center" wrapText="1"/>
    </xf>
    <xf numFmtId="3" fontId="13" fillId="2" borderId="9" xfId="0" applyNumberFormat="1" applyFont="1" applyFill="1" applyBorder="1" applyAlignment="1">
      <alignment vertical="center"/>
    </xf>
    <xf numFmtId="3" fontId="13" fillId="2" borderId="0" xfId="0" applyNumberFormat="1" applyFont="1" applyFill="1" applyAlignment="1">
      <alignment horizontal="right" vertical="center" indent="4"/>
    </xf>
    <xf numFmtId="3" fontId="16" fillId="2" borderId="9" xfId="0" applyNumberFormat="1" applyFont="1" applyFill="1" applyBorder="1" applyAlignment="1">
      <alignment vertical="center"/>
    </xf>
    <xf numFmtId="3" fontId="16" fillId="2" borderId="8" xfId="0" applyNumberFormat="1" applyFont="1" applyFill="1" applyBorder="1" applyAlignment="1">
      <alignment vertical="center"/>
    </xf>
    <xf numFmtId="3" fontId="16" fillId="2" borderId="4" xfId="0" applyNumberFormat="1" applyFont="1" applyFill="1" applyBorder="1" applyAlignment="1">
      <alignment horizontal="right" vertical="center" indent="4"/>
    </xf>
    <xf numFmtId="3" fontId="16" fillId="2" borderId="0" xfId="0" applyNumberFormat="1" applyFont="1" applyFill="1" applyAlignment="1">
      <alignment horizontal="right" vertical="center" indent="4"/>
    </xf>
    <xf numFmtId="3" fontId="20" fillId="2" borderId="4" xfId="0" applyNumberFormat="1" applyFont="1" applyFill="1" applyBorder="1" applyAlignment="1">
      <alignment horizontal="right" vertical="center"/>
    </xf>
    <xf numFmtId="0" fontId="39" fillId="3" borderId="0" xfId="0" applyFont="1" applyFill="1" applyAlignment="1">
      <alignment horizontal="left" vertical="center" indent="7"/>
    </xf>
    <xf numFmtId="0" fontId="40" fillId="3" borderId="0" xfId="0" applyFont="1" applyFill="1" applyAlignment="1">
      <alignment horizontal="left" vertical="center"/>
    </xf>
    <xf numFmtId="3" fontId="20" fillId="2" borderId="7" xfId="0" applyNumberFormat="1" applyFont="1" applyFill="1" applyBorder="1" applyAlignment="1">
      <alignment horizontal="right" vertical="center"/>
    </xf>
    <xf numFmtId="164" fontId="11" fillId="2" borderId="4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center" vertical="top"/>
    </xf>
    <xf numFmtId="164" fontId="4" fillId="2" borderId="11" xfId="0" applyNumberFormat="1" applyFont="1" applyFill="1" applyBorder="1" applyAlignment="1">
      <alignment horizontal="center" vertical="top"/>
    </xf>
    <xf numFmtId="164" fontId="4" fillId="2" borderId="12" xfId="0" applyNumberFormat="1" applyFont="1" applyFill="1" applyBorder="1" applyAlignment="1">
      <alignment horizontal="center" vertical="top"/>
    </xf>
    <xf numFmtId="164" fontId="25" fillId="2" borderId="3" xfId="0" applyNumberFormat="1" applyFont="1" applyFill="1" applyBorder="1" applyAlignment="1">
      <alignment horizontal="right" vertical="center" wrapText="1"/>
    </xf>
    <xf numFmtId="164" fontId="7" fillId="2" borderId="3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9" fillId="2" borderId="1" xfId="0" applyNumberFormat="1" applyFont="1" applyFill="1" applyBorder="1" applyAlignment="1">
      <alignment horizontal="center" vertical="center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33CCCC"/>
      <color rgb="FFEEEEEE"/>
      <color rgb="FF7E5400"/>
      <color rgb="FFFFC5C5"/>
      <color rgb="FFFF6969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3627195881834E-2"/>
          <c:y val="0.17551025230578871"/>
          <c:w val="0.9041082150226476"/>
          <c:h val="0.666521784740066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'8.10'!$G$3:$G$4</c:f>
              <c:strCache>
                <c:ptCount val="2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'8.10'!$G$7:$G$9</c:f>
              <c:numCache>
                <c:formatCode>General</c:formatCode>
                <c:ptCount val="3"/>
                <c:pt idx="0">
                  <c:v>4</c:v>
                </c:pt>
                <c:pt idx="1">
                  <c:v>10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F-4F82-8053-A00150324139}"/>
            </c:ext>
          </c:extLst>
        </c:ser>
        <c:ser>
          <c:idx val="2"/>
          <c:order val="1"/>
          <c:tx>
            <c:strRef>
              <c:f>'8.10'!$H$3:$H$4</c:f>
              <c:strCache>
                <c:ptCount val="2"/>
                <c:pt idx="0">
                  <c:v>2022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'8.10'!$H$7:$H$9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F-4F82-8053-A00150324139}"/>
            </c:ext>
          </c:extLst>
        </c:ser>
        <c:ser>
          <c:idx val="0"/>
          <c:order val="2"/>
          <c:tx>
            <c:strRef>
              <c:f>'8.10'!$I$3:$I$4</c:f>
              <c:strCache>
                <c:ptCount val="2"/>
                <c:pt idx="0">
                  <c:v>2023 </c:v>
                </c:pt>
              </c:strCache>
            </c:strRef>
          </c:tx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'8.10'!$I$7:$I$9</c:f>
              <c:numCache>
                <c:formatCode>General</c:formatCode>
                <c:ptCount val="3"/>
                <c:pt idx="0">
                  <c:v>2</c:v>
                </c:pt>
                <c:pt idx="1">
                  <c:v>12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F-4F82-8053-A00150324139}"/>
            </c:ext>
          </c:extLst>
        </c:ser>
        <c:ser>
          <c:idx val="3"/>
          <c:order val="3"/>
          <c:tx>
            <c:strRef>
              <c:f>'8.10'!$J$3:$J$4</c:f>
              <c:strCache>
                <c:ptCount val="2"/>
                <c:pt idx="0">
                  <c:v>2024 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'8.10'!$J$7:$J$9</c:f>
              <c:numCache>
                <c:formatCode>General</c:formatCode>
                <c:ptCount val="3"/>
                <c:pt idx="0">
                  <c:v>6</c:v>
                </c:pt>
                <c:pt idx="1">
                  <c:v>12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D-4170-8E2E-93C6DA7A9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14688"/>
        <c:axId val="44116224"/>
      </c:barChart>
      <c:catAx>
        <c:axId val="44114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4116224"/>
        <c:crosses val="autoZero"/>
        <c:auto val="1"/>
        <c:lblAlgn val="ctr"/>
        <c:lblOffset val="100"/>
        <c:noMultiLvlLbl val="0"/>
      </c:catAx>
      <c:valAx>
        <c:axId val="44116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/>
                  <a:t>In</a:t>
                </a:r>
                <a:r>
                  <a:rPr lang="en-US" sz="900" b="1" baseline="0"/>
                  <a:t> n</a:t>
                </a:r>
                <a:r>
                  <a:rPr lang="en-US" sz="900" b="1"/>
                  <a:t>umbers</a:t>
                </a:r>
              </a:p>
            </c:rich>
          </c:tx>
          <c:layout>
            <c:manualLayout>
              <c:xMode val="edge"/>
              <c:yMode val="edge"/>
              <c:x val="9.2466482230261753E-3"/>
              <c:y val="0.3130434127592430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411468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4983649164869359"/>
          <c:y val="0.27802831292778285"/>
          <c:w val="0.28348151971228591"/>
          <c:h val="6.0468143772694098E-2"/>
        </c:manualLayout>
      </c:layout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313169438596074"/>
          <c:y val="0.1800932422329144"/>
          <c:w val="0.44730035076529956"/>
          <c:h val="0.79350819929943917"/>
        </c:manualLayout>
      </c:layout>
      <c:doughnutChart>
        <c:varyColors val="1"/>
        <c:ser>
          <c:idx val="0"/>
          <c:order val="0"/>
          <c:spPr>
            <a:solidFill>
              <a:srgbClr val="953735"/>
            </a:solidFill>
          </c:spPr>
          <c:explosion val="2"/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985-4B65-8BAB-25E11A89DA47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985-4B65-8BAB-25E11A89DA47}"/>
              </c:ext>
            </c:extLst>
          </c:dPt>
          <c:dLbls>
            <c:dLbl>
              <c:idx val="0"/>
              <c:layout>
                <c:manualLayout>
                  <c:x val="0.14929471247751433"/>
                  <c:y val="-8.26387726522774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80583579695349"/>
                      <c:h val="0.173150330412314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985-4B65-8BAB-25E11A89DA47}"/>
                </c:ext>
              </c:extLst>
            </c:dLbl>
            <c:dLbl>
              <c:idx val="1"/>
              <c:layout>
                <c:manualLayout>
                  <c:x val="-0.12492511254021146"/>
                  <c:y val="-0.2802935927022562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85-4B65-8BAB-25E11A89D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('8.10'!$A$6,'8.10'!$A$10)</c:f>
              <c:strCache>
                <c:ptCount val="2"/>
                <c:pt idx="0">
                  <c:v>Assault by group of persons</c:v>
                </c:pt>
                <c:pt idx="1">
                  <c:v>Other Assault</c:v>
                </c:pt>
              </c:strCache>
            </c:strRef>
          </c:cat>
          <c:val>
            <c:numRef>
              <c:f>('8.10'!$K$6,'8.10'!$K$10)</c:f>
              <c:numCache>
                <c:formatCode>#,##0</c:formatCode>
                <c:ptCount val="2"/>
                <c:pt idx="0">
                  <c:v>11.267605633802818</c:v>
                </c:pt>
                <c:pt idx="1">
                  <c:v>88.732394366197184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5-4B65-8BAB-25E11A89DA4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30"/>
        <c:holeSize val="50"/>
      </c:doughnutChart>
    </c:plotArea>
    <c:plotVisOnly val="1"/>
    <c:dispBlanksAs val="zero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269574</xdr:colOff>
      <xdr:row>12</xdr:row>
      <xdr:rowOff>107829</xdr:rowOff>
    </xdr:from>
    <xdr:to>
      <xdr:col>11</xdr:col>
      <xdr:colOff>566570</xdr:colOff>
      <xdr:row>26</xdr:row>
      <xdr:rowOff>170025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278561</xdr:colOff>
      <xdr:row>27</xdr:row>
      <xdr:rowOff>162363</xdr:rowOff>
    </xdr:from>
    <xdr:to>
      <xdr:col>11</xdr:col>
      <xdr:colOff>539151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317920</xdr:colOff>
      <xdr:row>28</xdr:row>
      <xdr:rowOff>90189</xdr:rowOff>
    </xdr:from>
    <xdr:to>
      <xdr:col>10</xdr:col>
      <xdr:colOff>53914</xdr:colOff>
      <xdr:row>30</xdr:row>
      <xdr:rowOff>1316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3193392" y="6452170"/>
          <a:ext cx="4327763" cy="2885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8.14: Percentage of assault cases logged  by type, 2024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effectLst/>
            <a:latin typeface="Candara" panose="020E0502030303020204" pitchFamily="34" charset="0"/>
            <a:cs typeface="Consolas" pitchFamily="49" charset="0"/>
          </a:endParaRPr>
        </a:p>
        <a:p>
          <a:endParaRPr lang="en-US" sz="12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0.34305</cdr:x>
      <cdr:y>0.04566</cdr:y>
    </cdr:from>
    <cdr:to>
      <cdr:x>0.7212</cdr:x>
      <cdr:y>0.13377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041167" y="124805"/>
          <a:ext cx="3352412" cy="2408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Figure: 8.13: Assault by group of persons, 2020 - 2024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ps\FILESHARE\UNIT\BCR-Statistic%20Unit\Statistics\statistical%20year%20book%20of%20maldives\yearBook2024\workings\8.%20LAW%20AND%20ORDER_MPS%20-%20wrkings.xlsx" TargetMode="External"/><Relationship Id="rId1" Type="http://schemas.openxmlformats.org/officeDocument/2006/relationships/externalLinkPath" Target="file:///\\mps\FILESHARE\UNIT\BCR-Statistic%20Unit\Statistics\statistical%20year%20book%20of%20maldives\yearBook2024\workings\8.%20LAW%20AND%20ORDER_MPS%20-%20wrk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rpt"/>
      <sheetName val="lg"/>
      <sheetName val="cls"/>
      <sheetName val="pg"/>
      <sheetName val="pgr"/>
      <sheetName val="tarrest"/>
      <sheetName val="parrest"/>
      <sheetName val="Drug_abuse_arrest"/>
      <sheetName val="victims"/>
      <sheetName val="traffic_viol"/>
      <sheetName val="traffic_code"/>
      <sheetName val="park_viol"/>
      <sheetName val="Confiscated_Drugs"/>
      <sheetName val="employees"/>
      <sheetName val="codes"/>
      <sheetName val="OtherCodes"/>
      <sheetName val="otherCodes2"/>
      <sheetName val="ilook"/>
      <sheetName val="commands"/>
      <sheetName val="f_islands"/>
    </sheetNames>
    <sheetDataSet>
      <sheetData sheetId="0"/>
      <sheetData sheetId="1">
        <row r="8">
          <cell r="AD8">
            <v>3183</v>
          </cell>
          <cell r="AE8">
            <v>587</v>
          </cell>
        </row>
        <row r="9">
          <cell r="AD9">
            <v>2773</v>
          </cell>
          <cell r="AE9">
            <v>109</v>
          </cell>
        </row>
        <row r="10">
          <cell r="AD10">
            <v>950</v>
          </cell>
          <cell r="AE10">
            <v>737</v>
          </cell>
        </row>
        <row r="11">
          <cell r="AD11">
            <v>788</v>
          </cell>
          <cell r="AE11">
            <v>240</v>
          </cell>
        </row>
        <row r="12">
          <cell r="AD12">
            <v>378</v>
          </cell>
          <cell r="AE12">
            <v>333</v>
          </cell>
        </row>
        <row r="13">
          <cell r="AD13">
            <v>503</v>
          </cell>
          <cell r="AE13">
            <v>169</v>
          </cell>
        </row>
        <row r="14">
          <cell r="AD14">
            <v>464</v>
          </cell>
          <cell r="AE14">
            <v>44</v>
          </cell>
        </row>
        <row r="15">
          <cell r="AD15">
            <v>131</v>
          </cell>
          <cell r="AE15">
            <v>189</v>
          </cell>
        </row>
        <row r="16">
          <cell r="AD16">
            <v>528</v>
          </cell>
          <cell r="AE16">
            <v>140</v>
          </cell>
        </row>
        <row r="17">
          <cell r="AD17">
            <v>150</v>
          </cell>
          <cell r="AE17">
            <v>97</v>
          </cell>
        </row>
        <row r="18">
          <cell r="AD18">
            <v>147</v>
          </cell>
          <cell r="AE18">
            <v>19</v>
          </cell>
        </row>
        <row r="19">
          <cell r="AD19">
            <v>2383</v>
          </cell>
          <cell r="AE19">
            <v>1279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92D050"/>
  </sheetPr>
  <dimension ref="A1:S40"/>
  <sheetViews>
    <sheetView tabSelected="1" zoomScale="106" zoomScaleNormal="106" workbookViewId="0">
      <selection activeCell="B3" sqref="B1:F1048576"/>
    </sheetView>
  </sheetViews>
  <sheetFormatPr defaultColWidth="15.42578125" defaultRowHeight="15"/>
  <cols>
    <col min="1" max="1" width="23.42578125" style="1" customWidth="1"/>
    <col min="2" max="10" width="9.85546875" style="1" customWidth="1"/>
    <col min="11" max="11" width="11.5703125" style="1" customWidth="1"/>
    <col min="12" max="12" width="17.42578125" style="1" customWidth="1"/>
    <col min="13" max="13" width="21.140625" style="1" customWidth="1"/>
    <col min="14" max="14" width="2.85546875" style="1" customWidth="1"/>
    <col min="15" max="15" width="22.140625" style="1" bestFit="1" customWidth="1"/>
    <col min="16" max="16384" width="15.42578125" style="1"/>
  </cols>
  <sheetData>
    <row r="1" spans="1:19" ht="18.75">
      <c r="A1" s="54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9" ht="21.75" customHeight="1">
      <c r="A2" s="46" t="s">
        <v>19</v>
      </c>
      <c r="B2" s="46"/>
      <c r="C2" s="46"/>
      <c r="D2" s="46"/>
      <c r="E2" s="47"/>
      <c r="F2" s="47"/>
      <c r="G2" s="46"/>
      <c r="H2" s="48"/>
      <c r="I2" s="48"/>
      <c r="J2" s="48"/>
      <c r="K2" s="46"/>
      <c r="L2" s="46"/>
      <c r="M2" s="46"/>
      <c r="O2" s="2"/>
    </row>
    <row r="3" spans="1:19" ht="51.75">
      <c r="A3" s="50" t="s">
        <v>4</v>
      </c>
      <c r="B3" s="52">
        <v>2016</v>
      </c>
      <c r="C3" s="52">
        <v>2017</v>
      </c>
      <c r="D3" s="52">
        <v>2018</v>
      </c>
      <c r="E3" s="52">
        <v>2019</v>
      </c>
      <c r="F3" s="52">
        <v>2020</v>
      </c>
      <c r="G3" s="52">
        <v>2021</v>
      </c>
      <c r="H3" s="52">
        <v>2022</v>
      </c>
      <c r="I3" s="52">
        <v>2023</v>
      </c>
      <c r="J3" s="52">
        <v>2024</v>
      </c>
      <c r="K3" s="32" t="s">
        <v>21</v>
      </c>
      <c r="L3" s="34" t="s">
        <v>6</v>
      </c>
      <c r="M3" s="49" t="s">
        <v>5</v>
      </c>
      <c r="P3" s="3"/>
      <c r="Q3" s="3"/>
      <c r="R3" s="3"/>
      <c r="S3" s="3"/>
    </row>
    <row r="4" spans="1:19" ht="24">
      <c r="A4" s="51"/>
      <c r="B4" s="53"/>
      <c r="C4" s="53"/>
      <c r="D4" s="53"/>
      <c r="E4" s="53"/>
      <c r="F4" s="53"/>
      <c r="G4" s="53"/>
      <c r="H4" s="53"/>
      <c r="I4" s="53"/>
      <c r="J4" s="53"/>
      <c r="K4" s="31" t="s">
        <v>7</v>
      </c>
      <c r="L4" s="20" t="s">
        <v>18</v>
      </c>
      <c r="M4" s="45"/>
      <c r="P4" s="3"/>
      <c r="Q4" s="3"/>
      <c r="R4" s="3"/>
      <c r="S4" s="3"/>
    </row>
    <row r="5" spans="1:19" s="14" customFormat="1" ht="18.75">
      <c r="A5" s="5" t="s">
        <v>0</v>
      </c>
      <c r="B5" s="21">
        <f t="shared" ref="B5:D5" si="0">B6+B10</f>
        <v>781</v>
      </c>
      <c r="C5" s="21">
        <f t="shared" si="0"/>
        <v>770</v>
      </c>
      <c r="D5" s="21">
        <f t="shared" si="0"/>
        <v>753</v>
      </c>
      <c r="E5" s="21">
        <f>E6+E10</f>
        <v>631</v>
      </c>
      <c r="F5" s="21">
        <f>F6+F10</f>
        <v>661</v>
      </c>
      <c r="G5" s="21">
        <f>G6+G10</f>
        <v>610</v>
      </c>
      <c r="H5" s="21">
        <f>H6+H10</f>
        <v>521</v>
      </c>
      <c r="I5" s="21">
        <v>655</v>
      </c>
      <c r="J5" s="21">
        <v>710</v>
      </c>
      <c r="K5" s="35">
        <f>J5/J$5*100</f>
        <v>100</v>
      </c>
      <c r="L5" s="36">
        <f>((J5-I5)/I5*100)</f>
        <v>8.3969465648854964</v>
      </c>
      <c r="M5" s="23" t="s">
        <v>3</v>
      </c>
      <c r="N5" s="21"/>
      <c r="O5" s="21"/>
      <c r="P5" s="15"/>
      <c r="Q5" s="15"/>
      <c r="R5" s="15"/>
      <c r="S5" s="15"/>
    </row>
    <row r="6" spans="1:19" s="14" customFormat="1" ht="18.75">
      <c r="A6" s="5" t="s">
        <v>8</v>
      </c>
      <c r="B6" s="6">
        <f t="shared" ref="B6" si="1">SUM(B7:B9)</f>
        <v>215</v>
      </c>
      <c r="C6" s="6">
        <f t="shared" ref="C6:H6" si="2">SUM(C7:C9)</f>
        <v>219</v>
      </c>
      <c r="D6" s="6">
        <f t="shared" si="2"/>
        <v>223</v>
      </c>
      <c r="E6" s="6">
        <f t="shared" si="2"/>
        <v>131</v>
      </c>
      <c r="F6" s="6">
        <f t="shared" si="2"/>
        <v>151</v>
      </c>
      <c r="G6" s="6">
        <f t="shared" si="2"/>
        <v>106</v>
      </c>
      <c r="H6" s="6">
        <f t="shared" si="2"/>
        <v>67</v>
      </c>
      <c r="I6" s="6">
        <f>SUM(I7:I9)</f>
        <v>59</v>
      </c>
      <c r="J6" s="6">
        <f>SUM(J7:J9)</f>
        <v>80</v>
      </c>
      <c r="K6" s="37">
        <f>J6/J$5*100</f>
        <v>11.267605633802818</v>
      </c>
      <c r="L6" s="40">
        <f>((J6-I6)/I6*100)</f>
        <v>35.593220338983052</v>
      </c>
      <c r="M6" s="23" t="s">
        <v>9</v>
      </c>
      <c r="N6" s="6"/>
      <c r="O6" s="6"/>
      <c r="P6" s="15"/>
      <c r="Q6" s="15"/>
      <c r="R6" s="15"/>
      <c r="S6" s="15"/>
    </row>
    <row r="7" spans="1:19" s="19" customFormat="1" ht="18.75">
      <c r="A7" s="16" t="s">
        <v>10</v>
      </c>
      <c r="B7" s="25">
        <v>22</v>
      </c>
      <c r="C7" s="25">
        <v>17</v>
      </c>
      <c r="D7" s="25">
        <v>26</v>
      </c>
      <c r="E7" s="25">
        <v>6</v>
      </c>
      <c r="F7" s="25">
        <v>12</v>
      </c>
      <c r="G7" s="25">
        <v>4</v>
      </c>
      <c r="H7" s="25">
        <v>5</v>
      </c>
      <c r="I7" s="25">
        <v>2</v>
      </c>
      <c r="J7" s="25">
        <v>6</v>
      </c>
      <c r="K7" s="37">
        <f t="shared" ref="K7:K10" si="3">J7/J$5*100</f>
        <v>0.84507042253521114</v>
      </c>
      <c r="L7" s="42" t="s">
        <v>22</v>
      </c>
      <c r="M7" s="8" t="s">
        <v>11</v>
      </c>
      <c r="N7" s="22"/>
      <c r="O7" s="22"/>
      <c r="P7" s="15"/>
      <c r="Q7" s="17"/>
      <c r="R7" s="17"/>
      <c r="S7" s="17"/>
    </row>
    <row r="8" spans="1:19" s="19" customFormat="1" ht="18.75">
      <c r="A8" s="16" t="s">
        <v>12</v>
      </c>
      <c r="B8" s="25">
        <v>24</v>
      </c>
      <c r="C8" s="25">
        <v>34</v>
      </c>
      <c r="D8" s="25">
        <v>48</v>
      </c>
      <c r="E8" s="25">
        <v>16</v>
      </c>
      <c r="F8" s="25">
        <v>7</v>
      </c>
      <c r="G8" s="25">
        <v>10</v>
      </c>
      <c r="H8" s="25">
        <v>10</v>
      </c>
      <c r="I8" s="25">
        <v>12</v>
      </c>
      <c r="J8" s="25">
        <v>12</v>
      </c>
      <c r="K8" s="37">
        <f t="shared" si="3"/>
        <v>1.6901408450704223</v>
      </c>
      <c r="L8" s="40">
        <f>((J8-I8)/I8*100)</f>
        <v>0</v>
      </c>
      <c r="M8" s="8" t="s">
        <v>13</v>
      </c>
      <c r="N8" s="22"/>
      <c r="O8" s="22"/>
      <c r="P8" s="15"/>
      <c r="Q8" s="17"/>
      <c r="R8" s="17"/>
      <c r="S8" s="17"/>
    </row>
    <row r="9" spans="1:19" s="19" customFormat="1" ht="18.75">
      <c r="A9" s="16" t="s">
        <v>14</v>
      </c>
      <c r="B9" s="25">
        <v>169</v>
      </c>
      <c r="C9" s="25">
        <v>168</v>
      </c>
      <c r="D9" s="25">
        <v>149</v>
      </c>
      <c r="E9" s="25">
        <v>109</v>
      </c>
      <c r="F9" s="25">
        <v>132</v>
      </c>
      <c r="G9" s="25">
        <v>92</v>
      </c>
      <c r="H9" s="25">
        <v>52</v>
      </c>
      <c r="I9" s="25">
        <v>45</v>
      </c>
      <c r="J9" s="25">
        <v>62</v>
      </c>
      <c r="K9" s="37">
        <f t="shared" si="3"/>
        <v>8.7323943661971821</v>
      </c>
      <c r="L9" s="40">
        <f>((J9-I9)/I9*100)</f>
        <v>37.777777777777779</v>
      </c>
      <c r="M9" s="8" t="s">
        <v>15</v>
      </c>
      <c r="N9" s="22"/>
      <c r="O9" s="22"/>
      <c r="P9" s="15"/>
      <c r="Q9" s="17"/>
      <c r="R9" s="17"/>
      <c r="S9" s="17"/>
    </row>
    <row r="10" spans="1:19" s="27" customFormat="1" ht="18.75">
      <c r="A10" s="4" t="s">
        <v>16</v>
      </c>
      <c r="B10" s="24">
        <v>566</v>
      </c>
      <c r="C10" s="24">
        <v>551</v>
      </c>
      <c r="D10" s="24">
        <v>530</v>
      </c>
      <c r="E10" s="24">
        <v>500</v>
      </c>
      <c r="F10" s="24">
        <v>510</v>
      </c>
      <c r="G10" s="24">
        <v>504</v>
      </c>
      <c r="H10" s="24">
        <v>454</v>
      </c>
      <c r="I10" s="41">
        <f>I5-I6</f>
        <v>596</v>
      </c>
      <c r="J10" s="44">
        <f>J5-J6</f>
        <v>630</v>
      </c>
      <c r="K10" s="38">
        <f t="shared" si="3"/>
        <v>88.732394366197184</v>
      </c>
      <c r="L10" s="39">
        <f>((J10-I10)/I10*100)</f>
        <v>5.7046979865771812</v>
      </c>
      <c r="M10" s="26" t="s">
        <v>17</v>
      </c>
      <c r="N10" s="6"/>
      <c r="O10" s="6"/>
      <c r="P10" s="15"/>
      <c r="Q10" s="15"/>
      <c r="R10" s="15"/>
      <c r="S10" s="15"/>
    </row>
    <row r="11" spans="1:19">
      <c r="A11" s="11" t="s">
        <v>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33" t="s">
        <v>2</v>
      </c>
      <c r="P11" s="3"/>
      <c r="Q11" s="3"/>
      <c r="R11" s="3"/>
      <c r="S11" s="3"/>
    </row>
    <row r="12" spans="1:19">
      <c r="A12" s="43" t="s">
        <v>23</v>
      </c>
      <c r="P12" s="3"/>
      <c r="Q12" s="3"/>
      <c r="R12" s="3"/>
      <c r="S12" s="3"/>
    </row>
    <row r="13" spans="1:19">
      <c r="A13" s="18"/>
      <c r="P13" s="3"/>
      <c r="Q13" s="3"/>
      <c r="R13" s="3"/>
      <c r="S13" s="3"/>
    </row>
    <row r="14" spans="1:19">
      <c r="P14" s="3"/>
      <c r="Q14" s="3"/>
      <c r="R14" s="3"/>
      <c r="S14" s="3"/>
    </row>
    <row r="15" spans="1:19">
      <c r="P15" s="3"/>
      <c r="Q15" s="3"/>
      <c r="R15" s="3"/>
      <c r="S15" s="3"/>
    </row>
    <row r="16" spans="1:19">
      <c r="P16" s="3"/>
      <c r="Q16" s="3"/>
      <c r="R16" s="3"/>
      <c r="S16" s="3"/>
    </row>
    <row r="17" spans="1:19">
      <c r="P17" s="3"/>
      <c r="Q17" s="3"/>
      <c r="R17" s="3"/>
      <c r="S17" s="3"/>
    </row>
    <row r="18" spans="1:19" ht="17.25">
      <c r="A18" s="12"/>
      <c r="B18" s="7"/>
      <c r="C18" s="7"/>
      <c r="D18" s="7"/>
      <c r="E18" s="7"/>
      <c r="F18" s="7"/>
      <c r="G18" s="7"/>
      <c r="H18" s="7"/>
      <c r="I18" s="7"/>
      <c r="J18" s="7"/>
      <c r="K18" s="7"/>
      <c r="L18" s="9"/>
      <c r="M18" s="13"/>
      <c r="P18" s="3"/>
      <c r="Q18" s="3"/>
      <c r="R18" s="3"/>
      <c r="S18" s="3"/>
    </row>
    <row r="19" spans="1:19">
      <c r="P19" s="3"/>
      <c r="Q19" s="3"/>
      <c r="R19" s="3"/>
      <c r="S19" s="3"/>
    </row>
    <row r="20" spans="1:19">
      <c r="P20" s="3"/>
      <c r="Q20" s="3"/>
      <c r="R20" s="3"/>
      <c r="S20" s="3"/>
    </row>
    <row r="27" spans="1:19">
      <c r="N27" s="28"/>
      <c r="O27" s="28"/>
      <c r="P27" s="28"/>
    </row>
    <row r="28" spans="1:19">
      <c r="N28" s="14"/>
      <c r="O28" s="14"/>
      <c r="P28" s="28"/>
    </row>
    <row r="29" spans="1:19">
      <c r="N29" s="14"/>
      <c r="O29" s="14"/>
      <c r="P29" s="28"/>
    </row>
    <row r="30" spans="1:19">
      <c r="N30" s="14"/>
      <c r="O30" s="14"/>
      <c r="P30" s="28"/>
    </row>
    <row r="31" spans="1:19">
      <c r="N31" s="14"/>
      <c r="O31" s="14"/>
      <c r="P31" s="28"/>
    </row>
    <row r="32" spans="1:19">
      <c r="N32" s="14"/>
      <c r="O32" s="14"/>
      <c r="P32" s="28"/>
    </row>
    <row r="33" spans="14:19">
      <c r="N33" s="14"/>
      <c r="O33" s="14"/>
      <c r="P33" s="28"/>
    </row>
    <row r="34" spans="14:19">
      <c r="Q34" s="29"/>
      <c r="R34" s="30"/>
      <c r="S34" s="28"/>
    </row>
    <row r="35" spans="14:19">
      <c r="Q35" s="29"/>
      <c r="R35" s="30"/>
      <c r="S35" s="28"/>
    </row>
    <row r="36" spans="14:19">
      <c r="N36" s="28"/>
      <c r="O36" s="28"/>
      <c r="P36" s="28"/>
      <c r="R36" s="5"/>
      <c r="S36" s="6"/>
    </row>
    <row r="37" spans="14:19">
      <c r="N37" s="28"/>
      <c r="O37" s="28"/>
      <c r="P37" s="28"/>
    </row>
    <row r="38" spans="14:19">
      <c r="N38" s="28"/>
      <c r="O38" s="28"/>
      <c r="P38" s="28"/>
    </row>
    <row r="39" spans="14:19">
      <c r="N39" s="28"/>
      <c r="O39" s="28"/>
      <c r="P39" s="28"/>
    </row>
    <row r="40" spans="14:19">
      <c r="N40" s="28"/>
      <c r="O40" s="28"/>
      <c r="P40" s="28"/>
    </row>
  </sheetData>
  <mergeCells count="13">
    <mergeCell ref="I3:I4"/>
    <mergeCell ref="D3:D4"/>
    <mergeCell ref="M3:M4"/>
    <mergeCell ref="A1:M1"/>
    <mergeCell ref="A2:M2"/>
    <mergeCell ref="A3:A4"/>
    <mergeCell ref="B3:B4"/>
    <mergeCell ref="C3:C4"/>
    <mergeCell ref="E3:E4"/>
    <mergeCell ref="F3:F4"/>
    <mergeCell ref="G3:G4"/>
    <mergeCell ref="J3:J4"/>
    <mergeCell ref="H3:H4"/>
  </mergeCells>
  <pageMargins left="0.7" right="0.7" top="0.75" bottom="0.75" header="0.3" footer="0.3"/>
  <pageSetup paperSize="9" scale="53" orientation="portrait" r:id="rId1"/>
  <colBreaks count="1" manualBreakCount="1">
    <brk id="14" max="59" man="1"/>
  </colBreaks>
  <ignoredErrors>
    <ignoredError sqref="B6:G6" formulaRange="1"/>
    <ignoredError sqref="K7:K10" evalError="1"/>
  </ignoredError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8.10</vt:lpstr>
      <vt:lpstr>'8.10'!Print_Area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2026-01-20T03:44:39Z</cp:lastPrinted>
  <dcterms:created xsi:type="dcterms:W3CDTF">2019-06-30T04:22:49Z</dcterms:created>
  <dcterms:modified xsi:type="dcterms:W3CDTF">2026-01-20T03:44:54Z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