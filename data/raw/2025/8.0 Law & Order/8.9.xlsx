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law and order\"/>
    </mc:Choice>
  </mc:AlternateContent>
  <xr:revisionPtr revIDLastSave="0" documentId="13_ncr:1_{90E0A359-1395-4444-AA7C-8C5CA580A418}" xr6:coauthVersionLast="47" xr6:coauthVersionMax="47" xr10:uidLastSave="{00000000-0000-0000-0000-000000000000}"/>
  <bookViews>
    <workbookView xWindow="-120" yWindow="-120" windowWidth="29040" windowHeight="15720" tabRatio="862" xr2:uid="{00000000-000D-0000-FFFF-FFFF00000000}"/>
  </bookViews>
  <sheets>
    <sheet name="8.9" sheetId="9" r:id="rId1"/>
  </sheets>
  <definedNames>
    <definedName name="_xlnm.Print_Area" localSheetId="0">'8.9'!$A$1:$S$32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9" l="1"/>
  <c r="P6" i="9" l="1"/>
  <c r="O6" i="9" l="1"/>
  <c r="N6" i="9" l="1"/>
  <c r="M6" i="9" l="1"/>
  <c r="L6" i="9" l="1"/>
  <c r="K6" i="9" l="1"/>
  <c r="J6" i="9"/>
  <c r="I6" i="9"/>
  <c r="H6" i="9"/>
  <c r="G6" i="9"/>
  <c r="F6" i="9"/>
  <c r="E6" i="9"/>
  <c r="D6" i="9"/>
  <c r="C6" i="9"/>
  <c r="B6" i="9"/>
</calcChain>
</file>

<file path=xl/sharedStrings.xml><?xml version="1.0" encoding="utf-8"?>
<sst xmlns="http://schemas.openxmlformats.org/spreadsheetml/2006/main" count="37" uniqueCount="29">
  <si>
    <t>Total</t>
  </si>
  <si>
    <t>Others</t>
  </si>
  <si>
    <t>އެހެނިހެން</t>
  </si>
  <si>
    <t>Source: Maldives Police Service</t>
  </si>
  <si>
    <t>-</t>
  </si>
  <si>
    <t>ޖުމްލަ</t>
  </si>
  <si>
    <t>މަޢުލޫމާތު ދެއްވީ: މޯލްޑިވްސް ޕޮލިސް ސަރވިސް</t>
  </si>
  <si>
    <t>Type of Drug</t>
  </si>
  <si>
    <t>އަދަދު (ގްރާމްއިން)</t>
  </si>
  <si>
    <t>ބާވަތް</t>
  </si>
  <si>
    <t>Opiates</t>
  </si>
  <si>
    <t>އޯޕިއޭޓްސް</t>
  </si>
  <si>
    <t>Heroin</t>
  </si>
  <si>
    <t>ހެރޮއިން</t>
  </si>
  <si>
    <t>Cannabis</t>
  </si>
  <si>
    <t>ކެނަބިސް</t>
  </si>
  <si>
    <t>Benzodyziphine</t>
  </si>
  <si>
    <t>ބެންޒޮޑީޒިފައިން</t>
  </si>
  <si>
    <t>cocaine</t>
  </si>
  <si>
    <t>ކޮކެއިން</t>
  </si>
  <si>
    <t>Tetrahydrocannabinol</t>
  </si>
  <si>
    <t>DiMaorphine</t>
  </si>
  <si>
    <t>MDMA</t>
  </si>
  <si>
    <t xml:space="preserve">                                                                   Quantity ( grams )                                                                              </t>
  </si>
  <si>
    <t>ޑައިމައުފިން</t>
  </si>
  <si>
    <t>އެމްޑީއެމްއޭ</t>
  </si>
  <si>
    <t>Table 8.9: DRUG SEIZED  BY MALDIVES POLICE SERVICE, 2014 - 2024</t>
  </si>
  <si>
    <t>ތާވަލު 8.9: މޯލްޑިވްސް ޕޮލިސް ސަރވިސްގެ ފަރާތުން އަތުލައިގަތް މަސްތުވާތަކެތީގެ އަދަދު، 2014 - 2024</t>
  </si>
  <si>
    <t>ޓެޓްރާހައިޑްރޯކެނަބިނޯލް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</si>
</sst>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rgb="FF000000"/>
      <name val="Faruma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0"/>
      <color theme="1"/>
      <name val="Faruma"/>
      <family val="3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1">
    <xf numFmtId="0" fontId="0" fillId="0" borderId="0"/>
    <xf numFmtId="43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167" fontId="10" fillId="0" borderId="0"/>
    <xf numFmtId="0" fontId="18" fillId="0" borderId="5" applyNumberFormat="0" applyFill="0" applyAlignment="0" applyProtection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43" fontId="17" fillId="0" borderId="0" applyFont="0" applyFill="0" applyBorder="0" applyAlignment="0" applyProtection="0"/>
    <xf numFmtId="172" fontId="20" fillId="0" borderId="0"/>
    <xf numFmtId="1" fontId="21" fillId="0" borderId="6" applyNumberFormat="0"/>
    <xf numFmtId="0" fontId="17" fillId="0" borderId="0"/>
    <xf numFmtId="0" fontId="1" fillId="0" borderId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9" fillId="0" borderId="0"/>
    <xf numFmtId="40" fontId="19" fillId="0" borderId="0" applyFont="0" applyFill="0" applyBorder="0" applyAlignment="0" applyProtection="0"/>
    <xf numFmtId="0" fontId="19" fillId="0" borderId="0"/>
    <xf numFmtId="0" fontId="17" fillId="0" borderId="0"/>
    <xf numFmtId="1" fontId="21" fillId="0" borderId="6" applyNumberFormat="0"/>
    <xf numFmtId="0" fontId="1" fillId="0" borderId="0"/>
    <xf numFmtId="0" fontId="19" fillId="0" borderId="0"/>
    <xf numFmtId="0" fontId="9" fillId="0" borderId="0" applyFill="0" applyProtection="0"/>
    <xf numFmtId="1" fontId="21" fillId="0" borderId="6" applyNumberFormat="0"/>
    <xf numFmtId="43" fontId="1" fillId="0" borderId="0" applyFont="0" applyFill="0" applyBorder="0" applyAlignment="0" applyProtection="0"/>
    <xf numFmtId="0" fontId="1" fillId="0" borderId="0"/>
    <xf numFmtId="0" fontId="22" fillId="0" borderId="0"/>
    <xf numFmtId="0" fontId="23" fillId="0" borderId="0"/>
    <xf numFmtId="0" fontId="22" fillId="0" borderId="0"/>
    <xf numFmtId="0" fontId="1" fillId="0" borderId="0"/>
    <xf numFmtId="0" fontId="19" fillId="0" borderId="0"/>
    <xf numFmtId="0" fontId="9" fillId="0" borderId="0" applyFill="0" applyProtection="0"/>
    <xf numFmtId="1" fontId="21" fillId="0" borderId="6" applyNumberFormat="0"/>
    <xf numFmtId="0" fontId="1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9" fillId="0" borderId="0" applyFont="0" applyFill="0" applyBorder="0" applyAlignment="0" applyProtection="0"/>
    <xf numFmtId="0" fontId="1" fillId="0" borderId="0"/>
    <xf numFmtId="0" fontId="24" fillId="0" borderId="0" applyBorder="0"/>
    <xf numFmtId="0" fontId="1" fillId="0" borderId="0"/>
    <xf numFmtId="40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4" fillId="0" borderId="0" applyBorder="0"/>
    <xf numFmtId="0" fontId="1" fillId="0" borderId="0"/>
    <xf numFmtId="0" fontId="1" fillId="0" borderId="0"/>
    <xf numFmtId="1" fontId="21" fillId="0" borderId="6" applyNumberFormat="0"/>
    <xf numFmtId="1" fontId="21" fillId="0" borderId="6" applyNumberFormat="0"/>
    <xf numFmtId="1" fontId="21" fillId="0" borderId="6" applyNumberFormat="0"/>
    <xf numFmtId="1" fontId="21" fillId="0" borderId="6" applyNumberFormat="0"/>
    <xf numFmtId="0" fontId="25" fillId="0" borderId="0"/>
    <xf numFmtId="0" fontId="25" fillId="0" borderId="0"/>
  </cellStyleXfs>
  <cellXfs count="42">
    <xf numFmtId="0" fontId="0" fillId="0" borderId="0" xfId="0"/>
    <xf numFmtId="164" fontId="0" fillId="2" borderId="0" xfId="0" applyNumberFormat="1" applyFill="1"/>
    <xf numFmtId="164" fontId="0" fillId="2" borderId="2" xfId="0" applyNumberFormat="1" applyFill="1" applyBorder="1"/>
    <xf numFmtId="0" fontId="0" fillId="2" borderId="0" xfId="0" applyFill="1"/>
    <xf numFmtId="0" fontId="11" fillId="2" borderId="0" xfId="0" applyFont="1" applyFill="1" applyAlignment="1">
      <alignment vertical="top"/>
    </xf>
    <xf numFmtId="0" fontId="2" fillId="2" borderId="0" xfId="0" applyFont="1" applyFill="1" applyAlignment="1">
      <alignment vertical="center"/>
    </xf>
    <xf numFmtId="164" fontId="0" fillId="2" borderId="3" xfId="0" applyNumberFormat="1" applyFill="1" applyBorder="1"/>
    <xf numFmtId="0" fontId="8" fillId="2" borderId="3" xfId="0" applyFont="1" applyFill="1" applyBorder="1" applyAlignment="1">
      <alignment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3" fontId="8" fillId="2" borderId="0" xfId="0" applyNumberFormat="1" applyFont="1" applyFill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 indent="1"/>
    </xf>
    <xf numFmtId="3" fontId="3" fillId="2" borderId="0" xfId="0" applyNumberFormat="1" applyFont="1" applyFill="1" applyAlignment="1">
      <alignment horizontal="right" vertical="center"/>
    </xf>
    <xf numFmtId="3" fontId="3" fillId="2" borderId="0" xfId="1" applyNumberFormat="1" applyFont="1" applyFill="1" applyBorder="1" applyAlignment="1">
      <alignment horizontal="right" vertical="center"/>
    </xf>
    <xf numFmtId="164" fontId="15" fillId="2" borderId="0" xfId="0" applyNumberFormat="1" applyFont="1" applyFill="1" applyAlignment="1">
      <alignment horizontal="right" vertical="center" indent="1"/>
    </xf>
    <xf numFmtId="0" fontId="5" fillId="2" borderId="0" xfId="0" applyFont="1" applyFill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3" fontId="3" fillId="2" borderId="2" xfId="1" applyNumberFormat="1" applyFont="1" applyFill="1" applyBorder="1" applyAlignment="1">
      <alignment horizontal="right" vertical="center"/>
    </xf>
    <xf numFmtId="164" fontId="15" fillId="2" borderId="2" xfId="0" applyNumberFormat="1" applyFont="1" applyFill="1" applyBorder="1" applyAlignment="1">
      <alignment horizontal="right" vertical="center" indent="1"/>
    </xf>
    <xf numFmtId="0" fontId="7" fillId="2" borderId="0" xfId="0" applyFont="1" applyFill="1" applyAlignment="1">
      <alignment vertical="top"/>
    </xf>
    <xf numFmtId="0" fontId="16" fillId="2" borderId="0" xfId="0" applyFont="1" applyFill="1" applyAlignment="1">
      <alignment vertical="top"/>
    </xf>
    <xf numFmtId="164" fontId="16" fillId="2" borderId="0" xfId="0" applyNumberFormat="1" applyFont="1" applyFill="1" applyAlignment="1">
      <alignment vertical="top"/>
    </xf>
    <xf numFmtId="164" fontId="16" fillId="2" borderId="0" xfId="0" applyNumberFormat="1" applyFont="1" applyFill="1"/>
    <xf numFmtId="0" fontId="6" fillId="2" borderId="0" xfId="0" applyFont="1" applyFill="1"/>
    <xf numFmtId="0" fontId="11" fillId="2" borderId="0" xfId="0" applyFont="1" applyFill="1" applyAlignment="1">
      <alignment vertical="center"/>
    </xf>
    <xf numFmtId="0" fontId="12" fillId="2" borderId="4" xfId="0" applyFont="1" applyFill="1" applyBorder="1" applyAlignment="1">
      <alignment vertical="center"/>
    </xf>
    <xf numFmtId="166" fontId="4" fillId="2" borderId="0" xfId="2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top"/>
    </xf>
    <xf numFmtId="0" fontId="14" fillId="2" borderId="0" xfId="0" applyFont="1" applyFill="1" applyAlignment="1">
      <alignment horizontal="right" vertical="center"/>
    </xf>
    <xf numFmtId="166" fontId="4" fillId="2" borderId="2" xfId="2" applyFont="1" applyFill="1" applyBorder="1" applyAlignment="1">
      <alignment horizontal="right" vertical="center"/>
    </xf>
    <xf numFmtId="3" fontId="3" fillId="3" borderId="0" xfId="1" applyNumberFormat="1" applyFont="1" applyFill="1" applyBorder="1" applyAlignment="1">
      <alignment horizontal="right" vertical="center"/>
    </xf>
    <xf numFmtId="3" fontId="3" fillId="3" borderId="0" xfId="0" applyNumberFormat="1" applyFont="1" applyFill="1" applyAlignment="1">
      <alignment horizontal="right" vertical="center"/>
    </xf>
    <xf numFmtId="166" fontId="4" fillId="3" borderId="0" xfId="2" applyFont="1" applyFill="1" applyBorder="1" applyAlignment="1">
      <alignment horizontal="right" vertical="center"/>
    </xf>
    <xf numFmtId="164" fontId="13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14" fillId="2" borderId="3" xfId="0" applyFont="1" applyFill="1" applyBorder="1" applyAlignment="1">
      <alignment horizontal="center" vertical="center"/>
    </xf>
  </cellXfs>
  <cellStyles count="71">
    <cellStyle name="1" xfId="7" xr:uid="{00000000-0005-0000-0000-000000000000}"/>
    <cellStyle name="Comma" xfId="1" builtinId="3"/>
    <cellStyle name="Comma 2" xfId="2" xr:uid="{00000000-0005-0000-0000-000002000000}"/>
    <cellStyle name="Comma 2 2" xfId="51" xr:uid="{9A84C4CD-F55D-4D7F-A24D-2331BEF12D2F}"/>
    <cellStyle name="Comma 2 2 2 5" xfId="32" xr:uid="{72CAE074-9478-48BE-827F-7C347CA8E33E}"/>
    <cellStyle name="Comma 2 3" xfId="58" xr:uid="{48917DD4-5850-420F-B56E-6D1242EC9C7D}"/>
    <cellStyle name="Comma 2 4" xfId="24" xr:uid="{25E79544-726A-40BC-9B88-F4040A358A37}"/>
    <cellStyle name="Comma 3" xfId="11" xr:uid="{B8EE6C01-62F8-4757-AEA0-A8E2BB20DD32}"/>
    <cellStyle name="Comma 3 2" xfId="54" xr:uid="{32AB1500-45AA-4601-AE5B-CC2189D86C97}"/>
    <cellStyle name="Heading 1 2" xfId="5" xr:uid="{00000000-0005-0000-0000-000003000000}"/>
    <cellStyle name="Normal" xfId="0" builtinId="0"/>
    <cellStyle name="Normal - Style1" xfId="12" xr:uid="{643D6BAF-51F0-40E9-A034-4148317B748D}"/>
    <cellStyle name="Normal 10" xfId="18" xr:uid="{53C320C8-74A4-4753-953E-745E7CA03BF9}"/>
    <cellStyle name="Normal 11" xfId="29" xr:uid="{C334F9A6-404A-429F-AAC8-A64A5D797F6B}"/>
    <cellStyle name="Normal 12" xfId="31" xr:uid="{AD19A09E-E36B-4581-9623-F54EE49DE1A7}"/>
    <cellStyle name="Normal 13" xfId="40" xr:uid="{8F3E15E1-866E-4642-A160-6EC78A16082E}"/>
    <cellStyle name="Normal 14" xfId="65" xr:uid="{38102293-679E-4BC4-8C21-B50A9352FE0D}"/>
    <cellStyle name="Normal 15" xfId="66" xr:uid="{DDD174B3-A44D-4519-9D5A-E09E51F6BD36}"/>
    <cellStyle name="Normal 16" xfId="67" xr:uid="{2B037F2C-6E53-4DFC-BCEF-4BAE4D22C99F}"/>
    <cellStyle name="Normal 17" xfId="68" xr:uid="{862E1F38-3D0E-4A33-9EDA-CE90F84B8E45}"/>
    <cellStyle name="Normal 18" xfId="69" xr:uid="{CF87BC40-E55D-4F82-AE28-8FA1017CE6B1}"/>
    <cellStyle name="Normal 19" xfId="70" xr:uid="{FA237C1A-38D9-46F9-9E54-DD0D4DE6F649}"/>
    <cellStyle name="Normal 2" xfId="6" xr:uid="{00000000-0005-0000-0000-000006000000}"/>
    <cellStyle name="Normal 2 2" xfId="13" xr:uid="{E1B4ADD7-AF9F-4C31-814B-2F7CCD24FB28}"/>
    <cellStyle name="Normal 2 2 2" xfId="25" xr:uid="{86D4674A-12DC-467D-8791-E9A1C7FC3D5C}"/>
    <cellStyle name="Normal 2 2 2 2" xfId="49" xr:uid="{E5E93CD8-FF9A-48B1-ADA9-AB3C731E6334}"/>
    <cellStyle name="Normal 2 2 3" xfId="26" xr:uid="{A9406696-2B5F-40B4-B07A-9A75502DB3A9}"/>
    <cellStyle name="Normal 2 2 3 2" xfId="47" xr:uid="{F69FCC6A-DC9B-4565-AD31-066A6C2F5064}"/>
    <cellStyle name="Normal 2 2 4" xfId="43" xr:uid="{6F0840CA-9553-405D-ACE5-D01A72852DAD}"/>
    <cellStyle name="Normal 2 3" xfId="28" xr:uid="{E13F57EA-1139-4D18-983A-599F278AD76F}"/>
    <cellStyle name="Normal 2 3 2" xfId="39" xr:uid="{0043EE02-D5BD-4812-AD16-BFACC7EF42A8}"/>
    <cellStyle name="Normal 2 3 3" xfId="42" xr:uid="{0A8706C9-91EC-4327-A8A0-F2E5BA34A857}"/>
    <cellStyle name="Normal 2 4" xfId="30" xr:uid="{20B2D89D-D384-47E8-A9EE-FCD14F76982F}"/>
    <cellStyle name="Normal 2 4 2" xfId="50" xr:uid="{3F0CEA5C-059B-43A9-859D-A965B48327F7}"/>
    <cellStyle name="Normal 2 5" xfId="34" xr:uid="{CE7AC479-92A4-4367-8F5E-D56B9C5A1031}"/>
    <cellStyle name="Normal 3" xfId="4" xr:uid="{00000000-0005-0000-0000-000007000000}"/>
    <cellStyle name="Normal 3 2" xfId="27" xr:uid="{D8C0391F-9AA5-43CD-9EDF-E1CEE95293DA}"/>
    <cellStyle name="Normal 3 2 2" xfId="36" xr:uid="{519BA7B2-00D0-4BC8-9FC5-2049B7FF832F}"/>
    <cellStyle name="Normal 3 2 2 2" xfId="61" xr:uid="{FFD9FBF6-074E-4300-A11B-1E9E248674A4}"/>
    <cellStyle name="Normal 3 3" xfId="45" xr:uid="{96442A53-EA32-4F89-842D-FC2B3500B36F}"/>
    <cellStyle name="Normal 3 3 2" xfId="64" xr:uid="{FC90F908-F2F6-489E-BDC8-B211A625F9C1}"/>
    <cellStyle name="Normal 3 4" xfId="55" xr:uid="{8D94B436-169A-4EF4-AF1F-BD2D38E48701}"/>
    <cellStyle name="Normal 3 5" xfId="59" xr:uid="{20B92D94-623A-4A41-B83E-988C78EE9919}"/>
    <cellStyle name="Normal 3 6" xfId="14" xr:uid="{2260A489-F0D9-40BA-A22E-29EA47F1B2F4}"/>
    <cellStyle name="Normal 4" xfId="19" xr:uid="{D3B53A52-2AD8-4381-AB54-845A42EF1FF2}"/>
    <cellStyle name="Normal 4 2" xfId="15" xr:uid="{861AA663-ADE1-4537-934E-8307E5FD8F74}"/>
    <cellStyle name="Normal 4 2 2" xfId="20" xr:uid="{E8677BA3-8211-444C-BEC4-9A07A188675B}"/>
    <cellStyle name="Normal 4 2 3" xfId="44" xr:uid="{A1A62C66-066C-4E8B-898C-FFCDC593C940}"/>
    <cellStyle name="Normal 4 3" xfId="35" xr:uid="{41EDC26E-37D1-45EB-B40D-C33CA90D2064}"/>
    <cellStyle name="Normal 4 3 2" xfId="52" xr:uid="{F0BD437D-A11C-4FCC-8D12-ECC542C171DB}"/>
    <cellStyle name="Normal 4 4" xfId="57" xr:uid="{644A2FD9-99FD-44AF-AD6A-7DA7696F10CB}"/>
    <cellStyle name="Normal 5" xfId="16" xr:uid="{497704D6-52EF-4ABE-A3CD-97569A2A33A7}"/>
    <cellStyle name="Normal 5 2" xfId="9" xr:uid="{00CB0B8C-510E-4BED-8B9B-553F22BD15C7}"/>
    <cellStyle name="Normal 5 2 2" xfId="60" xr:uid="{C310ED55-448A-4742-B398-B242C3A89A52}"/>
    <cellStyle name="Normal 5 3" xfId="33" xr:uid="{B6E770DA-49EF-4C68-912F-2AD9E34AB464}"/>
    <cellStyle name="Normal 5 4" xfId="46" xr:uid="{439C9414-9BA2-497D-BF7E-0C5A82DE1171}"/>
    <cellStyle name="Normal 6" xfId="21" xr:uid="{FF1D5E57-8C3F-43A7-8100-05F86404E24E}"/>
    <cellStyle name="Normal 6 2" xfId="37" xr:uid="{BF19C48D-9054-4CB1-8B26-C788F7386A5B}"/>
    <cellStyle name="Normal 6 2 2" xfId="62" xr:uid="{8DCBD4A4-A7DB-4626-B9AE-A2DBD111A1EA}"/>
    <cellStyle name="Normal 6 3" xfId="48" xr:uid="{EF61BC19-A02A-4B29-B5E5-F8ADBFFE6AF9}"/>
    <cellStyle name="Normal 7" xfId="22" xr:uid="{5E137597-5161-4D95-90E4-F6DC879E5B22}"/>
    <cellStyle name="Normal 7 2" xfId="38" xr:uid="{AF7B1DEB-2498-4714-A82C-DA80CF2C533D}"/>
    <cellStyle name="Normal 7 2 2" xfId="53" xr:uid="{72B3ACED-6426-4333-A31F-F7A584556C09}"/>
    <cellStyle name="Normal 7 3" xfId="63" xr:uid="{479EC22B-EFA4-4A4A-859B-B213AB646001}"/>
    <cellStyle name="Normal 7 4" xfId="41" xr:uid="{2E7F84E1-ECE1-404D-A212-C39658E7599D}"/>
    <cellStyle name="Normal 8" xfId="23" xr:uid="{CEB51C94-2E45-4D5B-9F0F-359FEE19D53C}"/>
    <cellStyle name="Normal 8 2" xfId="56" xr:uid="{286B7DE3-B5D9-42D4-91CA-A0F00AB06695}"/>
    <cellStyle name="Normal 9" xfId="10" xr:uid="{585AC317-7540-4658-AB5A-C34FB49F1152}"/>
    <cellStyle name="Percent 2" xfId="3" xr:uid="{00000000-0005-0000-0000-00000E000000}"/>
    <cellStyle name="Percent 2 2" xfId="8" xr:uid="{67C19ACC-B2FB-4E73-ACA6-0EF4958B92CE}"/>
    <cellStyle name="Percent 2 3" xfId="17" xr:uid="{2ABB9611-6919-4949-B383-4EF485E15F01}"/>
  </cellStyles>
  <dxfs count="0"/>
  <tableStyles count="0" defaultTableStyle="TableStyleMedium2" defaultPivotStyle="PivotStyleLight16"/>
  <colors>
    <mruColors>
      <color rgb="FF9BC2E6"/>
      <color rgb="FF003399"/>
      <color rgb="FFAEAAAA"/>
      <color rgb="FF33CCCC"/>
      <color rgb="FFEEEEEE"/>
      <color rgb="FF7E5400"/>
      <color rgb="FFFFC5C5"/>
      <color rgb="FFFF6969"/>
      <color rgb="FFFFEFE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8.11: Number of logged drug cases, 2014 - 2024 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473614444099218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66804115019445E-2"/>
          <c:y val="0.15578703703703703"/>
          <c:w val="0.90108308885637867"/>
          <c:h val="0.6910954359871682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'8.9'!$A$8</c:f>
              <c:strCache>
                <c:ptCount val="1"/>
                <c:pt idx="0">
                  <c:v>Heroin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'8.9'!$G$5:$Q$5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'8.9'!$G$8:$Q$8</c:f>
              <c:numCache>
                <c:formatCode>#,##0</c:formatCode>
                <c:ptCount val="11"/>
                <c:pt idx="0">
                  <c:v>21947.937300000001</c:v>
                </c:pt>
                <c:pt idx="1">
                  <c:v>2359</c:v>
                </c:pt>
                <c:pt idx="2">
                  <c:v>46885.842600000004</c:v>
                </c:pt>
                <c:pt idx="3">
                  <c:v>17064.1921</c:v>
                </c:pt>
                <c:pt idx="4">
                  <c:v>75799.18469999994</c:v>
                </c:pt>
                <c:pt idx="5">
                  <c:v>221508.68388000206</c:v>
                </c:pt>
                <c:pt idx="6">
                  <c:v>132964.03650000022</c:v>
                </c:pt>
                <c:pt idx="7">
                  <c:v>409944.88545</c:v>
                </c:pt>
                <c:pt idx="8">
                  <c:v>107321.61</c:v>
                </c:pt>
                <c:pt idx="9">
                  <c:v>30017.503839999987</c:v>
                </c:pt>
                <c:pt idx="10">
                  <c:v>92021.967299999873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6-4A1F-A6BD-8636CF178021}"/>
            </c:ext>
          </c:extLst>
        </c:ser>
        <c:ser>
          <c:idx val="1"/>
          <c:order val="1"/>
          <c:tx>
            <c:strRef>
              <c:f>'8.9'!$A$9</c:f>
              <c:strCache>
                <c:ptCount val="1"/>
                <c:pt idx="0">
                  <c:v>Cannabis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'8.9'!$G$5:$Q$5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'8.9'!$G$9:$Q$9</c:f>
              <c:numCache>
                <c:formatCode>#,##0</c:formatCode>
                <c:ptCount val="11"/>
                <c:pt idx="0">
                  <c:v>4977.3109999999997</c:v>
                </c:pt>
                <c:pt idx="1">
                  <c:v>5542</c:v>
                </c:pt>
                <c:pt idx="2">
                  <c:v>67393.071599999996</c:v>
                </c:pt>
                <c:pt idx="3">
                  <c:v>48438.826699999998</c:v>
                </c:pt>
                <c:pt idx="4">
                  <c:v>28862.109100000005</c:v>
                </c:pt>
                <c:pt idx="5">
                  <c:v>146538.08030000003</c:v>
                </c:pt>
                <c:pt idx="6">
                  <c:v>14409.403600000011</c:v>
                </c:pt>
                <c:pt idx="7">
                  <c:v>13745.461599999995</c:v>
                </c:pt>
                <c:pt idx="8">
                  <c:v>50794.7644</c:v>
                </c:pt>
                <c:pt idx="9">
                  <c:v>25026.446500000045</c:v>
                </c:pt>
                <c:pt idx="10">
                  <c:v>21198.701000000041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6-4A1F-A6BD-8636CF178021}"/>
            </c:ext>
          </c:extLst>
        </c:ser>
        <c:ser>
          <c:idx val="2"/>
          <c:order val="2"/>
          <c:tx>
            <c:strRef>
              <c:f>'8.9'!$A$10</c:f>
              <c:strCache>
                <c:ptCount val="1"/>
                <c:pt idx="0">
                  <c:v>cocaine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'8.9'!$G$5:$Q$5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'8.9'!$G$10:$Q$10</c:f>
              <c:numCache>
                <c:formatCode>_-* #,##0_-;\-* #,##0_-;_-* "-"??_-;_-@_-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31034.909600000014</c:v>
                </c:pt>
                <c:pt idx="6" formatCode="#,##0">
                  <c:v>891.86660000000018</c:v>
                </c:pt>
                <c:pt idx="7" formatCode="#,##0">
                  <c:v>31505.142199999995</c:v>
                </c:pt>
                <c:pt idx="8" formatCode="#,##0">
                  <c:v>16244.001099999999</c:v>
                </c:pt>
                <c:pt idx="9" formatCode="#,##0">
                  <c:v>6377.8678000000027</c:v>
                </c:pt>
                <c:pt idx="10" formatCode="#,##0">
                  <c:v>19876.964300000003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06-4A1F-A6BD-8636CF178021}"/>
            </c:ext>
          </c:extLst>
        </c:ser>
        <c:ser>
          <c:idx val="3"/>
          <c:order val="3"/>
          <c:tx>
            <c:strRef>
              <c:f>'8.9'!$A$15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506-4A1F-A6BD-8636CF178021}"/>
              </c:ext>
            </c:extLst>
          </c:dPt>
          <c:cat>
            <c:numRef>
              <c:f>'8.9'!$G$5:$Q$5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'8.9'!$G$15:$Q$15</c:f>
              <c:numCache>
                <c:formatCode>_-* #,##0_-;\-* #,##0_-;_-* "-"??_-;_-@_-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9173.8651799999898</c:v>
                </c:pt>
                <c:pt idx="6" formatCode="#,##0">
                  <c:v>0</c:v>
                </c:pt>
                <c:pt idx="7" formatCode="#,##0">
                  <c:v>8161.6353000000008</c:v>
                </c:pt>
                <c:pt idx="8" formatCode="#,##0">
                  <c:v>42253.625200000002</c:v>
                </c:pt>
                <c:pt idx="9" formatCode="#,##0">
                  <c:v>19922.747899999998</c:v>
                </c:pt>
                <c:pt idx="10" formatCode="#,##0">
                  <c:v>279040.55099999998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06-4A1F-A6BD-8636CF178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overlap val="100"/>
        <c:axId val="43955328"/>
        <c:axId val="43956864"/>
      </c:barChart>
      <c:catAx>
        <c:axId val="4395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56864"/>
        <c:crosses val="autoZero"/>
        <c:auto val="1"/>
        <c:lblAlgn val="ctr"/>
        <c:lblOffset val="100"/>
        <c:noMultiLvlLbl val="0"/>
      </c:catAx>
      <c:valAx>
        <c:axId val="4395686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5532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3186970244069987"/>
          <c:y val="0.5931707494896471"/>
          <c:w val="0.3575707552950458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823911</xdr:colOff>
      <xdr:row>17</xdr:row>
      <xdr:rowOff>90487</xdr:rowOff>
    </xdr:from>
    <xdr:to>
      <xdr:col>17</xdr:col>
      <xdr:colOff>781049</xdr:colOff>
      <xdr:row>31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0.43503</cdr:x>
      <cdr:y>0.91787</cdr:y>
    </cdr:from>
    <cdr:to>
      <cdr:x>0.52685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786263" y="2517898"/>
          <a:ext cx="588153" cy="2253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0" i="0"/>
            <a:t>In</a:t>
          </a:r>
          <a:r>
            <a:rPr lang="en-US" sz="800" b="0" i="0" baseline="0"/>
            <a:t> Grams</a:t>
          </a:r>
          <a:endParaRPr lang="en-US" sz="800" b="0" i="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92D050"/>
  </sheetPr>
  <dimension ref="A1:S32"/>
  <sheetViews>
    <sheetView tabSelected="1" topLeftCell="G1" zoomScale="130" zoomScaleNormal="130" workbookViewId="0">
      <selection sqref="A1:R1"/>
    </sheetView>
  </sheetViews>
  <sheetFormatPr defaultColWidth="9.140625" defaultRowHeight="15"/>
  <cols>
    <col min="1" max="1" width="13.5703125" style="1" customWidth="1"/>
    <col min="2" max="5" width="10.85546875" style="1" hidden="1" customWidth="1"/>
    <col min="6" max="6" width="13.85546875" style="1" hidden="1" customWidth="1"/>
    <col min="7" max="12" width="11.28515625" style="1" customWidth="1"/>
    <col min="13" max="13" width="11.42578125" style="1" customWidth="1"/>
    <col min="14" max="17" width="11.28515625" style="1" customWidth="1"/>
    <col min="18" max="18" width="15.5703125" style="1" customWidth="1"/>
    <col min="19" max="19" width="6.7109375" style="1" customWidth="1"/>
    <col min="20" max="16384" width="9.140625" style="1"/>
  </cols>
  <sheetData>
    <row r="1" spans="1:19" ht="21">
      <c r="A1" s="35" t="s">
        <v>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9" ht="17.25" customHeight="1">
      <c r="A2" s="36" t="s">
        <v>26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5"/>
    </row>
    <row r="3" spans="1:19" ht="6" hidden="1" customHeight="1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5"/>
    </row>
    <row r="4" spans="1:19" ht="18.75">
      <c r="A4" s="37" t="s">
        <v>7</v>
      </c>
      <c r="B4" s="6"/>
      <c r="C4" s="7"/>
      <c r="D4" s="7"/>
      <c r="E4" s="6"/>
      <c r="F4" s="6"/>
      <c r="G4" s="7" t="s">
        <v>23</v>
      </c>
      <c r="H4" s="7"/>
      <c r="I4" s="7"/>
      <c r="J4" s="7"/>
      <c r="K4" s="6"/>
      <c r="L4" s="41" t="s">
        <v>8</v>
      </c>
      <c r="M4" s="41"/>
      <c r="N4" s="41"/>
      <c r="O4" s="41"/>
      <c r="P4" s="41"/>
      <c r="Q4" s="41"/>
      <c r="R4" s="39" t="s">
        <v>9</v>
      </c>
      <c r="S4" s="8"/>
    </row>
    <row r="5" spans="1:19" ht="23.25" customHeight="1">
      <c r="A5" s="38"/>
      <c r="B5" s="9">
        <v>2009</v>
      </c>
      <c r="C5" s="9">
        <v>2010</v>
      </c>
      <c r="D5" s="9">
        <v>2011</v>
      </c>
      <c r="E5" s="9">
        <v>2012</v>
      </c>
      <c r="F5" s="9">
        <v>2013</v>
      </c>
      <c r="G5" s="9">
        <v>2014</v>
      </c>
      <c r="H5" s="9">
        <v>2015</v>
      </c>
      <c r="I5" s="9">
        <v>2016</v>
      </c>
      <c r="J5" s="9">
        <v>2017</v>
      </c>
      <c r="K5" s="9">
        <v>2018</v>
      </c>
      <c r="L5" s="9">
        <v>2019</v>
      </c>
      <c r="M5" s="9">
        <v>2020</v>
      </c>
      <c r="N5" s="9">
        <v>2021</v>
      </c>
      <c r="O5" s="9">
        <v>2022</v>
      </c>
      <c r="P5" s="9">
        <v>2023</v>
      </c>
      <c r="Q5" s="9">
        <v>2024</v>
      </c>
      <c r="R5" s="40"/>
    </row>
    <row r="6" spans="1:19" ht="25.5" customHeight="1">
      <c r="A6" s="10" t="s">
        <v>0</v>
      </c>
      <c r="B6" s="11">
        <f t="shared" ref="B6:Q6" si="0">SUM(B7:B15)</f>
        <v>5627.6266999999998</v>
      </c>
      <c r="C6" s="11">
        <f t="shared" si="0"/>
        <v>3737.2701000000002</v>
      </c>
      <c r="D6" s="12">
        <f t="shared" si="0"/>
        <v>10180.494439999999</v>
      </c>
      <c r="E6" s="12">
        <f t="shared" si="0"/>
        <v>26936.360290000001</v>
      </c>
      <c r="F6" s="12">
        <f t="shared" si="0"/>
        <v>10288.645349999999</v>
      </c>
      <c r="G6" s="12">
        <f t="shared" si="0"/>
        <v>26925.248299999999</v>
      </c>
      <c r="H6" s="12">
        <f t="shared" si="0"/>
        <v>7901</v>
      </c>
      <c r="I6" s="12">
        <f t="shared" si="0"/>
        <v>114278.9142</v>
      </c>
      <c r="J6" s="12">
        <f t="shared" si="0"/>
        <v>65503.018799999998</v>
      </c>
      <c r="K6" s="12">
        <f t="shared" si="0"/>
        <v>104661.29379999994</v>
      </c>
      <c r="L6" s="12">
        <f t="shared" si="0"/>
        <v>408255.53896000207</v>
      </c>
      <c r="M6" s="12">
        <f t="shared" si="0"/>
        <v>148265.30670000025</v>
      </c>
      <c r="N6" s="12">
        <f t="shared" si="0"/>
        <v>463357.12455000001</v>
      </c>
      <c r="O6" s="12">
        <f t="shared" si="0"/>
        <v>216614.0007</v>
      </c>
      <c r="P6" s="12">
        <f t="shared" si="0"/>
        <v>81344.566040000034</v>
      </c>
      <c r="Q6" s="12">
        <f t="shared" si="0"/>
        <v>412138.18359999987</v>
      </c>
      <c r="R6" s="30" t="s">
        <v>5</v>
      </c>
    </row>
    <row r="7" spans="1:19" ht="18" hidden="1" customHeight="1">
      <c r="A7" s="13" t="s">
        <v>10</v>
      </c>
      <c r="B7" s="14">
        <v>1350.5146999999999</v>
      </c>
      <c r="C7" s="14">
        <v>1754.8649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 t="s">
        <v>4</v>
      </c>
      <c r="K7" s="15" t="s">
        <v>4</v>
      </c>
      <c r="L7" s="15" t="s">
        <v>4</v>
      </c>
      <c r="M7" s="15" t="s">
        <v>4</v>
      </c>
      <c r="N7" s="32"/>
      <c r="O7" s="32"/>
      <c r="P7" s="32"/>
      <c r="Q7" s="32"/>
      <c r="R7" s="16" t="s">
        <v>11</v>
      </c>
    </row>
    <row r="8" spans="1:19" ht="18" customHeight="1">
      <c r="A8" s="17" t="s">
        <v>12</v>
      </c>
      <c r="B8" s="14">
        <v>0</v>
      </c>
      <c r="C8" s="14">
        <v>0</v>
      </c>
      <c r="D8" s="15">
        <v>5154.4753999999994</v>
      </c>
      <c r="E8" s="15">
        <v>10107.0682</v>
      </c>
      <c r="F8" s="15">
        <v>8869.9667499999996</v>
      </c>
      <c r="G8" s="15">
        <v>21947.937300000001</v>
      </c>
      <c r="H8" s="15">
        <v>2359</v>
      </c>
      <c r="I8" s="15">
        <v>46885.842600000004</v>
      </c>
      <c r="J8" s="15">
        <v>17064.1921</v>
      </c>
      <c r="K8" s="15">
        <v>75799.18469999994</v>
      </c>
      <c r="L8" s="15">
        <v>221508.68388000206</v>
      </c>
      <c r="M8" s="15">
        <v>132964.03650000022</v>
      </c>
      <c r="N8" s="15">
        <v>409944.88545</v>
      </c>
      <c r="O8" s="15">
        <v>107321.61</v>
      </c>
      <c r="P8" s="15">
        <v>30017.503839999987</v>
      </c>
      <c r="Q8" s="15">
        <v>92021.967299999873</v>
      </c>
      <c r="R8" s="16" t="s">
        <v>13</v>
      </c>
    </row>
    <row r="9" spans="1:19" ht="15" customHeight="1">
      <c r="A9" s="17" t="s">
        <v>14</v>
      </c>
      <c r="B9" s="1">
        <v>3739.5270999999998</v>
      </c>
      <c r="C9" s="1">
        <v>1957.8159000000001</v>
      </c>
      <c r="D9" s="1">
        <v>5026.0190400000001</v>
      </c>
      <c r="E9" s="1">
        <v>16821.554290000004</v>
      </c>
      <c r="F9" s="1">
        <v>1418.6786</v>
      </c>
      <c r="G9" s="15">
        <v>4977.3109999999997</v>
      </c>
      <c r="H9" s="15">
        <v>5542</v>
      </c>
      <c r="I9" s="15">
        <v>67393.071599999996</v>
      </c>
      <c r="J9" s="15">
        <v>48438.826699999998</v>
      </c>
      <c r="K9" s="15">
        <v>28862.109100000005</v>
      </c>
      <c r="L9" s="15">
        <v>146538.08030000003</v>
      </c>
      <c r="M9" s="15">
        <v>14409.403600000011</v>
      </c>
      <c r="N9" s="15">
        <v>13745.461599999995</v>
      </c>
      <c r="O9" s="15">
        <v>50794.7644</v>
      </c>
      <c r="P9" s="15">
        <v>25026.446500000045</v>
      </c>
      <c r="Q9" s="15">
        <v>21198.701000000041</v>
      </c>
      <c r="R9" s="16" t="s">
        <v>15</v>
      </c>
    </row>
    <row r="10" spans="1:19" ht="15" customHeight="1">
      <c r="A10" s="17" t="s">
        <v>18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15">
        <v>31034.909600000014</v>
      </c>
      <c r="M10" s="15">
        <v>891.86660000000018</v>
      </c>
      <c r="N10" s="15">
        <v>31505.142199999995</v>
      </c>
      <c r="O10" s="15">
        <v>16244.001099999999</v>
      </c>
      <c r="P10" s="15">
        <v>6377.8678000000027</v>
      </c>
      <c r="Q10" s="15">
        <v>19876.964300000003</v>
      </c>
      <c r="R10" s="16" t="s">
        <v>19</v>
      </c>
    </row>
    <row r="11" spans="1:19" ht="15" hidden="1" customHeight="1">
      <c r="A11" s="17" t="s">
        <v>20</v>
      </c>
      <c r="G11" s="34"/>
      <c r="H11" s="34"/>
      <c r="I11" s="34"/>
      <c r="J11" s="34"/>
      <c r="K11" s="34"/>
      <c r="L11" s="32"/>
      <c r="M11" s="32"/>
      <c r="N11" s="32"/>
      <c r="O11" s="32"/>
      <c r="P11" s="15"/>
      <c r="Q11" s="15"/>
      <c r="R11" s="16" t="s">
        <v>28</v>
      </c>
    </row>
    <row r="12" spans="1:19" ht="18" hidden="1" customHeight="1">
      <c r="A12" s="17" t="s">
        <v>21</v>
      </c>
      <c r="G12" s="34"/>
      <c r="H12" s="34"/>
      <c r="I12" s="34"/>
      <c r="J12" s="34"/>
      <c r="K12" s="34"/>
      <c r="L12" s="32"/>
      <c r="M12" s="32"/>
      <c r="N12" s="32"/>
      <c r="O12" s="32"/>
      <c r="P12" s="15"/>
      <c r="Q12" s="15"/>
      <c r="R12" s="16" t="s">
        <v>24</v>
      </c>
    </row>
    <row r="13" spans="1:19" ht="18" hidden="1" customHeight="1">
      <c r="A13" s="17" t="s">
        <v>22</v>
      </c>
      <c r="G13" s="34"/>
      <c r="H13" s="34"/>
      <c r="I13" s="34"/>
      <c r="J13" s="34"/>
      <c r="K13" s="34"/>
      <c r="L13" s="32"/>
      <c r="M13" s="32"/>
      <c r="N13" s="32"/>
      <c r="O13" s="32"/>
      <c r="P13" s="15"/>
      <c r="Q13" s="15"/>
      <c r="R13" s="16" t="s">
        <v>25</v>
      </c>
    </row>
    <row r="14" spans="1:19" ht="15" hidden="1" customHeight="1">
      <c r="A14" s="17" t="s">
        <v>16</v>
      </c>
      <c r="B14" s="15">
        <v>537.58489999999995</v>
      </c>
      <c r="C14" s="15">
        <v>24.589300000000001</v>
      </c>
      <c r="D14" s="14">
        <v>0</v>
      </c>
      <c r="E14" s="14">
        <v>7.7378</v>
      </c>
      <c r="F14" s="14">
        <v>0</v>
      </c>
      <c r="G14" s="14">
        <v>0</v>
      </c>
      <c r="H14" s="14">
        <v>0</v>
      </c>
      <c r="I14" s="14">
        <v>0</v>
      </c>
      <c r="J14" s="14" t="s">
        <v>4</v>
      </c>
      <c r="K14" s="14" t="s">
        <v>4</v>
      </c>
      <c r="L14" s="14" t="s">
        <v>4</v>
      </c>
      <c r="M14" s="15" t="s">
        <v>4</v>
      </c>
      <c r="N14" s="33"/>
      <c r="O14" s="33"/>
      <c r="P14" s="14"/>
      <c r="Q14" s="14"/>
      <c r="R14" s="16" t="s">
        <v>17</v>
      </c>
    </row>
    <row r="15" spans="1:19" ht="15" customHeight="1">
      <c r="A15" s="18" t="s">
        <v>1</v>
      </c>
      <c r="B15" s="2"/>
      <c r="C15" s="2"/>
      <c r="D15" s="2"/>
      <c r="E15" s="2"/>
      <c r="F15" s="2"/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19">
        <v>9173.8651799999898</v>
      </c>
      <c r="M15" s="19" t="s">
        <v>4</v>
      </c>
      <c r="N15" s="19">
        <v>8161.6353000000008</v>
      </c>
      <c r="O15" s="19">
        <v>42253.625200000002</v>
      </c>
      <c r="P15" s="19">
        <v>19922.747899999998</v>
      </c>
      <c r="Q15" s="19">
        <v>279040.55099999998</v>
      </c>
      <c r="R15" s="20" t="s">
        <v>2</v>
      </c>
    </row>
    <row r="16" spans="1:19" s="24" customFormat="1" ht="17.25">
      <c r="A16" s="26" t="s">
        <v>3</v>
      </c>
      <c r="B16" s="4"/>
      <c r="C16" s="21"/>
      <c r="D16" s="22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7" t="s">
        <v>6</v>
      </c>
    </row>
    <row r="17" spans="1:19">
      <c r="A17" s="25"/>
      <c r="B17" s="2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>
      <c r="A18" s="25"/>
      <c r="B18" s="2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>
      <c r="A19" s="25"/>
      <c r="B19" s="2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>
      <c r="A20" s="25"/>
      <c r="B20" s="2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>
      <c r="A21" s="25"/>
      <c r="B21" s="2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7" spans="1:19">
      <c r="S27" s="3"/>
    </row>
    <row r="32" spans="1:19">
      <c r="J32" s="3"/>
      <c r="K32" s="3"/>
      <c r="L32" s="3"/>
      <c r="M32" s="3"/>
      <c r="N32" s="3"/>
      <c r="O32" s="3"/>
      <c r="P32" s="3"/>
      <c r="Q32" s="3"/>
    </row>
  </sheetData>
  <mergeCells count="5">
    <mergeCell ref="A1:R1"/>
    <mergeCell ref="A2:R2"/>
    <mergeCell ref="A4:A5"/>
    <mergeCell ref="R4:R5"/>
    <mergeCell ref="L4:Q4"/>
  </mergeCells>
  <pageMargins left="0.7" right="0.7" top="0.75" bottom="0.75" header="0.3" footer="0.3"/>
  <pageSetup paperSize="9" scale="54" orientation="portrait" r:id="rId1"/>
  <colBreaks count="1" manualBreakCount="1">
    <brk id="19" max="31" man="1"/>
  </colBreaks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8.9</vt:lpstr>
      <vt:lpstr>'8.9'!Print_Area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2026-01-20T03:37:56Z</cp:lastPrinted>
  <dcterms:created xsi:type="dcterms:W3CDTF">2019-06-30T04:22:49Z</dcterms:created>
  <dcterms:modified xsi:type="dcterms:W3CDTF">2026-01-20T03:38:02Z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