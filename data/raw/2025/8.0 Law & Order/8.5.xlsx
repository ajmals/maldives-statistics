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law and order\"/>
    </mc:Choice>
  </mc:AlternateContent>
  <xr:revisionPtr revIDLastSave="0" documentId="13_ncr:1_{48EAE66C-1092-4D50-9884-B509F1FAB948}" xr6:coauthVersionLast="47" xr6:coauthVersionMax="47" xr10:uidLastSave="{00000000-0000-0000-0000-000000000000}"/>
  <bookViews>
    <workbookView xWindow="-120" yWindow="-120" windowWidth="29040" windowHeight="15720" tabRatio="862" xr2:uid="{00000000-000D-0000-FFFF-FFFF00000000}"/>
  </bookViews>
  <sheets>
    <sheet name="8.5" sheetId="5" r:id="rId1"/>
  </sheets>
  <externalReferences>
    <externalReference r:id="rId2"/>
  </externalReferences>
  <definedNames>
    <definedName name="_xlnm.Print_Area" localSheetId="0">'8.5'!$A$1:$L$33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5" l="1"/>
  <c r="I5" i="5" l="1"/>
  <c r="H5" i="5" l="1"/>
  <c r="G5" i="5" l="1"/>
  <c r="F5" i="5" l="1"/>
  <c r="E5" i="5" l="1"/>
  <c r="D5" i="5" l="1"/>
  <c r="C5" i="5"/>
  <c r="B5" i="5"/>
</calcChain>
</file>

<file path=xl/sharedStrings.xml><?xml version="1.0" encoding="utf-8"?>
<sst xmlns="http://schemas.openxmlformats.org/spreadsheetml/2006/main" count="32" uniqueCount="32">
  <si>
    <t>Total</t>
  </si>
  <si>
    <t>wlcmuj</t>
  </si>
  <si>
    <t>Source: Maldives Police Service</t>
  </si>
  <si>
    <t>csivrws csilop cscviDclOm :Ivcaed utWmUluAwm</t>
  </si>
  <si>
    <t>Number of cases logged</t>
  </si>
  <si>
    <t>cawtwlwscawm WviwފiLehwSuh</t>
  </si>
  <si>
    <t>January</t>
  </si>
  <si>
    <t>ޖެނުއަރީ</t>
  </si>
  <si>
    <t>February</t>
  </si>
  <si>
    <t>ފެބްރުއަރީ</t>
  </si>
  <si>
    <t>March</t>
  </si>
  <si>
    <t>މާރޗް</t>
  </si>
  <si>
    <t>April</t>
  </si>
  <si>
    <t>އޭޕްރިލް</t>
  </si>
  <si>
    <t>May</t>
  </si>
  <si>
    <t>މެއި</t>
  </si>
  <si>
    <t>June</t>
  </si>
  <si>
    <t>ޖޫން</t>
  </si>
  <si>
    <t>July</t>
  </si>
  <si>
    <t>ޖުލައި</t>
  </si>
  <si>
    <t>August</t>
  </si>
  <si>
    <t>އޯގަސްޓް</t>
  </si>
  <si>
    <t>September</t>
  </si>
  <si>
    <t>ސެޕްޓެމްބަރ</t>
  </si>
  <si>
    <t>October</t>
  </si>
  <si>
    <t>އޮކްޓޯބަރ</t>
  </si>
  <si>
    <t>November</t>
  </si>
  <si>
    <t>ނޮވެމްބަރ</t>
  </si>
  <si>
    <t>December</t>
  </si>
  <si>
    <t>ޑިސެމްބަރ</t>
  </si>
  <si>
    <t>Table 8.5: LOGGED CASES  2016 - 2024</t>
  </si>
  <si>
    <t>2024 - 2016 ,cawtwlwscawm WviawfiLehwSuh : 8.5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</si>
</sst>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  <numFmt numFmtId="172" formatCode="0.00_)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11"/>
      <color indexed="8"/>
      <name val="Calibri"/>
      <family val="2"/>
    </font>
    <font>
      <sz val="10"/>
      <name val="Courier"/>
      <family val="3"/>
    </font>
    <font>
      <b/>
      <sz val="12"/>
      <color rgb="FF000000"/>
      <name val="Calibri"/>
      <family val="2"/>
      <scheme val="minor"/>
    </font>
    <font>
      <b/>
      <sz val="10"/>
      <color rgb="FF000000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b/>
      <sz val="15"/>
      <color theme="3"/>
      <name val="Arial Mäori"/>
      <family val="2"/>
    </font>
    <font>
      <sz val="9"/>
      <name val="A_Faseyha"/>
    </font>
    <font>
      <b/>
      <sz val="10"/>
      <name val="A_Faseyha"/>
    </font>
    <font>
      <sz val="10"/>
      <color indexed="8"/>
      <name val="Faruma"/>
      <family val="3"/>
    </font>
    <font>
      <b/>
      <sz val="12"/>
      <name val="A_Faseyha"/>
    </font>
    <font>
      <sz val="10"/>
      <name val="Helv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72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166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167" fontId="11" fillId="0" borderId="0"/>
    <xf numFmtId="0" fontId="16" fillId="0" borderId="7" applyNumberFormat="0" applyFill="0" applyAlignment="0" applyProtection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172" fontId="22" fillId="0" borderId="0"/>
    <xf numFmtId="1" fontId="23" fillId="0" borderId="8" applyNumberFormat="0"/>
    <xf numFmtId="0" fontId="15" fillId="0" borderId="0"/>
    <xf numFmtId="0" fontId="1" fillId="0" borderId="0"/>
    <xf numFmtId="0" fontId="15" fillId="0" borderId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21" fillId="0" borderId="0"/>
    <xf numFmtId="40" fontId="21" fillId="0" borderId="0" applyFont="0" applyFill="0" applyBorder="0" applyAlignment="0" applyProtection="0"/>
    <xf numFmtId="0" fontId="21" fillId="0" borderId="0"/>
    <xf numFmtId="0" fontId="15" fillId="0" borderId="0"/>
    <xf numFmtId="1" fontId="23" fillId="0" borderId="8" applyNumberFormat="0"/>
    <xf numFmtId="0" fontId="1" fillId="0" borderId="0"/>
    <xf numFmtId="0" fontId="21" fillId="0" borderId="0"/>
    <xf numFmtId="0" fontId="10" fillId="0" borderId="0" applyFill="0" applyProtection="0"/>
    <xf numFmtId="1" fontId="23" fillId="0" borderId="8" applyNumberFormat="0"/>
    <xf numFmtId="43" fontId="1" fillId="0" borderId="0" applyFont="0" applyFill="0" applyBorder="0" applyAlignment="0" applyProtection="0"/>
    <xf numFmtId="0" fontId="1" fillId="0" borderId="0"/>
    <xf numFmtId="0" fontId="24" fillId="0" borderId="0"/>
    <xf numFmtId="0" fontId="25" fillId="0" borderId="0"/>
    <xf numFmtId="0" fontId="24" fillId="0" borderId="0"/>
    <xf numFmtId="0" fontId="1" fillId="0" borderId="0"/>
    <xf numFmtId="0" fontId="21" fillId="0" borderId="0"/>
    <xf numFmtId="0" fontId="10" fillId="0" borderId="0" applyFill="0" applyProtection="0"/>
    <xf numFmtId="1" fontId="23" fillId="0" borderId="8" applyNumberFormat="0"/>
    <xf numFmtId="0" fontId="1" fillId="0" borderId="0"/>
    <xf numFmtId="0" fontId="15" fillId="0" borderId="0"/>
    <xf numFmtId="0" fontId="24" fillId="0" borderId="0"/>
    <xf numFmtId="0" fontId="25" fillId="0" borderId="0"/>
    <xf numFmtId="0" fontId="15" fillId="0" borderId="0"/>
    <xf numFmtId="0" fontId="24" fillId="0" borderId="0"/>
    <xf numFmtId="0" fontId="26" fillId="0" borderId="0"/>
    <xf numFmtId="0" fontId="24" fillId="0" borderId="0"/>
    <xf numFmtId="0" fontId="24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21" fillId="0" borderId="0" applyFont="0" applyFill="0" applyBorder="0" applyAlignment="0" applyProtection="0"/>
    <xf numFmtId="0" fontId="1" fillId="0" borderId="0"/>
    <xf numFmtId="0" fontId="26" fillId="0" borderId="0" applyBorder="0"/>
    <xf numFmtId="0" fontId="1" fillId="0" borderId="0"/>
    <xf numFmtId="40" fontId="2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6" fillId="0" borderId="0" applyBorder="0"/>
    <xf numFmtId="0" fontId="1" fillId="0" borderId="0"/>
    <xf numFmtId="0" fontId="1" fillId="0" borderId="0"/>
    <xf numFmtId="1" fontId="23" fillId="0" borderId="8" applyNumberFormat="0"/>
    <xf numFmtId="1" fontId="23" fillId="0" borderId="8" applyNumberFormat="0"/>
    <xf numFmtId="1" fontId="23" fillId="0" borderId="8" applyNumberFormat="0"/>
    <xf numFmtId="1" fontId="23" fillId="0" borderId="8" applyNumberFormat="0"/>
    <xf numFmtId="0" fontId="27" fillId="0" borderId="0"/>
    <xf numFmtId="0" fontId="27" fillId="0" borderId="0"/>
  </cellStyleXfs>
  <cellXfs count="24">
    <xf numFmtId="0" fontId="0" fillId="0" borderId="0" xfId="0"/>
    <xf numFmtId="164" fontId="2" fillId="2" borderId="0" xfId="2" applyNumberFormat="1" applyFont="1" applyFill="1" applyAlignment="1">
      <alignment vertical="center"/>
    </xf>
    <xf numFmtId="164" fontId="0" fillId="2" borderId="3" xfId="0" applyNumberFormat="1" applyFill="1" applyBorder="1"/>
    <xf numFmtId="164" fontId="13" fillId="2" borderId="4" xfId="0" applyNumberFormat="1" applyFont="1" applyFill="1" applyBorder="1" applyAlignment="1">
      <alignment horizontal="center"/>
    </xf>
    <xf numFmtId="164" fontId="3" fillId="2" borderId="5" xfId="0" applyNumberFormat="1" applyFont="1" applyFill="1" applyBorder="1" applyAlignment="1">
      <alignment vertical="center"/>
    </xf>
    <xf numFmtId="164" fontId="3" fillId="2" borderId="5" xfId="0" applyNumberFormat="1" applyFont="1" applyFill="1" applyBorder="1" applyAlignment="1">
      <alignment horizontal="right" vertical="center"/>
    </xf>
    <xf numFmtId="164" fontId="6" fillId="2" borderId="3" xfId="0" applyNumberFormat="1" applyFont="1" applyFill="1" applyBorder="1"/>
    <xf numFmtId="164" fontId="5" fillId="2" borderId="1" xfId="0" applyNumberFormat="1" applyFont="1" applyFill="1" applyBorder="1"/>
    <xf numFmtId="166" fontId="5" fillId="2" borderId="1" xfId="1" applyNumberFormat="1" applyFont="1" applyFill="1" applyBorder="1" applyAlignment="1">
      <alignment horizontal="right" vertical="center"/>
    </xf>
    <xf numFmtId="166" fontId="7" fillId="2" borderId="3" xfId="1" applyNumberFormat="1" applyFont="1" applyFill="1" applyBorder="1" applyAlignment="1" applyProtection="1">
      <alignment horizontal="right" vertical="center"/>
      <protection locked="0"/>
    </xf>
    <xf numFmtId="166" fontId="7" fillId="2" borderId="6" xfId="1" applyNumberFormat="1" applyFont="1" applyFill="1" applyBorder="1" applyAlignment="1" applyProtection="1">
      <alignment horizontal="right" vertical="center"/>
      <protection locked="0"/>
    </xf>
    <xf numFmtId="164" fontId="14" fillId="2" borderId="1" xfId="0" applyNumberFormat="1" applyFont="1" applyFill="1" applyBorder="1" applyAlignment="1">
      <alignment vertical="top"/>
    </xf>
    <xf numFmtId="164" fontId="0" fillId="2" borderId="3" xfId="0" applyNumberFormat="1" applyFill="1" applyBorder="1" applyAlignment="1">
      <alignment vertical="top"/>
    </xf>
    <xf numFmtId="164" fontId="9" fillId="2" borderId="0" xfId="0" applyNumberFormat="1" applyFont="1" applyFill="1" applyAlignment="1">
      <alignment horizontal="right" vertical="top"/>
    </xf>
    <xf numFmtId="164" fontId="18" fillId="2" borderId="1" xfId="0" applyNumberFormat="1" applyFont="1" applyFill="1" applyBorder="1" applyAlignment="1">
      <alignment horizontal="right" vertical="center"/>
    </xf>
    <xf numFmtId="164" fontId="18" fillId="2" borderId="5" xfId="0" applyNumberFormat="1" applyFont="1" applyFill="1" applyBorder="1" applyAlignment="1">
      <alignment horizontal="right" vertical="center"/>
    </xf>
    <xf numFmtId="164" fontId="17" fillId="2" borderId="2" xfId="0" applyNumberFormat="1" applyFont="1" applyFill="1" applyBorder="1" applyAlignment="1">
      <alignment horizontal="right" vertical="top"/>
    </xf>
    <xf numFmtId="0" fontId="8" fillId="2" borderId="3" xfId="5" applyNumberFormat="1" applyFont="1" applyFill="1" applyBorder="1" applyAlignment="1">
      <alignment horizontal="left" vertical="center" indent="1"/>
    </xf>
    <xf numFmtId="0" fontId="8" fillId="2" borderId="6" xfId="5" applyNumberFormat="1" applyFont="1" applyFill="1" applyBorder="1" applyAlignment="1">
      <alignment horizontal="left" vertical="center" indent="1"/>
    </xf>
    <xf numFmtId="0" fontId="19" fillId="2" borderId="3" xfId="5" applyNumberFormat="1" applyFont="1" applyFill="1" applyBorder="1" applyAlignment="1">
      <alignment horizontal="right" vertical="center" indent="1"/>
    </xf>
    <xf numFmtId="0" fontId="19" fillId="2" borderId="6" xfId="5" applyNumberFormat="1" applyFont="1" applyFill="1" applyBorder="1" applyAlignment="1">
      <alignment horizontal="right" vertical="center" indent="1"/>
    </xf>
    <xf numFmtId="164" fontId="0" fillId="2" borderId="0" xfId="0" applyNumberFormat="1" applyFill="1" applyAlignment="1">
      <alignment vertical="top"/>
    </xf>
    <xf numFmtId="164" fontId="20" fillId="2" borderId="3" xfId="0" applyNumberFormat="1" applyFont="1" applyFill="1" applyBorder="1" applyAlignment="1">
      <alignment horizontal="center" vertical="center"/>
    </xf>
    <xf numFmtId="164" fontId="12" fillId="2" borderId="4" xfId="0" applyNumberFormat="1" applyFont="1" applyFill="1" applyBorder="1" applyAlignment="1">
      <alignment horizontal="center"/>
    </xf>
  </cellXfs>
  <cellStyles count="72">
    <cellStyle name="1" xfId="8" xr:uid="{00000000-0005-0000-0000-000000000000}"/>
    <cellStyle name="Comma" xfId="1" builtinId="3"/>
    <cellStyle name="Comma 2" xfId="3" xr:uid="{00000000-0005-0000-0000-000002000000}"/>
    <cellStyle name="Comma 2 2" xfId="52" xr:uid="{9A84C4CD-F55D-4D7F-A24D-2331BEF12D2F}"/>
    <cellStyle name="Comma 2 2 2 5" xfId="33" xr:uid="{72CAE074-9478-48BE-827F-7C347CA8E33E}"/>
    <cellStyle name="Comma 2 3" xfId="59" xr:uid="{48917DD4-5850-420F-B56E-6D1242EC9C7D}"/>
    <cellStyle name="Comma 2 4" xfId="25" xr:uid="{25E79544-726A-40BC-9B88-F4040A358A37}"/>
    <cellStyle name="Comma 3" xfId="12" xr:uid="{B8EE6C01-62F8-4757-AEA0-A8E2BB20DD32}"/>
    <cellStyle name="Comma 3 2" xfId="55" xr:uid="{32AB1500-45AA-4601-AE5B-CC2189D86C97}"/>
    <cellStyle name="Heading 1 2" xfId="6" xr:uid="{00000000-0005-0000-0000-000003000000}"/>
    <cellStyle name="Hyperlink" xfId="2" builtinId="8"/>
    <cellStyle name="Normal" xfId="0" builtinId="0"/>
    <cellStyle name="Normal - Style1" xfId="13" xr:uid="{643D6BAF-51F0-40E9-A034-4148317B748D}"/>
    <cellStyle name="Normal 10" xfId="19" xr:uid="{53C320C8-74A4-4753-953E-745E7CA03BF9}"/>
    <cellStyle name="Normal 11" xfId="30" xr:uid="{C334F9A6-404A-429F-AAC8-A64A5D797F6B}"/>
    <cellStyle name="Normal 12" xfId="32" xr:uid="{AD19A09E-E36B-4581-9623-F54EE49DE1A7}"/>
    <cellStyle name="Normal 13" xfId="41" xr:uid="{8F3E15E1-866E-4642-A160-6EC78A16082E}"/>
    <cellStyle name="Normal 14" xfId="66" xr:uid="{38102293-679E-4BC4-8C21-B50A9352FE0D}"/>
    <cellStyle name="Normal 15" xfId="67" xr:uid="{DDD174B3-A44D-4519-9D5A-E09E51F6BD36}"/>
    <cellStyle name="Normal 16" xfId="68" xr:uid="{2B037F2C-6E53-4DFC-BCEF-4BAE4D22C99F}"/>
    <cellStyle name="Normal 17" xfId="69" xr:uid="{862E1F38-3D0E-4A33-9EDA-CE90F84B8E45}"/>
    <cellStyle name="Normal 18" xfId="70" xr:uid="{CF87BC40-E55D-4F82-AE28-8FA1017CE6B1}"/>
    <cellStyle name="Normal 19" xfId="71" xr:uid="{FA237C1A-38D9-46F9-9E54-DD0D4DE6F649}"/>
    <cellStyle name="Normal 2" xfId="7" xr:uid="{00000000-0005-0000-0000-000006000000}"/>
    <cellStyle name="Normal 2 2" xfId="14" xr:uid="{E1B4ADD7-AF9F-4C31-814B-2F7CCD24FB28}"/>
    <cellStyle name="Normal 2 2 2" xfId="26" xr:uid="{86D4674A-12DC-467D-8791-E9A1C7FC3D5C}"/>
    <cellStyle name="Normal 2 2 2 2" xfId="50" xr:uid="{E5E93CD8-FF9A-48B1-ADA9-AB3C731E6334}"/>
    <cellStyle name="Normal 2 2 3" xfId="27" xr:uid="{A9406696-2B5F-40B4-B07A-9A75502DB3A9}"/>
    <cellStyle name="Normal 2 2 3 2" xfId="48" xr:uid="{F69FCC6A-DC9B-4565-AD31-066A6C2F5064}"/>
    <cellStyle name="Normal 2 2 4" xfId="44" xr:uid="{6F0840CA-9553-405D-ACE5-D01A72852DAD}"/>
    <cellStyle name="Normal 2 3" xfId="29" xr:uid="{E13F57EA-1139-4D18-983A-599F278AD76F}"/>
    <cellStyle name="Normal 2 3 2" xfId="40" xr:uid="{0043EE02-D5BD-4812-AD16-BFACC7EF42A8}"/>
    <cellStyle name="Normal 2 3 3" xfId="43" xr:uid="{0A8706C9-91EC-4327-A8A0-F2E5BA34A857}"/>
    <cellStyle name="Normal 2 4" xfId="31" xr:uid="{20B2D89D-D384-47E8-A9EE-FCD14F76982F}"/>
    <cellStyle name="Normal 2 4 2" xfId="51" xr:uid="{3F0CEA5C-059B-43A9-859D-A965B48327F7}"/>
    <cellStyle name="Normal 2 5" xfId="35" xr:uid="{CE7AC479-92A4-4367-8F5E-D56B9C5A1031}"/>
    <cellStyle name="Normal 3" xfId="5" xr:uid="{00000000-0005-0000-0000-000007000000}"/>
    <cellStyle name="Normal 3 2" xfId="28" xr:uid="{D8C0391F-9AA5-43CD-9EDF-E1CEE95293DA}"/>
    <cellStyle name="Normal 3 2 2" xfId="37" xr:uid="{519BA7B2-00D0-4BC8-9FC5-2049B7FF832F}"/>
    <cellStyle name="Normal 3 2 2 2" xfId="62" xr:uid="{FFD9FBF6-074E-4300-A11B-1E9E248674A4}"/>
    <cellStyle name="Normal 3 3" xfId="46" xr:uid="{96442A53-EA32-4F89-842D-FC2B3500B36F}"/>
    <cellStyle name="Normal 3 3 2" xfId="65" xr:uid="{FC90F908-F2F6-489E-BDC8-B211A625F9C1}"/>
    <cellStyle name="Normal 3 4" xfId="56" xr:uid="{8D94B436-169A-4EF4-AF1F-BD2D38E48701}"/>
    <cellStyle name="Normal 3 5" xfId="60" xr:uid="{20B92D94-623A-4A41-B83E-988C78EE9919}"/>
    <cellStyle name="Normal 3 6" xfId="15" xr:uid="{2260A489-F0D9-40BA-A22E-29EA47F1B2F4}"/>
    <cellStyle name="Normal 4" xfId="20" xr:uid="{D3B53A52-2AD8-4381-AB54-845A42EF1FF2}"/>
    <cellStyle name="Normal 4 2" xfId="16" xr:uid="{861AA663-ADE1-4537-934E-8307E5FD8F74}"/>
    <cellStyle name="Normal 4 2 2" xfId="21" xr:uid="{E8677BA3-8211-444C-BEC4-9A07A188675B}"/>
    <cellStyle name="Normal 4 2 3" xfId="45" xr:uid="{A1A62C66-066C-4E8B-898C-FFCDC593C940}"/>
    <cellStyle name="Normal 4 3" xfId="36" xr:uid="{41EDC26E-37D1-45EB-B40D-C33CA90D2064}"/>
    <cellStyle name="Normal 4 3 2" xfId="53" xr:uid="{F0BD437D-A11C-4FCC-8D12-ECC542C171DB}"/>
    <cellStyle name="Normal 4 4" xfId="58" xr:uid="{644A2FD9-99FD-44AF-AD6A-7DA7696F10CB}"/>
    <cellStyle name="Normal 5" xfId="17" xr:uid="{497704D6-52EF-4ABE-A3CD-97569A2A33A7}"/>
    <cellStyle name="Normal 5 2" xfId="10" xr:uid="{00CB0B8C-510E-4BED-8B9B-553F22BD15C7}"/>
    <cellStyle name="Normal 5 2 2" xfId="61" xr:uid="{C310ED55-448A-4742-B398-B242C3A89A52}"/>
    <cellStyle name="Normal 5 3" xfId="34" xr:uid="{B6E770DA-49EF-4C68-912F-2AD9E34AB464}"/>
    <cellStyle name="Normal 5 4" xfId="47" xr:uid="{439C9414-9BA2-497D-BF7E-0C5A82DE1171}"/>
    <cellStyle name="Normal 6" xfId="22" xr:uid="{FF1D5E57-8C3F-43A7-8100-05F86404E24E}"/>
    <cellStyle name="Normal 6 2" xfId="38" xr:uid="{BF19C48D-9054-4CB1-8B26-C788F7386A5B}"/>
    <cellStyle name="Normal 6 2 2" xfId="63" xr:uid="{8DCBD4A4-A7DB-4626-B9AE-A2DBD111A1EA}"/>
    <cellStyle name="Normal 6 3" xfId="49" xr:uid="{EF61BC19-A02A-4B29-B5E5-F8ADBFFE6AF9}"/>
    <cellStyle name="Normal 7" xfId="23" xr:uid="{5E137597-5161-4D95-90E4-F6DC879E5B22}"/>
    <cellStyle name="Normal 7 2" xfId="39" xr:uid="{AF7B1DEB-2498-4714-A82C-DA80CF2C533D}"/>
    <cellStyle name="Normal 7 2 2" xfId="54" xr:uid="{72B3ACED-6426-4333-A31F-F7A584556C09}"/>
    <cellStyle name="Normal 7 3" xfId="64" xr:uid="{479EC22B-EFA4-4A4A-859B-B213AB646001}"/>
    <cellStyle name="Normal 7 4" xfId="42" xr:uid="{2E7F84E1-ECE1-404D-A212-C39658E7599D}"/>
    <cellStyle name="Normal 8" xfId="24" xr:uid="{CEB51C94-2E45-4D5B-9F0F-359FEE19D53C}"/>
    <cellStyle name="Normal 8 2" xfId="57" xr:uid="{286B7DE3-B5D9-42D4-91CA-A0F00AB06695}"/>
    <cellStyle name="Normal 9" xfId="11" xr:uid="{585AC317-7540-4658-AB5A-C34FB49F1152}"/>
    <cellStyle name="Percent 2" xfId="4" xr:uid="{00000000-0005-0000-0000-00000E000000}"/>
    <cellStyle name="Percent 2 2" xfId="9" xr:uid="{67C19ACC-B2FB-4E73-ACA6-0EF4958B92CE}"/>
    <cellStyle name="Percent 2 3" xfId="18" xr:uid="{2ABB9611-6919-4949-B383-4EF485E15F01}"/>
  </cellStyles>
  <dxfs count="0"/>
  <tableStyles count="0" defaultTableStyle="TableStyleMedium2" defaultPivotStyle="PivotStyleLight16"/>
  <colors>
    <mruColors>
      <color rgb="FF9BC2E6"/>
      <color rgb="FF003399"/>
      <color rgb="FFAEAAAA"/>
      <color rgb="FF33CCCC"/>
      <color rgb="FFEEEEEE"/>
      <color rgb="FF7E5400"/>
      <color rgb="FFFFC5C5"/>
      <color rgb="FFFF6969"/>
      <color rgb="FFFFEFEF"/>
      <color rgb="FFFFE5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3"/>
    </mc:Choice>
    <mc:Fallback>
      <c:style val="33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432598586093656E-2"/>
          <c:y val="0.20326181930660464"/>
          <c:w val="0.88947812785602642"/>
          <c:h val="0.701915427959031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'8.5'!$H$4</c:f>
              <c:strCache>
                <c:ptCount val="1"/>
                <c:pt idx="0">
                  <c:v>2022 </c:v>
                </c:pt>
              </c:strCache>
            </c:strRef>
          </c:tx>
          <c:spPr>
            <a:solidFill>
              <a:srgbClr val="003399"/>
            </a:solidFill>
            <a:ln>
              <a:noFill/>
            </a:ln>
          </c:spPr>
          <c:invertIfNegative val="0"/>
          <c:cat>
            <c:strRef>
              <c:f>'8.5'!$A$6:$A$17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'8.5'!$H$6:$H$17</c:f>
              <c:numCache>
                <c:formatCode>_-* #,##0_-;\-* #,##0_-;_-* "-"??_-;_-@_-</c:formatCode>
                <c:ptCount val="12"/>
                <c:pt idx="0">
                  <c:v>1174</c:v>
                </c:pt>
                <c:pt idx="1">
                  <c:v>1022</c:v>
                </c:pt>
                <c:pt idx="2">
                  <c:v>1126</c:v>
                </c:pt>
                <c:pt idx="3">
                  <c:v>1088</c:v>
                </c:pt>
                <c:pt idx="4">
                  <c:v>1277</c:v>
                </c:pt>
                <c:pt idx="5">
                  <c:v>1206</c:v>
                </c:pt>
                <c:pt idx="6">
                  <c:v>1077</c:v>
                </c:pt>
                <c:pt idx="7">
                  <c:v>1351</c:v>
                </c:pt>
                <c:pt idx="8">
                  <c:v>1060</c:v>
                </c:pt>
                <c:pt idx="9">
                  <c:v>1050</c:v>
                </c:pt>
                <c:pt idx="10">
                  <c:v>1076</c:v>
                </c:pt>
                <c:pt idx="11">
                  <c:v>1036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EE-41B7-B9CC-86E27FFB2E6B}"/>
            </c:ext>
          </c:extLst>
        </c:ser>
        <c:ser>
          <c:idx val="1"/>
          <c:order val="1"/>
          <c:tx>
            <c:strRef>
              <c:f>'8.5'!$I$4</c:f>
              <c:strCache>
                <c:ptCount val="1"/>
                <c:pt idx="0">
                  <c:v>2023 </c:v>
                </c:pt>
              </c:strCache>
            </c:strRef>
          </c:tx>
          <c:spPr>
            <a:solidFill>
              <a:srgbClr val="9BC2E6"/>
            </a:solidFill>
            <a:ln>
              <a:noFill/>
            </a:ln>
          </c:spPr>
          <c:invertIfNegative val="0"/>
          <c:cat>
            <c:strRef>
              <c:f>'8.5'!$A$6:$A$17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'8.5'!$I$6:$I$17</c:f>
              <c:numCache>
                <c:formatCode>_-* #,##0_-;\-* #,##0_-;_-* "-"??_-;_-@_-</c:formatCode>
                <c:ptCount val="12"/>
                <c:pt idx="0">
                  <c:v>1153</c:v>
                </c:pt>
                <c:pt idx="1">
                  <c:v>1226</c:v>
                </c:pt>
                <c:pt idx="2">
                  <c:v>1129</c:v>
                </c:pt>
                <c:pt idx="3">
                  <c:v>1114</c:v>
                </c:pt>
                <c:pt idx="4">
                  <c:v>1158</c:v>
                </c:pt>
                <c:pt idx="5">
                  <c:v>1051</c:v>
                </c:pt>
                <c:pt idx="6">
                  <c:v>1163</c:v>
                </c:pt>
                <c:pt idx="7">
                  <c:v>1359</c:v>
                </c:pt>
                <c:pt idx="8">
                  <c:v>1335</c:v>
                </c:pt>
                <c:pt idx="9">
                  <c:v>1476</c:v>
                </c:pt>
                <c:pt idx="10">
                  <c:v>1480</c:v>
                </c:pt>
                <c:pt idx="11">
                  <c:v>1371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EE-41B7-B9CC-86E27FFB2E6B}"/>
            </c:ext>
          </c:extLst>
        </c:ser>
        <c:ser>
          <c:idx val="2"/>
          <c:order val="2"/>
          <c:tx>
            <c:strRef>
              <c:f>'8.5'!$J$4</c:f>
              <c:strCache>
                <c:ptCount val="1"/>
                <c:pt idx="0">
                  <c:v>2024 </c:v>
                </c:pt>
              </c:strCache>
            </c:strRef>
          </c:tx>
          <c:spPr>
            <a:solidFill>
              <a:srgbClr val="33CCCC"/>
            </a:solidFill>
            <a:ln>
              <a:noFill/>
            </a:ln>
          </c:spPr>
          <c:invertIfNegative val="0"/>
          <c:cat>
            <c:strRef>
              <c:f>'8.5'!$A$6:$A$17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'8.5'!$J$6:$J$17</c:f>
              <c:numCache>
                <c:formatCode>_-* #,##0_-;\-* #,##0_-;_-* "-"??_-;_-@_-</c:formatCode>
                <c:ptCount val="12"/>
                <c:pt idx="0">
                  <c:v>1468</c:v>
                </c:pt>
                <c:pt idx="1">
                  <c:v>1335</c:v>
                </c:pt>
                <c:pt idx="2">
                  <c:v>1457</c:v>
                </c:pt>
                <c:pt idx="3">
                  <c:v>1247</c:v>
                </c:pt>
                <c:pt idx="4">
                  <c:v>1386</c:v>
                </c:pt>
                <c:pt idx="5">
                  <c:v>1362</c:v>
                </c:pt>
                <c:pt idx="6">
                  <c:v>1370</c:v>
                </c:pt>
                <c:pt idx="7">
                  <c:v>1397</c:v>
                </c:pt>
                <c:pt idx="8">
                  <c:v>1231</c:v>
                </c:pt>
                <c:pt idx="9">
                  <c:v>1383</c:v>
                </c:pt>
                <c:pt idx="10">
                  <c:v>1277</c:v>
                </c:pt>
                <c:pt idx="11">
                  <c:v>1408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CF-42F1-93F4-80E793F88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3"/>
        <c:axId val="43674624"/>
        <c:axId val="43684608"/>
      </c:barChart>
      <c:catAx>
        <c:axId val="436746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3684608"/>
        <c:crosses val="autoZero"/>
        <c:auto val="1"/>
        <c:lblAlgn val="ctr"/>
        <c:lblOffset val="100"/>
        <c:noMultiLvlLbl val="0"/>
      </c:catAx>
      <c:valAx>
        <c:axId val="43684608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/>
                </a:pPr>
                <a:r>
                  <a:rPr lang="en-US" sz="900"/>
                  <a:t>Number</a:t>
                </a:r>
              </a:p>
            </c:rich>
          </c:tx>
          <c:layout>
            <c:manualLayout>
              <c:xMode val="edge"/>
              <c:yMode val="edge"/>
              <c:x val="8.4043946323533528E-3"/>
              <c:y val="0.36894316044337566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3674624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7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47686276647166653"/>
          <c:y val="0.20549589572654334"/>
          <c:w val="0.23583875416099934"/>
          <c:h val="8.6417778687580757E-2"/>
        </c:manualLayout>
      </c:layout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0921" l="0.70000000000000062" r="0.70000000000000062" t="0.75000000000000921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1295400</xdr:colOff>
      <xdr:row>18</xdr:row>
      <xdr:rowOff>78106</xdr:rowOff>
    </xdr:from>
    <xdr:to>
      <xdr:col>10</xdr:col>
      <xdr:colOff>180976</xdr:colOff>
      <xdr:row>32</xdr:row>
      <xdr:rowOff>68580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0.24163</cdr:x>
      <cdr:y>0.04588</cdr:y>
    </cdr:from>
    <cdr:to>
      <cdr:x>0.71333</cdr:x>
      <cdr:y>0.15699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924051" y="121936"/>
          <a:ext cx="3756134" cy="2952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andara" panose="020E0502030303020204" pitchFamily="34" charset="0"/>
              <a:ea typeface="+mn-ea"/>
              <a:cs typeface="Consolas" pitchFamily="49" charset="0"/>
            </a:rPr>
            <a:t>Figure 8.8: Number of logged cases by month, 2022- 2024</a:t>
          </a:r>
          <a:endParaRPr lang="en-US">
            <a:effectLst/>
            <a:latin typeface="Candara" panose="020E0502030303020204" pitchFamily="34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ps\FILESHARE\UNIT\BCR-Statistic%20Unit\Statistics\statistical%20year%20book%20of%20maldives\yearBook2024\workings\8.%20LAW%20AND%20ORDER_MPS%20-%20wrkings.xlsx" TargetMode="External"/><Relationship Id="rId1" Type="http://schemas.openxmlformats.org/officeDocument/2006/relationships/externalLinkPath" Target="file:///\\mps\FILESHARE\UNIT\BCR-Statistic%20Unit\Statistics\statistical%20year%20book%20of%20maldives\yearBook2024\workings\8.%20LAW%20AND%20ORDER_MPS%20-%20wrk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8.27"/>
      <sheetName val="2.28"/>
      <sheetName val="2.29"/>
      <sheetName val="rpt"/>
      <sheetName val="lg"/>
      <sheetName val="cls"/>
      <sheetName val="pg"/>
      <sheetName val="pgr"/>
      <sheetName val="tarrest"/>
      <sheetName val="parrest"/>
      <sheetName val="Drug_abuse_arrest"/>
      <sheetName val="victims"/>
      <sheetName val="traffic_viol"/>
      <sheetName val="traffic_code"/>
      <sheetName val="park_viol"/>
      <sheetName val="Confiscated_Drugs"/>
      <sheetName val="employees"/>
      <sheetName val="codes"/>
      <sheetName val="OtherCodes"/>
      <sheetName val="otherCodes2"/>
      <sheetName val="ilook"/>
      <sheetName val="commands"/>
      <sheetName val="f_islands"/>
    </sheetNames>
    <sheetDataSet>
      <sheetData sheetId="0"/>
      <sheetData sheetId="1">
        <row r="8">
          <cell r="AD8">
            <v>3183</v>
          </cell>
          <cell r="AE8">
            <v>587</v>
          </cell>
        </row>
        <row r="9">
          <cell r="AD9">
            <v>2773</v>
          </cell>
          <cell r="AE9">
            <v>109</v>
          </cell>
        </row>
        <row r="10">
          <cell r="AD10">
            <v>950</v>
          </cell>
          <cell r="AE10">
            <v>737</v>
          </cell>
        </row>
        <row r="11">
          <cell r="AD11">
            <v>788</v>
          </cell>
          <cell r="AE11">
            <v>240</v>
          </cell>
        </row>
        <row r="12">
          <cell r="AD12">
            <v>378</v>
          </cell>
          <cell r="AE12">
            <v>333</v>
          </cell>
        </row>
        <row r="13">
          <cell r="AD13">
            <v>503</v>
          </cell>
          <cell r="AE13">
            <v>169</v>
          </cell>
        </row>
        <row r="14">
          <cell r="AD14">
            <v>464</v>
          </cell>
          <cell r="AE14">
            <v>44</v>
          </cell>
        </row>
        <row r="15">
          <cell r="AD15">
            <v>131</v>
          </cell>
          <cell r="AE15">
            <v>189</v>
          </cell>
        </row>
        <row r="16">
          <cell r="AD16">
            <v>528</v>
          </cell>
          <cell r="AE16">
            <v>140</v>
          </cell>
        </row>
        <row r="17">
          <cell r="AD17">
            <v>150</v>
          </cell>
          <cell r="AE17">
            <v>97</v>
          </cell>
        </row>
        <row r="18">
          <cell r="AD18">
            <v>147</v>
          </cell>
          <cell r="AE18">
            <v>19</v>
          </cell>
        </row>
        <row r="19">
          <cell r="AD19">
            <v>2383</v>
          </cell>
          <cell r="AE19">
            <v>1279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92D050"/>
  </sheetPr>
  <dimension ref="A1:O19"/>
  <sheetViews>
    <sheetView tabSelected="1" zoomScaleNormal="100" workbookViewId="0">
      <selection activeCell="M15" sqref="M15"/>
    </sheetView>
  </sheetViews>
  <sheetFormatPr defaultColWidth="9.140625" defaultRowHeight="15"/>
  <cols>
    <col min="1" max="1" width="21.7109375" style="2" customWidth="1"/>
    <col min="2" max="6" width="11.5703125" style="2" customWidth="1"/>
    <col min="7" max="10" width="12.7109375" style="2" customWidth="1"/>
    <col min="11" max="11" width="27.140625" style="2" customWidth="1"/>
    <col min="12" max="12" width="9.140625" style="2"/>
    <col min="13" max="13" width="22.140625" style="2" bestFit="1" customWidth="1"/>
    <col min="14" max="14" width="6.7109375" style="2" bestFit="1" customWidth="1"/>
    <col min="15" max="17" width="3.28515625" style="2" customWidth="1"/>
    <col min="18" max="18" width="7.5703125" style="2" customWidth="1"/>
    <col min="19" max="19" width="7.28515625" style="2" customWidth="1"/>
    <col min="20" max="25" width="3.28515625" style="2" customWidth="1"/>
    <col min="26" max="26" width="9.140625" style="2"/>
    <col min="27" max="31" width="9.85546875" style="2" customWidth="1"/>
    <col min="32" max="16384" width="9.140625" style="2"/>
  </cols>
  <sheetData>
    <row r="1" spans="1:15" ht="18.75">
      <c r="A1" s="22" t="s">
        <v>31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5" ht="15.75">
      <c r="A2" s="23" t="s">
        <v>30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5" ht="5.2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M3" s="1"/>
    </row>
    <row r="4" spans="1:15" s="6" customFormat="1" ht="15.75">
      <c r="A4" s="4" t="s">
        <v>4</v>
      </c>
      <c r="B4" s="5">
        <v>2016</v>
      </c>
      <c r="C4" s="5">
        <v>2017</v>
      </c>
      <c r="D4" s="5">
        <v>2018</v>
      </c>
      <c r="E4" s="5">
        <v>2019</v>
      </c>
      <c r="F4" s="5">
        <v>2020</v>
      </c>
      <c r="G4" s="5">
        <v>2021</v>
      </c>
      <c r="H4" s="5">
        <v>2022</v>
      </c>
      <c r="I4" s="5">
        <v>2023</v>
      </c>
      <c r="J4" s="5">
        <v>2024</v>
      </c>
      <c r="K4" s="15" t="s">
        <v>5</v>
      </c>
      <c r="L4" s="2"/>
      <c r="M4" s="2"/>
      <c r="N4" s="2"/>
      <c r="O4" s="2"/>
    </row>
    <row r="5" spans="1:15" ht="15.75">
      <c r="A5" s="7" t="s">
        <v>0</v>
      </c>
      <c r="B5" s="8">
        <f t="shared" ref="B5:G5" si="0">SUM(B6:B17)</f>
        <v>16287</v>
      </c>
      <c r="C5" s="8">
        <f t="shared" si="0"/>
        <v>15535</v>
      </c>
      <c r="D5" s="8">
        <f t="shared" si="0"/>
        <v>14811</v>
      </c>
      <c r="E5" s="8">
        <f t="shared" si="0"/>
        <v>16480</v>
      </c>
      <c r="F5" s="8">
        <f t="shared" si="0"/>
        <v>12787</v>
      </c>
      <c r="G5" s="8">
        <f t="shared" si="0"/>
        <v>14143</v>
      </c>
      <c r="H5" s="8">
        <f>SUM(H6:H17)</f>
        <v>13543</v>
      </c>
      <c r="I5" s="8">
        <f>SUM(I6:I17)</f>
        <v>15015</v>
      </c>
      <c r="J5" s="8">
        <f>SUM(J6:J17)</f>
        <v>16321</v>
      </c>
      <c r="K5" s="14" t="s">
        <v>1</v>
      </c>
      <c r="L5" s="6"/>
      <c r="M5" s="6"/>
      <c r="N5" s="6"/>
      <c r="O5" s="6"/>
    </row>
    <row r="6" spans="1:15" ht="18.75">
      <c r="A6" s="17" t="s">
        <v>6</v>
      </c>
      <c r="B6" s="9">
        <v>1467</v>
      </c>
      <c r="C6" s="9">
        <v>1362</v>
      </c>
      <c r="D6" s="9">
        <v>1427</v>
      </c>
      <c r="E6" s="9">
        <v>1313</v>
      </c>
      <c r="F6" s="9">
        <v>1403</v>
      </c>
      <c r="G6" s="9">
        <v>1387</v>
      </c>
      <c r="H6" s="9">
        <v>1174</v>
      </c>
      <c r="I6" s="9">
        <v>1153</v>
      </c>
      <c r="J6" s="9">
        <v>1468</v>
      </c>
      <c r="K6" s="19" t="s">
        <v>7</v>
      </c>
      <c r="M6" s="6"/>
    </row>
    <row r="7" spans="1:15" ht="18.75">
      <c r="A7" s="17" t="s">
        <v>8</v>
      </c>
      <c r="B7" s="9">
        <v>1420</v>
      </c>
      <c r="C7" s="9">
        <v>1112</v>
      </c>
      <c r="D7" s="9">
        <v>1100</v>
      </c>
      <c r="E7" s="9">
        <v>1282</v>
      </c>
      <c r="F7" s="9">
        <v>1210</v>
      </c>
      <c r="G7" s="9">
        <v>1100</v>
      </c>
      <c r="H7" s="9">
        <v>1022</v>
      </c>
      <c r="I7" s="9">
        <v>1226</v>
      </c>
      <c r="J7" s="9">
        <v>1335</v>
      </c>
      <c r="K7" s="19" t="s">
        <v>9</v>
      </c>
      <c r="M7" s="6"/>
    </row>
    <row r="8" spans="1:15" ht="18.75">
      <c r="A8" s="17" t="s">
        <v>10</v>
      </c>
      <c r="B8" s="9">
        <v>1598</v>
      </c>
      <c r="C8" s="9">
        <v>1278</v>
      </c>
      <c r="D8" s="9">
        <v>1374</v>
      </c>
      <c r="E8" s="9">
        <v>1298</v>
      </c>
      <c r="F8" s="9">
        <v>1294</v>
      </c>
      <c r="G8" s="9">
        <v>1261</v>
      </c>
      <c r="H8" s="9">
        <v>1126</v>
      </c>
      <c r="I8" s="9">
        <v>1129</v>
      </c>
      <c r="J8" s="9">
        <v>1457</v>
      </c>
      <c r="K8" s="19" t="s">
        <v>11</v>
      </c>
      <c r="M8" s="6"/>
    </row>
    <row r="9" spans="1:15" ht="18.75">
      <c r="A9" s="17" t="s">
        <v>12</v>
      </c>
      <c r="B9" s="9">
        <v>1251</v>
      </c>
      <c r="C9" s="9">
        <v>1406</v>
      </c>
      <c r="D9" s="9">
        <v>1278</v>
      </c>
      <c r="E9" s="9">
        <v>1411</v>
      </c>
      <c r="F9" s="9">
        <v>748</v>
      </c>
      <c r="G9" s="9">
        <v>1173</v>
      </c>
      <c r="H9" s="9">
        <v>1088</v>
      </c>
      <c r="I9" s="9">
        <v>1114</v>
      </c>
      <c r="J9" s="9">
        <v>1247</v>
      </c>
      <c r="K9" s="19" t="s">
        <v>13</v>
      </c>
      <c r="M9" s="6"/>
    </row>
    <row r="10" spans="1:15" ht="18.75">
      <c r="A10" s="17" t="s">
        <v>14</v>
      </c>
      <c r="B10" s="9">
        <v>1539</v>
      </c>
      <c r="C10" s="9">
        <v>1270</v>
      </c>
      <c r="D10" s="9">
        <v>1156</v>
      </c>
      <c r="E10" s="9">
        <v>1393</v>
      </c>
      <c r="F10" s="9">
        <v>680</v>
      </c>
      <c r="G10" s="9">
        <v>1085</v>
      </c>
      <c r="H10" s="9">
        <v>1277</v>
      </c>
      <c r="I10" s="9">
        <v>1158</v>
      </c>
      <c r="J10" s="9">
        <v>1386</v>
      </c>
      <c r="K10" s="19" t="s">
        <v>15</v>
      </c>
      <c r="M10" s="6"/>
    </row>
    <row r="11" spans="1:15" ht="18.75">
      <c r="A11" s="17" t="s">
        <v>16</v>
      </c>
      <c r="B11" s="9">
        <v>1334</v>
      </c>
      <c r="C11" s="9">
        <v>1216</v>
      </c>
      <c r="D11" s="9">
        <v>1175</v>
      </c>
      <c r="E11" s="9">
        <v>1450</v>
      </c>
      <c r="F11" s="9">
        <v>780</v>
      </c>
      <c r="G11" s="9">
        <v>1077</v>
      </c>
      <c r="H11" s="9">
        <v>1206</v>
      </c>
      <c r="I11" s="9">
        <v>1051</v>
      </c>
      <c r="J11" s="9">
        <v>1362</v>
      </c>
      <c r="K11" s="19" t="s">
        <v>17</v>
      </c>
    </row>
    <row r="12" spans="1:15" ht="18.75">
      <c r="A12" s="17" t="s">
        <v>18</v>
      </c>
      <c r="B12" s="9">
        <v>1301</v>
      </c>
      <c r="C12" s="9">
        <v>1309</v>
      </c>
      <c r="D12" s="9">
        <v>1165</v>
      </c>
      <c r="E12" s="9">
        <v>1432</v>
      </c>
      <c r="F12" s="9">
        <v>990</v>
      </c>
      <c r="G12" s="9">
        <v>1044</v>
      </c>
      <c r="H12" s="9">
        <v>1077</v>
      </c>
      <c r="I12" s="9">
        <v>1163</v>
      </c>
      <c r="J12" s="9">
        <v>1370</v>
      </c>
      <c r="K12" s="19" t="s">
        <v>19</v>
      </c>
      <c r="M12" s="6"/>
    </row>
    <row r="13" spans="1:15" ht="18.75">
      <c r="A13" s="17" t="s">
        <v>20</v>
      </c>
      <c r="B13" s="9">
        <v>1267</v>
      </c>
      <c r="C13" s="9">
        <v>1308</v>
      </c>
      <c r="D13" s="9">
        <v>1296</v>
      </c>
      <c r="E13" s="9">
        <v>1300</v>
      </c>
      <c r="F13" s="9">
        <v>1109</v>
      </c>
      <c r="G13" s="9">
        <v>1205</v>
      </c>
      <c r="H13" s="9">
        <v>1351</v>
      </c>
      <c r="I13" s="9">
        <v>1359</v>
      </c>
      <c r="J13" s="9">
        <v>1397</v>
      </c>
      <c r="K13" s="19" t="s">
        <v>21</v>
      </c>
      <c r="M13" s="6"/>
    </row>
    <row r="14" spans="1:15" ht="18.75">
      <c r="A14" s="17" t="s">
        <v>22</v>
      </c>
      <c r="B14" s="9">
        <v>1189</v>
      </c>
      <c r="C14" s="9">
        <v>1223</v>
      </c>
      <c r="D14" s="9">
        <v>1278</v>
      </c>
      <c r="E14" s="9">
        <v>1409</v>
      </c>
      <c r="F14" s="9">
        <v>1174</v>
      </c>
      <c r="G14" s="9">
        <v>1206</v>
      </c>
      <c r="H14" s="9">
        <v>1060</v>
      </c>
      <c r="I14" s="9">
        <v>1335</v>
      </c>
      <c r="J14" s="9">
        <v>1231</v>
      </c>
      <c r="K14" s="19" t="s">
        <v>23</v>
      </c>
      <c r="M14" s="6"/>
    </row>
    <row r="15" spans="1:15" ht="18.75">
      <c r="A15" s="17" t="s">
        <v>24</v>
      </c>
      <c r="B15" s="9">
        <v>1252</v>
      </c>
      <c r="C15" s="9">
        <v>1482</v>
      </c>
      <c r="D15" s="9">
        <v>1300</v>
      </c>
      <c r="E15" s="9">
        <v>1505</v>
      </c>
      <c r="F15" s="9">
        <v>1107</v>
      </c>
      <c r="G15" s="9">
        <v>1189</v>
      </c>
      <c r="H15" s="9">
        <v>1050</v>
      </c>
      <c r="I15" s="9">
        <v>1476</v>
      </c>
      <c r="J15" s="9">
        <v>1383</v>
      </c>
      <c r="K15" s="19" t="s">
        <v>25</v>
      </c>
      <c r="M15" s="6"/>
    </row>
    <row r="16" spans="1:15" ht="18.75">
      <c r="A16" s="17" t="s">
        <v>26</v>
      </c>
      <c r="B16" s="9">
        <v>1300</v>
      </c>
      <c r="C16" s="9">
        <v>1296</v>
      </c>
      <c r="D16" s="9">
        <v>1096</v>
      </c>
      <c r="E16" s="9">
        <v>1244</v>
      </c>
      <c r="F16" s="9">
        <v>1116</v>
      </c>
      <c r="G16" s="9">
        <v>1161</v>
      </c>
      <c r="H16" s="9">
        <v>1076</v>
      </c>
      <c r="I16" s="9">
        <v>1480</v>
      </c>
      <c r="J16" s="9">
        <v>1277</v>
      </c>
      <c r="K16" s="19" t="s">
        <v>27</v>
      </c>
      <c r="M16" s="6"/>
    </row>
    <row r="17" spans="1:13" ht="18.75">
      <c r="A17" s="18" t="s">
        <v>28</v>
      </c>
      <c r="B17" s="10">
        <v>1369</v>
      </c>
      <c r="C17" s="10">
        <v>1273</v>
      </c>
      <c r="D17" s="10">
        <v>1166</v>
      </c>
      <c r="E17" s="10">
        <v>1443</v>
      </c>
      <c r="F17" s="10">
        <v>1176</v>
      </c>
      <c r="G17" s="10">
        <v>1255</v>
      </c>
      <c r="H17" s="10">
        <v>1036</v>
      </c>
      <c r="I17" s="10">
        <v>1371</v>
      </c>
      <c r="J17" s="10">
        <v>1408</v>
      </c>
      <c r="K17" s="20" t="s">
        <v>29</v>
      </c>
      <c r="M17" s="6"/>
    </row>
    <row r="18" spans="1:13">
      <c r="A18" s="11" t="s">
        <v>2</v>
      </c>
      <c r="B18" s="12"/>
      <c r="C18" s="12"/>
      <c r="D18" s="12"/>
      <c r="E18" s="12"/>
      <c r="F18" s="12"/>
      <c r="G18" s="21"/>
      <c r="H18" s="21"/>
      <c r="I18" s="21"/>
      <c r="J18" s="21"/>
      <c r="K18" s="16" t="s">
        <v>3</v>
      </c>
    </row>
    <row r="19" spans="1:13">
      <c r="A19" s="11"/>
      <c r="B19" s="12"/>
      <c r="C19" s="12"/>
      <c r="D19" s="12"/>
      <c r="E19" s="12"/>
      <c r="F19" s="12"/>
      <c r="G19" s="21"/>
      <c r="H19" s="21"/>
      <c r="I19" s="21"/>
      <c r="J19" s="21"/>
      <c r="K19" s="13"/>
    </row>
  </sheetData>
  <mergeCells count="2">
    <mergeCell ref="A1:K1"/>
    <mergeCell ref="A2:K2"/>
  </mergeCells>
  <pageMargins left="0.7" right="0.7" top="0.75" bottom="0.75" header="0.3" footer="0.3"/>
  <pageSetup scale="54" orientation="portrait" r:id="rId1"/>
  <drawing r:id="rId2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75c82633-bac2-4eeb-a472-e92fb7a90b9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8.5</vt:lpstr>
      <vt:lpstr>'8.5'!Print_Area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2025-08-13T05:51:48Z</cp:lastPrinted>
  <dcterms:created xsi:type="dcterms:W3CDTF">2019-06-30T04:22:49Z</dcterms:created>
  <dcterms:modified xsi:type="dcterms:W3CDTF">2025-08-13T05:52:04Z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2023-07-17T04:33:18Z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75c82633-bac2-4eeb-a472-e92fb7a90b9f</vt:lpwstr>
  </property>
  <property fmtid="{D5CDD505-2E9C-101B-9397-08002B2CF9AE}" pid="7" name="MSIP_Label_defa4170-0d19-0005-0004-bc88714345d2_ActionId">
    <vt:lpwstr>b5bda0bc-38ca-4d61-82ae-4e15e380adf9</vt:lpwstr>
  </property>
  <property fmtid="{D5CDD505-2E9C-101B-9397-08002B2CF9AE}" pid="8" name="MSIP_Label_defa4170-0d19-0005-0004-bc88714345d2_ContentBits">
    <vt:lpwstr>0</vt:lpwstr>
  </property>
</Properties>
</file>