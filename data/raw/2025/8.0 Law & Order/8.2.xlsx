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C95F0A83-D4B7-49D2-9C88-5AF518B09E67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2" sheetId="2" r:id="rId1"/>
  </sheets>
  <externalReferences>
    <externalReference r:id="rId2"/>
  </externalReferences>
  <definedNames>
    <definedName name="_xlnm.Print_Area" localSheetId="0">'8.2'!$A$1:$R$49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O8" i="2" l="1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N9" i="2" s="1"/>
  <c r="K8" i="2"/>
  <c r="M7" i="2"/>
  <c r="L7" i="2"/>
  <c r="K7" i="2" l="1"/>
  <c r="H30" i="2" l="1"/>
  <c r="N30" i="2" s="1"/>
  <c r="H29" i="2"/>
  <c r="N29" i="2" s="1"/>
  <c r="H28" i="2"/>
  <c r="N28" i="2" s="1"/>
  <c r="H27" i="2"/>
  <c r="N27" i="2" s="1"/>
  <c r="H26" i="2"/>
  <c r="N26" i="2" s="1"/>
  <c r="H25" i="2"/>
  <c r="N25" i="2" s="1"/>
  <c r="H24" i="2"/>
  <c r="N24" i="2" s="1"/>
  <c r="H23" i="2"/>
  <c r="N23" i="2" s="1"/>
  <c r="H22" i="2"/>
  <c r="N22" i="2" s="1"/>
  <c r="H21" i="2"/>
  <c r="N21" i="2" s="1"/>
  <c r="H20" i="2"/>
  <c r="N20" i="2" s="1"/>
  <c r="H19" i="2"/>
  <c r="N19" i="2" s="1"/>
  <c r="H18" i="2"/>
  <c r="N18" i="2" s="1"/>
  <c r="H17" i="2"/>
  <c r="N17" i="2" s="1"/>
  <c r="H16" i="2"/>
  <c r="N16" i="2" s="1"/>
  <c r="H15" i="2"/>
  <c r="N15" i="2" s="1"/>
  <c r="H14" i="2"/>
  <c r="N14" i="2" s="1"/>
  <c r="H13" i="2"/>
  <c r="N13" i="2" s="1"/>
  <c r="H12" i="2"/>
  <c r="N12" i="2" s="1"/>
  <c r="H11" i="2"/>
  <c r="N11" i="2" s="1"/>
  <c r="H10" i="2"/>
  <c r="N10" i="2" s="1"/>
  <c r="H8" i="2"/>
  <c r="N8" i="2" s="1"/>
  <c r="J7" i="2"/>
  <c r="P7" i="2" s="1"/>
  <c r="I7" i="2"/>
  <c r="O7" i="2" l="1"/>
  <c r="H7" i="2"/>
  <c r="N7" i="2" s="1"/>
  <c r="E30" i="2" l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G7" i="2"/>
  <c r="F7" i="2"/>
  <c r="E7" i="2" l="1"/>
  <c r="B30" i="2" l="1"/>
  <c r="B29" i="2"/>
  <c r="B28" i="2"/>
  <c r="B27" i="2"/>
  <c r="B26" i="2"/>
  <c r="B25" i="2"/>
  <c r="B24" i="2"/>
  <c r="B23" i="2"/>
  <c r="B22" i="2"/>
  <c r="B21" i="2"/>
  <c r="B20" i="2"/>
  <c r="D7" i="2"/>
  <c r="C7" i="2"/>
  <c r="B19" i="2"/>
  <c r="B18" i="2"/>
  <c r="B17" i="2"/>
  <c r="B16" i="2"/>
  <c r="B15" i="2"/>
  <c r="B14" i="2"/>
  <c r="B13" i="2"/>
  <c r="B12" i="2"/>
  <c r="B11" i="2"/>
  <c r="B10" i="2"/>
  <c r="B9" i="2"/>
  <c r="B8" i="2"/>
  <c r="B7" i="2" l="1"/>
</calcChain>
</file>

<file path=xl/sharedStrings.xml><?xml version="1.0" encoding="utf-8"?>
<sst xmlns="http://schemas.openxmlformats.org/spreadsheetml/2006/main" count="86" uniqueCount="60">
  <si>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</si>
  <si>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</si>
  <si>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</si>
  <si>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</si>
  <si>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</si>
  <si>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</si>
  <si>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</si>
  <si>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</si>
  <si>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</si>
  <si>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</si>
  <si>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</si>
  <si>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</si>
  <si>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</si>
  <si>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</si>
  <si>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</si>
  <si>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</si>
  <si>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</si>
  <si>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</si>
  <si>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</si>
  <si>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</si>
  <si>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</si>
  <si>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</si>
  <si>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</si>
  <si>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</si>
  <si>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</si>
  <si>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</si>
  <si>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</si>
  <si>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</si>
  <si>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</si>
  <si>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</si>
  <si>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</si>
  <si>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</si>
  <si>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</si>
  <si>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</si>
  <si>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</si>
  <si>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</si>
  <si>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</si>
  <si>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</si>
  <si>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</si>
  <si>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</si>
  <si>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</si>
  <si>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</si>
  <si>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</si>
  <si>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</si>
  <si>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</si>
  <si>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</si>
  <si>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</si>
  <si>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</si>
  <si>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</si>
  <si>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</si>
  <si>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</si>
  <si>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</si>
  <si>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</si>
  <si>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</si>
  <si>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</si>
  <si>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</si>
  <si>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</si>
  <si>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2023</t>
  </si>
  <si>
    <t>TABLE 8.2  : NUMBER OF  LOGGED CASES BY  LOCALITY &amp; TYPE OF CASES, 2021 - 2024</t>
  </si>
  <si>
    <t>ތާވަލު 8.2: މާލެ އަދި އަތޮޅުތަކުން ހުށަހެޅިފައިވާ މައްސަލަތަކުގެ ޢަދަދު އަދި ބާވަތް، 2021- 2024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</si>
</sst>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22" fillId="0" borderId="0"/>
    <xf numFmtId="0" fontId="27" fillId="0" borderId="14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2" fontId="31" fillId="0" borderId="0"/>
    <xf numFmtId="1" fontId="32" fillId="0" borderId="18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6" fillId="0" borderId="0"/>
    <xf numFmtId="1" fontId="32" fillId="0" borderId="18" applyNumberFormat="0"/>
    <xf numFmtId="0" fontId="1" fillId="0" borderId="0"/>
    <xf numFmtId="0" fontId="30" fillId="0" borderId="0"/>
    <xf numFmtId="0" fontId="21" fillId="0" borderId="0" applyFill="0" applyProtection="0"/>
    <xf numFmtId="1" fontId="32" fillId="0" borderId="18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21" fillId="0" borderId="0" applyFill="0" applyProtection="0"/>
    <xf numFmtId="1" fontId="32" fillId="0" borderId="18" applyNumberFormat="0"/>
    <xf numFmtId="0" fontId="1" fillId="0" borderId="0"/>
    <xf numFmtId="0" fontId="26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8" applyNumberFormat="0"/>
    <xf numFmtId="1" fontId="32" fillId="0" borderId="18" applyNumberFormat="0"/>
    <xf numFmtId="1" fontId="32" fillId="0" borderId="18" applyNumberFormat="0"/>
    <xf numFmtId="1" fontId="32" fillId="0" borderId="18" applyNumberFormat="0"/>
    <xf numFmtId="0" fontId="36" fillId="0" borderId="0"/>
    <xf numFmtId="0" fontId="36" fillId="0" borderId="0"/>
  </cellStyleXfs>
  <cellXfs count="7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>
      <alignment horizontal="right"/>
    </xf>
    <xf numFmtId="164" fontId="20" fillId="2" borderId="3" xfId="0" applyNumberFormat="1" applyFont="1" applyFill="1" applyBorder="1" applyAlignment="1">
      <alignment horizontal="right" vertical="center" wrapText="1"/>
    </xf>
    <xf numFmtId="164" fontId="20" fillId="2" borderId="6" xfId="0" applyNumberFormat="1" applyFont="1" applyFill="1" applyBorder="1" applyAlignment="1">
      <alignment horizontal="right" vertical="center" wrapText="1"/>
    </xf>
    <xf numFmtId="164" fontId="20" fillId="2" borderId="7" xfId="0" applyNumberFormat="1" applyFont="1" applyFill="1" applyBorder="1" applyAlignment="1">
      <alignment horizontal="right"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6" fontId="5" fillId="2" borderId="0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4" fontId="23" fillId="2" borderId="0" xfId="0" applyNumberFormat="1" applyFont="1" applyFill="1"/>
    <xf numFmtId="166" fontId="6" fillId="2" borderId="0" xfId="3" applyFont="1" applyFill="1" applyBorder="1" applyAlignment="1">
      <alignment horizontal="center" vertical="center"/>
    </xf>
    <xf numFmtId="166" fontId="13" fillId="2" borderId="0" xfId="3" applyFont="1" applyFill="1" applyBorder="1" applyAlignment="1">
      <alignment horizontal="center" vertical="center"/>
    </xf>
    <xf numFmtId="166" fontId="12" fillId="2" borderId="0" xfId="3" applyFont="1" applyFill="1" applyBorder="1" applyAlignment="1">
      <alignment horizontal="center" vertical="center"/>
    </xf>
    <xf numFmtId="166" fontId="12" fillId="2" borderId="11" xfId="3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0" xfId="0" applyNumberFormat="1" applyFont="1" applyFill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left" vertical="center" indent="1"/>
    </xf>
    <xf numFmtId="166" fontId="12" fillId="2" borderId="4" xfId="3" applyFont="1" applyFill="1" applyBorder="1" applyAlignment="1">
      <alignment horizontal="center" vertical="center"/>
    </xf>
    <xf numFmtId="166" fontId="12" fillId="2" borderId="8" xfId="3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right" vertical="center" indent="1"/>
    </xf>
    <xf numFmtId="164" fontId="16" fillId="2" borderId="0" xfId="0" applyNumberFormat="1" applyFont="1" applyFill="1"/>
    <xf numFmtId="164" fontId="18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25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3" fontId="5" fillId="2" borderId="12" xfId="3" applyNumberFormat="1" applyFont="1" applyFill="1" applyBorder="1" applyAlignment="1">
      <alignment horizontal="right" vertical="center"/>
    </xf>
    <xf numFmtId="3" fontId="5" fillId="2" borderId="9" xfId="3" applyNumberFormat="1" applyFont="1" applyFill="1" applyBorder="1" applyAlignment="1">
      <alignment horizontal="right" vertical="center"/>
    </xf>
    <xf numFmtId="164" fontId="12" fillId="2" borderId="4" xfId="0" applyNumberFormat="1" applyFont="1" applyFill="1" applyBorder="1" applyAlignment="1">
      <alignment vertical="center"/>
    </xf>
    <xf numFmtId="164" fontId="10" fillId="2" borderId="4" xfId="0" applyNumberFormat="1" applyFont="1" applyFill="1" applyBorder="1" applyAlignment="1">
      <alignment horizontal="right" vertical="center"/>
    </xf>
    <xf numFmtId="165" fontId="14" fillId="2" borderId="0" xfId="4" applyNumberFormat="1" applyFont="1" applyFill="1" applyBorder="1" applyAlignment="1" applyProtection="1">
      <alignment horizontal="right" vertical="center"/>
      <protection locked="0"/>
    </xf>
    <xf numFmtId="165" fontId="14" fillId="2" borderId="4" xfId="4" applyNumberFormat="1" applyFont="1" applyFill="1" applyBorder="1" applyAlignment="1" applyProtection="1">
      <alignment horizontal="right" vertical="center"/>
      <protection locked="0"/>
    </xf>
    <xf numFmtId="164" fontId="28" fillId="2" borderId="13" xfId="0" applyNumberFormat="1" applyFont="1" applyFill="1" applyBorder="1" applyAlignment="1">
      <alignment horizontal="right"/>
    </xf>
    <xf numFmtId="164" fontId="29" fillId="2" borderId="10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right" vertical="center" wrapText="1"/>
    </xf>
    <xf numFmtId="164" fontId="20" fillId="2" borderId="15" xfId="0" applyNumberFormat="1" applyFont="1" applyFill="1" applyBorder="1" applyAlignment="1">
      <alignment horizontal="right" vertical="center" wrapText="1"/>
    </xf>
    <xf numFmtId="166" fontId="5" fillId="2" borderId="11" xfId="3" applyFont="1" applyFill="1" applyBorder="1" applyAlignment="1">
      <alignment horizontal="center" vertical="center"/>
    </xf>
    <xf numFmtId="165" fontId="14" fillId="2" borderId="9" xfId="4" applyNumberFormat="1" applyFont="1" applyFill="1" applyBorder="1" applyAlignment="1" applyProtection="1">
      <alignment horizontal="right" vertical="center"/>
      <protection locked="0"/>
    </xf>
    <xf numFmtId="166" fontId="12" fillId="3" borderId="0" xfId="3" applyFont="1" applyFill="1" applyBorder="1" applyAlignment="1">
      <alignment horizontal="center" vertical="center"/>
    </xf>
    <xf numFmtId="166" fontId="12" fillId="3" borderId="4" xfId="3" applyFont="1" applyFill="1" applyBorder="1" applyAlignment="1">
      <alignment horizontal="center" vertical="center"/>
    </xf>
    <xf numFmtId="166" fontId="12" fillId="3" borderId="8" xfId="3" applyFont="1" applyFill="1" applyBorder="1" applyAlignment="1">
      <alignment horizontal="center" vertical="center"/>
    </xf>
    <xf numFmtId="165" fontId="14" fillId="2" borderId="19" xfId="4" applyNumberFormat="1" applyFont="1" applyFill="1" applyBorder="1" applyAlignment="1" applyProtection="1">
      <alignment horizontal="right" vertical="center"/>
      <protection locked="0"/>
    </xf>
    <xf numFmtId="165" fontId="14" fillId="2" borderId="20" xfId="4" applyNumberFormat="1" applyFont="1" applyFill="1" applyBorder="1" applyAlignment="1" applyProtection="1">
      <alignment horizontal="right" vertical="center"/>
      <protection locked="0"/>
    </xf>
    <xf numFmtId="165" fontId="14" fillId="2" borderId="12" xfId="4" applyNumberFormat="1" applyFont="1" applyFill="1" applyBorder="1" applyAlignment="1" applyProtection="1">
      <alignment horizontal="right" vertical="center"/>
      <protection locked="0"/>
    </xf>
    <xf numFmtId="166" fontId="12" fillId="3" borderId="11" xfId="3" applyFont="1" applyFill="1" applyBorder="1" applyAlignment="1">
      <alignment horizontal="center" vertical="center"/>
    </xf>
    <xf numFmtId="3" fontId="12" fillId="3" borderId="0" xfId="3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16" xfId="0" applyNumberFormat="1" applyFont="1" applyFill="1" applyBorder="1" applyAlignment="1">
      <alignment horizontal="center" vertical="top"/>
    </xf>
    <xf numFmtId="164" fontId="3" fillId="2" borderId="17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15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19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'8.2'!$L$8:$L$19</c:f>
              <c:numCache>
                <c:formatCode>_-* #,##0_-;\-* #,##0_-;_-* "-"??_-;_-@_-</c:formatCode>
                <c:ptCount val="12"/>
                <c:pt idx="0">
                  <c:v>3183</c:v>
                </c:pt>
                <c:pt idx="1">
                  <c:v>2773</c:v>
                </c:pt>
                <c:pt idx="2">
                  <c:v>950</c:v>
                </c:pt>
                <c:pt idx="3">
                  <c:v>788</c:v>
                </c:pt>
                <c:pt idx="4">
                  <c:v>377</c:v>
                </c:pt>
                <c:pt idx="5">
                  <c:v>503</c:v>
                </c:pt>
                <c:pt idx="6">
                  <c:v>464</c:v>
                </c:pt>
                <c:pt idx="7">
                  <c:v>131</c:v>
                </c:pt>
                <c:pt idx="8">
                  <c:v>528</c:v>
                </c:pt>
                <c:pt idx="9">
                  <c:v>168</c:v>
                </c:pt>
                <c:pt idx="10">
                  <c:v>147</c:v>
                </c:pt>
                <c:pt idx="11">
                  <c:v>2366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'8.2'!$M$8:$M$19</c:f>
              <c:numCache>
                <c:formatCode>_-* #,##0_-;\-* #,##0_-;_-* "-"??_-;_-@_-</c:formatCode>
                <c:ptCount val="12"/>
                <c:pt idx="0">
                  <c:v>584</c:v>
                </c:pt>
                <c:pt idx="1">
                  <c:v>109</c:v>
                </c:pt>
                <c:pt idx="2">
                  <c:v>737</c:v>
                </c:pt>
                <c:pt idx="3">
                  <c:v>240</c:v>
                </c:pt>
                <c:pt idx="4">
                  <c:v>333</c:v>
                </c:pt>
                <c:pt idx="5">
                  <c:v>169</c:v>
                </c:pt>
                <c:pt idx="6">
                  <c:v>44</c:v>
                </c:pt>
                <c:pt idx="7">
                  <c:v>189</c:v>
                </c:pt>
                <c:pt idx="8">
                  <c:v>140</c:v>
                </c:pt>
                <c:pt idx="9">
                  <c:v>116</c:v>
                </c:pt>
                <c:pt idx="10">
                  <c:v>19</c:v>
                </c:pt>
                <c:pt idx="11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0-2893-4346-9D38-7C986CA48CD6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1-2893-4346-9D38-7C986CA48CD6}"/>
              </c:ext>
            </c:extLst>
          </c:dPt>
          <c:dLbls>
            <c:dLbl>
              <c:idx val="0"/>
              <c:layout>
                <c:manualLayout>
                  <c:x val="-7.4635422759303877E-2"/>
                  <c:y val="-0.226646069247199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93-4346-9D38-7C986CA48C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'8.2'!$L$7:$M$7</c:f>
              <c:numCache>
                <c:formatCode>_-* #,##0_-;\-* #,##0_-;_-* "-"??_-;_-@_-</c:formatCode>
                <c:ptCount val="2"/>
                <c:pt idx="0">
                  <c:v>12378</c:v>
                </c:pt>
                <c:pt idx="1">
                  <c:v>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'[1]8.2'!$AD$8:$AE$8</c:f>
              <c:numCache>
                <c:formatCode>General</c:formatCode>
                <c:ptCount val="2"/>
                <c:pt idx="0">
                  <c:v>3183</c:v>
                </c:pt>
                <c:pt idx="1">
                  <c:v>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9-4D23-9264-6230849E2B70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'[1]8.2'!$AD$9:$AE$9</c:f>
              <c:numCache>
                <c:formatCode>General</c:formatCode>
                <c:ptCount val="2"/>
                <c:pt idx="0">
                  <c:v>2773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9-4D23-9264-6230849E2B70}"/>
            </c:ext>
          </c:extLst>
        </c:ser>
        <c:ser>
          <c:idx val="3"/>
          <c:order val="3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'[1]8.2'!$AD$10:$AE$10</c:f>
              <c:numCache>
                <c:formatCode>General</c:formatCode>
                <c:ptCount val="2"/>
                <c:pt idx="0">
                  <c:v>950</c:v>
                </c:pt>
                <c:pt idx="1">
                  <c:v>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9-4D23-9264-6230849E2B70}"/>
            </c:ext>
          </c:extLst>
        </c:ser>
        <c:ser>
          <c:idx val="4"/>
          <c:order val="4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'[1]8.2'!$AD$11:$AE$11</c:f>
              <c:numCache>
                <c:formatCode>General</c:formatCode>
                <c:ptCount val="2"/>
                <c:pt idx="0">
                  <c:v>788</c:v>
                </c:pt>
                <c:pt idx="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9-4D23-9264-6230849E2B70}"/>
            </c:ext>
          </c:extLst>
        </c:ser>
        <c:ser>
          <c:idx val="5"/>
          <c:order val="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'[1]8.2'!$AD$12:$AE$12</c:f>
              <c:numCache>
                <c:formatCode>General</c:formatCode>
                <c:ptCount val="2"/>
                <c:pt idx="0">
                  <c:v>378</c:v>
                </c:pt>
                <c:pt idx="1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B9-4D23-9264-6230849E2B70}"/>
            </c:ext>
          </c:extLst>
        </c:ser>
        <c:ser>
          <c:idx val="6"/>
          <c:order val="6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'[1]8.2'!$AD$13:$AE$13</c:f>
              <c:numCache>
                <c:formatCode>General</c:formatCode>
                <c:ptCount val="2"/>
                <c:pt idx="0">
                  <c:v>503</c:v>
                </c:pt>
                <c:pt idx="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B9-4D23-9264-6230849E2B70}"/>
            </c:ext>
          </c:extLst>
        </c:ser>
        <c:ser>
          <c:idx val="7"/>
          <c:order val="7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'[1]8.2'!$AD$14:$AE$14</c:f>
              <c:numCache>
                <c:formatCode>General</c:formatCode>
                <c:ptCount val="2"/>
                <c:pt idx="0">
                  <c:v>464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B9-4D23-9264-6230849E2B70}"/>
            </c:ext>
          </c:extLst>
        </c:ser>
        <c:ser>
          <c:idx val="8"/>
          <c:order val="8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'[1]8.2'!$AD$15:$AE$15</c:f>
              <c:numCache>
                <c:formatCode>General</c:formatCode>
                <c:ptCount val="2"/>
                <c:pt idx="0">
                  <c:v>131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B9-4D23-9264-6230849E2B70}"/>
            </c:ext>
          </c:extLst>
        </c:ser>
        <c:ser>
          <c:idx val="9"/>
          <c:order val="9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'[1]8.2'!$AD$16:$AE$16</c:f>
              <c:numCache>
                <c:formatCode>General</c:formatCode>
                <c:ptCount val="2"/>
                <c:pt idx="0">
                  <c:v>528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B9-4D23-9264-6230849E2B70}"/>
            </c:ext>
          </c:extLst>
        </c:ser>
        <c:ser>
          <c:idx val="10"/>
          <c:order val="1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'[1]8.2'!$AD$17:$AE$17</c:f>
              <c:numCache>
                <c:formatCode>General</c:formatCode>
                <c:ptCount val="2"/>
                <c:pt idx="0">
                  <c:v>150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B9-4D23-9264-6230849E2B70}"/>
            </c:ext>
          </c:extLst>
        </c:ser>
        <c:ser>
          <c:idx val="11"/>
          <c:order val="1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'[1]8.2'!$AD$18:$AE$18</c:f>
              <c:numCache>
                <c:formatCode>General</c:formatCode>
                <c:ptCount val="2"/>
                <c:pt idx="0">
                  <c:v>147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B9-4D23-9264-6230849E2B70}"/>
            </c:ext>
          </c:extLst>
        </c:ser>
        <c:ser>
          <c:idx val="12"/>
          <c:order val="12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'8.2'!$L$6:$M$6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'[1]8.2'!$AD$19:$AE$19</c:f>
              <c:numCache>
                <c:formatCode>General</c:formatCode>
                <c:ptCount val="2"/>
                <c:pt idx="0">
                  <c:v>2383</c:v>
                </c:pt>
                <c:pt idx="1">
                  <c:v>1279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B9-4D23-9264-6230849E2B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291402</xdr:colOff>
      <xdr:row>31</xdr:row>
      <xdr:rowOff>97647</xdr:rowOff>
    </xdr:from>
    <xdr:to>
      <xdr:col>9</xdr:col>
      <xdr:colOff>284655</xdr:colOff>
      <xdr:row>47</xdr:row>
      <xdr:rowOff>154722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448877</xdr:colOff>
      <xdr:row>31</xdr:row>
      <xdr:rowOff>139335</xdr:rowOff>
    </xdr:from>
    <xdr:to>
      <xdr:col>16</xdr:col>
      <xdr:colOff>2222499</xdr:colOff>
      <xdr:row>47</xdr:row>
      <xdr:rowOff>168422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838968</xdr:colOff>
      <xdr:row>32</xdr:row>
      <xdr:rowOff>31396</xdr:rowOff>
    </xdr:from>
    <xdr:to>
      <xdr:col>8</xdr:col>
      <xdr:colOff>558363</xdr:colOff>
      <xdr:row>33</xdr:row>
      <xdr:rowOff>127930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38968" y="4892430"/>
          <a:ext cx="5795688" cy="28265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9</xdr:col>
      <xdr:colOff>476468</xdr:colOff>
      <xdr:row>32</xdr:row>
      <xdr:rowOff>67764</xdr:rowOff>
    </xdr:from>
    <xdr:to>
      <xdr:col>16</xdr:col>
      <xdr:colOff>1237154</xdr:colOff>
      <xdr:row>34</xdr:row>
      <xdr:rowOff>186119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165865" y="4928798"/>
          <a:ext cx="5085255" cy="490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A41"/>
  <sheetViews>
    <sheetView tabSelected="1" topLeftCell="F1" zoomScaleNormal="100" workbookViewId="0">
      <selection activeCell="T6" sqref="T6"/>
    </sheetView>
  </sheetViews>
  <sheetFormatPr defaultColWidth="9.140625" defaultRowHeight="15"/>
  <cols>
    <col min="1" max="1" width="26.7109375" style="1" customWidth="1"/>
    <col min="2" max="13" width="9.140625" style="1" customWidth="1"/>
    <col min="14" max="15" width="9.42578125" style="1" customWidth="1"/>
    <col min="16" max="16" width="9.28515625" style="1" customWidth="1"/>
    <col min="17" max="17" width="35.140625" style="1" customWidth="1"/>
    <col min="18" max="18" width="3.5703125" style="1" customWidth="1"/>
    <col min="19" max="19" width="9.140625" style="1"/>
    <col min="20" max="20" width="22.140625" style="1" bestFit="1" customWidth="1"/>
    <col min="21" max="16384" width="9.140625" style="1"/>
  </cols>
  <sheetData>
    <row r="1" spans="1:27" ht="21">
      <c r="A1" s="68" t="s">
        <v>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27" ht="21.75" customHeight="1">
      <c r="A2" s="54" t="s">
        <v>58</v>
      </c>
      <c r="B2" s="55"/>
      <c r="C2" s="55"/>
      <c r="D2" s="55"/>
      <c r="E2" s="56"/>
      <c r="F2" s="56"/>
      <c r="G2" s="56"/>
      <c r="H2" s="56"/>
      <c r="I2" s="56"/>
      <c r="J2" s="56"/>
      <c r="K2" s="56"/>
      <c r="L2" s="56"/>
      <c r="M2" s="56"/>
      <c r="N2" s="54"/>
      <c r="O2" s="54"/>
      <c r="P2" s="54"/>
      <c r="Q2" s="54"/>
      <c r="T2" s="2"/>
    </row>
    <row r="3" spans="1:27" ht="17.25" customHeight="1">
      <c r="A3" s="57" t="s">
        <v>31</v>
      </c>
      <c r="B3" s="59">
        <v>2021</v>
      </c>
      <c r="C3" s="60"/>
      <c r="D3" s="61"/>
      <c r="E3" s="59">
        <v>2022</v>
      </c>
      <c r="F3" s="60"/>
      <c r="G3" s="61"/>
      <c r="H3" s="59">
        <v>2023</v>
      </c>
      <c r="I3" s="60"/>
      <c r="J3" s="61"/>
      <c r="K3" s="59">
        <v>2024</v>
      </c>
      <c r="L3" s="60"/>
      <c r="M3" s="61"/>
      <c r="N3" s="70" t="s">
        <v>32</v>
      </c>
      <c r="O3" s="71"/>
      <c r="P3" s="71"/>
      <c r="Q3" s="53" t="s">
        <v>0</v>
      </c>
    </row>
    <row r="4" spans="1:27" ht="16.5" customHeight="1">
      <c r="A4" s="69"/>
      <c r="B4" s="62"/>
      <c r="C4" s="63"/>
      <c r="D4" s="64"/>
      <c r="E4" s="62"/>
      <c r="F4" s="63"/>
      <c r="G4" s="64"/>
      <c r="H4" s="62"/>
      <c r="I4" s="63"/>
      <c r="J4" s="64"/>
      <c r="K4" s="62"/>
      <c r="L4" s="63"/>
      <c r="M4" s="64"/>
      <c r="N4" s="67" t="s">
        <v>57</v>
      </c>
      <c r="O4" s="67"/>
      <c r="P4" s="67"/>
      <c r="Q4" s="65"/>
      <c r="T4" s="3"/>
      <c r="U4" s="3"/>
      <c r="V4" s="3"/>
      <c r="W4" s="3"/>
      <c r="X4" s="3"/>
      <c r="Y4" s="3"/>
    </row>
    <row r="5" spans="1:27" ht="18.75">
      <c r="A5" s="69"/>
      <c r="B5" s="10" t="s">
        <v>33</v>
      </c>
      <c r="C5" s="42" t="s">
        <v>34</v>
      </c>
      <c r="D5" s="9" t="s">
        <v>35</v>
      </c>
      <c r="E5" s="10" t="s">
        <v>33</v>
      </c>
      <c r="F5" s="42" t="s">
        <v>34</v>
      </c>
      <c r="G5" s="9" t="s">
        <v>35</v>
      </c>
      <c r="H5" s="10" t="s">
        <v>33</v>
      </c>
      <c r="I5" s="42" t="s">
        <v>34</v>
      </c>
      <c r="J5" s="9" t="s">
        <v>35</v>
      </c>
      <c r="K5" s="10" t="s">
        <v>33</v>
      </c>
      <c r="L5" s="42" t="s">
        <v>34</v>
      </c>
      <c r="M5" s="9" t="s">
        <v>35</v>
      </c>
      <c r="N5" s="42" t="s">
        <v>33</v>
      </c>
      <c r="O5" s="8" t="s">
        <v>34</v>
      </c>
      <c r="P5" s="8" t="s">
        <v>35</v>
      </c>
      <c r="Q5" s="65"/>
      <c r="T5" s="3"/>
      <c r="U5" s="3"/>
      <c r="V5" s="3"/>
      <c r="W5" s="3"/>
      <c r="X5" s="3"/>
      <c r="Y5" s="3"/>
    </row>
    <row r="6" spans="1:27" ht="13.5" customHeight="1">
      <c r="A6" s="58"/>
      <c r="B6" s="12" t="s">
        <v>36</v>
      </c>
      <c r="C6" s="41" t="s">
        <v>37</v>
      </c>
      <c r="D6" s="11" t="s">
        <v>38</v>
      </c>
      <c r="E6" s="12" t="s">
        <v>36</v>
      </c>
      <c r="F6" s="41" t="s">
        <v>37</v>
      </c>
      <c r="G6" s="11" t="s">
        <v>38</v>
      </c>
      <c r="H6" s="12" t="s">
        <v>36</v>
      </c>
      <c r="I6" s="41" t="s">
        <v>37</v>
      </c>
      <c r="J6" s="11" t="s">
        <v>38</v>
      </c>
      <c r="K6" s="12" t="s">
        <v>36</v>
      </c>
      <c r="L6" s="41" t="s">
        <v>37</v>
      </c>
      <c r="M6" s="11" t="s">
        <v>38</v>
      </c>
      <c r="N6" s="41" t="s">
        <v>36</v>
      </c>
      <c r="O6" s="41" t="s">
        <v>37</v>
      </c>
      <c r="P6" s="41" t="s">
        <v>38</v>
      </c>
      <c r="Q6" s="66"/>
      <c r="T6" s="3"/>
      <c r="U6" s="3"/>
      <c r="V6" s="3"/>
      <c r="W6" s="3"/>
      <c r="X6" s="3"/>
      <c r="Y6" s="3"/>
    </row>
    <row r="7" spans="1:27" s="15" customFormat="1" ht="15.75">
      <c r="A7" s="4" t="s">
        <v>2</v>
      </c>
      <c r="B7" s="14">
        <f t="shared" ref="B7:D7" si="0">SUM(B8:B19)</f>
        <v>14143</v>
      </c>
      <c r="C7" s="13">
        <f t="shared" si="0"/>
        <v>10188</v>
      </c>
      <c r="D7" s="43">
        <f t="shared" si="0"/>
        <v>3955</v>
      </c>
      <c r="E7" s="14">
        <f t="shared" ref="E7:J7" si="1">SUM(E8:E19)</f>
        <v>13543</v>
      </c>
      <c r="F7" s="13">
        <f t="shared" si="1"/>
        <v>9478</v>
      </c>
      <c r="G7" s="43">
        <f t="shared" si="1"/>
        <v>4065</v>
      </c>
      <c r="H7" s="14">
        <f t="shared" si="1"/>
        <v>15015</v>
      </c>
      <c r="I7" s="13">
        <f t="shared" si="1"/>
        <v>11043</v>
      </c>
      <c r="J7" s="43">
        <f t="shared" si="1"/>
        <v>3972</v>
      </c>
      <c r="K7" s="14">
        <f>SUM(K8:K19)</f>
        <v>16321</v>
      </c>
      <c r="L7" s="13">
        <f>SUM(L8:L19)</f>
        <v>12378</v>
      </c>
      <c r="M7" s="43">
        <f>SUM(M8:M19)</f>
        <v>3943</v>
      </c>
      <c r="N7" s="48">
        <f>(K7-H7)/H7*100</f>
        <v>8.6979686979686992</v>
      </c>
      <c r="O7" s="49">
        <f>(L7-I7)/I7*100</f>
        <v>12.089106221135561</v>
      </c>
      <c r="P7" s="49">
        <f>(M7-J7)/J7*100</f>
        <v>-0.73011077542799596</v>
      </c>
      <c r="Q7" s="40" t="s">
        <v>3</v>
      </c>
      <c r="S7" s="16"/>
      <c r="T7" s="17"/>
      <c r="U7" s="17"/>
      <c r="V7" s="16"/>
      <c r="W7" s="17"/>
      <c r="X7" s="17"/>
      <c r="Y7" s="4"/>
      <c r="Z7" s="4"/>
      <c r="AA7" s="4"/>
    </row>
    <row r="8" spans="1:27" ht="18.75">
      <c r="A8" s="32" t="s">
        <v>1</v>
      </c>
      <c r="B8" s="33">
        <f>SUM(C8:D8)</f>
        <v>4662</v>
      </c>
      <c r="C8" s="18">
        <v>3841</v>
      </c>
      <c r="D8" s="19">
        <v>821</v>
      </c>
      <c r="E8" s="33">
        <f>SUM(F8:G8)</f>
        <v>3982</v>
      </c>
      <c r="F8" s="18">
        <v>3030</v>
      </c>
      <c r="G8" s="19">
        <v>952</v>
      </c>
      <c r="H8" s="33">
        <f>SUM(I8:J8)</f>
        <v>3825</v>
      </c>
      <c r="I8" s="18">
        <v>3088</v>
      </c>
      <c r="J8" s="18">
        <v>737</v>
      </c>
      <c r="K8" s="33">
        <f>SUM(L8:M8)</f>
        <v>3767</v>
      </c>
      <c r="L8" s="18">
        <v>3183</v>
      </c>
      <c r="M8" s="18">
        <v>584</v>
      </c>
      <c r="N8" s="50">
        <f>(K8-H8)/H8*100</f>
        <v>-1.5163398692810459</v>
      </c>
      <c r="O8" s="37">
        <f t="shared" ref="O8:O30" si="2">(L8-I8)/I8*100</f>
        <v>3.0764248704663211</v>
      </c>
      <c r="P8" s="37">
        <f t="shared" ref="P8:P30" si="3">(M8-J8)/J8*100</f>
        <v>-20.759837177747624</v>
      </c>
      <c r="Q8" s="6" t="s">
        <v>4</v>
      </c>
      <c r="R8" s="5"/>
      <c r="S8" s="16"/>
      <c r="T8" s="17"/>
      <c r="U8" s="17"/>
      <c r="V8" s="16"/>
      <c r="W8" s="17"/>
      <c r="X8" s="17"/>
      <c r="Y8" s="4"/>
      <c r="Z8" s="4"/>
      <c r="AA8" s="4"/>
    </row>
    <row r="9" spans="1:27" ht="18.75">
      <c r="A9" s="32" t="s">
        <v>15</v>
      </c>
      <c r="B9" s="33">
        <f t="shared" ref="B9:B18" si="4">SUM(C9:D9)</f>
        <v>1553</v>
      </c>
      <c r="C9" s="18">
        <v>1426</v>
      </c>
      <c r="D9" s="19">
        <v>127</v>
      </c>
      <c r="E9" s="33">
        <f t="shared" ref="E9:E18" si="5">SUM(F9:G9)</f>
        <v>1618</v>
      </c>
      <c r="F9" s="18">
        <v>1469</v>
      </c>
      <c r="G9" s="19">
        <v>149</v>
      </c>
      <c r="H9" s="33">
        <f>SUM(I9:J9)</f>
        <v>2298</v>
      </c>
      <c r="I9" s="18">
        <v>2216</v>
      </c>
      <c r="J9" s="18">
        <v>82</v>
      </c>
      <c r="K9" s="33">
        <f t="shared" ref="K9:K18" si="6">SUM(L9:M9)</f>
        <v>2882</v>
      </c>
      <c r="L9" s="18">
        <v>2773</v>
      </c>
      <c r="M9" s="18">
        <v>109</v>
      </c>
      <c r="N9" s="50">
        <f t="shared" ref="N9:N30" si="7">(K9-H9)/H9*100</f>
        <v>25.413402959094867</v>
      </c>
      <c r="O9" s="37">
        <f t="shared" si="2"/>
        <v>25.135379061371843</v>
      </c>
      <c r="P9" s="37">
        <f t="shared" si="3"/>
        <v>32.926829268292686</v>
      </c>
      <c r="Q9" s="6" t="s">
        <v>39</v>
      </c>
      <c r="R9" s="5"/>
      <c r="S9" s="16"/>
      <c r="T9" s="17"/>
      <c r="U9" s="17"/>
      <c r="V9" s="16"/>
      <c r="W9" s="17"/>
      <c r="X9" s="17"/>
      <c r="Y9" s="4"/>
      <c r="Z9" s="4"/>
      <c r="AA9" s="4"/>
    </row>
    <row r="10" spans="1:27" ht="18.75">
      <c r="A10" s="32" t="s">
        <v>5</v>
      </c>
      <c r="B10" s="33">
        <f t="shared" si="4"/>
        <v>1440</v>
      </c>
      <c r="C10" s="18">
        <v>864</v>
      </c>
      <c r="D10" s="19">
        <v>576</v>
      </c>
      <c r="E10" s="33">
        <f t="shared" si="5"/>
        <v>1429</v>
      </c>
      <c r="F10" s="18">
        <v>784</v>
      </c>
      <c r="G10" s="19">
        <v>645</v>
      </c>
      <c r="H10" s="33">
        <f t="shared" ref="H10:H18" si="8">SUM(I10:J10)</f>
        <v>1732</v>
      </c>
      <c r="I10" s="18">
        <v>978</v>
      </c>
      <c r="J10" s="18">
        <v>754</v>
      </c>
      <c r="K10" s="33">
        <f t="shared" si="6"/>
        <v>1687</v>
      </c>
      <c r="L10" s="18">
        <v>950</v>
      </c>
      <c r="M10" s="18">
        <v>737</v>
      </c>
      <c r="N10" s="50">
        <f t="shared" si="7"/>
        <v>-2.5981524249422634</v>
      </c>
      <c r="O10" s="37">
        <f t="shared" si="2"/>
        <v>-2.8629856850715747</v>
      </c>
      <c r="P10" s="37">
        <f t="shared" si="3"/>
        <v>-2.2546419098143233</v>
      </c>
      <c r="Q10" s="6" t="s">
        <v>8</v>
      </c>
      <c r="R10" s="5"/>
      <c r="S10" s="16"/>
      <c r="T10" s="17"/>
      <c r="U10" s="17"/>
      <c r="V10" s="16"/>
      <c r="W10" s="17"/>
      <c r="X10" s="17"/>
      <c r="Y10" s="4"/>
      <c r="Z10" s="4"/>
      <c r="AA10" s="4"/>
    </row>
    <row r="11" spans="1:27" ht="18.75">
      <c r="A11" s="32" t="s">
        <v>27</v>
      </c>
      <c r="B11" s="33">
        <f t="shared" si="4"/>
        <v>974</v>
      </c>
      <c r="C11" s="18">
        <v>722</v>
      </c>
      <c r="D11" s="19">
        <v>252</v>
      </c>
      <c r="E11" s="33">
        <f t="shared" si="5"/>
        <v>1412</v>
      </c>
      <c r="F11" s="18">
        <v>962</v>
      </c>
      <c r="G11" s="19">
        <v>450</v>
      </c>
      <c r="H11" s="33">
        <f t="shared" si="8"/>
        <v>1482</v>
      </c>
      <c r="I11" s="18">
        <v>1039</v>
      </c>
      <c r="J11" s="18">
        <v>443</v>
      </c>
      <c r="K11" s="33">
        <f t="shared" si="6"/>
        <v>1028</v>
      </c>
      <c r="L11" s="18">
        <v>788</v>
      </c>
      <c r="M11" s="18">
        <v>240</v>
      </c>
      <c r="N11" s="50">
        <f t="shared" si="7"/>
        <v>-30.634278002699055</v>
      </c>
      <c r="O11" s="37">
        <f t="shared" si="2"/>
        <v>-24.157844080846967</v>
      </c>
      <c r="P11" s="37">
        <f t="shared" si="3"/>
        <v>-45.823927765237023</v>
      </c>
      <c r="Q11" s="6" t="s">
        <v>9</v>
      </c>
      <c r="R11" s="5"/>
      <c r="S11" s="16"/>
      <c r="T11" s="17"/>
      <c r="U11" s="17"/>
      <c r="V11" s="16"/>
      <c r="W11" s="17"/>
      <c r="X11" s="17"/>
      <c r="Y11" s="4"/>
      <c r="Z11" s="4"/>
      <c r="AA11" s="4"/>
    </row>
    <row r="12" spans="1:27" ht="18.75">
      <c r="A12" s="32" t="s">
        <v>6</v>
      </c>
      <c r="B12" s="33">
        <f t="shared" si="4"/>
        <v>610</v>
      </c>
      <c r="C12" s="18">
        <v>312</v>
      </c>
      <c r="D12" s="19">
        <v>298</v>
      </c>
      <c r="E12" s="33">
        <f t="shared" si="5"/>
        <v>521</v>
      </c>
      <c r="F12" s="18">
        <v>265</v>
      </c>
      <c r="G12" s="19">
        <v>256</v>
      </c>
      <c r="H12" s="33">
        <f t="shared" si="8"/>
        <v>655</v>
      </c>
      <c r="I12" s="18">
        <v>346</v>
      </c>
      <c r="J12" s="18">
        <v>309</v>
      </c>
      <c r="K12" s="33">
        <f t="shared" si="6"/>
        <v>710</v>
      </c>
      <c r="L12" s="18">
        <v>377</v>
      </c>
      <c r="M12" s="18">
        <v>333</v>
      </c>
      <c r="N12" s="50">
        <f t="shared" si="7"/>
        <v>8.3969465648854964</v>
      </c>
      <c r="O12" s="37">
        <f t="shared" si="2"/>
        <v>8.9595375722543356</v>
      </c>
      <c r="P12" s="37">
        <f t="shared" si="3"/>
        <v>7.7669902912621351</v>
      </c>
      <c r="Q12" s="6" t="s">
        <v>11</v>
      </c>
      <c r="R12" s="5"/>
      <c r="S12" s="16"/>
      <c r="T12" s="17"/>
      <c r="U12" s="17"/>
      <c r="V12" s="16"/>
      <c r="W12" s="17"/>
      <c r="X12" s="17"/>
      <c r="Y12" s="4"/>
      <c r="Z12" s="4"/>
      <c r="AA12" s="4"/>
    </row>
    <row r="13" spans="1:27" ht="18.75">
      <c r="A13" s="32" t="s">
        <v>12</v>
      </c>
      <c r="B13" s="33">
        <f t="shared" si="4"/>
        <v>503</v>
      </c>
      <c r="C13" s="18">
        <v>327</v>
      </c>
      <c r="D13" s="19">
        <v>176</v>
      </c>
      <c r="E13" s="33">
        <f t="shared" si="5"/>
        <v>482</v>
      </c>
      <c r="F13" s="18">
        <v>346</v>
      </c>
      <c r="G13" s="19">
        <v>136</v>
      </c>
      <c r="H13" s="33">
        <f t="shared" si="8"/>
        <v>612</v>
      </c>
      <c r="I13" s="18">
        <v>449</v>
      </c>
      <c r="J13" s="18">
        <v>163</v>
      </c>
      <c r="K13" s="33">
        <f t="shared" si="6"/>
        <v>672</v>
      </c>
      <c r="L13" s="18">
        <v>503</v>
      </c>
      <c r="M13" s="18">
        <v>169</v>
      </c>
      <c r="N13" s="50">
        <f t="shared" si="7"/>
        <v>9.8039215686274517</v>
      </c>
      <c r="O13" s="37">
        <f t="shared" si="2"/>
        <v>12.026726057906458</v>
      </c>
      <c r="P13" s="37">
        <f t="shared" si="3"/>
        <v>3.6809815950920246</v>
      </c>
      <c r="Q13" s="6" t="s">
        <v>13</v>
      </c>
      <c r="R13" s="5"/>
      <c r="S13" s="16"/>
      <c r="T13" s="17"/>
      <c r="U13" s="17"/>
      <c r="V13" s="16"/>
      <c r="W13" s="17"/>
      <c r="X13" s="17"/>
      <c r="Y13" s="4"/>
      <c r="Z13" s="4"/>
      <c r="AA13" s="4"/>
    </row>
    <row r="14" spans="1:27" ht="18.75">
      <c r="A14" s="32" t="s">
        <v>10</v>
      </c>
      <c r="B14" s="33">
        <f t="shared" si="4"/>
        <v>377</v>
      </c>
      <c r="C14" s="18">
        <v>345</v>
      </c>
      <c r="D14" s="19">
        <v>32</v>
      </c>
      <c r="E14" s="33">
        <f t="shared" si="5"/>
        <v>372</v>
      </c>
      <c r="F14" s="18">
        <v>345</v>
      </c>
      <c r="G14" s="19">
        <v>27</v>
      </c>
      <c r="H14" s="33">
        <f t="shared" si="8"/>
        <v>478</v>
      </c>
      <c r="I14" s="18">
        <v>439</v>
      </c>
      <c r="J14" s="18">
        <v>39</v>
      </c>
      <c r="K14" s="33">
        <f t="shared" si="6"/>
        <v>508</v>
      </c>
      <c r="L14" s="18">
        <v>464</v>
      </c>
      <c r="M14" s="18">
        <v>44</v>
      </c>
      <c r="N14" s="50">
        <f t="shared" si="7"/>
        <v>6.2761506276150625</v>
      </c>
      <c r="O14" s="37">
        <f t="shared" si="2"/>
        <v>5.6947608200455582</v>
      </c>
      <c r="P14" s="37">
        <f t="shared" si="3"/>
        <v>12.820512820512819</v>
      </c>
      <c r="Q14" s="6" t="s">
        <v>14</v>
      </c>
      <c r="R14" s="5"/>
      <c r="S14" s="16"/>
      <c r="T14" s="17"/>
      <c r="U14" s="17"/>
      <c r="V14" s="16"/>
      <c r="W14" s="17"/>
      <c r="X14" s="17"/>
      <c r="Y14" s="4"/>
      <c r="Z14" s="4"/>
      <c r="AA14" s="4"/>
    </row>
    <row r="15" spans="1:27" ht="18.75">
      <c r="A15" s="5" t="s">
        <v>17</v>
      </c>
      <c r="B15" s="33">
        <f t="shared" si="4"/>
        <v>342</v>
      </c>
      <c r="C15" s="18">
        <v>116</v>
      </c>
      <c r="D15" s="19">
        <v>226</v>
      </c>
      <c r="E15" s="33">
        <f t="shared" si="5"/>
        <v>334</v>
      </c>
      <c r="F15" s="18">
        <v>146</v>
      </c>
      <c r="G15" s="19">
        <v>188</v>
      </c>
      <c r="H15" s="33">
        <f t="shared" si="8"/>
        <v>289</v>
      </c>
      <c r="I15" s="18">
        <v>129</v>
      </c>
      <c r="J15" s="18">
        <v>160</v>
      </c>
      <c r="K15" s="33">
        <f t="shared" si="6"/>
        <v>320</v>
      </c>
      <c r="L15" s="18">
        <v>131</v>
      </c>
      <c r="M15" s="18">
        <v>189</v>
      </c>
      <c r="N15" s="50">
        <f t="shared" si="7"/>
        <v>10.726643598615917</v>
      </c>
      <c r="O15" s="37">
        <f t="shared" si="2"/>
        <v>1.5503875968992249</v>
      </c>
      <c r="P15" s="37">
        <f t="shared" si="3"/>
        <v>18.125</v>
      </c>
      <c r="Q15" s="6" t="s">
        <v>18</v>
      </c>
      <c r="R15" s="5"/>
      <c r="S15" s="16"/>
      <c r="T15" s="17"/>
      <c r="U15" s="17"/>
      <c r="V15" s="16"/>
      <c r="W15" s="17"/>
      <c r="X15" s="17"/>
      <c r="Y15" s="4"/>
      <c r="Z15" s="4"/>
      <c r="AA15" s="4"/>
    </row>
    <row r="16" spans="1:27" ht="18.75">
      <c r="A16" s="5" t="s">
        <v>16</v>
      </c>
      <c r="B16" s="33">
        <f t="shared" si="4"/>
        <v>987</v>
      </c>
      <c r="C16" s="18">
        <v>703</v>
      </c>
      <c r="D16" s="19">
        <v>284</v>
      </c>
      <c r="E16" s="33">
        <f t="shared" si="5"/>
        <v>914</v>
      </c>
      <c r="F16" s="18">
        <v>627</v>
      </c>
      <c r="G16" s="19">
        <v>287</v>
      </c>
      <c r="H16" s="33">
        <f t="shared" si="8"/>
        <v>753</v>
      </c>
      <c r="I16" s="18">
        <v>537</v>
      </c>
      <c r="J16" s="18">
        <v>216</v>
      </c>
      <c r="K16" s="33">
        <f t="shared" si="6"/>
        <v>668</v>
      </c>
      <c r="L16" s="18">
        <v>528</v>
      </c>
      <c r="M16" s="18">
        <v>140</v>
      </c>
      <c r="N16" s="50">
        <f t="shared" si="7"/>
        <v>-11.288180610889773</v>
      </c>
      <c r="O16" s="37">
        <f t="shared" si="2"/>
        <v>-1.6759776536312849</v>
      </c>
      <c r="P16" s="37">
        <f t="shared" si="3"/>
        <v>-35.185185185185183</v>
      </c>
      <c r="Q16" s="6" t="s">
        <v>20</v>
      </c>
      <c r="R16" s="5"/>
      <c r="S16" s="16"/>
      <c r="T16" s="17"/>
      <c r="U16" s="17"/>
      <c r="V16" s="16"/>
      <c r="W16" s="17"/>
      <c r="X16" s="17"/>
      <c r="Y16" s="4"/>
      <c r="Z16" s="4"/>
      <c r="AA16" s="4"/>
    </row>
    <row r="17" spans="1:27" ht="18.75">
      <c r="A17" s="5" t="s">
        <v>19</v>
      </c>
      <c r="B17" s="33">
        <f t="shared" si="4"/>
        <v>267</v>
      </c>
      <c r="C17" s="18">
        <v>139</v>
      </c>
      <c r="D17" s="19">
        <v>128</v>
      </c>
      <c r="E17" s="33">
        <f t="shared" si="5"/>
        <v>228</v>
      </c>
      <c r="F17" s="18">
        <v>132</v>
      </c>
      <c r="G17" s="19">
        <v>96</v>
      </c>
      <c r="H17" s="33">
        <f t="shared" si="8"/>
        <v>247</v>
      </c>
      <c r="I17" s="18">
        <v>136</v>
      </c>
      <c r="J17" s="18">
        <v>111</v>
      </c>
      <c r="K17" s="33">
        <f t="shared" si="6"/>
        <v>284</v>
      </c>
      <c r="L17" s="18">
        <v>168</v>
      </c>
      <c r="M17" s="18">
        <v>116</v>
      </c>
      <c r="N17" s="50">
        <f t="shared" si="7"/>
        <v>14.979757085020243</v>
      </c>
      <c r="O17" s="37">
        <f t="shared" si="2"/>
        <v>23.52941176470588</v>
      </c>
      <c r="P17" s="37">
        <f t="shared" si="3"/>
        <v>4.5045045045045047</v>
      </c>
      <c r="Q17" s="6" t="s">
        <v>22</v>
      </c>
      <c r="R17" s="5"/>
      <c r="S17" s="16"/>
      <c r="T17" s="17"/>
      <c r="U17" s="17"/>
      <c r="V17" s="16"/>
      <c r="W17" s="17"/>
      <c r="X17" s="17"/>
      <c r="Y17" s="4"/>
      <c r="Z17" s="4"/>
      <c r="AA17" s="4"/>
    </row>
    <row r="18" spans="1:27" ht="18.75">
      <c r="A18" s="5" t="s">
        <v>21</v>
      </c>
      <c r="B18" s="33">
        <f t="shared" si="4"/>
        <v>150</v>
      </c>
      <c r="C18" s="18">
        <v>132</v>
      </c>
      <c r="D18" s="19">
        <v>18</v>
      </c>
      <c r="E18" s="33">
        <f t="shared" si="5"/>
        <v>116</v>
      </c>
      <c r="F18" s="18">
        <v>101</v>
      </c>
      <c r="G18" s="19">
        <v>15</v>
      </c>
      <c r="H18" s="33">
        <f t="shared" si="8"/>
        <v>128</v>
      </c>
      <c r="I18" s="18">
        <v>119</v>
      </c>
      <c r="J18" s="18">
        <v>9</v>
      </c>
      <c r="K18" s="33">
        <f t="shared" si="6"/>
        <v>166</v>
      </c>
      <c r="L18" s="18">
        <v>147</v>
      </c>
      <c r="M18" s="18">
        <v>19</v>
      </c>
      <c r="N18" s="50">
        <f t="shared" si="7"/>
        <v>29.6875</v>
      </c>
      <c r="O18" s="37">
        <f t="shared" si="2"/>
        <v>23.52941176470588</v>
      </c>
      <c r="P18" s="37">
        <f t="shared" si="3"/>
        <v>111.11111111111111</v>
      </c>
      <c r="Q18" s="6" t="s">
        <v>23</v>
      </c>
      <c r="R18" s="5"/>
      <c r="S18" s="16"/>
      <c r="T18" s="17"/>
      <c r="U18" s="17"/>
      <c r="V18" s="16"/>
      <c r="W18" s="17"/>
      <c r="X18" s="17"/>
      <c r="Y18" s="4"/>
      <c r="Z18" s="4"/>
      <c r="AA18" s="4"/>
    </row>
    <row r="19" spans="1:27" ht="18.75">
      <c r="A19" s="35" t="s">
        <v>7</v>
      </c>
      <c r="B19" s="34">
        <f>SUM(C19:D19)</f>
        <v>2278</v>
      </c>
      <c r="C19" s="24">
        <v>1261</v>
      </c>
      <c r="D19" s="25">
        <v>1017</v>
      </c>
      <c r="E19" s="34">
        <f>SUM(F19:G19)</f>
        <v>2135</v>
      </c>
      <c r="F19" s="24">
        <v>1271</v>
      </c>
      <c r="G19" s="25">
        <v>864</v>
      </c>
      <c r="H19" s="34">
        <f>SUM(I19:J19)</f>
        <v>2516</v>
      </c>
      <c r="I19" s="24">
        <v>1567</v>
      </c>
      <c r="J19" s="25">
        <v>949</v>
      </c>
      <c r="K19" s="34">
        <f>SUM(L19:M19)</f>
        <v>3629</v>
      </c>
      <c r="L19" s="24">
        <v>2366</v>
      </c>
      <c r="M19" s="25">
        <v>1263</v>
      </c>
      <c r="N19" s="44">
        <f t="shared" si="7"/>
        <v>44.236883942766298</v>
      </c>
      <c r="O19" s="38">
        <f t="shared" si="2"/>
        <v>50.989151244416085</v>
      </c>
      <c r="P19" s="38">
        <f t="shared" si="3"/>
        <v>33.087460484720758</v>
      </c>
      <c r="Q19" s="36" t="s">
        <v>24</v>
      </c>
      <c r="R19" s="5"/>
      <c r="S19" s="16"/>
      <c r="T19" s="17"/>
      <c r="U19" s="17"/>
      <c r="V19" s="16"/>
      <c r="W19" s="17"/>
      <c r="X19" s="17"/>
      <c r="Y19" s="4"/>
      <c r="Z19" s="4"/>
      <c r="AA19" s="4"/>
    </row>
    <row r="20" spans="1:27" ht="18.75" hidden="1">
      <c r="A20" s="20" t="s">
        <v>40</v>
      </c>
      <c r="B20" s="33">
        <f t="shared" ref="B20:B30" si="9">C20+D20</f>
        <v>0</v>
      </c>
      <c r="C20" s="45"/>
      <c r="D20" s="51"/>
      <c r="E20" s="33">
        <f t="shared" ref="E20:E30" si="10">F20+G20</f>
        <v>0</v>
      </c>
      <c r="F20" s="45"/>
      <c r="G20" s="51"/>
      <c r="H20" s="33">
        <f t="shared" ref="H20:H30" si="11">I20+J20</f>
        <v>0</v>
      </c>
      <c r="I20" s="45"/>
      <c r="J20" s="51"/>
      <c r="K20" s="33">
        <f t="shared" ref="K20:K30" si="12">L20+M20</f>
        <v>0</v>
      </c>
      <c r="L20" s="45"/>
      <c r="M20" s="51"/>
      <c r="N20" s="50" t="e">
        <f t="shared" si="7"/>
        <v>#DIV/0!</v>
      </c>
      <c r="O20" s="37" t="e">
        <f t="shared" si="2"/>
        <v>#DIV/0!</v>
      </c>
      <c r="P20" s="37" t="e">
        <f t="shared" si="3"/>
        <v>#DIV/0!</v>
      </c>
      <c r="Q20" s="6" t="s">
        <v>41</v>
      </c>
      <c r="T20" s="3"/>
      <c r="U20" s="3"/>
      <c r="V20" s="3"/>
      <c r="W20" s="3"/>
      <c r="X20" s="3"/>
      <c r="Y20" s="3"/>
    </row>
    <row r="21" spans="1:27" ht="18.75" hidden="1">
      <c r="A21" s="20" t="s">
        <v>42</v>
      </c>
      <c r="B21" s="33">
        <f t="shared" si="9"/>
        <v>0</v>
      </c>
      <c r="C21" s="45"/>
      <c r="D21" s="51"/>
      <c r="E21" s="33">
        <f t="shared" si="10"/>
        <v>0</v>
      </c>
      <c r="F21" s="45"/>
      <c r="G21" s="51"/>
      <c r="H21" s="33">
        <f t="shared" si="11"/>
        <v>0</v>
      </c>
      <c r="I21" s="45"/>
      <c r="J21" s="51"/>
      <c r="K21" s="33">
        <f t="shared" si="12"/>
        <v>0</v>
      </c>
      <c r="L21" s="45"/>
      <c r="M21" s="51"/>
      <c r="N21" s="50" t="e">
        <f t="shared" si="7"/>
        <v>#DIV/0!</v>
      </c>
      <c r="O21" s="37" t="e">
        <f t="shared" si="2"/>
        <v>#DIV/0!</v>
      </c>
      <c r="P21" s="37" t="e">
        <f t="shared" si="3"/>
        <v>#DIV/0!</v>
      </c>
      <c r="Q21" s="6" t="s">
        <v>43</v>
      </c>
      <c r="T21" s="3"/>
      <c r="U21" s="3"/>
      <c r="V21" s="3"/>
      <c r="W21" s="3"/>
      <c r="X21" s="3"/>
      <c r="Y21" s="3"/>
    </row>
    <row r="22" spans="1:27" ht="18.75" hidden="1">
      <c r="A22" s="20" t="s">
        <v>44</v>
      </c>
      <c r="B22" s="33">
        <f t="shared" si="9"/>
        <v>0</v>
      </c>
      <c r="C22" s="52"/>
      <c r="D22" s="51"/>
      <c r="E22" s="33">
        <f t="shared" si="10"/>
        <v>0</v>
      </c>
      <c r="F22" s="52"/>
      <c r="G22" s="51"/>
      <c r="H22" s="33">
        <f t="shared" si="11"/>
        <v>0</v>
      </c>
      <c r="I22" s="52"/>
      <c r="J22" s="51"/>
      <c r="K22" s="33">
        <f t="shared" si="12"/>
        <v>0</v>
      </c>
      <c r="L22" s="52"/>
      <c r="M22" s="51"/>
      <c r="N22" s="50" t="e">
        <f t="shared" si="7"/>
        <v>#DIV/0!</v>
      </c>
      <c r="O22" s="37" t="e">
        <f t="shared" si="2"/>
        <v>#DIV/0!</v>
      </c>
      <c r="P22" s="37" t="e">
        <f t="shared" si="3"/>
        <v>#DIV/0!</v>
      </c>
      <c r="Q22" s="21" t="s">
        <v>45</v>
      </c>
      <c r="T22" s="3"/>
      <c r="U22" s="3"/>
      <c r="V22" s="3"/>
      <c r="W22" s="3"/>
      <c r="X22" s="3"/>
      <c r="Y22" s="3"/>
    </row>
    <row r="23" spans="1:27" ht="37.5" hidden="1">
      <c r="A23" s="20" t="s">
        <v>46</v>
      </c>
      <c r="B23" s="33">
        <f t="shared" si="9"/>
        <v>0</v>
      </c>
      <c r="C23" s="45"/>
      <c r="D23" s="51"/>
      <c r="E23" s="33">
        <f t="shared" si="10"/>
        <v>0</v>
      </c>
      <c r="F23" s="45"/>
      <c r="G23" s="51"/>
      <c r="H23" s="33">
        <f t="shared" si="11"/>
        <v>0</v>
      </c>
      <c r="I23" s="45"/>
      <c r="J23" s="51"/>
      <c r="K23" s="33">
        <f t="shared" si="12"/>
        <v>0</v>
      </c>
      <c r="L23" s="45"/>
      <c r="M23" s="51"/>
      <c r="N23" s="50" t="e">
        <f t="shared" si="7"/>
        <v>#DIV/0!</v>
      </c>
      <c r="O23" s="37" t="e">
        <f t="shared" si="2"/>
        <v>#DIV/0!</v>
      </c>
      <c r="P23" s="37" t="e">
        <f t="shared" si="3"/>
        <v>#DIV/0!</v>
      </c>
      <c r="Q23" s="22" t="s">
        <v>47</v>
      </c>
      <c r="T23" s="3"/>
      <c r="U23" s="3"/>
      <c r="V23" s="3"/>
      <c r="W23" s="3"/>
      <c r="X23" s="3"/>
      <c r="Y23" s="3"/>
    </row>
    <row r="24" spans="1:27" ht="18.75" hidden="1">
      <c r="A24" s="20" t="s">
        <v>25</v>
      </c>
      <c r="B24" s="33">
        <f t="shared" si="9"/>
        <v>0</v>
      </c>
      <c r="C24" s="45"/>
      <c r="D24" s="51"/>
      <c r="E24" s="33">
        <f t="shared" si="10"/>
        <v>0</v>
      </c>
      <c r="F24" s="45"/>
      <c r="G24" s="51"/>
      <c r="H24" s="33">
        <f t="shared" si="11"/>
        <v>0</v>
      </c>
      <c r="I24" s="45"/>
      <c r="J24" s="51"/>
      <c r="K24" s="33">
        <f t="shared" si="12"/>
        <v>0</v>
      </c>
      <c r="L24" s="45"/>
      <c r="M24" s="51"/>
      <c r="N24" s="50" t="e">
        <f t="shared" si="7"/>
        <v>#DIV/0!</v>
      </c>
      <c r="O24" s="37" t="e">
        <f t="shared" si="2"/>
        <v>#DIV/0!</v>
      </c>
      <c r="P24" s="37" t="e">
        <f t="shared" si="3"/>
        <v>#DIV/0!</v>
      </c>
      <c r="Q24" s="21" t="s">
        <v>26</v>
      </c>
      <c r="T24" s="3"/>
      <c r="U24" s="3"/>
      <c r="V24" s="3"/>
      <c r="W24" s="3"/>
      <c r="X24" s="3"/>
      <c r="Y24" s="3"/>
    </row>
    <row r="25" spans="1:27" ht="18.75" hidden="1">
      <c r="A25" s="20" t="s">
        <v>48</v>
      </c>
      <c r="B25" s="33">
        <f t="shared" si="9"/>
        <v>0</v>
      </c>
      <c r="C25" s="45"/>
      <c r="D25" s="51"/>
      <c r="E25" s="33">
        <f t="shared" si="10"/>
        <v>0</v>
      </c>
      <c r="F25" s="45"/>
      <c r="G25" s="51"/>
      <c r="H25" s="33">
        <f t="shared" si="11"/>
        <v>0</v>
      </c>
      <c r="I25" s="45"/>
      <c r="J25" s="51"/>
      <c r="K25" s="33">
        <f t="shared" si="12"/>
        <v>0</v>
      </c>
      <c r="L25" s="45"/>
      <c r="M25" s="51"/>
      <c r="N25" s="50" t="e">
        <f t="shared" si="7"/>
        <v>#DIV/0!</v>
      </c>
      <c r="O25" s="37" t="e">
        <f t="shared" si="2"/>
        <v>#DIV/0!</v>
      </c>
      <c r="P25" s="37" t="e">
        <f t="shared" si="3"/>
        <v>#DIV/0!</v>
      </c>
      <c r="Q25" s="21" t="s">
        <v>49</v>
      </c>
      <c r="T25" s="3"/>
      <c r="U25" s="3"/>
      <c r="V25" s="3"/>
      <c r="W25" s="3"/>
      <c r="X25" s="3"/>
      <c r="Y25" s="3"/>
    </row>
    <row r="26" spans="1:27" ht="18.75" hidden="1">
      <c r="A26" s="20" t="s">
        <v>50</v>
      </c>
      <c r="B26" s="33">
        <f t="shared" si="9"/>
        <v>0</v>
      </c>
      <c r="C26" s="45"/>
      <c r="D26" s="51"/>
      <c r="E26" s="33">
        <f t="shared" si="10"/>
        <v>0</v>
      </c>
      <c r="F26" s="45"/>
      <c r="G26" s="51"/>
      <c r="H26" s="33">
        <f t="shared" si="11"/>
        <v>0</v>
      </c>
      <c r="I26" s="45"/>
      <c r="J26" s="51"/>
      <c r="K26" s="33">
        <f t="shared" si="12"/>
        <v>0</v>
      </c>
      <c r="L26" s="45"/>
      <c r="M26" s="51"/>
      <c r="N26" s="50" t="e">
        <f t="shared" si="7"/>
        <v>#DIV/0!</v>
      </c>
      <c r="O26" s="37" t="e">
        <f t="shared" si="2"/>
        <v>#DIV/0!</v>
      </c>
      <c r="P26" s="37" t="e">
        <f t="shared" si="3"/>
        <v>#DIV/0!</v>
      </c>
      <c r="Q26" s="21" t="s">
        <v>51</v>
      </c>
      <c r="T26" s="3"/>
      <c r="U26" s="3"/>
      <c r="V26" s="3"/>
      <c r="W26" s="3"/>
      <c r="X26" s="3"/>
      <c r="Y26" s="3"/>
    </row>
    <row r="27" spans="1:27" ht="18.75" hidden="1">
      <c r="A27" s="20" t="s">
        <v>52</v>
      </c>
      <c r="B27" s="33">
        <f t="shared" si="9"/>
        <v>0</v>
      </c>
      <c r="C27" s="45"/>
      <c r="D27" s="51"/>
      <c r="E27" s="33">
        <f t="shared" si="10"/>
        <v>0</v>
      </c>
      <c r="F27" s="45"/>
      <c r="G27" s="51"/>
      <c r="H27" s="33">
        <f t="shared" si="11"/>
        <v>0</v>
      </c>
      <c r="I27" s="45"/>
      <c r="J27" s="51"/>
      <c r="K27" s="33">
        <f t="shared" si="12"/>
        <v>0</v>
      </c>
      <c r="L27" s="45"/>
      <c r="M27" s="51"/>
      <c r="N27" s="50" t="e">
        <f t="shared" si="7"/>
        <v>#DIV/0!</v>
      </c>
      <c r="O27" s="37" t="e">
        <f t="shared" si="2"/>
        <v>#DIV/0!</v>
      </c>
      <c r="P27" s="37" t="e">
        <f t="shared" si="3"/>
        <v>#DIV/0!</v>
      </c>
      <c r="Q27" s="21" t="s">
        <v>53</v>
      </c>
      <c r="T27" s="3"/>
      <c r="U27" s="3"/>
      <c r="V27" s="3"/>
      <c r="W27" s="3"/>
      <c r="X27" s="3"/>
      <c r="Y27" s="3"/>
    </row>
    <row r="28" spans="1:27" ht="18.75" hidden="1">
      <c r="A28" s="20" t="s">
        <v>54</v>
      </c>
      <c r="B28" s="33">
        <f t="shared" si="9"/>
        <v>0</v>
      </c>
      <c r="C28" s="45"/>
      <c r="D28" s="51"/>
      <c r="E28" s="33">
        <f t="shared" si="10"/>
        <v>0</v>
      </c>
      <c r="F28" s="45"/>
      <c r="G28" s="51"/>
      <c r="H28" s="33">
        <f t="shared" si="11"/>
        <v>0</v>
      </c>
      <c r="I28" s="45"/>
      <c r="J28" s="51"/>
      <c r="K28" s="33">
        <f t="shared" si="12"/>
        <v>0</v>
      </c>
      <c r="L28" s="45"/>
      <c r="M28" s="51"/>
      <c r="N28" s="50" t="e">
        <f t="shared" si="7"/>
        <v>#DIV/0!</v>
      </c>
      <c r="O28" s="37" t="e">
        <f t="shared" si="2"/>
        <v>#DIV/0!</v>
      </c>
      <c r="P28" s="37" t="e">
        <f t="shared" si="3"/>
        <v>#DIV/0!</v>
      </c>
      <c r="Q28" s="21" t="s">
        <v>28</v>
      </c>
      <c r="T28" s="3"/>
      <c r="U28" s="3"/>
      <c r="V28" s="3"/>
      <c r="W28" s="3"/>
      <c r="X28" s="3"/>
      <c r="Y28" s="3"/>
    </row>
    <row r="29" spans="1:27" ht="18.75" hidden="1">
      <c r="A29" s="20" t="s">
        <v>55</v>
      </c>
      <c r="B29" s="33">
        <f t="shared" si="9"/>
        <v>0</v>
      </c>
      <c r="C29" s="45"/>
      <c r="D29" s="51"/>
      <c r="E29" s="33">
        <f t="shared" si="10"/>
        <v>0</v>
      </c>
      <c r="F29" s="45"/>
      <c r="G29" s="51"/>
      <c r="H29" s="33">
        <f t="shared" si="11"/>
        <v>0</v>
      </c>
      <c r="I29" s="45"/>
      <c r="J29" s="51"/>
      <c r="K29" s="33">
        <f t="shared" si="12"/>
        <v>0</v>
      </c>
      <c r="L29" s="45"/>
      <c r="M29" s="51"/>
      <c r="N29" s="50" t="e">
        <f t="shared" si="7"/>
        <v>#DIV/0!</v>
      </c>
      <c r="O29" s="37" t="e">
        <f t="shared" si="2"/>
        <v>#DIV/0!</v>
      </c>
      <c r="P29" s="37" t="e">
        <f t="shared" si="3"/>
        <v>#DIV/0!</v>
      </c>
      <c r="Q29" s="21" t="s">
        <v>56</v>
      </c>
      <c r="S29" s="6"/>
      <c r="T29" s="3"/>
      <c r="U29" s="3"/>
      <c r="V29" s="3"/>
      <c r="W29" s="3"/>
      <c r="X29" s="3"/>
      <c r="Y29" s="3"/>
    </row>
    <row r="30" spans="1:27" ht="18.75" hidden="1">
      <c r="A30" s="23" t="s">
        <v>7</v>
      </c>
      <c r="B30" s="34">
        <f t="shared" si="9"/>
        <v>0</v>
      </c>
      <c r="C30" s="46"/>
      <c r="D30" s="47"/>
      <c r="E30" s="34">
        <f t="shared" si="10"/>
        <v>0</v>
      </c>
      <c r="F30" s="46"/>
      <c r="G30" s="47"/>
      <c r="H30" s="34">
        <f t="shared" si="11"/>
        <v>0</v>
      </c>
      <c r="I30" s="46"/>
      <c r="J30" s="47"/>
      <c r="K30" s="34">
        <f t="shared" si="12"/>
        <v>0</v>
      </c>
      <c r="L30" s="46"/>
      <c r="M30" s="47"/>
      <c r="N30" s="44" t="e">
        <f t="shared" si="7"/>
        <v>#DIV/0!</v>
      </c>
      <c r="O30" s="38" t="e">
        <f t="shared" si="2"/>
        <v>#DIV/0!</v>
      </c>
      <c r="P30" s="38" t="e">
        <f t="shared" si="3"/>
        <v>#DIV/0!</v>
      </c>
      <c r="Q30" s="26" t="s">
        <v>24</v>
      </c>
      <c r="T30" s="3"/>
      <c r="U30" s="3"/>
      <c r="V30" s="3"/>
      <c r="W30" s="3"/>
      <c r="X30" s="3"/>
      <c r="Y30" s="3"/>
    </row>
    <row r="31" spans="1:27" ht="16.5">
      <c r="A31" s="28" t="s">
        <v>29</v>
      </c>
      <c r="B31" s="27"/>
      <c r="E31" s="27"/>
      <c r="H31" s="27"/>
      <c r="K31" s="27"/>
      <c r="N31" s="27"/>
      <c r="O31" s="27"/>
      <c r="P31" s="27"/>
      <c r="Q31" s="39" t="s">
        <v>30</v>
      </c>
      <c r="T31" s="3"/>
      <c r="U31" s="3"/>
      <c r="V31" s="3"/>
      <c r="W31" s="3"/>
      <c r="X31" s="3"/>
      <c r="Y31" s="3"/>
    </row>
    <row r="32" spans="1:27">
      <c r="C32" s="29"/>
      <c r="D32" s="29"/>
      <c r="F32" s="29"/>
      <c r="G32" s="29"/>
      <c r="I32" s="29"/>
      <c r="J32" s="29"/>
      <c r="L32" s="29"/>
      <c r="M32" s="29"/>
    </row>
    <row r="33" spans="1: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T33" s="3"/>
      <c r="U33" s="3"/>
      <c r="V33" s="3"/>
      <c r="W33" s="3"/>
      <c r="X33" s="3"/>
      <c r="Y33" s="3"/>
    </row>
    <row r="34" spans="1:25">
      <c r="A34" s="29"/>
      <c r="B34" s="29"/>
      <c r="E34" s="29"/>
      <c r="H34" s="29"/>
      <c r="K34" s="29"/>
      <c r="N34" s="29"/>
      <c r="O34" s="29"/>
      <c r="P34" s="29"/>
      <c r="Q34" s="29"/>
      <c r="T34" s="3"/>
      <c r="U34" s="3"/>
      <c r="V34" s="3"/>
      <c r="W34" s="3"/>
      <c r="X34" s="3"/>
      <c r="Y34" s="3"/>
    </row>
    <row r="35" spans="1:25">
      <c r="T35" s="3"/>
      <c r="U35" s="3"/>
      <c r="V35" s="3"/>
      <c r="W35" s="3"/>
      <c r="X35" s="3"/>
      <c r="Y35" s="3"/>
    </row>
    <row r="36" spans="1:25">
      <c r="T36" s="3"/>
      <c r="U36" s="3"/>
      <c r="V36" s="3"/>
      <c r="W36" s="3"/>
      <c r="X36" s="3"/>
      <c r="Y36" s="3"/>
    </row>
    <row r="37" spans="1:25">
      <c r="T37" s="3"/>
      <c r="U37" s="3"/>
      <c r="V37" s="3"/>
      <c r="W37" s="3"/>
      <c r="X37" s="3"/>
      <c r="Y37" s="3"/>
    </row>
    <row r="38" spans="1:25">
      <c r="C38" s="7"/>
      <c r="D38" s="7"/>
      <c r="F38" s="7"/>
      <c r="G38" s="7"/>
      <c r="I38" s="7"/>
      <c r="J38" s="7"/>
      <c r="L38" s="7"/>
      <c r="M38" s="7"/>
      <c r="T38" s="3"/>
      <c r="U38" s="3"/>
      <c r="V38" s="3"/>
      <c r="W38" s="3"/>
      <c r="X38" s="3"/>
      <c r="Y38" s="3"/>
    </row>
    <row r="39" spans="1:25" ht="17.25">
      <c r="A39" s="30"/>
      <c r="B39" s="7"/>
      <c r="E39" s="7"/>
      <c r="H39" s="7"/>
      <c r="K39" s="7"/>
      <c r="N39" s="7"/>
      <c r="O39" s="7"/>
      <c r="P39" s="7"/>
      <c r="Q39" s="31"/>
      <c r="T39" s="3"/>
      <c r="U39" s="3"/>
      <c r="V39" s="3"/>
      <c r="W39" s="3"/>
      <c r="X39" s="3"/>
      <c r="Y39" s="3"/>
    </row>
    <row r="40" spans="1:25">
      <c r="T40" s="3"/>
      <c r="U40" s="3"/>
      <c r="V40" s="3"/>
      <c r="W40" s="3"/>
      <c r="X40" s="3"/>
      <c r="Y40" s="3"/>
    </row>
    <row r="41" spans="1:25">
      <c r="T41" s="3"/>
      <c r="U41" s="3"/>
      <c r="V41" s="3"/>
      <c r="W41" s="3"/>
      <c r="X41" s="3"/>
      <c r="Y41" s="3"/>
    </row>
  </sheetData>
  <mergeCells count="10">
    <mergeCell ref="A1:Q1"/>
    <mergeCell ref="A2:Q2"/>
    <mergeCell ref="A3:A6"/>
    <mergeCell ref="N3:P3"/>
    <mergeCell ref="B3:D4"/>
    <mergeCell ref="E3:G4"/>
    <mergeCell ref="H3:J4"/>
    <mergeCell ref="K3:M4"/>
    <mergeCell ref="Q3:Q6"/>
    <mergeCell ref="N4:P4"/>
  </mergeCells>
  <pageMargins left="0.7" right="0.7" top="0.75" bottom="0.75" header="0.3" footer="0.3"/>
  <pageSetup paperSize="9" scale="41" orientation="portrait" horizontalDpi="4294967295" verticalDpi="4294967295" r:id="rId1"/>
  <ignoredErrors>
    <ignoredError sqref="N7:P19" unlockedFormula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2025-08-13T05:40:21Z</cp:lastPrinted>
  <dcterms:created xsi:type="dcterms:W3CDTF">2019-06-30T04:22:49Z</dcterms:created>
  <dcterms:modified xsi:type="dcterms:W3CDTF">2025-08-13T05:40:34Z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