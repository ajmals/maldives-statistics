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law and order\"/>
    </mc:Choice>
  </mc:AlternateContent>
  <xr:revisionPtr revIDLastSave="0" documentId="13_ncr:1_{9A8F71EE-0BB7-4F9E-9061-7D152F33F95F}" xr6:coauthVersionLast="47" xr6:coauthVersionMax="47" xr10:uidLastSave="{00000000-0000-0000-0000-000000000000}"/>
  <bookViews>
    <workbookView xWindow="-120" yWindow="-120" windowWidth="29040" windowHeight="15720" tabRatio="862" xr2:uid="{00000000-000D-0000-FFFF-FFFF00000000}"/>
  </bookViews>
  <sheets>
    <sheet name="8.1" sheetId="1" r:id="rId1"/>
  </sheets>
  <definedNames>
    <definedName name="_xlnm.Print_Area" localSheetId="0">'8.1'!$A$1:$N$68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K6" i="1"/>
  <c r="K5" i="1"/>
  <c r="L6" i="1" l="1"/>
  <c r="L7" i="1" l="1"/>
  <c r="L8" i="1"/>
  <c r="L9" i="1"/>
  <c r="L10" i="1"/>
  <c r="L11" i="1"/>
  <c r="L12" i="1"/>
  <c r="L13" i="1"/>
  <c r="L14" i="1"/>
  <c r="L15" i="1"/>
  <c r="L16" i="1"/>
  <c r="L17" i="1"/>
  <c r="AP45" i="1"/>
  <c r="AP46" i="1"/>
  <c r="AP47" i="1"/>
  <c r="AP48" i="1"/>
  <c r="AP44" i="1"/>
  <c r="AO44" i="1"/>
  <c r="AO48" i="1"/>
  <c r="AO47" i="1"/>
  <c r="AO46" i="1"/>
  <c r="AO45" i="1"/>
  <c r="AN44" i="1"/>
  <c r="K7" i="1"/>
  <c r="K20" i="1"/>
  <c r="K21" i="1"/>
  <c r="K26" i="1"/>
  <c r="K16" i="1"/>
  <c r="K9" i="1" l="1"/>
  <c r="K27" i="1"/>
  <c r="K15" i="1"/>
  <c r="K14" i="1"/>
  <c r="K25" i="1"/>
  <c r="K13" i="1"/>
  <c r="K24" i="1"/>
  <c r="K12" i="1"/>
  <c r="K23" i="1"/>
  <c r="K11" i="1"/>
  <c r="K22" i="1"/>
  <c r="K10" i="1"/>
  <c r="K8" i="1"/>
  <c r="K19" i="1"/>
  <c r="K30" i="1"/>
  <c r="K18" i="1"/>
  <c r="K29" i="1"/>
  <c r="K17" i="1"/>
  <c r="K28" i="1"/>
  <c r="I5" i="1"/>
  <c r="L18" i="1" l="1"/>
  <c r="L19" i="1"/>
  <c r="L20" i="1"/>
  <c r="L21" i="1"/>
  <c r="L22" i="1"/>
  <c r="L23" i="1"/>
  <c r="L24" i="1"/>
  <c r="L25" i="1"/>
  <c r="L26" i="1"/>
  <c r="L27" i="1"/>
  <c r="L28" i="1"/>
  <c r="L29" i="1"/>
  <c r="L30" i="1"/>
  <c r="AK44" i="1"/>
  <c r="AG44" i="1"/>
  <c r="AH44" i="1"/>
  <c r="AI44" i="1"/>
  <c r="AJ44" i="1"/>
  <c r="AL44" i="1"/>
  <c r="AM44" i="1"/>
  <c r="AG45" i="1"/>
  <c r="AH45" i="1"/>
  <c r="AI45" i="1"/>
  <c r="AJ45" i="1"/>
  <c r="AK45" i="1"/>
  <c r="AL45" i="1"/>
  <c r="AM45" i="1"/>
  <c r="AN45" i="1"/>
  <c r="AG46" i="1"/>
  <c r="AH46" i="1"/>
  <c r="AI46" i="1"/>
  <c r="AJ46" i="1"/>
  <c r="AK46" i="1"/>
  <c r="AL46" i="1"/>
  <c r="AM46" i="1"/>
  <c r="AN46" i="1"/>
  <c r="AG47" i="1"/>
  <c r="AH47" i="1"/>
  <c r="AI47" i="1"/>
  <c r="AJ47" i="1"/>
  <c r="AK47" i="1"/>
  <c r="AL47" i="1"/>
  <c r="AM47" i="1"/>
  <c r="AN47" i="1"/>
  <c r="AG48" i="1"/>
  <c r="AH48" i="1"/>
  <c r="AI48" i="1"/>
  <c r="AJ48" i="1"/>
  <c r="AK48" i="1"/>
  <c r="AL48" i="1"/>
  <c r="AM48" i="1"/>
  <c r="AN48" i="1"/>
  <c r="H5" i="1" l="1"/>
  <c r="G5" i="1" l="1"/>
  <c r="F17" i="1" l="1"/>
  <c r="F5" i="1" l="1"/>
  <c r="E17" i="1" l="1"/>
  <c r="E5" i="1" l="1"/>
  <c r="AD29" i="1" l="1"/>
  <c r="D5" i="1"/>
  <c r="C5" i="1"/>
  <c r="B5" i="1"/>
</calcChain>
</file>

<file path=xl/sharedStrings.xml><?xml version="1.0" encoding="utf-8"?>
<sst xmlns="http://schemas.openxmlformats.org/spreadsheetml/2006/main" count="93" uniqueCount="60">
  <si>
    <t>Logged Cases</t>
  </si>
  <si>
    <t>ބެހިފައިވާ ގޮތް އިންސައްތައިން</t>
  </si>
  <si>
    <t>ހުށަހެޅިފައިވާ މައްސަލަތައް</t>
  </si>
  <si>
    <t>Theft</t>
  </si>
  <si>
    <t>Total</t>
  </si>
  <si>
    <t>wlcmuj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</si>
  <si>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</si>
  <si>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</si>
  <si>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</si>
  <si>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</si>
  <si>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</si>
  <si>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</si>
  <si>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</si>
  <si>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</si>
  <si>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</si>
  <si>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</si>
  <si>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</si>
  <si>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</si>
  <si>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</si>
  <si>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Threats; False Alarms</t>
  </si>
  <si>
    <t>ފޭރުން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</si>
  <si>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</si>
  <si>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</si>
  <si>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</si>
  <si>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</si>
  <si>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</si>
  <si>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</si>
  <si>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</si>
  <si>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Disorderly Conduct</t>
  </si>
  <si>
    <t>ވަގުފައިސާ އަދި ފޯރޖްކުރުން</t>
  </si>
  <si>
    <t>Deceptive Practices</t>
  </si>
  <si>
    <t>އެހެނިހެން</t>
  </si>
  <si>
    <t>Arson</t>
  </si>
  <si>
    <t>ހުޅުޖެހުން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</si>
  <si>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</si>
  <si>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</si>
  <si>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</si>
  <si>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</si>
  <si>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</si>
  <si>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</si>
  <si>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</si>
  <si>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</si>
  <si>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</si>
  <si>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</si>
  <si>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</si>
  <si>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</si>
  <si>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</si>
  <si>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</si>
  <si>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</si>
  <si>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</si>
  <si>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</si>
  <si>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</si>
  <si>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</si>
  <si>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</si>
  <si>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</si>
  <si>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% change over 2023</t>
  </si>
  <si>
    <t>Table 8.1: LOGGED CASES FROM THE YEAR, 2016 - 2024</t>
  </si>
  <si>
    <t>ތާވަލު 8.1: ހުށަހެޅިފައިވާ މައްސަލަތައް، 2016- 2024</t>
  </si>
  <si>
    <t>% share 2024</t>
  </si>
  <si>
    <t>2023އާއި އަޅާބަލާއިރު 2024ގައި އިތުރުވި މިންވަރު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</si>
</sst>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  <numFmt numFmtId="169" formatCode="_(* #,##0.0_);_(* \(#,##0.0\);_(* &quot;-&quot;??_);_(@_)"/>
    <numFmt numFmtId="170" formatCode="_(* #,##0_);_(* \(#,##0\);_(* &quot;-&quot;??_);_(@_)"/>
    <numFmt numFmtId="172" formatCode="0.00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10"/>
      <name val="Faruma"/>
      <family val="3"/>
    </font>
    <font>
      <sz val="10"/>
      <color rgb="FFFF0000"/>
      <name val="Courier"/>
      <family val="3"/>
    </font>
    <font>
      <b/>
      <sz val="9.5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9"/>
      <name val="A_Faseyha"/>
    </font>
    <font>
      <b/>
      <sz val="10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24" fillId="0" borderId="0" applyFont="0" applyFill="0" applyBorder="0" applyAlignment="0" applyProtection="0"/>
    <xf numFmtId="9" fontId="25" fillId="0" borderId="0" applyFont="0" applyFill="0" applyBorder="0" applyAlignment="0" applyProtection="0"/>
    <xf numFmtId="167" fontId="25" fillId="0" borderId="0"/>
    <xf numFmtId="0" fontId="28" fillId="0" borderId="7" applyNumberFormat="0" applyFill="0" applyAlignment="0" applyProtection="0"/>
    <xf numFmtId="0" fontId="27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43" fontId="27" fillId="0" borderId="0" applyFont="0" applyFill="0" applyBorder="0" applyAlignment="0" applyProtection="0"/>
    <xf numFmtId="172" fontId="32" fillId="0" borderId="0"/>
    <xf numFmtId="1" fontId="33" fillId="0" borderId="12" applyNumberFormat="0"/>
    <xf numFmtId="0" fontId="27" fillId="0" borderId="0"/>
    <xf numFmtId="0" fontId="1" fillId="0" borderId="0"/>
    <xf numFmtId="0" fontId="27" fillId="0" borderId="0"/>
    <xf numFmtId="9" fontId="27" fillId="0" borderId="0" applyFont="0" applyFill="0" applyBorder="0" applyAlignment="0" applyProtection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31" fillId="0" borderId="0"/>
    <xf numFmtId="40" fontId="31" fillId="0" borderId="0" applyFont="0" applyFill="0" applyBorder="0" applyAlignment="0" applyProtection="0"/>
    <xf numFmtId="0" fontId="31" fillId="0" borderId="0"/>
    <xf numFmtId="0" fontId="27" fillId="0" borderId="0"/>
    <xf numFmtId="1" fontId="33" fillId="0" borderId="12" applyNumberFormat="0"/>
    <xf numFmtId="0" fontId="1" fillId="0" borderId="0"/>
    <xf numFmtId="0" fontId="31" fillId="0" borderId="0"/>
    <xf numFmtId="0" fontId="24" fillId="0" borderId="0" applyFill="0" applyProtection="0"/>
    <xf numFmtId="1" fontId="33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34" fillId="0" borderId="0"/>
    <xf numFmtId="0" fontId="35" fillId="0" borderId="0"/>
    <xf numFmtId="0" fontId="34" fillId="0" borderId="0"/>
    <xf numFmtId="0" fontId="1" fillId="0" borderId="0"/>
    <xf numFmtId="0" fontId="31" fillId="0" borderId="0"/>
    <xf numFmtId="0" fontId="24" fillId="0" borderId="0" applyFill="0" applyProtection="0"/>
    <xf numFmtId="1" fontId="33" fillId="0" borderId="12" applyNumberFormat="0"/>
    <xf numFmtId="0" fontId="1" fillId="0" borderId="0"/>
    <xf numFmtId="0" fontId="27" fillId="0" borderId="0"/>
    <xf numFmtId="0" fontId="34" fillId="0" borderId="0"/>
    <xf numFmtId="0" fontId="35" fillId="0" borderId="0"/>
    <xf numFmtId="0" fontId="27" fillId="0" borderId="0"/>
    <xf numFmtId="0" fontId="34" fillId="0" borderId="0"/>
    <xf numFmtId="0" fontId="36" fillId="0" borderId="0"/>
    <xf numFmtId="0" fontId="34" fillId="0" borderId="0"/>
    <xf numFmtId="0" fontId="34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36" fillId="0" borderId="0" applyBorder="0"/>
    <xf numFmtId="0" fontId="1" fillId="0" borderId="0"/>
    <xf numFmtId="40" fontId="3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6" fillId="0" borderId="0" applyBorder="0"/>
    <xf numFmtId="0" fontId="1" fillId="0" borderId="0"/>
    <xf numFmtId="0" fontId="1" fillId="0" borderId="0"/>
    <xf numFmtId="1" fontId="33" fillId="0" borderId="12" applyNumberFormat="0"/>
    <xf numFmtId="1" fontId="33" fillId="0" borderId="12" applyNumberFormat="0"/>
    <xf numFmtId="1" fontId="33" fillId="0" borderId="12" applyNumberFormat="0"/>
    <xf numFmtId="1" fontId="33" fillId="0" borderId="12" applyNumberFormat="0"/>
    <xf numFmtId="0" fontId="37" fillId="0" borderId="0"/>
    <xf numFmtId="0" fontId="37" fillId="0" borderId="0"/>
  </cellStyleXfs>
  <cellXfs count="65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10" fillId="2" borderId="0" xfId="0" applyNumberFormat="1" applyFont="1" applyFill="1"/>
    <xf numFmtId="164" fontId="11" fillId="2" borderId="4" xfId="0" applyNumberFormat="1" applyFont="1" applyFill="1" applyBorder="1" applyAlignment="1">
      <alignment horizontal="center" vertical="center" wrapText="1"/>
    </xf>
    <xf numFmtId="164" fontId="13" fillId="2" borderId="0" xfId="0" applyNumberFormat="1" applyFont="1" applyFill="1" applyAlignment="1">
      <alignment horizontal="left" vertical="center"/>
    </xf>
    <xf numFmtId="165" fontId="14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3" fontId="7" fillId="2" borderId="0" xfId="1" applyNumberFormat="1" applyFont="1" applyFill="1" applyBorder="1" applyAlignment="1">
      <alignment horizontal="right" vertical="center"/>
    </xf>
    <xf numFmtId="167" fontId="15" fillId="2" borderId="0" xfId="1" applyNumberFormat="1" applyFont="1" applyFill="1" applyBorder="1" applyAlignment="1">
      <alignment horizontal="right" vertical="center" indent="3"/>
    </xf>
    <xf numFmtId="167" fontId="15" fillId="2" borderId="0" xfId="1" applyNumberFormat="1" applyFont="1" applyFill="1" applyBorder="1" applyAlignment="1" applyProtection="1">
      <alignment horizontal="right" vertical="center" indent="3"/>
      <protection locked="0"/>
    </xf>
    <xf numFmtId="2" fontId="10" fillId="2" borderId="0" xfId="0" applyNumberFormat="1" applyFont="1" applyFill="1"/>
    <xf numFmtId="165" fontId="10" fillId="2" borderId="0" xfId="0" applyNumberFormat="1" applyFont="1" applyFill="1"/>
    <xf numFmtId="165" fontId="13" fillId="2" borderId="0" xfId="0" applyNumberFormat="1" applyFont="1" applyFill="1" applyAlignment="1">
      <alignment horizontal="right" vertical="top"/>
    </xf>
    <xf numFmtId="164" fontId="16" fillId="2" borderId="0" xfId="0" applyNumberFormat="1" applyFont="1" applyFill="1" applyAlignment="1">
      <alignment vertical="center"/>
    </xf>
    <xf numFmtId="3" fontId="16" fillId="2" borderId="0" xfId="1" applyNumberFormat="1" applyFont="1" applyFill="1" applyBorder="1" applyAlignment="1">
      <alignment horizontal="right" vertical="center"/>
    </xf>
    <xf numFmtId="3" fontId="18" fillId="2" borderId="0" xfId="0" applyNumberFormat="1" applyFont="1" applyFill="1" applyAlignment="1">
      <alignment horizontal="right" vertical="top"/>
    </xf>
    <xf numFmtId="167" fontId="18" fillId="2" borderId="0" xfId="1" applyNumberFormat="1" applyFont="1" applyFill="1" applyBorder="1" applyAlignment="1">
      <alignment horizontal="right" vertical="center" indent="3"/>
    </xf>
    <xf numFmtId="164" fontId="12" fillId="2" borderId="0" xfId="0" applyNumberFormat="1" applyFont="1" applyFill="1" applyAlignment="1">
      <alignment horizontal="right" vertical="center"/>
    </xf>
    <xf numFmtId="164" fontId="10" fillId="2" borderId="0" xfId="0" applyNumberFormat="1" applyFont="1" applyFill="1" applyAlignment="1">
      <alignment horizontal="center" vertical="top"/>
    </xf>
    <xf numFmtId="165" fontId="10" fillId="2" borderId="0" xfId="0" applyNumberFormat="1" applyFont="1" applyFill="1" applyAlignment="1">
      <alignment horizontal="center" vertical="top"/>
    </xf>
    <xf numFmtId="164" fontId="14" fillId="2" borderId="0" xfId="0" applyNumberFormat="1" applyFont="1" applyFill="1"/>
    <xf numFmtId="3" fontId="18" fillId="2" borderId="0" xfId="1" applyNumberFormat="1" applyFont="1" applyFill="1" applyAlignment="1">
      <alignment horizontal="right" vertical="center"/>
    </xf>
    <xf numFmtId="165" fontId="0" fillId="2" borderId="0" xfId="0" applyNumberFormat="1" applyFill="1"/>
    <xf numFmtId="164" fontId="19" fillId="2" borderId="0" xfId="0" applyNumberFormat="1" applyFont="1" applyFill="1" applyAlignment="1">
      <alignment horizontal="left" vertical="center" indent="2"/>
    </xf>
    <xf numFmtId="164" fontId="20" fillId="2" borderId="0" xfId="0" applyNumberFormat="1" applyFont="1" applyFill="1" applyAlignment="1">
      <alignment horizontal="left" vertical="center" indent="2"/>
    </xf>
    <xf numFmtId="164" fontId="12" fillId="2" borderId="0" xfId="0" applyNumberFormat="1" applyFont="1" applyFill="1" applyAlignment="1">
      <alignment horizontal="right" vertical="center" indent="2"/>
    </xf>
    <xf numFmtId="164" fontId="21" fillId="2" borderId="0" xfId="0" applyNumberFormat="1" applyFont="1" applyFill="1" applyAlignment="1">
      <alignment horizontal="left" vertical="center" indent="2"/>
    </xf>
    <xf numFmtId="165" fontId="22" fillId="2" borderId="0" xfId="0" applyNumberFormat="1" applyFont="1" applyFill="1" applyAlignment="1">
      <alignment horizontal="right" vertical="top"/>
    </xf>
    <xf numFmtId="164" fontId="22" fillId="2" borderId="0" xfId="0" applyNumberFormat="1" applyFont="1" applyFill="1" applyAlignment="1">
      <alignment horizontal="left" vertical="center"/>
    </xf>
    <xf numFmtId="165" fontId="3" fillId="2" borderId="0" xfId="0" applyNumberFormat="1" applyFont="1" applyFill="1"/>
    <xf numFmtId="164" fontId="0" fillId="2" borderId="0" xfId="0" applyNumberFormat="1" applyFill="1" applyAlignment="1">
      <alignment horizontal="center" vertical="top"/>
    </xf>
    <xf numFmtId="164" fontId="21" fillId="2" borderId="4" xfId="0" applyNumberFormat="1" applyFont="1" applyFill="1" applyBorder="1" applyAlignment="1">
      <alignment horizontal="left" vertical="center" indent="2"/>
    </xf>
    <xf numFmtId="164" fontId="17" fillId="2" borderId="0" xfId="0" applyNumberFormat="1" applyFont="1" applyFill="1" applyAlignment="1">
      <alignment vertical="center"/>
    </xf>
    <xf numFmtId="164" fontId="20" fillId="2" borderId="4" xfId="0" applyNumberFormat="1" applyFont="1" applyFill="1" applyBorder="1" applyAlignment="1">
      <alignment horizontal="left" vertical="center" indent="2"/>
    </xf>
    <xf numFmtId="3" fontId="18" fillId="2" borderId="4" xfId="0" applyNumberFormat="1" applyFont="1" applyFill="1" applyBorder="1" applyAlignment="1">
      <alignment horizontal="right" vertical="top"/>
    </xf>
    <xf numFmtId="164" fontId="12" fillId="2" borderId="4" xfId="0" applyNumberFormat="1" applyFont="1" applyFill="1" applyBorder="1" applyAlignment="1">
      <alignment horizontal="right" vertical="center" indent="2"/>
    </xf>
    <xf numFmtId="164" fontId="3" fillId="2" borderId="0" xfId="0" applyNumberFormat="1" applyFont="1" applyFill="1"/>
    <xf numFmtId="164" fontId="22" fillId="2" borderId="0" xfId="0" applyNumberFormat="1" applyFont="1" applyFill="1" applyAlignment="1">
      <alignment vertical="center"/>
    </xf>
    <xf numFmtId="164" fontId="23" fillId="2" borderId="6" xfId="0" applyNumberFormat="1" applyFont="1" applyFill="1" applyBorder="1" applyAlignment="1">
      <alignment horizontal="left" vertical="center"/>
    </xf>
    <xf numFmtId="167" fontId="18" fillId="2" borderId="0" xfId="1" applyNumberFormat="1" applyFont="1" applyFill="1" applyBorder="1" applyAlignment="1" applyProtection="1">
      <alignment vertical="center"/>
      <protection locked="0"/>
    </xf>
    <xf numFmtId="164" fontId="16" fillId="2" borderId="4" xfId="0" applyNumberFormat="1" applyFont="1" applyFill="1" applyBorder="1" applyAlignment="1">
      <alignment vertical="center"/>
    </xf>
    <xf numFmtId="164" fontId="12" fillId="2" borderId="4" xfId="0" applyNumberFormat="1" applyFont="1" applyFill="1" applyBorder="1" applyAlignment="1">
      <alignment horizontal="right" vertical="center"/>
    </xf>
    <xf numFmtId="164" fontId="29" fillId="2" borderId="6" xfId="0" applyNumberFormat="1" applyFont="1" applyFill="1" applyBorder="1" applyAlignment="1">
      <alignment horizontal="right"/>
    </xf>
    <xf numFmtId="164" fontId="30" fillId="2" borderId="5" xfId="0" applyNumberFormat="1" applyFont="1" applyFill="1" applyBorder="1" applyAlignment="1">
      <alignment horizontal="right" vertical="center"/>
    </xf>
    <xf numFmtId="167" fontId="18" fillId="2" borderId="0" xfId="1" applyNumberFormat="1" applyFont="1" applyFill="1" applyBorder="1" applyAlignment="1" applyProtection="1">
      <alignment horizontal="right" vertical="center" indent="3"/>
      <protection locked="0"/>
    </xf>
    <xf numFmtId="167" fontId="18" fillId="2" borderId="4" xfId="1" applyNumberFormat="1" applyFont="1" applyFill="1" applyBorder="1" applyAlignment="1" applyProtection="1">
      <alignment horizontal="right" vertical="center" indent="3"/>
      <protection locked="0"/>
    </xf>
    <xf numFmtId="164" fontId="8" fillId="2" borderId="3" xfId="0" applyNumberFormat="1" applyFont="1" applyFill="1" applyBorder="1" applyAlignment="1">
      <alignment horizontal="center" vertical="center" wrapText="1"/>
    </xf>
    <xf numFmtId="169" fontId="26" fillId="2" borderId="0" xfId="1" applyNumberFormat="1" applyFont="1" applyFill="1" applyBorder="1" applyAlignment="1" applyProtection="1">
      <alignment vertical="center"/>
      <protection locked="0"/>
    </xf>
    <xf numFmtId="170" fontId="18" fillId="2" borderId="0" xfId="8" applyNumberFormat="1" applyFont="1" applyFill="1" applyAlignment="1">
      <alignment horizontal="left" vertical="center" indent="1"/>
    </xf>
    <xf numFmtId="3" fontId="16" fillId="2" borderId="4" xfId="1" applyNumberFormat="1" applyFont="1" applyFill="1" applyBorder="1" applyAlignment="1">
      <alignment horizontal="right" vertical="center"/>
    </xf>
    <xf numFmtId="167" fontId="18" fillId="2" borderId="4" xfId="1" applyNumberFormat="1" applyFont="1" applyFill="1" applyBorder="1" applyAlignment="1">
      <alignment horizontal="right" vertical="center" indent="3"/>
    </xf>
    <xf numFmtId="167" fontId="15" fillId="2" borderId="4" xfId="1" applyNumberFormat="1" applyFont="1" applyFill="1" applyBorder="1" applyAlignment="1">
      <alignment horizontal="right" vertical="center" indent="3"/>
    </xf>
    <xf numFmtId="164" fontId="7" fillId="2" borderId="3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right" vertical="center" wrapText="1"/>
    </xf>
    <xf numFmtId="164" fontId="12" fillId="2" borderId="4" xfId="0" applyNumberFormat="1" applyFont="1" applyFill="1" applyBorder="1" applyAlignment="1">
      <alignment horizontal="right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  <xf numFmtId="164" fontId="5" fillId="2" borderId="8" xfId="0" applyNumberFormat="1" applyFont="1" applyFill="1" applyBorder="1" applyAlignment="1">
      <alignment horizontal="center" vertical="top"/>
    </xf>
    <xf numFmtId="164" fontId="5" fillId="2" borderId="10" xfId="0" applyNumberFormat="1" applyFont="1" applyFill="1" applyBorder="1" applyAlignment="1">
      <alignment horizontal="center" vertical="top"/>
    </xf>
    <xf numFmtId="164" fontId="5" fillId="2" borderId="11" xfId="0" applyNumberFormat="1" applyFont="1" applyFill="1" applyBorder="1" applyAlignment="1">
      <alignment horizontal="center" vertical="top"/>
    </xf>
    <xf numFmtId="164" fontId="7" fillId="2" borderId="3" xfId="0" applyNumberFormat="1" applyFont="1" applyFill="1" applyBorder="1" applyAlignment="1">
      <alignment horizontal="left" vertical="center" wrapText="1"/>
    </xf>
    <xf numFmtId="164" fontId="7" fillId="2" borderId="4" xfId="0" applyNumberFormat="1" applyFont="1" applyFill="1" applyBorder="1" applyAlignment="1">
      <alignment horizontal="left" vertical="center" wrapText="1"/>
    </xf>
    <xf numFmtId="164" fontId="7" fillId="2" borderId="9" xfId="0" applyNumberFormat="1" applyFont="1" applyFill="1" applyBorder="1" applyAlignment="1">
      <alignment horizontal="right" vertical="center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9BC2E6"/>
      <color rgb="FF003399"/>
      <color rgb="FFAEAAAA"/>
      <color rgb="FF33CCCC"/>
      <color rgb="FFEEEEEE"/>
      <color rgb="FF7E5400"/>
      <color rgb="FFFFC5C5"/>
      <color rgb="FFFF6969"/>
      <color rgb="FFFFEFEF"/>
      <color rgb="FFFF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06272507044544E-2"/>
          <c:y val="0.12093906494282317"/>
          <c:w val="0.90162456892497678"/>
          <c:h val="0.84970562454668452"/>
        </c:manualLayout>
      </c:layout>
      <c:lineChart>
        <c:grouping val="standard"/>
        <c:varyColors val="0"/>
        <c:ser>
          <c:idx val="0"/>
          <c:order val="0"/>
          <c:tx>
            <c:strRef>
              <c:f>'8.1'!$AA$44</c:f>
              <c:strCache>
                <c:ptCount val="1"/>
                <c:pt idx="0">
                  <c:v>Theft</c:v>
                </c:pt>
              </c:strCache>
            </c:strRef>
          </c:tx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ymbol val="triangle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'8.1'!$AJ$43:$AP$43</c:f>
              <c:numCache>
                <c:formatCode>General_)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'8.1'!$AJ$44:$AP$44</c:f>
              <c:numCache>
                <c:formatCode>#,##0.0</c:formatCode>
                <c:ptCount val="7"/>
                <c:pt idx="0">
                  <c:v>-6.6514416214673133</c:v>
                </c:pt>
                <c:pt idx="1">
                  <c:v>39.26605504587156</c:v>
                </c:pt>
                <c:pt idx="2">
                  <c:v>-21.365832235397452</c:v>
                </c:pt>
                <c:pt idx="3">
                  <c:v>30.187098575816812</c:v>
                </c:pt>
                <c:pt idx="4">
                  <c:v>-14.586014586014587</c:v>
                </c:pt>
                <c:pt idx="5">
                  <c:v>-3.942742340532396</c:v>
                </c:pt>
                <c:pt idx="6">
                  <c:v>-1.5163398692810459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F7-466B-9B1B-F14E1D8FAF48}"/>
            </c:ext>
          </c:extLst>
        </c:ser>
        <c:ser>
          <c:idx val="1"/>
          <c:order val="1"/>
          <c:tx>
            <c:strRef>
              <c:f>'8.1'!$AA$45</c:f>
              <c:strCache>
                <c:ptCount val="1"/>
                <c:pt idx="0">
                  <c:v>Traffic accidents</c:v>
                </c:pt>
              </c:strCache>
            </c:strRef>
          </c:tx>
          <c:spPr>
            <a:ln w="28575">
              <a:solidFill>
                <a:schemeClr val="accent5">
                  <a:lumMod val="60000"/>
                  <a:lumOff val="40000"/>
                </a:schemeClr>
              </a:solidFill>
            </a:ln>
          </c:spPr>
          <c:marker>
            <c:symbol val="diamond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'8.1'!$AJ$43:$AP$43</c:f>
              <c:numCache>
                <c:formatCode>General_)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'8.1'!$AJ$45:$AP$45</c:f>
              <c:numCache>
                <c:formatCode>#,##0.0</c:formatCode>
                <c:ptCount val="7"/>
                <c:pt idx="0">
                  <c:v>-4.6555819477434683</c:v>
                </c:pt>
                <c:pt idx="1">
                  <c:v>15.794718485301445</c:v>
                </c:pt>
                <c:pt idx="2">
                  <c:v>-40.189328743545609</c:v>
                </c:pt>
                <c:pt idx="3">
                  <c:v>11.726618705035971</c:v>
                </c:pt>
                <c:pt idx="4">
                  <c:v>4.1854475209272382</c:v>
                </c:pt>
                <c:pt idx="5">
                  <c:v>42.027194066749075</c:v>
                </c:pt>
                <c:pt idx="6">
                  <c:v>25.413402959094867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F7-466B-9B1B-F14E1D8FAF48}"/>
            </c:ext>
          </c:extLst>
        </c:ser>
        <c:ser>
          <c:idx val="2"/>
          <c:order val="2"/>
          <c:tx>
            <c:strRef>
              <c:f>'8.1'!$AA$46</c:f>
              <c:strCache>
                <c:ptCount val="1"/>
                <c:pt idx="0">
                  <c:v>Drugs</c:v>
                </c:pt>
              </c:strCache>
            </c:strRef>
          </c:tx>
          <c:spPr>
            <a:ln w="25400">
              <a:solidFill>
                <a:schemeClr val="accent5">
                  <a:lumMod val="75000"/>
                </a:schemeClr>
              </a:solidFill>
            </a:ln>
          </c:spPr>
          <c:marker>
            <c:symbol val="square"/>
            <c:size val="5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accent5">
                    <a:lumMod val="50000"/>
                  </a:schemeClr>
                </a:solidFill>
              </a:ln>
            </c:spPr>
          </c:marker>
          <c:cat>
            <c:numRef>
              <c:f>'8.1'!$AJ$43:$AP$43</c:f>
              <c:numCache>
                <c:formatCode>General_)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'8.1'!$AJ$46:$AP$46</c:f>
              <c:numCache>
                <c:formatCode>#,##0.0</c:formatCode>
                <c:ptCount val="7"/>
                <c:pt idx="0">
                  <c:v>9.4210009813542683</c:v>
                </c:pt>
                <c:pt idx="1">
                  <c:v>-1.883408071748879</c:v>
                </c:pt>
                <c:pt idx="2">
                  <c:v>-34.872029250457039</c:v>
                </c:pt>
                <c:pt idx="3">
                  <c:v>1.0526315789473684</c:v>
                </c:pt>
                <c:pt idx="4">
                  <c:v>-0.76388888888888884</c:v>
                </c:pt>
                <c:pt idx="5">
                  <c:v>21.203638908327502</c:v>
                </c:pt>
                <c:pt idx="6">
                  <c:v>-2.5981524249422634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F7-466B-9B1B-F14E1D8FAF48}"/>
            </c:ext>
          </c:extLst>
        </c:ser>
        <c:ser>
          <c:idx val="3"/>
          <c:order val="3"/>
          <c:tx>
            <c:strRef>
              <c:f>'8.1'!$AA$47</c:f>
              <c:strCache>
                <c:ptCount val="1"/>
                <c:pt idx="0">
                  <c:v>Lost Items</c:v>
                </c:pt>
              </c:strCache>
            </c:strRef>
          </c:tx>
          <c:spPr>
            <a:ln w="25400">
              <a:solidFill>
                <a:schemeClr val="accent1">
                  <a:lumMod val="75000"/>
                </a:schemeClr>
              </a:solidFill>
            </a:ln>
          </c:spPr>
          <c:marker>
            <c:symbol val="x"/>
            <c:size val="5"/>
            <c:spPr>
              <a:solidFill>
                <a:schemeClr val="accent5">
                  <a:lumMod val="75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'8.1'!$AJ$43:$AP$43</c:f>
              <c:numCache>
                <c:formatCode>General_)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'8.1'!$AJ$47:$AP$47</c:f>
              <c:numCache>
                <c:formatCode>#,##0.0</c:formatCode>
                <c:ptCount val="7"/>
                <c:pt idx="0">
                  <c:v>7.9758308157099691</c:v>
                </c:pt>
                <c:pt idx="1">
                  <c:v>1.5109121432568551</c:v>
                </c:pt>
                <c:pt idx="2">
                  <c:v>-58.985667034178611</c:v>
                </c:pt>
                <c:pt idx="3">
                  <c:v>30.913978494623656</c:v>
                </c:pt>
                <c:pt idx="4">
                  <c:v>44.969199178644764</c:v>
                </c:pt>
                <c:pt idx="5">
                  <c:v>4.9575070821529748</c:v>
                </c:pt>
                <c:pt idx="6">
                  <c:v>-30.634278002699055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F7-466B-9B1B-F14E1D8FAF48}"/>
            </c:ext>
          </c:extLst>
        </c:ser>
        <c:ser>
          <c:idx val="4"/>
          <c:order val="4"/>
          <c:tx>
            <c:strRef>
              <c:f>'8.1'!$AA$48</c:f>
              <c:strCache>
                <c:ptCount val="1"/>
                <c:pt idx="0">
                  <c:v>Assault</c:v>
                </c:pt>
              </c:strCache>
            </c:strRef>
          </c:tx>
          <c:spPr>
            <a:ln w="25400">
              <a:solidFill>
                <a:schemeClr val="accent5">
                  <a:lumMod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numRef>
              <c:f>'8.1'!$AJ$43:$AP$43</c:f>
              <c:numCache>
                <c:formatCode>General_)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'8.1'!$AJ$48:$AP$48</c:f>
              <c:numCache>
                <c:formatCode>#,##0.0</c:formatCode>
                <c:ptCount val="7"/>
                <c:pt idx="0">
                  <c:v>-2.2077922077922079</c:v>
                </c:pt>
                <c:pt idx="1">
                  <c:v>-16.201859229747676</c:v>
                </c:pt>
                <c:pt idx="2">
                  <c:v>4.7543581616481774</c:v>
                </c:pt>
                <c:pt idx="3">
                  <c:v>-7.7155824508320734</c:v>
                </c:pt>
                <c:pt idx="4">
                  <c:v>-14.590163934426229</c:v>
                </c:pt>
                <c:pt idx="5">
                  <c:v>25.719769673704413</c:v>
                </c:pt>
                <c:pt idx="6">
                  <c:v>8.3969465648854964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F7-466B-9B1B-F14E1D8F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514624"/>
        <c:axId val="139517312"/>
      </c:lineChart>
      <c:catAx>
        <c:axId val="139514624"/>
        <c:scaling>
          <c:orientation val="minMax"/>
        </c:scaling>
        <c:delete val="0"/>
        <c:axPos val="b"/>
        <c:numFmt formatCode="General_)" sourceLinked="1"/>
        <c:majorTickMark val="none"/>
        <c:minorTickMark val="none"/>
        <c:tickLblPos val="nextTo"/>
        <c:crossAx val="139517312"/>
        <c:crosses val="autoZero"/>
        <c:auto val="1"/>
        <c:lblAlgn val="ctr"/>
        <c:lblOffset val="100"/>
        <c:noMultiLvlLbl val="0"/>
      </c:catAx>
      <c:valAx>
        <c:axId val="139517312"/>
        <c:scaling>
          <c:orientation val="minMax"/>
          <c:min val="-80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0039534863014074E-2"/>
              <c:y val="0.36723912469521192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spPr>
          <a:noFill/>
        </c:spPr>
        <c:crossAx val="139514624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14713172687031714"/>
          <c:y val="0.88243555088738201"/>
          <c:w val="0.71180633842386576"/>
          <c:h val="5.8587596391388067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>
                <a:effectLst/>
              </a:rPr>
              <a:t>Figure 8.1: Percentage share of logged cases, 2024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30523158461399547"/>
          <c:y val="6.990551051835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331972626984068"/>
          <c:y val="0.2132323846121818"/>
          <c:w val="0.34283815301612403"/>
          <c:h val="0.7572534206749603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A58-454E-B63F-2C29FB2B88D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5A58-454E-B63F-2C29FB2B88D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58-454E-B63F-2C29FB2B88D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58-454E-B63F-2C29FB2B88D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58-454E-B63F-2C29FB2B88D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58-454E-B63F-2C29FB2B88D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58-454E-B63F-2C29FB2B88D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A58-454E-B63F-2C29FB2B88D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58-454E-B63F-2C29FB2B88D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A58-454E-B63F-2C29FB2B88D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A58-454E-B63F-2C29FB2B88D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A58-454E-B63F-2C29FB2B88D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'8.1'!$A$6:$A$17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'8.1'!$K$6:$K$17</c:f>
              <c:numCache>
                <c:formatCode>#,##0.0</c:formatCode>
                <c:ptCount val="12"/>
                <c:pt idx="0">
                  <c:v>23.080693584951902</c:v>
                </c:pt>
                <c:pt idx="1">
                  <c:v>17.658231725997179</c:v>
                </c:pt>
                <c:pt idx="2">
                  <c:v>10.336376447521598</c:v>
                </c:pt>
                <c:pt idx="3">
                  <c:v>6.2986336621530539</c:v>
                </c:pt>
                <c:pt idx="4">
                  <c:v>4.3502236382574599</c:v>
                </c:pt>
                <c:pt idx="5">
                  <c:v>4.1173947674774825</c:v>
                </c:pt>
                <c:pt idx="6">
                  <c:v>3.1125543777954783</c:v>
                </c:pt>
                <c:pt idx="7">
                  <c:v>1.9606641749892777</c:v>
                </c:pt>
                <c:pt idx="8">
                  <c:v>4.0928864652901176</c:v>
                </c:pt>
                <c:pt idx="9">
                  <c:v>1.7400894553029838</c:v>
                </c:pt>
                <c:pt idx="10">
                  <c:v>1.0170945407756877</c:v>
                </c:pt>
                <c:pt idx="11">
                  <c:v>22.235157159487777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A58-454E-B63F-2C29FB2B8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816429</xdr:colOff>
      <xdr:row>50</xdr:row>
      <xdr:rowOff>35184</xdr:rowOff>
    </xdr:from>
    <xdr:to>
      <xdr:col>11</xdr:col>
      <xdr:colOff>592882</xdr:colOff>
      <xdr:row>67</xdr:row>
      <xdr:rowOff>16134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806710</xdr:colOff>
      <xdr:row>32</xdr:row>
      <xdr:rowOff>136072</xdr:rowOff>
    </xdr:from>
    <xdr:to>
      <xdr:col>11</xdr:col>
      <xdr:colOff>563725</xdr:colOff>
      <xdr:row>49</xdr:row>
      <xdr:rowOff>96949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0.19766</cdr:x>
      <cdr:y>0.02663</cdr:y>
    </cdr:from>
    <cdr:to>
      <cdr:x>0.8212</cdr:x>
      <cdr:y>0.09075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48765" y="86195"/>
          <a:ext cx="4885787" cy="207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8.2: Percentage change in selected crimes, 2018 - 2024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P48"/>
  <sheetViews>
    <sheetView tabSelected="1" zoomScale="98" zoomScaleNormal="98" zoomScaleSheetLayoutView="98" workbookViewId="0">
      <selection activeCell="L6" sqref="L6"/>
    </sheetView>
  </sheetViews>
  <sheetFormatPr defaultColWidth="9.140625" defaultRowHeight="15"/>
  <cols>
    <col min="1" max="1" width="22" style="1" customWidth="1"/>
    <col min="2" max="10" width="11.85546875" style="1" customWidth="1"/>
    <col min="11" max="11" width="15.5703125" style="1" customWidth="1"/>
    <col min="12" max="12" width="18.28515625" style="1" customWidth="1"/>
    <col min="13" max="13" width="29.42578125" style="1" customWidth="1"/>
    <col min="14" max="15" width="2.140625" style="1" customWidth="1"/>
    <col min="16" max="16" width="9.140625" style="1"/>
    <col min="17" max="17" width="22.140625" style="1" bestFit="1" customWidth="1"/>
    <col min="18" max="27" width="9.140625" style="1"/>
    <col min="28" max="28" width="13.28515625" style="1" customWidth="1"/>
    <col min="29" max="16384" width="9.140625" style="1"/>
  </cols>
  <sheetData>
    <row r="1" spans="1:30" ht="21.75">
      <c r="A1" s="57" t="s">
        <v>57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30" ht="21.75" customHeight="1">
      <c r="A2" s="58" t="s">
        <v>56</v>
      </c>
      <c r="B2" s="58"/>
      <c r="C2" s="58"/>
      <c r="D2" s="58"/>
      <c r="E2" s="59"/>
      <c r="F2" s="59"/>
      <c r="G2" s="60"/>
      <c r="H2" s="61"/>
      <c r="I2" s="61"/>
      <c r="J2" s="61"/>
      <c r="K2" s="59"/>
      <c r="L2" s="59"/>
      <c r="M2" s="58"/>
      <c r="Q2" s="2"/>
    </row>
    <row r="3" spans="1:30" ht="51.75">
      <c r="A3" s="62" t="s">
        <v>0</v>
      </c>
      <c r="B3" s="53">
        <v>2016</v>
      </c>
      <c r="C3" s="53">
        <v>2017</v>
      </c>
      <c r="D3" s="64">
        <v>2018</v>
      </c>
      <c r="E3" s="53">
        <v>2019</v>
      </c>
      <c r="F3" s="53">
        <v>2020</v>
      </c>
      <c r="G3" s="53">
        <v>2021</v>
      </c>
      <c r="H3" s="53">
        <v>2022</v>
      </c>
      <c r="I3" s="53">
        <v>2023</v>
      </c>
      <c r="J3" s="53">
        <v>2024</v>
      </c>
      <c r="K3" s="47" t="s">
        <v>1</v>
      </c>
      <c r="L3" s="47" t="s">
        <v>59</v>
      </c>
      <c r="M3" s="55" t="s">
        <v>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30">
      <c r="A4" s="63"/>
      <c r="B4" s="54"/>
      <c r="C4" s="54"/>
      <c r="D4" s="54"/>
      <c r="E4" s="54"/>
      <c r="F4" s="54"/>
      <c r="G4" s="54"/>
      <c r="H4" s="54"/>
      <c r="I4" s="54"/>
      <c r="J4" s="54"/>
      <c r="K4" s="4" t="s">
        <v>58</v>
      </c>
      <c r="L4" s="4" t="s">
        <v>55</v>
      </c>
      <c r="M4" s="5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C4" s="5" t="s">
        <v>3</v>
      </c>
      <c r="AD4" s="6">
        <v>22.549082716446701</v>
      </c>
    </row>
    <row r="5" spans="1:30" ht="15.75">
      <c r="A5" s="7" t="s">
        <v>4</v>
      </c>
      <c r="B5" s="8">
        <f t="shared" ref="B5:H5" si="0">SUM(B6:B17)</f>
        <v>16287</v>
      </c>
      <c r="C5" s="8">
        <f t="shared" si="0"/>
        <v>15535</v>
      </c>
      <c r="D5" s="8">
        <f t="shared" si="0"/>
        <v>14811</v>
      </c>
      <c r="E5" s="8">
        <f t="shared" si="0"/>
        <v>16480</v>
      </c>
      <c r="F5" s="8">
        <f t="shared" si="0"/>
        <v>12787</v>
      </c>
      <c r="G5" s="8">
        <f t="shared" si="0"/>
        <v>14143</v>
      </c>
      <c r="H5" s="8">
        <f t="shared" si="0"/>
        <v>13543</v>
      </c>
      <c r="I5" s="8">
        <f>SUM(I6:I17)</f>
        <v>15015</v>
      </c>
      <c r="J5" s="8">
        <v>16321</v>
      </c>
      <c r="K5" s="9">
        <f>J5/$J$5*100</f>
        <v>100</v>
      </c>
      <c r="L5" s="10">
        <f>((J5-I5)/I5)*100</f>
        <v>8.6979686979686992</v>
      </c>
      <c r="M5" s="44" t="s">
        <v>5</v>
      </c>
      <c r="S5" s="3"/>
      <c r="T5" s="3"/>
      <c r="U5" s="3"/>
      <c r="V5" s="3"/>
      <c r="W5" s="3"/>
      <c r="X5" s="3"/>
      <c r="Y5" s="3"/>
      <c r="Z5" s="11"/>
      <c r="AA5" s="3"/>
      <c r="AB5" s="12"/>
      <c r="AC5" s="5" t="s">
        <v>6</v>
      </c>
      <c r="AD5" s="13">
        <v>13.55004827808175</v>
      </c>
    </row>
    <row r="6" spans="1:30" ht="18.75">
      <c r="A6" s="14" t="s">
        <v>3</v>
      </c>
      <c r="B6" s="15">
        <v>3616</v>
      </c>
      <c r="C6" s="16">
        <v>3503</v>
      </c>
      <c r="D6" s="16">
        <v>3270</v>
      </c>
      <c r="E6" s="16">
        <v>4554</v>
      </c>
      <c r="F6" s="16">
        <v>3581</v>
      </c>
      <c r="G6" s="16">
        <v>4662</v>
      </c>
      <c r="H6" s="16">
        <v>3982</v>
      </c>
      <c r="I6" s="16">
        <v>3825</v>
      </c>
      <c r="J6" s="16">
        <v>3767</v>
      </c>
      <c r="K6" s="17">
        <f>J6/$J$5*100</f>
        <v>23.080693584951902</v>
      </c>
      <c r="L6" s="45">
        <f>((J6-I6)/I6)*100</f>
        <v>-1.5163398692810459</v>
      </c>
      <c r="M6" s="18" t="s">
        <v>7</v>
      </c>
      <c r="P6" s="16"/>
      <c r="S6" s="3"/>
      <c r="T6" s="3"/>
      <c r="U6" s="3"/>
      <c r="V6" s="3"/>
      <c r="W6" s="3"/>
      <c r="X6" s="3"/>
      <c r="Y6" s="3"/>
      <c r="Z6" s="11"/>
      <c r="AA6" s="19"/>
      <c r="AB6" s="20"/>
      <c r="AC6" s="5" t="s">
        <v>8</v>
      </c>
      <c r="AD6" s="6">
        <v>13.118764081107177</v>
      </c>
    </row>
    <row r="7" spans="1:30" ht="18.75">
      <c r="A7" s="14" t="s">
        <v>6</v>
      </c>
      <c r="B7" s="15">
        <v>2242</v>
      </c>
      <c r="C7" s="16">
        <v>2105</v>
      </c>
      <c r="D7" s="16">
        <v>2007</v>
      </c>
      <c r="E7" s="16">
        <v>2324</v>
      </c>
      <c r="F7" s="16">
        <v>1390</v>
      </c>
      <c r="G7" s="16">
        <v>1553</v>
      </c>
      <c r="H7" s="16">
        <v>1618</v>
      </c>
      <c r="I7" s="16">
        <v>2298</v>
      </c>
      <c r="J7" s="16">
        <v>2882</v>
      </c>
      <c r="K7" s="17">
        <f t="shared" ref="K7:K30" si="1">J7/$J$5*100</f>
        <v>17.658231725997179</v>
      </c>
      <c r="L7" s="45">
        <f t="shared" ref="L7:L17" si="2">((J7-I7)/I7)*100</f>
        <v>25.413402959094867</v>
      </c>
      <c r="M7" s="18" t="s">
        <v>9</v>
      </c>
      <c r="P7" s="16"/>
      <c r="S7" s="3"/>
      <c r="T7" s="3"/>
      <c r="U7" s="3"/>
      <c r="V7" s="3"/>
      <c r="W7" s="3"/>
      <c r="X7" s="3"/>
      <c r="Y7" s="3"/>
      <c r="Z7" s="11"/>
      <c r="AA7" s="3"/>
      <c r="AB7" s="12"/>
      <c r="AC7" s="14" t="s">
        <v>11</v>
      </c>
      <c r="AD7" s="1">
        <v>12.095268747988413</v>
      </c>
    </row>
    <row r="8" spans="1:30" ht="18.75">
      <c r="A8" s="14" t="s">
        <v>8</v>
      </c>
      <c r="B8" s="15">
        <v>2375</v>
      </c>
      <c r="C8" s="16">
        <v>2038</v>
      </c>
      <c r="D8" s="16">
        <v>2230</v>
      </c>
      <c r="E8" s="16">
        <v>2188</v>
      </c>
      <c r="F8" s="16">
        <v>1425</v>
      </c>
      <c r="G8" s="16">
        <v>1440</v>
      </c>
      <c r="H8" s="16">
        <v>1429</v>
      </c>
      <c r="I8" s="16">
        <v>1732</v>
      </c>
      <c r="J8" s="16">
        <v>1687</v>
      </c>
      <c r="K8" s="17">
        <f t="shared" si="1"/>
        <v>10.336376447521598</v>
      </c>
      <c r="L8" s="45">
        <f t="shared" si="2"/>
        <v>-2.5981524249422634</v>
      </c>
      <c r="M8" s="18" t="s">
        <v>12</v>
      </c>
      <c r="P8" s="16"/>
      <c r="S8" s="3"/>
      <c r="T8" s="3"/>
      <c r="U8" s="3"/>
      <c r="V8" s="3"/>
      <c r="W8" s="3"/>
      <c r="X8" s="3"/>
      <c r="Y8" s="3"/>
      <c r="Z8" s="11"/>
      <c r="AA8" s="3"/>
      <c r="AB8" s="12"/>
      <c r="AC8" s="5" t="s">
        <v>13</v>
      </c>
      <c r="AD8" s="21">
        <v>10.653363373028645</v>
      </c>
    </row>
    <row r="9" spans="1:30" ht="18.75">
      <c r="A9" s="14" t="s">
        <v>13</v>
      </c>
      <c r="B9" s="22">
        <v>1829</v>
      </c>
      <c r="C9" s="16">
        <v>1655</v>
      </c>
      <c r="D9" s="16">
        <v>1787</v>
      </c>
      <c r="E9" s="16">
        <v>1814</v>
      </c>
      <c r="F9" s="16">
        <v>744</v>
      </c>
      <c r="G9" s="16">
        <v>974</v>
      </c>
      <c r="H9" s="16">
        <v>1412</v>
      </c>
      <c r="I9" s="16">
        <v>1482</v>
      </c>
      <c r="J9" s="16">
        <v>1028</v>
      </c>
      <c r="K9" s="17">
        <f t="shared" si="1"/>
        <v>6.2986336621530539</v>
      </c>
      <c r="L9" s="45">
        <f t="shared" si="2"/>
        <v>-30.634278002699055</v>
      </c>
      <c r="M9" s="18" t="s">
        <v>14</v>
      </c>
      <c r="P9" s="16"/>
      <c r="S9" s="3"/>
      <c r="T9" s="3"/>
      <c r="U9" s="3"/>
      <c r="V9" s="3"/>
      <c r="W9" s="3"/>
      <c r="X9" s="3"/>
      <c r="Y9" s="3"/>
      <c r="Z9" s="11"/>
      <c r="AA9" s="3"/>
      <c r="AB9" s="12"/>
      <c r="AC9" s="5" t="s">
        <v>10</v>
      </c>
      <c r="AD9" s="23">
        <v>4.9565497264242033</v>
      </c>
    </row>
    <row r="10" spans="1:30" ht="18.75">
      <c r="A10" s="14" t="s">
        <v>10</v>
      </c>
      <c r="B10" s="15">
        <v>781</v>
      </c>
      <c r="C10" s="16">
        <v>770</v>
      </c>
      <c r="D10" s="16">
        <v>753</v>
      </c>
      <c r="E10" s="16">
        <v>631</v>
      </c>
      <c r="F10" s="16">
        <v>661</v>
      </c>
      <c r="G10" s="16">
        <v>610</v>
      </c>
      <c r="H10" s="16">
        <v>521</v>
      </c>
      <c r="I10" s="16">
        <v>655</v>
      </c>
      <c r="J10" s="16">
        <v>710</v>
      </c>
      <c r="K10" s="17">
        <f t="shared" si="1"/>
        <v>4.3502236382574599</v>
      </c>
      <c r="L10" s="45">
        <f t="shared" si="2"/>
        <v>8.3969465648854964</v>
      </c>
      <c r="M10" s="18" t="s">
        <v>16</v>
      </c>
      <c r="P10" s="16"/>
      <c r="S10" s="3"/>
      <c r="T10" s="3"/>
      <c r="U10" s="3"/>
      <c r="V10" s="3"/>
      <c r="W10" s="3"/>
      <c r="X10" s="3"/>
      <c r="Y10" s="3"/>
      <c r="Z10" s="11"/>
      <c r="AA10" s="3"/>
      <c r="AB10" s="12"/>
      <c r="AC10" s="5" t="s">
        <v>15</v>
      </c>
      <c r="AD10" s="6">
        <v>4.2613453492114584</v>
      </c>
    </row>
    <row r="11" spans="1:30" ht="18.75">
      <c r="A11" s="14" t="s">
        <v>17</v>
      </c>
      <c r="B11" s="15">
        <v>359</v>
      </c>
      <c r="C11" s="16">
        <v>455</v>
      </c>
      <c r="D11" s="16">
        <v>472</v>
      </c>
      <c r="E11" s="16">
        <v>467</v>
      </c>
      <c r="F11" s="16">
        <v>395</v>
      </c>
      <c r="G11" s="16">
        <v>503</v>
      </c>
      <c r="H11" s="16">
        <v>482</v>
      </c>
      <c r="I11" s="16">
        <v>612</v>
      </c>
      <c r="J11" s="16">
        <v>672</v>
      </c>
      <c r="K11" s="17">
        <f t="shared" si="1"/>
        <v>4.1173947674774825</v>
      </c>
      <c r="L11" s="45">
        <f t="shared" si="2"/>
        <v>9.8039215686274517</v>
      </c>
      <c r="M11" s="18" t="s">
        <v>18</v>
      </c>
      <c r="P11" s="16"/>
      <c r="S11" s="3"/>
      <c r="T11" s="3"/>
      <c r="U11" s="3"/>
      <c r="V11" s="3"/>
      <c r="W11" s="3"/>
      <c r="X11" s="3"/>
      <c r="Y11" s="3"/>
      <c r="Z11" s="11"/>
      <c r="AA11" s="3"/>
      <c r="AB11" s="12"/>
      <c r="AC11" s="24" t="s">
        <v>19</v>
      </c>
      <c r="AD11" s="23">
        <v>4.119729642742195</v>
      </c>
    </row>
    <row r="12" spans="1:30" ht="18.75">
      <c r="A12" s="14" t="s">
        <v>15</v>
      </c>
      <c r="B12" s="15">
        <v>716</v>
      </c>
      <c r="C12" s="16">
        <v>662</v>
      </c>
      <c r="D12" s="16">
        <v>537</v>
      </c>
      <c r="E12" s="16">
        <v>483</v>
      </c>
      <c r="F12" s="16">
        <v>348</v>
      </c>
      <c r="G12" s="16">
        <v>377</v>
      </c>
      <c r="H12" s="16">
        <v>372</v>
      </c>
      <c r="I12" s="16">
        <v>478</v>
      </c>
      <c r="J12" s="16">
        <v>508</v>
      </c>
      <c r="K12" s="17">
        <f t="shared" si="1"/>
        <v>3.1125543777954783</v>
      </c>
      <c r="L12" s="45">
        <f t="shared" si="2"/>
        <v>6.2761506276150625</v>
      </c>
      <c r="M12" s="18" t="s">
        <v>20</v>
      </c>
      <c r="P12" s="16"/>
      <c r="S12" s="3"/>
      <c r="T12" s="3"/>
      <c r="U12" s="3"/>
      <c r="V12" s="3"/>
      <c r="W12" s="3"/>
      <c r="X12" s="3"/>
      <c r="Y12" s="3"/>
      <c r="Z12" s="11"/>
      <c r="AA12" s="3"/>
      <c r="AB12" s="12"/>
      <c r="AC12" s="5" t="s">
        <v>21</v>
      </c>
      <c r="AD12" s="13">
        <v>3.3344061795944637</v>
      </c>
    </row>
    <row r="13" spans="1:30" ht="18.75">
      <c r="A13" s="14" t="s">
        <v>22</v>
      </c>
      <c r="B13" s="15">
        <v>467</v>
      </c>
      <c r="C13" s="16">
        <v>417</v>
      </c>
      <c r="D13" s="16">
        <v>361</v>
      </c>
      <c r="E13" s="16">
        <v>405</v>
      </c>
      <c r="F13" s="16">
        <v>490</v>
      </c>
      <c r="G13" s="16">
        <v>342</v>
      </c>
      <c r="H13" s="16">
        <v>334</v>
      </c>
      <c r="I13" s="16">
        <v>289</v>
      </c>
      <c r="J13" s="16">
        <v>320</v>
      </c>
      <c r="K13" s="17">
        <f t="shared" si="1"/>
        <v>1.9606641749892777</v>
      </c>
      <c r="L13" s="45">
        <f t="shared" si="2"/>
        <v>10.726643598615917</v>
      </c>
      <c r="M13" s="18" t="s">
        <v>23</v>
      </c>
      <c r="P13" s="16"/>
      <c r="S13" s="3"/>
      <c r="T13" s="3"/>
      <c r="U13" s="3"/>
      <c r="V13" s="3"/>
      <c r="W13" s="3"/>
      <c r="X13" s="3"/>
      <c r="Y13" s="3"/>
      <c r="Z13" s="11"/>
      <c r="AA13" s="3"/>
      <c r="AB13" s="12"/>
      <c r="AC13" s="5" t="s">
        <v>17</v>
      </c>
      <c r="AD13" s="23">
        <v>2.9288702928870292</v>
      </c>
    </row>
    <row r="14" spans="1:30" ht="18.75">
      <c r="A14" s="14" t="s">
        <v>21</v>
      </c>
      <c r="B14" s="15">
        <v>523</v>
      </c>
      <c r="C14" s="16">
        <v>518</v>
      </c>
      <c r="D14" s="16">
        <v>516</v>
      </c>
      <c r="E14" s="16">
        <v>494</v>
      </c>
      <c r="F14" s="16">
        <v>609</v>
      </c>
      <c r="G14" s="16">
        <v>987</v>
      </c>
      <c r="H14" s="16">
        <v>914</v>
      </c>
      <c r="I14" s="16">
        <v>753</v>
      </c>
      <c r="J14" s="16">
        <v>668</v>
      </c>
      <c r="K14" s="17">
        <f t="shared" si="1"/>
        <v>4.0928864652901176</v>
      </c>
      <c r="L14" s="45">
        <f t="shared" si="2"/>
        <v>-11.288180610889773</v>
      </c>
      <c r="M14" s="18" t="s">
        <v>25</v>
      </c>
      <c r="P14" s="16"/>
      <c r="S14" s="3"/>
      <c r="T14" s="3"/>
      <c r="U14" s="3"/>
      <c r="V14" s="3"/>
      <c r="W14" s="3"/>
      <c r="X14" s="3"/>
      <c r="Y14" s="3"/>
      <c r="Z14" s="11"/>
      <c r="AA14" s="3"/>
      <c r="AB14" s="12"/>
      <c r="AC14" s="5" t="s">
        <v>22</v>
      </c>
      <c r="AD14" s="13">
        <v>2.6842613453492112</v>
      </c>
    </row>
    <row r="15" spans="1:30" ht="18.75">
      <c r="A15" s="14" t="s">
        <v>24</v>
      </c>
      <c r="B15" s="15">
        <v>305</v>
      </c>
      <c r="C15" s="16">
        <v>279</v>
      </c>
      <c r="D15" s="16">
        <v>240</v>
      </c>
      <c r="E15" s="16">
        <v>219</v>
      </c>
      <c r="F15" s="16">
        <v>245</v>
      </c>
      <c r="G15" s="16">
        <v>267</v>
      </c>
      <c r="H15" s="16">
        <v>228</v>
      </c>
      <c r="I15" s="16">
        <v>247</v>
      </c>
      <c r="J15" s="16">
        <v>284</v>
      </c>
      <c r="K15" s="17">
        <f t="shared" si="1"/>
        <v>1.7400894553029838</v>
      </c>
      <c r="L15" s="45">
        <f t="shared" si="2"/>
        <v>14.979757085020243</v>
      </c>
      <c r="M15" s="18" t="s">
        <v>27</v>
      </c>
      <c r="P15" s="16"/>
      <c r="S15" s="3"/>
      <c r="T15" s="3"/>
      <c r="U15" s="3"/>
      <c r="V15" s="3"/>
      <c r="W15" s="3"/>
      <c r="X15" s="3"/>
      <c r="Y15" s="3"/>
      <c r="Z15" s="11"/>
      <c r="AA15" s="3"/>
      <c r="AB15" s="12"/>
      <c r="AC15" s="24" t="s">
        <v>28</v>
      </c>
      <c r="AD15" s="13">
        <v>1.9826198905696812</v>
      </c>
    </row>
    <row r="16" spans="1:30" ht="19.5" customHeight="1">
      <c r="A16" s="14" t="s">
        <v>26</v>
      </c>
      <c r="B16" s="15">
        <v>97</v>
      </c>
      <c r="C16" s="16">
        <v>86</v>
      </c>
      <c r="D16" s="16">
        <v>71</v>
      </c>
      <c r="E16" s="16">
        <v>86</v>
      </c>
      <c r="F16" s="16">
        <v>108</v>
      </c>
      <c r="G16" s="16">
        <v>150</v>
      </c>
      <c r="H16" s="16">
        <v>116</v>
      </c>
      <c r="I16" s="16">
        <v>128</v>
      </c>
      <c r="J16" s="16">
        <v>166</v>
      </c>
      <c r="K16" s="17">
        <f t="shared" si="1"/>
        <v>1.0170945407756877</v>
      </c>
      <c r="L16" s="45">
        <f t="shared" si="2"/>
        <v>29.6875</v>
      </c>
      <c r="M16" s="18" t="s">
        <v>29</v>
      </c>
      <c r="P16" s="16"/>
      <c r="S16" s="3"/>
      <c r="T16" s="3"/>
      <c r="U16" s="3"/>
      <c r="V16" s="3"/>
      <c r="W16" s="3"/>
      <c r="X16" s="3"/>
      <c r="Y16" s="3"/>
      <c r="Z16" s="11"/>
      <c r="AA16" s="3"/>
      <c r="AB16" s="12"/>
      <c r="AC16" s="24" t="s">
        <v>30</v>
      </c>
      <c r="AD16" s="13">
        <v>1.9697457354361119</v>
      </c>
    </row>
    <row r="17" spans="1:30" ht="12.75" customHeight="1">
      <c r="A17" s="41" t="s">
        <v>11</v>
      </c>
      <c r="B17" s="50">
        <v>2977</v>
      </c>
      <c r="C17" s="50">
        <v>3047</v>
      </c>
      <c r="D17" s="35">
        <v>2567</v>
      </c>
      <c r="E17" s="35">
        <f>SUM(E18:E30)</f>
        <v>2815</v>
      </c>
      <c r="F17" s="35">
        <f>SUM(F18:F30)</f>
        <v>2791</v>
      </c>
      <c r="G17" s="35">
        <v>2278</v>
      </c>
      <c r="H17" s="35">
        <v>2135</v>
      </c>
      <c r="I17" s="35">
        <v>2516</v>
      </c>
      <c r="J17" s="35">
        <v>3629</v>
      </c>
      <c r="K17" s="51">
        <f t="shared" si="1"/>
        <v>22.235157159487777</v>
      </c>
      <c r="L17" s="46">
        <f t="shared" si="2"/>
        <v>44.236883942766298</v>
      </c>
      <c r="M17" s="42" t="s">
        <v>31</v>
      </c>
      <c r="P17" s="16"/>
      <c r="S17" s="3"/>
      <c r="T17" s="3"/>
      <c r="U17" s="3"/>
      <c r="V17" s="3"/>
      <c r="W17" s="3"/>
      <c r="X17" s="3"/>
      <c r="Y17" s="3"/>
      <c r="Z17" s="11"/>
      <c r="AA17" s="3"/>
      <c r="AB17" s="12"/>
      <c r="AC17" s="5" t="s">
        <v>24</v>
      </c>
      <c r="AD17" s="23">
        <v>1.7959446411329256</v>
      </c>
    </row>
    <row r="18" spans="1:30" ht="12.75" hidden="1" customHeight="1">
      <c r="A18" s="25" t="s">
        <v>32</v>
      </c>
      <c r="B18" s="16">
        <v>101</v>
      </c>
      <c r="C18" s="16">
        <v>105</v>
      </c>
      <c r="D18" s="16">
        <v>29</v>
      </c>
      <c r="E18" s="16">
        <v>29</v>
      </c>
      <c r="F18" s="16">
        <v>24</v>
      </c>
      <c r="G18" s="16"/>
      <c r="H18" s="16"/>
      <c r="I18" s="16"/>
      <c r="J18" s="16"/>
      <c r="K18" s="9">
        <f t="shared" si="1"/>
        <v>0</v>
      </c>
      <c r="L18" s="45" t="e">
        <f t="shared" ref="L18:L30" si="3">((I18-H18)/H18)*100</f>
        <v>#DIV/0!</v>
      </c>
      <c r="M18" s="26" t="s">
        <v>33</v>
      </c>
      <c r="P18" s="16"/>
      <c r="S18" s="3"/>
      <c r="T18" s="3"/>
      <c r="U18" s="3"/>
      <c r="V18" s="3"/>
      <c r="W18" s="3"/>
      <c r="X18" s="3"/>
      <c r="Y18" s="3"/>
      <c r="Z18" s="11"/>
      <c r="AA18" s="3"/>
      <c r="AB18" s="12"/>
    </row>
    <row r="19" spans="1:30" ht="13.5" hidden="1" customHeight="1">
      <c r="A19" s="25" t="s">
        <v>34</v>
      </c>
      <c r="B19" s="16">
        <v>59</v>
      </c>
      <c r="C19" s="16">
        <v>70</v>
      </c>
      <c r="D19" s="16">
        <v>36</v>
      </c>
      <c r="E19" s="16">
        <v>56</v>
      </c>
      <c r="F19" s="16">
        <v>63</v>
      </c>
      <c r="G19" s="16"/>
      <c r="H19" s="16"/>
      <c r="I19" s="16"/>
      <c r="J19" s="16"/>
      <c r="K19" s="9">
        <f t="shared" si="1"/>
        <v>0</v>
      </c>
      <c r="L19" s="45" t="e">
        <f t="shared" si="3"/>
        <v>#DIV/0!</v>
      </c>
      <c r="M19" s="26" t="s">
        <v>35</v>
      </c>
      <c r="P19" s="16"/>
      <c r="S19" s="3"/>
      <c r="T19" s="3"/>
      <c r="U19" s="3"/>
      <c r="V19" s="3"/>
      <c r="W19" s="3"/>
      <c r="X19" s="3"/>
      <c r="Y19" s="3"/>
      <c r="Z19" s="11"/>
      <c r="AA19" s="3"/>
      <c r="AB19" s="12"/>
      <c r="AC19" s="27" t="s">
        <v>36</v>
      </c>
      <c r="AD19" s="28">
        <v>0.90762793691663979</v>
      </c>
    </row>
    <row r="20" spans="1:30" ht="13.5" hidden="1" customHeight="1">
      <c r="A20" s="25" t="s">
        <v>37</v>
      </c>
      <c r="B20" s="16">
        <v>47</v>
      </c>
      <c r="C20" s="16">
        <v>54</v>
      </c>
      <c r="D20" s="16">
        <v>55</v>
      </c>
      <c r="E20" s="16">
        <v>60</v>
      </c>
      <c r="F20" s="16">
        <v>40</v>
      </c>
      <c r="G20" s="16"/>
      <c r="H20" s="16"/>
      <c r="I20" s="16"/>
      <c r="J20" s="16"/>
      <c r="K20" s="9">
        <f t="shared" si="1"/>
        <v>0</v>
      </c>
      <c r="L20" s="45" t="e">
        <f t="shared" si="3"/>
        <v>#DIV/0!</v>
      </c>
      <c r="M20" s="26" t="s">
        <v>38</v>
      </c>
      <c r="P20" s="16"/>
      <c r="S20" s="3"/>
      <c r="T20" s="3"/>
      <c r="U20" s="3"/>
      <c r="V20" s="3"/>
      <c r="W20" s="3"/>
      <c r="X20" s="3"/>
      <c r="Y20" s="3"/>
      <c r="Z20" s="11"/>
      <c r="AA20" s="3"/>
      <c r="AB20" s="12"/>
      <c r="AC20" s="27" t="s">
        <v>32</v>
      </c>
      <c r="AD20" s="28">
        <v>0.67589314451239135</v>
      </c>
    </row>
    <row r="21" spans="1:30" ht="13.5" hidden="1" customHeight="1">
      <c r="A21" s="25" t="s">
        <v>39</v>
      </c>
      <c r="B21" s="16">
        <v>77</v>
      </c>
      <c r="C21" s="16">
        <v>71</v>
      </c>
      <c r="D21" s="16">
        <v>58</v>
      </c>
      <c r="E21" s="16">
        <v>68</v>
      </c>
      <c r="F21" s="16">
        <v>74</v>
      </c>
      <c r="G21" s="16"/>
      <c r="H21" s="16"/>
      <c r="I21" s="16"/>
      <c r="J21" s="16"/>
      <c r="K21" s="9">
        <f t="shared" si="1"/>
        <v>0</v>
      </c>
      <c r="L21" s="45" t="e">
        <f t="shared" si="3"/>
        <v>#DIV/0!</v>
      </c>
      <c r="M21" s="26" t="s">
        <v>40</v>
      </c>
      <c r="P21" s="16"/>
      <c r="S21" s="3"/>
      <c r="T21" s="3"/>
      <c r="U21" s="3"/>
      <c r="V21" s="3"/>
      <c r="W21" s="3"/>
      <c r="X21" s="3"/>
      <c r="Y21" s="3"/>
      <c r="Z21" s="11"/>
      <c r="AA21" s="3"/>
      <c r="AB21" s="12"/>
      <c r="AC21" s="29" t="s">
        <v>26</v>
      </c>
      <c r="AD21" s="28">
        <v>0.5535886707434825</v>
      </c>
    </row>
    <row r="22" spans="1:30" ht="13.5" hidden="1" customHeight="1">
      <c r="A22" s="25" t="s">
        <v>30</v>
      </c>
      <c r="B22" s="16">
        <v>275</v>
      </c>
      <c r="C22" s="16">
        <v>306</v>
      </c>
      <c r="D22" s="16">
        <v>246</v>
      </c>
      <c r="E22" s="16">
        <v>218</v>
      </c>
      <c r="F22" s="16">
        <v>112</v>
      </c>
      <c r="G22" s="16"/>
      <c r="H22" s="16"/>
      <c r="I22" s="16"/>
      <c r="J22" s="16"/>
      <c r="K22" s="9">
        <f t="shared" si="1"/>
        <v>0</v>
      </c>
      <c r="L22" s="45" t="e">
        <f t="shared" si="3"/>
        <v>#DIV/0!</v>
      </c>
      <c r="M22" s="26" t="s">
        <v>41</v>
      </c>
      <c r="P22" s="16"/>
      <c r="S22" s="3"/>
      <c r="T22" s="3"/>
      <c r="U22" s="3"/>
      <c r="V22" s="3"/>
      <c r="W22" s="3"/>
      <c r="X22" s="3"/>
      <c r="Y22" s="3"/>
      <c r="Z22" s="11"/>
      <c r="AA22" s="3"/>
      <c r="AB22" s="12"/>
      <c r="AC22" s="27" t="s">
        <v>39</v>
      </c>
      <c r="AD22" s="28">
        <v>0.45703250724171229</v>
      </c>
    </row>
    <row r="23" spans="1:30" ht="13.5" hidden="1" customHeight="1">
      <c r="A23" s="25" t="s">
        <v>28</v>
      </c>
      <c r="B23" s="16">
        <v>286</v>
      </c>
      <c r="C23" s="16">
        <v>308</v>
      </c>
      <c r="D23" s="16">
        <v>213</v>
      </c>
      <c r="E23" s="16">
        <v>185</v>
      </c>
      <c r="F23" s="16">
        <v>153</v>
      </c>
      <c r="G23" s="16"/>
      <c r="H23" s="16"/>
      <c r="I23" s="16"/>
      <c r="J23" s="16"/>
      <c r="K23" s="9">
        <f t="shared" si="1"/>
        <v>0</v>
      </c>
      <c r="L23" s="45" t="e">
        <f t="shared" si="3"/>
        <v>#DIV/0!</v>
      </c>
      <c r="M23" s="26" t="s">
        <v>42</v>
      </c>
      <c r="P23" s="16"/>
      <c r="S23" s="3"/>
      <c r="T23" s="3"/>
      <c r="U23" s="3"/>
      <c r="V23" s="3"/>
      <c r="W23" s="3"/>
      <c r="X23" s="3"/>
      <c r="Y23" s="3"/>
      <c r="Z23" s="11"/>
      <c r="AA23" s="3"/>
      <c r="AB23" s="12"/>
      <c r="AC23" s="27" t="s">
        <v>34</v>
      </c>
      <c r="AD23" s="30">
        <v>0.45059542967492755</v>
      </c>
    </row>
    <row r="24" spans="1:30" ht="13.5" hidden="1" customHeight="1">
      <c r="A24" s="25" t="s">
        <v>36</v>
      </c>
      <c r="B24" s="16">
        <v>147</v>
      </c>
      <c r="C24" s="16">
        <v>141</v>
      </c>
      <c r="D24" s="16">
        <v>92</v>
      </c>
      <c r="E24" s="16">
        <v>79</v>
      </c>
      <c r="F24" s="16">
        <v>121</v>
      </c>
      <c r="G24" s="16"/>
      <c r="H24" s="16"/>
      <c r="I24" s="16"/>
      <c r="J24" s="16"/>
      <c r="K24" s="9">
        <f t="shared" si="1"/>
        <v>0</v>
      </c>
      <c r="L24" s="45" t="e">
        <f t="shared" si="3"/>
        <v>#DIV/0!</v>
      </c>
      <c r="M24" s="26" t="s">
        <v>43</v>
      </c>
      <c r="P24" s="16"/>
      <c r="S24" s="3"/>
      <c r="T24" s="3"/>
      <c r="U24" s="3"/>
      <c r="V24" s="3"/>
      <c r="W24" s="3"/>
      <c r="X24" s="3"/>
      <c r="Y24" s="3"/>
      <c r="Z24" s="3"/>
      <c r="AC24" s="27" t="s">
        <v>44</v>
      </c>
      <c r="AD24" s="28">
        <v>0.41841004184100417</v>
      </c>
    </row>
    <row r="25" spans="1:30" s="31" customFormat="1" ht="13.5" hidden="1" customHeight="1">
      <c r="A25" s="25" t="s">
        <v>44</v>
      </c>
      <c r="B25" s="16">
        <v>72</v>
      </c>
      <c r="C25" s="16">
        <v>65</v>
      </c>
      <c r="D25" s="16">
        <v>87</v>
      </c>
      <c r="E25" s="16">
        <v>73</v>
      </c>
      <c r="F25" s="16">
        <v>104</v>
      </c>
      <c r="G25" s="16"/>
      <c r="H25" s="16"/>
      <c r="I25" s="16"/>
      <c r="J25" s="16"/>
      <c r="K25" s="9">
        <f t="shared" si="1"/>
        <v>0</v>
      </c>
      <c r="L25" s="45" t="e">
        <f t="shared" si="3"/>
        <v>#DIV/0!</v>
      </c>
      <c r="M25" s="26" t="s">
        <v>45</v>
      </c>
      <c r="P25" s="16"/>
      <c r="S25" s="19"/>
      <c r="T25" s="19"/>
      <c r="U25" s="19"/>
      <c r="V25" s="19"/>
      <c r="W25" s="19"/>
      <c r="X25" s="19"/>
      <c r="Y25" s="19"/>
      <c r="Z25" s="19"/>
      <c r="AA25" s="19"/>
      <c r="AC25" s="27" t="s">
        <v>37</v>
      </c>
      <c r="AD25" s="30">
        <v>0.34760218860637271</v>
      </c>
    </row>
    <row r="26" spans="1:30" s="31" customFormat="1" ht="13.5" hidden="1" customHeight="1">
      <c r="A26" s="25" t="s">
        <v>46</v>
      </c>
      <c r="B26" s="16">
        <v>55</v>
      </c>
      <c r="C26" s="16">
        <v>52</v>
      </c>
      <c r="D26" s="16">
        <v>28</v>
      </c>
      <c r="E26" s="16">
        <v>72</v>
      </c>
      <c r="F26" s="16">
        <v>56</v>
      </c>
      <c r="G26" s="16"/>
      <c r="H26" s="16"/>
      <c r="I26" s="16"/>
      <c r="J26" s="16"/>
      <c r="K26" s="9">
        <f t="shared" si="1"/>
        <v>0</v>
      </c>
      <c r="L26" s="45" t="e">
        <f t="shared" si="3"/>
        <v>#DIV/0!</v>
      </c>
      <c r="M26" s="26" t="s">
        <v>47</v>
      </c>
      <c r="P26" s="16"/>
      <c r="S26" s="19"/>
      <c r="T26" s="19"/>
      <c r="U26" s="19"/>
      <c r="V26" s="19"/>
      <c r="W26" s="19"/>
      <c r="X26" s="19"/>
      <c r="Y26" s="19"/>
      <c r="Z26" s="19"/>
      <c r="AA26" s="19"/>
      <c r="AC26" s="27" t="s">
        <v>46</v>
      </c>
      <c r="AD26" s="30">
        <v>0.33472803347280333</v>
      </c>
    </row>
    <row r="27" spans="1:30" ht="13.5" hidden="1" customHeight="1">
      <c r="A27" s="25" t="s">
        <v>19</v>
      </c>
      <c r="B27" s="16">
        <v>599</v>
      </c>
      <c r="C27" s="16">
        <v>640</v>
      </c>
      <c r="D27" s="16">
        <v>536</v>
      </c>
      <c r="E27" s="16">
        <v>492</v>
      </c>
      <c r="F27" s="16">
        <v>623</v>
      </c>
      <c r="G27" s="16"/>
      <c r="H27" s="16"/>
      <c r="I27" s="16"/>
      <c r="J27" s="16"/>
      <c r="K27" s="9">
        <f t="shared" si="1"/>
        <v>0</v>
      </c>
      <c r="L27" s="45" t="e">
        <f t="shared" si="3"/>
        <v>#DIV/0!</v>
      </c>
      <c r="M27" s="26" t="s">
        <v>48</v>
      </c>
      <c r="P27" s="16"/>
      <c r="AC27" s="27" t="s">
        <v>49</v>
      </c>
      <c r="AD27" s="28">
        <v>0.23817186997103315</v>
      </c>
    </row>
    <row r="28" spans="1:30" ht="13.5" hidden="1" customHeight="1">
      <c r="A28" s="25" t="s">
        <v>49</v>
      </c>
      <c r="B28" s="16">
        <v>41</v>
      </c>
      <c r="C28" s="16">
        <v>37</v>
      </c>
      <c r="D28" s="16">
        <v>39</v>
      </c>
      <c r="E28" s="16">
        <v>19</v>
      </c>
      <c r="F28" s="16">
        <v>8</v>
      </c>
      <c r="G28" s="16"/>
      <c r="H28" s="16"/>
      <c r="I28" s="16"/>
      <c r="J28" s="16"/>
      <c r="K28" s="9">
        <f t="shared" si="1"/>
        <v>0</v>
      </c>
      <c r="L28" s="45" t="e">
        <f t="shared" si="3"/>
        <v>#DIV/0!</v>
      </c>
      <c r="M28" s="26" t="s">
        <v>50</v>
      </c>
      <c r="P28" s="16"/>
      <c r="AC28" s="32" t="s">
        <v>51</v>
      </c>
      <c r="AD28" s="12">
        <v>0.14805278403604766</v>
      </c>
    </row>
    <row r="29" spans="1:30" ht="13.5" hidden="1" customHeight="1">
      <c r="A29" s="25" t="s">
        <v>51</v>
      </c>
      <c r="B29" s="16">
        <v>20</v>
      </c>
      <c r="C29" s="16">
        <v>23</v>
      </c>
      <c r="D29" s="16">
        <v>27</v>
      </c>
      <c r="E29" s="16">
        <v>15</v>
      </c>
      <c r="F29" s="16">
        <v>17</v>
      </c>
      <c r="G29" s="16"/>
      <c r="H29" s="16"/>
      <c r="I29" s="16"/>
      <c r="J29" s="16"/>
      <c r="K29" s="9">
        <f t="shared" si="1"/>
        <v>0</v>
      </c>
      <c r="L29" s="45" t="e">
        <f t="shared" si="3"/>
        <v>#DIV/0!</v>
      </c>
      <c r="M29" s="26" t="s">
        <v>52</v>
      </c>
      <c r="P29" s="16"/>
      <c r="S29" s="3"/>
      <c r="T29" s="3"/>
      <c r="U29" s="3"/>
      <c r="V29" s="3"/>
      <c r="W29" s="3"/>
      <c r="X29" s="3"/>
      <c r="Y29" s="3"/>
      <c r="Z29" s="3"/>
      <c r="AC29" s="33"/>
      <c r="AD29" s="23">
        <f>SUM(AD19:AD28)</f>
        <v>4.5317026070164141</v>
      </c>
    </row>
    <row r="30" spans="1:30" ht="13.5" hidden="1" customHeight="1">
      <c r="A30" s="34" t="s">
        <v>11</v>
      </c>
      <c r="B30" s="35">
        <v>1198</v>
      </c>
      <c r="C30" s="35">
        <v>1175</v>
      </c>
      <c r="D30" s="35">
        <v>1121</v>
      </c>
      <c r="E30" s="35">
        <v>1449</v>
      </c>
      <c r="F30" s="35">
        <v>1396</v>
      </c>
      <c r="G30" s="35"/>
      <c r="H30" s="35"/>
      <c r="I30" s="35"/>
      <c r="J30" s="35"/>
      <c r="K30" s="52">
        <f t="shared" si="1"/>
        <v>0</v>
      </c>
      <c r="L30" s="46" t="e">
        <f t="shared" si="3"/>
        <v>#DIV/0!</v>
      </c>
      <c r="M30" s="36" t="s">
        <v>31</v>
      </c>
      <c r="P30" s="16"/>
      <c r="S30" s="3"/>
      <c r="T30" s="3"/>
      <c r="U30" s="3"/>
      <c r="V30" s="3"/>
      <c r="W30" s="3"/>
      <c r="X30" s="3"/>
      <c r="Y30" s="3"/>
      <c r="Z30" s="3"/>
      <c r="AC30" s="25" t="s">
        <v>11</v>
      </c>
      <c r="AD30" s="1">
        <v>7.5635661409719983</v>
      </c>
    </row>
    <row r="31" spans="1:30" s="37" customFormat="1" ht="11.25" customHeight="1">
      <c r="A31" s="39" t="s">
        <v>53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43" t="s">
        <v>54</v>
      </c>
      <c r="P31" s="16"/>
      <c r="T31" s="3"/>
      <c r="U31" s="3"/>
      <c r="V31" s="3"/>
      <c r="W31" s="3"/>
      <c r="X31" s="3"/>
      <c r="Y31" s="3"/>
      <c r="Z31" s="3"/>
      <c r="AA31" s="3"/>
      <c r="AC31" s="38" t="s">
        <v>11</v>
      </c>
      <c r="AD31" s="28">
        <v>19.61377534599292</v>
      </c>
    </row>
    <row r="32" spans="1:30">
      <c r="S32" s="3"/>
      <c r="T32" s="3"/>
      <c r="U32" s="3"/>
      <c r="V32" s="3"/>
      <c r="W32" s="3"/>
      <c r="X32" s="3"/>
      <c r="Y32" s="3"/>
      <c r="Z32" s="3"/>
      <c r="AA32" s="3"/>
    </row>
    <row r="33" spans="17:42" ht="19.5" customHeight="1">
      <c r="Q33" s="25"/>
      <c r="R33" s="25"/>
    </row>
    <row r="34" spans="17:42" ht="19.5" customHeight="1">
      <c r="Q34" s="25"/>
      <c r="R34" s="25"/>
    </row>
    <row r="35" spans="17:42" ht="19.5" customHeight="1">
      <c r="Q35" s="25"/>
      <c r="R35" s="25"/>
    </row>
    <row r="36" spans="17:42" ht="19.5" customHeight="1">
      <c r="Q36" s="25"/>
      <c r="R36" s="25"/>
    </row>
    <row r="37" spans="17:42">
      <c r="Q37" s="25"/>
      <c r="R37" s="25"/>
    </row>
    <row r="38" spans="17:42">
      <c r="Q38" s="25"/>
      <c r="R38" s="25"/>
    </row>
    <row r="39" spans="17:42">
      <c r="Q39" s="25"/>
      <c r="R39" s="25"/>
    </row>
    <row r="40" spans="17:42">
      <c r="Q40" s="48"/>
    </row>
    <row r="41" spans="17:42">
      <c r="Q41" s="48"/>
    </row>
    <row r="42" spans="17:42">
      <c r="Q42" s="48"/>
    </row>
    <row r="43" spans="17:42">
      <c r="Q43" s="48"/>
      <c r="AB43" s="1">
        <v>2010</v>
      </c>
      <c r="AC43" s="1">
        <v>2011</v>
      </c>
      <c r="AD43" s="1">
        <v>2012</v>
      </c>
      <c r="AE43" s="1">
        <v>2013</v>
      </c>
      <c r="AF43" s="1">
        <v>2014</v>
      </c>
      <c r="AG43" s="1">
        <v>2015</v>
      </c>
      <c r="AH43" s="1">
        <v>2016</v>
      </c>
      <c r="AI43" s="1">
        <v>2017</v>
      </c>
      <c r="AJ43" s="1">
        <v>2018</v>
      </c>
      <c r="AK43" s="1">
        <v>2019</v>
      </c>
      <c r="AL43" s="1">
        <v>2020</v>
      </c>
      <c r="AM43" s="1">
        <v>2021</v>
      </c>
      <c r="AN43" s="1">
        <v>2022</v>
      </c>
      <c r="AO43" s="1">
        <v>2023</v>
      </c>
      <c r="AP43" s="1">
        <v>2024</v>
      </c>
    </row>
    <row r="44" spans="17:42">
      <c r="Q44" s="49"/>
      <c r="AA44" s="14" t="s">
        <v>3</v>
      </c>
      <c r="AB44" s="40">
        <v>-0.149737958572498</v>
      </c>
      <c r="AC44" s="40">
        <v>18.320419895026244</v>
      </c>
      <c r="AD44" s="40">
        <v>38.804393747359526</v>
      </c>
      <c r="AE44" s="40">
        <v>1.7044589864556383</v>
      </c>
      <c r="AF44" s="40">
        <v>-23.986233727367949</v>
      </c>
      <c r="AG44" s="40" t="e">
        <f>((#REF!-#REF!)/#REF!)*100</f>
        <v>#REF!</v>
      </c>
      <c r="AH44" s="40" t="e">
        <f>((B6-#REF!)/#REF!)*100</f>
        <v>#REF!</v>
      </c>
      <c r="AI44" s="40">
        <f t="shared" ref="AI44:AP48" si="4">((C6-B6)/B6)*100</f>
        <v>-3.125</v>
      </c>
      <c r="AJ44" s="40">
        <f t="shared" si="4"/>
        <v>-6.6514416214673133</v>
      </c>
      <c r="AK44" s="40">
        <f t="shared" si="4"/>
        <v>39.26605504587156</v>
      </c>
      <c r="AL44" s="40">
        <f t="shared" si="4"/>
        <v>-21.365832235397452</v>
      </c>
      <c r="AM44" s="40">
        <f t="shared" si="4"/>
        <v>30.187098575816812</v>
      </c>
      <c r="AN44" s="40">
        <f>((H6-G6)/G6)*100</f>
        <v>-14.586014586014587</v>
      </c>
      <c r="AO44" s="40">
        <f>((I6-H6)/H6)*100</f>
        <v>-3.942742340532396</v>
      </c>
      <c r="AP44" s="40">
        <f>((J6-I6)/I6)*100</f>
        <v>-1.5163398692810459</v>
      </c>
    </row>
    <row r="45" spans="17:42">
      <c r="AA45" s="14" t="s">
        <v>6</v>
      </c>
      <c r="AB45" s="40">
        <v>-19.349485562562201</v>
      </c>
      <c r="AC45" s="40">
        <v>-7.3662551440329223</v>
      </c>
      <c r="AD45" s="40">
        <v>-12.305641936916926</v>
      </c>
      <c r="AE45" s="40">
        <v>-2.2289766970618032</v>
      </c>
      <c r="AF45" s="40">
        <v>10.725388601036268</v>
      </c>
      <c r="AG45" s="40" t="e">
        <f>((#REF!-#REF!)/#REF!)*100</f>
        <v>#REF!</v>
      </c>
      <c r="AH45" s="40" t="e">
        <f>((B7-#REF!)/#REF!)*100</f>
        <v>#REF!</v>
      </c>
      <c r="AI45" s="40">
        <f t="shared" si="4"/>
        <v>-6.1106155218554861</v>
      </c>
      <c r="AJ45" s="40">
        <f t="shared" si="4"/>
        <v>-4.6555819477434683</v>
      </c>
      <c r="AK45" s="40">
        <f t="shared" si="4"/>
        <v>15.794718485301445</v>
      </c>
      <c r="AL45" s="40">
        <f t="shared" si="4"/>
        <v>-40.189328743545609</v>
      </c>
      <c r="AM45" s="40">
        <f t="shared" si="4"/>
        <v>11.726618705035971</v>
      </c>
      <c r="AN45" s="40">
        <f t="shared" si="4"/>
        <v>4.1854475209272382</v>
      </c>
      <c r="AO45" s="40">
        <f t="shared" si="4"/>
        <v>42.027194066749075</v>
      </c>
      <c r="AP45" s="40">
        <f t="shared" si="4"/>
        <v>25.413402959094867</v>
      </c>
    </row>
    <row r="46" spans="17:42">
      <c r="AA46" s="14" t="s">
        <v>8</v>
      </c>
      <c r="AB46" s="40">
        <v>-31.65680473372781</v>
      </c>
      <c r="AC46" s="40">
        <v>12.739641311069882</v>
      </c>
      <c r="AD46" s="40">
        <v>39.001645639056498</v>
      </c>
      <c r="AE46" s="40">
        <v>56.471981057616418</v>
      </c>
      <c r="AF46" s="40">
        <v>-20.807061790668349</v>
      </c>
      <c r="AG46" s="40" t="e">
        <f>((#REF!-#REF!)/#REF!)*100</f>
        <v>#REF!</v>
      </c>
      <c r="AH46" s="40" t="e">
        <f>((B8-#REF!)/#REF!)*100</f>
        <v>#REF!</v>
      </c>
      <c r="AI46" s="40">
        <f t="shared" si="4"/>
        <v>-14.189473684210526</v>
      </c>
      <c r="AJ46" s="40">
        <f t="shared" si="4"/>
        <v>9.4210009813542683</v>
      </c>
      <c r="AK46" s="40">
        <f t="shared" si="4"/>
        <v>-1.883408071748879</v>
      </c>
      <c r="AL46" s="40">
        <f t="shared" si="4"/>
        <v>-34.872029250457039</v>
      </c>
      <c r="AM46" s="40">
        <f t="shared" si="4"/>
        <v>1.0526315789473684</v>
      </c>
      <c r="AN46" s="40">
        <f t="shared" si="4"/>
        <v>-0.76388888888888884</v>
      </c>
      <c r="AO46" s="40">
        <f t="shared" si="4"/>
        <v>21.203638908327502</v>
      </c>
      <c r="AP46" s="40">
        <f t="shared" si="4"/>
        <v>-2.5981524249422634</v>
      </c>
    </row>
    <row r="47" spans="17:42">
      <c r="AA47" s="14" t="s">
        <v>13</v>
      </c>
      <c r="AB47" s="40">
        <v>-19.91584852734923</v>
      </c>
      <c r="AC47" s="40">
        <v>-13.601868067717454</v>
      </c>
      <c r="AD47" s="40">
        <v>1.8918918918918921</v>
      </c>
      <c r="AE47" s="40">
        <v>31.49867374005305</v>
      </c>
      <c r="AF47" s="40">
        <v>1.5632879475542107</v>
      </c>
      <c r="AG47" s="40" t="e">
        <f>((#REF!-#REF!)/#REF!)*100</f>
        <v>#REF!</v>
      </c>
      <c r="AH47" s="40" t="e">
        <f>((B9-#REF!)/#REF!)*100</f>
        <v>#REF!</v>
      </c>
      <c r="AI47" s="40">
        <f t="shared" si="4"/>
        <v>-9.5133952979770378</v>
      </c>
      <c r="AJ47" s="40">
        <f t="shared" si="4"/>
        <v>7.9758308157099691</v>
      </c>
      <c r="AK47" s="40">
        <f t="shared" si="4"/>
        <v>1.5109121432568551</v>
      </c>
      <c r="AL47" s="40">
        <f t="shared" si="4"/>
        <v>-58.985667034178611</v>
      </c>
      <c r="AM47" s="40">
        <f t="shared" si="4"/>
        <v>30.913978494623656</v>
      </c>
      <c r="AN47" s="40">
        <f t="shared" si="4"/>
        <v>44.969199178644764</v>
      </c>
      <c r="AO47" s="40">
        <f t="shared" si="4"/>
        <v>4.9575070821529748</v>
      </c>
      <c r="AP47" s="40">
        <f t="shared" si="4"/>
        <v>-30.634278002699055</v>
      </c>
    </row>
    <row r="48" spans="17:42">
      <c r="AA48" s="14" t="s">
        <v>10</v>
      </c>
      <c r="AB48" s="40">
        <v>-23.7</v>
      </c>
      <c r="AC48" s="40">
        <v>-13.499344692005241</v>
      </c>
      <c r="AD48" s="40">
        <v>-4.2424242424242431</v>
      </c>
      <c r="AE48" s="40">
        <v>1.9778481012658229</v>
      </c>
      <c r="AF48" s="40">
        <v>-17.610550814584951</v>
      </c>
      <c r="AG48" s="40" t="e">
        <f>((#REF!-#REF!)/#REF!)*100</f>
        <v>#REF!</v>
      </c>
      <c r="AH48" s="40" t="e">
        <f>((B10-#REF!)/#REF!)*100</f>
        <v>#REF!</v>
      </c>
      <c r="AI48" s="40">
        <f t="shared" si="4"/>
        <v>-1.4084507042253522</v>
      </c>
      <c r="AJ48" s="40">
        <f t="shared" si="4"/>
        <v>-2.2077922077922079</v>
      </c>
      <c r="AK48" s="40">
        <f t="shared" si="4"/>
        <v>-16.201859229747676</v>
      </c>
      <c r="AL48" s="40">
        <f t="shared" si="4"/>
        <v>4.7543581616481774</v>
      </c>
      <c r="AM48" s="40">
        <f t="shared" si="4"/>
        <v>-7.7155824508320734</v>
      </c>
      <c r="AN48" s="40">
        <f t="shared" si="4"/>
        <v>-14.590163934426229</v>
      </c>
      <c r="AO48" s="40">
        <f t="shared" si="4"/>
        <v>25.719769673704413</v>
      </c>
      <c r="AP48" s="40">
        <f t="shared" si="4"/>
        <v>8.3969465648854964</v>
      </c>
    </row>
  </sheetData>
  <mergeCells count="13">
    <mergeCell ref="I3:I4"/>
    <mergeCell ref="G3:G4"/>
    <mergeCell ref="J3:J4"/>
    <mergeCell ref="H3:H4"/>
    <mergeCell ref="B3:B4"/>
    <mergeCell ref="C3:C4"/>
    <mergeCell ref="M3:M4"/>
    <mergeCell ref="A1:M1"/>
    <mergeCell ref="A2:M2"/>
    <mergeCell ref="A3:A4"/>
    <mergeCell ref="D3:D4"/>
    <mergeCell ref="E3:E4"/>
    <mergeCell ref="F3:F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Q40:Q43" xr:uid="{00000000-0002-0000-0000-000000000000}">
      <formula1>0</formula1>
      <formula2>1000</formula2>
    </dataValidation>
  </dataValidations>
  <pageMargins left="0.7" right="0.7" top="0.75" bottom="0.75" header="0.3" footer="0.3"/>
  <pageSetup scale="46" orientation="portrait" horizontalDpi="4294967295" verticalDpi="4294967295" r:id="rId1"/>
  <colBreaks count="1" manualBreakCount="1">
    <brk id="14" max="67" man="1"/>
  </colBreaks>
  <ignoredErrors>
    <ignoredError sqref="B5:D5" formulaRange="1"/>
    <ignoredError sqref="AG45:AN48 AG44:AJ44 AL44:AM44" unlockedFormula="1"/>
  </ignoredError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</vt:lpstr>
      <vt:lpstr>'8.1'!Print_Area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2025-08-13T05:38:17Z</cp:lastPrinted>
  <dcterms:created xsi:type="dcterms:W3CDTF">2019-06-30T04:22:49Z</dcterms:created>
  <dcterms:modified xsi:type="dcterms:W3CDTF">2025-08-13T05:38:25Z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