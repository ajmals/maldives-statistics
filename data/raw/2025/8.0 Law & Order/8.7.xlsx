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E657563F-30A0-432E-A9FD-38305B530AD4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7" sheetId="7" r:id="rId1"/>
  </sheets>
  <externalReferences>
    <externalReference r:id="rId2"/>
  </externalReferences>
  <definedNames>
    <definedName name="_xlnm.Print_Area" localSheetId="0">'8.7'!$A$1:$O$31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7" l="1"/>
  <c r="M13" i="7"/>
  <c r="M6" i="7"/>
  <c r="L7" i="7"/>
  <c r="L8" i="7"/>
  <c r="L9" i="7"/>
  <c r="L10" i="7"/>
  <c r="L11" i="7"/>
  <c r="L12" i="7"/>
  <c r="L13" i="7"/>
  <c r="J6" i="7"/>
  <c r="M10" i="7" l="1"/>
  <c r="M11" i="7"/>
  <c r="M9" i="7"/>
  <c r="M8" i="7"/>
  <c r="M7" i="7"/>
  <c r="I6" i="7" l="1"/>
  <c r="L6" i="7" s="1"/>
  <c r="H6" i="7" l="1"/>
  <c r="G6" i="7" l="1"/>
  <c r="F6" i="7" l="1"/>
  <c r="E6" i="7" l="1"/>
  <c r="D6" i="7" l="1"/>
  <c r="C6" i="7" l="1"/>
  <c r="B6" i="7"/>
</calcChain>
</file>

<file path=xl/sharedStrings.xml><?xml version="1.0" encoding="utf-8"?>
<sst xmlns="http://schemas.openxmlformats.org/spreadsheetml/2006/main" count="27" uniqueCount="27">
  <si>
    <t>Total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</si>
  <si>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</si>
  <si>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</si>
  <si>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</si>
  <si>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</si>
  <si>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ޖުމްލަ</t>
  </si>
  <si>
    <t xml:space="preserve">Type </t>
  </si>
  <si>
    <t>އިންސައްތަ</t>
  </si>
  <si>
    <t xml:space="preserve"> މައްސަލައިގެ ބާވަތް</t>
  </si>
  <si>
    <t>Percentage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</si>
  <si>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</si>
  <si>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</si>
  <si>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</si>
  <si>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</si>
  <si>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</si>
  <si>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</si>
  <si>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</si>
  <si>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</si>
  <si>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</si>
  <si>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</si>
  <si>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</si>
  <si>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</si>
  <si>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</si>
  <si>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</si>
  <si>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Table 8.7:  THEFT CASES LOGGED BY TYPE, 2016 - 2024</t>
  </si>
  <si>
    <t>%change over 2023</t>
  </si>
  <si>
    <t>ތާވަލު 8.7: ހުށަހެޅިފައިވާ ވައްކަމުގެ މައްސަލަތަކުގެ ބާވަތް، 2016- 2024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</si>
</sst>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b/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7" fillId="0" borderId="7" applyNumberFormat="0" applyFill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172" fontId="30" fillId="0" borderId="0"/>
    <xf numFmtId="1" fontId="31" fillId="0" borderId="12" applyNumberFormat="0"/>
    <xf numFmtId="0" fontId="26" fillId="0" borderId="0"/>
    <xf numFmtId="0" fontId="1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6" fillId="0" borderId="0"/>
    <xf numFmtId="1" fontId="31" fillId="0" borderId="12" applyNumberFormat="0"/>
    <xf numFmtId="0" fontId="1" fillId="0" borderId="0"/>
    <xf numFmtId="0" fontId="29" fillId="0" borderId="0"/>
    <xf numFmtId="0" fontId="18" fillId="0" borderId="0" applyFill="0" applyProtection="0"/>
    <xf numFmtId="1" fontId="31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9" fillId="0" borderId="0"/>
    <xf numFmtId="0" fontId="18" fillId="0" borderId="0" applyFill="0" applyProtection="0"/>
    <xf numFmtId="1" fontId="31" fillId="0" borderId="12" applyNumberFormat="0"/>
    <xf numFmtId="0" fontId="1" fillId="0" borderId="0"/>
    <xf numFmtId="0" fontId="26" fillId="0" borderId="0"/>
    <xf numFmtId="0" fontId="32" fillId="0" borderId="0"/>
    <xf numFmtId="0" fontId="33" fillId="0" borderId="0"/>
    <xf numFmtId="0" fontId="26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34" fillId="0" borderId="0" applyBorder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Border="0"/>
    <xf numFmtId="0" fontId="1" fillId="0" borderId="0"/>
    <xf numFmtId="0" fontId="1" fillId="0" borderId="0"/>
    <xf numFmtId="1" fontId="31" fillId="0" borderId="12" applyNumberFormat="0"/>
    <xf numFmtId="1" fontId="31" fillId="0" borderId="12" applyNumberFormat="0"/>
    <xf numFmtId="1" fontId="31" fillId="0" borderId="12" applyNumberFormat="0"/>
    <xf numFmtId="1" fontId="31" fillId="0" borderId="12" applyNumberFormat="0"/>
    <xf numFmtId="0" fontId="35" fillId="0" borderId="0"/>
    <xf numFmtId="0" fontId="35" fillId="0" borderId="0"/>
  </cellStyleXfs>
  <cellXfs count="52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8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7" fontId="15" fillId="2" borderId="0" xfId="1" applyNumberFormat="1" applyFont="1" applyFill="1" applyBorder="1" applyAlignment="1">
      <alignment horizontal="right"/>
    </xf>
    <xf numFmtId="164" fontId="9" fillId="2" borderId="0" xfId="0" applyNumberFormat="1" applyFont="1" applyFill="1" applyAlignment="1">
      <alignment horizontal="right" vertical="center" indent="1"/>
    </xf>
    <xf numFmtId="164" fontId="9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1" fillId="2" borderId="0" xfId="0" applyNumberFormat="1" applyFont="1" applyFill="1" applyAlignment="1">
      <alignment horizontal="right" vertical="center"/>
    </xf>
    <xf numFmtId="164" fontId="20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horizontal="left" vertical="center" indent="1"/>
    </xf>
    <xf numFmtId="164" fontId="8" fillId="2" borderId="0" xfId="0" applyNumberFormat="1" applyFont="1" applyFill="1" applyAlignment="1">
      <alignment vertical="center"/>
    </xf>
    <xf numFmtId="164" fontId="11" fillId="2" borderId="4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0" xfId="0" applyNumberFormat="1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top" wrapText="1"/>
    </xf>
    <xf numFmtId="164" fontId="6" fillId="2" borderId="0" xfId="0" applyNumberFormat="1" applyFont="1" applyFill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Alignment="1">
      <alignment horizontal="center" vertical="center"/>
    </xf>
    <xf numFmtId="3" fontId="10" fillId="2" borderId="9" xfId="0" applyNumberFormat="1" applyFont="1" applyFill="1" applyBorder="1" applyAlignment="1">
      <alignment horizontal="right" vertical="center" indent="5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64" fontId="25" fillId="2" borderId="6" xfId="0" applyNumberFormat="1" applyFont="1" applyFill="1" applyBorder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 indent="5"/>
    </xf>
    <xf numFmtId="3" fontId="13" fillId="2" borderId="4" xfId="0" applyNumberFormat="1" applyFont="1" applyFill="1" applyBorder="1" applyAlignment="1">
      <alignment horizontal="center" vertical="center"/>
    </xf>
    <xf numFmtId="3" fontId="13" fillId="2" borderId="0" xfId="0" applyNumberFormat="1" applyFont="1" applyFill="1" applyAlignment="1">
      <alignment horizontal="right" vertical="center" indent="5"/>
    </xf>
    <xf numFmtId="3" fontId="13" fillId="2" borderId="0" xfId="0" applyNumberFormat="1" applyFont="1" applyFill="1" applyAlignment="1">
      <alignment horizontal="center" vertical="center"/>
    </xf>
    <xf numFmtId="164" fontId="9" fillId="2" borderId="4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3" fillId="2" borderId="10" xfId="0" applyNumberFormat="1" applyFont="1" applyFill="1" applyBorder="1" applyAlignment="1">
      <alignment horizontal="center" vertical="top"/>
    </xf>
    <xf numFmtId="164" fontId="3" fillId="2" borderId="11" xfId="0" applyNumberFormat="1" applyFont="1" applyFill="1" applyBorder="1" applyAlignment="1">
      <alignment horizontal="center" vertical="top"/>
    </xf>
    <xf numFmtId="164" fontId="17" fillId="2" borderId="1" xfId="0" applyNumberFormat="1" applyFont="1" applyFill="1" applyBorder="1" applyAlignment="1">
      <alignment horizontal="center" vertical="center"/>
    </xf>
    <xf numFmtId="164" fontId="22" fillId="2" borderId="3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39368213964375E-2"/>
          <c:y val="0.1772514214065041"/>
          <c:w val="0.90921450982037544"/>
          <c:h val="0.65020293544955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'8.7'!$H$3:$H$5</c:f>
              <c:strCache>
                <c:ptCount val="3"/>
                <c:pt idx="0">
                  <c:v>2022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'8.7'!$H$7:$H$13</c:f>
              <c:numCache>
                <c:formatCode>#,##0</c:formatCode>
                <c:ptCount val="7"/>
                <c:pt idx="0">
                  <c:v>1989</c:v>
                </c:pt>
                <c:pt idx="1">
                  <c:v>493</c:v>
                </c:pt>
                <c:pt idx="2">
                  <c:v>561</c:v>
                </c:pt>
                <c:pt idx="3">
                  <c:v>276</c:v>
                </c:pt>
                <c:pt idx="4">
                  <c:v>43</c:v>
                </c:pt>
                <c:pt idx="5">
                  <c:v>156</c:v>
                </c:pt>
                <c:pt idx="6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'8.7'!$I$3:$I$5</c:f>
              <c:strCache>
                <c:ptCount val="3"/>
                <c:pt idx="0">
                  <c:v>2023 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'8.7'!$I$7:$I$13</c:f>
              <c:numCache>
                <c:formatCode>#,##0</c:formatCode>
                <c:ptCount val="7"/>
                <c:pt idx="0">
                  <c:v>1881</c:v>
                </c:pt>
                <c:pt idx="1">
                  <c:v>535</c:v>
                </c:pt>
                <c:pt idx="2">
                  <c:v>547</c:v>
                </c:pt>
                <c:pt idx="3">
                  <c:v>161</c:v>
                </c:pt>
                <c:pt idx="4">
                  <c:v>24</c:v>
                </c:pt>
                <c:pt idx="5">
                  <c:v>214</c:v>
                </c:pt>
                <c:pt idx="6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ser>
          <c:idx val="2"/>
          <c:order val="2"/>
          <c:tx>
            <c:strRef>
              <c:f>'8.7'!$J$3:$J$5</c:f>
              <c:strCache>
                <c:ptCount val="3"/>
                <c:pt idx="0">
                  <c:v>2024 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'8.7'!$J$7:$J$13</c:f>
              <c:numCache>
                <c:formatCode>#,##0</c:formatCode>
                <c:ptCount val="7"/>
                <c:pt idx="0">
                  <c:v>1729</c:v>
                </c:pt>
                <c:pt idx="1">
                  <c:v>601</c:v>
                </c:pt>
                <c:pt idx="2">
                  <c:v>581</c:v>
                </c:pt>
                <c:pt idx="3">
                  <c:v>93</c:v>
                </c:pt>
                <c:pt idx="4">
                  <c:v>19</c:v>
                </c:pt>
                <c:pt idx="5">
                  <c:v>205</c:v>
                </c:pt>
                <c:pt idx="6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F-4895-86B0-AB7221C2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831680"/>
        <c:axId val="43833216"/>
      </c:barChart>
      <c:catAx>
        <c:axId val="43831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3216"/>
        <c:crosses val="autoZero"/>
        <c:auto val="1"/>
        <c:lblAlgn val="ctr"/>
        <c:lblOffset val="100"/>
        <c:noMultiLvlLbl val="0"/>
      </c:catAx>
      <c:valAx>
        <c:axId val="438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514560350140915"/>
          <c:y val="0.21149739193993156"/>
          <c:w val="0.31832796626015414"/>
          <c:h val="7.1203030000996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14</xdr:row>
      <xdr:rowOff>85725</xdr:rowOff>
    </xdr:from>
    <xdr:to>
      <xdr:col>12</xdr:col>
      <xdr:colOff>552450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0.27309</cdr:x>
      <cdr:y>0.04276</cdr:y>
    </cdr:from>
    <cdr:to>
      <cdr:x>0.76074</cdr:x>
      <cdr:y>0.12895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71675" y="128703"/>
          <a:ext cx="3520830" cy="259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2020 - 2024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Relationship Id="rId1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rpt"/>
      <sheetName val="lg"/>
      <sheetName val="cls"/>
      <sheetName val="pg"/>
      <sheetName val="pgr"/>
      <sheetName val="tarrest"/>
      <sheetName val="parrest"/>
      <sheetName val="Drug_abuse_arrest"/>
      <sheetName val="victims"/>
      <sheetName val="traffic_viol"/>
      <sheetName val="traffic_code"/>
      <sheetName val="park_viol"/>
      <sheetName val="Confiscated_Drugs"/>
      <sheetName val="employees"/>
      <sheetName val="codes"/>
      <sheetName val="OtherCodes"/>
      <sheetName val="otherCodes2"/>
      <sheetName val="ilook"/>
      <sheetName val="commands"/>
      <sheetName val="f_islands"/>
    </sheetNames>
    <sheetDataSet>
      <sheetData sheetId="0"/>
      <sheetData sheetId="1">
        <row r="8">
          <cell r="AD8">
            <v>3183</v>
          </cell>
          <cell r="AE8">
            <v>587</v>
          </cell>
        </row>
        <row r="9">
          <cell r="AD9">
            <v>2773</v>
          </cell>
          <cell r="AE9">
            <v>109</v>
          </cell>
        </row>
        <row r="10">
          <cell r="AD10">
            <v>950</v>
          </cell>
          <cell r="AE10">
            <v>737</v>
          </cell>
        </row>
        <row r="11">
          <cell r="AD11">
            <v>788</v>
          </cell>
          <cell r="AE11">
            <v>240</v>
          </cell>
        </row>
        <row r="12">
          <cell r="AD12">
            <v>378</v>
          </cell>
          <cell r="AE12">
            <v>333</v>
          </cell>
        </row>
        <row r="13">
          <cell r="AD13">
            <v>503</v>
          </cell>
          <cell r="AE13">
            <v>169</v>
          </cell>
        </row>
        <row r="14">
          <cell r="AD14">
            <v>464</v>
          </cell>
          <cell r="AE14">
            <v>44</v>
          </cell>
        </row>
        <row r="15">
          <cell r="AD15">
            <v>131</v>
          </cell>
          <cell r="AE15">
            <v>189</v>
          </cell>
        </row>
        <row r="16">
          <cell r="AD16">
            <v>528</v>
          </cell>
          <cell r="AE16">
            <v>140</v>
          </cell>
        </row>
        <row r="17">
          <cell r="AD17">
            <v>150</v>
          </cell>
          <cell r="AE17">
            <v>97</v>
          </cell>
        </row>
        <row r="18">
          <cell r="AD18">
            <v>147</v>
          </cell>
          <cell r="AE18">
            <v>19</v>
          </cell>
        </row>
        <row r="19">
          <cell r="AD19">
            <v>2383</v>
          </cell>
          <cell r="AE19">
            <v>1279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</sheetPr>
  <dimension ref="A1:V23"/>
  <sheetViews>
    <sheetView tabSelected="1" zoomScaleNormal="100" zoomScaleSheetLayoutView="89" workbookViewId="0">
      <selection activeCell="L7" sqref="L7"/>
    </sheetView>
  </sheetViews>
  <sheetFormatPr defaultColWidth="9.140625" defaultRowHeight="15"/>
  <cols>
    <col min="1" max="1" width="33" style="1" customWidth="1"/>
    <col min="2" max="10" width="9.7109375" style="1" customWidth="1"/>
    <col min="11" max="11" width="2.7109375" style="1" customWidth="1"/>
    <col min="12" max="12" width="18.7109375" style="1" customWidth="1"/>
    <col min="13" max="13" width="14.28515625" style="1" customWidth="1"/>
    <col min="14" max="14" width="34.5703125" style="1" customWidth="1"/>
    <col min="15" max="15" width="2.7109375" style="1" customWidth="1"/>
    <col min="16" max="16" width="22.140625" style="1" bestFit="1" customWidth="1"/>
    <col min="17" max="16384" width="9.140625" style="1"/>
  </cols>
  <sheetData>
    <row r="1" spans="1:22" ht="21">
      <c r="A1" s="43" t="s">
        <v>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22" ht="15.75" customHeight="1">
      <c r="A2" s="39" t="s">
        <v>24</v>
      </c>
      <c r="B2" s="39"/>
      <c r="C2" s="39"/>
      <c r="D2" s="39"/>
      <c r="E2" s="40"/>
      <c r="F2" s="40"/>
      <c r="G2" s="41"/>
      <c r="H2" s="42"/>
      <c r="I2" s="42"/>
      <c r="J2" s="42"/>
      <c r="K2" s="39"/>
      <c r="L2" s="40"/>
      <c r="M2" s="40"/>
      <c r="N2" s="39"/>
      <c r="P2" s="2"/>
    </row>
    <row r="3" spans="1:22" ht="17.25">
      <c r="A3" s="46" t="s">
        <v>6</v>
      </c>
      <c r="B3" s="49">
        <v>2016</v>
      </c>
      <c r="C3" s="49">
        <v>2017</v>
      </c>
      <c r="D3" s="49">
        <v>2018</v>
      </c>
      <c r="E3" s="49">
        <v>2019</v>
      </c>
      <c r="F3" s="49">
        <v>2020</v>
      </c>
      <c r="G3" s="49">
        <v>2021</v>
      </c>
      <c r="H3" s="49">
        <v>2022</v>
      </c>
      <c r="I3" s="49">
        <v>2023</v>
      </c>
      <c r="J3" s="49">
        <v>2024</v>
      </c>
      <c r="K3" s="30"/>
      <c r="L3" s="29" t="s">
        <v>3</v>
      </c>
      <c r="M3" s="19" t="s">
        <v>7</v>
      </c>
      <c r="N3" s="44" t="s">
        <v>8</v>
      </c>
      <c r="Q3" s="3"/>
      <c r="R3" s="3"/>
      <c r="S3" s="3"/>
      <c r="T3" s="3"/>
      <c r="U3" s="3"/>
      <c r="V3" s="3"/>
    </row>
    <row r="4" spans="1:22" ht="34.5">
      <c r="A4" s="47"/>
      <c r="B4" s="50"/>
      <c r="C4" s="50"/>
      <c r="D4" s="50"/>
      <c r="E4" s="50"/>
      <c r="F4" s="50"/>
      <c r="G4" s="50"/>
      <c r="H4" s="50"/>
      <c r="I4" s="50"/>
      <c r="J4" s="50"/>
      <c r="K4" s="31"/>
      <c r="L4" s="20" t="s">
        <v>4</v>
      </c>
      <c r="M4" s="21" t="s">
        <v>9</v>
      </c>
      <c r="N4" s="45"/>
      <c r="Q4" s="3"/>
      <c r="R4" s="3"/>
      <c r="S4" s="3"/>
      <c r="T4" s="3"/>
      <c r="U4" s="3"/>
      <c r="V4" s="3"/>
    </row>
    <row r="5" spans="1:22" ht="17.25">
      <c r="A5" s="48"/>
      <c r="B5" s="51"/>
      <c r="C5" s="51"/>
      <c r="D5" s="51"/>
      <c r="E5" s="51"/>
      <c r="F5" s="51"/>
      <c r="G5" s="51"/>
      <c r="H5" s="51"/>
      <c r="I5" s="51"/>
      <c r="J5" s="51"/>
      <c r="K5" s="32"/>
      <c r="L5" s="22" t="s">
        <v>25</v>
      </c>
      <c r="M5" s="22">
        <v>2024</v>
      </c>
      <c r="N5" s="38"/>
      <c r="Q5" s="3"/>
      <c r="R5" s="3"/>
      <c r="S5" s="3"/>
      <c r="T5" s="3"/>
      <c r="U5" s="3"/>
      <c r="V5" s="3"/>
    </row>
    <row r="6" spans="1:22" s="12" customFormat="1" ht="17.25">
      <c r="A6" s="4" t="s">
        <v>0</v>
      </c>
      <c r="B6" s="23">
        <f t="shared" ref="B6:F6" si="0">SUM(B7:B13)</f>
        <v>3616</v>
      </c>
      <c r="C6" s="23">
        <f t="shared" si="0"/>
        <v>3503</v>
      </c>
      <c r="D6" s="23">
        <f t="shared" si="0"/>
        <v>3270</v>
      </c>
      <c r="E6" s="23">
        <f t="shared" si="0"/>
        <v>4554</v>
      </c>
      <c r="F6" s="23">
        <f t="shared" si="0"/>
        <v>3581</v>
      </c>
      <c r="G6" s="23">
        <f>SUM(G7:G13)</f>
        <v>4662</v>
      </c>
      <c r="H6" s="23">
        <f>SUM(H7:H13)</f>
        <v>3982</v>
      </c>
      <c r="I6" s="23">
        <f>SUM(I7:I13)</f>
        <v>3825</v>
      </c>
      <c r="J6" s="23">
        <f>SUM(J7:J13)</f>
        <v>3770</v>
      </c>
      <c r="K6" s="23"/>
      <c r="L6" s="27">
        <f>((J6-I6)/I6*100)</f>
        <v>-1.4379084967320261</v>
      </c>
      <c r="M6" s="26">
        <f>J6/$J$6*100</f>
        <v>100</v>
      </c>
      <c r="N6" s="33" t="s">
        <v>5</v>
      </c>
      <c r="P6" s="23"/>
      <c r="Q6" s="13"/>
      <c r="R6" s="13"/>
      <c r="S6" s="13"/>
      <c r="T6" s="13"/>
      <c r="U6" s="13"/>
      <c r="V6" s="13"/>
    </row>
    <row r="7" spans="1:22" s="18" customFormat="1" ht="18.75">
      <c r="A7" s="14" t="s">
        <v>10</v>
      </c>
      <c r="B7" s="24">
        <v>1054</v>
      </c>
      <c r="C7" s="24">
        <v>1217</v>
      </c>
      <c r="D7" s="24">
        <v>1290</v>
      </c>
      <c r="E7" s="24">
        <v>1777</v>
      </c>
      <c r="F7" s="24">
        <v>1609</v>
      </c>
      <c r="G7" s="24">
        <v>2251</v>
      </c>
      <c r="H7" s="24">
        <v>1989</v>
      </c>
      <c r="I7" s="24">
        <v>1881</v>
      </c>
      <c r="J7" s="24">
        <v>1729</v>
      </c>
      <c r="K7" s="24"/>
      <c r="L7" s="36">
        <f t="shared" ref="L7:L13" si="1">((J7-I7)/I7*100)</f>
        <v>-8.0808080808080813</v>
      </c>
      <c r="M7" s="37">
        <f t="shared" ref="M7:M13" si="2">J7/$J$6*100</f>
        <v>45.862068965517238</v>
      </c>
      <c r="N7" s="6" t="s">
        <v>11</v>
      </c>
      <c r="P7" s="23"/>
      <c r="Q7" s="13"/>
      <c r="R7" s="13"/>
      <c r="S7" s="15"/>
      <c r="T7" s="15"/>
      <c r="U7" s="15"/>
      <c r="V7" s="15"/>
    </row>
    <row r="8" spans="1:22" s="18" customFormat="1" ht="18.75">
      <c r="A8" s="14" t="s">
        <v>12</v>
      </c>
      <c r="B8" s="24">
        <v>650</v>
      </c>
      <c r="C8" s="24">
        <v>666</v>
      </c>
      <c r="D8" s="24">
        <v>494</v>
      </c>
      <c r="E8" s="24">
        <v>777</v>
      </c>
      <c r="F8" s="24">
        <v>479</v>
      </c>
      <c r="G8" s="24">
        <v>685</v>
      </c>
      <c r="H8" s="24">
        <v>493</v>
      </c>
      <c r="I8" s="24">
        <v>535</v>
      </c>
      <c r="J8" s="24">
        <v>601</v>
      </c>
      <c r="K8" s="24"/>
      <c r="L8" s="36">
        <f t="shared" si="1"/>
        <v>12.33644859813084</v>
      </c>
      <c r="M8" s="37">
        <f t="shared" si="2"/>
        <v>15.941644562334217</v>
      </c>
      <c r="N8" s="6" t="s">
        <v>13</v>
      </c>
      <c r="P8" s="23"/>
      <c r="Q8" s="24"/>
      <c r="R8" s="13"/>
      <c r="S8" s="15"/>
      <c r="T8" s="15"/>
      <c r="U8" s="15"/>
      <c r="V8" s="15"/>
    </row>
    <row r="9" spans="1:22" s="18" customFormat="1" ht="18.75">
      <c r="A9" s="14" t="s">
        <v>14</v>
      </c>
      <c r="B9" s="24">
        <v>778</v>
      </c>
      <c r="C9" s="24">
        <v>606</v>
      </c>
      <c r="D9" s="24">
        <v>523</v>
      </c>
      <c r="E9" s="24">
        <v>757</v>
      </c>
      <c r="F9" s="24">
        <v>583</v>
      </c>
      <c r="G9" s="24">
        <v>705</v>
      </c>
      <c r="H9" s="24">
        <v>561</v>
      </c>
      <c r="I9" s="24">
        <v>547</v>
      </c>
      <c r="J9" s="24">
        <v>581</v>
      </c>
      <c r="K9" s="24"/>
      <c r="L9" s="36">
        <f t="shared" si="1"/>
        <v>6.2157221206581355</v>
      </c>
      <c r="M9" s="37">
        <f t="shared" si="2"/>
        <v>15.411140583554378</v>
      </c>
      <c r="N9" s="6" t="s">
        <v>15</v>
      </c>
      <c r="P9" s="23"/>
      <c r="Q9" s="24"/>
      <c r="R9" s="13"/>
      <c r="S9" s="15"/>
      <c r="T9" s="15"/>
      <c r="U9" s="15"/>
      <c r="V9" s="15"/>
    </row>
    <row r="10" spans="1:22" s="18" customFormat="1" ht="18.75">
      <c r="A10" s="14" t="s">
        <v>16</v>
      </c>
      <c r="B10" s="24">
        <v>278</v>
      </c>
      <c r="C10" s="24">
        <v>237</v>
      </c>
      <c r="D10" s="24">
        <v>223</v>
      </c>
      <c r="E10" s="24">
        <v>232</v>
      </c>
      <c r="F10" s="24">
        <v>129</v>
      </c>
      <c r="G10" s="24">
        <v>105</v>
      </c>
      <c r="H10" s="24">
        <v>276</v>
      </c>
      <c r="I10" s="24">
        <v>161</v>
      </c>
      <c r="J10" s="24">
        <v>93</v>
      </c>
      <c r="K10" s="24"/>
      <c r="L10" s="36">
        <f t="shared" si="1"/>
        <v>-42.236024844720497</v>
      </c>
      <c r="M10" s="37">
        <f t="shared" si="2"/>
        <v>2.46684350132626</v>
      </c>
      <c r="N10" s="6" t="s">
        <v>17</v>
      </c>
      <c r="Q10" s="24"/>
      <c r="R10" s="13"/>
      <c r="S10" s="15"/>
      <c r="T10" s="15"/>
      <c r="U10" s="15"/>
      <c r="V10" s="15"/>
    </row>
    <row r="11" spans="1:22" s="18" customFormat="1" ht="18.75">
      <c r="A11" s="14" t="s">
        <v>18</v>
      </c>
      <c r="B11" s="24">
        <v>181</v>
      </c>
      <c r="C11" s="24">
        <v>135</v>
      </c>
      <c r="D11" s="24">
        <v>92</v>
      </c>
      <c r="E11" s="24">
        <v>94</v>
      </c>
      <c r="F11" s="24">
        <v>73</v>
      </c>
      <c r="G11" s="24">
        <v>53</v>
      </c>
      <c r="H11" s="24">
        <v>43</v>
      </c>
      <c r="I11" s="24">
        <v>24</v>
      </c>
      <c r="J11" s="24">
        <v>19</v>
      </c>
      <c r="K11" s="24"/>
      <c r="L11" s="36">
        <f t="shared" si="1"/>
        <v>-20.833333333333336</v>
      </c>
      <c r="M11" s="37">
        <f t="shared" si="2"/>
        <v>0.50397877984084882</v>
      </c>
      <c r="N11" s="6" t="s">
        <v>19</v>
      </c>
      <c r="P11" s="23"/>
      <c r="Q11" s="24"/>
      <c r="R11" s="13"/>
      <c r="S11" s="24"/>
      <c r="T11" s="15"/>
      <c r="U11" s="15"/>
      <c r="V11" s="15"/>
    </row>
    <row r="12" spans="1:22" s="18" customFormat="1" ht="18.75">
      <c r="A12" s="14" t="s">
        <v>20</v>
      </c>
      <c r="B12" s="24">
        <v>258</v>
      </c>
      <c r="C12" s="24">
        <v>174</v>
      </c>
      <c r="D12" s="24">
        <v>227</v>
      </c>
      <c r="E12" s="24">
        <v>306</v>
      </c>
      <c r="F12" s="24">
        <v>190</v>
      </c>
      <c r="G12" s="24">
        <v>236</v>
      </c>
      <c r="H12" s="24">
        <v>156</v>
      </c>
      <c r="I12" s="24">
        <v>214</v>
      </c>
      <c r="J12" s="24">
        <v>205</v>
      </c>
      <c r="K12" s="24"/>
      <c r="L12" s="36">
        <f t="shared" si="1"/>
        <v>-4.2056074766355138</v>
      </c>
      <c r="M12" s="37">
        <f t="shared" si="2"/>
        <v>5.4376657824933687</v>
      </c>
      <c r="N12" s="6" t="s">
        <v>21</v>
      </c>
      <c r="P12" s="23"/>
      <c r="Q12" s="24"/>
      <c r="R12" s="13"/>
      <c r="S12" s="24"/>
      <c r="T12" s="15"/>
      <c r="U12" s="15"/>
      <c r="V12" s="15"/>
    </row>
    <row r="13" spans="1:22" s="18" customFormat="1" ht="18.75">
      <c r="A13" s="16" t="s">
        <v>22</v>
      </c>
      <c r="B13" s="25">
        <v>417</v>
      </c>
      <c r="C13" s="25">
        <v>468</v>
      </c>
      <c r="D13" s="25">
        <v>421</v>
      </c>
      <c r="E13" s="25">
        <v>611</v>
      </c>
      <c r="F13" s="25">
        <v>518</v>
      </c>
      <c r="G13" s="25">
        <v>627</v>
      </c>
      <c r="H13" s="25">
        <v>464</v>
      </c>
      <c r="I13" s="25">
        <v>463</v>
      </c>
      <c r="J13" s="25">
        <v>542</v>
      </c>
      <c r="K13" s="25"/>
      <c r="L13" s="34">
        <f t="shared" si="1"/>
        <v>17.062634989200866</v>
      </c>
      <c r="M13" s="35">
        <f t="shared" si="2"/>
        <v>14.376657824933686</v>
      </c>
      <c r="N13" s="7" t="s">
        <v>23</v>
      </c>
      <c r="P13" s="23"/>
      <c r="Q13" s="24"/>
      <c r="R13" s="13"/>
      <c r="S13" s="24"/>
      <c r="T13" s="15"/>
      <c r="U13" s="15"/>
      <c r="V13" s="15"/>
    </row>
    <row r="14" spans="1:22">
      <c r="A14" s="9" t="s">
        <v>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8" t="s">
        <v>2</v>
      </c>
      <c r="P14" s="23"/>
      <c r="Q14" s="24"/>
      <c r="R14" s="13"/>
      <c r="S14" s="24"/>
      <c r="T14" s="3"/>
      <c r="U14" s="3"/>
      <c r="V14" s="3"/>
    </row>
    <row r="15" spans="1:22">
      <c r="P15" s="23"/>
      <c r="Q15" s="13"/>
      <c r="R15" s="13"/>
      <c r="S15" s="24"/>
      <c r="T15" s="3"/>
      <c r="U15" s="3"/>
      <c r="V15" s="3"/>
    </row>
    <row r="16" spans="1:22">
      <c r="A16" s="17"/>
      <c r="P16" s="23"/>
      <c r="Q16" s="13"/>
      <c r="R16" s="13"/>
      <c r="S16" s="24"/>
      <c r="T16" s="3"/>
      <c r="U16" s="3"/>
      <c r="V16" s="3"/>
    </row>
    <row r="17" spans="1:22">
      <c r="P17" s="23"/>
      <c r="Q17" s="13"/>
      <c r="R17" s="13"/>
      <c r="S17" s="24"/>
      <c r="T17" s="3"/>
      <c r="U17" s="3"/>
      <c r="V17" s="3"/>
    </row>
    <row r="18" spans="1:22">
      <c r="P18" s="23"/>
      <c r="Q18" s="13"/>
      <c r="R18" s="13"/>
      <c r="S18" s="3"/>
      <c r="T18" s="3"/>
      <c r="U18" s="3"/>
      <c r="V18" s="3"/>
    </row>
    <row r="19" spans="1:22">
      <c r="Q19" s="3"/>
      <c r="R19" s="3"/>
      <c r="S19" s="3"/>
      <c r="T19" s="3"/>
      <c r="U19" s="3"/>
      <c r="V19" s="3"/>
    </row>
    <row r="20" spans="1:22">
      <c r="Q20" s="3"/>
      <c r="R20" s="3"/>
      <c r="S20" s="3"/>
      <c r="T20" s="3"/>
      <c r="U20" s="3"/>
      <c r="V20" s="3"/>
    </row>
    <row r="21" spans="1:22" ht="17.25">
      <c r="A21" s="1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11"/>
      <c r="Q21" s="3"/>
      <c r="R21" s="3"/>
      <c r="S21" s="3"/>
      <c r="T21" s="3"/>
      <c r="U21" s="3"/>
      <c r="V21" s="3"/>
    </row>
    <row r="22" spans="1:22">
      <c r="Q22" s="3"/>
      <c r="R22" s="3"/>
      <c r="S22" s="3"/>
      <c r="T22" s="3"/>
      <c r="U22" s="3"/>
      <c r="V22" s="3"/>
    </row>
    <row r="23" spans="1:22">
      <c r="Q23" s="3"/>
      <c r="R23" s="3"/>
      <c r="S23" s="3"/>
      <c r="T23" s="3"/>
      <c r="U23" s="3"/>
      <c r="V23" s="3"/>
    </row>
  </sheetData>
  <mergeCells count="13">
    <mergeCell ref="I3:I5"/>
    <mergeCell ref="D3:D5"/>
    <mergeCell ref="N3:N5"/>
    <mergeCell ref="A1:N1"/>
    <mergeCell ref="A2:N2"/>
    <mergeCell ref="A3:A5"/>
    <mergeCell ref="B3:B5"/>
    <mergeCell ref="C3:C5"/>
    <mergeCell ref="E3:E5"/>
    <mergeCell ref="F3:F5"/>
    <mergeCell ref="G3:G5"/>
    <mergeCell ref="J3:J5"/>
    <mergeCell ref="H3:H5"/>
  </mergeCells>
  <pageMargins left="0.7" right="0.7" top="0.75" bottom="0.75" header="0.3" footer="0.3"/>
  <pageSetup paperSize="9" scale="45" orientation="portrait" horizontalDpi="4294967295" verticalDpi="4294967295" r:id="rId1"/>
  <colBreaks count="1" manualBreakCount="1">
    <brk id="15" max="1048575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8.7</vt:lpstr>
      <vt:lpstr>'8.7'!Print_Area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2026-01-20T03:34:44Z</cp:lastPrinted>
  <dcterms:created xsi:type="dcterms:W3CDTF">2019-06-30T04:22:49Z</dcterms:created>
  <dcterms:modified xsi:type="dcterms:W3CDTF">2026-01-20T03:35:14Z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