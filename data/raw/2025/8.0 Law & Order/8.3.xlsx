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324BC0A4-FC7E-45F6-9C75-F368A8A6119B}" xr6:coauthVersionLast="47" xr6:coauthVersionMax="47" xr10:uidLastSave="{00000000-0000-0000-0000-000000000000}"/>
  <bookViews>
    <workbookView xWindow="-120" yWindow="-120" windowWidth="29040" windowHeight="15720" tabRatio="788" xr2:uid="{00000000-000D-0000-FFFF-FFFF00000000}"/>
  </bookViews>
  <sheets>
    <sheet name="8.3" sheetId="3" r:id="rId1"/>
  </sheets>
  <externalReferences>
    <externalReference r:id="rId2"/>
  </externalReferences>
  <definedNames>
    <definedName name="_xlnm.Print_Area" localSheetId="0">'8.3'!$A$1:$M$60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3" l="1"/>
  <c r="K9" i="3" l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I8" i="3"/>
  <c r="I6" i="3" l="1"/>
  <c r="H8" i="3" l="1"/>
  <c r="K8" i="3" s="1"/>
  <c r="G8" i="3" l="1"/>
  <c r="H6" i="3" l="1"/>
  <c r="K6" i="3" s="1"/>
  <c r="G6" i="3" l="1"/>
  <c r="F8" i="3" l="1"/>
  <c r="F6" i="3" l="1"/>
  <c r="E8" i="3" l="1"/>
  <c r="E6" i="3" l="1"/>
  <c r="D8" i="3" l="1"/>
  <c r="D6" i="3" l="1"/>
  <c r="C8" i="3" l="1"/>
  <c r="B8" i="3"/>
  <c r="B6" i="3" s="1"/>
  <c r="C6" i="3" l="1"/>
</calcChain>
</file>

<file path=xl/sharedStrings.xml><?xml version="1.0" encoding="utf-8"?>
<sst xmlns="http://schemas.openxmlformats.org/spreadsheetml/2006/main" count="55" uniqueCount="52">
  <si>
    <t>Source: Maldives Police Service</t>
  </si>
  <si>
    <t>csivrws csilop cscviDclOm :Ivcaed utWmUluAwm</t>
  </si>
  <si>
    <t>އަތޮޅުތައް</t>
  </si>
  <si>
    <t>Republic</t>
  </si>
  <si>
    <t>Male'</t>
  </si>
  <si>
    <t>Atolls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</si>
  <si>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</si>
  <si>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</si>
  <si>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</si>
  <si>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</si>
  <si>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</si>
  <si>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</si>
  <si>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</si>
  <si>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</si>
  <si>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</si>
  <si>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</si>
  <si>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</si>
  <si>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</si>
  <si>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</si>
  <si>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</si>
  <si>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</si>
  <si>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</si>
  <si>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</si>
  <si>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</si>
  <si>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</si>
  <si>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</si>
  <si>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</si>
  <si>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</si>
  <si>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</si>
  <si>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</si>
  <si>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</si>
  <si>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</si>
  <si>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</si>
  <si>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</si>
  <si>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</si>
  <si>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</si>
  <si>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</si>
  <si>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</si>
  <si>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</si>
  <si>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</si>
  <si>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</si>
  <si>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</si>
  <si>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</si>
  <si>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</si>
  <si>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</si>
  <si>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</si>
  <si>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</si>
  <si>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</si>
  <si>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</si>
  <si>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% change over 2023</t>
  </si>
  <si>
    <t>TABLE: 8.3: NUMBER OF  LOGGED CASES BY ATOLL, 2017 - 2024</t>
  </si>
  <si>
    <t>ތާވަލު 8.3: އެކި އަތޮޅުތަކުން ހުށަހެޅިފައިވާ މައްސަލަތަކުގެ އަދަދު، 2017- 2024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</si>
</sst>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2" formatCode="0.00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sz val="9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0"/>
      <name val="Faruma"/>
      <family val="3"/>
    </font>
    <font>
      <b/>
      <sz val="15"/>
      <color theme="3"/>
      <name val="Arial Mäori"/>
      <family val="2"/>
    </font>
    <font>
      <b/>
      <sz val="10"/>
      <name val="A_Faseyha"/>
    </font>
    <font>
      <sz val="10"/>
      <name val="A_Faseyha"/>
    </font>
    <font>
      <sz val="9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8" fillId="0" borderId="4" applyNumberFormat="0" applyFill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172" fontId="33" fillId="0" borderId="0"/>
    <xf numFmtId="1" fontId="34" fillId="0" borderId="5" applyNumberFormat="0"/>
    <xf numFmtId="0" fontId="26" fillId="0" borderId="0"/>
    <xf numFmtId="0" fontId="1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32" fillId="0" borderId="0"/>
    <xf numFmtId="40" fontId="32" fillId="0" borderId="0" applyFont="0" applyFill="0" applyBorder="0" applyAlignment="0" applyProtection="0"/>
    <xf numFmtId="0" fontId="32" fillId="0" borderId="0"/>
    <xf numFmtId="0" fontId="26" fillId="0" borderId="0"/>
    <xf numFmtId="1" fontId="34" fillId="0" borderId="5" applyNumberFormat="0"/>
    <xf numFmtId="0" fontId="1" fillId="0" borderId="0"/>
    <xf numFmtId="0" fontId="32" fillId="0" borderId="0"/>
    <xf numFmtId="0" fontId="17" fillId="0" borderId="0" applyFill="0" applyProtection="0"/>
    <xf numFmtId="1" fontId="34" fillId="0" borderId="5" applyNumberFormat="0"/>
    <xf numFmtId="43" fontId="1" fillId="0" borderId="0" applyFont="0" applyFill="0" applyBorder="0" applyAlignment="0" applyProtection="0"/>
    <xf numFmtId="0" fontId="1" fillId="0" borderId="0"/>
    <xf numFmtId="0" fontId="35" fillId="0" borderId="0"/>
    <xf numFmtId="0" fontId="36" fillId="0" borderId="0"/>
    <xf numFmtId="0" fontId="35" fillId="0" borderId="0"/>
    <xf numFmtId="0" fontId="1" fillId="0" borderId="0"/>
    <xf numFmtId="0" fontId="32" fillId="0" borderId="0"/>
    <xf numFmtId="0" fontId="17" fillId="0" borderId="0" applyFill="0" applyProtection="0"/>
    <xf numFmtId="1" fontId="34" fillId="0" borderId="5" applyNumberFormat="0"/>
    <xf numFmtId="0" fontId="1" fillId="0" borderId="0"/>
    <xf numFmtId="0" fontId="26" fillId="0" borderId="0"/>
    <xf numFmtId="0" fontId="35" fillId="0" borderId="0"/>
    <xf numFmtId="0" fontId="36" fillId="0" borderId="0"/>
    <xf numFmtId="0" fontId="26" fillId="0" borderId="0"/>
    <xf numFmtId="0" fontId="35" fillId="0" borderId="0"/>
    <xf numFmtId="0" fontId="37" fillId="0" borderId="0"/>
    <xf numFmtId="0" fontId="35" fillId="0" borderId="0"/>
    <xf numFmtId="0" fontId="35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2" fillId="0" borderId="0" applyFont="0" applyFill="0" applyBorder="0" applyAlignment="0" applyProtection="0"/>
    <xf numFmtId="0" fontId="1" fillId="0" borderId="0"/>
    <xf numFmtId="0" fontId="37" fillId="0" borderId="0" applyBorder="0"/>
    <xf numFmtId="0" fontId="1" fillId="0" borderId="0"/>
    <xf numFmtId="40" fontId="3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7" fillId="0" borderId="0" applyBorder="0"/>
    <xf numFmtId="0" fontId="1" fillId="0" borderId="0"/>
    <xf numFmtId="0" fontId="1" fillId="0" borderId="0"/>
    <xf numFmtId="1" fontId="34" fillId="0" borderId="5" applyNumberFormat="0"/>
    <xf numFmtId="1" fontId="34" fillId="0" borderId="5" applyNumberFormat="0"/>
    <xf numFmtId="1" fontId="34" fillId="0" borderId="5" applyNumberFormat="0"/>
    <xf numFmtId="1" fontId="34" fillId="0" borderId="5" applyNumberFormat="0"/>
    <xf numFmtId="0" fontId="38" fillId="0" borderId="0"/>
    <xf numFmtId="0" fontId="38" fillId="0" borderId="0"/>
  </cellStyleXfs>
  <cellXfs count="53">
    <xf numFmtId="0" fontId="0" fillId="0" borderId="0" xfId="0"/>
    <xf numFmtId="164" fontId="0" fillId="2" borderId="0" xfId="0" applyNumberFormat="1" applyFill="1"/>
    <xf numFmtId="164" fontId="2" fillId="2" borderId="0" xfId="3" applyNumberFormat="1" applyFont="1" applyFill="1" applyAlignment="1">
      <alignment vertical="center"/>
    </xf>
    <xf numFmtId="164" fontId="10" fillId="2" borderId="0" xfId="0" applyNumberFormat="1" applyFont="1" applyFill="1"/>
    <xf numFmtId="164" fontId="7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 vertical="top"/>
    </xf>
    <xf numFmtId="164" fontId="16" fillId="2" borderId="3" xfId="0" applyNumberFormat="1" applyFont="1" applyFill="1" applyBorder="1" applyAlignment="1">
      <alignment horizontal="left" vertical="center"/>
    </xf>
    <xf numFmtId="166" fontId="7" fillId="2" borderId="0" xfId="4" applyFont="1" applyFill="1" applyBorder="1" applyAlignment="1">
      <alignment horizontal="center" vertical="center"/>
    </xf>
    <xf numFmtId="166" fontId="13" fillId="2" borderId="0" xfId="4" applyFont="1" applyFill="1" applyBorder="1" applyAlignment="1">
      <alignment horizontal="center" vertical="center"/>
    </xf>
    <xf numFmtId="166" fontId="13" fillId="2" borderId="2" xfId="4" applyFont="1" applyFill="1" applyBorder="1" applyAlignment="1">
      <alignment horizontal="center" vertical="center"/>
    </xf>
    <xf numFmtId="164" fontId="14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9" fontId="12" fillId="2" borderId="0" xfId="2" applyFont="1" applyFill="1" applyBorder="1" applyAlignment="1" applyProtection="1">
      <alignment horizontal="center" vertical="center"/>
      <protection locked="0"/>
    </xf>
    <xf numFmtId="164" fontId="19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22" fillId="2" borderId="0" xfId="0" applyFont="1" applyFill="1"/>
    <xf numFmtId="164" fontId="23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8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13" fillId="2" borderId="2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4" fontId="25" fillId="2" borderId="0" xfId="0" applyNumberFormat="1" applyFont="1" applyFill="1"/>
    <xf numFmtId="9" fontId="12" fillId="2" borderId="2" xfId="2" applyFont="1" applyFill="1" applyBorder="1" applyAlignment="1" applyProtection="1">
      <alignment horizontal="center" vertical="center"/>
      <protection locked="0"/>
    </xf>
    <xf numFmtId="3" fontId="29" fillId="2" borderId="0" xfId="0" applyNumberFormat="1" applyFont="1" applyFill="1" applyAlignment="1">
      <alignment horizontal="right" vertical="center" indent="1"/>
    </xf>
    <xf numFmtId="164" fontId="30" fillId="2" borderId="0" xfId="0" applyNumberFormat="1" applyFont="1" applyFill="1" applyAlignment="1">
      <alignment horizontal="right" vertical="center" indent="1"/>
    </xf>
    <xf numFmtId="164" fontId="30" fillId="2" borderId="2" xfId="0" applyNumberFormat="1" applyFont="1" applyFill="1" applyBorder="1" applyAlignment="1">
      <alignment horizontal="right" vertical="center" indent="1"/>
    </xf>
    <xf numFmtId="164" fontId="31" fillId="2" borderId="3" xfId="0" applyNumberFormat="1" applyFont="1" applyFill="1" applyBorder="1" applyAlignment="1">
      <alignment horizontal="right"/>
    </xf>
    <xf numFmtId="3" fontId="27" fillId="2" borderId="0" xfId="0" applyNumberFormat="1" applyFont="1" applyFill="1" applyAlignment="1">
      <alignment horizontal="right" vertical="center" indent="1"/>
    </xf>
    <xf numFmtId="164" fontId="8" fillId="2" borderId="1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right" vertical="center" wrapText="1"/>
    </xf>
    <xf numFmtId="165" fontId="15" fillId="2" borderId="2" xfId="0" applyNumberFormat="1" applyFont="1" applyFill="1" applyBorder="1" applyAlignment="1">
      <alignment horizontal="right" vertical="center" indent="5"/>
    </xf>
    <xf numFmtId="164" fontId="8" fillId="2" borderId="0" xfId="0" applyNumberFormat="1" applyFont="1" applyFill="1" applyAlignment="1">
      <alignment horizontal="right" vertical="center" wrapText="1"/>
    </xf>
    <xf numFmtId="165" fontId="12" fillId="2" borderId="6" xfId="0" applyNumberFormat="1" applyFont="1" applyFill="1" applyBorder="1" applyAlignment="1">
      <alignment horizontal="right" vertical="center" indent="5"/>
    </xf>
    <xf numFmtId="165" fontId="15" fillId="2" borderId="0" xfId="0" applyNumberFormat="1" applyFont="1" applyFill="1" applyAlignment="1">
      <alignment horizontal="right" vertical="center" indent="5"/>
    </xf>
    <xf numFmtId="165" fontId="12" fillId="2" borderId="0" xfId="0" applyNumberFormat="1" applyFont="1" applyFill="1" applyAlignment="1">
      <alignment horizontal="right" vertical="center" indent="5"/>
    </xf>
    <xf numFmtId="164" fontId="7" fillId="2" borderId="1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 wrapText="1"/>
    </xf>
    <xf numFmtId="164" fontId="7" fillId="2" borderId="0" xfId="0" applyNumberFormat="1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4" fontId="7" fillId="2" borderId="0" xfId="0" applyNumberFormat="1" applyFont="1" applyFill="1" applyAlignment="1">
      <alignment horizontal="right" vertical="center"/>
    </xf>
    <xf numFmtId="164" fontId="21" fillId="2" borderId="1" xfId="0" applyNumberFormat="1" applyFont="1" applyFill="1" applyBorder="1" applyAlignment="1">
      <alignment horizontal="right" vertical="center" wrapText="1"/>
    </xf>
    <xf numFmtId="164" fontId="21" fillId="2" borderId="0" xfId="0" applyNumberFormat="1" applyFont="1" applyFill="1" applyAlignment="1">
      <alignment horizontal="right" vertical="center" wrapText="1"/>
    </xf>
  </cellXfs>
  <cellStyles count="73">
    <cellStyle name="1" xfId="9" xr:uid="{00000000-0005-0000-0000-000000000000}"/>
    <cellStyle name="Comma" xfId="1" builtinId="3"/>
    <cellStyle name="Comma 2" xfId="4" xr:uid="{00000000-0005-0000-0000-000002000000}"/>
    <cellStyle name="Comma 2 2" xfId="53" xr:uid="{9A84C4CD-F55D-4D7F-A24D-2331BEF12D2F}"/>
    <cellStyle name="Comma 2 2 2 5" xfId="34" xr:uid="{72CAE074-9478-48BE-827F-7C347CA8E33E}"/>
    <cellStyle name="Comma 2 3" xfId="60" xr:uid="{48917DD4-5850-420F-B56E-6D1242EC9C7D}"/>
    <cellStyle name="Comma 2 4" xfId="26" xr:uid="{25E79544-726A-40BC-9B88-F4040A358A37}"/>
    <cellStyle name="Comma 3" xfId="13" xr:uid="{B8EE6C01-62F8-4757-AEA0-A8E2BB20DD32}"/>
    <cellStyle name="Comma 3 2" xfId="56" xr:uid="{32AB1500-45AA-4601-AE5B-CC2189D86C97}"/>
    <cellStyle name="Heading 1 2" xfId="7" xr:uid="{00000000-0005-0000-0000-000003000000}"/>
    <cellStyle name="Hyperlink" xfId="3" builtinId="8"/>
    <cellStyle name="Normal" xfId="0" builtinId="0"/>
    <cellStyle name="Normal - Style1" xfId="14" xr:uid="{643D6BAF-51F0-40E9-A034-4148317B748D}"/>
    <cellStyle name="Normal 10" xfId="20" xr:uid="{53C320C8-74A4-4753-953E-745E7CA03BF9}"/>
    <cellStyle name="Normal 11" xfId="31" xr:uid="{C334F9A6-404A-429F-AAC8-A64A5D797F6B}"/>
    <cellStyle name="Normal 12" xfId="33" xr:uid="{AD19A09E-E36B-4581-9623-F54EE49DE1A7}"/>
    <cellStyle name="Normal 13" xfId="42" xr:uid="{8F3E15E1-866E-4642-A160-6EC78A16082E}"/>
    <cellStyle name="Normal 14" xfId="67" xr:uid="{38102293-679E-4BC4-8C21-B50A9352FE0D}"/>
    <cellStyle name="Normal 15" xfId="68" xr:uid="{DDD174B3-A44D-4519-9D5A-E09E51F6BD36}"/>
    <cellStyle name="Normal 16" xfId="69" xr:uid="{2B037F2C-6E53-4DFC-BCEF-4BAE4D22C99F}"/>
    <cellStyle name="Normal 17" xfId="70" xr:uid="{862E1F38-3D0E-4A33-9EDA-CE90F84B8E45}"/>
    <cellStyle name="Normal 18" xfId="71" xr:uid="{CF87BC40-E55D-4F82-AE28-8FA1017CE6B1}"/>
    <cellStyle name="Normal 19" xfId="72" xr:uid="{FA237C1A-38D9-46F9-9E54-DD0D4DE6F649}"/>
    <cellStyle name="Normal 2" xfId="8" xr:uid="{00000000-0005-0000-0000-000006000000}"/>
    <cellStyle name="Normal 2 2" xfId="15" xr:uid="{E1B4ADD7-AF9F-4C31-814B-2F7CCD24FB28}"/>
    <cellStyle name="Normal 2 2 2" xfId="27" xr:uid="{86D4674A-12DC-467D-8791-E9A1C7FC3D5C}"/>
    <cellStyle name="Normal 2 2 2 2" xfId="51" xr:uid="{E5E93CD8-FF9A-48B1-ADA9-AB3C731E6334}"/>
    <cellStyle name="Normal 2 2 3" xfId="28" xr:uid="{A9406696-2B5F-40B4-B07A-9A75502DB3A9}"/>
    <cellStyle name="Normal 2 2 3 2" xfId="49" xr:uid="{F69FCC6A-DC9B-4565-AD31-066A6C2F5064}"/>
    <cellStyle name="Normal 2 2 4" xfId="45" xr:uid="{6F0840CA-9553-405D-ACE5-D01A72852DAD}"/>
    <cellStyle name="Normal 2 3" xfId="30" xr:uid="{E13F57EA-1139-4D18-983A-599F278AD76F}"/>
    <cellStyle name="Normal 2 3 2" xfId="41" xr:uid="{0043EE02-D5BD-4812-AD16-BFACC7EF42A8}"/>
    <cellStyle name="Normal 2 3 3" xfId="44" xr:uid="{0A8706C9-91EC-4327-A8A0-F2E5BA34A857}"/>
    <cellStyle name="Normal 2 4" xfId="32" xr:uid="{20B2D89D-D384-47E8-A9EE-FCD14F76982F}"/>
    <cellStyle name="Normal 2 4 2" xfId="52" xr:uid="{3F0CEA5C-059B-43A9-859D-A965B48327F7}"/>
    <cellStyle name="Normal 2 5" xfId="36" xr:uid="{CE7AC479-92A4-4367-8F5E-D56B9C5A1031}"/>
    <cellStyle name="Normal 3" xfId="6" xr:uid="{00000000-0005-0000-0000-000007000000}"/>
    <cellStyle name="Normal 3 2" xfId="29" xr:uid="{D8C0391F-9AA5-43CD-9EDF-E1CEE95293DA}"/>
    <cellStyle name="Normal 3 2 2" xfId="38" xr:uid="{519BA7B2-00D0-4BC8-9FC5-2049B7FF832F}"/>
    <cellStyle name="Normal 3 2 2 2" xfId="63" xr:uid="{FFD9FBF6-074E-4300-A11B-1E9E248674A4}"/>
    <cellStyle name="Normal 3 3" xfId="47" xr:uid="{96442A53-EA32-4F89-842D-FC2B3500B36F}"/>
    <cellStyle name="Normal 3 3 2" xfId="66" xr:uid="{FC90F908-F2F6-489E-BDC8-B211A625F9C1}"/>
    <cellStyle name="Normal 3 4" xfId="57" xr:uid="{8D94B436-169A-4EF4-AF1F-BD2D38E48701}"/>
    <cellStyle name="Normal 3 5" xfId="61" xr:uid="{20B92D94-623A-4A41-B83E-988C78EE9919}"/>
    <cellStyle name="Normal 3 6" xfId="16" xr:uid="{2260A489-F0D9-40BA-A22E-29EA47F1B2F4}"/>
    <cellStyle name="Normal 4" xfId="21" xr:uid="{D3B53A52-2AD8-4381-AB54-845A42EF1FF2}"/>
    <cellStyle name="Normal 4 2" xfId="17" xr:uid="{861AA663-ADE1-4537-934E-8307E5FD8F74}"/>
    <cellStyle name="Normal 4 2 2" xfId="22" xr:uid="{E8677BA3-8211-444C-BEC4-9A07A188675B}"/>
    <cellStyle name="Normal 4 2 3" xfId="46" xr:uid="{A1A62C66-066C-4E8B-898C-FFCDC593C940}"/>
    <cellStyle name="Normal 4 3" xfId="37" xr:uid="{41EDC26E-37D1-45EB-B40D-C33CA90D2064}"/>
    <cellStyle name="Normal 4 3 2" xfId="54" xr:uid="{F0BD437D-A11C-4FCC-8D12-ECC542C171DB}"/>
    <cellStyle name="Normal 4 4" xfId="59" xr:uid="{644A2FD9-99FD-44AF-AD6A-7DA7696F10CB}"/>
    <cellStyle name="Normal 5" xfId="18" xr:uid="{497704D6-52EF-4ABE-A3CD-97569A2A33A7}"/>
    <cellStyle name="Normal 5 2" xfId="11" xr:uid="{00CB0B8C-510E-4BED-8B9B-553F22BD15C7}"/>
    <cellStyle name="Normal 5 2 2" xfId="62" xr:uid="{C310ED55-448A-4742-B398-B242C3A89A52}"/>
    <cellStyle name="Normal 5 3" xfId="35" xr:uid="{B6E770DA-49EF-4C68-912F-2AD9E34AB464}"/>
    <cellStyle name="Normal 5 4" xfId="48" xr:uid="{439C9414-9BA2-497D-BF7E-0C5A82DE1171}"/>
    <cellStyle name="Normal 6" xfId="23" xr:uid="{FF1D5E57-8C3F-43A7-8100-05F86404E24E}"/>
    <cellStyle name="Normal 6 2" xfId="39" xr:uid="{BF19C48D-9054-4CB1-8B26-C788F7386A5B}"/>
    <cellStyle name="Normal 6 2 2" xfId="64" xr:uid="{8DCBD4A4-A7DB-4626-B9AE-A2DBD111A1EA}"/>
    <cellStyle name="Normal 6 3" xfId="50" xr:uid="{EF61BC19-A02A-4B29-B5E5-F8ADBFFE6AF9}"/>
    <cellStyle name="Normal 7" xfId="24" xr:uid="{5E137597-5161-4D95-90E4-F6DC879E5B22}"/>
    <cellStyle name="Normal 7 2" xfId="40" xr:uid="{AF7B1DEB-2498-4714-A82C-DA80CF2C533D}"/>
    <cellStyle name="Normal 7 2 2" xfId="55" xr:uid="{72B3ACED-6426-4333-A31F-F7A584556C09}"/>
    <cellStyle name="Normal 7 3" xfId="65" xr:uid="{479EC22B-EFA4-4A4A-859B-B213AB646001}"/>
    <cellStyle name="Normal 7 4" xfId="43" xr:uid="{2E7F84E1-ECE1-404D-A212-C39658E7599D}"/>
    <cellStyle name="Normal 8" xfId="25" xr:uid="{CEB51C94-2E45-4D5B-9F0F-359FEE19D53C}"/>
    <cellStyle name="Normal 8 2" xfId="58" xr:uid="{286B7DE3-B5D9-42D4-91CA-A0F00AB06695}"/>
    <cellStyle name="Normal 9" xfId="12" xr:uid="{585AC317-7540-4658-AB5A-C34FB49F1152}"/>
    <cellStyle name="Percent" xfId="2" builtinId="5"/>
    <cellStyle name="Percent 2" xfId="5" xr:uid="{00000000-0005-0000-0000-00000E000000}"/>
    <cellStyle name="Percent 2 2" xfId="10" xr:uid="{67C19ACC-B2FB-4E73-ACA6-0EF4958B92CE}"/>
    <cellStyle name="Percent 2 3" xfId="19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2022 -2024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836508005459606E-2"/>
          <c:y val="0.15366966895041112"/>
          <c:w val="0.9089788148537401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'8.3'!$G$3:$G$5</c:f>
              <c:strCache>
                <c:ptCount val="3"/>
                <c:pt idx="0">
                  <c:v>2022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'8.3'!$G$9:$G$28</c:f>
              <c:numCache>
                <c:formatCode>_-* #,##0_-;\-* #,##0_-;_-* "-"??_-;_-@_-</c:formatCode>
                <c:ptCount val="20"/>
                <c:pt idx="0">
                  <c:v>126</c:v>
                </c:pt>
                <c:pt idx="1">
                  <c:v>341</c:v>
                </c:pt>
                <c:pt idx="2">
                  <c:v>109</c:v>
                </c:pt>
                <c:pt idx="3">
                  <c:v>173</c:v>
                </c:pt>
                <c:pt idx="4">
                  <c:v>207</c:v>
                </c:pt>
                <c:pt idx="5">
                  <c:v>162</c:v>
                </c:pt>
                <c:pt idx="6">
                  <c:v>177</c:v>
                </c:pt>
                <c:pt idx="7">
                  <c:v>490</c:v>
                </c:pt>
                <c:pt idx="8">
                  <c:v>115</c:v>
                </c:pt>
                <c:pt idx="9">
                  <c:v>206</c:v>
                </c:pt>
                <c:pt idx="10">
                  <c:v>35</c:v>
                </c:pt>
                <c:pt idx="11">
                  <c:v>73</c:v>
                </c:pt>
                <c:pt idx="12">
                  <c:v>61</c:v>
                </c:pt>
                <c:pt idx="13">
                  <c:v>116</c:v>
                </c:pt>
                <c:pt idx="14">
                  <c:v>150</c:v>
                </c:pt>
                <c:pt idx="15">
                  <c:v>198</c:v>
                </c:pt>
                <c:pt idx="16">
                  <c:v>145</c:v>
                </c:pt>
                <c:pt idx="17">
                  <c:v>240</c:v>
                </c:pt>
                <c:pt idx="18">
                  <c:v>326</c:v>
                </c:pt>
                <c:pt idx="19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'8.3'!$H$3:$H$5</c:f>
              <c:strCache>
                <c:ptCount val="3"/>
                <c:pt idx="0">
                  <c:v>2023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'8.3'!$H$9:$H$28</c:f>
              <c:numCache>
                <c:formatCode>_-* #,##0_-;\-* #,##0_-;_-* "-"??_-;_-@_-</c:formatCode>
                <c:ptCount val="20"/>
                <c:pt idx="0">
                  <c:v>126</c:v>
                </c:pt>
                <c:pt idx="1">
                  <c:v>352</c:v>
                </c:pt>
                <c:pt idx="2">
                  <c:v>101</c:v>
                </c:pt>
                <c:pt idx="3">
                  <c:v>221</c:v>
                </c:pt>
                <c:pt idx="4">
                  <c:v>202</c:v>
                </c:pt>
                <c:pt idx="5">
                  <c:v>155</c:v>
                </c:pt>
                <c:pt idx="6">
                  <c:v>175</c:v>
                </c:pt>
                <c:pt idx="7">
                  <c:v>243</c:v>
                </c:pt>
                <c:pt idx="8">
                  <c:v>174</c:v>
                </c:pt>
                <c:pt idx="9">
                  <c:v>217</c:v>
                </c:pt>
                <c:pt idx="10">
                  <c:v>29</c:v>
                </c:pt>
                <c:pt idx="11">
                  <c:v>82</c:v>
                </c:pt>
                <c:pt idx="12">
                  <c:v>72</c:v>
                </c:pt>
                <c:pt idx="13">
                  <c:v>87</c:v>
                </c:pt>
                <c:pt idx="14">
                  <c:v>140</c:v>
                </c:pt>
                <c:pt idx="15">
                  <c:v>264</c:v>
                </c:pt>
                <c:pt idx="16">
                  <c:v>178</c:v>
                </c:pt>
                <c:pt idx="17">
                  <c:v>228</c:v>
                </c:pt>
                <c:pt idx="18">
                  <c:v>353</c:v>
                </c:pt>
                <c:pt idx="19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ser>
          <c:idx val="0"/>
          <c:order val="2"/>
          <c:tx>
            <c:strRef>
              <c:f>'8.3'!$I$3:$I$5</c:f>
              <c:strCache>
                <c:ptCount val="3"/>
                <c:pt idx="0">
                  <c:v>2024 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'8.3'!$I$9:$I$28</c:f>
              <c:numCache>
                <c:formatCode>_-* #,##0_-;\-* #,##0_-;_-* "-"??_-;_-@_-</c:formatCode>
                <c:ptCount val="20"/>
                <c:pt idx="0">
                  <c:v>150</c:v>
                </c:pt>
                <c:pt idx="1">
                  <c:v>364</c:v>
                </c:pt>
                <c:pt idx="2">
                  <c:v>102</c:v>
                </c:pt>
                <c:pt idx="3">
                  <c:v>110</c:v>
                </c:pt>
                <c:pt idx="4">
                  <c:v>138</c:v>
                </c:pt>
                <c:pt idx="5">
                  <c:v>121</c:v>
                </c:pt>
                <c:pt idx="6">
                  <c:v>179</c:v>
                </c:pt>
                <c:pt idx="7">
                  <c:v>301</c:v>
                </c:pt>
                <c:pt idx="8">
                  <c:v>181</c:v>
                </c:pt>
                <c:pt idx="9">
                  <c:v>237</c:v>
                </c:pt>
                <c:pt idx="10">
                  <c:v>37</c:v>
                </c:pt>
                <c:pt idx="11">
                  <c:v>133</c:v>
                </c:pt>
                <c:pt idx="12">
                  <c:v>65</c:v>
                </c:pt>
                <c:pt idx="13">
                  <c:v>82</c:v>
                </c:pt>
                <c:pt idx="14">
                  <c:v>139</c:v>
                </c:pt>
                <c:pt idx="15">
                  <c:v>248</c:v>
                </c:pt>
                <c:pt idx="16">
                  <c:v>189</c:v>
                </c:pt>
                <c:pt idx="17">
                  <c:v>278</c:v>
                </c:pt>
                <c:pt idx="18">
                  <c:v>386</c:v>
                </c:pt>
                <c:pt idx="19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D-4103-92EF-A6E882D10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42395904"/>
        <c:axId val="42397696"/>
      </c:barChart>
      <c:catAx>
        <c:axId val="4239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2397696"/>
        <c:crosses val="autoZero"/>
        <c:auto val="1"/>
        <c:lblAlgn val="ctr"/>
        <c:lblOffset val="100"/>
        <c:noMultiLvlLbl val="0"/>
      </c:catAx>
      <c:valAx>
        <c:axId val="4239769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4239590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926261600316389"/>
          <c:y val="0.23275412955655031"/>
          <c:w val="0.20974507105589243"/>
          <c:h val="7.6171015894308317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C-8C29-424A-8D3B-0E1C0DE0334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C29-424A-8D3B-0E1C0DE0334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2-4B4B-4F7A-8994-D8408ACC904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92F-4D3A-BEDB-1D3DA447123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392F-4D3A-BEDB-1D3DA447123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4B4B-4F7A-8994-D8408ACC904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3730-4580-A847-0491FE86EA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4-4B4B-4F7A-8994-D8408ACC904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0-8C29-424A-8D3B-0E1C0DE0334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C29-424A-8D3B-0E1C0DE03347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392F-4D3A-BEDB-1D3DA447123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392F-4D3A-BEDB-1D3DA447123E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92F-4D3A-BEDB-1D3DA447123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E-8C29-424A-8D3B-0E1C0DE03347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92F-4D3A-BEDB-1D3DA447123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'8.3'!$K$9:$K$28</c:f>
              <c:numCache>
                <c:formatCode>0.0</c:formatCode>
                <c:ptCount val="20"/>
                <c:pt idx="0">
                  <c:v>19.047619047619047</c:v>
                </c:pt>
                <c:pt idx="1">
                  <c:v>3.4090909090909087</c:v>
                </c:pt>
                <c:pt idx="2">
                  <c:v>0.99009900990099009</c:v>
                </c:pt>
                <c:pt idx="3">
                  <c:v>-50.226244343891402</c:v>
                </c:pt>
                <c:pt idx="4">
                  <c:v>-31.683168316831683</c:v>
                </c:pt>
                <c:pt idx="5">
                  <c:v>-21.935483870967744</c:v>
                </c:pt>
                <c:pt idx="6">
                  <c:v>2.2857142857142856</c:v>
                </c:pt>
                <c:pt idx="7">
                  <c:v>23.868312757201647</c:v>
                </c:pt>
                <c:pt idx="8">
                  <c:v>4.0229885057471266</c:v>
                </c:pt>
                <c:pt idx="9">
                  <c:v>9.216589861751153</c:v>
                </c:pt>
                <c:pt idx="10">
                  <c:v>27.586206896551722</c:v>
                </c:pt>
                <c:pt idx="11">
                  <c:v>62.195121951219512</c:v>
                </c:pt>
                <c:pt idx="12">
                  <c:v>-9.7222222222222232</c:v>
                </c:pt>
                <c:pt idx="13">
                  <c:v>-5.7471264367816088</c:v>
                </c:pt>
                <c:pt idx="14">
                  <c:v>-0.7142857142857143</c:v>
                </c:pt>
                <c:pt idx="15">
                  <c:v>-6.0606060606060606</c:v>
                </c:pt>
                <c:pt idx="16">
                  <c:v>6.179775280898876</c:v>
                </c:pt>
                <c:pt idx="17">
                  <c:v>21.929824561403507</c:v>
                </c:pt>
                <c:pt idx="18">
                  <c:v>9.3484419263456093</c:v>
                </c:pt>
                <c:pt idx="19">
                  <c:v>-12.216404886561955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657664"/>
        <c:axId val="42659200"/>
      </c:barChart>
      <c:catAx>
        <c:axId val="42657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42659200"/>
        <c:crosses val="autoZero"/>
        <c:auto val="1"/>
        <c:lblAlgn val="ctr"/>
        <c:lblOffset val="100"/>
        <c:noMultiLvlLbl val="0"/>
      </c:catAx>
      <c:valAx>
        <c:axId val="42659200"/>
        <c:scaling>
          <c:orientation val="minMax"/>
          <c:max val="100"/>
          <c:min val="-4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crossAx val="4265766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11</xdr:col>
      <xdr:colOff>631308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242790</xdr:colOff>
      <xdr:row>44</xdr:row>
      <xdr:rowOff>62590</xdr:rowOff>
    </xdr:from>
    <xdr:to>
      <xdr:col>11</xdr:col>
      <xdr:colOff>631308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33226</xdr:colOff>
      <xdr:row>45</xdr:row>
      <xdr:rowOff>69290</xdr:rowOff>
    </xdr:from>
    <xdr:to>
      <xdr:col>10</xdr:col>
      <xdr:colOff>653459</xdr:colOff>
      <xdr:row>46</xdr:row>
      <xdr:rowOff>182618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650261" y="8918680"/>
          <a:ext cx="4906483" cy="3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(2024) by Atolls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Relationship Id="rId1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rpt"/>
      <sheetName val="lg"/>
      <sheetName val="cls"/>
      <sheetName val="pg"/>
      <sheetName val="pgr"/>
      <sheetName val="tarrest"/>
      <sheetName val="parrest"/>
      <sheetName val="Drug_abuse_arrest"/>
      <sheetName val="victims"/>
      <sheetName val="traffic_viol"/>
      <sheetName val="traffic_code"/>
      <sheetName val="park_viol"/>
      <sheetName val="Confiscated_Drugs"/>
      <sheetName val="employees"/>
      <sheetName val="codes"/>
      <sheetName val="OtherCodes"/>
      <sheetName val="otherCodes2"/>
      <sheetName val="ilook"/>
      <sheetName val="commands"/>
      <sheetName val="f_islands"/>
    </sheetNames>
    <sheetDataSet>
      <sheetData sheetId="0"/>
      <sheetData sheetId="1">
        <row r="8">
          <cell r="AD8">
            <v>3183</v>
          </cell>
          <cell r="AE8">
            <v>587</v>
          </cell>
        </row>
        <row r="9">
          <cell r="AD9">
            <v>2773</v>
          </cell>
          <cell r="AE9">
            <v>109</v>
          </cell>
        </row>
        <row r="10">
          <cell r="AD10">
            <v>950</v>
          </cell>
          <cell r="AE10">
            <v>737</v>
          </cell>
        </row>
        <row r="11">
          <cell r="AD11">
            <v>788</v>
          </cell>
          <cell r="AE11">
            <v>240</v>
          </cell>
        </row>
        <row r="12">
          <cell r="AD12">
            <v>378</v>
          </cell>
          <cell r="AE12">
            <v>333</v>
          </cell>
        </row>
        <row r="13">
          <cell r="AD13">
            <v>503</v>
          </cell>
          <cell r="AE13">
            <v>169</v>
          </cell>
        </row>
        <row r="14">
          <cell r="AD14">
            <v>464</v>
          </cell>
          <cell r="AE14">
            <v>44</v>
          </cell>
        </row>
        <row r="15">
          <cell r="AD15">
            <v>131</v>
          </cell>
          <cell r="AE15">
            <v>189</v>
          </cell>
        </row>
        <row r="16">
          <cell r="AD16">
            <v>528</v>
          </cell>
          <cell r="AE16">
            <v>140</v>
          </cell>
        </row>
        <row r="17">
          <cell r="AD17">
            <v>150</v>
          </cell>
          <cell r="AE17">
            <v>97</v>
          </cell>
        </row>
        <row r="18">
          <cell r="AD18">
            <v>147</v>
          </cell>
          <cell r="AE18">
            <v>19</v>
          </cell>
        </row>
        <row r="19">
          <cell r="AD19">
            <v>2383</v>
          </cell>
          <cell r="AE19">
            <v>1279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T60"/>
  <sheetViews>
    <sheetView tabSelected="1" zoomScale="86" zoomScaleNormal="86" workbookViewId="0">
      <selection activeCell="Q15" sqref="Q15"/>
    </sheetView>
  </sheetViews>
  <sheetFormatPr defaultColWidth="9.140625" defaultRowHeight="15"/>
  <cols>
    <col min="1" max="1" width="13.85546875" style="1" customWidth="1"/>
    <col min="2" max="2" width="10.42578125" style="1" customWidth="1"/>
    <col min="3" max="9" width="10.42578125" style="1" bestFit="1" customWidth="1"/>
    <col min="10" max="10" width="1.42578125" style="1" customWidth="1"/>
    <col min="11" max="11" width="16" style="1" customWidth="1"/>
    <col min="12" max="12" width="11" style="1" customWidth="1"/>
    <col min="13" max="13" width="4.42578125" style="1" customWidth="1"/>
    <col min="14" max="14" width="17.7109375" style="1" customWidth="1"/>
    <col min="15" max="15" width="0.140625" style="1" customWidth="1"/>
    <col min="16" max="16" width="2.42578125" style="1" customWidth="1"/>
    <col min="17" max="17" width="22.140625" style="1" bestFit="1" customWidth="1"/>
    <col min="18" max="16384" width="9.140625" style="1"/>
  </cols>
  <sheetData>
    <row r="1" spans="1:20" ht="21.75">
      <c r="A1" s="48" t="s">
        <v>51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0" ht="21.75" customHeight="1">
      <c r="A2" s="49" t="s">
        <v>50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20" ht="16.5" customHeight="1">
      <c r="A3" s="45" t="s">
        <v>6</v>
      </c>
      <c r="B3" s="42">
        <v>2017</v>
      </c>
      <c r="C3" s="42">
        <v>2018</v>
      </c>
      <c r="D3" s="42">
        <v>2019</v>
      </c>
      <c r="E3" s="42">
        <v>2020</v>
      </c>
      <c r="F3" s="42">
        <v>2021</v>
      </c>
      <c r="G3" s="42">
        <v>2022</v>
      </c>
      <c r="H3" s="42">
        <v>2023</v>
      </c>
      <c r="I3" s="42">
        <v>2024</v>
      </c>
      <c r="J3" s="33"/>
      <c r="K3" s="35" t="s">
        <v>7</v>
      </c>
      <c r="L3" s="51" t="s">
        <v>8</v>
      </c>
      <c r="O3" s="3"/>
      <c r="P3" s="3"/>
      <c r="Q3" s="2"/>
      <c r="R3" s="3"/>
      <c r="S3" s="3"/>
      <c r="T3" s="3"/>
    </row>
    <row r="4" spans="1:20" ht="15.75" customHeight="1">
      <c r="A4" s="47"/>
      <c r="B4" s="50"/>
      <c r="C4" s="50"/>
      <c r="D4" s="50"/>
      <c r="E4" s="50"/>
      <c r="F4" s="50"/>
      <c r="G4" s="50"/>
      <c r="H4" s="50"/>
      <c r="I4" s="50"/>
      <c r="J4" s="14"/>
      <c r="K4" s="36" t="s">
        <v>9</v>
      </c>
      <c r="L4" s="52"/>
      <c r="O4" s="3"/>
      <c r="P4" s="3"/>
      <c r="Q4" s="3"/>
      <c r="R4" s="3"/>
      <c r="S4" s="3"/>
      <c r="T4" s="3"/>
    </row>
    <row r="5" spans="1:20" ht="15.75" customHeight="1">
      <c r="A5" s="46"/>
      <c r="B5" s="43"/>
      <c r="C5" s="43"/>
      <c r="D5" s="43"/>
      <c r="E5" s="43"/>
      <c r="F5" s="43"/>
      <c r="G5" s="43"/>
      <c r="H5" s="43"/>
      <c r="I5" s="43"/>
      <c r="J5" s="34"/>
      <c r="K5" s="38" t="s">
        <v>49</v>
      </c>
      <c r="L5" s="44"/>
      <c r="O5" s="3"/>
      <c r="P5" s="3"/>
      <c r="Q5" s="3"/>
      <c r="R5" s="3"/>
      <c r="S5" s="3"/>
      <c r="T5" s="3"/>
    </row>
    <row r="6" spans="1:20" s="16" customFormat="1" ht="15.75" customHeight="1">
      <c r="A6" s="4" t="s">
        <v>3</v>
      </c>
      <c r="B6" s="9">
        <f t="shared" ref="B6:C6" si="0">SUM(B7:B8)</f>
        <v>15535</v>
      </c>
      <c r="C6" s="9">
        <f t="shared" si="0"/>
        <v>14811</v>
      </c>
      <c r="D6" s="9">
        <f t="shared" ref="D6:I6" si="1">SUM(D7:D8)</f>
        <v>16480</v>
      </c>
      <c r="E6" s="9">
        <f t="shared" si="1"/>
        <v>12787</v>
      </c>
      <c r="F6" s="9">
        <f t="shared" si="1"/>
        <v>14143</v>
      </c>
      <c r="G6" s="9">
        <f t="shared" si="1"/>
        <v>13543</v>
      </c>
      <c r="H6" s="9">
        <f t="shared" si="1"/>
        <v>15015</v>
      </c>
      <c r="I6" s="9">
        <f t="shared" si="1"/>
        <v>16321</v>
      </c>
      <c r="J6" s="15"/>
      <c r="K6" s="39">
        <f>IFERROR(((I6-H6)/H6)*100,"-`")</f>
        <v>8.6979686979686992</v>
      </c>
      <c r="L6" s="28" t="s">
        <v>10</v>
      </c>
      <c r="O6" s="17"/>
      <c r="P6" s="18"/>
      <c r="Q6" s="3"/>
      <c r="R6" s="17"/>
      <c r="S6" s="18"/>
      <c r="T6" s="19"/>
    </row>
    <row r="7" spans="1:20" s="16" customFormat="1" ht="15.75" customHeight="1">
      <c r="A7" s="4" t="s">
        <v>4</v>
      </c>
      <c r="B7" s="9">
        <v>10930</v>
      </c>
      <c r="C7" s="9">
        <v>10203</v>
      </c>
      <c r="D7" s="9">
        <v>11459</v>
      </c>
      <c r="E7" s="9">
        <v>7852</v>
      </c>
      <c r="F7" s="9">
        <v>10188</v>
      </c>
      <c r="G7" s="9">
        <v>9478</v>
      </c>
      <c r="H7" s="9">
        <v>11043</v>
      </c>
      <c r="I7" s="9">
        <v>12378</v>
      </c>
      <c r="J7" s="15"/>
      <c r="K7" s="41">
        <f>IFERROR(((I7-H7)/H7)*100,"-`")</f>
        <v>12.089106221135561</v>
      </c>
      <c r="L7" s="28" t="s">
        <v>11</v>
      </c>
      <c r="Q7" s="3"/>
      <c r="R7" s="19"/>
      <c r="S7" s="19"/>
      <c r="T7" s="19"/>
    </row>
    <row r="8" spans="1:20" s="16" customFormat="1" ht="15.75" customHeight="1">
      <c r="A8" s="4" t="s">
        <v>5</v>
      </c>
      <c r="B8" s="9">
        <f t="shared" ref="B8:C8" si="2">SUM(B9:B28)</f>
        <v>4605</v>
      </c>
      <c r="C8" s="9">
        <f t="shared" si="2"/>
        <v>4608</v>
      </c>
      <c r="D8" s="9">
        <f t="shared" ref="D8:I8" si="3">SUM(D9:D28)</f>
        <v>5021</v>
      </c>
      <c r="E8" s="9">
        <f t="shared" si="3"/>
        <v>4935</v>
      </c>
      <c r="F8" s="9">
        <f t="shared" si="3"/>
        <v>3955</v>
      </c>
      <c r="G8" s="9">
        <f t="shared" si="3"/>
        <v>4065</v>
      </c>
      <c r="H8" s="9">
        <f t="shared" si="3"/>
        <v>3972</v>
      </c>
      <c r="I8" s="9">
        <f t="shared" si="3"/>
        <v>3943</v>
      </c>
      <c r="J8" s="15"/>
      <c r="K8" s="41">
        <f t="shared" ref="K7:K28" si="4">IFERROR(((I8-H8)/H8)*100,"-`")</f>
        <v>-0.73011077542799596</v>
      </c>
      <c r="L8" s="32" t="s">
        <v>2</v>
      </c>
      <c r="O8" s="17"/>
      <c r="P8" s="18"/>
      <c r="Q8" s="3"/>
      <c r="R8" s="19"/>
      <c r="S8" s="19"/>
      <c r="T8" s="19"/>
    </row>
    <row r="9" spans="1:20" s="21" customFormat="1" ht="15.75" customHeight="1">
      <c r="A9" s="20" t="s">
        <v>12</v>
      </c>
      <c r="B9" s="10">
        <v>103</v>
      </c>
      <c r="C9" s="10">
        <v>134</v>
      </c>
      <c r="D9" s="10">
        <v>139</v>
      </c>
      <c r="E9" s="10">
        <v>91</v>
      </c>
      <c r="F9" s="10">
        <v>91</v>
      </c>
      <c r="G9" s="10">
        <v>126</v>
      </c>
      <c r="H9" s="10">
        <v>126</v>
      </c>
      <c r="I9" s="10">
        <v>150</v>
      </c>
      <c r="J9" s="15"/>
      <c r="K9" s="40">
        <f>IFERROR(((I9-H9)/H9)*100,"-`")</f>
        <v>19.047619047619047</v>
      </c>
      <c r="L9" s="29" t="s">
        <v>13</v>
      </c>
      <c r="N9" s="5"/>
      <c r="O9" s="17"/>
      <c r="P9" s="18"/>
      <c r="Q9" s="3"/>
      <c r="R9" s="22"/>
      <c r="S9" s="22"/>
      <c r="T9" s="22"/>
    </row>
    <row r="10" spans="1:20" s="21" customFormat="1" ht="15.75" customHeight="1">
      <c r="A10" s="20" t="s">
        <v>14</v>
      </c>
      <c r="B10" s="10">
        <v>328</v>
      </c>
      <c r="C10" s="10">
        <v>354</v>
      </c>
      <c r="D10" s="10">
        <v>359</v>
      </c>
      <c r="E10" s="10">
        <v>521</v>
      </c>
      <c r="F10" s="10">
        <v>423</v>
      </c>
      <c r="G10" s="10">
        <v>341</v>
      </c>
      <c r="H10" s="10">
        <v>352</v>
      </c>
      <c r="I10" s="10">
        <v>364</v>
      </c>
      <c r="J10" s="15"/>
      <c r="K10" s="40">
        <f t="shared" si="4"/>
        <v>3.4090909090909087</v>
      </c>
      <c r="L10" s="29" t="s">
        <v>15</v>
      </c>
      <c r="N10" s="5"/>
      <c r="O10" s="17"/>
      <c r="P10" s="18"/>
      <c r="Q10" s="3"/>
      <c r="R10" s="22"/>
      <c r="S10" s="22"/>
      <c r="T10" s="22"/>
    </row>
    <row r="11" spans="1:20" s="21" customFormat="1" ht="15.75" customHeight="1">
      <c r="A11" s="20" t="s">
        <v>16</v>
      </c>
      <c r="B11" s="10">
        <v>71</v>
      </c>
      <c r="C11" s="10">
        <v>88</v>
      </c>
      <c r="D11" s="10">
        <v>116</v>
      </c>
      <c r="E11" s="10">
        <v>143</v>
      </c>
      <c r="F11" s="10">
        <v>89</v>
      </c>
      <c r="G11" s="10">
        <v>109</v>
      </c>
      <c r="H11" s="10">
        <v>101</v>
      </c>
      <c r="I11" s="10">
        <v>102</v>
      </c>
      <c r="J11" s="15"/>
      <c r="K11" s="40">
        <f t="shared" si="4"/>
        <v>0.99009900990099009</v>
      </c>
      <c r="L11" s="29" t="s">
        <v>17</v>
      </c>
      <c r="N11" s="5"/>
      <c r="O11" s="17"/>
      <c r="P11" s="18"/>
      <c r="Q11" s="3"/>
      <c r="R11" s="22"/>
      <c r="S11" s="22"/>
      <c r="T11" s="22"/>
    </row>
    <row r="12" spans="1:20" s="21" customFormat="1" ht="15.75" customHeight="1">
      <c r="A12" s="20" t="s">
        <v>18</v>
      </c>
      <c r="B12" s="10">
        <v>177</v>
      </c>
      <c r="C12" s="10">
        <v>177</v>
      </c>
      <c r="D12" s="10">
        <v>219</v>
      </c>
      <c r="E12" s="10">
        <v>172</v>
      </c>
      <c r="F12" s="10">
        <v>132</v>
      </c>
      <c r="G12" s="10">
        <v>173</v>
      </c>
      <c r="H12" s="10">
        <v>221</v>
      </c>
      <c r="I12" s="10">
        <v>110</v>
      </c>
      <c r="J12" s="15"/>
      <c r="K12" s="40">
        <f t="shared" si="4"/>
        <v>-50.226244343891402</v>
      </c>
      <c r="L12" s="29" t="s">
        <v>19</v>
      </c>
      <c r="N12" s="5"/>
      <c r="O12" s="17"/>
      <c r="P12" s="18"/>
      <c r="Q12" s="3"/>
      <c r="R12" s="22"/>
      <c r="S12" s="22"/>
      <c r="T12" s="22"/>
    </row>
    <row r="13" spans="1:20" s="21" customFormat="1" ht="15.75" customHeight="1">
      <c r="A13" s="20" t="s">
        <v>20</v>
      </c>
      <c r="B13" s="10">
        <v>218</v>
      </c>
      <c r="C13" s="10">
        <v>187</v>
      </c>
      <c r="D13" s="10">
        <v>256</v>
      </c>
      <c r="E13" s="10">
        <v>219</v>
      </c>
      <c r="F13" s="10">
        <v>178</v>
      </c>
      <c r="G13" s="10">
        <v>207</v>
      </c>
      <c r="H13" s="10">
        <v>202</v>
      </c>
      <c r="I13" s="10">
        <v>138</v>
      </c>
      <c r="J13" s="15"/>
      <c r="K13" s="40">
        <f t="shared" si="4"/>
        <v>-31.683168316831683</v>
      </c>
      <c r="L13" s="29" t="s">
        <v>21</v>
      </c>
      <c r="N13" s="5"/>
      <c r="O13" s="17"/>
      <c r="P13" s="18"/>
      <c r="Q13" s="3"/>
      <c r="R13" s="22"/>
      <c r="S13" s="22"/>
      <c r="T13" s="22"/>
    </row>
    <row r="14" spans="1:20" s="21" customFormat="1" ht="15.75" customHeight="1">
      <c r="A14" s="20" t="s">
        <v>22</v>
      </c>
      <c r="B14" s="10">
        <v>186</v>
      </c>
      <c r="C14" s="10">
        <v>155</v>
      </c>
      <c r="D14" s="10">
        <v>146</v>
      </c>
      <c r="E14" s="10">
        <v>152</v>
      </c>
      <c r="F14" s="10">
        <v>132</v>
      </c>
      <c r="G14" s="10">
        <v>162</v>
      </c>
      <c r="H14" s="10">
        <v>155</v>
      </c>
      <c r="I14" s="10">
        <v>121</v>
      </c>
      <c r="J14" s="15"/>
      <c r="K14" s="40">
        <f t="shared" si="4"/>
        <v>-21.935483870967744</v>
      </c>
      <c r="L14" s="29" t="s">
        <v>23</v>
      </c>
      <c r="N14" s="5"/>
      <c r="O14" s="17"/>
      <c r="P14" s="18"/>
      <c r="Q14" s="3"/>
      <c r="R14" s="22"/>
      <c r="S14" s="22"/>
      <c r="T14" s="22"/>
    </row>
    <row r="15" spans="1:20" s="21" customFormat="1" ht="15.75" customHeight="1">
      <c r="A15" s="20" t="s">
        <v>24</v>
      </c>
      <c r="B15" s="10">
        <v>196</v>
      </c>
      <c r="C15" s="10">
        <v>170</v>
      </c>
      <c r="D15" s="10">
        <v>230</v>
      </c>
      <c r="E15" s="10">
        <v>190</v>
      </c>
      <c r="F15" s="10">
        <v>159</v>
      </c>
      <c r="G15" s="10">
        <v>177</v>
      </c>
      <c r="H15" s="10">
        <v>175</v>
      </c>
      <c r="I15" s="10">
        <v>179</v>
      </c>
      <c r="J15" s="15"/>
      <c r="K15" s="40">
        <f t="shared" si="4"/>
        <v>2.2857142857142856</v>
      </c>
      <c r="L15" s="29" t="s">
        <v>25</v>
      </c>
      <c r="N15" s="5"/>
      <c r="O15" s="17"/>
      <c r="P15" s="18"/>
      <c r="Q15" s="3"/>
      <c r="R15" s="22"/>
      <c r="S15" s="22"/>
      <c r="T15" s="22"/>
    </row>
    <row r="16" spans="1:20" s="21" customFormat="1" ht="15.75" customHeight="1">
      <c r="A16" s="20" t="s">
        <v>26</v>
      </c>
      <c r="B16" s="10">
        <v>653</v>
      </c>
      <c r="C16" s="10">
        <v>524</v>
      </c>
      <c r="D16" s="10">
        <v>705</v>
      </c>
      <c r="E16" s="10">
        <v>497</v>
      </c>
      <c r="F16" s="10">
        <v>435</v>
      </c>
      <c r="G16" s="10">
        <v>490</v>
      </c>
      <c r="H16" s="10">
        <v>243</v>
      </c>
      <c r="I16" s="10">
        <v>301</v>
      </c>
      <c r="J16" s="15"/>
      <c r="K16" s="40">
        <f t="shared" si="4"/>
        <v>23.868312757201647</v>
      </c>
      <c r="L16" s="29" t="s">
        <v>27</v>
      </c>
      <c r="N16" s="5"/>
      <c r="O16" s="17"/>
      <c r="P16" s="18"/>
      <c r="Q16" s="3"/>
      <c r="R16" s="22"/>
      <c r="S16" s="22"/>
      <c r="T16" s="22"/>
    </row>
    <row r="17" spans="1:20" s="21" customFormat="1" ht="15.75" customHeight="1">
      <c r="A17" s="20" t="s">
        <v>28</v>
      </c>
      <c r="B17" s="10">
        <v>131</v>
      </c>
      <c r="C17" s="10">
        <v>122</v>
      </c>
      <c r="D17" s="10">
        <v>108</v>
      </c>
      <c r="E17" s="10">
        <v>99</v>
      </c>
      <c r="F17" s="10">
        <v>82</v>
      </c>
      <c r="G17" s="10">
        <v>115</v>
      </c>
      <c r="H17" s="10">
        <v>174</v>
      </c>
      <c r="I17" s="10">
        <v>181</v>
      </c>
      <c r="J17" s="15"/>
      <c r="K17" s="40">
        <f t="shared" si="4"/>
        <v>4.0229885057471266</v>
      </c>
      <c r="L17" s="29" t="s">
        <v>29</v>
      </c>
      <c r="N17" s="5"/>
      <c r="O17" s="17"/>
      <c r="P17" s="18"/>
      <c r="Q17" s="3"/>
      <c r="R17" s="22"/>
      <c r="S17" s="22"/>
      <c r="T17" s="22"/>
    </row>
    <row r="18" spans="1:20" s="21" customFormat="1" ht="15.75" customHeight="1">
      <c r="A18" s="20" t="s">
        <v>30</v>
      </c>
      <c r="B18" s="10">
        <v>178</v>
      </c>
      <c r="C18" s="10">
        <v>193</v>
      </c>
      <c r="D18" s="10">
        <v>210</v>
      </c>
      <c r="E18" s="10">
        <v>193</v>
      </c>
      <c r="F18" s="10">
        <v>183</v>
      </c>
      <c r="G18" s="10">
        <v>206</v>
      </c>
      <c r="H18" s="10">
        <v>217</v>
      </c>
      <c r="I18" s="10">
        <v>237</v>
      </c>
      <c r="J18" s="15"/>
      <c r="K18" s="40">
        <f t="shared" si="4"/>
        <v>9.216589861751153</v>
      </c>
      <c r="L18" s="29" t="s">
        <v>31</v>
      </c>
      <c r="N18" s="5"/>
      <c r="O18" s="17"/>
      <c r="P18" s="18"/>
      <c r="Q18" s="3"/>
      <c r="R18" s="22"/>
      <c r="S18" s="22"/>
      <c r="T18" s="22"/>
    </row>
    <row r="19" spans="1:20" s="21" customFormat="1" ht="15.75" customHeight="1">
      <c r="A19" s="20" t="s">
        <v>32</v>
      </c>
      <c r="B19" s="10">
        <v>36</v>
      </c>
      <c r="C19" s="10">
        <v>28</v>
      </c>
      <c r="D19" s="10">
        <v>33</v>
      </c>
      <c r="E19" s="10">
        <v>17</v>
      </c>
      <c r="F19" s="10">
        <v>18</v>
      </c>
      <c r="G19" s="10">
        <v>35</v>
      </c>
      <c r="H19" s="10">
        <v>29</v>
      </c>
      <c r="I19" s="10">
        <v>37</v>
      </c>
      <c r="J19" s="15"/>
      <c r="K19" s="40">
        <f t="shared" si="4"/>
        <v>27.586206896551722</v>
      </c>
      <c r="L19" s="29" t="s">
        <v>33</v>
      </c>
      <c r="N19" s="5"/>
      <c r="O19" s="17"/>
      <c r="P19" s="18"/>
      <c r="Q19" s="3"/>
      <c r="R19" s="22"/>
      <c r="S19" s="22"/>
      <c r="T19" s="22"/>
    </row>
    <row r="20" spans="1:20" s="21" customFormat="1" ht="15.75" customHeight="1">
      <c r="A20" s="20" t="s">
        <v>34</v>
      </c>
      <c r="B20" s="10">
        <v>66</v>
      </c>
      <c r="C20" s="10">
        <v>78</v>
      </c>
      <c r="D20" s="10">
        <v>88</v>
      </c>
      <c r="E20" s="10">
        <v>70</v>
      </c>
      <c r="F20" s="10">
        <v>48</v>
      </c>
      <c r="G20" s="10">
        <v>73</v>
      </c>
      <c r="H20" s="10">
        <v>82</v>
      </c>
      <c r="I20" s="10">
        <v>133</v>
      </c>
      <c r="J20" s="15"/>
      <c r="K20" s="40">
        <f t="shared" si="4"/>
        <v>62.195121951219512</v>
      </c>
      <c r="L20" s="29" t="s">
        <v>35</v>
      </c>
      <c r="N20" s="5"/>
      <c r="O20" s="17"/>
      <c r="P20" s="18"/>
      <c r="Q20" s="3"/>
      <c r="R20" s="22"/>
      <c r="S20" s="22"/>
      <c r="T20" s="22"/>
    </row>
    <row r="21" spans="1:20" s="21" customFormat="1" ht="15.75" customHeight="1">
      <c r="A21" s="20" t="s">
        <v>36</v>
      </c>
      <c r="B21" s="10">
        <v>72</v>
      </c>
      <c r="C21" s="10">
        <v>60</v>
      </c>
      <c r="D21" s="10">
        <v>70</v>
      </c>
      <c r="E21" s="10">
        <v>91</v>
      </c>
      <c r="F21" s="10">
        <v>90</v>
      </c>
      <c r="G21" s="10">
        <v>61</v>
      </c>
      <c r="H21" s="10">
        <v>72</v>
      </c>
      <c r="I21" s="10">
        <v>65</v>
      </c>
      <c r="J21" s="15"/>
      <c r="K21" s="40">
        <f t="shared" si="4"/>
        <v>-9.7222222222222232</v>
      </c>
      <c r="L21" s="29" t="s">
        <v>37</v>
      </c>
      <c r="N21" s="5"/>
      <c r="O21" s="17"/>
      <c r="P21" s="18"/>
      <c r="Q21" s="5"/>
      <c r="R21" s="22"/>
      <c r="S21" s="22"/>
      <c r="T21" s="22"/>
    </row>
    <row r="22" spans="1:20" s="21" customFormat="1" ht="15.75" customHeight="1">
      <c r="A22" s="20" t="s">
        <v>38</v>
      </c>
      <c r="B22" s="10">
        <v>123</v>
      </c>
      <c r="C22" s="10">
        <v>139</v>
      </c>
      <c r="D22" s="10">
        <v>156</v>
      </c>
      <c r="E22" s="10">
        <v>130</v>
      </c>
      <c r="F22" s="10">
        <v>110</v>
      </c>
      <c r="G22" s="10">
        <v>116</v>
      </c>
      <c r="H22" s="10">
        <v>87</v>
      </c>
      <c r="I22" s="10">
        <v>82</v>
      </c>
      <c r="J22" s="15"/>
      <c r="K22" s="40">
        <f t="shared" si="4"/>
        <v>-5.7471264367816088</v>
      </c>
      <c r="L22" s="29" t="s">
        <v>39</v>
      </c>
      <c r="N22" s="5"/>
      <c r="O22" s="17"/>
      <c r="P22" s="18"/>
      <c r="Q22" s="5"/>
      <c r="R22" s="22"/>
      <c r="S22" s="22"/>
      <c r="T22" s="22"/>
    </row>
    <row r="23" spans="1:20" s="21" customFormat="1" ht="15.75" customHeight="1">
      <c r="A23" s="20" t="s">
        <v>40</v>
      </c>
      <c r="B23" s="10">
        <v>110</v>
      </c>
      <c r="C23" s="10">
        <v>155</v>
      </c>
      <c r="D23" s="10">
        <v>207</v>
      </c>
      <c r="E23" s="10">
        <v>225</v>
      </c>
      <c r="F23" s="10">
        <v>145</v>
      </c>
      <c r="G23" s="10">
        <v>150</v>
      </c>
      <c r="H23" s="10">
        <v>140</v>
      </c>
      <c r="I23" s="10">
        <v>139</v>
      </c>
      <c r="J23" s="15"/>
      <c r="K23" s="40">
        <f t="shared" si="4"/>
        <v>-0.7142857142857143</v>
      </c>
      <c r="L23" s="29" t="s">
        <v>41</v>
      </c>
      <c r="N23" s="5"/>
      <c r="O23" s="17"/>
      <c r="P23" s="18"/>
      <c r="Q23" s="5"/>
      <c r="R23" s="22"/>
      <c r="S23" s="22"/>
      <c r="T23" s="22"/>
    </row>
    <row r="24" spans="1:20" s="21" customFormat="1" ht="15.75" customHeight="1">
      <c r="A24" s="20" t="s">
        <v>25</v>
      </c>
      <c r="B24" s="10">
        <v>396</v>
      </c>
      <c r="C24" s="10">
        <v>298</v>
      </c>
      <c r="D24" s="10">
        <v>257</v>
      </c>
      <c r="E24" s="10">
        <v>283</v>
      </c>
      <c r="F24" s="10">
        <v>223</v>
      </c>
      <c r="G24" s="10">
        <v>198</v>
      </c>
      <c r="H24" s="10">
        <v>264</v>
      </c>
      <c r="I24" s="10">
        <v>248</v>
      </c>
      <c r="J24" s="15"/>
      <c r="K24" s="40">
        <f t="shared" si="4"/>
        <v>-6.0606060606060606</v>
      </c>
      <c r="L24" s="29" t="s">
        <v>42</v>
      </c>
      <c r="N24" s="5"/>
      <c r="O24" s="17"/>
      <c r="P24" s="18"/>
      <c r="Q24" s="5"/>
      <c r="R24" s="22"/>
      <c r="S24" s="22"/>
      <c r="T24" s="22"/>
    </row>
    <row r="25" spans="1:20" s="21" customFormat="1" ht="15.75" customHeight="1">
      <c r="A25" s="20" t="s">
        <v>43</v>
      </c>
      <c r="B25" s="10">
        <v>231</v>
      </c>
      <c r="C25" s="10">
        <v>247</v>
      </c>
      <c r="D25" s="10">
        <v>228</v>
      </c>
      <c r="E25" s="10">
        <v>236</v>
      </c>
      <c r="F25" s="10">
        <v>183</v>
      </c>
      <c r="G25" s="10">
        <v>145</v>
      </c>
      <c r="H25" s="10">
        <v>178</v>
      </c>
      <c r="I25" s="10">
        <v>189</v>
      </c>
      <c r="J25" s="15"/>
      <c r="K25" s="40">
        <f t="shared" si="4"/>
        <v>6.179775280898876</v>
      </c>
      <c r="L25" s="29" t="s">
        <v>44</v>
      </c>
      <c r="N25" s="5"/>
      <c r="O25" s="17"/>
      <c r="P25" s="18"/>
      <c r="Q25" s="5"/>
      <c r="R25" s="22"/>
      <c r="S25" s="22"/>
      <c r="T25" s="22"/>
    </row>
    <row r="26" spans="1:20" s="21" customFormat="1" ht="15.75" customHeight="1">
      <c r="A26" s="20" t="s">
        <v>45</v>
      </c>
      <c r="B26" s="10">
        <v>299</v>
      </c>
      <c r="C26" s="10">
        <v>388</v>
      </c>
      <c r="D26" s="10">
        <v>365</v>
      </c>
      <c r="E26" s="10">
        <v>274</v>
      </c>
      <c r="F26" s="10">
        <v>188</v>
      </c>
      <c r="G26" s="10">
        <v>240</v>
      </c>
      <c r="H26" s="10">
        <v>228</v>
      </c>
      <c r="I26" s="10">
        <v>278</v>
      </c>
      <c r="J26" s="15"/>
      <c r="K26" s="40">
        <f t="shared" si="4"/>
        <v>21.929824561403507</v>
      </c>
      <c r="L26" s="29" t="s">
        <v>46</v>
      </c>
      <c r="N26" s="5"/>
      <c r="O26" s="22"/>
      <c r="P26" s="22"/>
      <c r="Q26" s="22"/>
      <c r="R26" s="22"/>
      <c r="S26" s="22"/>
      <c r="T26" s="22"/>
    </row>
    <row r="27" spans="1:20" s="21" customFormat="1" ht="15.75" customHeight="1">
      <c r="A27" s="20" t="s">
        <v>47</v>
      </c>
      <c r="B27" s="10">
        <v>275</v>
      </c>
      <c r="C27" s="10">
        <v>268</v>
      </c>
      <c r="D27" s="10">
        <v>379</v>
      </c>
      <c r="E27" s="10">
        <v>501</v>
      </c>
      <c r="F27" s="10">
        <v>336</v>
      </c>
      <c r="G27" s="10">
        <v>326</v>
      </c>
      <c r="H27" s="10">
        <v>353</v>
      </c>
      <c r="I27" s="10">
        <v>386</v>
      </c>
      <c r="J27" s="15"/>
      <c r="K27" s="40">
        <f t="shared" si="4"/>
        <v>9.3484419263456093</v>
      </c>
      <c r="L27" s="29" t="s">
        <v>18</v>
      </c>
      <c r="N27" s="5"/>
      <c r="O27" s="22"/>
      <c r="P27" s="22"/>
      <c r="Q27" s="22"/>
      <c r="R27" s="22"/>
      <c r="S27" s="22"/>
      <c r="T27" s="22"/>
    </row>
    <row r="28" spans="1:20" s="21" customFormat="1" ht="15.75" customHeight="1">
      <c r="A28" s="23" t="s">
        <v>17</v>
      </c>
      <c r="B28" s="11">
        <v>756</v>
      </c>
      <c r="C28" s="11">
        <v>843</v>
      </c>
      <c r="D28" s="11">
        <v>750</v>
      </c>
      <c r="E28" s="11">
        <v>831</v>
      </c>
      <c r="F28" s="11">
        <v>710</v>
      </c>
      <c r="G28" s="11">
        <v>615</v>
      </c>
      <c r="H28" s="11">
        <v>573</v>
      </c>
      <c r="I28" s="11">
        <v>503</v>
      </c>
      <c r="J28" s="27"/>
      <c r="K28" s="37">
        <f t="shared" si="4"/>
        <v>-12.216404886561955</v>
      </c>
      <c r="L28" s="30" t="s">
        <v>48</v>
      </c>
      <c r="N28" s="5"/>
      <c r="O28" s="22"/>
      <c r="P28" s="22"/>
      <c r="Q28" s="22"/>
      <c r="R28" s="22"/>
      <c r="S28" s="22"/>
      <c r="T28" s="22"/>
    </row>
    <row r="29" spans="1:20" s="25" customFormat="1" ht="14.25" customHeight="1">
      <c r="A29" s="8" t="s">
        <v>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31" t="s">
        <v>1</v>
      </c>
      <c r="O29" s="7"/>
      <c r="P29" s="7"/>
      <c r="Q29" s="7"/>
      <c r="R29" s="7"/>
      <c r="S29" s="7"/>
      <c r="T29" s="7"/>
    </row>
    <row r="30" spans="1:20">
      <c r="O30" s="3"/>
      <c r="P30" s="3"/>
      <c r="Q30" s="3"/>
      <c r="R30" s="3"/>
      <c r="S30" s="3"/>
      <c r="T30" s="3"/>
    </row>
    <row r="31" spans="1:20">
      <c r="A31" s="26"/>
      <c r="O31" s="3"/>
      <c r="P31" s="3"/>
      <c r="R31" s="3"/>
      <c r="S31" s="3"/>
      <c r="T31" s="3"/>
    </row>
    <row r="32" spans="1:20">
      <c r="O32" s="3"/>
      <c r="P32" s="3"/>
      <c r="Q32" s="3"/>
      <c r="R32" s="3"/>
      <c r="S32" s="3"/>
      <c r="T32" s="3"/>
    </row>
    <row r="33" spans="1:20">
      <c r="O33" s="3"/>
      <c r="P33" s="3"/>
      <c r="Q33" s="3"/>
      <c r="R33" s="3"/>
      <c r="S33" s="3"/>
      <c r="T33" s="3"/>
    </row>
    <row r="34" spans="1:20">
      <c r="O34" s="3"/>
      <c r="P34" s="3"/>
      <c r="Q34" s="3"/>
      <c r="R34" s="3"/>
      <c r="S34" s="3"/>
      <c r="T34" s="3"/>
    </row>
    <row r="35" spans="1:20">
      <c r="O35" s="3"/>
      <c r="P35" s="3"/>
      <c r="Q35" s="3"/>
      <c r="R35" s="3"/>
      <c r="S35" s="3"/>
      <c r="T35" s="3"/>
    </row>
    <row r="36" spans="1:20" ht="17.25">
      <c r="A36" s="12"/>
      <c r="B36" s="6"/>
      <c r="C36" s="6"/>
      <c r="D36" s="6"/>
      <c r="E36" s="6"/>
      <c r="F36" s="6"/>
      <c r="G36" s="6"/>
      <c r="H36" s="6"/>
      <c r="I36" s="6"/>
      <c r="J36" s="6"/>
      <c r="K36" s="6"/>
      <c r="L36" s="13"/>
      <c r="O36" s="3"/>
      <c r="P36" s="3"/>
      <c r="Q36" s="3"/>
      <c r="R36" s="3"/>
      <c r="S36" s="3"/>
      <c r="T36" s="3"/>
    </row>
    <row r="37" spans="1:20">
      <c r="O37" s="3"/>
      <c r="P37" s="3"/>
      <c r="Q37" s="3"/>
      <c r="R37" s="3"/>
      <c r="S37" s="3"/>
      <c r="T37" s="3"/>
    </row>
    <row r="38" spans="1:20">
      <c r="O38" s="3"/>
      <c r="P38" s="3"/>
      <c r="Q38" s="3"/>
      <c r="R38" s="3"/>
      <c r="S38" s="3"/>
      <c r="T38" s="3"/>
    </row>
    <row r="45" spans="1:20" ht="5.25" customHeight="1"/>
    <row r="60" ht="9" customHeight="1"/>
  </sheetData>
  <mergeCells count="12">
    <mergeCell ref="L3:L5"/>
    <mergeCell ref="H3:H5"/>
    <mergeCell ref="I3:I5"/>
    <mergeCell ref="A1:L1"/>
    <mergeCell ref="A2:L2"/>
    <mergeCell ref="A3:A5"/>
    <mergeCell ref="D3:D5"/>
    <mergeCell ref="E3:E5"/>
    <mergeCell ref="F3:F5"/>
    <mergeCell ref="G3:G5"/>
    <mergeCell ref="B3:B5"/>
    <mergeCell ref="C3:C5"/>
  </mergeCells>
  <pageMargins left="0.7" right="0.7" top="0.75" bottom="0.75" header="0.3" footer="0.3"/>
  <pageSetup paperSize="9" scale="67" orientation="portrait" r:id="rId1"/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</vt:lpstr>
      <vt:lpstr>'8.3'!Print_Area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2025-08-13T05:48:30Z</cp:lastPrinted>
  <dcterms:created xsi:type="dcterms:W3CDTF">2019-06-30T04:22:49Z</dcterms:created>
  <dcterms:modified xsi:type="dcterms:W3CDTF">2025-08-13T05:48:39Z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