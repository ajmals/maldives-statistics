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fileserver\ST4\Dissemination\Publications\Statistical Year Book\YEARBOOK 2025\Final\public finance\"/>
    </mc:Choice>
  </mc:AlternateContent>
  <xr:revisionPtr revIDLastSave="0" documentId="13_ncr:1_{2C6CBD84-CD9A-4D78-92C8-565054685AD0}" xr6:coauthVersionLast="47" xr6:coauthVersionMax="47" xr10:uidLastSave="{00000000-0000-0000-0000-000000000000}"/>
  <bookViews>
    <workbookView xWindow="-120" yWindow="-120" windowWidth="29040" windowHeight="15720" tabRatio="667" xr2:uid="{00000000-000D-0000-FFFF-FFFF00000000}"/>
  </bookViews>
  <sheets>
    <sheet name="13.11" sheetId="37" r:id="rId1"/>
  </sheets>
  <definedNames>
    <definedName name="aas">#REF!</definedName>
    <definedName name="BACODE">#REF!</definedName>
    <definedName name="BAList">#REF!</definedName>
    <definedName name="bcodelist">#REF!</definedName>
    <definedName name="capital">#REF!</definedName>
    <definedName name="Code">#REF!</definedName>
    <definedName name="Code2">#REF!</definedName>
    <definedName name="Location">#REF!</definedName>
    <definedName name="m">#REF!</definedName>
    <definedName name="namelookup">#REF!</definedName>
    <definedName name="Office">#REF!</definedName>
    <definedName name="PLIST">#REF!</definedName>
    <definedName name="policylist">#REF!</definedName>
    <definedName name="_xlnm.Print_Area" localSheetId="0">'13.11'!$A$1:$O$56</definedName>
    <definedName name="Priority">#REF!</definedName>
    <definedName name="Prog111">#REF!</definedName>
    <definedName name="Prog112">#REF!</definedName>
    <definedName name="Prog113">#REF!</definedName>
    <definedName name="Prog114">#REF!</definedName>
    <definedName name="Prog115">#REF!</definedName>
    <definedName name="Prog116">#REF!</definedName>
    <definedName name="Prog121">#REF!</definedName>
    <definedName name="Prog122">#REF!</definedName>
    <definedName name="Prog123">#REF!</definedName>
    <definedName name="Prog124">#REF!</definedName>
    <definedName name="Prog125">#REF!</definedName>
    <definedName name="Prog126">#REF!</definedName>
    <definedName name="Prog127">#REF!</definedName>
    <definedName name="Prog131">#REF!</definedName>
    <definedName name="Prog132">#REF!</definedName>
    <definedName name="Prog133">#REF!</definedName>
    <definedName name="Prog134">#REF!</definedName>
    <definedName name="Prog141">#REF!</definedName>
    <definedName name="Prog142">#REF!</definedName>
    <definedName name="Prog143">#REF!</definedName>
    <definedName name="Prog144">#REF!</definedName>
    <definedName name="Prog145">#REF!</definedName>
    <definedName name="Prog151">#REF!</definedName>
    <definedName name="Prog152">#REF!</definedName>
    <definedName name="Prog153">#REF!</definedName>
    <definedName name="Prog154">#REF!</definedName>
    <definedName name="Prog155">#REF!</definedName>
    <definedName name="Prog211">#REF!</definedName>
    <definedName name="Prog2110">#REF!</definedName>
    <definedName name="Prog2111">#REF!</definedName>
    <definedName name="Prog212">#REF!</definedName>
    <definedName name="Prog213">#REF!</definedName>
    <definedName name="Prog214">#REF!</definedName>
    <definedName name="Prog215">#REF!</definedName>
    <definedName name="Prog216">#REF!</definedName>
    <definedName name="Prog217">#REF!</definedName>
    <definedName name="Prog218">#REF!</definedName>
    <definedName name="Prog219">#REF!</definedName>
    <definedName name="Prog221">#REF!</definedName>
    <definedName name="Prog222">#REF!</definedName>
    <definedName name="Prog223">#REF!</definedName>
    <definedName name="Prog224">#REF!</definedName>
    <definedName name="Prog225">#REF!</definedName>
    <definedName name="Prog226">#REF!</definedName>
    <definedName name="Prog227">#REF!</definedName>
    <definedName name="Prog228">#REF!</definedName>
    <definedName name="Prog229">#REF!</definedName>
    <definedName name="Prog231">#REF!</definedName>
    <definedName name="Prog232">#REF!</definedName>
    <definedName name="Prog233">#REF!</definedName>
    <definedName name="Prog234">#REF!</definedName>
    <definedName name="Prog241">#REF!</definedName>
    <definedName name="Prog242">#REF!</definedName>
    <definedName name="Prog243">#REF!</definedName>
    <definedName name="Prog251">#REF!</definedName>
    <definedName name="Prog252">#REF!</definedName>
    <definedName name="Prog253">#REF!</definedName>
    <definedName name="Prog254">#REF!</definedName>
    <definedName name="Prog255">#REF!</definedName>
    <definedName name="Prog256">#REF!</definedName>
    <definedName name="Prog311">#REF!</definedName>
    <definedName name="Prog312">#REF!</definedName>
    <definedName name="Prog313">#REF!</definedName>
    <definedName name="Prog314">#REF!</definedName>
    <definedName name="Prog315">#REF!</definedName>
    <definedName name="Prog316">#REF!</definedName>
    <definedName name="Prog317">#REF!</definedName>
    <definedName name="Prog321">#REF!</definedName>
    <definedName name="Prog322">#REF!</definedName>
    <definedName name="Prog323">#REF!</definedName>
    <definedName name="Prog324">#REF!</definedName>
    <definedName name="Prog331">#REF!</definedName>
    <definedName name="Prog3310">#REF!</definedName>
    <definedName name="Prog3311">#REF!</definedName>
    <definedName name="Prog3312">#REF!</definedName>
    <definedName name="Prog3313">#REF!</definedName>
    <definedName name="Prog3314">#REF!</definedName>
    <definedName name="Prog332">#REF!</definedName>
    <definedName name="Prog333">#REF!</definedName>
    <definedName name="Prog334">#REF!</definedName>
    <definedName name="Prog335">#REF!</definedName>
    <definedName name="Prog336">#REF!</definedName>
    <definedName name="Prog337">#REF!</definedName>
    <definedName name="Prog338">#REF!</definedName>
    <definedName name="Prog339">#REF!</definedName>
    <definedName name="Prog341">#REF!</definedName>
    <definedName name="Prog342">#REF!</definedName>
    <definedName name="Prog343">#REF!</definedName>
    <definedName name="Prog344">#REF!</definedName>
    <definedName name="Prog345">#REF!</definedName>
    <definedName name="Prog351">#REF!</definedName>
    <definedName name="Prog352">#REF!</definedName>
    <definedName name="Prog353">#REF!</definedName>
    <definedName name="Prog354">#REF!</definedName>
    <definedName name="Prog355">#REF!</definedName>
    <definedName name="Prog356">#REF!</definedName>
    <definedName name="Prog357">#REF!</definedName>
    <definedName name="Prog361">#REF!</definedName>
    <definedName name="Prog362">#REF!</definedName>
    <definedName name="Prog363">#REF!</definedName>
    <definedName name="Prog364">#REF!</definedName>
    <definedName name="Prog365">#REF!</definedName>
    <definedName name="Prog366">#REF!</definedName>
    <definedName name="Prog371">#REF!</definedName>
    <definedName name="Prog3710">#REF!</definedName>
    <definedName name="Prog372">#REF!</definedName>
    <definedName name="Prog373">#REF!</definedName>
    <definedName name="Prog374">#REF!</definedName>
    <definedName name="Prog375">#REF!</definedName>
    <definedName name="Prog376">#REF!</definedName>
    <definedName name="Prog377">#REF!</definedName>
    <definedName name="Prog378">#REF!</definedName>
    <definedName name="Prog379">#REF!</definedName>
    <definedName name="Prog4101">#REF!</definedName>
    <definedName name="Prog4102">#REF!</definedName>
    <definedName name="Prog4103">#REF!</definedName>
    <definedName name="Prog4104">#REF!</definedName>
    <definedName name="Prog4105">#REF!</definedName>
    <definedName name="Prog4106">#REF!</definedName>
    <definedName name="Prog411">#REF!</definedName>
    <definedName name="Prog412">#REF!</definedName>
    <definedName name="Prog413">#REF!</definedName>
    <definedName name="Prog414">#REF!</definedName>
    <definedName name="Prog415">#REF!</definedName>
    <definedName name="Prog416">#REF!</definedName>
    <definedName name="Prog421">#REF!</definedName>
    <definedName name="Prog422">#REF!</definedName>
    <definedName name="Prog423">#REF!</definedName>
    <definedName name="Prog424">#REF!</definedName>
    <definedName name="Prog425">#REF!</definedName>
    <definedName name="Prog426">#REF!</definedName>
    <definedName name="Prog427">#REF!</definedName>
    <definedName name="Prog431">#REF!</definedName>
    <definedName name="Prog432">#REF!</definedName>
    <definedName name="Prog433">#REF!</definedName>
    <definedName name="Prog434">#REF!</definedName>
    <definedName name="Prog435">#REF!</definedName>
    <definedName name="Prog436">#REF!</definedName>
    <definedName name="Prog437">#REF!</definedName>
    <definedName name="Prog441">#REF!</definedName>
    <definedName name="Prog442">#REF!</definedName>
    <definedName name="Prog443">#REF!</definedName>
    <definedName name="Prog444">#REF!</definedName>
    <definedName name="Prog445">#REF!</definedName>
    <definedName name="Prog451">#REF!</definedName>
    <definedName name="Prog452">#REF!</definedName>
    <definedName name="Prog453">#REF!</definedName>
    <definedName name="Prog454">#REF!</definedName>
    <definedName name="Prog455">#REF!</definedName>
    <definedName name="Prog456">#REF!</definedName>
    <definedName name="Prog461">#REF!</definedName>
    <definedName name="Prog4610">#REF!</definedName>
    <definedName name="Prog462">#REF!</definedName>
    <definedName name="Prog463">#REF!</definedName>
    <definedName name="Prog464">#REF!</definedName>
    <definedName name="Prog465">#REF!</definedName>
    <definedName name="Prog466">#REF!</definedName>
    <definedName name="Prog467">#REF!</definedName>
    <definedName name="Prog468">#REF!</definedName>
    <definedName name="Prog469">#REF!</definedName>
    <definedName name="Prog471">#REF!</definedName>
    <definedName name="Prog472">#REF!</definedName>
    <definedName name="Prog473">#REF!</definedName>
    <definedName name="Prog474">#REF!</definedName>
    <definedName name="Prog475">#REF!</definedName>
    <definedName name="Prog476">#REF!</definedName>
    <definedName name="Prog477">#REF!</definedName>
    <definedName name="Prog478">#REF!</definedName>
    <definedName name="Prog479">#REF!</definedName>
    <definedName name="Prog481">#REF!</definedName>
    <definedName name="Prog482">#REF!</definedName>
    <definedName name="Prog483">#REF!</definedName>
    <definedName name="Prog484">#REF!</definedName>
    <definedName name="Prog485">#REF!</definedName>
    <definedName name="Prog486">#REF!</definedName>
    <definedName name="Prog491">#REF!</definedName>
    <definedName name="Prog492">#REF!</definedName>
    <definedName name="Prog493">#REF!</definedName>
    <definedName name="Prog494">#REF!</definedName>
    <definedName name="Prog495">#REF!</definedName>
    <definedName name="Prog496">#REF!</definedName>
    <definedName name="Prog497">#REF!</definedName>
    <definedName name="Prog511">#REF!</definedName>
    <definedName name="Prog512">#REF!</definedName>
    <definedName name="Prog513">#REF!</definedName>
    <definedName name="Prog521">#REF!</definedName>
    <definedName name="Prog522">#REF!</definedName>
    <definedName name="Prog523">#REF!</definedName>
    <definedName name="Prog524">#REF!</definedName>
    <definedName name="Prog525">#REF!</definedName>
    <definedName name="Prog526">#REF!</definedName>
    <definedName name="Prog531">#REF!</definedName>
    <definedName name="Prog532">#REF!</definedName>
    <definedName name="Prog533">#REF!</definedName>
    <definedName name="Prog534">#REF!</definedName>
    <definedName name="Prog535">#REF!</definedName>
    <definedName name="Prog541">#REF!</definedName>
    <definedName name="Prog542">#REF!</definedName>
    <definedName name="Prog543">#REF!</definedName>
    <definedName name="Prog544">#REF!</definedName>
    <definedName name="Prog545">#REF!</definedName>
    <definedName name="Prog546">#REF!</definedName>
    <definedName name="Prog547">#REF!</definedName>
    <definedName name="Program1P1">#REF!</definedName>
    <definedName name="Program1P1SAPREF">#REF!</definedName>
    <definedName name="Program1P1SL">#REF!</definedName>
    <definedName name="Program1P2">#REF!</definedName>
    <definedName name="Program1P2SAPREF">#REF!</definedName>
    <definedName name="Program1P2SL">#REF!</definedName>
    <definedName name="recurrent">#REF!</definedName>
    <definedName name="reruerueu">#REF!</definedName>
    <definedName name="Status">#REF!</definedName>
    <definedName name="strategylist">#REF!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 i="37" l="1"/>
  <c r="H12" i="37"/>
  <c r="M11" i="37"/>
  <c r="M9" i="37"/>
  <c r="M8" i="37"/>
  <c r="G33" i="37"/>
  <c r="F33" i="37"/>
  <c r="K16" i="37" s="1"/>
  <c r="E33" i="37"/>
  <c r="J33" i="37" s="1"/>
  <c r="D33" i="37"/>
  <c r="I17" i="37" s="1"/>
  <c r="C33" i="37"/>
  <c r="H31" i="37" s="1"/>
  <c r="B33" i="37"/>
  <c r="M32" i="37"/>
  <c r="M31" i="37"/>
  <c r="M30" i="37"/>
  <c r="M28" i="37"/>
  <c r="M26" i="37"/>
  <c r="M25" i="37"/>
  <c r="M23" i="37"/>
  <c r="M22" i="37"/>
  <c r="M18" i="37"/>
  <c r="M16" i="37"/>
  <c r="M15" i="37"/>
  <c r="M14" i="37"/>
  <c r="M12" i="37"/>
  <c r="M10" i="37"/>
  <c r="H22" i="37" l="1"/>
  <c r="J27" i="37"/>
  <c r="K17" i="37"/>
  <c r="J17" i="37"/>
  <c r="L17" i="37"/>
  <c r="J25" i="37"/>
  <c r="H17" i="37"/>
  <c r="H30" i="37"/>
  <c r="H28" i="37"/>
  <c r="H19" i="37"/>
  <c r="I24" i="37"/>
  <c r="I30" i="37"/>
  <c r="H13" i="37"/>
  <c r="J30" i="37"/>
  <c r="H8" i="37"/>
  <c r="I13" i="37"/>
  <c r="I8" i="37"/>
  <c r="I10" i="37"/>
  <c r="J13" i="37"/>
  <c r="J18" i="37"/>
  <c r="I28" i="37"/>
  <c r="I25" i="37"/>
  <c r="I22" i="37"/>
  <c r="I11" i="37"/>
  <c r="J21" i="37"/>
  <c r="J16" i="37"/>
  <c r="I18" i="37"/>
  <c r="J8" i="37"/>
  <c r="J10" i="37"/>
  <c r="I15" i="37"/>
  <c r="J28" i="37"/>
  <c r="I29" i="37"/>
  <c r="I9" i="37"/>
  <c r="I14" i="37"/>
  <c r="J22" i="37"/>
  <c r="I19" i="37"/>
  <c r="J32" i="37"/>
  <c r="H16" i="37"/>
  <c r="J19" i="37"/>
  <c r="J29" i="37"/>
  <c r="I20" i="37"/>
  <c r="H11" i="37"/>
  <c r="J24" i="37"/>
  <c r="J11" i="37"/>
  <c r="I16" i="37"/>
  <c r="J15" i="37"/>
  <c r="H25" i="37"/>
  <c r="K33" i="37"/>
  <c r="K8" i="37"/>
  <c r="K24" i="37"/>
  <c r="K12" i="37"/>
  <c r="K20" i="37"/>
  <c r="K23" i="37"/>
  <c r="M33" i="37"/>
  <c r="K9" i="37"/>
  <c r="K13" i="37"/>
  <c r="K19" i="37"/>
  <c r="K29" i="37"/>
  <c r="K31" i="37"/>
  <c r="K26" i="37"/>
  <c r="K11" i="37"/>
  <c r="K22" i="37"/>
  <c r="K28" i="37"/>
  <c r="K15" i="37"/>
  <c r="K18" i="37"/>
  <c r="K25" i="37"/>
  <c r="K30" i="37"/>
  <c r="K32" i="37"/>
  <c r="K21" i="37"/>
  <c r="K27" i="37"/>
  <c r="K14" i="37"/>
  <c r="K10" i="37"/>
  <c r="L12" i="37"/>
  <c r="L23" i="37"/>
  <c r="I26" i="37"/>
  <c r="I31" i="37"/>
  <c r="L8" i="37"/>
  <c r="J9" i="37"/>
  <c r="H10" i="37"/>
  <c r="L13" i="37"/>
  <c r="J14" i="37"/>
  <c r="H15" i="37"/>
  <c r="L19" i="37"/>
  <c r="J20" i="37"/>
  <c r="H21" i="37"/>
  <c r="L25" i="37"/>
  <c r="J26" i="37"/>
  <c r="H27" i="37"/>
  <c r="L30" i="37"/>
  <c r="J31" i="37"/>
  <c r="H32" i="37"/>
  <c r="I21" i="37"/>
  <c r="I27" i="37"/>
  <c r="I32" i="37"/>
  <c r="L9" i="37"/>
  <c r="L20" i="37"/>
  <c r="L26" i="37"/>
  <c r="L31" i="37"/>
  <c r="L10" i="37"/>
  <c r="L15" i="37"/>
  <c r="L21" i="37"/>
  <c r="H23" i="37"/>
  <c r="L32" i="37"/>
  <c r="H33" i="37"/>
  <c r="I33" i="37"/>
  <c r="L14" i="37"/>
  <c r="L27" i="37"/>
  <c r="I23" i="37"/>
  <c r="L11" i="37"/>
  <c r="J12" i="37"/>
  <c r="L16" i="37"/>
  <c r="H18" i="37"/>
  <c r="L22" i="37"/>
  <c r="J23" i="37"/>
  <c r="H24" i="37"/>
  <c r="L28" i="37"/>
  <c r="H29" i="37"/>
  <c r="L33" i="37"/>
  <c r="H9" i="37"/>
  <c r="H14" i="37"/>
  <c r="L18" i="37"/>
  <c r="H20" i="37"/>
  <c r="L24" i="37"/>
  <c r="H26" i="37"/>
  <c r="L29"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Mariyam Jaidha</author>
  </authors>
  <commentList>
    <comment ref="A42" authorId="0" shapeId="0" xr:uid="{E1889765-76F3-41C7-BD1D-3A84C9D13096}">
      <text>
        <r>
          <rPr>
            <sz val="9"/>
            <color indexed="81"/>
            <rFont val="Tahoma"/>
            <family val="2"/>
          </rPr>
          <t xml:space="preserve">
highlighted royalties were not taken from 2013 - 2018</t>
        </r>
      </text>
    </comment>
    <comment ref="A43" authorId="0" shapeId="0" xr:uid="{878FF825-DF41-4647-8BF9-8D1F4371E903}">
      <text>
        <r>
          <rPr>
            <sz val="9"/>
            <color indexed="81"/>
            <rFont val="Tahoma"/>
            <family val="2"/>
          </rPr>
          <t xml:space="preserve">
nothing auctioned from 2012 - 2018</t>
        </r>
      </text>
    </comment>
  </commentList>
</comments>
</file>

<file path=xl/sharedStrings.xml><?xml version="1.0" encoding="utf-8"?>
<sst xmlns="http://schemas.openxmlformats.org/spreadsheetml/2006/main" count="95" uniqueCount="89">
  <si>
    <t>-</t>
  </si>
  <si>
    <t xml:space="preserve">(*) - Indicates if the percentage change is greater than 100. </t>
  </si>
  <si>
    <t>ޖޫރިމަނާ</t>
  </si>
  <si>
    <t>އެހެނިހެން</t>
  </si>
  <si>
    <t>ތަފްސީލު</t>
  </si>
  <si>
    <t>Description</t>
  </si>
  <si>
    <t>Revenue collected (MVR)</t>
  </si>
  <si>
    <t>Percentage shares</t>
  </si>
  <si>
    <t>ލިބުނު އާމްދަނީ (ރުފިޔާއިން)</t>
  </si>
  <si>
    <t>cniawtcaws ctogWviawfiheb</t>
  </si>
  <si>
    <t>2019*</t>
  </si>
  <si>
    <t>އެއަރޕޯޓް ސަރވިސް ޗާޖް</t>
  </si>
  <si>
    <t>Airport Development Fee***</t>
  </si>
  <si>
    <t>އެއަރޕޯޓް ޑިވެލޮޕްމަންޓް ފީ</t>
  </si>
  <si>
    <t xml:space="preserve">Bank Profit Tax
</t>
  </si>
  <si>
    <t>ބެންކް ޕްރޮފިޓް ޓެކްސް</t>
  </si>
  <si>
    <r>
      <t>Business Permits</t>
    </r>
    <r>
      <rPr>
        <vertAlign val="superscript"/>
        <sz val="10"/>
        <rFont val="Calibri"/>
        <family val="2"/>
        <scheme val="minor"/>
      </rPr>
      <t>1</t>
    </r>
    <r>
      <rPr>
        <sz val="10"/>
        <rFont val="Calibri"/>
        <family val="2"/>
        <scheme val="minor"/>
      </rPr>
      <t xml:space="preserve">
</t>
    </r>
  </si>
  <si>
    <r>
      <t>ބިމުގެ ކުލި</t>
    </r>
    <r>
      <rPr>
        <vertAlign val="superscript"/>
        <sz val="10"/>
        <rFont val="Faruma"/>
      </rPr>
      <t>1</t>
    </r>
  </si>
  <si>
    <t xml:space="preserve">Business Profit Tax/ Income Tax - Companies and Non-Individuals
</t>
  </si>
  <si>
    <t>ވިޔަފާރި ފައިދާއިން ނެގޭ ޓެކްސް</t>
  </si>
  <si>
    <t>Corporate Social Responsibility Fee***</t>
  </si>
  <si>
    <t>ކޯޕްރޭޓް ސޯޝަލް ރެސްޕޮންސިބިލިޓީ ފީ</t>
  </si>
  <si>
    <t xml:space="preserve">Fines
</t>
  </si>
  <si>
    <t xml:space="preserve">Goods and Services Tax
</t>
  </si>
  <si>
    <t>މުދަލާއި ޚިދުމަތުގެ އަގުން ނެގޭ ޓެކްސް</t>
  </si>
  <si>
    <t>Green Tax</t>
  </si>
  <si>
    <t>ގްރީން ޓެކްސް</t>
  </si>
  <si>
    <t>Remittance Tax**</t>
  </si>
  <si>
    <t>ރެމިޓެންސް ޓެކްސް</t>
  </si>
  <si>
    <r>
      <t>Land Rent</t>
    </r>
    <r>
      <rPr>
        <vertAlign val="superscript"/>
        <sz val="10"/>
        <rFont val="Calibri"/>
        <family val="2"/>
        <scheme val="minor"/>
      </rPr>
      <t>2</t>
    </r>
    <r>
      <rPr>
        <sz val="10"/>
        <rFont val="Calibri"/>
        <family val="2"/>
        <scheme val="minor"/>
      </rPr>
      <t xml:space="preserve">
</t>
    </r>
  </si>
  <si>
    <r>
      <t>ބިމުގެ ކުލި</t>
    </r>
    <r>
      <rPr>
        <vertAlign val="superscript"/>
        <sz val="9.5"/>
        <rFont val="Faruma"/>
      </rPr>
      <t>2</t>
    </r>
  </si>
  <si>
    <t>Land Acquisition and Conversion Fee</t>
  </si>
  <si>
    <t>ބިން ވިއްކުމާއި ބިން ބަދަލުކުރުމުގެ ފީ</t>
  </si>
  <si>
    <t xml:space="preserve">Land Sales Tax
</t>
  </si>
  <si>
    <t>ބިން ވިއްކުމަށް ނެގޭ ޓެކްސް</t>
  </si>
  <si>
    <t xml:space="preserve">Lease  Period Extension Fee
</t>
  </si>
  <si>
    <t>ކުލީގެ މުއްދަތު އިތުރުކުރުން</t>
  </si>
  <si>
    <t>Ownership Transfer Tax***</t>
  </si>
  <si>
    <t>އޯނަރޝިޕް ޓްރާންސްފަރ ޓެކްސް</t>
  </si>
  <si>
    <t xml:space="preserve">Resident Permit
</t>
  </si>
  <si>
    <t>ރެސިޑެންޓް ޕަރމިޓް</t>
  </si>
  <si>
    <t xml:space="preserve">Revenue Stamp
</t>
  </si>
  <si>
    <t>ރެވެނިއު ސްޓޭމްޕް</t>
  </si>
  <si>
    <r>
      <t>Royalties</t>
    </r>
    <r>
      <rPr>
        <vertAlign val="superscript"/>
        <sz val="10"/>
        <rFont val="Calibri"/>
        <family val="2"/>
        <scheme val="minor"/>
      </rPr>
      <t>3</t>
    </r>
    <r>
      <rPr>
        <sz val="10"/>
        <rFont val="Calibri"/>
        <family val="2"/>
        <scheme val="minor"/>
      </rPr>
      <t xml:space="preserve">
</t>
    </r>
  </si>
  <si>
    <r>
      <t>ރޯޔަލްޓީ</t>
    </r>
    <r>
      <rPr>
        <vertAlign val="superscript"/>
        <sz val="9.5"/>
        <rFont val="Faruma"/>
      </rPr>
      <t>3</t>
    </r>
  </si>
  <si>
    <r>
      <t>Sale of Capital Assets</t>
    </r>
    <r>
      <rPr>
        <vertAlign val="superscript"/>
        <sz val="10"/>
        <rFont val="Calibri"/>
        <family val="2"/>
        <scheme val="minor"/>
      </rPr>
      <t>4</t>
    </r>
    <r>
      <rPr>
        <sz val="10"/>
        <rFont val="Calibri"/>
        <family val="2"/>
        <scheme val="minor"/>
      </rPr>
      <t xml:space="preserve">
</t>
    </r>
  </si>
  <si>
    <r>
      <t>ހަރުމުދާ ވިއްކައިގެން ލިބޭ ފައިސާ</t>
    </r>
    <r>
      <rPr>
        <vertAlign val="superscript"/>
        <sz val="9.5"/>
        <rFont val="Faruma"/>
      </rPr>
      <t>4</t>
    </r>
  </si>
  <si>
    <t>Tourism Administration Fee***</t>
  </si>
  <si>
    <t>ޓޫރިޒަމް އެޑްމިނިސްޓްރޭޝަން ފީ</t>
  </si>
  <si>
    <t xml:space="preserve">Tourism Land Rent
</t>
  </si>
  <si>
    <t>ޓޫރިޒަމް ލޭންޑް ރެންޓް</t>
  </si>
  <si>
    <t xml:space="preserve">Vehicle Fee
</t>
  </si>
  <si>
    <t xml:space="preserve"> އުޅަނދުފަހަރުގެ ފީ</t>
  </si>
  <si>
    <t xml:space="preserve">Vessels Fee
</t>
  </si>
  <si>
    <t xml:space="preserve"> ކަނޑުގައި ދުއްވާ އުޅަނދުފަހަރުގެ ފީ</t>
  </si>
  <si>
    <t>Work permit Fee</t>
  </si>
  <si>
    <t>ވޯކް ޕާމިޓް ފީ</t>
  </si>
  <si>
    <r>
      <t>Others</t>
    </r>
    <r>
      <rPr>
        <vertAlign val="superscript"/>
        <sz val="10"/>
        <rFont val="Calibri"/>
        <family val="2"/>
        <scheme val="minor"/>
      </rPr>
      <t>5</t>
    </r>
  </si>
  <si>
    <t>Total</t>
  </si>
  <si>
    <t>ޖުމްލަ</t>
  </si>
  <si>
    <t>Note:</t>
  </si>
  <si>
    <t>*** Airport Development Fee, Construction Period Extension Fee, Corporate Social Responsibility Fee, Tourism Administration Fee, Ownership Transfer Tax added</t>
  </si>
  <si>
    <t>** Remittance Tax added by MIRA</t>
  </si>
  <si>
    <t>* 2017 figures are revised by MIRA</t>
  </si>
  <si>
    <r>
      <rPr>
        <vertAlign val="superscript"/>
        <sz val="10"/>
        <rFont val="Calibri"/>
        <family val="2"/>
        <scheme val="minor"/>
      </rPr>
      <t xml:space="preserve">1 </t>
    </r>
    <r>
      <rPr>
        <sz val="10"/>
        <rFont val="Calibri"/>
        <family val="2"/>
        <scheme val="minor"/>
      </rPr>
      <t>Business Permits: Company Annual Fee, Restaurant, Café, Canteen Fee, Flat Maintanance Fee, Partnership Fees, Import Trade Fee, Co-operative Society Fees, Trade Registry Fee, Foreign Investment Administration Annual Fee, Company Registration Fee, Foreign Business Fee, Sole Traders Registration Fee, Sale of Pass, Dive School Registration Fee, Guest Hourse Registration Fee, Other Registration &amp; License Fees, Motorvehicle &amp; Vessel Registration Fee, Bank Mortgage Registration Fee, Sale of Tender Documents</t>
    </r>
  </si>
  <si>
    <r>
      <rPr>
        <vertAlign val="superscript"/>
        <sz val="10"/>
        <color theme="1"/>
        <rFont val="Calibri"/>
        <family val="2"/>
        <scheme val="minor"/>
      </rPr>
      <t>2</t>
    </r>
    <r>
      <rPr>
        <sz val="10"/>
        <color theme="1"/>
        <rFont val="Calibri"/>
        <family val="2"/>
        <scheme val="minor"/>
      </rPr>
      <t xml:space="preserve"> Land Rent: Uninhabited Islands Rent, Government Buildings Rent, Commercial Land Rent, Rent from Land for Industry, Longterm Agricultural Leased Islands Rent, Rent from Floating Jetty, Uninhabited Islands Administration Fee</t>
    </r>
  </si>
  <si>
    <r>
      <rPr>
        <vertAlign val="superscript"/>
        <sz val="10"/>
        <color theme="1"/>
        <rFont val="Calibri"/>
        <family val="2"/>
        <scheme val="minor"/>
      </rPr>
      <t>3</t>
    </r>
    <r>
      <rPr>
        <sz val="10"/>
        <color theme="1"/>
        <rFont val="Calibri"/>
        <family val="2"/>
        <scheme val="minor"/>
      </rPr>
      <t xml:space="preserve"> Royalties: Duty Free Royalty,</t>
    </r>
    <r>
      <rPr>
        <sz val="10"/>
        <color rgb="FFC00000"/>
        <rFont val="Calibri"/>
        <family val="2"/>
        <scheme val="minor"/>
      </rPr>
      <t xml:space="preserve"> Foreign Investment Royalty, Fishing Royalty,</t>
    </r>
    <r>
      <rPr>
        <sz val="10"/>
        <color theme="1"/>
        <rFont val="Calibri"/>
        <family val="2"/>
        <scheme val="minor"/>
      </rPr>
      <t xml:space="preserve"> Fuel re-export Royalty,</t>
    </r>
    <r>
      <rPr>
        <sz val="10"/>
        <color rgb="FFC00000"/>
        <rFont val="Calibri"/>
        <family val="2"/>
        <scheme val="minor"/>
      </rPr>
      <t xml:space="preserve"> Re-Export Royalty</t>
    </r>
    <r>
      <rPr>
        <sz val="10"/>
        <color theme="1"/>
        <rFont val="Calibri"/>
        <family val="2"/>
        <scheme val="minor"/>
      </rPr>
      <t xml:space="preserve">, Yellowfin Tuna Export Royalty, </t>
    </r>
    <r>
      <rPr>
        <sz val="10"/>
        <color rgb="FFC00000"/>
        <rFont val="Calibri"/>
        <family val="2"/>
        <scheme val="minor"/>
      </rPr>
      <t>Skipjack Industry Royalty</t>
    </r>
  </si>
  <si>
    <r>
      <rPr>
        <vertAlign val="superscript"/>
        <sz val="10"/>
        <color theme="1"/>
        <rFont val="Calibri"/>
        <family val="2"/>
        <scheme val="minor"/>
      </rPr>
      <t>4</t>
    </r>
    <r>
      <rPr>
        <sz val="10"/>
        <color theme="1"/>
        <rFont val="Calibri"/>
        <family val="2"/>
        <scheme val="minor"/>
      </rPr>
      <t xml:space="preserve"> Sale of Capital Assets: </t>
    </r>
    <r>
      <rPr>
        <sz val="10"/>
        <color rgb="FFC00000"/>
        <rFont val="Calibri"/>
        <family val="2"/>
        <scheme val="minor"/>
      </rPr>
      <t>Sale of Items At Auction</t>
    </r>
    <r>
      <rPr>
        <sz val="10"/>
        <color theme="1"/>
        <rFont val="Calibri"/>
        <family val="2"/>
        <scheme val="minor"/>
      </rPr>
      <t>, Sale of Government Buildings, Sale of Government Lands</t>
    </r>
  </si>
  <si>
    <r>
      <rPr>
        <vertAlign val="superscript"/>
        <sz val="10"/>
        <color theme="1"/>
        <rFont val="Calibri"/>
        <family val="2"/>
        <scheme val="minor"/>
      </rPr>
      <t>5</t>
    </r>
    <r>
      <rPr>
        <sz val="10"/>
        <color theme="1"/>
        <rFont val="Calibri"/>
        <family val="2"/>
        <scheme val="minor"/>
      </rPr>
      <t xml:space="preserve"> Others: Reimbursements from Previous Year's Budget, Other Fees and Charges, Loan Repayment and National Student Loan  (latter part added by MIRA)</t>
    </r>
  </si>
  <si>
    <t>Source: Maldives Inland Revenue Authority</t>
  </si>
  <si>
    <t>ވިޔަފާރި ހުއްދަ: ކުންފުނިތަކުގެ އަހަރީ ފީ، ރެސްޓޯރަންޓް، ކެފޭ އަދި ކެންޓީންތަކުގެ ވިޔަފާރި ފީ، ފްލެޓް ބެލެހެއްޓުމުގެ އަގު ، ޕާޓްނާޝިޕް އަހަރީ ފީ، އިމްޕޯޓް ވިޔަފާރި ފީ، ކޯޕަރޭޓިވް ސޮސައިޓީ ރެޖިސްޓްރޭޝަން ފީ، ޓްރޭޑް ރަޖިސްޓްރީ ފީ، ފޮރިން އިންވެސްޓްމަންޓް އެޑްމިނިސްޓްރޭޝަން ފީ، ކުންފުނި ރަޖިސްޓްރީ ކުރުމުގެ ފީ، ބިދޭސީން ވިޔަފާރި ކުރުމުގެ ހުއްދަ، ސެކިއުރިޓީ ފާސް ފީ، ޑައިވް ސްކޫލް ރަޖިސްޓްރޭޝަން ފީ، ގެސްޓް ހައުސް ރަޖިސްޓްރޭޝަން ފީ، އެހެނިހެން ރަޖިސްޓްރޭޝަން އަދި ލައިސަންސް ފީތައް، ޓޫރިސްޓް އުޅަދުގެ ރަޖިސްޓްރޭޝަން ފީ، ބޭންކް މޯގޭޖް ރަޖިސްޓްރޭޝަން ފީ، ސޭލް އޮފް ޓެންޑަރ ޑޮކިއުމެންޓްސް</t>
  </si>
  <si>
    <r>
      <rPr>
        <sz val="10"/>
        <color theme="1"/>
        <rFont val="Faruma"/>
      </rPr>
      <t xml:space="preserve">ބިމުގެ ކުލި: ގޮއިފާލައްބަ، ހިންނަ ފަދަ ތަންތަނުގެ ވަރުވާ، ސަރުކާރު އިމާރާތްތަކުގެ ކުލި، ވިޔަފާރިކުރުމަށް ދޫކުރެވިފައިވާ ބިންބިމުގެ ކުލި، ސިނާޢީ މަސައްކަތްތަކަށް ދޫކުރެވިފައިވާ ބިމުގެ ކުލި، ދަނޑުވެރިކަމަށް ދޫކުރެވިފައިވާ ރަށްރަށުގެ ކުލި، ފްލޯޓިންގ ޖެޓީގެ ކުލި، ފަޅުރަށްރަށް ބެލެހެއްޓުމުގެ ފީ   </t>
    </r>
    <r>
      <rPr>
        <sz val="10"/>
        <color theme="1"/>
        <rFont val="Calibri"/>
        <family val="2"/>
        <scheme val="minor"/>
      </rPr>
      <t xml:space="preserve"> </t>
    </r>
  </si>
  <si>
    <r>
      <t xml:space="preserve">ރޯޔަލްޓީ: ޑިއުޓީ ފްރީ ޝޮޕްގެ ރޯޔަލްޓީ، </t>
    </r>
    <r>
      <rPr>
        <sz val="10"/>
        <color rgb="FFC00000"/>
        <rFont val="Faruma"/>
      </rPr>
      <t>ބިދޭސީން ކުރާ ވިޔަފާރިގެ ރޯޔަލްޓީ، ބިދޭސީން ކުރާ މަސްވެރިކަމުގެ ރޯޔަލްޓީ، ގާމެންޓް އިންޑަސްޓްރީގެ ރޯޔަލްޓީ، ބުލިއަން ރޯޔަލްޓީ،</t>
    </r>
    <r>
      <rPr>
        <sz val="10"/>
        <rFont val="Faruma"/>
      </rPr>
      <t xml:space="preserve"> ފިއުލް ރީއެކްސްޕޯޓް ރޯޔަލްޓީ، </t>
    </r>
    <r>
      <rPr>
        <sz val="10"/>
        <color rgb="FFC00000"/>
        <rFont val="Faruma"/>
      </rPr>
      <t>ރީއެކްސްޕޯޓް ރޯޔަލްޓީ،</t>
    </r>
    <r>
      <rPr>
        <sz val="10"/>
        <rFont val="Faruma"/>
      </rPr>
      <t xml:space="preserve"> ބޮޑު ކަންނެލީގެ އެކްސްޕޯޓް ރޯޔަލްޓީ، </t>
    </r>
    <r>
      <rPr>
        <sz val="10"/>
        <color rgb="FFC00000"/>
        <rFont val="Faruma"/>
      </rPr>
      <t>މަސް އެކްސްޕޯޓް ކުރުމުގެ ރޯޔަލްޓީ</t>
    </r>
  </si>
  <si>
    <r>
      <t xml:space="preserve">ހަރުމުދާ ވިއްކައިގެން ލިބޭ ފައިސާ: </t>
    </r>
    <r>
      <rPr>
        <sz val="10"/>
        <color rgb="FFC00000"/>
        <rFont val="Faruma"/>
      </rPr>
      <t>ނީލަމުގައި ތަކެތި ވިއްކައިގެން ލިބޭ،</t>
    </r>
    <r>
      <rPr>
        <sz val="10"/>
        <rFont val="Faruma"/>
      </rPr>
      <t xml:space="preserve"> ސަރުކާރުގެ އިމާރާތް ވިއްކި، ސަރުކާރުގެ ބިން ވިއްކި</t>
    </r>
  </si>
  <si>
    <t>އެހެނިހެން: ކުރީ އަހަރުގެ ބަޖެޓުން އަނބުރާ ލިބޭ ފައިސާ، އެހެނިހެން ފީ އަދި ޗާޖު</t>
  </si>
  <si>
    <t>2019*: 2019 Figures revised as per Internal Audit reconciliation on 31s March 2020</t>
  </si>
  <si>
    <t>2020 Figures reconciled as of 11.02.2021</t>
  </si>
  <si>
    <t>Percentage change over 2023</t>
  </si>
  <si>
    <t>2023 އާއި އަޅާބަލާއިރު 2024 ގައި އިތުރުވި މިންވަރު (%)</t>
  </si>
  <si>
    <t>Airport Service Charge / Departure Tax</t>
  </si>
  <si>
    <t>Collection of Vehicle and Vessel fee by Transport Authority as of 31st December 2022 (Only USD transactions are taken to MIRA)</t>
  </si>
  <si>
    <t>Business Profit Tax Act has been repealed with the enactment of Income Tax in 2019. From 2020 onwards, taxpayers ought to pay their taxes under Income Tax Act</t>
  </si>
  <si>
    <t>2021 Figures are updated as per the Internal Audit Reconciliation on 15th May 2022</t>
  </si>
  <si>
    <t>2022 Figures are updated as per the Internal Audit Reconciliation on 19th June 2023</t>
  </si>
  <si>
    <t>2023 Figures are updated as per the Internal Audit Reconciliation on 29th May 2024</t>
  </si>
  <si>
    <t>2024 Figures are updated as per the Internal Audit Reconciliation on 19th March 2025</t>
  </si>
  <si>
    <t>Table 13.11: REVENUE COLLECTED BY MAJOR CATEGORIES, 2020 - 2024</t>
  </si>
  <si>
    <t>ތާވަލު 13.11: ޢާމްދަނީގެ ގޮތުގައި ލިބުނު ފައިސާ އެކި ބައިތަކަށް، 2020 - 2024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</si>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</sst>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_-* #,##0.00\ _ރ_._-;_-* #,##0.00\ _ރ_.\-;_-* &quot;-&quot;??\ _ރ_._-;_-@_-"/>
    <numFmt numFmtId="167" formatCode="#,##0.0"/>
    <numFmt numFmtId="168" formatCode="0.0"/>
    <numFmt numFmtId="169" formatCode="#,##0.00\ ;&quot; (&quot;#,##0.00\);&quot; -&quot;#\ ;@\ "/>
    <numFmt numFmtId="170" formatCode="0.00_)"/>
    <numFmt numFmtId="171" formatCode="_(* #,##0_);_(* \(#,##0\);_(* &quot;-&quot;??_);_(@_)"/>
    <numFmt numFmtId="172" formatCode="#,##0_);\-#,##0"/>
  </numFmts>
  <fonts count="41">
    <font>
      <sz val="11"/>
      <color theme="1"/>
      <name val="Calibri"/>
      <family val="2"/>
      <scheme val="minor"/>
    </font>
    <font>
      <sz val="11"/>
      <color theme="1"/>
      <name val="Calibri"/>
      <family val="2"/>
      <scheme val="minor"/>
    </font>
    <font>
      <sz val="10"/>
      <name val="Arial"/>
      <family val="2"/>
    </font>
    <font>
      <sz val="10"/>
      <name val="MS Sans Serif"/>
      <family val="2"/>
    </font>
    <font>
      <sz val="10"/>
      <name val="Courier"/>
      <family val="3"/>
    </font>
    <font>
      <b/>
      <sz val="10"/>
      <color theme="1"/>
      <name val="Calibri"/>
      <family val="2"/>
      <scheme val="minor"/>
    </font>
    <font>
      <sz val="11"/>
      <color indexed="8"/>
      <name val="Calibri"/>
      <family val="2"/>
    </font>
    <font>
      <b/>
      <i/>
      <strike/>
      <u/>
      <sz val="10"/>
      <color indexed="8"/>
      <name val="Arial"/>
      <family val="2"/>
    </font>
    <font>
      <sz val="10"/>
      <color theme="1"/>
      <name val="Calibri"/>
      <family val="2"/>
      <scheme val="minor"/>
    </font>
    <font>
      <sz val="10"/>
      <color theme="1"/>
      <name val="Faruma"/>
    </font>
    <font>
      <i/>
      <sz val="10"/>
      <color theme="1"/>
      <name val="Calibri"/>
      <family val="2"/>
      <scheme val="minor"/>
    </font>
    <font>
      <sz val="10"/>
      <color indexed="8"/>
      <name val="Arial"/>
      <family val="2"/>
    </font>
    <font>
      <sz val="10"/>
      <name val="Courier"/>
    </font>
    <font>
      <sz val="10"/>
      <name val="Helv"/>
    </font>
    <font>
      <sz val="12"/>
      <color theme="1"/>
      <name val="Century Gothic"/>
      <family val="2"/>
    </font>
    <font>
      <b/>
      <i/>
      <sz val="16"/>
      <name val="Helv"/>
    </font>
    <font>
      <b/>
      <sz val="10"/>
      <name val="TimesNewRomanPS"/>
    </font>
    <font>
      <i/>
      <sz val="10"/>
      <name val="Cambria"/>
      <family val="2"/>
      <scheme val="major"/>
    </font>
    <font>
      <sz val="10"/>
      <color rgb="FF000000"/>
      <name val="Arial"/>
      <family val="2"/>
    </font>
    <font>
      <b/>
      <sz val="10"/>
      <color rgb="FF000000"/>
      <name val="Times"/>
      <family val="1"/>
    </font>
    <font>
      <sz val="10"/>
      <name val="Calibri"/>
      <family val="2"/>
      <scheme val="minor"/>
    </font>
    <font>
      <b/>
      <sz val="11"/>
      <name val="Faruma"/>
    </font>
    <font>
      <b/>
      <sz val="12"/>
      <name val="Calibri"/>
      <family val="2"/>
      <scheme val="minor"/>
    </font>
    <font>
      <sz val="11"/>
      <name val="Calibri"/>
      <family val="2"/>
      <scheme val="minor"/>
    </font>
    <font>
      <b/>
      <sz val="10"/>
      <name val="Calibri"/>
      <family val="2"/>
      <scheme val="minor"/>
    </font>
    <font>
      <b/>
      <sz val="10"/>
      <name val="Faruma"/>
    </font>
    <font>
      <b/>
      <sz val="9"/>
      <name val="Faruma"/>
    </font>
    <font>
      <b/>
      <sz val="9"/>
      <name val="A_Faseyha"/>
    </font>
    <font>
      <sz val="10"/>
      <name val="Faruma"/>
    </font>
    <font>
      <vertAlign val="superscript"/>
      <sz val="10"/>
      <name val="Calibri"/>
      <family val="2"/>
      <scheme val="minor"/>
    </font>
    <font>
      <vertAlign val="superscript"/>
      <sz val="10"/>
      <name val="Faruma"/>
    </font>
    <font>
      <sz val="9.5"/>
      <name val="Faruma"/>
    </font>
    <font>
      <sz val="10.5"/>
      <name val="Calibri"/>
      <family val="2"/>
      <scheme val="minor"/>
    </font>
    <font>
      <vertAlign val="superscript"/>
      <sz val="9.5"/>
      <name val="Faruma"/>
    </font>
    <font>
      <b/>
      <sz val="11"/>
      <name val="Calibri"/>
      <family val="2"/>
      <scheme val="minor"/>
    </font>
    <font>
      <vertAlign val="superscript"/>
      <sz val="10"/>
      <color theme="1"/>
      <name val="Calibri"/>
      <family val="2"/>
      <scheme val="minor"/>
    </font>
    <font>
      <sz val="10"/>
      <color rgb="FFC00000"/>
      <name val="Calibri"/>
      <family val="2"/>
      <scheme val="minor"/>
    </font>
    <font>
      <sz val="10"/>
      <color rgb="FFC00000"/>
      <name val="Faruma"/>
    </font>
    <font>
      <i/>
      <sz val="10"/>
      <name val="Calibri"/>
      <family val="2"/>
      <scheme val="minor"/>
    </font>
    <font>
      <sz val="9"/>
      <color indexed="81"/>
      <name val="Tahoma"/>
      <family val="2"/>
    </font>
    <font>
      <sz val="10"/>
      <name val="Arial"/>
      <charset val="134"/>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6">
    <border>
      <left/>
      <right/>
      <top/>
      <bottom/>
      <diagonal/>
    </border>
    <border>
      <left/>
      <right/>
      <top/>
      <bottom style="thin">
        <color indexed="64"/>
      </bottom>
      <diagonal/>
    </border>
    <border>
      <left/>
      <right/>
      <top style="thin">
        <color indexed="64"/>
      </top>
      <bottom/>
      <diagonal/>
    </border>
    <border>
      <left/>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auto="1"/>
      </top>
      <bottom style="hair">
        <color theme="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58">
    <xf numFmtId="0" fontId="0" fillId="0" borderId="0"/>
    <xf numFmtId="43" fontId="1" fillId="0" borderId="0" applyFont="0" applyFill="0" applyBorder="0" applyAlignment="0" applyProtection="0"/>
    <xf numFmtId="0" fontId="2" fillId="0" borderId="0"/>
    <xf numFmtId="164" fontId="1" fillId="0" borderId="0" applyFont="0" applyFill="0" applyBorder="0" applyAlignment="0" applyProtection="0"/>
    <xf numFmtId="0" fontId="6" fillId="0" borderId="0"/>
    <xf numFmtId="169" fontId="6" fillId="0" borderId="0"/>
    <xf numFmtId="0" fontId="7" fillId="0" borderId="0" applyFont="0" applyFill="0" applyBorder="0" applyAlignment="0" applyProtection="0"/>
    <xf numFmtId="43" fontId="1" fillId="0" borderId="0" applyFont="0" applyFill="0" applyBorder="0" applyAlignment="0" applyProtection="0"/>
    <xf numFmtId="0" fontId="3" fillId="0" borderId="0"/>
    <xf numFmtId="43" fontId="6" fillId="0" borderId="0" applyFont="0" applyFill="0" applyBorder="0" applyAlignment="0" applyProtection="0"/>
    <xf numFmtId="0" fontId="11" fillId="0" borderId="0" applyNumberFormat="0" applyFill="0" applyBorder="0" applyAlignment="0" applyProtection="0"/>
    <xf numFmtId="168" fontId="12" fillId="0" borderId="0"/>
    <xf numFmtId="4" fontId="13" fillId="0" borderId="0" applyFont="0" applyFill="0" applyBorder="0" applyAlignment="0" applyProtection="0"/>
    <xf numFmtId="0" fontId="1" fillId="0" borderId="0"/>
    <xf numFmtId="43" fontId="1" fillId="0" borderId="0" applyFont="0" applyFill="0" applyBorder="0" applyAlignment="0" applyProtection="0"/>
    <xf numFmtId="9"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0" fontId="14" fillId="0" borderId="0"/>
    <xf numFmtId="43" fontId="14" fillId="0" borderId="0" applyFont="0" applyFill="0" applyBorder="0" applyAlignment="0" applyProtection="0"/>
    <xf numFmtId="9" fontId="14" fillId="0" borderId="0" applyFont="0" applyFill="0" applyBorder="0" applyAlignment="0" applyProtection="0"/>
    <xf numFmtId="43" fontId="1"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170" fontId="15" fillId="0" borderId="0"/>
    <xf numFmtId="1" fontId="16" fillId="0" borderId="4" applyNumberFormat="0"/>
    <xf numFmtId="0" fontId="2" fillId="0" borderId="0"/>
    <xf numFmtId="0" fontId="1" fillId="0" borderId="0"/>
    <xf numFmtId="0" fontId="2" fillId="0" borderId="0"/>
    <xf numFmtId="9" fontId="2" fillId="0" borderId="0" applyFont="0" applyFill="0" applyBorder="0" applyAlignment="0" applyProtection="0"/>
    <xf numFmtId="0" fontId="2" fillId="0" borderId="0"/>
    <xf numFmtId="0" fontId="2" fillId="0" borderId="0"/>
    <xf numFmtId="0" fontId="1" fillId="0" borderId="0"/>
    <xf numFmtId="0" fontId="2" fillId="0" borderId="0"/>
    <xf numFmtId="0" fontId="2" fillId="0" borderId="0"/>
    <xf numFmtId="0" fontId="13" fillId="0" borderId="0"/>
    <xf numFmtId="40" fontId="13" fillId="0" borderId="0" applyFont="0" applyFill="0" applyBorder="0" applyAlignment="0" applyProtection="0"/>
    <xf numFmtId="0" fontId="13" fillId="0" borderId="0"/>
    <xf numFmtId="0" fontId="2" fillId="0" borderId="0"/>
    <xf numFmtId="0" fontId="2" fillId="0" borderId="0"/>
    <xf numFmtId="1" fontId="16" fillId="0" borderId="4" applyNumberFormat="0"/>
    <xf numFmtId="0" fontId="1" fillId="0" borderId="0"/>
    <xf numFmtId="0" fontId="13" fillId="0" borderId="0"/>
    <xf numFmtId="0" fontId="6" fillId="0" borderId="0" applyFill="0" applyProtection="0"/>
    <xf numFmtId="1" fontId="16" fillId="0" borderId="4" applyNumberFormat="0"/>
    <xf numFmtId="43" fontId="1" fillId="0" borderId="0" applyFont="0" applyFill="0" applyBorder="0" applyAlignment="0" applyProtection="0"/>
    <xf numFmtId="0" fontId="1" fillId="0" borderId="0"/>
    <xf numFmtId="0" fontId="18" fillId="0" borderId="0"/>
    <xf numFmtId="0" fontId="19" fillId="0" borderId="0"/>
    <xf numFmtId="0" fontId="18" fillId="0" borderId="0"/>
    <xf numFmtId="0" fontId="1" fillId="0" borderId="0"/>
    <xf numFmtId="0" fontId="13" fillId="0" borderId="0"/>
    <xf numFmtId="0" fontId="6" fillId="0" borderId="0" applyFill="0" applyProtection="0"/>
  </cellStyleXfs>
  <cellXfs count="78">
    <xf numFmtId="0" fontId="0" fillId="0" borderId="0" xfId="0"/>
    <xf numFmtId="0" fontId="0" fillId="2" borderId="0" xfId="0" applyFill="1"/>
    <xf numFmtId="0" fontId="17" fillId="2" borderId="0" xfId="43" applyFont="1" applyFill="1" applyAlignment="1">
      <alignment horizontal="left" vertical="center"/>
    </xf>
    <xf numFmtId="0" fontId="10" fillId="2" borderId="0" xfId="0" applyFont="1" applyFill="1" applyAlignment="1">
      <alignment horizontal="left" vertical="center"/>
    </xf>
    <xf numFmtId="0" fontId="20" fillId="2" borderId="0" xfId="0" applyFont="1" applyFill="1" applyAlignment="1">
      <alignment vertical="top" wrapText="1"/>
    </xf>
    <xf numFmtId="0" fontId="24" fillId="2" borderId="5" xfId="0" applyFont="1" applyFill="1" applyBorder="1" applyAlignment="1">
      <alignment horizontal="center" vertical="center" wrapText="1"/>
    </xf>
    <xf numFmtId="0" fontId="26" fillId="2" borderId="0" xfId="0" applyFont="1" applyFill="1" applyAlignment="1">
      <alignment horizontal="center" vertical="center" wrapText="1" readingOrder="2"/>
    </xf>
    <xf numFmtId="0" fontId="24" fillId="2" borderId="6" xfId="0" applyFont="1" applyFill="1" applyBorder="1" applyAlignment="1">
      <alignment horizontal="right" vertical="center" wrapText="1"/>
    </xf>
    <xf numFmtId="0" fontId="24" fillId="2" borderId="7" xfId="0" applyFont="1" applyFill="1" applyBorder="1" applyAlignment="1">
      <alignment horizontal="right" vertical="center" wrapText="1"/>
    </xf>
    <xf numFmtId="0" fontId="24" fillId="2" borderId="8" xfId="0" applyFont="1" applyFill="1" applyBorder="1" applyAlignment="1">
      <alignment horizontal="right" vertical="center" wrapText="1"/>
    </xf>
    <xf numFmtId="171" fontId="1" fillId="2" borderId="0" xfId="1" applyNumberFormat="1" applyFont="1" applyFill="1" applyBorder="1" applyAlignment="1">
      <alignment horizontal="right" vertical="center"/>
    </xf>
    <xf numFmtId="168" fontId="23" fillId="2" borderId="10" xfId="0" applyNumberFormat="1" applyFont="1" applyFill="1" applyBorder="1" applyAlignment="1">
      <alignment horizontal="right" vertical="center" wrapText="1"/>
    </xf>
    <xf numFmtId="168" fontId="23" fillId="2" borderId="9" xfId="0" applyNumberFormat="1" applyFont="1" applyFill="1" applyBorder="1" applyAlignment="1">
      <alignment horizontal="right" vertical="center" wrapText="1"/>
    </xf>
    <xf numFmtId="167" fontId="23" fillId="2" borderId="0" xfId="1" applyNumberFormat="1" applyFont="1" applyFill="1" applyAlignment="1">
      <alignment horizontal="center" vertical="center" wrapText="1"/>
    </xf>
    <xf numFmtId="0" fontId="28" fillId="2" borderId="0" xfId="0" applyFont="1" applyFill="1" applyAlignment="1">
      <alignment vertical="top" wrapText="1"/>
    </xf>
    <xf numFmtId="167" fontId="31" fillId="2" borderId="0" xfId="2" applyNumberFormat="1" applyFont="1" applyFill="1" applyAlignment="1">
      <alignment horizontal="right" vertical="center"/>
    </xf>
    <xf numFmtId="172" fontId="24" fillId="2" borderId="6" xfId="0" applyNumberFormat="1" applyFont="1" applyFill="1" applyBorder="1" applyAlignment="1">
      <alignment horizontal="left" vertical="top"/>
    </xf>
    <xf numFmtId="171" fontId="34" fillId="2" borderId="6" xfId="1" applyNumberFormat="1" applyFont="1" applyFill="1" applyBorder="1" applyAlignment="1">
      <alignment horizontal="right" vertical="center"/>
    </xf>
    <xf numFmtId="0" fontId="25" fillId="2" borderId="6" xfId="0" applyFont="1" applyFill="1" applyBorder="1" applyAlignment="1">
      <alignment vertical="top" wrapText="1"/>
    </xf>
    <xf numFmtId="0" fontId="24" fillId="2" borderId="0" xfId="0" applyFont="1" applyFill="1" applyAlignment="1">
      <alignment vertical="top"/>
    </xf>
    <xf numFmtId="171" fontId="24" fillId="2" borderId="2" xfId="1" applyNumberFormat="1" applyFont="1" applyFill="1" applyBorder="1" applyAlignment="1">
      <alignment horizontal="right" vertical="center"/>
    </xf>
    <xf numFmtId="171" fontId="24" fillId="2" borderId="0" xfId="1" applyNumberFormat="1" applyFont="1" applyFill="1" applyBorder="1" applyAlignment="1">
      <alignment horizontal="right" vertical="center"/>
    </xf>
    <xf numFmtId="0" fontId="20" fillId="2" borderId="0" xfId="0" applyFont="1" applyFill="1" applyAlignment="1">
      <alignment vertical="top"/>
    </xf>
    <xf numFmtId="171" fontId="20" fillId="2" borderId="0" xfId="0" applyNumberFormat="1" applyFont="1" applyFill="1" applyAlignment="1">
      <alignment vertical="top"/>
    </xf>
    <xf numFmtId="171" fontId="24" fillId="2" borderId="0" xfId="1" applyNumberFormat="1" applyFont="1" applyFill="1" applyBorder="1" applyAlignment="1">
      <alignment horizontal="left" vertical="center"/>
    </xf>
    <xf numFmtId="0" fontId="20" fillId="2" borderId="0" xfId="0" applyFont="1" applyFill="1" applyAlignment="1">
      <alignment horizontal="left" vertical="center"/>
    </xf>
    <xf numFmtId="171" fontId="5" fillId="2" borderId="0" xfId="1" applyNumberFormat="1" applyFont="1" applyFill="1" applyBorder="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top"/>
    </xf>
    <xf numFmtId="172" fontId="10" fillId="2" borderId="0" xfId="0" applyNumberFormat="1" applyFont="1" applyFill="1" applyAlignment="1">
      <alignment horizontal="left" vertical="top"/>
    </xf>
    <xf numFmtId="0" fontId="35" fillId="2" borderId="0" xfId="0" applyFont="1" applyFill="1" applyAlignment="1">
      <alignment horizontal="center" vertical="top"/>
    </xf>
    <xf numFmtId="0" fontId="8" fillId="2" borderId="0" xfId="0" applyFont="1" applyFill="1" applyAlignment="1">
      <alignment vertical="top" wrapText="1"/>
    </xf>
    <xf numFmtId="0" fontId="29" fillId="2" borderId="0" xfId="0" applyFont="1" applyFill="1" applyAlignment="1">
      <alignment horizontal="center" vertical="top"/>
    </xf>
    <xf numFmtId="0" fontId="28" fillId="2" borderId="0" xfId="0" applyFont="1" applyFill="1" applyAlignment="1">
      <alignment horizontal="right" vertical="top" wrapText="1"/>
    </xf>
    <xf numFmtId="172" fontId="38" fillId="2" borderId="0" xfId="0" applyNumberFormat="1" applyFont="1" applyFill="1" applyAlignment="1">
      <alignment horizontal="left" vertical="center"/>
    </xf>
    <xf numFmtId="0" fontId="20" fillId="2" borderId="0" xfId="0" applyFont="1" applyFill="1" applyAlignment="1">
      <alignment horizontal="left" vertical="top" wrapText="1"/>
    </xf>
    <xf numFmtId="0" fontId="9" fillId="2" borderId="0" xfId="0" applyFont="1" applyFill="1" applyAlignment="1">
      <alignment horizontal="right" vertical="top" wrapText="1"/>
    </xf>
    <xf numFmtId="0" fontId="5" fillId="2" borderId="6" xfId="0" applyFont="1" applyFill="1" applyBorder="1" applyAlignment="1">
      <alignment horizontal="center" vertical="center" wrapText="1"/>
    </xf>
    <xf numFmtId="0" fontId="32" fillId="2" borderId="0" xfId="0" applyFont="1" applyFill="1" applyAlignment="1">
      <alignment horizontal="left" vertical="top"/>
    </xf>
    <xf numFmtId="0" fontId="32" fillId="2" borderId="0" xfId="0" applyFont="1" applyFill="1" applyAlignment="1">
      <alignment vertical="center" wrapText="1"/>
    </xf>
    <xf numFmtId="171" fontId="0" fillId="2" borderId="0" xfId="1" applyNumberFormat="1" applyFont="1" applyFill="1" applyBorder="1" applyAlignment="1">
      <alignment horizontal="right" vertical="center"/>
    </xf>
    <xf numFmtId="1" fontId="34" fillId="2" borderId="6" xfId="0" applyNumberFormat="1" applyFont="1" applyFill="1" applyBorder="1" applyAlignment="1">
      <alignment horizontal="right" vertical="center" wrapText="1"/>
    </xf>
    <xf numFmtId="1" fontId="34" fillId="2" borderId="8" xfId="0" applyNumberFormat="1" applyFont="1" applyFill="1" applyBorder="1" applyAlignment="1">
      <alignment horizontal="right" vertical="center" wrapText="1"/>
    </xf>
    <xf numFmtId="1" fontId="34" fillId="2" borderId="7" xfId="0" applyNumberFormat="1" applyFont="1" applyFill="1" applyBorder="1" applyAlignment="1">
      <alignment horizontal="right" vertical="center" wrapText="1"/>
    </xf>
    <xf numFmtId="0" fontId="9" fillId="2" borderId="0" xfId="0" applyFont="1" applyFill="1" applyAlignment="1">
      <alignment vertical="center"/>
    </xf>
    <xf numFmtId="0" fontId="28" fillId="2" borderId="0" xfId="0" applyFont="1" applyFill="1" applyAlignment="1">
      <alignment horizontal="right" vertical="top"/>
    </xf>
    <xf numFmtId="0" fontId="28" fillId="2" borderId="0" xfId="0" applyFont="1" applyFill="1" applyAlignment="1">
      <alignment vertical="top"/>
    </xf>
    <xf numFmtId="0" fontId="9" fillId="2" borderId="0" xfId="0" applyFont="1" applyFill="1" applyAlignment="1">
      <alignment vertical="top"/>
    </xf>
    <xf numFmtId="0" fontId="38" fillId="2" borderId="0" xfId="0" applyFont="1" applyFill="1" applyAlignment="1">
      <alignment horizontal="left" vertical="center"/>
    </xf>
    <xf numFmtId="171" fontId="0" fillId="2" borderId="0" xfId="1" applyNumberFormat="1" applyFont="1" applyFill="1" applyAlignment="1">
      <alignment vertical="center"/>
    </xf>
    <xf numFmtId="171" fontId="0" fillId="2" borderId="0" xfId="1" applyNumberFormat="1" applyFont="1" applyFill="1" applyBorder="1" applyAlignment="1">
      <alignment vertical="center"/>
    </xf>
    <xf numFmtId="168" fontId="23" fillId="2" borderId="0" xfId="0" applyNumberFormat="1" applyFont="1" applyFill="1" applyAlignment="1">
      <alignment horizontal="right" vertical="center" wrapText="1"/>
    </xf>
    <xf numFmtId="0" fontId="9" fillId="2" borderId="0" xfId="0" applyFont="1" applyFill="1" applyAlignment="1">
      <alignment horizontal="right" vertical="center" wrapText="1"/>
    </xf>
    <xf numFmtId="0" fontId="24" fillId="2" borderId="2" xfId="0" applyFont="1" applyFill="1" applyBorder="1" applyAlignment="1">
      <alignment horizontal="left" vertical="center" wrapText="1"/>
    </xf>
    <xf numFmtId="0" fontId="24" fillId="2" borderId="0" xfId="0" applyFont="1" applyFill="1" applyAlignment="1">
      <alignment horizontal="left" vertical="center" wrapText="1"/>
    </xf>
    <xf numFmtId="0" fontId="24" fillId="2" borderId="1" xfId="0" applyFont="1" applyFill="1" applyBorder="1" applyAlignment="1">
      <alignment horizontal="left" vertical="center" wrapText="1"/>
    </xf>
    <xf numFmtId="0" fontId="8" fillId="2" borderId="0" xfId="0" applyFont="1" applyFill="1" applyAlignment="1">
      <alignment horizontal="left" vertical="center" wrapText="1"/>
    </xf>
    <xf numFmtId="0" fontId="21" fillId="2" borderId="0" xfId="0" applyFont="1" applyFill="1" applyAlignment="1">
      <alignment horizontal="center" vertical="top" wrapText="1"/>
    </xf>
    <xf numFmtId="0" fontId="22" fillId="2" borderId="0" xfId="0" applyFont="1" applyFill="1" applyAlignment="1">
      <alignment horizontal="center" vertical="top"/>
    </xf>
    <xf numFmtId="0" fontId="24" fillId="2" borderId="11" xfId="0" applyFont="1" applyFill="1" applyBorder="1" applyAlignment="1">
      <alignment horizontal="center" vertical="center"/>
    </xf>
    <xf numFmtId="0" fontId="24" fillId="2" borderId="13" xfId="0" applyFont="1" applyFill="1" applyBorder="1" applyAlignment="1">
      <alignment horizontal="center" vertical="center" wrapText="1"/>
    </xf>
    <xf numFmtId="0" fontId="24" fillId="2" borderId="11" xfId="0" applyFont="1" applyFill="1" applyBorder="1" applyAlignment="1">
      <alignment horizontal="center" vertical="center" wrapText="1"/>
    </xf>
    <xf numFmtId="0" fontId="24" fillId="2" borderId="12" xfId="0" applyFont="1" applyFill="1" applyBorder="1" applyAlignment="1">
      <alignment horizontal="center" vertical="center" wrapText="1"/>
    </xf>
    <xf numFmtId="0" fontId="25" fillId="2" borderId="2" xfId="0" applyFont="1" applyFill="1" applyBorder="1" applyAlignment="1">
      <alignment horizontal="right" vertical="center" wrapText="1"/>
    </xf>
    <xf numFmtId="0" fontId="25" fillId="2" borderId="0" xfId="0" applyFont="1" applyFill="1" applyAlignment="1">
      <alignment horizontal="right" vertical="center" wrapText="1"/>
    </xf>
    <xf numFmtId="0" fontId="25" fillId="2" borderId="1" xfId="0" applyFont="1" applyFill="1" applyBorder="1" applyAlignment="1">
      <alignment horizontal="right" vertical="center" wrapText="1"/>
    </xf>
    <xf numFmtId="0" fontId="10" fillId="2" borderId="0" xfId="0" applyFont="1" applyFill="1" applyAlignment="1">
      <alignment horizontal="left" vertical="center" wrapText="1"/>
    </xf>
    <xf numFmtId="0" fontId="20" fillId="2" borderId="0" xfId="0" applyFont="1" applyFill="1" applyAlignment="1">
      <alignment horizontal="left" vertical="center" wrapText="1"/>
    </xf>
    <xf numFmtId="0" fontId="0" fillId="2" borderId="0" xfId="0" applyFill="1" applyAlignment="1">
      <alignment horizontal="center"/>
    </xf>
    <xf numFmtId="0" fontId="40" fillId="3" borderId="0" xfId="0" applyNumberFormat="1" applyFont="1" applyFill="1" applyBorder="1" applyAlignment="1" applyProtection="1">
      <alignment horizontal="center" vertical="center"/>
    </xf>
    <xf numFmtId="171" fontId="0" fillId="2" borderId="0" xfId="1" applyNumberFormat="1" applyFont="1" applyFill="1" applyBorder="1" applyAlignment="1">
      <alignment horizontal="center" vertical="center"/>
    </xf>
    <xf numFmtId="0" fontId="24" fillId="2" borderId="12" xfId="0" applyFont="1" applyFill="1" applyBorder="1" applyAlignment="1">
      <alignment horizontal="center" vertical="center"/>
    </xf>
    <xf numFmtId="0" fontId="26" fillId="2" borderId="3" xfId="0" applyFont="1" applyFill="1" applyBorder="1" applyAlignment="1">
      <alignment horizontal="center" vertical="center" wrapText="1"/>
    </xf>
    <xf numFmtId="0" fontId="26" fillId="2" borderId="14" xfId="0" applyFont="1" applyFill="1" applyBorder="1" applyAlignment="1">
      <alignment horizontal="center" vertical="center" wrapText="1"/>
    </xf>
    <xf numFmtId="0" fontId="27" fillId="2" borderId="15" xfId="0" applyFont="1" applyFill="1" applyBorder="1" applyAlignment="1">
      <alignment horizontal="center" vertical="center" wrapText="1" readingOrder="2"/>
    </xf>
    <xf numFmtId="0" fontId="27" fillId="2" borderId="3" xfId="0" applyFont="1" applyFill="1" applyBorder="1" applyAlignment="1">
      <alignment horizontal="center" vertical="center" wrapText="1" readingOrder="2"/>
    </xf>
    <xf numFmtId="0" fontId="27" fillId="2" borderId="14" xfId="0" applyFont="1" applyFill="1" applyBorder="1" applyAlignment="1">
      <alignment horizontal="center" vertical="center" wrapText="1" readingOrder="2"/>
    </xf>
    <xf numFmtId="167" fontId="34" fillId="2" borderId="6" xfId="1" applyNumberFormat="1" applyFont="1" applyFill="1" applyBorder="1" applyAlignment="1">
      <alignment horizontal="center" vertical="center" wrapText="1"/>
    </xf>
  </cellXfs>
  <cellStyles count="58">
    <cellStyle name="1" xfId="27" xr:uid="{00000000-0005-0000-0000-000000000000}"/>
    <cellStyle name="Comma" xfId="1" builtinId="3"/>
    <cellStyle name="Comma 12" xfId="22" xr:uid="{00000000-0005-0000-0000-000002000000}"/>
    <cellStyle name="Comma 2" xfId="6" xr:uid="{00000000-0005-0000-0000-000003000000}"/>
    <cellStyle name="Comma 2 2" xfId="41" xr:uid="{00000000-0005-0000-0000-000004000000}"/>
    <cellStyle name="Comma 2 2 2 5" xfId="50" xr:uid="{00000000-0005-0000-0000-000005000000}"/>
    <cellStyle name="Comma 3" xfId="7" xr:uid="{00000000-0005-0000-0000-000006000000}"/>
    <cellStyle name="Comma 3 2" xfId="17" xr:uid="{00000000-0005-0000-0000-000007000000}"/>
    <cellStyle name="Comma 3 3" xfId="28" xr:uid="{00000000-0005-0000-0000-000008000000}"/>
    <cellStyle name="Comma 4" xfId="3" xr:uid="{00000000-0005-0000-0000-000009000000}"/>
    <cellStyle name="Comma 4 2" xfId="14" xr:uid="{00000000-0005-0000-0000-00000A000000}"/>
    <cellStyle name="Comma 5" xfId="12" xr:uid="{00000000-0005-0000-0000-00000B000000}"/>
    <cellStyle name="Comma 6" xfId="9" xr:uid="{00000000-0005-0000-0000-00000C000000}"/>
    <cellStyle name="Comma 6 2" xfId="18" xr:uid="{00000000-0005-0000-0000-00000D000000}"/>
    <cellStyle name="Comma 7" xfId="16" xr:uid="{00000000-0005-0000-0000-00000E000000}"/>
    <cellStyle name="Comma 8" xfId="20" xr:uid="{00000000-0005-0000-0000-00000F000000}"/>
    <cellStyle name="Excel Built-in Comma" xfId="5" xr:uid="{00000000-0005-0000-0000-000010000000}"/>
    <cellStyle name="Excel Built-in Normal" xfId="4" xr:uid="{00000000-0005-0000-0000-000011000000}"/>
    <cellStyle name="Normal" xfId="0" builtinId="0"/>
    <cellStyle name="Normal - Style1" xfId="29" xr:uid="{00000000-0005-0000-0000-000013000000}"/>
    <cellStyle name="Normal 10" xfId="35" xr:uid="{00000000-0005-0000-0000-000014000000}"/>
    <cellStyle name="Normal 11" xfId="47" xr:uid="{00000000-0005-0000-0000-000015000000}"/>
    <cellStyle name="Normal 12" xfId="49" xr:uid="{00000000-0005-0000-0000-000016000000}"/>
    <cellStyle name="Normal 2" xfId="10" xr:uid="{00000000-0005-0000-0000-000017000000}"/>
    <cellStyle name="Normal 2 2" xfId="13" xr:uid="{00000000-0005-0000-0000-000018000000}"/>
    <cellStyle name="Normal 2 2 2" xfId="42" xr:uid="{00000000-0005-0000-0000-000019000000}"/>
    <cellStyle name="Normal 2 2 3" xfId="44" xr:uid="{00000000-0005-0000-0000-00001A000000}"/>
    <cellStyle name="Normal 2 2 4" xfId="30" xr:uid="{00000000-0005-0000-0000-00001B000000}"/>
    <cellStyle name="Normal 2 3" xfId="46" xr:uid="{00000000-0005-0000-0000-00001C000000}"/>
    <cellStyle name="Normal 2 3 2" xfId="57" xr:uid="{00000000-0005-0000-0000-00001D000000}"/>
    <cellStyle name="Normal 2 4" xfId="48" xr:uid="{00000000-0005-0000-0000-00001E000000}"/>
    <cellStyle name="Normal 2 5" xfId="52" xr:uid="{00000000-0005-0000-0000-00001F000000}"/>
    <cellStyle name="Normal 2 6" xfId="23" xr:uid="{00000000-0005-0000-0000-000020000000}"/>
    <cellStyle name="Normal 3" xfId="11" xr:uid="{00000000-0005-0000-0000-000021000000}"/>
    <cellStyle name="Normal 3 2" xfId="45" xr:uid="{00000000-0005-0000-0000-000022000000}"/>
    <cellStyle name="Normal 3 2 2" xfId="54" xr:uid="{00000000-0005-0000-0000-000023000000}"/>
    <cellStyle name="Normal 3 3" xfId="31" xr:uid="{00000000-0005-0000-0000-000024000000}"/>
    <cellStyle name="Normal 4" xfId="8" xr:uid="{00000000-0005-0000-0000-000025000000}"/>
    <cellStyle name="Normal 4 2" xfId="32" xr:uid="{00000000-0005-0000-0000-000026000000}"/>
    <cellStyle name="Normal 4 2 2" xfId="37" xr:uid="{00000000-0005-0000-0000-000027000000}"/>
    <cellStyle name="Normal 4 3" xfId="53" xr:uid="{00000000-0005-0000-0000-000028000000}"/>
    <cellStyle name="Normal 4 4" xfId="36" xr:uid="{00000000-0005-0000-0000-000029000000}"/>
    <cellStyle name="Normal 5" xfId="19" xr:uid="{00000000-0005-0000-0000-00002A000000}"/>
    <cellStyle name="Normal 5 2" xfId="25" xr:uid="{00000000-0005-0000-0000-00002B000000}"/>
    <cellStyle name="Normal 5 3" xfId="51" xr:uid="{00000000-0005-0000-0000-00002C000000}"/>
    <cellStyle name="Normal 5 4" xfId="33" xr:uid="{00000000-0005-0000-0000-00002D000000}"/>
    <cellStyle name="Normal 6" xfId="38" xr:uid="{00000000-0005-0000-0000-00002E000000}"/>
    <cellStyle name="Normal 6 2" xfId="55" xr:uid="{00000000-0005-0000-0000-00002F000000}"/>
    <cellStyle name="Normal 7" xfId="39" xr:uid="{00000000-0005-0000-0000-000030000000}"/>
    <cellStyle name="Normal 7 2" xfId="56" xr:uid="{00000000-0005-0000-0000-000031000000}"/>
    <cellStyle name="Normal 8" xfId="40" xr:uid="{00000000-0005-0000-0000-000032000000}"/>
    <cellStyle name="Normal 9" xfId="26" xr:uid="{00000000-0005-0000-0000-000033000000}"/>
    <cellStyle name="Normal_13 Public Finance_done" xfId="2" xr:uid="{00000000-0005-0000-0000-000034000000}"/>
    <cellStyle name="Normal_Quick data" xfId="43" xr:uid="{00000000-0005-0000-0000-000035000000}"/>
    <cellStyle name="Percent 2" xfId="15" xr:uid="{00000000-0005-0000-0000-000038000000}"/>
    <cellStyle name="Percent 2 2" xfId="24" xr:uid="{00000000-0005-0000-0000-000039000000}"/>
    <cellStyle name="Percent 2 3" xfId="34" xr:uid="{00000000-0005-0000-0000-00003A000000}"/>
    <cellStyle name="Percent 3" xfId="21" xr:uid="{00000000-0005-0000-0000-00003B000000}"/>
  </cellStyles>
  <dxfs count="0"/>
  <tableStyles count="0" defaultTableStyle="TableStyleMedium9" defaultPivotStyle="PivotStyleLight16"/>
  <colors>
    <mruColors>
      <color rgb="FFFDEADA"/>
      <color rgb="FFEBF1DE"/>
      <color rgb="FFFBC99F"/>
      <color rgb="FFF5EADF"/>
      <color rgb="FFFAC090"/>
      <color rgb="FF996633"/>
      <color rgb="FFCC6600"/>
      <color rgb="FF6C3600"/>
      <color rgb="FFFCD5B5"/>
      <color rgb="FF7DDF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8916-00C1-49A2-88E5-19C0820A6F02}">
  <dimension ref="A1:AO67"/>
  <sheetViews>
    <sheetView tabSelected="1" zoomScaleNormal="100" workbookViewId="0">
      <selection activeCell="P34" sqref="P34"/>
    </sheetView>
  </sheetViews>
  <sheetFormatPr defaultRowHeight="15"/>
  <cols>
    <col min="1" max="1" width="36" style="1" customWidth="1"/>
    <col min="2" max="2" width="18" style="1" hidden="1" customWidth="1"/>
    <col min="3" max="7" width="15.140625" style="1" customWidth="1"/>
    <col min="8" max="12" width="10" style="1" customWidth="1"/>
    <col min="13" max="13" width="18.28515625" style="68" customWidth="1"/>
    <col min="14" max="14" width="29.28515625" style="1" customWidth="1"/>
    <col min="15" max="15" width="1.85546875" style="1" customWidth="1"/>
    <col min="16" max="16384" width="9.140625" style="1"/>
  </cols>
  <sheetData>
    <row r="1" spans="1:14" s="4" customFormat="1" ht="18.75" customHeight="1">
      <c r="A1" s="57" t="s">
        <v>87</v>
      </c>
      <c r="B1" s="57"/>
      <c r="C1" s="57"/>
      <c r="D1" s="57"/>
      <c r="E1" s="57"/>
      <c r="F1" s="57"/>
      <c r="G1" s="57"/>
      <c r="H1" s="57"/>
      <c r="I1" s="57"/>
      <c r="J1" s="57"/>
      <c r="K1" s="57"/>
      <c r="L1" s="57"/>
      <c r="M1" s="57"/>
      <c r="N1" s="57"/>
    </row>
    <row r="2" spans="1:14" s="4" customFormat="1" ht="15.75" customHeight="1">
      <c r="A2" s="58" t="s">
        <v>86</v>
      </c>
      <c r="B2" s="58"/>
      <c r="C2" s="58"/>
      <c r="D2" s="58"/>
      <c r="E2" s="58"/>
      <c r="F2" s="58"/>
      <c r="G2" s="58"/>
      <c r="H2" s="58"/>
      <c r="I2" s="58"/>
      <c r="J2" s="58"/>
      <c r="K2" s="58"/>
      <c r="L2" s="58"/>
      <c r="M2" s="58"/>
      <c r="N2" s="58"/>
    </row>
    <row r="3" spans="1:14" hidden="1"/>
    <row r="4" spans="1:14" ht="8.25" customHeight="1"/>
    <row r="5" spans="1:14" ht="29.25" customHeight="1">
      <c r="A5" s="53" t="s">
        <v>5</v>
      </c>
      <c r="B5" s="59" t="s">
        <v>6</v>
      </c>
      <c r="C5" s="59"/>
      <c r="D5" s="59"/>
      <c r="E5" s="59"/>
      <c r="F5" s="59"/>
      <c r="G5" s="71"/>
      <c r="H5" s="60" t="s">
        <v>7</v>
      </c>
      <c r="I5" s="61"/>
      <c r="J5" s="61"/>
      <c r="K5" s="61"/>
      <c r="L5" s="62"/>
      <c r="M5" s="5" t="s">
        <v>77</v>
      </c>
      <c r="N5" s="63" t="s">
        <v>4</v>
      </c>
    </row>
    <row r="6" spans="1:14" ht="33" customHeight="1">
      <c r="A6" s="54"/>
      <c r="B6" s="72" t="s">
        <v>8</v>
      </c>
      <c r="C6" s="72"/>
      <c r="D6" s="72"/>
      <c r="E6" s="72"/>
      <c r="F6" s="72"/>
      <c r="G6" s="73"/>
      <c r="H6" s="74" t="s">
        <v>9</v>
      </c>
      <c r="I6" s="75"/>
      <c r="J6" s="75"/>
      <c r="K6" s="75"/>
      <c r="L6" s="76"/>
      <c r="M6" s="6" t="s">
        <v>78</v>
      </c>
      <c r="N6" s="64"/>
    </row>
    <row r="7" spans="1:14">
      <c r="A7" s="55"/>
      <c r="B7" s="7" t="s">
        <v>10</v>
      </c>
      <c r="C7" s="7">
        <v>2020</v>
      </c>
      <c r="D7" s="7">
        <v>2021</v>
      </c>
      <c r="E7" s="7">
        <v>2022</v>
      </c>
      <c r="F7" s="7">
        <v>2023</v>
      </c>
      <c r="G7" s="7">
        <v>2024</v>
      </c>
      <c r="H7" s="9">
        <v>2020</v>
      </c>
      <c r="I7" s="7">
        <v>2021</v>
      </c>
      <c r="J7" s="7">
        <v>2022</v>
      </c>
      <c r="K7" s="7">
        <v>2023</v>
      </c>
      <c r="L7" s="8">
        <v>2024</v>
      </c>
      <c r="M7" s="37">
        <v>2024</v>
      </c>
      <c r="N7" s="65"/>
    </row>
    <row r="8" spans="1:14" ht="21.75" customHeight="1">
      <c r="A8" s="38" t="s">
        <v>79</v>
      </c>
      <c r="B8" s="10">
        <v>731095991.43890047</v>
      </c>
      <c r="C8" s="10">
        <v>283339591.02079999</v>
      </c>
      <c r="D8" s="10">
        <v>473428443.87150002</v>
      </c>
      <c r="E8" s="10">
        <v>830558836.34319997</v>
      </c>
      <c r="F8" s="49">
        <v>988994156.58330011</v>
      </c>
      <c r="G8" s="50">
        <v>1137309043.9941001</v>
      </c>
      <c r="H8" s="11">
        <f>C8/$C$33*100</f>
        <v>2.7192177118608933</v>
      </c>
      <c r="I8" s="51">
        <f>D8/$D$33*100</f>
        <v>3.0228330407787243</v>
      </c>
      <c r="J8" s="51">
        <f>E8/$E$33*100</f>
        <v>3.7712600860788599</v>
      </c>
      <c r="K8" s="51">
        <f>F8/$F$33*100</f>
        <v>3.9783750614351945</v>
      </c>
      <c r="L8" s="12">
        <f>G8/$G$33*100</f>
        <v>4.0473340020885651</v>
      </c>
      <c r="M8" s="13">
        <f>((G8/F8)-1)*100</f>
        <v>14.996538293328921</v>
      </c>
      <c r="N8" s="14" t="s">
        <v>11</v>
      </c>
    </row>
    <row r="9" spans="1:14" ht="21.75" customHeight="1">
      <c r="A9" s="38" t="s">
        <v>12</v>
      </c>
      <c r="B9" s="10">
        <v>733697538.34759951</v>
      </c>
      <c r="C9" s="10">
        <v>285888291.4224</v>
      </c>
      <c r="D9" s="10">
        <v>483012009.42839998</v>
      </c>
      <c r="E9" s="10">
        <v>849314523.76380002</v>
      </c>
      <c r="F9" s="49">
        <v>1016365837.6506002</v>
      </c>
      <c r="G9" s="50">
        <v>1159387359.2255998</v>
      </c>
      <c r="H9" s="11">
        <f>C9/$C$33*100</f>
        <v>2.7436776584899154</v>
      </c>
      <c r="I9" s="51">
        <f>D9/$D$33*100</f>
        <v>3.0840239535531353</v>
      </c>
      <c r="J9" s="51">
        <f>E9/$E$33*100</f>
        <v>3.8564227166610627</v>
      </c>
      <c r="K9" s="51">
        <f>F9/$F$33*100</f>
        <v>4.0884816911082211</v>
      </c>
      <c r="L9" s="12">
        <f>G9/$G$33*100</f>
        <v>4.1259039531648902</v>
      </c>
      <c r="M9" s="13">
        <f>((G9/F9)-1)*100</f>
        <v>14.07185447177206</v>
      </c>
      <c r="N9" s="14" t="s">
        <v>13</v>
      </c>
    </row>
    <row r="10" spans="1:14" ht="21.75" customHeight="1">
      <c r="A10" s="38" t="s">
        <v>14</v>
      </c>
      <c r="B10" s="10">
        <v>613969839.03999996</v>
      </c>
      <c r="C10" s="10">
        <v>953699643.38</v>
      </c>
      <c r="D10" s="10">
        <v>675071083.45000005</v>
      </c>
      <c r="E10" s="10">
        <v>901259956.67999995</v>
      </c>
      <c r="F10" s="49">
        <v>967668297.61999989</v>
      </c>
      <c r="G10" s="50">
        <v>1470309985.6200001</v>
      </c>
      <c r="H10" s="11">
        <f>C10/$C$33*100</f>
        <v>9.1526812498431891</v>
      </c>
      <c r="I10" s="51">
        <f>D10/$D$33*100</f>
        <v>4.3103180688501839</v>
      </c>
      <c r="J10" s="51">
        <f>E10/$E$33*100</f>
        <v>4.092287690024615</v>
      </c>
      <c r="K10" s="51">
        <f>F10/$F$33*100</f>
        <v>3.8925886440953947</v>
      </c>
      <c r="L10" s="12">
        <f>G10/$G$33*100</f>
        <v>5.2323822006299343</v>
      </c>
      <c r="M10" s="13">
        <f>((G10/F10)-1)*100</f>
        <v>51.943593609117691</v>
      </c>
      <c r="N10" s="14" t="s">
        <v>15</v>
      </c>
    </row>
    <row r="11" spans="1:14" ht="21.75" customHeight="1">
      <c r="A11" s="38" t="s">
        <v>16</v>
      </c>
      <c r="B11" s="10">
        <v>46866204.730000004</v>
      </c>
      <c r="C11" s="10">
        <v>38389556.316399999</v>
      </c>
      <c r="D11" s="10">
        <v>50800095.238700002</v>
      </c>
      <c r="E11" s="10">
        <v>50137302.653999999</v>
      </c>
      <c r="F11" s="49">
        <v>54322781.491999991</v>
      </c>
      <c r="G11" s="50">
        <v>34052397.574200004</v>
      </c>
      <c r="H11" s="11">
        <f>C11/$C$33*100</f>
        <v>0.36842560938959235</v>
      </c>
      <c r="I11" s="51">
        <f>D11/$D$33*100</f>
        <v>0.32435779546006388</v>
      </c>
      <c r="J11" s="51">
        <f>E11/$E$33*100</f>
        <v>0.22765492346716149</v>
      </c>
      <c r="K11" s="51">
        <f>F11/$F$33*100</f>
        <v>0.2185214115947744</v>
      </c>
      <c r="L11" s="12">
        <f>G11/$G$33*100</f>
        <v>0.12118203691644329</v>
      </c>
      <c r="M11" s="13">
        <f>((G11/F11)-1)*100</f>
        <v>-37.314701790049476</v>
      </c>
      <c r="N11" s="14" t="s">
        <v>17</v>
      </c>
    </row>
    <row r="12" spans="1:14" ht="39.75" customHeight="1">
      <c r="A12" s="39" t="s">
        <v>18</v>
      </c>
      <c r="B12" s="10">
        <v>2899307645.7716002</v>
      </c>
      <c r="C12" s="40">
        <v>2701575018.4759002</v>
      </c>
      <c r="D12" s="40">
        <v>2135302216.5644002</v>
      </c>
      <c r="E12" s="10">
        <v>3580679006.5325999</v>
      </c>
      <c r="F12" s="49">
        <v>4344192601.2245998</v>
      </c>
      <c r="G12" s="50">
        <v>4542756466.8767996</v>
      </c>
      <c r="H12" s="11">
        <f>C12/$C$33*100</f>
        <v>25.927088458390923</v>
      </c>
      <c r="I12" s="51">
        <f>D12/$D$33*100</f>
        <v>13.633870494758165</v>
      </c>
      <c r="J12" s="51">
        <f>E12/$E$33*100</f>
        <v>16.258537297431111</v>
      </c>
      <c r="K12" s="51">
        <f>F12/$F$33*100</f>
        <v>17.47515634115635</v>
      </c>
      <c r="L12" s="12">
        <f>G12/$G$33*100</f>
        <v>16.166276711410347</v>
      </c>
      <c r="M12" s="13">
        <f>((G12/F12)-1)*100</f>
        <v>4.5707887259930802</v>
      </c>
      <c r="N12" s="15" t="s">
        <v>19</v>
      </c>
    </row>
    <row r="13" spans="1:14" ht="21.75" customHeight="1">
      <c r="A13" s="38" t="s">
        <v>20</v>
      </c>
      <c r="B13" s="10">
        <v>43975220</v>
      </c>
      <c r="C13" s="10">
        <v>21566315</v>
      </c>
      <c r="D13" s="10">
        <v>6232955</v>
      </c>
      <c r="E13" s="10">
        <v>8036535</v>
      </c>
      <c r="F13" s="49">
        <v>688814.94870000007</v>
      </c>
      <c r="G13" s="50">
        <v>30545169.897600003</v>
      </c>
      <c r="H13" s="11">
        <f>C13/$C$33*100</f>
        <v>0.20697250785283386</v>
      </c>
      <c r="I13" s="51">
        <f>D13/$D$33*100</f>
        <v>3.9797317967656606E-2</v>
      </c>
      <c r="J13" s="51">
        <f>E13/$E$33*100</f>
        <v>3.649092917885962E-2</v>
      </c>
      <c r="K13" s="51">
        <f>F13/$F$33*100</f>
        <v>2.7708598636406907E-3</v>
      </c>
      <c r="L13" s="12">
        <f>G13/$G$33*100</f>
        <v>0.10870088950666069</v>
      </c>
      <c r="M13" s="69" t="s">
        <v>88</v>
      </c>
      <c r="N13" s="15" t="s">
        <v>21</v>
      </c>
    </row>
    <row r="14" spans="1:14" ht="21.75" customHeight="1">
      <c r="A14" s="38" t="s">
        <v>22</v>
      </c>
      <c r="B14" s="10">
        <v>197358978.90477699</v>
      </c>
      <c r="C14" s="10">
        <v>129047369.70370001</v>
      </c>
      <c r="D14" s="10">
        <v>181397419.44339997</v>
      </c>
      <c r="E14" s="10">
        <v>137560943.80849999</v>
      </c>
      <c r="F14" s="49">
        <v>69324452.208299994</v>
      </c>
      <c r="G14" s="50">
        <v>83913002.663000003</v>
      </c>
      <c r="H14" s="11">
        <f>C14/$C$33*100</f>
        <v>1.2384710943611184</v>
      </c>
      <c r="I14" s="51">
        <f>D14/$D$33*100</f>
        <v>1.1582196213676117</v>
      </c>
      <c r="J14" s="51">
        <f>E14/$E$33*100</f>
        <v>0.62461330141572968</v>
      </c>
      <c r="K14" s="51">
        <f>F14/$F$33*100</f>
        <v>0.27886784767866013</v>
      </c>
      <c r="L14" s="12">
        <f>G14/$G$33*100</f>
        <v>0.29862063498817132</v>
      </c>
      <c r="M14" s="13">
        <f>((G14/F14)-1)*100</f>
        <v>21.04387411654638</v>
      </c>
      <c r="N14" s="14" t="s">
        <v>2</v>
      </c>
    </row>
    <row r="15" spans="1:14" ht="21.75" customHeight="1">
      <c r="A15" s="38" t="s">
        <v>23</v>
      </c>
      <c r="B15" s="10">
        <v>7748561111.9536209</v>
      </c>
      <c r="C15" s="10">
        <v>4306485317.9263</v>
      </c>
      <c r="D15" s="10">
        <v>7830165885.9279003</v>
      </c>
      <c r="E15" s="10">
        <v>9794802791.8334999</v>
      </c>
      <c r="F15" s="49">
        <v>13320202020.650501</v>
      </c>
      <c r="G15" s="50">
        <v>14535960837.768</v>
      </c>
      <c r="H15" s="11">
        <f>C15/$C$33*100</f>
        <v>41.329455972548615</v>
      </c>
      <c r="I15" s="51">
        <f>D15/$D$33*100</f>
        <v>49.995483924040876</v>
      </c>
      <c r="J15" s="51">
        <f>E15/$E$33*100</f>
        <v>44.474572063419465</v>
      </c>
      <c r="K15" s="51">
        <f>F15/$F$33*100</f>
        <v>53.58247991606936</v>
      </c>
      <c r="L15" s="12">
        <f>G15/$G$33*100</f>
        <v>51.729025511935887</v>
      </c>
      <c r="M15" s="13">
        <f>((G15/F15)-1)*100</f>
        <v>9.1271800174854043</v>
      </c>
      <c r="N15" s="14" t="s">
        <v>24</v>
      </c>
    </row>
    <row r="16" spans="1:14" ht="21.75" customHeight="1">
      <c r="A16" s="38" t="s">
        <v>25</v>
      </c>
      <c r="B16" s="10">
        <v>850615153.91795635</v>
      </c>
      <c r="C16" s="10">
        <v>351898223.08999997</v>
      </c>
      <c r="D16" s="10">
        <v>802115145.903</v>
      </c>
      <c r="E16" s="10">
        <v>972994664.45899999</v>
      </c>
      <c r="F16" s="49">
        <v>999070898.00409997</v>
      </c>
      <c r="G16" s="50">
        <v>1080712329.2858</v>
      </c>
      <c r="H16" s="11">
        <f>C16/$C$33*100</f>
        <v>3.3771767565248538</v>
      </c>
      <c r="I16" s="51">
        <f>D16/$D$33*100</f>
        <v>5.1214923753139496</v>
      </c>
      <c r="J16" s="51">
        <f>E16/$E$33*100</f>
        <v>4.4180084317658856</v>
      </c>
      <c r="K16" s="51">
        <f>F16/$F$33*100</f>
        <v>4.0189102420550054</v>
      </c>
      <c r="L16" s="12">
        <f>G16/$G$33*100</f>
        <v>3.8459236562770558</v>
      </c>
      <c r="M16" s="13">
        <f>((G16/F16)-1)*100</f>
        <v>8.1717355039366844</v>
      </c>
      <c r="N16" s="15" t="s">
        <v>26</v>
      </c>
    </row>
    <row r="17" spans="1:14" ht="21.75" customHeight="1">
      <c r="A17" s="38" t="s">
        <v>27</v>
      </c>
      <c r="B17" s="10">
        <v>102523494</v>
      </c>
      <c r="C17" s="10">
        <v>8970164</v>
      </c>
      <c r="D17" s="10">
        <v>101221.35</v>
      </c>
      <c r="E17" s="10">
        <v>13885.439999999999</v>
      </c>
      <c r="F17" s="10">
        <v>0</v>
      </c>
      <c r="G17" s="10">
        <v>0</v>
      </c>
      <c r="H17" s="11">
        <f>C17/$C$33*100</f>
        <v>8.6086906313443332E-2</v>
      </c>
      <c r="I17" s="51">
        <f>D17/$D$33*100</f>
        <v>6.4629670053216459E-4</v>
      </c>
      <c r="J17" s="51">
        <f>E17/$E$33*100</f>
        <v>6.3048640696183685E-5</v>
      </c>
      <c r="K17" s="51">
        <f>F17/$F$33*100</f>
        <v>0</v>
      </c>
      <c r="L17" s="12">
        <f>G17/$G$33*100</f>
        <v>0</v>
      </c>
      <c r="M17" s="70" t="s">
        <v>0</v>
      </c>
      <c r="N17" s="15" t="s">
        <v>28</v>
      </c>
    </row>
    <row r="18" spans="1:14" ht="21.75" customHeight="1">
      <c r="A18" s="38" t="s">
        <v>29</v>
      </c>
      <c r="B18" s="10">
        <v>131065210.64999993</v>
      </c>
      <c r="C18" s="10">
        <v>67761362.219999999</v>
      </c>
      <c r="D18" s="10">
        <v>109825795.39999999</v>
      </c>
      <c r="E18" s="10">
        <v>111957151.66000003</v>
      </c>
      <c r="F18" s="49">
        <v>112220276.78819999</v>
      </c>
      <c r="G18" s="50">
        <v>96240802.679999992</v>
      </c>
      <c r="H18" s="11">
        <f>C18/$C$33*100</f>
        <v>0.6503076243761472</v>
      </c>
      <c r="I18" s="51">
        <f>D18/$D$33*100</f>
        <v>0.70123594676756007</v>
      </c>
      <c r="J18" s="51">
        <f>E18/$E$33*100</f>
        <v>0.50835596339615352</v>
      </c>
      <c r="K18" s="51">
        <f>F18/$F$33*100</f>
        <v>0.45142263742376937</v>
      </c>
      <c r="L18" s="12">
        <f>G18/$G$33*100</f>
        <v>0.34249149352326874</v>
      </c>
      <c r="M18" s="13">
        <f>((G18/F18)-1)*100</f>
        <v>-14.239382191472416</v>
      </c>
      <c r="N18" s="15" t="s">
        <v>30</v>
      </c>
    </row>
    <row r="19" spans="1:14" ht="21.75" customHeight="1">
      <c r="A19" s="38" t="s">
        <v>31</v>
      </c>
      <c r="B19" s="10">
        <v>34822119.628899999</v>
      </c>
      <c r="C19" s="10">
        <v>3933797.7640999998</v>
      </c>
      <c r="D19" s="10">
        <v>28475739.920000002</v>
      </c>
      <c r="E19" s="10">
        <v>158906185.6913</v>
      </c>
      <c r="F19" s="49">
        <v>60327482.072099999</v>
      </c>
      <c r="G19" s="50">
        <v>372052414</v>
      </c>
      <c r="H19" s="11">
        <f>C19/$C$33*100</f>
        <v>3.7752763447146509E-2</v>
      </c>
      <c r="I19" s="51">
        <f>D19/$D$33*100</f>
        <v>0.18181714386844319</v>
      </c>
      <c r="J19" s="51">
        <f>E19/$E$33*100</f>
        <v>0.72153413979332448</v>
      </c>
      <c r="K19" s="51">
        <f>F19/$F$33*100</f>
        <v>0.24267620652479202</v>
      </c>
      <c r="L19" s="12">
        <f>G19/$G$33*100</f>
        <v>1.3240204091344088</v>
      </c>
      <c r="M19" s="69" t="s">
        <v>88</v>
      </c>
      <c r="N19" s="15" t="s">
        <v>32</v>
      </c>
    </row>
    <row r="20" spans="1:14" ht="21.75" customHeight="1">
      <c r="A20" s="38" t="s">
        <v>33</v>
      </c>
      <c r="B20" s="10">
        <v>26036075.540000007</v>
      </c>
      <c r="C20" s="10">
        <v>1064712.8500000001</v>
      </c>
      <c r="D20" s="10">
        <v>37500</v>
      </c>
      <c r="E20" s="10">
        <v>0</v>
      </c>
      <c r="F20" s="10">
        <v>0</v>
      </c>
      <c r="G20" s="10">
        <v>0</v>
      </c>
      <c r="H20" s="11">
        <f>C20/$C$33*100</f>
        <v>1.0218077993743397E-2</v>
      </c>
      <c r="I20" s="51">
        <f>D20/$D$33*100</f>
        <v>2.3943690011994675E-4</v>
      </c>
      <c r="J20" s="51">
        <f>E20/$E$33*100</f>
        <v>0</v>
      </c>
      <c r="K20" s="51">
        <f>F20/$F$33*100</f>
        <v>0</v>
      </c>
      <c r="L20" s="12">
        <f>G20/$G$33*100</f>
        <v>0</v>
      </c>
      <c r="M20" s="70" t="s">
        <v>0</v>
      </c>
      <c r="N20" s="15" t="s">
        <v>34</v>
      </c>
    </row>
    <row r="21" spans="1:14" ht="21.75" customHeight="1">
      <c r="A21" s="38" t="s">
        <v>35</v>
      </c>
      <c r="B21" s="10">
        <v>306800000</v>
      </c>
      <c r="C21" s="10">
        <v>153500000</v>
      </c>
      <c r="D21" s="10">
        <v>230200000</v>
      </c>
      <c r="E21" s="10">
        <v>1956325000</v>
      </c>
      <c r="F21" s="49">
        <v>0</v>
      </c>
      <c r="G21" s="50">
        <v>306600000</v>
      </c>
      <c r="H21" s="11">
        <f>C21/$C$33*100</f>
        <v>1.4731436481109546</v>
      </c>
      <c r="I21" s="51">
        <f>D21/$D$33*100</f>
        <v>1.4698233175363129</v>
      </c>
      <c r="J21" s="51">
        <f>E21/$E$33*100</f>
        <v>8.8829473181952867</v>
      </c>
      <c r="K21" s="51">
        <f>F21/$F$33*100</f>
        <v>0</v>
      </c>
      <c r="L21" s="12">
        <f>G21/$G$33*100</f>
        <v>1.0910953461535926</v>
      </c>
      <c r="M21" s="70" t="s">
        <v>0</v>
      </c>
      <c r="N21" s="14" t="s">
        <v>36</v>
      </c>
    </row>
    <row r="22" spans="1:14" ht="21.75" customHeight="1">
      <c r="A22" s="38" t="s">
        <v>37</v>
      </c>
      <c r="B22" s="10">
        <v>5139700</v>
      </c>
      <c r="C22" s="10">
        <v>0</v>
      </c>
      <c r="D22" s="10">
        <v>6514450</v>
      </c>
      <c r="E22" s="10">
        <v>4451050</v>
      </c>
      <c r="F22" s="49">
        <v>3372000</v>
      </c>
      <c r="G22" s="50">
        <v>3988650</v>
      </c>
      <c r="H22" s="11">
        <f>C22/$C$33*100</f>
        <v>0</v>
      </c>
      <c r="I22" s="51">
        <f>D22/$D$33*100</f>
        <v>4.1594659039636987E-2</v>
      </c>
      <c r="J22" s="51">
        <f>E22/$E$33*100</f>
        <v>2.0210569644948117E-2</v>
      </c>
      <c r="K22" s="51">
        <f>F22/$F$33*100</f>
        <v>1.3564368017607759E-2</v>
      </c>
      <c r="L22" s="12">
        <f>G22/$G$33*100</f>
        <v>1.4194381775719267E-2</v>
      </c>
      <c r="M22" s="13">
        <f>((G22/F22)-1)*100</f>
        <v>18.287366548042705</v>
      </c>
      <c r="N22" s="14" t="s">
        <v>38</v>
      </c>
    </row>
    <row r="23" spans="1:14" ht="21.75" customHeight="1">
      <c r="A23" s="38" t="s">
        <v>39</v>
      </c>
      <c r="B23" s="10">
        <v>319378590</v>
      </c>
      <c r="C23" s="10">
        <v>243419160</v>
      </c>
      <c r="D23" s="10">
        <v>50155620</v>
      </c>
      <c r="E23" s="10">
        <v>7078000</v>
      </c>
      <c r="F23" s="49">
        <v>6315540</v>
      </c>
      <c r="G23" s="50">
        <v>12600500</v>
      </c>
      <c r="H23" s="11">
        <f>C23/$C$33*100</f>
        <v>2.3361002565635447</v>
      </c>
      <c r="I23" s="51">
        <f>D23/$D$33*100</f>
        <v>0.32024283137050674</v>
      </c>
      <c r="J23" s="51">
        <f>E23/$E$33*100</f>
        <v>3.2138576728399537E-2</v>
      </c>
      <c r="K23" s="51">
        <f>F23/$F$33*100</f>
        <v>2.5405192405077846E-2</v>
      </c>
      <c r="L23" s="12">
        <f>G23/$G$33*100</f>
        <v>4.4841314120053308E-2</v>
      </c>
      <c r="M23" s="13">
        <f>((G23/F23)-1)*100</f>
        <v>99.515797540669524</v>
      </c>
      <c r="N23" s="14" t="s">
        <v>40</v>
      </c>
    </row>
    <row r="24" spans="1:14" ht="21.75" customHeight="1">
      <c r="A24" s="38" t="s">
        <v>41</v>
      </c>
      <c r="B24" s="10">
        <v>17580224.899999999</v>
      </c>
      <c r="C24" s="10">
        <v>3527158</v>
      </c>
      <c r="D24" s="10">
        <v>2321504.25</v>
      </c>
      <c r="E24" s="10">
        <v>0</v>
      </c>
      <c r="F24" s="10">
        <v>0</v>
      </c>
      <c r="G24" s="10">
        <v>0</v>
      </c>
      <c r="H24" s="11">
        <f>C24/$C$33*100</f>
        <v>3.3850230642239333E-2</v>
      </c>
      <c r="I24" s="51">
        <f>D24/$D$33*100</f>
        <v>1.4822767499607516E-2</v>
      </c>
      <c r="J24" s="51">
        <f>E24/$E$33*100</f>
        <v>0</v>
      </c>
      <c r="K24" s="51">
        <f>F24/$F$33*100</f>
        <v>0</v>
      </c>
      <c r="L24" s="12">
        <f>G24/$G$33*100</f>
        <v>0</v>
      </c>
      <c r="M24" s="70" t="s">
        <v>0</v>
      </c>
      <c r="N24" s="15" t="s">
        <v>42</v>
      </c>
    </row>
    <row r="25" spans="1:14" ht="21.75" customHeight="1">
      <c r="A25" s="38" t="s">
        <v>43</v>
      </c>
      <c r="B25" s="10">
        <v>90232766.538500026</v>
      </c>
      <c r="C25" s="10">
        <v>25936275.254099999</v>
      </c>
      <c r="D25" s="10">
        <v>45717211.787999995</v>
      </c>
      <c r="E25" s="10">
        <v>54901609.490000002</v>
      </c>
      <c r="F25" s="49">
        <v>73684962.449999988</v>
      </c>
      <c r="G25" s="50">
        <v>84165885.189999983</v>
      </c>
      <c r="H25" s="11">
        <f>C25/$C$33*100</f>
        <v>0.24891113450315794</v>
      </c>
      <c r="I25" s="51">
        <f>D25/$D$33*100</f>
        <v>0.2919036659372215</v>
      </c>
      <c r="J25" s="51">
        <f>E25/$E$33*100</f>
        <v>0.24928787639262412</v>
      </c>
      <c r="K25" s="51">
        <f>F25/$F$33*100</f>
        <v>0.29640864413861456</v>
      </c>
      <c r="L25" s="12">
        <f>G25/$G$33*100</f>
        <v>0.29952056632650542</v>
      </c>
      <c r="M25" s="13">
        <f>((G25/F25)-1)*100</f>
        <v>14.223964281873624</v>
      </c>
      <c r="N25" s="15" t="s">
        <v>44</v>
      </c>
    </row>
    <row r="26" spans="1:14" ht="21.75" customHeight="1">
      <c r="A26" s="38" t="s">
        <v>45</v>
      </c>
      <c r="B26" s="10">
        <v>18077724.470000006</v>
      </c>
      <c r="C26" s="10">
        <v>9232382.6600000001</v>
      </c>
      <c r="D26" s="10">
        <v>12071836.210000001</v>
      </c>
      <c r="E26" s="10">
        <v>15441486.48</v>
      </c>
      <c r="F26" s="49">
        <v>3520675.97</v>
      </c>
      <c r="G26" s="50">
        <v>1397791.3900000001</v>
      </c>
      <c r="H26" s="11">
        <f>C26/$C$33*100</f>
        <v>8.8603425879535624E-2</v>
      </c>
      <c r="I26" s="51">
        <f>D26/$D$33*100</f>
        <v>7.7078481090083376E-2</v>
      </c>
      <c r="J26" s="51">
        <f>E26/$E$33*100</f>
        <v>7.0114071494493377E-2</v>
      </c>
      <c r="K26" s="51">
        <f>F26/$F$33*100</f>
        <v>1.4162439065192222E-2</v>
      </c>
      <c r="L26" s="12">
        <f>G26/$G$33*100</f>
        <v>4.9743107649137686E-3</v>
      </c>
      <c r="M26" s="13">
        <f>((G26/F26)-1)*100</f>
        <v>-60.297641648629195</v>
      </c>
      <c r="N26" s="15" t="s">
        <v>46</v>
      </c>
    </row>
    <row r="27" spans="1:14" ht="21.75" customHeight="1">
      <c r="A27" s="38" t="s">
        <v>47</v>
      </c>
      <c r="B27" s="10">
        <v>6136000</v>
      </c>
      <c r="C27" s="10">
        <v>0</v>
      </c>
      <c r="D27" s="10">
        <v>0</v>
      </c>
      <c r="E27" s="10">
        <v>16862000</v>
      </c>
      <c r="F27" s="49">
        <v>1530999.9999999998</v>
      </c>
      <c r="G27" s="50">
        <v>15330000</v>
      </c>
      <c r="H27" s="11">
        <f>C27/$C$33*100</f>
        <v>0</v>
      </c>
      <c r="I27" s="51">
        <f>D27/$D$33*100</f>
        <v>0</v>
      </c>
      <c r="J27" s="51">
        <f>E27/$E$33*100</f>
        <v>7.6564097314816768E-2</v>
      </c>
      <c r="K27" s="51">
        <f>F27/$F$33*100</f>
        <v>6.158673616535432E-3</v>
      </c>
      <c r="L27" s="12">
        <f>G27/$G$33*100</f>
        <v>5.4554767307679629E-2</v>
      </c>
      <c r="M27" s="69" t="s">
        <v>88</v>
      </c>
      <c r="N27" s="15" t="s">
        <v>48</v>
      </c>
    </row>
    <row r="28" spans="1:14" ht="21.75" customHeight="1">
      <c r="A28" s="38" t="s">
        <v>49</v>
      </c>
      <c r="B28" s="10">
        <v>1646551366.4556053</v>
      </c>
      <c r="C28" s="10">
        <v>702177427.79410005</v>
      </c>
      <c r="D28" s="10">
        <v>2072265268.9057002</v>
      </c>
      <c r="E28" s="10">
        <v>1921185842.3618999</v>
      </c>
      <c r="F28" s="49">
        <v>1764632124.0801997</v>
      </c>
      <c r="G28" s="50">
        <v>1883543104.6684999</v>
      </c>
      <c r="H28" s="11">
        <f>C28/$C$33*100</f>
        <v>6.7388157498486434</v>
      </c>
      <c r="I28" s="51">
        <f>D28/$D$33*100</f>
        <v>13.231380592346898</v>
      </c>
      <c r="J28" s="51">
        <f>E28/$E$33*100</f>
        <v>8.7233934168215335</v>
      </c>
      <c r="K28" s="51">
        <f>F28/$F$33*100</f>
        <v>7.0984933412564368</v>
      </c>
      <c r="L28" s="12">
        <f>G28/$G$33*100</f>
        <v>6.7029521062736119</v>
      </c>
      <c r="M28" s="13">
        <f>((G28/F28)-1)*100</f>
        <v>6.7385705476874724</v>
      </c>
      <c r="N28" s="15" t="s">
        <v>50</v>
      </c>
    </row>
    <row r="29" spans="1:14" ht="21.75" customHeight="1">
      <c r="A29" s="38" t="s">
        <v>51</v>
      </c>
      <c r="B29" s="10">
        <v>107432467.20999999</v>
      </c>
      <c r="C29" s="10">
        <v>102966321.18999998</v>
      </c>
      <c r="D29" s="10">
        <v>112957794.64</v>
      </c>
      <c r="E29" s="10">
        <v>129870432.02000001</v>
      </c>
      <c r="F29" s="49">
        <v>0</v>
      </c>
      <c r="G29" s="50">
        <v>0</v>
      </c>
      <c r="H29" s="11">
        <f>C29/$C$33*100</f>
        <v>0.98817056697329542</v>
      </c>
      <c r="I29" s="51">
        <f>D29/$D$33*100</f>
        <v>0.72123371181299023</v>
      </c>
      <c r="J29" s="51">
        <f>E29/$E$33*100</f>
        <v>0.58969353549380721</v>
      </c>
      <c r="K29" s="51">
        <f>F29/$F$33*100</f>
        <v>0</v>
      </c>
      <c r="L29" s="12">
        <f>G29/$G$33*100</f>
        <v>0</v>
      </c>
      <c r="M29" s="70" t="s">
        <v>0</v>
      </c>
      <c r="N29" s="14" t="s">
        <v>52</v>
      </c>
    </row>
    <row r="30" spans="1:14" ht="21.75" customHeight="1">
      <c r="A30" s="38" t="s">
        <v>53</v>
      </c>
      <c r="B30" s="10">
        <v>27258582.329999998</v>
      </c>
      <c r="C30" s="10">
        <v>25058472.93</v>
      </c>
      <c r="D30" s="10">
        <v>26417397.909999996</v>
      </c>
      <c r="E30" s="10">
        <v>26969076.540000003</v>
      </c>
      <c r="F30" s="49">
        <v>2469558.75</v>
      </c>
      <c r="G30" s="50">
        <v>1580250</v>
      </c>
      <c r="H30" s="11">
        <f>C30/$C$33*100</f>
        <v>0.24048684187745797</v>
      </c>
      <c r="I30" s="51">
        <f>D30/$D$33*100</f>
        <v>0.16867466306148157</v>
      </c>
      <c r="J30" s="51">
        <f>E30/$E$33*100</f>
        <v>0.12245658882097628</v>
      </c>
      <c r="K30" s="51">
        <f>F30/$F$33*100</f>
        <v>9.9341648060804841E-3</v>
      </c>
      <c r="L30" s="12">
        <f>G30/$G$33*100</f>
        <v>5.6236249861683456E-3</v>
      </c>
      <c r="M30" s="13">
        <f>((G30/F30)-1)*100</f>
        <v>-36.010835943870546</v>
      </c>
      <c r="N30" s="14" t="s">
        <v>54</v>
      </c>
    </row>
    <row r="31" spans="1:14" ht="21.75" customHeight="1">
      <c r="A31" s="38" t="s">
        <v>55</v>
      </c>
      <c r="B31" s="10">
        <v>0</v>
      </c>
      <c r="C31" s="10">
        <v>0</v>
      </c>
      <c r="D31" s="10">
        <v>325423600</v>
      </c>
      <c r="E31" s="10">
        <v>486563100</v>
      </c>
      <c r="F31" s="49">
        <v>573307350</v>
      </c>
      <c r="G31" s="50">
        <v>670932300</v>
      </c>
      <c r="H31" s="11">
        <f>C31/$C$33*100</f>
        <v>0</v>
      </c>
      <c r="I31" s="51">
        <f>D31/$D$33*100</f>
        <v>2.0778244802632932</v>
      </c>
      <c r="J31" s="51">
        <f>E31/$E$33*100</f>
        <v>2.2093028429723001</v>
      </c>
      <c r="K31" s="51">
        <f>F31/$F$33*100</f>
        <v>2.3062134883153789</v>
      </c>
      <c r="L31" s="12">
        <f>G31/$G$33*100</f>
        <v>2.3876422378151534</v>
      </c>
      <c r="M31" s="13">
        <f>((G31/F31)-1)*100</f>
        <v>17.02837928032843</v>
      </c>
      <c r="N31" s="14" t="s">
        <v>56</v>
      </c>
    </row>
    <row r="32" spans="1:14" ht="21.75" customHeight="1">
      <c r="A32" s="38" t="s">
        <v>57</v>
      </c>
      <c r="B32" s="10">
        <v>3608957.32</v>
      </c>
      <c r="C32" s="10">
        <v>456990.92</v>
      </c>
      <c r="D32" s="10">
        <v>1736169.3795000166</v>
      </c>
      <c r="E32" s="10">
        <v>7507882.6960000247</v>
      </c>
      <c r="F32" s="49">
        <v>497038016.35999995</v>
      </c>
      <c r="G32" s="50">
        <v>576824049.94700003</v>
      </c>
      <c r="H32" s="11">
        <f>C32/$C$33*100</f>
        <v>4.3857542087451552E-3</v>
      </c>
      <c r="I32" s="51">
        <f>D32/$D$33*100</f>
        <v>1.1085413714950809E-2</v>
      </c>
      <c r="J32" s="51">
        <f>E32/$E$33*100</f>
        <v>3.4090514847869451E-2</v>
      </c>
      <c r="K32" s="51">
        <f>F32/$F$33*100</f>
        <v>1.9994088293738981</v>
      </c>
      <c r="L32" s="12">
        <f>G32/$G$33*100</f>
        <v>2.0527398449009757</v>
      </c>
      <c r="M32" s="13">
        <f>((G32/F32)-1)*100</f>
        <v>16.052300017472266</v>
      </c>
      <c r="N32" s="14" t="s">
        <v>3</v>
      </c>
    </row>
    <row r="33" spans="1:41" ht="18.75">
      <c r="A33" s="16" t="s">
        <v>58</v>
      </c>
      <c r="B33" s="17">
        <f t="shared" ref="B33:G33" si="0">SUM(B8:B32)</f>
        <v>16708090963.147457</v>
      </c>
      <c r="C33" s="17">
        <f t="shared" si="0"/>
        <v>10419893551.917801</v>
      </c>
      <c r="D33" s="17">
        <f t="shared" si="0"/>
        <v>15661746364.5805</v>
      </c>
      <c r="E33" s="17">
        <f t="shared" si="0"/>
        <v>22023377263.453804</v>
      </c>
      <c r="F33" s="17">
        <f t="shared" si="0"/>
        <v>24859248846.852604</v>
      </c>
      <c r="G33" s="17">
        <f t="shared" si="0"/>
        <v>28100202340.780598</v>
      </c>
      <c r="H33" s="42">
        <f>C33/$C$33*100</f>
        <v>100</v>
      </c>
      <c r="I33" s="41">
        <f>D33/$D$33*100</f>
        <v>100</v>
      </c>
      <c r="J33" s="41">
        <f>E33/$E$33*100</f>
        <v>100</v>
      </c>
      <c r="K33" s="41">
        <f>F33/$F$33*100</f>
        <v>100</v>
      </c>
      <c r="L33" s="43">
        <f>G33/$G$33*100</f>
        <v>100</v>
      </c>
      <c r="M33" s="77">
        <f>((F33/E33)-1)*100</f>
        <v>12.876642621496215</v>
      </c>
      <c r="N33" s="18" t="s">
        <v>59</v>
      </c>
    </row>
    <row r="34" spans="1:41">
      <c r="A34" s="19" t="s">
        <v>60</v>
      </c>
      <c r="B34" s="20"/>
      <c r="C34" s="20"/>
      <c r="D34" s="20"/>
      <c r="E34" s="20"/>
      <c r="F34" s="22"/>
      <c r="G34" s="23"/>
      <c r="H34" s="22"/>
      <c r="I34" s="22"/>
      <c r="J34" s="22"/>
      <c r="K34" s="22"/>
    </row>
    <row r="35" spans="1:41">
      <c r="A35" s="3" t="s">
        <v>80</v>
      </c>
      <c r="B35" s="21"/>
      <c r="C35" s="21"/>
      <c r="D35" s="21"/>
      <c r="E35" s="21"/>
      <c r="F35" s="22"/>
      <c r="G35" s="23"/>
      <c r="H35" s="22"/>
      <c r="I35" s="22"/>
      <c r="J35" s="22"/>
      <c r="K35" s="22"/>
    </row>
    <row r="36" spans="1:41">
      <c r="A36" s="3" t="s">
        <v>61</v>
      </c>
      <c r="B36" s="24"/>
      <c r="C36" s="24"/>
      <c r="D36" s="24"/>
      <c r="E36" s="24"/>
      <c r="F36" s="25"/>
      <c r="G36" s="25"/>
      <c r="H36" s="25"/>
      <c r="I36" s="25"/>
      <c r="J36" s="25"/>
      <c r="K36" s="25"/>
    </row>
    <row r="37" spans="1:41">
      <c r="A37" s="3" t="s">
        <v>62</v>
      </c>
      <c r="B37" s="26"/>
      <c r="C37" s="26"/>
      <c r="D37" s="26"/>
      <c r="E37" s="26"/>
      <c r="F37" s="27"/>
      <c r="G37" s="27"/>
      <c r="H37" s="27"/>
      <c r="I37" s="27"/>
      <c r="J37" s="27"/>
      <c r="K37" s="27"/>
    </row>
    <row r="38" spans="1:41">
      <c r="A38" s="3" t="s">
        <v>63</v>
      </c>
      <c r="B38" s="26"/>
      <c r="C38" s="26"/>
      <c r="D38" s="26"/>
      <c r="E38" s="26"/>
      <c r="F38" s="27"/>
      <c r="G38" s="27"/>
      <c r="H38" s="27"/>
      <c r="I38" s="27"/>
      <c r="J38" s="27"/>
      <c r="K38" s="27"/>
    </row>
    <row r="39" spans="1:41">
      <c r="A39" s="66" t="s">
        <v>81</v>
      </c>
      <c r="B39" s="66"/>
      <c r="C39" s="66"/>
      <c r="D39" s="66"/>
      <c r="E39" s="66"/>
      <c r="F39" s="66"/>
      <c r="G39" s="66"/>
      <c r="H39" s="66"/>
      <c r="I39" s="66"/>
      <c r="J39" s="66"/>
      <c r="K39" s="66"/>
    </row>
    <row r="40" spans="1:41">
      <c r="A40" s="67" t="s">
        <v>64</v>
      </c>
      <c r="B40" s="67"/>
      <c r="C40" s="67"/>
      <c r="D40" s="67"/>
      <c r="E40" s="67"/>
      <c r="F40" s="67"/>
      <c r="G40" s="67"/>
      <c r="H40" s="67"/>
      <c r="I40" s="67"/>
      <c r="J40" s="67"/>
      <c r="K40" s="67"/>
    </row>
    <row r="41" spans="1:41">
      <c r="A41" s="56" t="s">
        <v>65</v>
      </c>
      <c r="B41" s="56"/>
      <c r="C41" s="56"/>
      <c r="D41" s="56"/>
      <c r="E41" s="56"/>
      <c r="F41" s="56"/>
      <c r="G41" s="56"/>
      <c r="H41" s="56"/>
      <c r="I41" s="56"/>
      <c r="J41" s="56"/>
      <c r="K41" s="56"/>
    </row>
    <row r="42" spans="1:41">
      <c r="A42" s="56" t="s">
        <v>66</v>
      </c>
      <c r="B42" s="56"/>
      <c r="C42" s="56"/>
      <c r="D42" s="56"/>
      <c r="E42" s="56"/>
      <c r="F42" s="56"/>
      <c r="G42" s="56"/>
      <c r="H42" s="56"/>
      <c r="I42" s="56"/>
      <c r="J42" s="56"/>
      <c r="K42" s="56"/>
    </row>
    <row r="43" spans="1:41">
      <c r="A43" s="56" t="s">
        <v>67</v>
      </c>
      <c r="B43" s="56"/>
      <c r="C43" s="56"/>
      <c r="D43" s="56"/>
      <c r="E43" s="56"/>
      <c r="F43" s="56"/>
      <c r="G43" s="56"/>
      <c r="H43" s="56"/>
      <c r="I43" s="56"/>
      <c r="J43" s="56"/>
      <c r="K43" s="56"/>
    </row>
    <row r="44" spans="1:41">
      <c r="A44" s="56" t="s">
        <v>68</v>
      </c>
      <c r="B44" s="56"/>
      <c r="C44" s="56"/>
      <c r="D44" s="56"/>
      <c r="E44" s="56"/>
      <c r="F44" s="56"/>
      <c r="G44" s="56"/>
      <c r="H44" s="56"/>
      <c r="I44" s="56"/>
      <c r="J44" s="56"/>
      <c r="K44" s="56"/>
    </row>
    <row r="45" spans="1:41" ht="48" customHeight="1">
      <c r="B45" s="44"/>
      <c r="C45" s="44"/>
      <c r="D45" s="52" t="s">
        <v>70</v>
      </c>
      <c r="E45" s="52"/>
      <c r="F45" s="52"/>
      <c r="G45" s="52"/>
      <c r="H45" s="52"/>
      <c r="I45" s="52"/>
      <c r="J45" s="52"/>
      <c r="K45" s="52"/>
      <c r="L45" s="52"/>
      <c r="M45" s="52"/>
      <c r="N45" s="52"/>
      <c r="O45" s="30">
        <v>1</v>
      </c>
    </row>
    <row r="46" spans="1:41" ht="18.75" customHeight="1">
      <c r="A46" s="45"/>
      <c r="B46" s="45"/>
      <c r="C46" s="45"/>
      <c r="D46" s="45"/>
      <c r="E46" s="45"/>
      <c r="F46" s="45"/>
      <c r="G46" s="45"/>
      <c r="H46" s="46"/>
      <c r="I46" s="46"/>
      <c r="J46" s="46"/>
      <c r="K46" s="46"/>
      <c r="N46" s="28" t="s">
        <v>71</v>
      </c>
      <c r="O46" s="30">
        <v>2</v>
      </c>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row>
    <row r="47" spans="1:41" ht="15" customHeight="1">
      <c r="A47" s="45"/>
      <c r="B47" s="4"/>
      <c r="C47" s="4"/>
      <c r="D47" s="4"/>
      <c r="E47" s="4"/>
      <c r="F47" s="4"/>
      <c r="G47" s="4"/>
      <c r="H47" s="4"/>
      <c r="I47" s="4"/>
      <c r="J47" s="4"/>
      <c r="K47" s="4"/>
      <c r="N47" s="46" t="s">
        <v>72</v>
      </c>
      <c r="O47" s="32">
        <v>3</v>
      </c>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row>
    <row r="48" spans="1:41" ht="18.75" customHeight="1">
      <c r="A48" s="34" t="s">
        <v>75</v>
      </c>
      <c r="B48" s="4"/>
      <c r="C48" s="4"/>
      <c r="D48" s="4"/>
      <c r="E48" s="4"/>
      <c r="F48" s="4"/>
      <c r="G48" s="4"/>
      <c r="H48" s="4"/>
      <c r="I48" s="4"/>
      <c r="J48" s="4"/>
      <c r="K48" s="4"/>
      <c r="N48" s="46" t="s">
        <v>73</v>
      </c>
      <c r="O48" s="32">
        <v>4</v>
      </c>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row>
    <row r="49" spans="1:41" ht="18.75" customHeight="1">
      <c r="A49" s="34" t="s">
        <v>76</v>
      </c>
      <c r="B49" s="4"/>
      <c r="C49" s="4"/>
      <c r="D49" s="4"/>
      <c r="E49" s="4"/>
      <c r="F49" s="4"/>
      <c r="G49" s="4"/>
      <c r="H49" s="4"/>
      <c r="I49" s="4"/>
      <c r="J49" s="4"/>
      <c r="K49" s="4"/>
      <c r="N49" s="46" t="s">
        <v>74</v>
      </c>
      <c r="O49" s="32">
        <v>5</v>
      </c>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row>
    <row r="50" spans="1:41" ht="18.75" customHeight="1">
      <c r="A50" s="48" t="s">
        <v>82</v>
      </c>
      <c r="B50" s="4"/>
      <c r="C50" s="4"/>
      <c r="D50" s="4"/>
      <c r="E50" s="4"/>
      <c r="F50" s="4"/>
      <c r="G50" s="4"/>
      <c r="H50" s="4"/>
      <c r="I50" s="4"/>
      <c r="J50" s="4"/>
      <c r="K50" s="4"/>
      <c r="Q50" s="33"/>
      <c r="R50" s="33"/>
      <c r="S50" s="33"/>
      <c r="T50" s="33"/>
      <c r="U50" s="33"/>
      <c r="V50" s="33"/>
      <c r="W50" s="33"/>
      <c r="X50" s="33"/>
      <c r="Y50" s="33"/>
      <c r="Z50" s="33"/>
      <c r="AA50" s="33"/>
      <c r="AB50" s="33"/>
      <c r="AC50" s="33"/>
      <c r="AE50" s="46"/>
      <c r="AF50" s="46"/>
      <c r="AG50" s="46"/>
      <c r="AH50" s="46"/>
      <c r="AI50" s="46"/>
      <c r="AJ50" s="46"/>
      <c r="AK50" s="46"/>
      <c r="AL50" s="46"/>
      <c r="AM50" s="46"/>
      <c r="AN50" s="46"/>
      <c r="AO50" s="46"/>
    </row>
    <row r="51" spans="1:41">
      <c r="A51" s="34" t="s">
        <v>83</v>
      </c>
      <c r="B51" s="4"/>
      <c r="C51" s="4"/>
      <c r="D51" s="4"/>
      <c r="E51" s="4"/>
      <c r="F51" s="4"/>
      <c r="G51" s="4"/>
      <c r="H51" s="4"/>
      <c r="I51" s="4"/>
      <c r="J51" s="4"/>
      <c r="K51" s="4"/>
    </row>
    <row r="52" spans="1:41" ht="18.75" customHeight="1">
      <c r="A52" s="3" t="s">
        <v>84</v>
      </c>
      <c r="B52" s="31"/>
      <c r="C52" s="31"/>
      <c r="D52" s="31"/>
      <c r="E52" s="31"/>
      <c r="F52" s="31"/>
      <c r="G52" s="31"/>
      <c r="H52" s="31"/>
      <c r="I52" s="31"/>
      <c r="J52" s="31"/>
      <c r="K52" s="31"/>
      <c r="Q52" s="36"/>
      <c r="R52" s="36"/>
      <c r="S52" s="36"/>
      <c r="T52" s="36"/>
      <c r="U52" s="36"/>
      <c r="V52" s="36"/>
      <c r="W52" s="36"/>
      <c r="X52" s="36"/>
      <c r="Y52" s="36"/>
      <c r="Z52" s="36"/>
      <c r="AA52" s="36"/>
      <c r="AB52" s="36"/>
      <c r="AC52" s="36"/>
      <c r="AE52" s="47"/>
      <c r="AF52" s="47"/>
      <c r="AG52" s="47"/>
      <c r="AH52" s="47"/>
      <c r="AI52" s="47"/>
      <c r="AJ52" s="47"/>
      <c r="AK52" s="47"/>
      <c r="AL52" s="47"/>
      <c r="AM52" s="47"/>
      <c r="AN52" s="47"/>
      <c r="AO52" s="47"/>
    </row>
    <row r="53" spans="1:41">
      <c r="A53" s="34" t="s">
        <v>85</v>
      </c>
      <c r="B53" s="4"/>
      <c r="C53" s="4"/>
      <c r="D53" s="4"/>
      <c r="E53" s="4"/>
      <c r="F53" s="4"/>
      <c r="G53" s="4"/>
      <c r="H53" s="4"/>
      <c r="I53" s="4"/>
      <c r="J53" s="4"/>
      <c r="K53" s="4"/>
    </row>
    <row r="54" spans="1:41">
      <c r="A54" s="2" t="s">
        <v>1</v>
      </c>
      <c r="B54" s="4"/>
      <c r="C54" s="4"/>
      <c r="D54" s="4"/>
      <c r="E54" s="4"/>
      <c r="F54" s="4"/>
      <c r="G54" s="4"/>
      <c r="H54" s="4"/>
      <c r="I54" s="4"/>
      <c r="J54" s="4"/>
      <c r="K54" s="4"/>
    </row>
    <row r="55" spans="1:41">
      <c r="A55" s="29" t="s">
        <v>69</v>
      </c>
      <c r="B55" s="4"/>
      <c r="C55" s="4"/>
      <c r="D55" s="4"/>
      <c r="E55" s="4"/>
      <c r="F55" s="4"/>
      <c r="G55" s="4"/>
      <c r="H55" s="4"/>
      <c r="I55" s="4"/>
      <c r="J55" s="4"/>
      <c r="K55" s="4"/>
    </row>
    <row r="56" spans="1:41">
      <c r="A56" s="4"/>
      <c r="B56" s="4"/>
      <c r="C56" s="4"/>
      <c r="D56" s="4"/>
      <c r="E56" s="4"/>
      <c r="F56" s="4"/>
      <c r="G56" s="4"/>
      <c r="H56" s="4"/>
      <c r="I56" s="4"/>
      <c r="J56" s="4"/>
      <c r="K56" s="4"/>
    </row>
    <row r="57" spans="1:41">
      <c r="A57" s="4"/>
      <c r="B57" s="4"/>
      <c r="C57" s="4"/>
      <c r="D57" s="4"/>
      <c r="E57" s="4"/>
      <c r="F57" s="4"/>
      <c r="G57" s="4"/>
      <c r="H57" s="4"/>
      <c r="I57" s="4"/>
      <c r="J57" s="4"/>
      <c r="K57" s="4"/>
    </row>
    <row r="58" spans="1:41">
      <c r="A58" s="4"/>
      <c r="B58" s="4"/>
      <c r="C58" s="4"/>
      <c r="D58" s="4"/>
      <c r="E58" s="4"/>
      <c r="F58" s="4"/>
      <c r="G58" s="4"/>
      <c r="H58" s="4"/>
      <c r="I58" s="4"/>
      <c r="J58" s="4"/>
      <c r="K58" s="4"/>
    </row>
    <row r="59" spans="1:41">
      <c r="A59" s="4"/>
      <c r="B59" s="4"/>
      <c r="C59" s="4"/>
      <c r="D59" s="4"/>
      <c r="E59" s="4"/>
      <c r="F59" s="4"/>
      <c r="G59" s="4"/>
      <c r="H59" s="4"/>
      <c r="I59" s="4"/>
      <c r="J59" s="4"/>
      <c r="K59" s="4"/>
    </row>
    <row r="60" spans="1:41">
      <c r="A60" s="4"/>
      <c r="B60" s="4"/>
      <c r="C60" s="4"/>
      <c r="D60" s="4"/>
      <c r="E60" s="4"/>
      <c r="F60" s="4"/>
      <c r="G60" s="4"/>
      <c r="H60" s="4"/>
      <c r="I60" s="4"/>
      <c r="J60" s="4"/>
      <c r="K60" s="4"/>
    </row>
    <row r="61" spans="1:41">
      <c r="A61" s="4"/>
      <c r="B61" s="4"/>
      <c r="C61" s="4"/>
      <c r="D61" s="4"/>
      <c r="E61" s="4"/>
      <c r="F61" s="4"/>
      <c r="G61" s="4"/>
      <c r="H61" s="4"/>
      <c r="I61" s="4"/>
      <c r="J61" s="4"/>
      <c r="K61" s="4"/>
    </row>
    <row r="62" spans="1:41">
      <c r="A62" s="4"/>
      <c r="B62" s="4"/>
      <c r="C62" s="4"/>
      <c r="D62" s="4"/>
      <c r="E62" s="4"/>
      <c r="F62" s="4"/>
      <c r="G62" s="4"/>
      <c r="H62" s="4"/>
      <c r="I62" s="4"/>
      <c r="J62" s="4"/>
      <c r="K62" s="4"/>
    </row>
    <row r="63" spans="1:41">
      <c r="A63" s="4"/>
      <c r="B63" s="4"/>
      <c r="C63" s="4"/>
      <c r="D63" s="4"/>
      <c r="E63" s="4"/>
      <c r="F63" s="4"/>
      <c r="G63" s="4"/>
      <c r="H63" s="4"/>
      <c r="I63" s="4"/>
      <c r="J63" s="4"/>
      <c r="K63" s="4"/>
    </row>
    <row r="64" spans="1:41">
      <c r="A64" s="4"/>
      <c r="B64" s="4"/>
      <c r="C64" s="4"/>
      <c r="D64" s="4"/>
      <c r="E64" s="4"/>
      <c r="F64" s="4"/>
      <c r="G64" s="4"/>
      <c r="H64" s="4"/>
      <c r="I64" s="4"/>
      <c r="J64" s="4"/>
      <c r="K64" s="4"/>
    </row>
    <row r="65" spans="1:11">
      <c r="A65" s="4"/>
      <c r="B65" s="35"/>
      <c r="C65" s="35"/>
      <c r="D65" s="35"/>
      <c r="E65" s="35"/>
      <c r="F65" s="35"/>
      <c r="G65" s="35"/>
      <c r="H65" s="35"/>
      <c r="I65" s="35"/>
      <c r="J65" s="35"/>
      <c r="K65" s="35"/>
    </row>
    <row r="66" spans="1:11">
      <c r="A66" s="35"/>
      <c r="B66" s="35"/>
      <c r="C66" s="35"/>
      <c r="D66" s="35"/>
      <c r="E66" s="35"/>
      <c r="F66" s="35"/>
      <c r="G66" s="35"/>
      <c r="H66" s="35"/>
      <c r="I66" s="35"/>
      <c r="J66" s="35"/>
      <c r="K66" s="35"/>
    </row>
    <row r="67" spans="1:11">
      <c r="A67" s="35"/>
    </row>
  </sheetData>
  <mergeCells count="15">
    <mergeCell ref="B6:G6"/>
    <mergeCell ref="H5:L5"/>
    <mergeCell ref="H6:L6"/>
    <mergeCell ref="D45:N45"/>
    <mergeCell ref="A5:A7"/>
    <mergeCell ref="A44:K44"/>
    <mergeCell ref="A1:N1"/>
    <mergeCell ref="A2:N2"/>
    <mergeCell ref="N5:N7"/>
    <mergeCell ref="A39:K39"/>
    <mergeCell ref="A40:K40"/>
    <mergeCell ref="A41:K41"/>
    <mergeCell ref="A42:K42"/>
    <mergeCell ref="A43:K43"/>
    <mergeCell ref="B5:G5"/>
  </mergeCells>
  <pageMargins left="0.7" right="0.7" top="0.75" bottom="0.75" header="0.3" footer="0.3"/>
  <pageSetup scale="42" orientation="portrait" r:id="rId1"/>
  <colBreaks count="1" manualBreakCount="1">
    <brk id="15" max="1048575" man="1"/>
  </colBreaks>
  <ignoredErrors>
    <ignoredError sqref="C33:G33 H33:N33" formulaRange="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7DC9D39BAE724F85A1474AC8C92FD3" ma:contentTypeVersion="12" ma:contentTypeDescription="Create a new document." ma:contentTypeScope="" ma:versionID="ddf961073f13a059aafd10dd57e81137">
  <xsd:schema xmlns:xsd="http://www.w3.org/2001/XMLSchema" xmlns:xs="http://www.w3.org/2001/XMLSchema" xmlns:p="http://schemas.microsoft.com/office/2006/metadata/properties" xmlns:ns3="1593d9c1-a9f6-478d-a576-b0943b39c604" xmlns:ns4="1916c6aa-fa20-4fca-8349-5fbeea1bc483" targetNamespace="http://schemas.microsoft.com/office/2006/metadata/properties" ma:root="true" ma:fieldsID="f7905aefecda01ffe934984932a8a6d2" ns3:_="" ns4:_="">
    <xsd:import namespace="1593d9c1-a9f6-478d-a576-b0943b39c604"/>
    <xsd:import namespace="1916c6aa-fa20-4fca-8349-5fbeea1bc48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93d9c1-a9f6-478d-a576-b0943b39c60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16c6aa-fa20-4fca-8349-5fbeea1bc48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8C741E-629C-40C3-A399-FDE3A4E33E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93d9c1-a9f6-478d-a576-b0943b39c604"/>
    <ds:schemaRef ds:uri="1916c6aa-fa20-4fca-8349-5fbeea1bc4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650295-2D2D-4185-9F87-A8013C75F15B}">
  <ds:schemaRefs>
    <ds:schemaRef ds:uri="http://purl.org/dc/terms/"/>
    <ds:schemaRef ds:uri="1593d9c1-a9f6-478d-a576-b0943b39c604"/>
    <ds:schemaRef ds:uri="http://schemas.microsoft.com/office/infopath/2007/PartnerControls"/>
    <ds:schemaRef ds:uri="http://www.w3.org/XML/1998/namespace"/>
    <ds:schemaRef ds:uri="http://purl.org/dc/elements/1.1/"/>
    <ds:schemaRef ds:uri="1916c6aa-fa20-4fca-8349-5fbeea1bc483"/>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EB4048A6-D847-4D7F-8D3A-6E928B052D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13.11</vt:lpstr>
      <vt:lpstr>'13.11'!Print_Area</vt:lpstr>
    </vt:vector>
  </TitlesOfParts>
  <Manager/>
  <Company>Department of National Planning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f.shifaza</dc:creator>
  <cp:keywords/>
  <dc:description/>
  <cp:lastModifiedBy>Fathimath Shifaza</cp:lastModifiedBy>
  <cp:revision/>
  <cp:lastPrinted>2025-07-17T03:45:18Z</cp:lastPrinted>
  <dcterms:created xsi:type="dcterms:W3CDTF">2014-03-06T08:38:12Z</dcterms:created>
  <dcterms:modified xsi:type="dcterms:W3CDTF">2025-07-17T03:45:25Z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0x010100707DC9D39BAE724F85A1474AC8C92FD3</vt:lpwstr>
  </property>
</Properties>
</file>