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87CB6DFD-8FD1-4F13-A89E-317C19CCC07D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6" sheetId="33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'13.6'!$A$1:$Y$114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0" i="33" l="1"/>
  <c r="Y50" i="33" l="1"/>
  <c r="X50" i="33"/>
  <c r="W50" i="33"/>
  <c r="V50" i="33"/>
  <c r="T50" i="33"/>
  <c r="S50" i="33"/>
  <c r="Y13" i="33"/>
  <c r="X13" i="33"/>
  <c r="W13" i="33"/>
  <c r="V13" i="33"/>
  <c r="U13" i="33"/>
  <c r="T13" i="33"/>
  <c r="S13" i="33"/>
  <c r="V9" i="33" l="1"/>
  <c r="X9" i="33"/>
  <c r="S9" i="33" l="1"/>
  <c r="T9" i="33"/>
  <c r="Y9" i="33"/>
  <c r="U9" i="33"/>
  <c r="W9" i="33"/>
  <c r="R9" i="33" l="1"/>
</calcChain>
</file>

<file path=xl/sharedStrings.xml><?xml version="1.0" encoding="utf-8"?>
<sst xmlns="http://schemas.openxmlformats.org/spreadsheetml/2006/main" count="1097" uniqueCount="110">
  <si>
    <t>Particulars</t>
  </si>
  <si>
    <t>Actual</t>
  </si>
  <si>
    <t xml:space="preserve">Approved </t>
  </si>
  <si>
    <t>-</t>
  </si>
  <si>
    <t>Other</t>
  </si>
  <si>
    <t>(In million Rufiyaa)</t>
  </si>
  <si>
    <t>Total grants</t>
  </si>
  <si>
    <t xml:space="preserve">  Current</t>
  </si>
  <si>
    <t xml:space="preserve">  Capital</t>
  </si>
  <si>
    <t>Bilateral</t>
  </si>
  <si>
    <t>America</t>
  </si>
  <si>
    <t>Australia</t>
  </si>
  <si>
    <t>Abu Dhabi</t>
  </si>
  <si>
    <t>Brunei</t>
  </si>
  <si>
    <t>Canada</t>
  </si>
  <si>
    <t>China</t>
  </si>
  <si>
    <t>Denmark</t>
  </si>
  <si>
    <t>Finland</t>
  </si>
  <si>
    <t>Germany</t>
  </si>
  <si>
    <t>India</t>
  </si>
  <si>
    <t>Italy</t>
  </si>
  <si>
    <t>Japan</t>
  </si>
  <si>
    <t>Kuwait</t>
  </si>
  <si>
    <t>Kuwait Fund</t>
  </si>
  <si>
    <t>Libya</t>
  </si>
  <si>
    <t>Norway</t>
  </si>
  <si>
    <t>Pakistan</t>
  </si>
  <si>
    <t>Qatar</t>
  </si>
  <si>
    <t>Saudi Arabia</t>
  </si>
  <si>
    <t>Saudi Fund</t>
  </si>
  <si>
    <t>South Korea</t>
  </si>
  <si>
    <t>Sri lanka</t>
  </si>
  <si>
    <t>Sweden</t>
  </si>
  <si>
    <t>Thailand</t>
  </si>
  <si>
    <t xml:space="preserve">Turkey </t>
  </si>
  <si>
    <t>United Arab Emirates</t>
  </si>
  <si>
    <t>Multilateral</t>
  </si>
  <si>
    <t>ADB</t>
  </si>
  <si>
    <t>ASDB</t>
  </si>
  <si>
    <t>AFPPD</t>
  </si>
  <si>
    <t xml:space="preserve">Common Wealth </t>
  </si>
  <si>
    <t>Caritas Italiana</t>
  </si>
  <si>
    <t>FAO</t>
  </si>
  <si>
    <t>FBO</t>
  </si>
  <si>
    <t xml:space="preserve">FIDA </t>
  </si>
  <si>
    <t>Fund Raising Activities</t>
  </si>
  <si>
    <t>GEF</t>
  </si>
  <si>
    <t>Global Fund</t>
  </si>
  <si>
    <t>IDA</t>
  </si>
  <si>
    <t>IDB</t>
  </si>
  <si>
    <t>IFAD</t>
  </si>
  <si>
    <t>IMF</t>
  </si>
  <si>
    <t>IPU</t>
  </si>
  <si>
    <t>IUTL</t>
  </si>
  <si>
    <t>LBO</t>
  </si>
  <si>
    <t>NGO</t>
  </si>
  <si>
    <t>OECD</t>
  </si>
  <si>
    <t>OFID</t>
  </si>
  <si>
    <t>PRC</t>
  </si>
  <si>
    <t>SAARC</t>
  </si>
  <si>
    <t>UNFCCC</t>
  </si>
  <si>
    <t>UNDP</t>
  </si>
  <si>
    <t>UNEP</t>
  </si>
  <si>
    <t>UNESCAP</t>
  </si>
  <si>
    <t>UNESCO</t>
  </si>
  <si>
    <t>UNES</t>
  </si>
  <si>
    <t>UNFPA</t>
  </si>
  <si>
    <t>UNICEF</t>
  </si>
  <si>
    <t>UNIDO</t>
  </si>
  <si>
    <t>UNITAR</t>
  </si>
  <si>
    <t>UNODC</t>
  </si>
  <si>
    <t>UNOPS</t>
  </si>
  <si>
    <t>UNSD</t>
  </si>
  <si>
    <t>WHO</t>
  </si>
  <si>
    <t>WORLD BANK</t>
  </si>
  <si>
    <t>WTO</t>
  </si>
  <si>
    <t xml:space="preserve">   1/  Includes grants in-kind but excludes direct expenditure by donors.</t>
  </si>
  <si>
    <t>CDP</t>
  </si>
  <si>
    <t>Others</t>
  </si>
  <si>
    <t>Netherlands</t>
  </si>
  <si>
    <t>USAID</t>
  </si>
  <si>
    <t>France</t>
  </si>
  <si>
    <t>New Zealand</t>
  </si>
  <si>
    <t>Oman</t>
  </si>
  <si>
    <t>United Kingdom</t>
  </si>
  <si>
    <t>Vietnam</t>
  </si>
  <si>
    <t>Government Sectors</t>
  </si>
  <si>
    <t>AGFUND</t>
  </si>
  <si>
    <t>EEC</t>
  </si>
  <si>
    <t>Green Climate Fund</t>
  </si>
  <si>
    <t>Tsunami Assistance</t>
  </si>
  <si>
    <t>Interpol</t>
  </si>
  <si>
    <t xml:space="preserve">ISESCO </t>
  </si>
  <si>
    <t>SDF</t>
  </si>
  <si>
    <t>Saudi Prince</t>
  </si>
  <si>
    <t>British Council</t>
  </si>
  <si>
    <t>Asian Football Federation</t>
  </si>
  <si>
    <t>UNOP</t>
  </si>
  <si>
    <t>Bangladesh</t>
  </si>
  <si>
    <t>TABLE 7.  FOREIGN GRANTS BY PRINCIPAL DONORS, 2004- 2027</t>
  </si>
  <si>
    <t>AECD</t>
  </si>
  <si>
    <t>ILO</t>
  </si>
  <si>
    <t>ICPO</t>
  </si>
  <si>
    <t>JICA</t>
  </si>
  <si>
    <t>APF</t>
  </si>
  <si>
    <t>EU</t>
  </si>
  <si>
    <t>GCF</t>
  </si>
  <si>
    <t>NLD</t>
  </si>
  <si>
    <t xml:space="preserve">   Source: Ministry of Finance and Planning</t>
  </si>
  <si>
    <t xml:space="preserve">   2/ Data reflects Grant funded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</si>
</sst>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9" formatCode="0.0"/>
    <numFmt numFmtId="170" formatCode="#,##0.00\ ;&quot; (&quot;#,##0.00\);&quot; -&quot;#\ ;@\ "/>
    <numFmt numFmtId="171" formatCode="_(* #,##0.0_);_(* \(#,##0.0\);_(* &quot;-&quot;?_);_(@_)"/>
    <numFmt numFmtId="172" formatCode="#,##0.0_);\(#,##0.0\)"/>
    <numFmt numFmtId="174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9" fontId="12" fillId="0" borderId="0"/>
    <xf numFmtId="4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15" fillId="0" borderId="0"/>
    <xf numFmtId="1" fontId="16" fillId="0" borderId="6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3" fillId="0" borderId="0"/>
    <xf numFmtId="40" fontId="13" fillId="0" borderId="0" applyFont="0" applyFill="0" applyBorder="0" applyAlignment="0" applyProtection="0"/>
    <xf numFmtId="0" fontId="13" fillId="0" borderId="0"/>
    <xf numFmtId="0" fontId="2" fillId="0" borderId="0"/>
    <xf numFmtId="1" fontId="16" fillId="0" borderId="6" applyNumberFormat="0"/>
    <xf numFmtId="0" fontId="1" fillId="0" borderId="0"/>
    <xf numFmtId="0" fontId="13" fillId="0" borderId="0"/>
    <xf numFmtId="0" fontId="6" fillId="0" borderId="0" applyFill="0" applyProtection="0"/>
    <xf numFmtId="1" fontId="16" fillId="0" borderId="6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3" fillId="0" borderId="0"/>
    <xf numFmtId="0" fontId="6" fillId="0" borderId="0" applyFill="0" applyProtection="0"/>
  </cellStyleXfs>
  <cellXfs count="38">
    <xf numFmtId="0" fontId="0" fillId="0" borderId="0" xfId="0"/>
    <xf numFmtId="172" fontId="8" fillId="2" borderId="0" xfId="11" applyNumberFormat="1" applyFont="1" applyFill="1" applyBorder="1" applyAlignment="1">
      <alignment horizontal="center" vertical="center"/>
    </xf>
    <xf numFmtId="172" fontId="8" fillId="2" borderId="0" xfId="11" applyNumberFormat="1" applyFont="1" applyFill="1" applyBorder="1" applyAlignment="1">
      <alignment vertical="center"/>
    </xf>
    <xf numFmtId="0" fontId="8" fillId="2" borderId="2" xfId="11" applyNumberFormat="1" applyFont="1" applyFill="1" applyBorder="1" applyAlignment="1" applyProtection="1">
      <alignment horizontal="right" vertical="center"/>
    </xf>
    <xf numFmtId="172" fontId="8" fillId="2" borderId="1" xfId="11" applyNumberFormat="1" applyFont="1" applyFill="1" applyBorder="1" applyAlignment="1">
      <alignment horizontal="right" vertical="center"/>
    </xf>
    <xf numFmtId="171" fontId="8" fillId="2" borderId="0" xfId="11" applyNumberFormat="1" applyFont="1" applyFill="1" applyBorder="1" applyAlignment="1">
      <alignment vertical="center"/>
    </xf>
    <xf numFmtId="0" fontId="0" fillId="2" borderId="0" xfId="0" applyFill="1"/>
    <xf numFmtId="172" fontId="0" fillId="2" borderId="0" xfId="11" applyNumberFormat="1" applyFont="1" applyFill="1" applyBorder="1" applyAlignment="1">
      <alignment horizontal="centerContinuous" vertical="center"/>
    </xf>
    <xf numFmtId="172" fontId="0" fillId="2" borderId="0" xfId="11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72" fontId="0" fillId="2" borderId="0" xfId="11" applyNumberFormat="1" applyFont="1" applyFill="1" applyBorder="1" applyAlignment="1">
      <alignment horizontal="right" vertical="center"/>
    </xf>
    <xf numFmtId="171" fontId="0" fillId="2" borderId="0" xfId="11" applyNumberFormat="1" applyFont="1" applyFill="1" applyBorder="1" applyAlignment="1">
      <alignment horizontal="right" vertical="center"/>
    </xf>
    <xf numFmtId="171" fontId="0" fillId="2" borderId="0" xfId="11" applyNumberFormat="1" applyFont="1" applyFill="1" applyBorder="1" applyAlignment="1">
      <alignment vertical="center"/>
    </xf>
    <xf numFmtId="0" fontId="8" fillId="2" borderId="0" xfId="0" applyFont="1" applyFill="1" applyAlignment="1">
      <alignment horizontal="left" vertical="center" indent="1"/>
    </xf>
    <xf numFmtId="0" fontId="8" fillId="2" borderId="2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172" fontId="0" fillId="2" borderId="1" xfId="11" applyNumberFormat="1" applyFont="1" applyFill="1" applyBorder="1" applyAlignment="1">
      <alignment horizontal="right" vertical="center"/>
    </xf>
    <xf numFmtId="171" fontId="0" fillId="2" borderId="1" xfId="1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43" fontId="0" fillId="2" borderId="0" xfId="1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172" fontId="8" fillId="2" borderId="2" xfId="11" applyNumberFormat="1" applyFont="1" applyFill="1" applyBorder="1" applyAlignment="1">
      <alignment horizontal="center" vertical="center"/>
    </xf>
    <xf numFmtId="172" fontId="0" fillId="2" borderId="3" xfId="11" applyNumberFormat="1" applyFont="1" applyFill="1" applyBorder="1" applyAlignment="1">
      <alignment vertical="center"/>
    </xf>
    <xf numFmtId="43" fontId="0" fillId="2" borderId="0" xfId="1" applyFont="1" applyFill="1"/>
    <xf numFmtId="0" fontId="0" fillId="2" borderId="0" xfId="0" applyFill="1" applyAlignment="1">
      <alignment horizontal="centerContinuous" vertical="center"/>
    </xf>
    <xf numFmtId="0" fontId="0" fillId="2" borderId="0" xfId="0" applyFill="1" applyAlignment="1">
      <alignment vertical="center"/>
    </xf>
    <xf numFmtId="1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 indent="1"/>
    </xf>
    <xf numFmtId="11" fontId="0" fillId="2" borderId="0" xfId="0" applyNumberFormat="1" applyFill="1"/>
    <xf numFmtId="0" fontId="0" fillId="2" borderId="0" xfId="0" applyFill="1" applyAlignment="1">
      <alignment horizontal="left" vertical="center" indent="2"/>
    </xf>
    <xf numFmtId="0" fontId="0" fillId="2" borderId="1" xfId="0" applyFill="1" applyBorder="1" applyAlignment="1">
      <alignment horizontal="left" vertical="center" indent="2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6">
    <cellStyle name="1" xfId="26" xr:uid="{00000000-0005-0000-0000-000000000000}"/>
    <cellStyle name="Comma" xfId="1" builtinId="3"/>
    <cellStyle name="Comma 12" xfId="21" xr:uid="{00000000-0005-0000-0000-000002000000}"/>
    <cellStyle name="Comma 2" xfId="5" xr:uid="{00000000-0005-0000-0000-000003000000}"/>
    <cellStyle name="Comma 2 2" xfId="40" xr:uid="{00000000-0005-0000-0000-000004000000}"/>
    <cellStyle name="Comma 2 2 2 5" xfId="48" xr:uid="{00000000-0005-0000-0000-000005000000}"/>
    <cellStyle name="Comma 3" xfId="6" xr:uid="{00000000-0005-0000-0000-000006000000}"/>
    <cellStyle name="Comma 3 2" xfId="16" xr:uid="{00000000-0005-0000-0000-000007000000}"/>
    <cellStyle name="Comma 3 3" xfId="27" xr:uid="{00000000-0005-0000-0000-000008000000}"/>
    <cellStyle name="Comma 4" xfId="2" xr:uid="{00000000-0005-0000-0000-000009000000}"/>
    <cellStyle name="Comma 4 2" xfId="13" xr:uid="{00000000-0005-0000-0000-00000A000000}"/>
    <cellStyle name="Comma 5" xfId="11" xr:uid="{00000000-0005-0000-0000-00000B000000}"/>
    <cellStyle name="Comma 6" xfId="8" xr:uid="{00000000-0005-0000-0000-00000C000000}"/>
    <cellStyle name="Comma 6 2" xfId="17" xr:uid="{00000000-0005-0000-0000-00000D000000}"/>
    <cellStyle name="Comma 7" xfId="15" xr:uid="{00000000-0005-0000-0000-00000E000000}"/>
    <cellStyle name="Comma 8" xfId="19" xr:uid="{00000000-0005-0000-0000-00000F000000}"/>
    <cellStyle name="Excel Built-in Comma" xfId="4" xr:uid="{00000000-0005-0000-0000-000010000000}"/>
    <cellStyle name="Excel Built-in Normal" xfId="3" xr:uid="{00000000-0005-0000-0000-000011000000}"/>
    <cellStyle name="Normal" xfId="0" builtinId="0"/>
    <cellStyle name="Normal - Style1" xfId="28" xr:uid="{00000000-0005-0000-0000-000013000000}"/>
    <cellStyle name="Normal 10" xfId="34" xr:uid="{00000000-0005-0000-0000-000014000000}"/>
    <cellStyle name="Normal 11" xfId="45" xr:uid="{00000000-0005-0000-0000-000015000000}"/>
    <cellStyle name="Normal 12" xfId="47" xr:uid="{00000000-0005-0000-0000-000016000000}"/>
    <cellStyle name="Normal 2" xfId="9" xr:uid="{00000000-0005-0000-0000-000017000000}"/>
    <cellStyle name="Normal 2 2" xfId="12" xr:uid="{00000000-0005-0000-0000-000018000000}"/>
    <cellStyle name="Normal 2 2 2" xfId="41" xr:uid="{00000000-0005-0000-0000-000019000000}"/>
    <cellStyle name="Normal 2 2 3" xfId="42" xr:uid="{00000000-0005-0000-0000-00001A000000}"/>
    <cellStyle name="Normal 2 2 4" xfId="29" xr:uid="{00000000-0005-0000-0000-00001B000000}"/>
    <cellStyle name="Normal 2 3" xfId="44" xr:uid="{00000000-0005-0000-0000-00001C000000}"/>
    <cellStyle name="Normal 2 3 2" xfId="55" xr:uid="{00000000-0005-0000-0000-00001D000000}"/>
    <cellStyle name="Normal 2 4" xfId="46" xr:uid="{00000000-0005-0000-0000-00001E000000}"/>
    <cellStyle name="Normal 2 5" xfId="50" xr:uid="{00000000-0005-0000-0000-00001F000000}"/>
    <cellStyle name="Normal 2 6" xfId="22" xr:uid="{00000000-0005-0000-0000-000020000000}"/>
    <cellStyle name="Normal 3" xfId="10" xr:uid="{00000000-0005-0000-0000-000021000000}"/>
    <cellStyle name="Normal 3 2" xfId="43" xr:uid="{00000000-0005-0000-0000-000022000000}"/>
    <cellStyle name="Normal 3 2 2" xfId="52" xr:uid="{00000000-0005-0000-0000-000023000000}"/>
    <cellStyle name="Normal 3 3" xfId="30" xr:uid="{00000000-0005-0000-0000-000024000000}"/>
    <cellStyle name="Normal 4" xfId="7" xr:uid="{00000000-0005-0000-0000-000025000000}"/>
    <cellStyle name="Normal 4 2" xfId="31" xr:uid="{00000000-0005-0000-0000-000026000000}"/>
    <cellStyle name="Normal 4 2 2" xfId="36" xr:uid="{00000000-0005-0000-0000-000027000000}"/>
    <cellStyle name="Normal 4 3" xfId="51" xr:uid="{00000000-0005-0000-0000-000028000000}"/>
    <cellStyle name="Normal 4 4" xfId="35" xr:uid="{00000000-0005-0000-0000-000029000000}"/>
    <cellStyle name="Normal 5" xfId="18" xr:uid="{00000000-0005-0000-0000-00002A000000}"/>
    <cellStyle name="Normal 5 2" xfId="24" xr:uid="{00000000-0005-0000-0000-00002B000000}"/>
    <cellStyle name="Normal 5 3" xfId="49" xr:uid="{00000000-0005-0000-0000-00002C000000}"/>
    <cellStyle name="Normal 5 4" xfId="32" xr:uid="{00000000-0005-0000-0000-00002D000000}"/>
    <cellStyle name="Normal 6" xfId="37" xr:uid="{00000000-0005-0000-0000-00002E000000}"/>
    <cellStyle name="Normal 6 2" xfId="53" xr:uid="{00000000-0005-0000-0000-00002F000000}"/>
    <cellStyle name="Normal 7" xfId="38" xr:uid="{00000000-0005-0000-0000-000030000000}"/>
    <cellStyle name="Normal 7 2" xfId="54" xr:uid="{00000000-0005-0000-0000-000031000000}"/>
    <cellStyle name="Normal 8" xfId="39" xr:uid="{00000000-0005-0000-0000-000032000000}"/>
    <cellStyle name="Normal 9" xfId="25" xr:uid="{00000000-0005-0000-0000-000033000000}"/>
    <cellStyle name="Percent 2" xfId="14" xr:uid="{00000000-0005-0000-0000-000038000000}"/>
    <cellStyle name="Percent 2 2" xfId="23" xr:uid="{00000000-0005-0000-0000-000039000000}"/>
    <cellStyle name="Percent 2 3" xfId="33" xr:uid="{00000000-0005-0000-0000-00003A000000}"/>
    <cellStyle name="Percent 3" xfId="20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B114"/>
  <sheetViews>
    <sheetView tabSelected="1" zoomScaleNormal="100" zoomScaleSheetLayoutView="85" workbookViewId="0">
      <selection activeCell="F6" sqref="F6"/>
    </sheetView>
  </sheetViews>
  <sheetFormatPr defaultRowHeight="15"/>
  <cols>
    <col min="1" max="1" width="19.85546875" style="6" customWidth="1"/>
    <col min="2" max="8" width="8.140625" style="6" customWidth="1"/>
    <col min="9" max="16" width="9.28515625" style="6" customWidth="1"/>
    <col min="17" max="17" width="11.5703125" style="6" customWidth="1"/>
    <col min="18" max="20" width="9.28515625" style="6" customWidth="1"/>
    <col min="21" max="23" width="10.85546875" style="6" customWidth="1"/>
    <col min="24" max="24" width="10.28515625" style="6" customWidth="1"/>
    <col min="25" max="25" width="12.7109375" style="6" customWidth="1"/>
    <col min="26" max="16384" width="9.140625" style="6"/>
  </cols>
  <sheetData>
    <row r="1" spans="1:28">
      <c r="A1" s="2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8">
      <c r="A2" s="37" t="s">
        <v>99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8">
      <c r="A3" s="37" t="s">
        <v>5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spans="1:28">
      <c r="A4" s="2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8">
      <c r="A5" s="35" t="s">
        <v>0</v>
      </c>
      <c r="B5" s="3">
        <v>2004</v>
      </c>
      <c r="C5" s="3">
        <v>2005</v>
      </c>
      <c r="D5" s="3">
        <v>2006</v>
      </c>
      <c r="E5" s="3">
        <v>2007</v>
      </c>
      <c r="F5" s="3">
        <v>2008</v>
      </c>
      <c r="G5" s="3">
        <v>2009</v>
      </c>
      <c r="H5" s="3">
        <v>2010</v>
      </c>
      <c r="I5" s="3">
        <v>2011</v>
      </c>
      <c r="J5" s="3">
        <v>2012</v>
      </c>
      <c r="K5" s="3">
        <v>2013</v>
      </c>
      <c r="L5" s="3">
        <v>2014</v>
      </c>
      <c r="M5" s="3">
        <v>2015</v>
      </c>
      <c r="N5" s="3">
        <v>2016</v>
      </c>
      <c r="O5" s="3">
        <v>2017</v>
      </c>
      <c r="P5" s="14">
        <v>2018</v>
      </c>
      <c r="Q5" s="14">
        <v>2019</v>
      </c>
      <c r="R5" s="14">
        <v>2020</v>
      </c>
      <c r="S5" s="14">
        <v>2021</v>
      </c>
      <c r="T5" s="14">
        <v>2022</v>
      </c>
      <c r="U5" s="14">
        <v>2023</v>
      </c>
      <c r="V5" s="22">
        <v>2024</v>
      </c>
      <c r="W5" s="14">
        <v>2025</v>
      </c>
      <c r="X5" s="14">
        <v>2026</v>
      </c>
      <c r="Y5" s="14">
        <v>2027</v>
      </c>
    </row>
    <row r="6" spans="1:28" s="30" customFormat="1">
      <c r="A6" s="36"/>
      <c r="B6" s="4"/>
      <c r="C6" s="4"/>
      <c r="D6" s="4"/>
      <c r="E6" s="4"/>
      <c r="F6" s="4"/>
      <c r="G6" s="4"/>
      <c r="H6" s="4"/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15" t="s">
        <v>1</v>
      </c>
      <c r="Q6" s="15" t="s">
        <v>1</v>
      </c>
      <c r="R6" s="15" t="s">
        <v>1</v>
      </c>
      <c r="S6" s="15" t="s">
        <v>1</v>
      </c>
      <c r="T6" s="15" t="s">
        <v>1</v>
      </c>
      <c r="U6" s="15" t="s">
        <v>1</v>
      </c>
      <c r="V6" s="23" t="s">
        <v>1</v>
      </c>
      <c r="W6" s="15" t="s">
        <v>2</v>
      </c>
      <c r="X6" s="15" t="s">
        <v>2</v>
      </c>
      <c r="Y6" s="15" t="s">
        <v>2</v>
      </c>
      <c r="Z6" s="29"/>
    </row>
    <row r="7" spans="1:28">
      <c r="A7" s="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4"/>
      <c r="X7" s="1"/>
    </row>
    <row r="8" spans="1:28" hidden="1">
      <c r="A8" s="2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25"/>
      <c r="W8" s="8"/>
      <c r="X8" s="8"/>
    </row>
    <row r="9" spans="1:28">
      <c r="A9" s="16" t="s">
        <v>6</v>
      </c>
      <c r="B9" s="2">
        <v>72.900000000000006</v>
      </c>
      <c r="C9" s="2">
        <v>824.59999999999991</v>
      </c>
      <c r="D9" s="2">
        <v>867.4</v>
      </c>
      <c r="E9" s="2">
        <v>1044</v>
      </c>
      <c r="F9" s="2">
        <v>516.97484099999997</v>
      </c>
      <c r="G9" s="2">
        <v>421.51582680000001</v>
      </c>
      <c r="H9" s="2">
        <v>106.90035900000001</v>
      </c>
      <c r="I9" s="2">
        <v>732.43525699999987</v>
      </c>
      <c r="J9" s="5">
        <v>366.65617528000001</v>
      </c>
      <c r="K9" s="5">
        <v>117.585902</v>
      </c>
      <c r="L9" s="5">
        <v>165.26972699999999</v>
      </c>
      <c r="M9" s="5">
        <v>636.94119636999994</v>
      </c>
      <c r="N9" s="5">
        <v>253.15824772000002</v>
      </c>
      <c r="O9" s="5">
        <v>365.481584</v>
      </c>
      <c r="P9" s="5">
        <v>833.57256099999995</v>
      </c>
      <c r="Q9" s="5">
        <v>1222.9733159999998</v>
      </c>
      <c r="R9" s="5">
        <f>SUM(R13,R50)</f>
        <v>972.46533199999999</v>
      </c>
      <c r="S9" s="5">
        <f>SUM(S13,S50)</f>
        <v>945.44812100000013</v>
      </c>
      <c r="T9" s="5">
        <f t="shared" ref="T9:Y9" si="0">SUM(T13,T50)</f>
        <v>476.12051500000007</v>
      </c>
      <c r="U9" s="5">
        <f t="shared" si="0"/>
        <v>513.8094470000002</v>
      </c>
      <c r="V9" s="5">
        <f t="shared" si="0"/>
        <v>427.71703499999995</v>
      </c>
      <c r="W9" s="5">
        <f t="shared" si="0"/>
        <v>903.43832599999996</v>
      </c>
      <c r="X9" s="5">
        <f t="shared" si="0"/>
        <v>1715.080643</v>
      </c>
      <c r="Y9" s="5">
        <f t="shared" si="0"/>
        <v>1117.1869139999999</v>
      </c>
    </row>
    <row r="10" spans="1:28">
      <c r="A10" s="31" t="s">
        <v>7</v>
      </c>
      <c r="B10" s="10">
        <v>58.8</v>
      </c>
      <c r="C10" s="10">
        <v>58.2</v>
      </c>
      <c r="D10" s="10">
        <v>74.2</v>
      </c>
      <c r="E10" s="10">
        <v>108.1</v>
      </c>
      <c r="F10" s="10">
        <v>55.550635999999997</v>
      </c>
      <c r="G10" s="10">
        <v>38.580908000000001</v>
      </c>
      <c r="H10" s="10">
        <v>1.7</v>
      </c>
      <c r="I10" s="10">
        <v>318.363922</v>
      </c>
      <c r="J10" s="11">
        <v>144.28058300000001</v>
      </c>
      <c r="K10" s="11">
        <v>43.25014952999998</v>
      </c>
      <c r="L10" s="11">
        <v>63.872695</v>
      </c>
      <c r="M10" s="11">
        <v>486.44234219999981</v>
      </c>
      <c r="N10" s="11">
        <v>79.936230210000005</v>
      </c>
      <c r="O10" s="11">
        <v>135.76901799999999</v>
      </c>
      <c r="P10" s="11">
        <v>520.34337700000003</v>
      </c>
      <c r="Q10" s="11">
        <v>486.39923199999998</v>
      </c>
      <c r="R10" s="11">
        <v>607.66711499999997</v>
      </c>
      <c r="S10" s="11">
        <v>233.51557500000001</v>
      </c>
      <c r="T10" s="11">
        <v>101.035219</v>
      </c>
      <c r="U10" s="11">
        <v>335.326234</v>
      </c>
      <c r="V10" s="11">
        <v>235.45898800000001</v>
      </c>
      <c r="W10" s="21">
        <v>118.92688099999999</v>
      </c>
      <c r="X10" s="21">
        <v>112.928618</v>
      </c>
      <c r="Y10" s="26">
        <v>113.30125099999999</v>
      </c>
      <c r="AB10" s="32"/>
    </row>
    <row r="11" spans="1:28">
      <c r="A11" s="31" t="s">
        <v>8</v>
      </c>
      <c r="B11" s="10">
        <v>14.1</v>
      </c>
      <c r="C11" s="10">
        <v>766.4</v>
      </c>
      <c r="D11" s="10">
        <v>793.2</v>
      </c>
      <c r="E11" s="10">
        <v>935.9</v>
      </c>
      <c r="F11" s="10">
        <v>461.42420499999997</v>
      </c>
      <c r="G11" s="10">
        <v>382.93491899999998</v>
      </c>
      <c r="H11" s="10">
        <v>105.2</v>
      </c>
      <c r="I11" s="10">
        <v>414.07133499999998</v>
      </c>
      <c r="J11" s="11">
        <v>222.38928999999999</v>
      </c>
      <c r="K11" s="11">
        <v>74.405078000000003</v>
      </c>
      <c r="L11" s="11">
        <v>101.40112999999999</v>
      </c>
      <c r="M11" s="11">
        <v>150.49885417000002</v>
      </c>
      <c r="N11" s="11">
        <v>173.18953770999994</v>
      </c>
      <c r="O11" s="11">
        <v>207.994463</v>
      </c>
      <c r="P11" s="11">
        <v>299.46414600000003</v>
      </c>
      <c r="Q11" s="11">
        <v>668.48715900000002</v>
      </c>
      <c r="R11" s="11">
        <v>350.32549699999998</v>
      </c>
      <c r="S11" s="11">
        <v>798.33241499999997</v>
      </c>
      <c r="T11" s="11">
        <v>386.88625500000001</v>
      </c>
      <c r="U11" s="11">
        <v>178.48321300000001</v>
      </c>
      <c r="V11" s="11">
        <v>192.258047</v>
      </c>
      <c r="W11" s="21">
        <v>784.51144499999998</v>
      </c>
      <c r="X11" s="21">
        <v>1602.1520250000001</v>
      </c>
      <c r="Y11" s="26">
        <v>1003.885663</v>
      </c>
    </row>
    <row r="12" spans="1:28">
      <c r="A12" s="28"/>
      <c r="B12" s="8"/>
      <c r="C12" s="8"/>
      <c r="D12" s="8"/>
      <c r="E12" s="8"/>
      <c r="F12" s="8"/>
      <c r="G12" s="8"/>
      <c r="H12" s="8"/>
      <c r="I12" s="8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8">
      <c r="A13" s="13" t="s">
        <v>9</v>
      </c>
      <c r="B13" s="2">
        <v>35</v>
      </c>
      <c r="C13" s="2">
        <v>51.4</v>
      </c>
      <c r="D13" s="2">
        <v>61.4</v>
      </c>
      <c r="E13" s="2">
        <v>145.69999999999999</v>
      </c>
      <c r="F13" s="2">
        <v>103.44919200000001</v>
      </c>
      <c r="G13" s="2">
        <v>110.16981439999999</v>
      </c>
      <c r="H13" s="2">
        <v>100.10901800000001</v>
      </c>
      <c r="I13" s="2">
        <v>704.76930299999992</v>
      </c>
      <c r="J13" s="5">
        <v>194.42675400000002</v>
      </c>
      <c r="K13" s="5">
        <v>47.533464000000002</v>
      </c>
      <c r="L13" s="5">
        <v>81.700487999999993</v>
      </c>
      <c r="M13" s="5">
        <v>432.32074392999988</v>
      </c>
      <c r="N13" s="5">
        <v>63.301601730000002</v>
      </c>
      <c r="O13" s="5">
        <v>155.912811</v>
      </c>
      <c r="P13" s="5">
        <v>615.00922700000001</v>
      </c>
      <c r="Q13" s="5">
        <v>945.49483699999996</v>
      </c>
      <c r="R13" s="5">
        <v>222.26806099999999</v>
      </c>
      <c r="S13" s="5">
        <f t="shared" ref="S13:Y13" si="1">SUMIF(S14:S48, "&lt;&gt;0")</f>
        <v>388.16396000000003</v>
      </c>
      <c r="T13" s="5">
        <f t="shared" si="1"/>
        <v>78.715121000000011</v>
      </c>
      <c r="U13" s="5">
        <f t="shared" si="1"/>
        <v>77.110651000000004</v>
      </c>
      <c r="V13" s="5">
        <f t="shared" si="1"/>
        <v>35.563670999999999</v>
      </c>
      <c r="W13" s="5">
        <f t="shared" si="1"/>
        <v>537.770984</v>
      </c>
      <c r="X13" s="5">
        <f t="shared" si="1"/>
        <v>1141.3458410000001</v>
      </c>
      <c r="Y13" s="5">
        <f t="shared" si="1"/>
        <v>860.40108299999997</v>
      </c>
    </row>
    <row r="14" spans="1:28">
      <c r="A14" s="33" t="s">
        <v>10</v>
      </c>
      <c r="B14" s="10">
        <v>0.7</v>
      </c>
      <c r="C14" s="10" t="s">
        <v>3</v>
      </c>
      <c r="D14" s="10">
        <v>0.3</v>
      </c>
      <c r="E14" s="10">
        <v>0.2</v>
      </c>
      <c r="F14" s="10" t="s">
        <v>3</v>
      </c>
      <c r="G14" s="10" t="s">
        <v>3</v>
      </c>
      <c r="H14" s="10" t="s">
        <v>3</v>
      </c>
      <c r="I14" s="10">
        <v>0.28881200000000001</v>
      </c>
      <c r="J14" s="11">
        <v>0.57021100000000002</v>
      </c>
      <c r="K14" s="11">
        <v>1.1887999999999999E-2</v>
      </c>
      <c r="L14" s="11" t="s">
        <v>3</v>
      </c>
      <c r="M14" s="11">
        <v>-9.5324699999999995E-3</v>
      </c>
      <c r="N14" s="11">
        <v>0.65217499999999995</v>
      </c>
      <c r="O14" s="11">
        <v>1.247657</v>
      </c>
      <c r="P14" s="11">
        <v>0</v>
      </c>
      <c r="Q14" s="11">
        <v>0</v>
      </c>
      <c r="R14" s="10">
        <v>0</v>
      </c>
      <c r="S14" s="2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</row>
    <row r="15" spans="1:28">
      <c r="A15" s="33" t="s">
        <v>11</v>
      </c>
      <c r="B15" s="10" t="s">
        <v>3</v>
      </c>
      <c r="C15" s="10">
        <v>0.7</v>
      </c>
      <c r="D15" s="10" t="s">
        <v>3</v>
      </c>
      <c r="E15" s="10" t="s">
        <v>3</v>
      </c>
      <c r="F15" s="10" t="s">
        <v>3</v>
      </c>
      <c r="G15" s="10">
        <v>0.106756</v>
      </c>
      <c r="H15" s="10" t="s">
        <v>3</v>
      </c>
      <c r="I15" s="10" t="s">
        <v>3</v>
      </c>
      <c r="J15" s="11" t="s">
        <v>3</v>
      </c>
      <c r="K15" s="11" t="s">
        <v>3</v>
      </c>
      <c r="L15" s="11" t="s">
        <v>3</v>
      </c>
      <c r="M15" s="11" t="s">
        <v>3</v>
      </c>
      <c r="N15" s="11" t="s">
        <v>3</v>
      </c>
      <c r="O15" s="11" t="s">
        <v>3</v>
      </c>
      <c r="P15" s="11">
        <v>0</v>
      </c>
      <c r="Q15" s="10">
        <v>5.3983000000000003E-2</v>
      </c>
      <c r="R15" s="11">
        <v>9.0206999999999996E-2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</row>
    <row r="16" spans="1:28">
      <c r="A16" s="33" t="s">
        <v>12</v>
      </c>
      <c r="B16" s="10"/>
      <c r="C16" s="10"/>
      <c r="D16" s="10"/>
      <c r="E16" s="10"/>
      <c r="F16" s="10"/>
      <c r="G16" s="10"/>
      <c r="H16" s="10"/>
      <c r="I16" s="10" t="s">
        <v>3</v>
      </c>
      <c r="J16" s="11" t="s">
        <v>3</v>
      </c>
      <c r="K16" s="11" t="s">
        <v>3</v>
      </c>
      <c r="L16" s="11" t="s">
        <v>3</v>
      </c>
      <c r="M16" s="11" t="s">
        <v>3</v>
      </c>
      <c r="N16" s="11" t="s">
        <v>3</v>
      </c>
      <c r="O16" s="11">
        <v>76.699026000000003</v>
      </c>
      <c r="P16" s="11">
        <v>0</v>
      </c>
      <c r="Q16" s="11">
        <v>0</v>
      </c>
      <c r="R16" s="11">
        <v>187.669004</v>
      </c>
      <c r="S16" s="11">
        <v>0</v>
      </c>
      <c r="T16" s="11">
        <v>0</v>
      </c>
      <c r="U16" s="11">
        <v>0</v>
      </c>
      <c r="V16" s="11">
        <v>0</v>
      </c>
      <c r="W16" s="11">
        <v>45.015957999999998</v>
      </c>
      <c r="X16" s="11">
        <v>21.051556999999999</v>
      </c>
      <c r="Y16" s="11">
        <v>0</v>
      </c>
    </row>
    <row r="17" spans="1:25">
      <c r="A17" s="33" t="s">
        <v>98</v>
      </c>
      <c r="B17" s="10" t="s">
        <v>3</v>
      </c>
      <c r="C17" s="10" t="s">
        <v>3</v>
      </c>
      <c r="D17" s="10" t="s">
        <v>3</v>
      </c>
      <c r="E17" s="10">
        <v>6.4</v>
      </c>
      <c r="F17" s="10" t="s">
        <v>3</v>
      </c>
      <c r="G17" s="10" t="s">
        <v>3</v>
      </c>
      <c r="H17" s="10" t="s">
        <v>3</v>
      </c>
      <c r="I17" s="10" t="s">
        <v>3</v>
      </c>
      <c r="J17" s="11" t="s">
        <v>3</v>
      </c>
      <c r="K17" s="11" t="s">
        <v>3</v>
      </c>
      <c r="L17" s="11" t="s">
        <v>3</v>
      </c>
      <c r="M17" s="11" t="s">
        <v>3</v>
      </c>
      <c r="N17" s="11" t="s">
        <v>3</v>
      </c>
      <c r="O17" s="11" t="s">
        <v>3</v>
      </c>
      <c r="P17" s="11">
        <v>0</v>
      </c>
      <c r="Q17" s="11">
        <v>0</v>
      </c>
      <c r="R17" s="11">
        <v>0</v>
      </c>
      <c r="S17" s="11">
        <v>0</v>
      </c>
      <c r="T17" s="11">
        <v>7.8489019999999998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</row>
    <row r="18" spans="1:25">
      <c r="A18" s="33" t="s">
        <v>13</v>
      </c>
      <c r="B18" s="10" t="s">
        <v>3</v>
      </c>
      <c r="C18" s="10" t="s">
        <v>3</v>
      </c>
      <c r="D18" s="10" t="s">
        <v>3</v>
      </c>
      <c r="E18" s="10" t="s">
        <v>3</v>
      </c>
      <c r="F18" s="10" t="s">
        <v>3</v>
      </c>
      <c r="G18" s="10" t="s">
        <v>3</v>
      </c>
      <c r="H18" s="10" t="s">
        <v>3</v>
      </c>
      <c r="I18" s="10" t="s">
        <v>3</v>
      </c>
      <c r="J18" s="11">
        <v>1.647303</v>
      </c>
      <c r="K18" s="11">
        <v>1.214658</v>
      </c>
      <c r="L18" s="11">
        <v>0.47871999999999998</v>
      </c>
      <c r="M18" s="11">
        <v>0.38303172999999996</v>
      </c>
      <c r="N18" s="11" t="s">
        <v>3</v>
      </c>
      <c r="O18" s="11" t="s">
        <v>3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</row>
    <row r="19" spans="1:25">
      <c r="A19" s="33" t="s">
        <v>14</v>
      </c>
      <c r="B19" s="10" t="s">
        <v>3</v>
      </c>
      <c r="C19" s="10" t="s">
        <v>3</v>
      </c>
      <c r="D19" s="10" t="s">
        <v>3</v>
      </c>
      <c r="E19" s="10" t="s">
        <v>3</v>
      </c>
      <c r="F19" s="10" t="s">
        <v>3</v>
      </c>
      <c r="G19" s="10" t="s">
        <v>3</v>
      </c>
      <c r="H19" s="10" t="s">
        <v>3</v>
      </c>
      <c r="I19" s="10" t="s">
        <v>3</v>
      </c>
      <c r="J19" s="11" t="s">
        <v>3</v>
      </c>
      <c r="K19" s="11" t="s">
        <v>3</v>
      </c>
      <c r="L19" s="11" t="s">
        <v>3</v>
      </c>
      <c r="M19" s="11" t="s">
        <v>3</v>
      </c>
      <c r="N19" s="11" t="s">
        <v>3</v>
      </c>
      <c r="O19" s="11">
        <v>1.2314E-2</v>
      </c>
      <c r="P19" s="11">
        <v>1.33E-3</v>
      </c>
      <c r="Q19" s="11">
        <v>0</v>
      </c>
      <c r="R19" s="10">
        <v>1.14293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</row>
    <row r="20" spans="1:25">
      <c r="A20" s="33" t="s">
        <v>15</v>
      </c>
      <c r="B20" s="10">
        <v>6.2</v>
      </c>
      <c r="C20" s="10">
        <v>25.5</v>
      </c>
      <c r="D20" s="10">
        <v>0.8</v>
      </c>
      <c r="E20" s="10">
        <v>2</v>
      </c>
      <c r="F20" s="10">
        <v>21.409351000000001</v>
      </c>
      <c r="G20" s="10">
        <v>44.171931799999996</v>
      </c>
      <c r="H20" s="10">
        <v>98.695518000000007</v>
      </c>
      <c r="I20" s="10">
        <v>204.53121000000002</v>
      </c>
      <c r="J20" s="11" t="s">
        <v>3</v>
      </c>
      <c r="K20" s="11" t="s">
        <v>3</v>
      </c>
      <c r="L20" s="11">
        <v>1.518337</v>
      </c>
      <c r="M20" s="11">
        <v>17.469778999999999</v>
      </c>
      <c r="N20" s="11">
        <v>24.542103839999999</v>
      </c>
      <c r="O20" s="11">
        <v>2.554659</v>
      </c>
      <c r="P20" s="11">
        <v>0</v>
      </c>
      <c r="Q20" s="10">
        <v>6.191738</v>
      </c>
      <c r="R20" s="11">
        <v>0</v>
      </c>
      <c r="S20" s="10">
        <v>0</v>
      </c>
      <c r="T20" s="11">
        <v>0</v>
      </c>
      <c r="U20" s="11">
        <v>3.0141999999999999E-2</v>
      </c>
      <c r="V20" s="11">
        <v>0.38963599999999998</v>
      </c>
      <c r="W20" s="11">
        <v>194.0984</v>
      </c>
      <c r="X20" s="11">
        <v>564.25040000000001</v>
      </c>
      <c r="Y20" s="11">
        <v>564.25040000000001</v>
      </c>
    </row>
    <row r="21" spans="1:25">
      <c r="A21" s="33" t="s">
        <v>16</v>
      </c>
      <c r="B21" s="10" t="s">
        <v>3</v>
      </c>
      <c r="C21" s="10">
        <v>0.1</v>
      </c>
      <c r="D21" s="10" t="s">
        <v>3</v>
      </c>
      <c r="E21" s="10" t="s">
        <v>3</v>
      </c>
      <c r="F21" s="10" t="s">
        <v>3</v>
      </c>
      <c r="G21" s="10" t="s">
        <v>3</v>
      </c>
      <c r="H21" s="10" t="s">
        <v>3</v>
      </c>
      <c r="I21" s="10">
        <v>113.542565</v>
      </c>
      <c r="J21" s="11" t="s">
        <v>3</v>
      </c>
      <c r="K21" s="11">
        <v>0.61314000000000002</v>
      </c>
      <c r="L21" s="11">
        <v>0.61148100000000005</v>
      </c>
      <c r="M21" s="11">
        <v>0.67301387000000001</v>
      </c>
      <c r="N21" s="11" t="s">
        <v>3</v>
      </c>
      <c r="O21" s="11" t="s">
        <v>3</v>
      </c>
      <c r="P21" s="11">
        <v>0.15645200000000001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</row>
    <row r="22" spans="1:25">
      <c r="A22" s="33" t="s">
        <v>17</v>
      </c>
      <c r="B22" s="10" t="s">
        <v>3</v>
      </c>
      <c r="C22" s="10" t="s">
        <v>3</v>
      </c>
      <c r="D22" s="10" t="s">
        <v>3</v>
      </c>
      <c r="E22" s="10" t="s">
        <v>3</v>
      </c>
      <c r="F22" s="10" t="s">
        <v>3</v>
      </c>
      <c r="G22" s="10" t="s">
        <v>3</v>
      </c>
      <c r="H22" s="10" t="s">
        <v>3</v>
      </c>
      <c r="I22" s="10" t="s">
        <v>3</v>
      </c>
      <c r="J22" s="11" t="s">
        <v>3</v>
      </c>
      <c r="K22" s="11">
        <v>3.1860189999999999</v>
      </c>
      <c r="L22" s="12">
        <v>3.1860189999999999</v>
      </c>
      <c r="M22" s="11" t="s">
        <v>3</v>
      </c>
      <c r="N22" s="11" t="s">
        <v>3</v>
      </c>
      <c r="O22" s="11" t="s">
        <v>3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</row>
    <row r="23" spans="1:25">
      <c r="A23" s="33" t="s">
        <v>81</v>
      </c>
      <c r="B23" s="10" t="s">
        <v>3</v>
      </c>
      <c r="C23" s="10">
        <v>0.6</v>
      </c>
      <c r="D23" s="10" t="s">
        <v>3</v>
      </c>
      <c r="E23" s="10" t="s">
        <v>3</v>
      </c>
      <c r="F23" s="10" t="s">
        <v>3</v>
      </c>
      <c r="G23" s="10" t="s">
        <v>3</v>
      </c>
      <c r="H23" s="10" t="s">
        <v>3</v>
      </c>
      <c r="I23" s="10" t="s">
        <v>3</v>
      </c>
      <c r="J23" s="11" t="s">
        <v>3</v>
      </c>
      <c r="K23" s="11" t="s">
        <v>3</v>
      </c>
      <c r="L23" s="11" t="s">
        <v>3</v>
      </c>
      <c r="M23" s="11" t="s">
        <v>3</v>
      </c>
      <c r="N23" s="11" t="s">
        <v>3</v>
      </c>
      <c r="O23" s="11" t="s">
        <v>3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</row>
    <row r="24" spans="1:25">
      <c r="A24" s="33" t="s">
        <v>18</v>
      </c>
      <c r="B24" s="10" t="s">
        <v>3</v>
      </c>
      <c r="C24" s="10" t="s">
        <v>3</v>
      </c>
      <c r="D24" s="10" t="s">
        <v>3</v>
      </c>
      <c r="E24" s="10" t="s">
        <v>3</v>
      </c>
      <c r="F24" s="10" t="s">
        <v>3</v>
      </c>
      <c r="G24" s="10" t="s">
        <v>3</v>
      </c>
      <c r="H24" s="10" t="s">
        <v>3</v>
      </c>
      <c r="I24" s="10" t="s">
        <v>3</v>
      </c>
      <c r="J24" s="11" t="s">
        <v>3</v>
      </c>
      <c r="K24" s="11">
        <v>4.2063240000000004</v>
      </c>
      <c r="L24" s="11">
        <v>16.547422999999998</v>
      </c>
      <c r="M24" s="11" t="s">
        <v>3</v>
      </c>
      <c r="N24" s="11" t="s">
        <v>3</v>
      </c>
      <c r="O24" s="11" t="s">
        <v>3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</row>
    <row r="25" spans="1:25">
      <c r="A25" s="33" t="s">
        <v>19</v>
      </c>
      <c r="B25" s="10">
        <v>0.2</v>
      </c>
      <c r="C25" s="10" t="s">
        <v>3</v>
      </c>
      <c r="D25" s="10">
        <v>0.2</v>
      </c>
      <c r="E25" s="10">
        <v>31.2</v>
      </c>
      <c r="F25" s="10">
        <v>13.244916999999999</v>
      </c>
      <c r="G25" s="10">
        <v>0.38777200000000001</v>
      </c>
      <c r="H25" s="10" t="s">
        <v>3</v>
      </c>
      <c r="I25" s="10">
        <v>292.81524000000002</v>
      </c>
      <c r="J25" s="11">
        <v>37.245066000000001</v>
      </c>
      <c r="K25" s="11">
        <v>17.073177999999999</v>
      </c>
      <c r="L25" s="11">
        <v>24.416872999999999</v>
      </c>
      <c r="M25" s="11">
        <v>2.2499999999999999E-2</v>
      </c>
      <c r="N25" s="11">
        <v>3.6698823900000002</v>
      </c>
      <c r="O25" s="11" t="s">
        <v>3</v>
      </c>
      <c r="P25" s="11">
        <v>383.75</v>
      </c>
      <c r="Q25" s="10">
        <v>876.38620600000002</v>
      </c>
      <c r="R25" s="10">
        <v>22.020198000000001</v>
      </c>
      <c r="S25" s="10">
        <v>287.32059400000003</v>
      </c>
      <c r="T25" s="11">
        <v>36.053322000000001</v>
      </c>
      <c r="U25" s="11">
        <v>67.135120000000001</v>
      </c>
      <c r="V25" s="11">
        <v>19.969405999999999</v>
      </c>
      <c r="W25" s="11">
        <v>180.59169199999999</v>
      </c>
      <c r="X25" s="11">
        <v>406.42563200000001</v>
      </c>
      <c r="Y25" s="11">
        <v>148.423855</v>
      </c>
    </row>
    <row r="26" spans="1:25">
      <c r="A26" s="33" t="s">
        <v>20</v>
      </c>
      <c r="B26" s="10"/>
      <c r="C26" s="10"/>
      <c r="D26" s="10" t="s">
        <v>3</v>
      </c>
      <c r="E26" s="10" t="s">
        <v>3</v>
      </c>
      <c r="F26" s="10" t="s">
        <v>3</v>
      </c>
      <c r="G26" s="10" t="s">
        <v>3</v>
      </c>
      <c r="H26" s="10" t="s">
        <v>3</v>
      </c>
      <c r="I26" s="10">
        <v>0.100341</v>
      </c>
      <c r="J26" s="11" t="s">
        <v>3</v>
      </c>
      <c r="K26" s="11" t="s">
        <v>3</v>
      </c>
      <c r="L26" s="11" t="s">
        <v>3</v>
      </c>
      <c r="M26" s="11" t="s">
        <v>3</v>
      </c>
      <c r="N26" s="11" t="s">
        <v>3</v>
      </c>
      <c r="O26" s="11">
        <v>10.836923000000001</v>
      </c>
      <c r="P26" s="11">
        <v>30.391983</v>
      </c>
      <c r="Q26" s="10">
        <v>13.555638999999999</v>
      </c>
      <c r="R26" s="10">
        <v>3.3311760000000001</v>
      </c>
      <c r="S26" s="11">
        <v>3.33284</v>
      </c>
      <c r="T26" s="11">
        <v>3.6370640000000001</v>
      </c>
      <c r="U26" s="11">
        <v>1.5354319999999999</v>
      </c>
      <c r="V26" s="11">
        <v>0.22357099999999999</v>
      </c>
      <c r="W26" s="11">
        <v>0</v>
      </c>
      <c r="X26" s="11">
        <v>0</v>
      </c>
      <c r="Y26" s="11">
        <v>0</v>
      </c>
    </row>
    <row r="27" spans="1:25">
      <c r="A27" s="33" t="s">
        <v>21</v>
      </c>
      <c r="B27" s="10">
        <v>12.6</v>
      </c>
      <c r="C27" s="10">
        <v>10.1</v>
      </c>
      <c r="D27" s="10">
        <v>14</v>
      </c>
      <c r="E27" s="10">
        <v>8.8000000000000007</v>
      </c>
      <c r="F27" s="10">
        <v>67.310708000000005</v>
      </c>
      <c r="G27" s="10">
        <v>28.627313600000001</v>
      </c>
      <c r="H27" s="10">
        <v>1.4135</v>
      </c>
      <c r="I27" s="10">
        <v>93.491135</v>
      </c>
      <c r="J27" s="11">
        <v>40.564931000000001</v>
      </c>
      <c r="K27" s="11">
        <v>9.9695370000000008</v>
      </c>
      <c r="L27" s="11">
        <v>3.7877999999999998</v>
      </c>
      <c r="M27" s="11">
        <v>3.0838901099999902</v>
      </c>
      <c r="N27" s="11">
        <v>6.9488170199999999</v>
      </c>
      <c r="O27" s="11">
        <v>9.2039999999999997E-2</v>
      </c>
      <c r="P27" s="11">
        <v>4.6050000000000001E-2</v>
      </c>
      <c r="Q27" s="10">
        <v>1.461114</v>
      </c>
      <c r="R27" s="10">
        <v>2.8492250000000001</v>
      </c>
      <c r="S27" s="10">
        <v>90.877267000000003</v>
      </c>
      <c r="T27" s="11">
        <v>2.8167719999999998</v>
      </c>
      <c r="U27" s="11">
        <v>6.8289059999999999</v>
      </c>
      <c r="V27" s="11">
        <v>4.6137139999999999</v>
      </c>
      <c r="W27" s="11">
        <v>94.470240000000004</v>
      </c>
      <c r="X27" s="11">
        <v>93.630240000000001</v>
      </c>
      <c r="Y27" s="11">
        <v>93.630240000000001</v>
      </c>
    </row>
    <row r="28" spans="1:25">
      <c r="A28" s="33" t="s">
        <v>22</v>
      </c>
      <c r="B28" s="10" t="s">
        <v>3</v>
      </c>
      <c r="C28" s="10" t="s">
        <v>3</v>
      </c>
      <c r="D28" s="10">
        <v>0.1</v>
      </c>
      <c r="E28" s="10" t="s">
        <v>3</v>
      </c>
      <c r="F28" s="10" t="s">
        <v>3</v>
      </c>
      <c r="G28" s="10" t="s">
        <v>3</v>
      </c>
      <c r="H28" s="10" t="s">
        <v>3</v>
      </c>
      <c r="I28" s="10" t="s">
        <v>3</v>
      </c>
      <c r="J28" s="11">
        <v>6.4226900000000002</v>
      </c>
      <c r="K28" s="11">
        <v>1.2205839999999999</v>
      </c>
      <c r="L28" s="11">
        <v>13.778985</v>
      </c>
      <c r="M28" s="11">
        <v>0.52036040000000006</v>
      </c>
      <c r="N28" s="11" t="s">
        <v>3</v>
      </c>
      <c r="O28" s="11" t="s">
        <v>3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</row>
    <row r="29" spans="1:25">
      <c r="A29" s="33" t="s">
        <v>23</v>
      </c>
      <c r="B29" s="10" t="s">
        <v>3</v>
      </c>
      <c r="C29" s="10" t="s">
        <v>3</v>
      </c>
      <c r="D29" s="10" t="s">
        <v>3</v>
      </c>
      <c r="E29" s="10" t="s">
        <v>3</v>
      </c>
      <c r="F29" s="10" t="s">
        <v>3</v>
      </c>
      <c r="G29" s="10" t="s">
        <v>3</v>
      </c>
      <c r="H29" s="10" t="s">
        <v>3</v>
      </c>
      <c r="I29" s="10" t="s">
        <v>3</v>
      </c>
      <c r="J29" s="11" t="s">
        <v>3</v>
      </c>
      <c r="K29" s="11" t="s">
        <v>3</v>
      </c>
      <c r="L29" s="11" t="s">
        <v>3</v>
      </c>
      <c r="M29" s="11">
        <v>0.69283107999999904</v>
      </c>
      <c r="N29" s="11" t="s">
        <v>3</v>
      </c>
      <c r="O29" s="11" t="s">
        <v>3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</row>
    <row r="30" spans="1:25">
      <c r="A30" s="33" t="s">
        <v>24</v>
      </c>
      <c r="B30" s="10" t="s">
        <v>3</v>
      </c>
      <c r="C30" s="10" t="s">
        <v>3</v>
      </c>
      <c r="D30" s="10" t="s">
        <v>3</v>
      </c>
      <c r="E30" s="10" t="s">
        <v>3</v>
      </c>
      <c r="F30" s="10" t="s">
        <v>3</v>
      </c>
      <c r="G30" s="10" t="s">
        <v>3</v>
      </c>
      <c r="H30" s="10" t="s">
        <v>3</v>
      </c>
      <c r="I30" s="10" t="s">
        <v>3</v>
      </c>
      <c r="J30" s="11">
        <v>2.8417000000000001E-2</v>
      </c>
      <c r="K30" s="11" t="s">
        <v>3</v>
      </c>
      <c r="L30" s="11" t="s">
        <v>3</v>
      </c>
      <c r="M30" s="11" t="s">
        <v>3</v>
      </c>
      <c r="N30" s="11" t="s">
        <v>3</v>
      </c>
      <c r="O30" s="11" t="s">
        <v>3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</row>
    <row r="31" spans="1:25">
      <c r="A31" s="33" t="s">
        <v>79</v>
      </c>
      <c r="B31" s="10" t="s">
        <v>3</v>
      </c>
      <c r="C31" s="10" t="s">
        <v>3</v>
      </c>
      <c r="D31" s="10" t="s">
        <v>3</v>
      </c>
      <c r="E31" s="10">
        <v>42.1</v>
      </c>
      <c r="F31" s="10" t="s">
        <v>3</v>
      </c>
      <c r="G31" s="10" t="s">
        <v>3</v>
      </c>
      <c r="H31" s="10" t="s">
        <v>3</v>
      </c>
      <c r="I31" s="10" t="s">
        <v>3</v>
      </c>
      <c r="J31" s="11" t="s">
        <v>3</v>
      </c>
      <c r="K31" s="11" t="s">
        <v>3</v>
      </c>
      <c r="L31" s="11">
        <v>0.61968100000000004</v>
      </c>
      <c r="M31" s="11">
        <v>0</v>
      </c>
      <c r="N31" s="11" t="s">
        <v>3</v>
      </c>
      <c r="O31" s="11" t="s">
        <v>3</v>
      </c>
      <c r="P31" s="11">
        <v>0</v>
      </c>
      <c r="Q31" s="11">
        <v>0</v>
      </c>
      <c r="R31" s="11">
        <v>0</v>
      </c>
      <c r="S31" s="10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</row>
    <row r="32" spans="1:25">
      <c r="A32" s="33" t="s">
        <v>82</v>
      </c>
      <c r="B32" s="10" t="s">
        <v>3</v>
      </c>
      <c r="C32" s="10" t="s">
        <v>3</v>
      </c>
      <c r="D32" s="10" t="s">
        <v>3</v>
      </c>
      <c r="E32" s="10" t="s">
        <v>3</v>
      </c>
      <c r="F32" s="10" t="s">
        <v>3</v>
      </c>
      <c r="G32" s="10" t="s">
        <v>3</v>
      </c>
      <c r="H32" s="10" t="s">
        <v>3</v>
      </c>
      <c r="I32" s="10" t="s">
        <v>3</v>
      </c>
      <c r="J32" s="11" t="s">
        <v>3</v>
      </c>
      <c r="K32" s="11" t="s">
        <v>3</v>
      </c>
      <c r="L32" s="11" t="s">
        <v>3</v>
      </c>
      <c r="M32" s="11" t="s">
        <v>3</v>
      </c>
      <c r="N32" s="11" t="s">
        <v>3</v>
      </c>
      <c r="O32" s="11" t="s">
        <v>3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</row>
    <row r="33" spans="1:25">
      <c r="A33" s="33" t="s">
        <v>25</v>
      </c>
      <c r="B33" s="10" t="s">
        <v>3</v>
      </c>
      <c r="C33" s="10" t="s">
        <v>3</v>
      </c>
      <c r="D33" s="10" t="s">
        <v>3</v>
      </c>
      <c r="E33" s="10" t="s">
        <v>3</v>
      </c>
      <c r="F33" s="10" t="s">
        <v>3</v>
      </c>
      <c r="G33" s="10" t="s">
        <v>3</v>
      </c>
      <c r="H33" s="10" t="s">
        <v>3</v>
      </c>
      <c r="I33" s="10" t="s">
        <v>3</v>
      </c>
      <c r="J33" s="11" t="s">
        <v>3</v>
      </c>
      <c r="K33" s="11" t="s">
        <v>3</v>
      </c>
      <c r="L33" s="11" t="s">
        <v>3</v>
      </c>
      <c r="M33" s="11" t="s">
        <v>3</v>
      </c>
      <c r="N33" s="11" t="s">
        <v>3</v>
      </c>
      <c r="O33" s="11" t="s">
        <v>3</v>
      </c>
      <c r="P33" s="11">
        <v>0</v>
      </c>
      <c r="Q33" s="10">
        <v>0.117229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</row>
    <row r="34" spans="1:25">
      <c r="A34" s="33" t="s">
        <v>83</v>
      </c>
      <c r="B34" s="10" t="s">
        <v>3</v>
      </c>
      <c r="C34" s="10" t="s">
        <v>3</v>
      </c>
      <c r="D34" s="10" t="s">
        <v>3</v>
      </c>
      <c r="E34" s="10" t="s">
        <v>3</v>
      </c>
      <c r="F34" s="10" t="s">
        <v>3</v>
      </c>
      <c r="G34" s="10" t="s">
        <v>3</v>
      </c>
      <c r="H34" s="10" t="s">
        <v>3</v>
      </c>
      <c r="I34" s="10" t="s">
        <v>3</v>
      </c>
      <c r="J34" s="11" t="s">
        <v>3</v>
      </c>
      <c r="K34" s="11" t="s">
        <v>3</v>
      </c>
      <c r="L34" s="11" t="s">
        <v>3</v>
      </c>
      <c r="M34" s="11" t="s">
        <v>3</v>
      </c>
      <c r="N34" s="11" t="s">
        <v>3</v>
      </c>
      <c r="O34" s="11" t="s">
        <v>3</v>
      </c>
      <c r="P34" s="11">
        <v>0</v>
      </c>
      <c r="Q34" s="11">
        <v>0</v>
      </c>
      <c r="R34" s="11">
        <v>0</v>
      </c>
      <c r="S34" s="11">
        <v>0</v>
      </c>
      <c r="T34" s="11">
        <v>28.359061000000001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</row>
    <row r="35" spans="1:25">
      <c r="A35" s="33" t="s">
        <v>26</v>
      </c>
      <c r="B35" s="10" t="s">
        <v>3</v>
      </c>
      <c r="C35" s="10">
        <v>0.1</v>
      </c>
      <c r="D35" s="10" t="s">
        <v>3</v>
      </c>
      <c r="E35" s="10">
        <v>0.1</v>
      </c>
      <c r="F35" s="10" t="s">
        <v>3</v>
      </c>
      <c r="G35" s="10" t="s">
        <v>3</v>
      </c>
      <c r="H35" s="10" t="s">
        <v>3</v>
      </c>
      <c r="I35" s="10" t="s">
        <v>3</v>
      </c>
      <c r="J35" s="11" t="s">
        <v>3</v>
      </c>
      <c r="K35" s="11" t="s">
        <v>3</v>
      </c>
      <c r="L35" s="11" t="s">
        <v>3</v>
      </c>
      <c r="M35" s="11">
        <v>32.594562279999998</v>
      </c>
      <c r="N35" s="11" t="s">
        <v>3</v>
      </c>
      <c r="O35" s="11">
        <v>3.9198999999999998E-2</v>
      </c>
      <c r="P35" s="11">
        <v>76.842890999999995</v>
      </c>
      <c r="Q35" s="11">
        <v>0</v>
      </c>
      <c r="R35" s="11">
        <v>0.27418799999999999</v>
      </c>
      <c r="S35" s="10">
        <v>3.3479969999999999</v>
      </c>
      <c r="T35" s="11">
        <v>0</v>
      </c>
      <c r="U35" s="11">
        <v>1.581051</v>
      </c>
      <c r="V35" s="11">
        <v>8.8752019999999998</v>
      </c>
      <c r="W35" s="11">
        <v>21.526608</v>
      </c>
      <c r="X35" s="11">
        <v>53.816521999999999</v>
      </c>
      <c r="Y35" s="11">
        <v>51.816521999999999</v>
      </c>
    </row>
    <row r="36" spans="1:25">
      <c r="A36" s="33" t="s">
        <v>27</v>
      </c>
      <c r="B36" s="10">
        <v>6.4</v>
      </c>
      <c r="C36" s="10">
        <v>6.4</v>
      </c>
      <c r="D36" s="10" t="s">
        <v>3</v>
      </c>
      <c r="E36" s="10" t="s">
        <v>3</v>
      </c>
      <c r="F36" s="10" t="s">
        <v>3</v>
      </c>
      <c r="G36" s="10" t="s">
        <v>3</v>
      </c>
      <c r="H36" s="10" t="s">
        <v>3</v>
      </c>
      <c r="I36" s="10" t="s">
        <v>3</v>
      </c>
      <c r="J36" s="11">
        <v>8.1359999999999991E-3</v>
      </c>
      <c r="K36" s="11" t="s">
        <v>3</v>
      </c>
      <c r="L36" s="11" t="s">
        <v>3</v>
      </c>
      <c r="M36" s="11" t="s">
        <v>3</v>
      </c>
      <c r="N36" s="11" t="s">
        <v>3</v>
      </c>
      <c r="O36" s="11" t="s">
        <v>3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</row>
    <row r="37" spans="1:25">
      <c r="A37" s="33" t="s">
        <v>28</v>
      </c>
      <c r="B37" s="10">
        <v>0.9</v>
      </c>
      <c r="C37" s="10" t="s">
        <v>3</v>
      </c>
      <c r="D37" s="10" t="s">
        <v>3</v>
      </c>
      <c r="E37" s="10" t="s">
        <v>3</v>
      </c>
      <c r="F37" s="10" t="s">
        <v>3</v>
      </c>
      <c r="G37" s="10">
        <v>31.664140800000002</v>
      </c>
      <c r="H37" s="10" t="s">
        <v>3</v>
      </c>
      <c r="I37" s="10" t="s">
        <v>3</v>
      </c>
      <c r="J37" s="11" t="s">
        <v>3</v>
      </c>
      <c r="K37" s="11" t="s">
        <v>3</v>
      </c>
      <c r="L37" s="11">
        <v>16.755168999999999</v>
      </c>
      <c r="M37" s="11">
        <v>10.760837670000001</v>
      </c>
      <c r="N37" s="11">
        <v>23.757455239999999</v>
      </c>
      <c r="O37" s="11">
        <v>64.223585999999997</v>
      </c>
      <c r="P37" s="11">
        <v>123.820521</v>
      </c>
      <c r="Q37" s="10">
        <v>47.728928000000003</v>
      </c>
      <c r="R37" s="11">
        <v>0</v>
      </c>
      <c r="S37" s="10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</row>
    <row r="38" spans="1:25">
      <c r="A38" s="33" t="s">
        <v>29</v>
      </c>
      <c r="B38" s="10" t="s">
        <v>3</v>
      </c>
      <c r="C38" s="10" t="s">
        <v>3</v>
      </c>
      <c r="D38" s="10" t="s">
        <v>3</v>
      </c>
      <c r="E38" s="10" t="s">
        <v>3</v>
      </c>
      <c r="F38" s="10" t="s">
        <v>3</v>
      </c>
      <c r="G38" s="10" t="s">
        <v>3</v>
      </c>
      <c r="H38" s="10" t="s">
        <v>3</v>
      </c>
      <c r="I38" s="10" t="s">
        <v>3</v>
      </c>
      <c r="J38" s="10" t="s">
        <v>3</v>
      </c>
      <c r="K38" s="11" t="s">
        <v>3</v>
      </c>
      <c r="L38" s="11" t="s">
        <v>3</v>
      </c>
      <c r="M38" s="11">
        <v>363.98654533999991</v>
      </c>
      <c r="N38" s="11">
        <v>1.534</v>
      </c>
      <c r="O38" s="11" t="s">
        <v>3</v>
      </c>
      <c r="P38" s="11">
        <v>0</v>
      </c>
      <c r="Q38" s="11">
        <v>0</v>
      </c>
      <c r="R38" s="11">
        <v>0</v>
      </c>
      <c r="S38" s="11">
        <v>2.3948369999999999</v>
      </c>
      <c r="T38" s="11">
        <v>0</v>
      </c>
      <c r="U38" s="11">
        <v>0</v>
      </c>
      <c r="V38" s="11">
        <v>1.4921420000000001</v>
      </c>
      <c r="W38" s="11">
        <v>2.0680860000000001</v>
      </c>
      <c r="X38" s="11">
        <v>2.1714899999999999</v>
      </c>
      <c r="Y38" s="11">
        <v>2.2800660000000001</v>
      </c>
    </row>
    <row r="39" spans="1:25">
      <c r="A39" s="33" t="s">
        <v>30</v>
      </c>
      <c r="B39" s="10" t="s">
        <v>3</v>
      </c>
      <c r="C39" s="10" t="s">
        <v>3</v>
      </c>
      <c r="D39" s="10">
        <v>17</v>
      </c>
      <c r="E39" s="10">
        <v>17.600000000000001</v>
      </c>
      <c r="F39" s="10" t="s">
        <v>3</v>
      </c>
      <c r="G39" s="10" t="s">
        <v>3</v>
      </c>
      <c r="H39" s="10" t="s">
        <v>3</v>
      </c>
      <c r="I39" s="10" t="s">
        <v>3</v>
      </c>
      <c r="J39" s="11" t="s">
        <v>3</v>
      </c>
      <c r="K39" s="11" t="s">
        <v>3</v>
      </c>
      <c r="L39" s="11" t="s">
        <v>3</v>
      </c>
      <c r="M39" s="11" t="s">
        <v>3</v>
      </c>
      <c r="N39" s="11">
        <v>9.8066689999999998E-2</v>
      </c>
      <c r="O39" s="11">
        <v>6.7067000000000002E-2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</row>
    <row r="40" spans="1:25">
      <c r="A40" s="33" t="s">
        <v>31</v>
      </c>
      <c r="B40" s="10">
        <v>7.9</v>
      </c>
      <c r="C40" s="10">
        <v>7.9</v>
      </c>
      <c r="D40" s="10">
        <v>6</v>
      </c>
      <c r="E40" s="10">
        <v>13.8</v>
      </c>
      <c r="F40" s="10" t="s">
        <v>3</v>
      </c>
      <c r="G40" s="10" t="s">
        <v>3</v>
      </c>
      <c r="H40" s="10" t="s">
        <v>3</v>
      </c>
      <c r="I40" s="10" t="s">
        <v>3</v>
      </c>
      <c r="J40" s="11">
        <v>107.94</v>
      </c>
      <c r="K40" s="11">
        <v>9.8850739999999995</v>
      </c>
      <c r="L40" s="11" t="s">
        <v>3</v>
      </c>
      <c r="M40" s="11" t="s">
        <v>3</v>
      </c>
      <c r="N40" s="11" t="s">
        <v>3</v>
      </c>
      <c r="O40" s="11" t="s">
        <v>3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</row>
    <row r="41" spans="1:25">
      <c r="A41" s="33" t="s">
        <v>32</v>
      </c>
      <c r="B41" s="10">
        <v>0.1</v>
      </c>
      <c r="C41" s="10" t="s">
        <v>3</v>
      </c>
      <c r="D41" s="10" t="s">
        <v>3</v>
      </c>
      <c r="E41" s="10" t="s">
        <v>3</v>
      </c>
      <c r="F41" s="10" t="s">
        <v>3</v>
      </c>
      <c r="G41" s="10" t="s">
        <v>3</v>
      </c>
      <c r="H41" s="10" t="s">
        <v>3</v>
      </c>
      <c r="I41" s="10" t="s">
        <v>3</v>
      </c>
      <c r="J41" s="11" t="s">
        <v>3</v>
      </c>
      <c r="K41" s="11" t="s">
        <v>3</v>
      </c>
      <c r="L41" s="11" t="s">
        <v>3</v>
      </c>
      <c r="M41" s="11">
        <v>4.0323749999999998E-2</v>
      </c>
      <c r="N41" s="11" t="s">
        <v>3</v>
      </c>
      <c r="O41" s="11" t="s">
        <v>3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</row>
    <row r="42" spans="1:25">
      <c r="A42" s="33" t="s">
        <v>33</v>
      </c>
      <c r="B42" s="10" t="s">
        <v>3</v>
      </c>
      <c r="C42" s="10" t="s">
        <v>3</v>
      </c>
      <c r="D42" s="10" t="s">
        <v>3</v>
      </c>
      <c r="E42" s="10" t="s">
        <v>3</v>
      </c>
      <c r="F42" s="10" t="s">
        <v>3</v>
      </c>
      <c r="G42" s="10" t="s">
        <v>3</v>
      </c>
      <c r="H42" s="10" t="s">
        <v>3</v>
      </c>
      <c r="I42" s="10" t="s">
        <v>3</v>
      </c>
      <c r="J42" s="11" t="s">
        <v>3</v>
      </c>
      <c r="K42" s="11">
        <v>0.153062</v>
      </c>
      <c r="L42" s="11" t="s">
        <v>3</v>
      </c>
      <c r="M42" s="11" t="s">
        <v>3</v>
      </c>
      <c r="N42" s="11" t="s">
        <v>3</v>
      </c>
      <c r="O42" s="11" t="s">
        <v>3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</row>
    <row r="43" spans="1:25">
      <c r="A43" s="33" t="s">
        <v>34</v>
      </c>
      <c r="B43" s="10" t="s">
        <v>3</v>
      </c>
      <c r="C43" s="10" t="s">
        <v>3</v>
      </c>
      <c r="D43" s="10" t="s">
        <v>3</v>
      </c>
      <c r="E43" s="10" t="s">
        <v>3</v>
      </c>
      <c r="F43" s="10" t="s">
        <v>3</v>
      </c>
      <c r="G43" s="10" t="s">
        <v>3</v>
      </c>
      <c r="H43" s="10" t="s">
        <v>3</v>
      </c>
      <c r="I43" s="10" t="s">
        <v>3</v>
      </c>
      <c r="J43" s="11" t="s">
        <v>3</v>
      </c>
      <c r="K43" s="11" t="s">
        <v>3</v>
      </c>
      <c r="L43" s="11" t="s">
        <v>3</v>
      </c>
      <c r="M43" s="11">
        <v>3.271E-3</v>
      </c>
      <c r="N43" s="11" t="s">
        <v>3</v>
      </c>
      <c r="O43" s="11">
        <v>0.14033999999999999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</row>
    <row r="44" spans="1:25">
      <c r="A44" s="33" t="s">
        <v>84</v>
      </c>
      <c r="B44" s="10" t="s">
        <v>3</v>
      </c>
      <c r="C44" s="10" t="s">
        <v>3</v>
      </c>
      <c r="D44" s="10" t="s">
        <v>3</v>
      </c>
      <c r="E44" s="10" t="s">
        <v>3</v>
      </c>
      <c r="F44" s="10" t="s">
        <v>3</v>
      </c>
      <c r="G44" s="10" t="s">
        <v>3</v>
      </c>
      <c r="H44" s="10" t="s">
        <v>3</v>
      </c>
      <c r="I44" s="10" t="s">
        <v>3</v>
      </c>
      <c r="J44" s="11" t="s">
        <v>3</v>
      </c>
      <c r="K44" s="11" t="s">
        <v>3</v>
      </c>
      <c r="L44" s="11" t="s">
        <v>3</v>
      </c>
      <c r="M44" s="11" t="s">
        <v>3</v>
      </c>
      <c r="N44" s="11" t="s">
        <v>3</v>
      </c>
      <c r="O44" s="11" t="s">
        <v>3</v>
      </c>
      <c r="P44" s="11">
        <v>0</v>
      </c>
      <c r="Q44" s="11">
        <v>0</v>
      </c>
      <c r="R44" s="11">
        <v>0</v>
      </c>
      <c r="S44" s="11">
        <v>8.4000000000000005E-2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</row>
    <row r="45" spans="1:25">
      <c r="A45" s="33" t="s">
        <v>35</v>
      </c>
      <c r="B45" s="10" t="s">
        <v>3</v>
      </c>
      <c r="C45" s="10" t="s">
        <v>3</v>
      </c>
      <c r="D45" s="10" t="s">
        <v>3</v>
      </c>
      <c r="E45" s="10" t="s">
        <v>3</v>
      </c>
      <c r="F45" s="10" t="s">
        <v>3</v>
      </c>
      <c r="G45" s="10" t="s">
        <v>3</v>
      </c>
      <c r="H45" s="10" t="s">
        <v>3</v>
      </c>
      <c r="I45" s="10" t="s">
        <v>3</v>
      </c>
      <c r="J45" s="11" t="s">
        <v>3</v>
      </c>
      <c r="K45" s="11" t="s">
        <v>3</v>
      </c>
      <c r="L45" s="11" t="s">
        <v>3</v>
      </c>
      <c r="M45" s="11">
        <v>2.0993301699999902</v>
      </c>
      <c r="N45" s="11">
        <v>2.0991015499999999</v>
      </c>
      <c r="O45" s="11" t="s">
        <v>3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</row>
    <row r="46" spans="1:25">
      <c r="A46" s="33" t="s">
        <v>85</v>
      </c>
      <c r="B46" s="10" t="s">
        <v>3</v>
      </c>
      <c r="C46" s="10" t="s">
        <v>3</v>
      </c>
      <c r="D46" s="10" t="s">
        <v>3</v>
      </c>
      <c r="E46" s="10" t="s">
        <v>3</v>
      </c>
      <c r="F46" s="10" t="s">
        <v>3</v>
      </c>
      <c r="G46" s="10" t="s">
        <v>3</v>
      </c>
      <c r="H46" s="10" t="s">
        <v>3</v>
      </c>
      <c r="I46" s="10" t="s">
        <v>3</v>
      </c>
      <c r="J46" s="11" t="s">
        <v>3</v>
      </c>
      <c r="K46" s="11" t="s">
        <v>3</v>
      </c>
      <c r="L46" s="11" t="s">
        <v>3</v>
      </c>
      <c r="M46" s="11" t="s">
        <v>3</v>
      </c>
      <c r="N46" s="11" t="s">
        <v>3</v>
      </c>
      <c r="O46" s="11" t="s">
        <v>3</v>
      </c>
      <c r="P46" s="11">
        <v>0</v>
      </c>
      <c r="Q46" s="11">
        <v>0</v>
      </c>
      <c r="R46" s="11">
        <v>0</v>
      </c>
      <c r="S46" s="10">
        <v>0.30640000000000001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</row>
    <row r="47" spans="1:25">
      <c r="A47" s="33" t="s">
        <v>86</v>
      </c>
      <c r="B47" s="10" t="s">
        <v>3</v>
      </c>
      <c r="C47" s="10" t="s">
        <v>3</v>
      </c>
      <c r="D47" s="10" t="s">
        <v>3</v>
      </c>
      <c r="E47" s="10" t="s">
        <v>3</v>
      </c>
      <c r="F47" s="10" t="s">
        <v>3</v>
      </c>
      <c r="G47" s="10" t="s">
        <v>3</v>
      </c>
      <c r="H47" s="10" t="s">
        <v>3</v>
      </c>
      <c r="I47" s="10" t="s">
        <v>3</v>
      </c>
      <c r="J47" s="11" t="s">
        <v>3</v>
      </c>
      <c r="K47" s="11" t="s">
        <v>3</v>
      </c>
      <c r="L47" s="11" t="s">
        <v>3</v>
      </c>
      <c r="M47" s="11" t="s">
        <v>3</v>
      </c>
      <c r="N47" s="11" t="s">
        <v>3</v>
      </c>
      <c r="O47" s="11" t="s">
        <v>3</v>
      </c>
      <c r="P47" s="11">
        <v>0</v>
      </c>
      <c r="Q47" s="11">
        <v>0</v>
      </c>
      <c r="R47" s="11">
        <v>4.891133</v>
      </c>
      <c r="S47" s="11">
        <v>0.50002500000000005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</row>
    <row r="48" spans="1:25">
      <c r="A48" s="33" t="s">
        <v>4</v>
      </c>
      <c r="B48" s="10" t="s">
        <v>3</v>
      </c>
      <c r="C48" s="10" t="s">
        <v>3</v>
      </c>
      <c r="D48" s="10">
        <v>23</v>
      </c>
      <c r="E48" s="10">
        <v>23.5</v>
      </c>
      <c r="F48" s="10">
        <v>1.484216</v>
      </c>
      <c r="G48" s="10">
        <v>5.2119001999999996</v>
      </c>
      <c r="H48" s="10" t="s">
        <v>3</v>
      </c>
      <c r="I48" s="10" t="s">
        <v>3</v>
      </c>
      <c r="J48" s="11" t="s">
        <v>3</v>
      </c>
      <c r="K48" s="11" t="s">
        <v>3</v>
      </c>
      <c r="L48" s="11" t="s">
        <v>3</v>
      </c>
      <c r="M48" s="11" t="s">
        <v>3</v>
      </c>
      <c r="N48" s="11" t="s">
        <v>3</v>
      </c>
      <c r="O48" s="11" t="s">
        <v>3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</row>
    <row r="49" spans="1:25">
      <c r="A49" s="28"/>
      <c r="B49" s="8"/>
      <c r="C49" s="8"/>
      <c r="D49" s="8"/>
      <c r="E49" s="8"/>
      <c r="F49" s="8"/>
      <c r="G49" s="8"/>
      <c r="H49" s="8"/>
      <c r="I49" s="8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1"/>
      <c r="U49" s="12"/>
      <c r="V49" s="12"/>
      <c r="W49" s="12"/>
      <c r="X49" s="8"/>
    </row>
    <row r="50" spans="1:25">
      <c r="A50" s="13" t="s">
        <v>36</v>
      </c>
      <c r="B50" s="2">
        <v>37.9</v>
      </c>
      <c r="C50" s="2">
        <v>773.19999999999993</v>
      </c>
      <c r="D50" s="2">
        <v>806</v>
      </c>
      <c r="E50" s="2">
        <v>898.30000000000007</v>
      </c>
      <c r="F50" s="2">
        <v>295.82102999999995</v>
      </c>
      <c r="G50" s="2">
        <v>306.76698040000002</v>
      </c>
      <c r="H50" s="2">
        <v>6.7913410000000001</v>
      </c>
      <c r="I50" s="2">
        <v>27.665953999999999</v>
      </c>
      <c r="J50" s="5">
        <v>172.22942128</v>
      </c>
      <c r="K50" s="5">
        <v>70.052438000000009</v>
      </c>
      <c r="L50" s="5">
        <v>83.569238999999996</v>
      </c>
      <c r="M50" s="5">
        <v>204.62045244000001</v>
      </c>
      <c r="N50" s="5">
        <v>189.85664599</v>
      </c>
      <c r="O50" s="5">
        <v>209.56877299999999</v>
      </c>
      <c r="P50" s="5">
        <v>218.563334</v>
      </c>
      <c r="Q50" s="5">
        <v>277.47847899999994</v>
      </c>
      <c r="R50" s="5">
        <v>750.197271</v>
      </c>
      <c r="S50" s="5">
        <f t="shared" ref="S50:Y50" si="2">SUMIF(S51:S111, "&lt;&gt;0")</f>
        <v>557.28416100000015</v>
      </c>
      <c r="T50" s="5">
        <f t="shared" si="2"/>
        <v>397.40539400000006</v>
      </c>
      <c r="U50" s="5">
        <f t="shared" si="2"/>
        <v>436.69879600000019</v>
      </c>
      <c r="V50" s="5">
        <f t="shared" si="2"/>
        <v>392.15336399999995</v>
      </c>
      <c r="W50" s="5">
        <f t="shared" si="2"/>
        <v>365.66734199999996</v>
      </c>
      <c r="X50" s="5">
        <f t="shared" si="2"/>
        <v>573.73480199999995</v>
      </c>
      <c r="Y50" s="5">
        <f t="shared" si="2"/>
        <v>256.78583100000003</v>
      </c>
    </row>
    <row r="51" spans="1:25">
      <c r="A51" s="33" t="s">
        <v>100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</row>
    <row r="52" spans="1:25">
      <c r="A52" s="33" t="s">
        <v>87</v>
      </c>
      <c r="B52" s="10" t="s">
        <v>3</v>
      </c>
      <c r="C52" s="10" t="s">
        <v>3</v>
      </c>
      <c r="D52" s="10" t="s">
        <v>3</v>
      </c>
      <c r="E52" s="10">
        <v>2.5</v>
      </c>
      <c r="F52" s="10" t="s">
        <v>3</v>
      </c>
      <c r="G52" s="10" t="s">
        <v>3</v>
      </c>
      <c r="H52" s="10" t="s">
        <v>3</v>
      </c>
      <c r="I52" s="10" t="s">
        <v>3</v>
      </c>
      <c r="J52" s="11" t="s">
        <v>3</v>
      </c>
      <c r="K52" s="11" t="s">
        <v>3</v>
      </c>
      <c r="L52" s="11" t="s">
        <v>3</v>
      </c>
      <c r="M52" s="11" t="s">
        <v>3</v>
      </c>
      <c r="N52" s="11" t="s">
        <v>3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</row>
    <row r="53" spans="1:25">
      <c r="A53" s="33" t="s">
        <v>37</v>
      </c>
      <c r="B53" s="10" t="s">
        <v>3</v>
      </c>
      <c r="C53" s="10" t="s">
        <v>3</v>
      </c>
      <c r="D53" s="10">
        <v>0.8</v>
      </c>
      <c r="E53" s="10">
        <v>0.7</v>
      </c>
      <c r="F53" s="10">
        <v>0.37727500000000003</v>
      </c>
      <c r="G53" s="10">
        <v>7.9126890000000003</v>
      </c>
      <c r="H53" s="10">
        <v>2.9260739999999998</v>
      </c>
      <c r="I53" s="10">
        <v>0</v>
      </c>
      <c r="J53" s="11">
        <v>5.7275E-2</v>
      </c>
      <c r="K53" s="11" t="s">
        <v>3</v>
      </c>
      <c r="L53" s="11">
        <v>2.169349</v>
      </c>
      <c r="M53" s="11">
        <v>11.418991530000001</v>
      </c>
      <c r="N53" s="11">
        <v>15.54725738</v>
      </c>
      <c r="O53" s="11">
        <v>17.029236999999998</v>
      </c>
      <c r="P53" s="11">
        <v>18.943144</v>
      </c>
      <c r="Q53" s="10">
        <v>8.8921949999999992</v>
      </c>
      <c r="R53" s="10">
        <v>407.23163</v>
      </c>
      <c r="S53" s="10">
        <v>94.644541000000004</v>
      </c>
      <c r="T53" s="11">
        <v>62.860841999999998</v>
      </c>
      <c r="U53" s="11">
        <v>13.893376999999999</v>
      </c>
      <c r="V53" s="11">
        <v>29.841652</v>
      </c>
      <c r="W53" s="11">
        <v>109.47017099999999</v>
      </c>
      <c r="X53" s="11">
        <v>240.30447599999999</v>
      </c>
      <c r="Y53" s="11">
        <v>55.753582999999999</v>
      </c>
    </row>
    <row r="54" spans="1:25">
      <c r="A54" s="33" t="s">
        <v>38</v>
      </c>
      <c r="B54" s="10" t="s">
        <v>3</v>
      </c>
      <c r="C54" s="10" t="s">
        <v>3</v>
      </c>
      <c r="D54" s="10" t="s">
        <v>3</v>
      </c>
      <c r="E54" s="10" t="s">
        <v>3</v>
      </c>
      <c r="F54" s="10" t="s">
        <v>3</v>
      </c>
      <c r="G54" s="10" t="s">
        <v>3</v>
      </c>
      <c r="H54" s="10" t="s">
        <v>3</v>
      </c>
      <c r="I54" s="10" t="s">
        <v>3</v>
      </c>
      <c r="J54" s="11" t="s">
        <v>3</v>
      </c>
      <c r="K54" s="11" t="s">
        <v>3</v>
      </c>
      <c r="L54" s="11">
        <v>7.4315000000000006E-2</v>
      </c>
      <c r="M54" s="11" t="s">
        <v>3</v>
      </c>
      <c r="N54" s="11" t="s">
        <v>3</v>
      </c>
      <c r="O54" s="11" t="s">
        <v>3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</row>
    <row r="55" spans="1:25">
      <c r="A55" s="33" t="s">
        <v>39</v>
      </c>
      <c r="B55" s="10" t="s">
        <v>3</v>
      </c>
      <c r="C55" s="10" t="s">
        <v>3</v>
      </c>
      <c r="D55" s="10" t="s">
        <v>3</v>
      </c>
      <c r="E55" s="10" t="s">
        <v>3</v>
      </c>
      <c r="F55" s="10" t="s">
        <v>3</v>
      </c>
      <c r="G55" s="10" t="s">
        <v>3</v>
      </c>
      <c r="H55" s="10" t="s">
        <v>3</v>
      </c>
      <c r="I55" s="10" t="s">
        <v>3</v>
      </c>
      <c r="J55" s="11" t="s">
        <v>3</v>
      </c>
      <c r="K55" s="11" t="s">
        <v>3</v>
      </c>
      <c r="L55" s="11">
        <v>0.13536100000000001</v>
      </c>
      <c r="M55" s="11">
        <v>2.3327650000000002E-2</v>
      </c>
      <c r="N55" s="11">
        <v>5.3377680000000004E-2</v>
      </c>
      <c r="O55" s="11">
        <v>5.9060000000000001E-2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</row>
    <row r="56" spans="1:25">
      <c r="A56" s="33" t="s">
        <v>104</v>
      </c>
      <c r="B56" s="10" t="s">
        <v>3</v>
      </c>
      <c r="C56" s="10" t="s">
        <v>3</v>
      </c>
      <c r="D56" s="10" t="s">
        <v>3</v>
      </c>
      <c r="E56" s="10" t="s">
        <v>3</v>
      </c>
      <c r="F56" s="10" t="s">
        <v>3</v>
      </c>
      <c r="G56" s="10" t="s">
        <v>3</v>
      </c>
      <c r="H56" s="10" t="s">
        <v>3</v>
      </c>
      <c r="I56" s="10" t="s">
        <v>3</v>
      </c>
      <c r="J56" s="11" t="s">
        <v>3</v>
      </c>
      <c r="K56" s="11" t="s">
        <v>3</v>
      </c>
      <c r="L56" s="11" t="s">
        <v>3</v>
      </c>
      <c r="M56" s="11">
        <v>0</v>
      </c>
      <c r="N56" s="11">
        <v>8.96256E-2</v>
      </c>
      <c r="O56" s="11">
        <v>1.176E-3</v>
      </c>
      <c r="P56" s="11">
        <v>5.692E-3</v>
      </c>
      <c r="Q56" s="11">
        <v>5.7300000000000005E-4</v>
      </c>
      <c r="R56" s="11">
        <v>0</v>
      </c>
      <c r="S56" s="10">
        <v>2.2033000000000001E-2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</row>
    <row r="57" spans="1:25">
      <c r="A57" s="33" t="s">
        <v>40</v>
      </c>
      <c r="B57" s="10" t="s">
        <v>3</v>
      </c>
      <c r="C57" s="10" t="s">
        <v>3</v>
      </c>
      <c r="D57" s="10" t="s">
        <v>3</v>
      </c>
      <c r="E57" s="10" t="s">
        <v>3</v>
      </c>
      <c r="F57" s="10" t="s">
        <v>3</v>
      </c>
      <c r="G57" s="10" t="s">
        <v>3</v>
      </c>
      <c r="H57" s="10" t="s">
        <v>3</v>
      </c>
      <c r="I57" s="10" t="s">
        <v>3</v>
      </c>
      <c r="J57" s="11">
        <v>0.11934500000000001</v>
      </c>
      <c r="K57" s="11" t="s">
        <v>3</v>
      </c>
      <c r="L57" s="11" t="s">
        <v>3</v>
      </c>
      <c r="M57" s="11">
        <v>0.36029232999999905</v>
      </c>
      <c r="N57" s="11">
        <v>0.15293147000000001</v>
      </c>
      <c r="O57" s="11" t="s">
        <v>3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</row>
    <row r="58" spans="1:25">
      <c r="A58" s="33" t="s">
        <v>41</v>
      </c>
      <c r="B58" s="10" t="s">
        <v>3</v>
      </c>
      <c r="C58" s="10" t="s">
        <v>3</v>
      </c>
      <c r="D58" s="10" t="s">
        <v>3</v>
      </c>
      <c r="E58" s="10" t="s">
        <v>3</v>
      </c>
      <c r="F58" s="10" t="s">
        <v>3</v>
      </c>
      <c r="G58" s="10" t="s">
        <v>3</v>
      </c>
      <c r="H58" s="10" t="s">
        <v>3</v>
      </c>
      <c r="I58" s="10" t="s">
        <v>3</v>
      </c>
      <c r="J58" s="11" t="s">
        <v>3</v>
      </c>
      <c r="K58" s="11" t="s">
        <v>3</v>
      </c>
      <c r="L58" s="11" t="s">
        <v>3</v>
      </c>
      <c r="M58" s="11">
        <v>2.3935820099999998</v>
      </c>
      <c r="N58" s="11">
        <v>0.22879374999999999</v>
      </c>
      <c r="O58" s="11" t="s">
        <v>3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</row>
    <row r="59" spans="1:25">
      <c r="A59" s="33" t="s">
        <v>77</v>
      </c>
      <c r="B59" s="10" t="s">
        <v>3</v>
      </c>
      <c r="C59" s="10" t="s">
        <v>3</v>
      </c>
      <c r="D59" s="10" t="s">
        <v>3</v>
      </c>
      <c r="E59" s="10" t="s">
        <v>3</v>
      </c>
      <c r="F59" s="10" t="s">
        <v>3</v>
      </c>
      <c r="G59" s="10" t="s">
        <v>3</v>
      </c>
      <c r="H59" s="10" t="s">
        <v>3</v>
      </c>
      <c r="I59" s="10" t="s">
        <v>3</v>
      </c>
      <c r="J59" s="11" t="s">
        <v>3</v>
      </c>
      <c r="K59" s="11" t="s">
        <v>3</v>
      </c>
      <c r="L59" s="11" t="s">
        <v>3</v>
      </c>
      <c r="M59" s="11" t="s">
        <v>3</v>
      </c>
      <c r="N59" s="11" t="s">
        <v>3</v>
      </c>
      <c r="O59" s="11" t="s">
        <v>3</v>
      </c>
      <c r="P59" s="11" t="s">
        <v>3</v>
      </c>
      <c r="Q59" s="11" t="s">
        <v>3</v>
      </c>
      <c r="R59" s="11" t="s">
        <v>3</v>
      </c>
      <c r="S59" s="11">
        <v>0</v>
      </c>
      <c r="T59" s="11">
        <v>0</v>
      </c>
      <c r="U59" s="11">
        <v>0</v>
      </c>
      <c r="V59" s="11">
        <v>0</v>
      </c>
      <c r="W59" s="11">
        <v>8.3556000000000005E-2</v>
      </c>
      <c r="X59" s="11">
        <v>0.100921</v>
      </c>
      <c r="Y59" s="11">
        <v>0.107138</v>
      </c>
    </row>
    <row r="60" spans="1:25">
      <c r="A60" s="33" t="s">
        <v>105</v>
      </c>
      <c r="B60" s="10" t="s">
        <v>3</v>
      </c>
      <c r="C60" s="10" t="s">
        <v>3</v>
      </c>
      <c r="D60" s="10" t="s">
        <v>3</v>
      </c>
      <c r="E60" s="10" t="s">
        <v>3</v>
      </c>
      <c r="F60" s="10" t="s">
        <v>3</v>
      </c>
      <c r="G60" s="10" t="s">
        <v>3</v>
      </c>
      <c r="H60" s="10" t="s">
        <v>3</v>
      </c>
      <c r="I60" s="10">
        <v>0.43798500000000001</v>
      </c>
      <c r="J60" s="11" t="s">
        <v>3</v>
      </c>
      <c r="K60" s="11">
        <v>0.18181</v>
      </c>
      <c r="L60" s="11" t="s">
        <v>3</v>
      </c>
      <c r="M60" s="11">
        <v>6.6485919999999893E-2</v>
      </c>
      <c r="N60" s="11">
        <v>0.19484226000000002</v>
      </c>
      <c r="O60" s="11" t="s">
        <v>3</v>
      </c>
      <c r="P60" s="11">
        <v>0</v>
      </c>
      <c r="Q60" s="11">
        <v>0</v>
      </c>
      <c r="R60" s="11">
        <v>0.451013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</row>
    <row r="61" spans="1:25">
      <c r="A61" s="33" t="s">
        <v>88</v>
      </c>
      <c r="B61" s="10" t="s">
        <v>3</v>
      </c>
      <c r="C61" s="10" t="s">
        <v>3</v>
      </c>
      <c r="D61" s="10" t="s">
        <v>3</v>
      </c>
      <c r="E61" s="10" t="s">
        <v>3</v>
      </c>
      <c r="F61" s="10" t="s">
        <v>3</v>
      </c>
      <c r="G61" s="10" t="s">
        <v>3</v>
      </c>
      <c r="H61" s="10" t="s">
        <v>3</v>
      </c>
      <c r="I61" s="10" t="s">
        <v>3</v>
      </c>
      <c r="J61" s="11" t="s">
        <v>3</v>
      </c>
      <c r="K61" s="11" t="s">
        <v>3</v>
      </c>
      <c r="L61" s="11" t="s">
        <v>3</v>
      </c>
      <c r="M61" s="11" t="s">
        <v>3</v>
      </c>
      <c r="N61" s="11" t="s">
        <v>3</v>
      </c>
      <c r="O61" s="11" t="s">
        <v>3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</row>
    <row r="62" spans="1:25">
      <c r="A62" s="33" t="s">
        <v>42</v>
      </c>
      <c r="B62" s="10" t="s">
        <v>3</v>
      </c>
      <c r="C62" s="10" t="s">
        <v>3</v>
      </c>
      <c r="D62" s="10" t="s">
        <v>3</v>
      </c>
      <c r="E62" s="10" t="s">
        <v>3</v>
      </c>
      <c r="F62" s="10" t="s">
        <v>3</v>
      </c>
      <c r="G62" s="10" t="s">
        <v>3</v>
      </c>
      <c r="H62" s="10" t="s">
        <v>3</v>
      </c>
      <c r="I62" s="10">
        <v>1.006378</v>
      </c>
      <c r="J62" s="11">
        <v>0.217976</v>
      </c>
      <c r="K62" s="11">
        <v>0.24321599999999999</v>
      </c>
      <c r="L62" s="11">
        <v>1.025882</v>
      </c>
      <c r="M62" s="11">
        <v>0.61588186999999983</v>
      </c>
      <c r="N62" s="11">
        <v>0.11405083000000001</v>
      </c>
      <c r="O62" s="11">
        <v>0.66891299999999998</v>
      </c>
      <c r="P62" s="11">
        <v>0.14254600000000001</v>
      </c>
      <c r="Q62" s="11">
        <v>9.7059000000000006E-2</v>
      </c>
      <c r="R62" s="11">
        <v>1.6556999999999999E-2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</row>
    <row r="63" spans="1:25">
      <c r="A63" s="33" t="s">
        <v>43</v>
      </c>
      <c r="B63" s="10" t="s">
        <v>3</v>
      </c>
      <c r="C63" s="10" t="s">
        <v>3</v>
      </c>
      <c r="D63" s="10" t="s">
        <v>3</v>
      </c>
      <c r="E63" s="10" t="s">
        <v>3</v>
      </c>
      <c r="F63" s="10" t="s">
        <v>3</v>
      </c>
      <c r="G63" s="10" t="s">
        <v>3</v>
      </c>
      <c r="H63" s="10" t="s">
        <v>3</v>
      </c>
      <c r="I63" s="10" t="s">
        <v>3</v>
      </c>
      <c r="J63" s="11" t="s">
        <v>3</v>
      </c>
      <c r="K63" s="11" t="s">
        <v>3</v>
      </c>
      <c r="L63" s="11" t="s">
        <v>3</v>
      </c>
      <c r="M63" s="11">
        <v>1.2761966999999999</v>
      </c>
      <c r="N63" s="11">
        <v>0.3</v>
      </c>
      <c r="O63" s="11">
        <v>0.180143</v>
      </c>
      <c r="P63" s="11">
        <v>0.22956299999999999</v>
      </c>
      <c r="Q63" s="11">
        <v>0</v>
      </c>
      <c r="R63" s="11">
        <v>0</v>
      </c>
      <c r="S63" s="11">
        <v>0.92100000000000004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</row>
    <row r="64" spans="1:25">
      <c r="A64" s="33" t="s">
        <v>44</v>
      </c>
      <c r="B64" s="10" t="s">
        <v>3</v>
      </c>
      <c r="C64" s="10" t="s">
        <v>3</v>
      </c>
      <c r="D64" s="10" t="s">
        <v>3</v>
      </c>
      <c r="E64" s="10" t="s">
        <v>3</v>
      </c>
      <c r="F64" s="10" t="s">
        <v>3</v>
      </c>
      <c r="G64" s="10" t="s">
        <v>3</v>
      </c>
      <c r="H64" s="10" t="s">
        <v>3</v>
      </c>
      <c r="I64" s="10">
        <v>2.9656419999999999</v>
      </c>
      <c r="J64" s="11">
        <v>3.4063859999999999</v>
      </c>
      <c r="K64" s="11" t="s">
        <v>3</v>
      </c>
      <c r="L64" s="11" t="s">
        <v>3</v>
      </c>
      <c r="M64" s="11" t="s">
        <v>3</v>
      </c>
      <c r="N64" s="11" t="s">
        <v>3</v>
      </c>
      <c r="O64" s="11" t="s">
        <v>3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</row>
    <row r="65" spans="1:25">
      <c r="A65" s="33" t="s">
        <v>45</v>
      </c>
      <c r="B65" s="10" t="s">
        <v>3</v>
      </c>
      <c r="C65" s="10" t="s">
        <v>3</v>
      </c>
      <c r="D65" s="10" t="s">
        <v>3</v>
      </c>
      <c r="E65" s="10" t="s">
        <v>3</v>
      </c>
      <c r="F65" s="10" t="s">
        <v>3</v>
      </c>
      <c r="G65" s="10" t="s">
        <v>3</v>
      </c>
      <c r="H65" s="10" t="s">
        <v>3</v>
      </c>
      <c r="I65" s="10" t="s">
        <v>3</v>
      </c>
      <c r="J65" s="11" t="s">
        <v>3</v>
      </c>
      <c r="K65" s="11" t="s">
        <v>3</v>
      </c>
      <c r="L65" s="11" t="s">
        <v>3</v>
      </c>
      <c r="M65" s="11" t="s">
        <v>3</v>
      </c>
      <c r="N65" s="11">
        <v>0.16878089000000002</v>
      </c>
      <c r="O65" s="11" t="s">
        <v>3</v>
      </c>
      <c r="P65" s="11">
        <v>0</v>
      </c>
      <c r="Q65" s="11">
        <v>52.355212000000002</v>
      </c>
      <c r="R65" s="11">
        <v>0</v>
      </c>
      <c r="S65" s="11">
        <v>0</v>
      </c>
      <c r="T65" s="11">
        <v>8.2192000000000001E-2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</row>
    <row r="66" spans="1:25">
      <c r="A66" s="33" t="s">
        <v>106</v>
      </c>
      <c r="B66" s="10"/>
      <c r="C66" s="10"/>
      <c r="D66" s="10"/>
      <c r="E66" s="10"/>
      <c r="F66" s="10"/>
      <c r="G66" s="10"/>
      <c r="H66" s="10"/>
      <c r="I66" s="10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>
        <v>0</v>
      </c>
      <c r="V66" s="11">
        <v>0</v>
      </c>
      <c r="W66" s="11">
        <v>36.445492999999999</v>
      </c>
      <c r="X66" s="11">
        <v>118.390134</v>
      </c>
      <c r="Y66" s="11">
        <v>88.792985999999999</v>
      </c>
    </row>
    <row r="67" spans="1:25">
      <c r="A67" s="33" t="s">
        <v>46</v>
      </c>
      <c r="B67" s="10" t="s">
        <v>3</v>
      </c>
      <c r="C67" s="10" t="s">
        <v>3</v>
      </c>
      <c r="D67" s="10" t="s">
        <v>3</v>
      </c>
      <c r="E67" s="10" t="s">
        <v>3</v>
      </c>
      <c r="F67" s="10" t="s">
        <v>3</v>
      </c>
      <c r="G67" s="10" t="s">
        <v>3</v>
      </c>
      <c r="H67" s="10" t="s">
        <v>3</v>
      </c>
      <c r="I67" s="10" t="s">
        <v>3</v>
      </c>
      <c r="J67" s="11">
        <v>0.18378</v>
      </c>
      <c r="K67" s="11">
        <v>0.59766399999999997</v>
      </c>
      <c r="L67" s="11" t="s">
        <v>3</v>
      </c>
      <c r="M67" s="11" t="s">
        <v>3</v>
      </c>
      <c r="N67" s="11" t="s">
        <v>3</v>
      </c>
      <c r="O67" s="11" t="s">
        <v>3</v>
      </c>
      <c r="P67" s="11">
        <v>1.2279</v>
      </c>
      <c r="Q67" s="11">
        <v>0.99475000000000002</v>
      </c>
      <c r="R67" s="11">
        <v>0.84277100000000005</v>
      </c>
      <c r="S67" s="10">
        <v>10.51238</v>
      </c>
      <c r="T67" s="11">
        <v>8.5608920000000008</v>
      </c>
      <c r="U67" s="11">
        <v>6.3496709999999998</v>
      </c>
      <c r="V67" s="11">
        <v>14.888650999999999</v>
      </c>
      <c r="W67" s="11">
        <v>7.805517</v>
      </c>
      <c r="X67" s="11">
        <v>7.8644949999999998</v>
      </c>
      <c r="Y67" s="11">
        <v>7.9246509999999999</v>
      </c>
    </row>
    <row r="68" spans="1:25">
      <c r="A68" s="33" t="s">
        <v>89</v>
      </c>
      <c r="B68" s="10" t="s">
        <v>3</v>
      </c>
      <c r="C68" s="10" t="s">
        <v>3</v>
      </c>
      <c r="D68" s="10" t="s">
        <v>3</v>
      </c>
      <c r="E68" s="10" t="s">
        <v>3</v>
      </c>
      <c r="F68" s="10" t="s">
        <v>3</v>
      </c>
      <c r="G68" s="10" t="s">
        <v>3</v>
      </c>
      <c r="H68" s="10" t="s">
        <v>3</v>
      </c>
      <c r="I68" s="10" t="s">
        <v>3</v>
      </c>
      <c r="J68" s="11" t="s">
        <v>3</v>
      </c>
      <c r="K68" s="11" t="s">
        <v>3</v>
      </c>
      <c r="L68" s="11" t="s">
        <v>3</v>
      </c>
      <c r="M68" s="11" t="s">
        <v>3</v>
      </c>
      <c r="N68" s="11" t="s">
        <v>3</v>
      </c>
      <c r="O68" s="11" t="s">
        <v>3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</row>
    <row r="69" spans="1:25">
      <c r="A69" s="33" t="s">
        <v>47</v>
      </c>
      <c r="B69" s="10" t="s">
        <v>3</v>
      </c>
      <c r="C69" s="10" t="s">
        <v>3</v>
      </c>
      <c r="D69" s="10" t="s">
        <v>3</v>
      </c>
      <c r="E69" s="10" t="s">
        <v>3</v>
      </c>
      <c r="F69" s="10" t="s">
        <v>3</v>
      </c>
      <c r="G69" s="10" t="s">
        <v>3</v>
      </c>
      <c r="H69" s="10" t="s">
        <v>3</v>
      </c>
      <c r="I69" s="10">
        <v>0.128665</v>
      </c>
      <c r="J69" s="11">
        <v>0.100574</v>
      </c>
      <c r="K69" s="11" t="s">
        <v>3</v>
      </c>
      <c r="L69" s="11" t="s">
        <v>3</v>
      </c>
      <c r="M69" s="11" t="s">
        <v>3</v>
      </c>
      <c r="N69" s="11" t="s">
        <v>3</v>
      </c>
      <c r="O69" s="11" t="s">
        <v>3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</row>
    <row r="70" spans="1:25">
      <c r="A70" s="33" t="s">
        <v>103</v>
      </c>
      <c r="B70" s="10" t="s">
        <v>3</v>
      </c>
      <c r="C70" s="10" t="s">
        <v>3</v>
      </c>
      <c r="D70" s="10" t="s">
        <v>3</v>
      </c>
      <c r="E70" s="10" t="s">
        <v>3</v>
      </c>
      <c r="F70" s="10" t="s">
        <v>3</v>
      </c>
      <c r="G70" s="10" t="s">
        <v>3</v>
      </c>
      <c r="H70" s="10" t="s">
        <v>3</v>
      </c>
      <c r="I70" s="10" t="s">
        <v>3</v>
      </c>
      <c r="J70" s="11" t="s">
        <v>3</v>
      </c>
      <c r="K70" s="11" t="s">
        <v>3</v>
      </c>
      <c r="L70" s="11" t="s">
        <v>3</v>
      </c>
      <c r="M70" s="11" t="s">
        <v>3</v>
      </c>
      <c r="N70" s="11" t="s">
        <v>3</v>
      </c>
      <c r="O70" s="11" t="s">
        <v>3</v>
      </c>
      <c r="P70" s="11" t="s">
        <v>3</v>
      </c>
      <c r="Q70" s="11" t="s">
        <v>3</v>
      </c>
      <c r="R70" s="11" t="s">
        <v>3</v>
      </c>
      <c r="S70" s="11">
        <v>0</v>
      </c>
      <c r="T70" s="11">
        <v>8.3267999999999995E-2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</row>
    <row r="71" spans="1:25">
      <c r="A71" s="33" t="s">
        <v>102</v>
      </c>
      <c r="B71" s="10" t="s">
        <v>3</v>
      </c>
      <c r="C71" s="10" t="s">
        <v>3</v>
      </c>
      <c r="D71" s="10" t="s">
        <v>3</v>
      </c>
      <c r="E71" s="10" t="s">
        <v>3</v>
      </c>
      <c r="F71" s="10" t="s">
        <v>3</v>
      </c>
      <c r="G71" s="10" t="s">
        <v>3</v>
      </c>
      <c r="H71" s="10" t="s">
        <v>3</v>
      </c>
      <c r="I71" s="10" t="s">
        <v>3</v>
      </c>
      <c r="J71" s="11" t="s">
        <v>3</v>
      </c>
      <c r="K71" s="11" t="s">
        <v>3</v>
      </c>
      <c r="L71" s="11" t="s">
        <v>3</v>
      </c>
      <c r="M71" s="11" t="s">
        <v>3</v>
      </c>
      <c r="N71" s="11" t="s">
        <v>3</v>
      </c>
      <c r="O71" s="11" t="s">
        <v>3</v>
      </c>
      <c r="P71" s="11" t="s">
        <v>3</v>
      </c>
      <c r="Q71" s="11" t="s">
        <v>3</v>
      </c>
      <c r="R71" s="11" t="s">
        <v>3</v>
      </c>
      <c r="S71" s="11">
        <v>0</v>
      </c>
      <c r="T71" s="11">
        <v>1.834997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</row>
    <row r="72" spans="1:25">
      <c r="A72" s="33" t="s">
        <v>48</v>
      </c>
      <c r="B72" s="10" t="s">
        <v>3</v>
      </c>
      <c r="C72" s="10" t="s">
        <v>3</v>
      </c>
      <c r="D72" s="10" t="s">
        <v>3</v>
      </c>
      <c r="E72" s="10" t="s">
        <v>3</v>
      </c>
      <c r="F72" s="10" t="s">
        <v>3</v>
      </c>
      <c r="G72" s="10" t="s">
        <v>3</v>
      </c>
      <c r="H72" s="10" t="s">
        <v>3</v>
      </c>
      <c r="I72" s="10" t="s">
        <v>3</v>
      </c>
      <c r="J72" s="11">
        <v>56.042175</v>
      </c>
      <c r="K72" s="11">
        <v>5.3110780000000002</v>
      </c>
      <c r="L72" s="11">
        <v>1.9840000000000001E-3</v>
      </c>
      <c r="M72" s="11">
        <v>0.37301039000000002</v>
      </c>
      <c r="N72" s="11" t="s">
        <v>3</v>
      </c>
      <c r="O72" s="11" t="s">
        <v>3</v>
      </c>
      <c r="P72" s="11">
        <v>0</v>
      </c>
      <c r="Q72" s="11">
        <v>0</v>
      </c>
      <c r="R72" s="11">
        <v>0</v>
      </c>
      <c r="S72" s="11">
        <v>387.06790000000001</v>
      </c>
      <c r="T72" s="11">
        <v>211.080637</v>
      </c>
      <c r="U72" s="11">
        <v>340.02246200000002</v>
      </c>
      <c r="V72" s="11">
        <v>279.80773499999998</v>
      </c>
      <c r="W72" s="11">
        <v>163.85812000000001</v>
      </c>
      <c r="X72" s="11">
        <v>173.85048800000001</v>
      </c>
      <c r="Y72" s="11">
        <v>77.784234999999995</v>
      </c>
    </row>
    <row r="73" spans="1:25">
      <c r="A73" s="33" t="s">
        <v>49</v>
      </c>
      <c r="B73" s="10" t="s">
        <v>3</v>
      </c>
      <c r="C73" s="10" t="s">
        <v>3</v>
      </c>
      <c r="D73" s="10" t="s">
        <v>3</v>
      </c>
      <c r="E73" s="10">
        <v>0.2</v>
      </c>
      <c r="F73" s="10">
        <v>9.2590000000000006E-2</v>
      </c>
      <c r="G73" s="10">
        <v>2.3064000000000001E-2</v>
      </c>
      <c r="H73" s="10" t="s">
        <v>3</v>
      </c>
      <c r="I73" s="10" t="s">
        <v>3</v>
      </c>
      <c r="J73" s="11" t="s">
        <v>3</v>
      </c>
      <c r="K73" s="11" t="s">
        <v>3</v>
      </c>
      <c r="L73" s="11">
        <v>0.35753099999999999</v>
      </c>
      <c r="M73" s="11">
        <v>0.10817053999999901</v>
      </c>
      <c r="N73" s="11" t="s">
        <v>3</v>
      </c>
      <c r="O73" s="11" t="s">
        <v>3</v>
      </c>
      <c r="P73" s="11">
        <v>0</v>
      </c>
      <c r="Q73" s="11">
        <v>0</v>
      </c>
      <c r="R73" s="11">
        <v>3.4716999999999998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</row>
    <row r="74" spans="1:25">
      <c r="A74" s="33" t="s">
        <v>90</v>
      </c>
      <c r="B74" s="10" t="s">
        <v>3</v>
      </c>
      <c r="C74" s="10">
        <v>733.8</v>
      </c>
      <c r="D74" s="10">
        <v>746.8</v>
      </c>
      <c r="E74" s="10">
        <v>840.2</v>
      </c>
      <c r="F74" s="10" t="s">
        <v>3</v>
      </c>
      <c r="G74" s="10" t="s">
        <v>3</v>
      </c>
      <c r="H74" s="10" t="s">
        <v>3</v>
      </c>
      <c r="I74" s="10" t="s">
        <v>3</v>
      </c>
      <c r="J74" s="11" t="s">
        <v>3</v>
      </c>
      <c r="K74" s="11" t="s">
        <v>3</v>
      </c>
      <c r="L74" s="11" t="s">
        <v>3</v>
      </c>
      <c r="M74" s="11" t="s">
        <v>3</v>
      </c>
      <c r="N74" s="11" t="s">
        <v>3</v>
      </c>
      <c r="O74" s="11" t="s">
        <v>3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</row>
    <row r="75" spans="1:25">
      <c r="A75" s="33" t="s">
        <v>50</v>
      </c>
      <c r="B75" s="10" t="s">
        <v>3</v>
      </c>
      <c r="C75" s="10" t="s">
        <v>3</v>
      </c>
      <c r="D75" s="10" t="s">
        <v>3</v>
      </c>
      <c r="E75" s="10" t="s">
        <v>3</v>
      </c>
      <c r="F75" s="10" t="s">
        <v>3</v>
      </c>
      <c r="G75" s="10" t="s">
        <v>3</v>
      </c>
      <c r="H75" s="10" t="s">
        <v>3</v>
      </c>
      <c r="I75" s="10" t="s">
        <v>3</v>
      </c>
      <c r="J75" s="11" t="s">
        <v>3</v>
      </c>
      <c r="K75" s="11" t="s">
        <v>3</v>
      </c>
      <c r="L75" s="11" t="s">
        <v>3</v>
      </c>
      <c r="M75" s="11">
        <v>0.14424824</v>
      </c>
      <c r="N75" s="11">
        <v>10.375067900000001</v>
      </c>
      <c r="O75" s="11">
        <v>7.0925589999999996</v>
      </c>
      <c r="P75" s="11">
        <v>6.6395689999999998</v>
      </c>
      <c r="Q75" s="11">
        <v>6.1701969999999999</v>
      </c>
      <c r="R75" s="11">
        <v>2.7705799999999998</v>
      </c>
      <c r="S75" s="10">
        <v>0.48805900000000002</v>
      </c>
      <c r="T75" s="11">
        <v>0.45865400000000001</v>
      </c>
      <c r="U75" s="11">
        <v>3.8806E-2</v>
      </c>
      <c r="V75" s="11">
        <v>0</v>
      </c>
      <c r="W75" s="11">
        <v>1.40286</v>
      </c>
      <c r="X75" s="11">
        <v>0</v>
      </c>
      <c r="Y75" s="11">
        <v>0</v>
      </c>
    </row>
    <row r="76" spans="1:25">
      <c r="A76" s="33" t="s">
        <v>51</v>
      </c>
      <c r="B76" s="10" t="s">
        <v>3</v>
      </c>
      <c r="C76" s="10" t="s">
        <v>3</v>
      </c>
      <c r="D76" s="10" t="s">
        <v>3</v>
      </c>
      <c r="E76" s="10" t="s">
        <v>3</v>
      </c>
      <c r="F76" s="10" t="s">
        <v>3</v>
      </c>
      <c r="G76" s="10" t="s">
        <v>3</v>
      </c>
      <c r="H76" s="10" t="s">
        <v>3</v>
      </c>
      <c r="I76" s="10" t="s">
        <v>3</v>
      </c>
      <c r="J76" s="11" t="s">
        <v>3</v>
      </c>
      <c r="K76" s="11" t="s">
        <v>3</v>
      </c>
      <c r="L76" s="11">
        <v>1.1705E-2</v>
      </c>
      <c r="M76" s="11" t="s">
        <v>3</v>
      </c>
      <c r="N76" s="11" t="s">
        <v>3</v>
      </c>
      <c r="O76" s="11" t="s">
        <v>3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</row>
    <row r="77" spans="1:25">
      <c r="A77" s="33" t="s">
        <v>91</v>
      </c>
      <c r="B77" s="10" t="s">
        <v>3</v>
      </c>
      <c r="C77" s="10" t="s">
        <v>3</v>
      </c>
      <c r="D77" s="10" t="s">
        <v>3</v>
      </c>
      <c r="E77" s="10" t="s">
        <v>3</v>
      </c>
      <c r="F77" s="10" t="s">
        <v>3</v>
      </c>
      <c r="G77" s="10" t="s">
        <v>3</v>
      </c>
      <c r="H77" s="10" t="s">
        <v>3</v>
      </c>
      <c r="I77" s="10" t="s">
        <v>3</v>
      </c>
      <c r="J77" s="11" t="s">
        <v>3</v>
      </c>
      <c r="K77" s="11" t="s">
        <v>3</v>
      </c>
      <c r="L77" s="11" t="s">
        <v>3</v>
      </c>
      <c r="M77" s="11" t="s">
        <v>3</v>
      </c>
      <c r="N77" s="11" t="s">
        <v>3</v>
      </c>
      <c r="O77" s="11" t="s">
        <v>3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</row>
    <row r="78" spans="1:25">
      <c r="A78" s="33" t="s">
        <v>52</v>
      </c>
      <c r="B78" s="10" t="s">
        <v>3</v>
      </c>
      <c r="C78" s="10" t="s">
        <v>3</v>
      </c>
      <c r="D78" s="10" t="s">
        <v>3</v>
      </c>
      <c r="E78" s="10" t="s">
        <v>3</v>
      </c>
      <c r="F78" s="10" t="s">
        <v>3</v>
      </c>
      <c r="G78" s="10" t="s">
        <v>3</v>
      </c>
      <c r="H78" s="10" t="s">
        <v>3</v>
      </c>
      <c r="I78" s="10" t="s">
        <v>3</v>
      </c>
      <c r="J78" s="11" t="s">
        <v>3</v>
      </c>
      <c r="K78" s="11" t="s">
        <v>3</v>
      </c>
      <c r="L78" s="11" t="s">
        <v>3</v>
      </c>
      <c r="M78" s="11" t="s">
        <v>3</v>
      </c>
      <c r="N78" s="11">
        <v>3.990399E-2</v>
      </c>
      <c r="O78" s="11" t="s">
        <v>3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</row>
    <row r="79" spans="1:25">
      <c r="A79" s="33" t="s">
        <v>92</v>
      </c>
      <c r="B79" s="10" t="s">
        <v>3</v>
      </c>
      <c r="C79" s="10" t="s">
        <v>3</v>
      </c>
      <c r="D79" s="10" t="s">
        <v>3</v>
      </c>
      <c r="E79" s="10" t="s">
        <v>3</v>
      </c>
      <c r="F79" s="10" t="s">
        <v>3</v>
      </c>
      <c r="G79" s="10" t="s">
        <v>3</v>
      </c>
      <c r="H79" s="10" t="s">
        <v>3</v>
      </c>
      <c r="I79" s="10" t="s">
        <v>3</v>
      </c>
      <c r="J79" s="11">
        <v>9.6279000000000003E-2</v>
      </c>
      <c r="K79" s="11" t="s">
        <v>3</v>
      </c>
      <c r="L79" s="11" t="s">
        <v>3</v>
      </c>
      <c r="M79" s="11" t="s">
        <v>3</v>
      </c>
      <c r="N79" s="11">
        <v>2.7525000000000001E-2</v>
      </c>
      <c r="O79" s="11">
        <v>2.3130000000000001E-2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</row>
    <row r="80" spans="1:25">
      <c r="A80" s="33" t="s">
        <v>101</v>
      </c>
      <c r="B80" s="10" t="s">
        <v>3</v>
      </c>
      <c r="C80" s="10" t="s">
        <v>3</v>
      </c>
      <c r="D80" s="10" t="s">
        <v>3</v>
      </c>
      <c r="E80" s="10" t="s">
        <v>3</v>
      </c>
      <c r="F80" s="10" t="s">
        <v>3</v>
      </c>
      <c r="G80" s="10" t="s">
        <v>3</v>
      </c>
      <c r="H80" s="10" t="s">
        <v>3</v>
      </c>
      <c r="I80" s="10" t="s">
        <v>3</v>
      </c>
      <c r="J80" s="11" t="s">
        <v>3</v>
      </c>
      <c r="K80" s="11" t="s">
        <v>3</v>
      </c>
      <c r="L80" s="11" t="s">
        <v>3</v>
      </c>
      <c r="M80" s="11" t="s">
        <v>3</v>
      </c>
      <c r="N80" s="11" t="s">
        <v>3</v>
      </c>
      <c r="O80" s="11" t="s">
        <v>3</v>
      </c>
      <c r="P80" s="11" t="s">
        <v>3</v>
      </c>
      <c r="Q80" s="11" t="s">
        <v>3</v>
      </c>
      <c r="R80" s="11" t="s">
        <v>3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</row>
    <row r="81" spans="1:25">
      <c r="A81" s="33" t="s">
        <v>53</v>
      </c>
      <c r="B81" s="10" t="s">
        <v>3</v>
      </c>
      <c r="C81" s="10" t="s">
        <v>3</v>
      </c>
      <c r="D81" s="10" t="s">
        <v>3</v>
      </c>
      <c r="E81" s="10" t="s">
        <v>3</v>
      </c>
      <c r="F81" s="10" t="s">
        <v>3</v>
      </c>
      <c r="G81" s="10" t="s">
        <v>3</v>
      </c>
      <c r="H81" s="10" t="s">
        <v>3</v>
      </c>
      <c r="I81" s="10" t="s">
        <v>3</v>
      </c>
      <c r="J81" s="11" t="s">
        <v>3</v>
      </c>
      <c r="K81" s="11" t="s">
        <v>3</v>
      </c>
      <c r="L81" s="11" t="s">
        <v>3</v>
      </c>
      <c r="M81" s="11" t="s">
        <v>3</v>
      </c>
      <c r="N81" s="11">
        <v>0.28543040000000003</v>
      </c>
      <c r="O81" s="11">
        <v>0.30740000000000001</v>
      </c>
      <c r="P81" s="11">
        <v>0.61439999999999995</v>
      </c>
      <c r="Q81" s="10">
        <v>0.22950000000000001</v>
      </c>
      <c r="R81" s="10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</row>
    <row r="82" spans="1:25">
      <c r="A82" s="33" t="s">
        <v>54</v>
      </c>
      <c r="B82" s="10" t="s">
        <v>3</v>
      </c>
      <c r="C82" s="10" t="s">
        <v>3</v>
      </c>
      <c r="D82" s="10" t="s">
        <v>3</v>
      </c>
      <c r="E82" s="10" t="s">
        <v>3</v>
      </c>
      <c r="F82" s="10" t="s">
        <v>3</v>
      </c>
      <c r="G82" s="10" t="s">
        <v>3</v>
      </c>
      <c r="H82" s="10" t="s">
        <v>3</v>
      </c>
      <c r="I82" s="10" t="s">
        <v>3</v>
      </c>
      <c r="J82" s="11">
        <v>0.81384500000000004</v>
      </c>
      <c r="K82" s="11" t="s">
        <v>3</v>
      </c>
      <c r="L82" s="11" t="s">
        <v>3</v>
      </c>
      <c r="M82" s="11">
        <v>11.369615400000001</v>
      </c>
      <c r="N82" s="11">
        <v>11.41191272</v>
      </c>
      <c r="O82" s="11">
        <v>10.132061999999999</v>
      </c>
      <c r="P82" s="11">
        <v>1.547488</v>
      </c>
      <c r="Q82" s="11">
        <v>2.8501629999999998</v>
      </c>
      <c r="R82" s="11">
        <v>1.6</v>
      </c>
      <c r="S82" s="10">
        <v>5.132917</v>
      </c>
      <c r="T82" s="11">
        <v>0.38324000000000003</v>
      </c>
      <c r="U82" s="11">
        <v>0.35697800000000002</v>
      </c>
      <c r="V82" s="11">
        <v>3.5659000000000003E-2</v>
      </c>
      <c r="W82" s="11">
        <v>0.36054799999999998</v>
      </c>
      <c r="X82" s="11">
        <v>0.36415399999999998</v>
      </c>
      <c r="Y82" s="11">
        <v>0.36779499999999998</v>
      </c>
    </row>
    <row r="83" spans="1:25">
      <c r="A83" s="33" t="s">
        <v>55</v>
      </c>
      <c r="B83" s="10" t="s">
        <v>3</v>
      </c>
      <c r="C83" s="10" t="s">
        <v>3</v>
      </c>
      <c r="D83" s="10" t="s">
        <v>3</v>
      </c>
      <c r="E83" s="10" t="s">
        <v>3</v>
      </c>
      <c r="F83" s="10" t="s">
        <v>3</v>
      </c>
      <c r="G83" s="10" t="s">
        <v>3</v>
      </c>
      <c r="H83" s="10" t="s">
        <v>3</v>
      </c>
      <c r="I83" s="10">
        <v>0.58679199999999998</v>
      </c>
      <c r="J83" s="11">
        <v>3.7572800000000002</v>
      </c>
      <c r="K83" s="11">
        <v>3.0452080000000001</v>
      </c>
      <c r="L83" s="11">
        <v>5.4525810000000003</v>
      </c>
      <c r="M83" s="11">
        <v>4.5204329499999973</v>
      </c>
      <c r="N83" s="11">
        <v>3.5900252299999997</v>
      </c>
      <c r="O83" s="11">
        <v>1.8130930000000001</v>
      </c>
      <c r="P83" s="11">
        <v>4.219398</v>
      </c>
      <c r="Q83" s="11">
        <v>4.5930470000000003</v>
      </c>
      <c r="R83" s="11">
        <v>0.35114899999999999</v>
      </c>
      <c r="S83" s="10">
        <v>3.5407150000000001</v>
      </c>
      <c r="T83" s="11">
        <v>22.892771</v>
      </c>
      <c r="U83" s="11">
        <v>3.3125800000000001</v>
      </c>
      <c r="V83" s="11">
        <v>6.098662</v>
      </c>
      <c r="W83" s="11">
        <v>0.82839799999999997</v>
      </c>
      <c r="X83" s="11">
        <v>0.85435799999999995</v>
      </c>
      <c r="Y83" s="11">
        <v>0.86261600000000005</v>
      </c>
    </row>
    <row r="84" spans="1:25">
      <c r="A84" s="33" t="s">
        <v>107</v>
      </c>
      <c r="B84" s="10"/>
      <c r="C84" s="10"/>
      <c r="D84" s="10"/>
      <c r="E84" s="10"/>
      <c r="F84" s="10"/>
      <c r="G84" s="10"/>
      <c r="H84" s="10"/>
      <c r="I84" s="10"/>
      <c r="J84" s="11"/>
      <c r="K84" s="11"/>
      <c r="L84" s="11"/>
      <c r="M84" s="11"/>
      <c r="N84" s="11"/>
      <c r="O84" s="11"/>
      <c r="P84" s="11"/>
      <c r="Q84" s="11"/>
      <c r="R84" s="11"/>
      <c r="S84" s="10"/>
      <c r="T84" s="11"/>
      <c r="U84" s="11"/>
      <c r="V84" s="11"/>
      <c r="W84" s="11">
        <v>13.300285000000001</v>
      </c>
      <c r="X84" s="11">
        <v>6.8998980000000003</v>
      </c>
      <c r="Y84" s="11">
        <v>0</v>
      </c>
    </row>
    <row r="85" spans="1:25">
      <c r="A85" s="33" t="s">
        <v>56</v>
      </c>
      <c r="B85" s="10" t="s">
        <v>3</v>
      </c>
      <c r="C85" s="10" t="s">
        <v>3</v>
      </c>
      <c r="D85" s="10" t="s">
        <v>3</v>
      </c>
      <c r="E85" s="10" t="s">
        <v>3</v>
      </c>
      <c r="F85" s="10" t="s">
        <v>3</v>
      </c>
      <c r="G85" s="10" t="s">
        <v>3</v>
      </c>
      <c r="H85" s="10" t="s">
        <v>3</v>
      </c>
      <c r="I85" s="10" t="s">
        <v>3</v>
      </c>
      <c r="J85" s="11" t="s">
        <v>3</v>
      </c>
      <c r="K85" s="11" t="s">
        <v>3</v>
      </c>
      <c r="L85" s="11" t="s">
        <v>3</v>
      </c>
      <c r="M85" s="11" t="s">
        <v>3</v>
      </c>
      <c r="N85" s="11" t="s">
        <v>3</v>
      </c>
      <c r="O85" s="11">
        <v>9.2160000000000006E-2</v>
      </c>
      <c r="P85" s="11">
        <v>0.10745</v>
      </c>
      <c r="Q85" s="11">
        <v>0.155581</v>
      </c>
      <c r="R85" s="11">
        <v>6.1080000000000002E-2</v>
      </c>
      <c r="S85" s="11">
        <v>0</v>
      </c>
      <c r="T85" s="11">
        <v>0.16358200000000001</v>
      </c>
      <c r="U85" s="11">
        <v>0.13714999999999999</v>
      </c>
      <c r="V85" s="11">
        <v>6.6825999999999997E-2</v>
      </c>
      <c r="W85" s="11">
        <v>0</v>
      </c>
      <c r="X85" s="11">
        <v>0</v>
      </c>
      <c r="Y85" s="11">
        <v>0</v>
      </c>
    </row>
    <row r="86" spans="1:25">
      <c r="A86" s="33" t="s">
        <v>57</v>
      </c>
      <c r="B86" s="10" t="s">
        <v>3</v>
      </c>
      <c r="C86" s="10" t="s">
        <v>3</v>
      </c>
      <c r="D86" s="10" t="s">
        <v>3</v>
      </c>
      <c r="E86" s="10" t="s">
        <v>3</v>
      </c>
      <c r="F86" s="10" t="s">
        <v>3</v>
      </c>
      <c r="G86" s="10" t="s">
        <v>3</v>
      </c>
      <c r="H86" s="10" t="s">
        <v>3</v>
      </c>
      <c r="I86" s="10" t="s">
        <v>3</v>
      </c>
      <c r="J86" s="11" t="s">
        <v>3</v>
      </c>
      <c r="K86" s="11" t="s">
        <v>3</v>
      </c>
      <c r="L86" s="11" t="s">
        <v>3</v>
      </c>
      <c r="M86" s="11" t="s">
        <v>3</v>
      </c>
      <c r="N86" s="11" t="s">
        <v>3</v>
      </c>
      <c r="O86" s="11">
        <v>4.0810940000000002</v>
      </c>
      <c r="P86" s="11">
        <v>4.4828950000000001</v>
      </c>
      <c r="Q86" s="11">
        <v>28.032544999999999</v>
      </c>
      <c r="R86" s="11">
        <v>2.8524159999999998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</row>
    <row r="87" spans="1:25">
      <c r="A87" s="33" t="s">
        <v>58</v>
      </c>
      <c r="B87" s="10" t="s">
        <v>3</v>
      </c>
      <c r="C87" s="10" t="s">
        <v>3</v>
      </c>
      <c r="D87" s="10" t="s">
        <v>3</v>
      </c>
      <c r="E87" s="10" t="s">
        <v>3</v>
      </c>
      <c r="F87" s="10" t="s">
        <v>3</v>
      </c>
      <c r="G87" s="10" t="s">
        <v>3</v>
      </c>
      <c r="H87" s="10" t="s">
        <v>3</v>
      </c>
      <c r="I87" s="10" t="s">
        <v>3</v>
      </c>
      <c r="J87" s="11" t="s">
        <v>3</v>
      </c>
      <c r="K87" s="11" t="s">
        <v>3</v>
      </c>
      <c r="L87" s="11">
        <v>2.3332000000000002</v>
      </c>
      <c r="M87" s="11" t="s">
        <v>3</v>
      </c>
      <c r="N87" s="11" t="s">
        <v>3</v>
      </c>
      <c r="O87" s="11" t="s">
        <v>3</v>
      </c>
      <c r="P87" s="11">
        <v>0</v>
      </c>
      <c r="Q87" s="11">
        <v>0</v>
      </c>
      <c r="R87" s="11">
        <v>0</v>
      </c>
      <c r="S87" s="11">
        <v>0</v>
      </c>
      <c r="T87" s="11">
        <v>4.7427710000000003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</row>
    <row r="88" spans="1:25">
      <c r="A88" s="33" t="s">
        <v>59</v>
      </c>
      <c r="B88" s="10" t="s">
        <v>3</v>
      </c>
      <c r="C88" s="10" t="s">
        <v>3</v>
      </c>
      <c r="D88" s="10" t="s">
        <v>3</v>
      </c>
      <c r="E88" s="10" t="s">
        <v>3</v>
      </c>
      <c r="F88" s="10" t="s">
        <v>3</v>
      </c>
      <c r="G88" s="10" t="s">
        <v>3</v>
      </c>
      <c r="H88" s="10" t="s">
        <v>3</v>
      </c>
      <c r="I88" s="10">
        <v>1.43</v>
      </c>
      <c r="J88" s="11">
        <v>14.442686999999999</v>
      </c>
      <c r="K88" s="11">
        <v>8.0710139999999999</v>
      </c>
      <c r="L88" s="11">
        <v>11.105262</v>
      </c>
      <c r="M88" s="11">
        <v>12.81039438</v>
      </c>
      <c r="N88" s="11">
        <v>0.80274793999999994</v>
      </c>
      <c r="O88" s="11">
        <v>5.093051</v>
      </c>
      <c r="P88" s="11">
        <v>0.32902599999999999</v>
      </c>
      <c r="Q88" s="11">
        <v>0</v>
      </c>
      <c r="R88" s="11">
        <v>0.78871599999999997</v>
      </c>
      <c r="S88" s="10">
        <v>13.59281</v>
      </c>
      <c r="T88" s="11">
        <v>0</v>
      </c>
      <c r="U88" s="11">
        <v>3.3622779999999999</v>
      </c>
      <c r="V88" s="11">
        <v>1.966</v>
      </c>
      <c r="W88" s="11">
        <v>5.0819999999999997E-2</v>
      </c>
      <c r="X88" s="11">
        <v>5.3362E-2</v>
      </c>
      <c r="Y88" s="11">
        <v>5.6030000000000003E-2</v>
      </c>
    </row>
    <row r="89" spans="1:25">
      <c r="A89" s="33" t="s">
        <v>93</v>
      </c>
      <c r="B89" s="10" t="s">
        <v>3</v>
      </c>
      <c r="C89" s="10" t="s">
        <v>3</v>
      </c>
      <c r="D89" s="10" t="s">
        <v>3</v>
      </c>
      <c r="E89" s="10" t="s">
        <v>3</v>
      </c>
      <c r="F89" s="10" t="s">
        <v>3</v>
      </c>
      <c r="G89" s="10" t="s">
        <v>3</v>
      </c>
      <c r="H89" s="10" t="s">
        <v>3</v>
      </c>
      <c r="I89" s="10" t="s">
        <v>3</v>
      </c>
      <c r="J89" s="10" t="s">
        <v>3</v>
      </c>
      <c r="K89" s="10" t="s">
        <v>3</v>
      </c>
      <c r="L89" s="10" t="s">
        <v>3</v>
      </c>
      <c r="M89" s="10" t="s">
        <v>3</v>
      </c>
      <c r="N89" s="10" t="s">
        <v>3</v>
      </c>
      <c r="O89" s="11" t="s">
        <v>3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</row>
    <row r="90" spans="1:25">
      <c r="A90" s="33" t="s">
        <v>94</v>
      </c>
      <c r="B90" s="10" t="s">
        <v>3</v>
      </c>
      <c r="C90" s="10" t="s">
        <v>3</v>
      </c>
      <c r="D90" s="10" t="s">
        <v>3</v>
      </c>
      <c r="E90" s="10" t="s">
        <v>3</v>
      </c>
      <c r="F90" s="10" t="s">
        <v>3</v>
      </c>
      <c r="G90" s="10" t="s">
        <v>3</v>
      </c>
      <c r="H90" s="10" t="s">
        <v>3</v>
      </c>
      <c r="I90" s="10" t="s">
        <v>3</v>
      </c>
      <c r="J90" s="11" t="s">
        <v>3</v>
      </c>
      <c r="K90" s="11" t="s">
        <v>3</v>
      </c>
      <c r="L90" s="11" t="s">
        <v>3</v>
      </c>
      <c r="M90" s="11" t="s">
        <v>3</v>
      </c>
      <c r="N90" s="11" t="s">
        <v>3</v>
      </c>
      <c r="O90" s="11" t="s">
        <v>3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</row>
    <row r="91" spans="1:25">
      <c r="A91" s="33" t="s">
        <v>60</v>
      </c>
      <c r="B91" s="10" t="s">
        <v>3</v>
      </c>
      <c r="C91" s="10" t="s">
        <v>3</v>
      </c>
      <c r="D91" s="10" t="s">
        <v>3</v>
      </c>
      <c r="E91" s="10" t="s">
        <v>3</v>
      </c>
      <c r="F91" s="10" t="s">
        <v>3</v>
      </c>
      <c r="G91" s="10" t="s">
        <v>3</v>
      </c>
      <c r="H91" s="10" t="s">
        <v>3</v>
      </c>
      <c r="I91" s="10">
        <v>0.12449300000000001</v>
      </c>
      <c r="J91" s="11" t="s">
        <v>3</v>
      </c>
      <c r="K91" s="11" t="s">
        <v>3</v>
      </c>
      <c r="L91" s="11" t="s">
        <v>3</v>
      </c>
      <c r="M91" s="11" t="s">
        <v>3</v>
      </c>
      <c r="N91" s="11" t="s">
        <v>3</v>
      </c>
      <c r="O91" s="11">
        <v>5.6232340000000001</v>
      </c>
      <c r="P91" s="11">
        <v>29.610310999999999</v>
      </c>
      <c r="Q91" s="11">
        <v>27.102900999999999</v>
      </c>
      <c r="R91" s="11">
        <v>15.848889</v>
      </c>
      <c r="S91" s="11">
        <v>15.475765000000001</v>
      </c>
      <c r="T91" s="11">
        <v>22.388400000000001</v>
      </c>
      <c r="U91" s="11">
        <v>9.9829299999999996</v>
      </c>
      <c r="V91" s="11">
        <v>0</v>
      </c>
      <c r="W91" s="11">
        <v>0</v>
      </c>
      <c r="X91" s="11">
        <v>0</v>
      </c>
      <c r="Y91" s="11">
        <v>0</v>
      </c>
    </row>
    <row r="92" spans="1:25">
      <c r="A92" s="33" t="s">
        <v>61</v>
      </c>
      <c r="B92" s="10">
        <v>9.6999999999999993</v>
      </c>
      <c r="C92" s="10">
        <v>10.4</v>
      </c>
      <c r="D92" s="10">
        <v>16.399999999999999</v>
      </c>
      <c r="E92" s="10">
        <v>8.6</v>
      </c>
      <c r="F92" s="10">
        <v>9.2094889999999996</v>
      </c>
      <c r="G92" s="10">
        <v>9.4867480000000004</v>
      </c>
      <c r="H92" s="10">
        <v>1.6576500000000001</v>
      </c>
      <c r="I92" s="10">
        <v>7.9368569999999998</v>
      </c>
      <c r="J92" s="11">
        <v>6.5018419999999999</v>
      </c>
      <c r="K92" s="11">
        <v>17.467737</v>
      </c>
      <c r="L92" s="11">
        <v>1.560921</v>
      </c>
      <c r="M92" s="11">
        <v>8.3220669699999998</v>
      </c>
      <c r="N92" s="11">
        <v>4.6742312500000001</v>
      </c>
      <c r="O92" s="11">
        <v>2.998535</v>
      </c>
      <c r="P92" s="11">
        <v>2.5382750000000001</v>
      </c>
      <c r="Q92" s="11">
        <v>0.42534</v>
      </c>
      <c r="R92" s="11">
        <v>1.434644</v>
      </c>
      <c r="S92" s="10">
        <v>0</v>
      </c>
      <c r="T92" s="11">
        <v>9.7578289999999992</v>
      </c>
      <c r="U92" s="11">
        <v>3.5486949999999999</v>
      </c>
      <c r="V92" s="11">
        <v>4.0716850000000004</v>
      </c>
      <c r="W92" s="11">
        <v>4.1681419999999996</v>
      </c>
      <c r="X92" s="11">
        <v>3.9078059999999999</v>
      </c>
      <c r="Y92" s="11">
        <v>3.9534029999999998</v>
      </c>
    </row>
    <row r="93" spans="1:25">
      <c r="A93" s="33" t="s">
        <v>62</v>
      </c>
      <c r="B93" s="10" t="s">
        <v>3</v>
      </c>
      <c r="C93" s="10">
        <v>0.4</v>
      </c>
      <c r="D93" s="10">
        <v>0.9</v>
      </c>
      <c r="E93" s="10">
        <v>0.6</v>
      </c>
      <c r="F93" s="10">
        <v>0.75402599999999997</v>
      </c>
      <c r="G93" s="10">
        <v>0.67631300000000005</v>
      </c>
      <c r="H93" s="10" t="s">
        <v>3</v>
      </c>
      <c r="I93" s="10" t="s">
        <v>3</v>
      </c>
      <c r="J93" s="11">
        <v>0.84223000000000003</v>
      </c>
      <c r="K93" s="11">
        <v>2.9046539999999998</v>
      </c>
      <c r="L93" s="11">
        <v>4.957039</v>
      </c>
      <c r="M93" s="11">
        <v>9.3867893999999996</v>
      </c>
      <c r="N93" s="11">
        <v>3.7766528300000002</v>
      </c>
      <c r="O93" s="11">
        <v>15.772519000000001</v>
      </c>
      <c r="P93" s="11">
        <v>7.7598099999999999</v>
      </c>
      <c r="Q93" s="11">
        <v>21.082436000000001</v>
      </c>
      <c r="R93" s="11">
        <v>18.605819</v>
      </c>
      <c r="S93" s="10">
        <v>9.1716390000000008</v>
      </c>
      <c r="T93" s="11">
        <v>11.892106999999999</v>
      </c>
      <c r="U93" s="11">
        <v>21.543517000000001</v>
      </c>
      <c r="V93" s="11">
        <v>34.58493</v>
      </c>
      <c r="W93" s="11">
        <v>20.404754000000001</v>
      </c>
      <c r="X93" s="11">
        <v>13.955662</v>
      </c>
      <c r="Y93" s="11">
        <v>13.993957999999999</v>
      </c>
    </row>
    <row r="94" spans="1:25">
      <c r="A94" s="33" t="s">
        <v>95</v>
      </c>
      <c r="B94" s="10" t="s">
        <v>3</v>
      </c>
      <c r="C94" s="10">
        <v>3.6</v>
      </c>
      <c r="D94" s="10">
        <v>2.5</v>
      </c>
      <c r="E94" s="10" t="s">
        <v>3</v>
      </c>
      <c r="F94" s="10" t="s">
        <v>3</v>
      </c>
      <c r="G94" s="10" t="s">
        <v>3</v>
      </c>
      <c r="H94" s="10" t="s">
        <v>3</v>
      </c>
      <c r="I94" s="10" t="s">
        <v>3</v>
      </c>
      <c r="J94" s="11" t="s">
        <v>3</v>
      </c>
      <c r="K94" s="11" t="s">
        <v>3</v>
      </c>
      <c r="L94" s="11" t="s">
        <v>3</v>
      </c>
      <c r="M94" s="11" t="s">
        <v>3</v>
      </c>
      <c r="N94" s="11" t="s">
        <v>3</v>
      </c>
      <c r="O94" s="11" t="s">
        <v>3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</row>
    <row r="95" spans="1:25">
      <c r="A95" s="33" t="s">
        <v>96</v>
      </c>
      <c r="B95" s="10" t="s">
        <v>3</v>
      </c>
      <c r="C95" s="10">
        <v>3.6</v>
      </c>
      <c r="D95" s="10">
        <v>2.9</v>
      </c>
      <c r="E95" s="10">
        <v>1.5</v>
      </c>
      <c r="F95" s="10">
        <v>0.21615100000000001</v>
      </c>
      <c r="G95" s="10" t="s">
        <v>3</v>
      </c>
      <c r="H95" s="10" t="s">
        <v>3</v>
      </c>
      <c r="I95" s="10" t="s">
        <v>3</v>
      </c>
      <c r="J95" s="11" t="s">
        <v>3</v>
      </c>
      <c r="K95" s="11" t="s">
        <v>3</v>
      </c>
      <c r="L95" s="11" t="s">
        <v>3</v>
      </c>
      <c r="M95" s="11" t="s">
        <v>3</v>
      </c>
      <c r="N95" s="11" t="s">
        <v>3</v>
      </c>
      <c r="O95" s="11" t="s">
        <v>3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</row>
    <row r="96" spans="1:25">
      <c r="A96" s="33" t="s">
        <v>63</v>
      </c>
      <c r="B96" s="10" t="s">
        <v>3</v>
      </c>
      <c r="C96" s="10" t="s">
        <v>3</v>
      </c>
      <c r="D96" s="10" t="s">
        <v>3</v>
      </c>
      <c r="E96" s="10" t="s">
        <v>3</v>
      </c>
      <c r="F96" s="10" t="s">
        <v>3</v>
      </c>
      <c r="G96" s="10" t="s">
        <v>3</v>
      </c>
      <c r="H96" s="10" t="s">
        <v>3</v>
      </c>
      <c r="I96" s="10" t="s">
        <v>3</v>
      </c>
      <c r="J96" s="11">
        <v>0.36792000000000002</v>
      </c>
      <c r="K96" s="11">
        <v>0.36696000000000001</v>
      </c>
      <c r="L96" s="11">
        <v>0.36792000000000002</v>
      </c>
      <c r="M96" s="11">
        <v>0.18336</v>
      </c>
      <c r="N96" s="11" t="s">
        <v>3</v>
      </c>
      <c r="O96" s="11">
        <v>0.1842</v>
      </c>
      <c r="P96" s="11">
        <v>0</v>
      </c>
      <c r="Q96" s="11">
        <v>0.16895499999999999</v>
      </c>
      <c r="R96" s="11">
        <v>4.6109999999999998E-2</v>
      </c>
      <c r="S96" s="11">
        <v>0</v>
      </c>
      <c r="T96" s="11">
        <v>0</v>
      </c>
      <c r="U96" s="11">
        <v>0.32298399999999999</v>
      </c>
      <c r="V96" s="11">
        <v>0</v>
      </c>
      <c r="W96" s="11">
        <v>3.3999999999999998E-3</v>
      </c>
      <c r="X96" s="11">
        <v>3.5699999999999998E-3</v>
      </c>
      <c r="Y96" s="11">
        <v>3.748E-3</v>
      </c>
    </row>
    <row r="97" spans="1:25">
      <c r="A97" s="33" t="s">
        <v>64</v>
      </c>
      <c r="B97" s="10">
        <v>1</v>
      </c>
      <c r="C97" s="10">
        <v>0.3</v>
      </c>
      <c r="D97" s="10">
        <v>0.6</v>
      </c>
      <c r="E97" s="10">
        <v>0.8</v>
      </c>
      <c r="F97" s="10">
        <v>7.8654000000000002E-2</v>
      </c>
      <c r="G97" s="10" t="s">
        <v>3</v>
      </c>
      <c r="H97" s="10" t="s">
        <v>3</v>
      </c>
      <c r="I97" s="10">
        <v>0.28139999999999998</v>
      </c>
      <c r="J97" s="11">
        <v>0.45473999999999998</v>
      </c>
      <c r="K97" s="11">
        <v>0.82618800000000003</v>
      </c>
      <c r="L97" s="11">
        <v>0.16594400000000001</v>
      </c>
      <c r="M97" s="11">
        <v>0.19795784</v>
      </c>
      <c r="N97" s="11">
        <v>0.36815999999999999</v>
      </c>
      <c r="O97" s="11">
        <v>0.29513400000000001</v>
      </c>
      <c r="P97" s="11">
        <v>3.0592000000000001E-2</v>
      </c>
      <c r="Q97" s="11">
        <v>0.55852500000000005</v>
      </c>
      <c r="R97" s="11">
        <v>0.14352300000000001</v>
      </c>
      <c r="S97" s="10">
        <v>0</v>
      </c>
      <c r="T97" s="11">
        <v>0</v>
      </c>
      <c r="U97" s="11">
        <v>1.053644</v>
      </c>
      <c r="V97" s="11">
        <v>0.715082</v>
      </c>
      <c r="W97" s="11">
        <v>1</v>
      </c>
      <c r="X97" s="11">
        <v>1</v>
      </c>
      <c r="Y97" s="11">
        <v>1</v>
      </c>
    </row>
    <row r="98" spans="1:25">
      <c r="A98" s="33" t="s">
        <v>65</v>
      </c>
      <c r="B98" s="10" t="s">
        <v>3</v>
      </c>
      <c r="C98" s="10" t="s">
        <v>3</v>
      </c>
      <c r="D98" s="10" t="s">
        <v>3</v>
      </c>
      <c r="E98" s="10" t="s">
        <v>3</v>
      </c>
      <c r="F98" s="10" t="s">
        <v>3</v>
      </c>
      <c r="G98" s="10" t="s">
        <v>3</v>
      </c>
      <c r="H98" s="10" t="s">
        <v>3</v>
      </c>
      <c r="I98" s="10" t="s">
        <v>3</v>
      </c>
      <c r="J98" s="10" t="s">
        <v>3</v>
      </c>
      <c r="K98" s="10" t="s">
        <v>3</v>
      </c>
      <c r="L98" s="10" t="s">
        <v>3</v>
      </c>
      <c r="M98" s="10" t="s">
        <v>3</v>
      </c>
      <c r="N98" s="11">
        <v>0.14462853000000001</v>
      </c>
      <c r="O98" s="11" t="s">
        <v>3</v>
      </c>
      <c r="P98" s="11">
        <v>0</v>
      </c>
      <c r="Q98" s="11">
        <v>0</v>
      </c>
      <c r="R98" s="11">
        <v>0</v>
      </c>
      <c r="S98" s="11">
        <v>0.30704599999999999</v>
      </c>
      <c r="T98" s="11">
        <v>0.53576000000000001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</row>
    <row r="99" spans="1:25">
      <c r="A99" s="33" t="s">
        <v>66</v>
      </c>
      <c r="B99" s="10">
        <v>1.8</v>
      </c>
      <c r="C99" s="10">
        <v>2.2000000000000002</v>
      </c>
      <c r="D99" s="10">
        <v>1.1000000000000001</v>
      </c>
      <c r="E99" s="10">
        <v>3</v>
      </c>
      <c r="F99" s="10">
        <v>2.5137339999999999</v>
      </c>
      <c r="G99" s="10" t="s">
        <v>3</v>
      </c>
      <c r="H99" s="10" t="s">
        <v>3</v>
      </c>
      <c r="I99" s="10">
        <v>0.11744300000000001</v>
      </c>
      <c r="J99" s="11">
        <v>1.4242049999999999</v>
      </c>
      <c r="K99" s="11">
        <v>0.57494100000000004</v>
      </c>
      <c r="L99" s="11">
        <v>1.830633</v>
      </c>
      <c r="M99" s="11">
        <v>0.661158569999999</v>
      </c>
      <c r="N99" s="11">
        <v>0.48917122999999996</v>
      </c>
      <c r="O99" s="11">
        <v>0.22500000000000001</v>
      </c>
      <c r="P99" s="11">
        <v>0.109473</v>
      </c>
      <c r="Q99" s="11">
        <v>0</v>
      </c>
      <c r="R99" s="11">
        <v>0</v>
      </c>
      <c r="S99" s="11">
        <v>0.45</v>
      </c>
      <c r="T99" s="11">
        <v>1.603423</v>
      </c>
      <c r="U99" s="11">
        <v>0.37324200000000002</v>
      </c>
      <c r="V99" s="11">
        <v>2.9184000000000002E-2</v>
      </c>
      <c r="W99" s="11">
        <v>0</v>
      </c>
      <c r="X99" s="11">
        <v>0</v>
      </c>
      <c r="Y99" s="11">
        <v>0</v>
      </c>
    </row>
    <row r="100" spans="1:25">
      <c r="A100" s="33" t="s">
        <v>67</v>
      </c>
      <c r="B100" s="10">
        <v>3.7</v>
      </c>
      <c r="C100" s="10">
        <v>3.7</v>
      </c>
      <c r="D100" s="10">
        <v>17.399999999999999</v>
      </c>
      <c r="E100" s="10">
        <v>22.8</v>
      </c>
      <c r="F100" s="10">
        <v>14.651209</v>
      </c>
      <c r="G100" s="10">
        <v>15.053713</v>
      </c>
      <c r="H100" s="10" t="s">
        <v>3</v>
      </c>
      <c r="I100" s="10">
        <v>1.9375549999999999</v>
      </c>
      <c r="J100" s="11">
        <v>8.4033289999999994</v>
      </c>
      <c r="K100" s="11">
        <v>4.3554250000000003</v>
      </c>
      <c r="L100" s="11">
        <v>7.4675710000000004</v>
      </c>
      <c r="M100" s="11">
        <v>9.5568759999999884</v>
      </c>
      <c r="N100" s="11">
        <v>9.4658987800000016</v>
      </c>
      <c r="O100" s="11">
        <v>11.028081</v>
      </c>
      <c r="P100" s="11">
        <v>16.372565999999999</v>
      </c>
      <c r="Q100" s="11">
        <v>11.588421</v>
      </c>
      <c r="R100" s="11">
        <v>8.2850629999999992</v>
      </c>
      <c r="S100" s="10">
        <v>10.78098</v>
      </c>
      <c r="T100" s="11">
        <v>14.618798</v>
      </c>
      <c r="U100" s="11">
        <v>21.466788000000001</v>
      </c>
      <c r="V100" s="11">
        <v>14.556806999999999</v>
      </c>
      <c r="W100" s="11">
        <v>4.4852780000000001</v>
      </c>
      <c r="X100" s="11">
        <v>4.1854779999999998</v>
      </c>
      <c r="Y100" s="11">
        <v>4.1856879999999999</v>
      </c>
    </row>
    <row r="101" spans="1:25">
      <c r="A101" s="33" t="s">
        <v>68</v>
      </c>
      <c r="B101" s="10" t="s">
        <v>3</v>
      </c>
      <c r="C101" s="10" t="s">
        <v>3</v>
      </c>
      <c r="D101" s="10" t="s">
        <v>3</v>
      </c>
      <c r="E101" s="10" t="s">
        <v>3</v>
      </c>
      <c r="F101" s="10" t="s">
        <v>3</v>
      </c>
      <c r="G101" s="10" t="s">
        <v>3</v>
      </c>
      <c r="H101" s="10" t="s">
        <v>3</v>
      </c>
      <c r="I101" s="10" t="s">
        <v>3</v>
      </c>
      <c r="J101" s="11">
        <v>0.35026499999999999</v>
      </c>
      <c r="K101" s="11">
        <v>1.53</v>
      </c>
      <c r="L101" s="11">
        <v>0.76749999999999996</v>
      </c>
      <c r="M101" s="11">
        <v>0.61439999999999995</v>
      </c>
      <c r="N101" s="11" t="s">
        <v>3</v>
      </c>
      <c r="O101" s="11">
        <v>0.25387700000000002</v>
      </c>
      <c r="P101" s="11">
        <v>0.76310999999999996</v>
      </c>
      <c r="Q101" s="11">
        <v>1.2675650000000001</v>
      </c>
      <c r="R101" s="11">
        <v>0.869838</v>
      </c>
      <c r="S101" s="10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</row>
    <row r="102" spans="1:25">
      <c r="A102" s="33" t="s">
        <v>69</v>
      </c>
      <c r="B102" s="10" t="s">
        <v>3</v>
      </c>
      <c r="C102" s="10" t="s">
        <v>3</v>
      </c>
      <c r="D102" s="10" t="s">
        <v>3</v>
      </c>
      <c r="E102" s="10" t="s">
        <v>3</v>
      </c>
      <c r="F102" s="10" t="s">
        <v>3</v>
      </c>
      <c r="G102" s="10" t="s">
        <v>3</v>
      </c>
      <c r="H102" s="10" t="s">
        <v>3</v>
      </c>
      <c r="I102" s="10" t="s">
        <v>3</v>
      </c>
      <c r="J102" s="11">
        <v>1.6884999999999999</v>
      </c>
      <c r="K102" s="11" t="s">
        <v>3</v>
      </c>
      <c r="L102" s="11" t="s">
        <v>3</v>
      </c>
      <c r="M102" s="11" t="s">
        <v>3</v>
      </c>
      <c r="N102" s="11" t="s">
        <v>3</v>
      </c>
      <c r="O102" s="11">
        <v>0.64410599999999996</v>
      </c>
      <c r="P102" s="11">
        <v>0</v>
      </c>
      <c r="Q102" s="11">
        <v>0</v>
      </c>
      <c r="R102" s="11">
        <v>1.5894999999999999E-2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</row>
    <row r="103" spans="1:25">
      <c r="A103" s="33" t="s">
        <v>70</v>
      </c>
      <c r="B103" s="10" t="s">
        <v>3</v>
      </c>
      <c r="C103" s="10" t="s">
        <v>3</v>
      </c>
      <c r="D103" s="10" t="s">
        <v>3</v>
      </c>
      <c r="E103" s="10" t="s">
        <v>3</v>
      </c>
      <c r="F103" s="10" t="s">
        <v>3</v>
      </c>
      <c r="G103" s="10" t="s">
        <v>3</v>
      </c>
      <c r="H103" s="10" t="s">
        <v>3</v>
      </c>
      <c r="I103" s="10">
        <v>1.4559519999999999</v>
      </c>
      <c r="J103" s="11">
        <v>0.45156099999999999</v>
      </c>
      <c r="K103" s="11" t="s">
        <v>3</v>
      </c>
      <c r="L103" s="11" t="s">
        <v>3</v>
      </c>
      <c r="M103" s="11">
        <v>6.0000000000000001E-3</v>
      </c>
      <c r="N103" s="11" t="s">
        <v>3</v>
      </c>
      <c r="O103" s="11" t="s">
        <v>3</v>
      </c>
      <c r="P103" s="11">
        <v>0</v>
      </c>
      <c r="Q103" s="11">
        <v>0</v>
      </c>
      <c r="R103" s="11">
        <v>0</v>
      </c>
      <c r="S103" s="10">
        <v>0.62949500000000003</v>
      </c>
      <c r="T103" s="11">
        <v>6.6391419999999997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</row>
    <row r="104" spans="1:25">
      <c r="A104" s="33" t="s">
        <v>97</v>
      </c>
      <c r="B104" s="10" t="s">
        <v>3</v>
      </c>
      <c r="C104" s="10" t="s">
        <v>3</v>
      </c>
      <c r="D104" s="10" t="s">
        <v>3</v>
      </c>
      <c r="E104" s="10" t="s">
        <v>3</v>
      </c>
      <c r="F104" s="10" t="s">
        <v>3</v>
      </c>
      <c r="G104" s="10" t="s">
        <v>3</v>
      </c>
      <c r="H104" s="10" t="s">
        <v>3</v>
      </c>
      <c r="I104" s="10">
        <v>4.2015000000000002</v>
      </c>
      <c r="J104" s="11" t="s">
        <v>3</v>
      </c>
      <c r="K104" s="11" t="s">
        <v>3</v>
      </c>
      <c r="L104" s="11" t="s">
        <v>3</v>
      </c>
      <c r="M104" s="11" t="s">
        <v>3</v>
      </c>
      <c r="N104" s="11" t="s">
        <v>3</v>
      </c>
      <c r="O104" s="11" t="s">
        <v>3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</row>
    <row r="105" spans="1:25">
      <c r="A105" s="33" t="s">
        <v>71</v>
      </c>
      <c r="B105" s="10" t="s">
        <v>3</v>
      </c>
      <c r="C105" s="10" t="s">
        <v>3</v>
      </c>
      <c r="D105" s="10" t="s">
        <v>3</v>
      </c>
      <c r="E105" s="10" t="s">
        <v>3</v>
      </c>
      <c r="F105" s="10" t="s">
        <v>3</v>
      </c>
      <c r="G105" s="10" t="s">
        <v>3</v>
      </c>
      <c r="H105" s="10" t="s">
        <v>3</v>
      </c>
      <c r="I105" s="10" t="s">
        <v>3</v>
      </c>
      <c r="J105" s="11" t="s">
        <v>3</v>
      </c>
      <c r="K105" s="11">
        <v>2.2995000000000001</v>
      </c>
      <c r="L105" s="11">
        <v>4.068816</v>
      </c>
      <c r="M105" s="11">
        <v>7.0111398200000004</v>
      </c>
      <c r="N105" s="11">
        <v>12.110216700000001</v>
      </c>
      <c r="O105" s="11">
        <v>7.7293079999999996</v>
      </c>
      <c r="P105" s="11">
        <v>3.0068090000000001</v>
      </c>
      <c r="Q105" s="11">
        <v>0.94438299999999997</v>
      </c>
      <c r="R105" s="11">
        <v>7.4040999999999996E-2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</row>
    <row r="106" spans="1:25">
      <c r="A106" s="33" t="s">
        <v>72</v>
      </c>
      <c r="B106" s="10" t="s">
        <v>3</v>
      </c>
      <c r="C106" s="10" t="s">
        <v>3</v>
      </c>
      <c r="D106" s="10" t="s">
        <v>3</v>
      </c>
      <c r="E106" s="10" t="s">
        <v>3</v>
      </c>
      <c r="F106" s="10" t="s">
        <v>3</v>
      </c>
      <c r="G106" s="10" t="s">
        <v>3</v>
      </c>
      <c r="H106" s="10" t="s">
        <v>3</v>
      </c>
      <c r="I106" s="10" t="s">
        <v>3</v>
      </c>
      <c r="J106" s="11" t="s">
        <v>3</v>
      </c>
      <c r="K106" s="11" t="s">
        <v>3</v>
      </c>
      <c r="L106" s="11" t="s">
        <v>3</v>
      </c>
      <c r="M106" s="11" t="s">
        <v>3</v>
      </c>
      <c r="N106" s="11">
        <v>7.0119940000000006E-2</v>
      </c>
      <c r="O106" s="11">
        <v>0.422371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</row>
    <row r="107" spans="1:25">
      <c r="A107" s="33" t="s">
        <v>80</v>
      </c>
      <c r="B107" s="10" t="s">
        <v>3</v>
      </c>
      <c r="C107" s="10" t="s">
        <v>3</v>
      </c>
      <c r="D107" s="10" t="s">
        <v>3</v>
      </c>
      <c r="E107" s="10" t="s">
        <v>3</v>
      </c>
      <c r="F107" s="10" t="s">
        <v>3</v>
      </c>
      <c r="G107" s="10" t="s">
        <v>3</v>
      </c>
      <c r="H107" s="10" t="s">
        <v>3</v>
      </c>
      <c r="I107" s="10" t="s">
        <v>3</v>
      </c>
      <c r="J107" s="11" t="s">
        <v>3</v>
      </c>
      <c r="K107" s="11" t="s">
        <v>3</v>
      </c>
      <c r="L107" s="11">
        <v>1.6536</v>
      </c>
      <c r="M107" s="11">
        <v>5.7398492300000008</v>
      </c>
      <c r="N107" s="11" t="s">
        <v>3</v>
      </c>
      <c r="O107" s="11" t="s">
        <v>3</v>
      </c>
      <c r="P107" s="11">
        <v>0</v>
      </c>
      <c r="Q107" s="11">
        <v>0</v>
      </c>
      <c r="R107" s="11">
        <v>0</v>
      </c>
      <c r="S107" s="11">
        <v>2.9726680000000001</v>
      </c>
      <c r="T107" s="11">
        <v>4.0666029999999997</v>
      </c>
      <c r="U107" s="11">
        <v>0</v>
      </c>
      <c r="V107" s="11">
        <v>0.85885699999999998</v>
      </c>
      <c r="W107" s="11">
        <v>0</v>
      </c>
      <c r="X107" s="11">
        <v>0</v>
      </c>
      <c r="Y107" s="11">
        <v>0</v>
      </c>
    </row>
    <row r="108" spans="1:25">
      <c r="A108" s="33" t="s">
        <v>73</v>
      </c>
      <c r="B108" s="10">
        <v>3.8</v>
      </c>
      <c r="C108" s="10">
        <v>5.3</v>
      </c>
      <c r="D108" s="10">
        <v>8.1</v>
      </c>
      <c r="E108" s="10">
        <v>6.5</v>
      </c>
      <c r="F108" s="10">
        <v>4.439038</v>
      </c>
      <c r="G108" s="10">
        <v>4.5109589999999997</v>
      </c>
      <c r="H108" s="10" t="s">
        <v>3</v>
      </c>
      <c r="I108" s="10">
        <v>5.0552919999999997</v>
      </c>
      <c r="J108" s="11">
        <v>3.6765569999999999</v>
      </c>
      <c r="K108" s="11">
        <v>1.3785970000000001</v>
      </c>
      <c r="L108" s="11">
        <v>3.4072879999999999</v>
      </c>
      <c r="M108" s="11">
        <v>1.302122169999999</v>
      </c>
      <c r="N108" s="11">
        <v>3.7871748900000002</v>
      </c>
      <c r="O108" s="11">
        <v>2.2779120000000002</v>
      </c>
      <c r="P108" s="11">
        <v>2.825475</v>
      </c>
      <c r="Q108" s="11">
        <v>5.6626120000000002</v>
      </c>
      <c r="R108" s="11">
        <v>0.104475</v>
      </c>
      <c r="S108" s="10">
        <v>0.63797800000000005</v>
      </c>
      <c r="T108" s="11">
        <v>6.9040999999999997</v>
      </c>
      <c r="U108" s="11">
        <v>10.933693999999999</v>
      </c>
      <c r="V108" s="11">
        <v>4.631634</v>
      </c>
      <c r="W108" s="11">
        <v>2</v>
      </c>
      <c r="X108" s="11">
        <v>2</v>
      </c>
      <c r="Y108" s="11">
        <v>2</v>
      </c>
    </row>
    <row r="109" spans="1:25">
      <c r="A109" s="33" t="s">
        <v>74</v>
      </c>
      <c r="B109" s="10" t="s">
        <v>3</v>
      </c>
      <c r="C109" s="10" t="s">
        <v>3</v>
      </c>
      <c r="D109" s="10">
        <v>0.1</v>
      </c>
      <c r="E109" s="10" t="s">
        <v>3</v>
      </c>
      <c r="F109" s="10" t="s">
        <v>3</v>
      </c>
      <c r="G109" s="10">
        <v>0.13859199999999999</v>
      </c>
      <c r="H109" s="10" t="s">
        <v>3</v>
      </c>
      <c r="I109" s="10">
        <v>0</v>
      </c>
      <c r="J109" s="11">
        <v>68.830670279999993</v>
      </c>
      <c r="K109" s="11">
        <v>20.898446</v>
      </c>
      <c r="L109" s="11">
        <v>34.654837000000001</v>
      </c>
      <c r="M109" s="11">
        <v>107.87248632000001</v>
      </c>
      <c r="N109" s="11">
        <v>92.159310439999999</v>
      </c>
      <c r="O109" s="11">
        <v>101.529967</v>
      </c>
      <c r="P109" s="11">
        <v>102.241725</v>
      </c>
      <c r="Q109" s="11">
        <v>91.191186999999999</v>
      </c>
      <c r="R109" s="11">
        <v>271.67566799999997</v>
      </c>
      <c r="S109" s="10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</row>
    <row r="110" spans="1:25">
      <c r="A110" s="33" t="s">
        <v>75</v>
      </c>
      <c r="B110" s="10" t="s">
        <v>3</v>
      </c>
      <c r="C110" s="10" t="s">
        <v>3</v>
      </c>
      <c r="D110" s="10" t="s">
        <v>3</v>
      </c>
      <c r="E110" s="10" t="s">
        <v>3</v>
      </c>
      <c r="F110" s="10" t="s">
        <v>3</v>
      </c>
      <c r="G110" s="10" t="s">
        <v>3</v>
      </c>
      <c r="H110" s="10" t="s">
        <v>3</v>
      </c>
      <c r="I110" s="10" t="s">
        <v>3</v>
      </c>
      <c r="J110" s="10" t="s">
        <v>3</v>
      </c>
      <c r="K110" s="10" t="s">
        <v>3</v>
      </c>
      <c r="L110" s="10" t="s">
        <v>3</v>
      </c>
      <c r="M110" s="10" t="s">
        <v>3</v>
      </c>
      <c r="N110" s="11">
        <v>2.31478E-2</v>
      </c>
      <c r="O110" s="11" t="s">
        <v>3</v>
      </c>
      <c r="P110" s="11">
        <v>0</v>
      </c>
      <c r="Q110" s="11">
        <v>1.2387E-2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</row>
    <row r="111" spans="1:25">
      <c r="A111" s="34" t="s">
        <v>78</v>
      </c>
      <c r="B111" s="17">
        <v>17.899999999999999</v>
      </c>
      <c r="C111" s="17">
        <v>9.9</v>
      </c>
      <c r="D111" s="17">
        <v>8.4</v>
      </c>
      <c r="E111" s="17">
        <v>10.9</v>
      </c>
      <c r="F111" s="17">
        <v>263.48886399999998</v>
      </c>
      <c r="G111" s="17">
        <v>268.96490240000003</v>
      </c>
      <c r="H111" s="17">
        <v>2.2076169999999999</v>
      </c>
      <c r="I111" s="17" t="s">
        <v>3</v>
      </c>
      <c r="J111" s="18" t="s">
        <v>3</v>
      </c>
      <c r="K111" s="18" t="s">
        <v>3</v>
      </c>
      <c r="L111" s="18" t="s">
        <v>3</v>
      </c>
      <c r="M111" s="18">
        <v>8.2856162099999899</v>
      </c>
      <c r="N111" s="18">
        <v>19.405660560000001</v>
      </c>
      <c r="O111" s="18">
        <v>14.011450999999999</v>
      </c>
      <c r="P111" s="18">
        <v>14.816117</v>
      </c>
      <c r="Q111" s="17">
        <v>13.102945</v>
      </c>
      <c r="R111" s="17">
        <v>12.655694</v>
      </c>
      <c r="S111" s="17">
        <v>0.93623500000000004</v>
      </c>
      <c r="T111" s="18">
        <v>5.8553860000000002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</row>
    <row r="112" spans="1:25">
      <c r="A112" s="19" t="s">
        <v>76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19" t="s">
        <v>109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20" t="s">
        <v>108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</sheetData>
  <mergeCells count="3">
    <mergeCell ref="A5:A6"/>
    <mergeCell ref="A2:X2"/>
    <mergeCell ref="A3:X3"/>
  </mergeCells>
  <pageMargins left="0.7" right="0.7" top="0.75" bottom="0.75" header="0.3" footer="0.3"/>
  <pageSetup scale="31" orientation="portrait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13.6</vt:lpstr>
      <vt:lpstr>'13.6'!Print_Area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2025-07-17T03:10:15Z</cp:lastPrinted>
  <dcterms:created xsi:type="dcterms:W3CDTF">2014-03-06T08:38:12Z</dcterms:created>
  <dcterms:modified xsi:type="dcterms:W3CDTF">2025-07-17T03:10:29Z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