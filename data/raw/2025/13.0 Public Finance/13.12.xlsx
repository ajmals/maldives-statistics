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ublic finance\"/>
    </mc:Choice>
  </mc:AlternateContent>
  <xr:revisionPtr revIDLastSave="0" documentId="13_ncr:1_{7043ADC3-6F1C-4493-B2C8-83761471CD9D}" xr6:coauthVersionLast="47" xr6:coauthVersionMax="47" xr10:uidLastSave="{00000000-0000-0000-0000-000000000000}"/>
  <bookViews>
    <workbookView xWindow="-120" yWindow="-120" windowWidth="29040" windowHeight="15720" tabRatio="731" xr2:uid="{00000000-000D-0000-FFFF-FFFF00000000}"/>
  </bookViews>
  <sheets>
    <sheet name="13.12" sheetId="38" r:id="rId1"/>
  </sheets>
  <definedNames>
    <definedName name="aas">#REF!</definedName>
    <definedName name="BACODE">#REF!</definedName>
    <definedName name="BAList">#REF!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#REF!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'13.12'!$A$1:$R$73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0" i="38" l="1"/>
  <c r="P59" i="38"/>
  <c r="P58" i="38"/>
  <c r="P56" i="38"/>
  <c r="P55" i="38"/>
  <c r="P54" i="38"/>
  <c r="P51" i="38"/>
  <c r="P49" i="38"/>
  <c r="P48" i="38"/>
  <c r="P47" i="38"/>
  <c r="P45" i="38"/>
  <c r="P43" i="38"/>
  <c r="P42" i="38"/>
  <c r="P39" i="38"/>
  <c r="P38" i="38"/>
  <c r="P37" i="38"/>
  <c r="P36" i="38"/>
  <c r="P35" i="38"/>
  <c r="P34" i="38"/>
  <c r="P33" i="38"/>
  <c r="P27" i="38"/>
  <c r="P26" i="38"/>
  <c r="P25" i="38"/>
  <c r="P23" i="38"/>
  <c r="P22" i="38"/>
  <c r="P21" i="38"/>
  <c r="P20" i="38"/>
  <c r="P19" i="38"/>
  <c r="P18" i="38"/>
  <c r="P17" i="38"/>
  <c r="P14" i="38"/>
  <c r="P13" i="38"/>
  <c r="P12" i="38"/>
  <c r="P11" i="38"/>
  <c r="P10" i="38"/>
  <c r="P9" i="38"/>
  <c r="P8" i="38"/>
  <c r="G7" i="38"/>
  <c r="N52" i="38" s="1"/>
  <c r="F7" i="38"/>
  <c r="M53" i="38" s="1"/>
  <c r="E7" i="38"/>
  <c r="L52" i="38" s="1"/>
  <c r="D7" i="38"/>
  <c r="K41" i="38" s="1"/>
  <c r="C7" i="38"/>
  <c r="J41" i="38" s="1"/>
  <c r="B7" i="38"/>
  <c r="I20" i="38" s="1"/>
  <c r="L19" i="38" l="1"/>
  <c r="L28" i="38"/>
  <c r="L22" i="38"/>
  <c r="J16" i="38"/>
  <c r="M44" i="38"/>
  <c r="J19" i="38"/>
  <c r="L30" i="38"/>
  <c r="M40" i="38"/>
  <c r="J9" i="38"/>
  <c r="J28" i="38"/>
  <c r="K28" i="38"/>
  <c r="L31" i="38"/>
  <c r="L49" i="38"/>
  <c r="I16" i="38"/>
  <c r="L24" i="38"/>
  <c r="L42" i="38"/>
  <c r="K50" i="38"/>
  <c r="L21" i="38"/>
  <c r="L20" i="38"/>
  <c r="L16" i="38"/>
  <c r="L25" i="38"/>
  <c r="L29" i="38"/>
  <c r="M43" i="38"/>
  <c r="M12" i="38"/>
  <c r="L8" i="38"/>
  <c r="L14" i="38"/>
  <c r="M30" i="38"/>
  <c r="K9" i="38"/>
  <c r="K19" i="38"/>
  <c r="I28" i="38"/>
  <c r="L40" i="38"/>
  <c r="I37" i="38"/>
  <c r="J37" i="38"/>
  <c r="M9" i="38"/>
  <c r="J20" i="38"/>
  <c r="L26" i="38"/>
  <c r="L32" i="38"/>
  <c r="L41" i="38"/>
  <c r="L48" i="38"/>
  <c r="J50" i="38"/>
  <c r="I58" i="38"/>
  <c r="K18" i="38"/>
  <c r="L50" i="38"/>
  <c r="I27" i="38"/>
  <c r="L33" i="38"/>
  <c r="I39" i="38"/>
  <c r="J18" i="38"/>
  <c r="J58" i="38"/>
  <c r="L10" i="38"/>
  <c r="L45" i="38"/>
  <c r="L54" i="38"/>
  <c r="I30" i="38"/>
  <c r="M33" i="38"/>
  <c r="J39" i="38"/>
  <c r="L51" i="38"/>
  <c r="J59" i="38"/>
  <c r="M26" i="38"/>
  <c r="L58" i="38"/>
  <c r="L18" i="38"/>
  <c r="J8" i="38"/>
  <c r="I15" i="38"/>
  <c r="J27" i="38"/>
  <c r="K8" i="38"/>
  <c r="L11" i="38"/>
  <c r="L15" i="38"/>
  <c r="J30" i="38"/>
  <c r="L36" i="38"/>
  <c r="L39" i="38"/>
  <c r="L43" i="38"/>
  <c r="L46" i="38"/>
  <c r="L55" i="38"/>
  <c r="L59" i="38"/>
  <c r="M59" i="38"/>
  <c r="M56" i="38"/>
  <c r="L60" i="38"/>
  <c r="J49" i="38"/>
  <c r="M52" i="38"/>
  <c r="M60" i="38"/>
  <c r="L9" i="38"/>
  <c r="M22" i="38"/>
  <c r="L35" i="38"/>
  <c r="L38" i="38"/>
  <c r="N43" i="38"/>
  <c r="M50" i="38"/>
  <c r="M8" i="38"/>
  <c r="M16" i="38"/>
  <c r="M19" i="38"/>
  <c r="M23" i="38"/>
  <c r="N13" i="38"/>
  <c r="N33" i="38"/>
  <c r="M10" i="38"/>
  <c r="N8" i="38"/>
  <c r="N23" i="38"/>
  <c r="M31" i="38"/>
  <c r="M34" i="38"/>
  <c r="M41" i="38"/>
  <c r="N34" i="38"/>
  <c r="N41" i="38"/>
  <c r="M47" i="38"/>
  <c r="M51" i="38"/>
  <c r="M11" i="38"/>
  <c r="M21" i="38"/>
  <c r="M29" i="38"/>
  <c r="M36" i="38"/>
  <c r="N11" i="38"/>
  <c r="N21" i="38"/>
  <c r="M32" i="38"/>
  <c r="M39" i="38"/>
  <c r="M42" i="38"/>
  <c r="N9" i="38"/>
  <c r="N22" i="38"/>
  <c r="N17" i="38"/>
  <c r="N31" i="38"/>
  <c r="M20" i="38"/>
  <c r="N42" i="38"/>
  <c r="M49" i="38"/>
  <c r="N37" i="38"/>
  <c r="I59" i="38"/>
  <c r="I50" i="38"/>
  <c r="I41" i="38"/>
  <c r="I31" i="38"/>
  <c r="I9" i="38"/>
  <c r="I60" i="38"/>
  <c r="I43" i="38"/>
  <c r="I11" i="38"/>
  <c r="I44" i="38"/>
  <c r="I51" i="38"/>
  <c r="I42" i="38"/>
  <c r="I32" i="38"/>
  <c r="I21" i="38"/>
  <c r="I10" i="38"/>
  <c r="I33" i="38"/>
  <c r="I22" i="38"/>
  <c r="I52" i="38"/>
  <c r="I53" i="38"/>
  <c r="I13" i="38"/>
  <c r="I54" i="38"/>
  <c r="I45" i="38"/>
  <c r="I35" i="38"/>
  <c r="I24" i="38"/>
  <c r="I14" i="38"/>
  <c r="I55" i="38"/>
  <c r="I46" i="38"/>
  <c r="I25" i="38"/>
  <c r="I56" i="38"/>
  <c r="J51" i="38"/>
  <c r="J42" i="38"/>
  <c r="J32" i="38"/>
  <c r="J21" i="38"/>
  <c r="J10" i="38"/>
  <c r="J52" i="38"/>
  <c r="J34" i="38"/>
  <c r="J23" i="38"/>
  <c r="J53" i="38"/>
  <c r="J60" i="38"/>
  <c r="J43" i="38"/>
  <c r="J33" i="38"/>
  <c r="J22" i="38"/>
  <c r="J11" i="38"/>
  <c r="J44" i="38"/>
  <c r="J12" i="38"/>
  <c r="J54" i="38"/>
  <c r="J45" i="38"/>
  <c r="J35" i="38"/>
  <c r="J24" i="38"/>
  <c r="J14" i="38"/>
  <c r="J55" i="38"/>
  <c r="J46" i="38"/>
  <c r="J25" i="38"/>
  <c r="J15" i="38"/>
  <c r="J56" i="38"/>
  <c r="J47" i="38"/>
  <c r="J36" i="38"/>
  <c r="J26" i="38"/>
  <c r="I8" i="38"/>
  <c r="J13" i="38"/>
  <c r="I18" i="38"/>
  <c r="K30" i="38"/>
  <c r="K39" i="38"/>
  <c r="N50" i="38"/>
  <c r="K58" i="38"/>
  <c r="K60" i="38"/>
  <c r="K43" i="38"/>
  <c r="K33" i="38"/>
  <c r="K22" i="38"/>
  <c r="K11" i="38"/>
  <c r="K53" i="38"/>
  <c r="K13" i="38"/>
  <c r="K45" i="38"/>
  <c r="K52" i="38"/>
  <c r="K44" i="38"/>
  <c r="K34" i="38"/>
  <c r="K23" i="38"/>
  <c r="K12" i="38"/>
  <c r="K54" i="38"/>
  <c r="K55" i="38"/>
  <c r="K46" i="38"/>
  <c r="K25" i="38"/>
  <c r="K15" i="38"/>
  <c r="K56" i="38"/>
  <c r="K47" i="38"/>
  <c r="K36" i="38"/>
  <c r="K26" i="38"/>
  <c r="K16" i="38"/>
  <c r="K57" i="38"/>
  <c r="K37" i="38"/>
  <c r="K27" i="38"/>
  <c r="K32" i="38"/>
  <c r="I34" i="38"/>
  <c r="K35" i="38"/>
  <c r="I48" i="38"/>
  <c r="I36" i="38"/>
  <c r="I47" i="38"/>
  <c r="J48" i="38"/>
  <c r="I49" i="38"/>
  <c r="K51" i="38"/>
  <c r="K59" i="38"/>
  <c r="I29" i="38"/>
  <c r="I38" i="38"/>
  <c r="N60" i="38"/>
  <c r="N54" i="38"/>
  <c r="N45" i="38"/>
  <c r="N35" i="38"/>
  <c r="N24" i="38"/>
  <c r="N14" i="38"/>
  <c r="N47" i="38"/>
  <c r="N55" i="38"/>
  <c r="N46" i="38"/>
  <c r="N25" i="38"/>
  <c r="N15" i="38"/>
  <c r="N56" i="38"/>
  <c r="N36" i="38"/>
  <c r="N26" i="38"/>
  <c r="N16" i="38"/>
  <c r="N57" i="38"/>
  <c r="N48" i="38"/>
  <c r="N38" i="38"/>
  <c r="N28" i="38"/>
  <c r="N18" i="38"/>
  <c r="P7" i="38"/>
  <c r="N58" i="38"/>
  <c r="N39" i="38"/>
  <c r="N29" i="38"/>
  <c r="N19" i="38"/>
  <c r="N49" i="38"/>
  <c r="N40" i="38"/>
  <c r="N30" i="38"/>
  <c r="K10" i="38"/>
  <c r="K20" i="38"/>
  <c r="N27" i="38"/>
  <c r="J29" i="38"/>
  <c r="N32" i="38"/>
  <c r="J38" i="38"/>
  <c r="K49" i="38"/>
  <c r="I40" i="38"/>
  <c r="I57" i="38"/>
  <c r="J17" i="38"/>
  <c r="I23" i="38"/>
  <c r="K24" i="38"/>
  <c r="J31" i="38"/>
  <c r="J40" i="38"/>
  <c r="N53" i="38"/>
  <c r="J57" i="38"/>
  <c r="K48" i="38"/>
  <c r="I12" i="38"/>
  <c r="I17" i="38"/>
  <c r="K29" i="38"/>
  <c r="K38" i="38"/>
  <c r="K42" i="38"/>
  <c r="N44" i="38"/>
  <c r="N51" i="38"/>
  <c r="N59" i="38"/>
  <c r="K21" i="38"/>
  <c r="N10" i="38"/>
  <c r="N12" i="38"/>
  <c r="K14" i="38"/>
  <c r="K17" i="38"/>
  <c r="I19" i="38"/>
  <c r="N20" i="38"/>
  <c r="I26" i="38"/>
  <c r="K31" i="38"/>
  <c r="K40" i="38"/>
  <c r="M58" i="38"/>
  <c r="L17" i="38"/>
  <c r="M18" i="38"/>
  <c r="L27" i="38"/>
  <c r="M28" i="38"/>
  <c r="L37" i="38"/>
  <c r="M38" i="38"/>
  <c r="M48" i="38"/>
  <c r="L57" i="38"/>
  <c r="M17" i="38"/>
  <c r="M27" i="38"/>
  <c r="M37" i="38"/>
  <c r="L47" i="38"/>
  <c r="L56" i="38"/>
  <c r="M57" i="38"/>
  <c r="L13" i="38"/>
  <c r="M14" i="38"/>
  <c r="M24" i="38"/>
  <c r="M35" i="38"/>
  <c r="M45" i="38"/>
  <c r="L53" i="38"/>
  <c r="M54" i="38"/>
  <c r="M15" i="38"/>
  <c r="M25" i="38"/>
  <c r="M46" i="38"/>
  <c r="M55" i="38"/>
  <c r="L12" i="38"/>
  <c r="M13" i="38"/>
  <c r="L23" i="38"/>
  <c r="L34" i="38"/>
  <c r="L44" i="38"/>
  <c r="J7" i="38" l="1"/>
  <c r="N7" i="38"/>
  <c r="K7" i="38"/>
  <c r="I7" i="38"/>
  <c r="M7" i="38"/>
  <c r="L7" i="38"/>
</calcChain>
</file>

<file path=xl/sharedStrings.xml><?xml version="1.0" encoding="utf-8"?>
<sst xmlns="http://schemas.openxmlformats.org/spreadsheetml/2006/main" count="148" uniqueCount="134">
  <si>
    <t xml:space="preserve">(*) - Indicates if the percentage change is greater than 100. </t>
  </si>
  <si>
    <t>ޖޫރިމަނާ</t>
  </si>
  <si>
    <t>އެހެނިހެން</t>
  </si>
  <si>
    <t>ތަފްސީލު</t>
  </si>
  <si>
    <t>Description</t>
  </si>
  <si>
    <t>Revenue collected (MVR)</t>
  </si>
  <si>
    <t>ލިބުނު އާމްދަނީ (ރުފިޔާއިން)</t>
  </si>
  <si>
    <t>2019*</t>
  </si>
  <si>
    <t>އެއަރޕޯޓް ސަރވިސް ޗާޖް</t>
  </si>
  <si>
    <t>Airport Development Fee***</t>
  </si>
  <si>
    <t>އެއަރޕޯޓް ޑިވެލޮޕްމަންޓް ފީ</t>
  </si>
  <si>
    <t xml:space="preserve">Business Profit Tax/ Income Tax - Companies and Non-Individuals
</t>
  </si>
  <si>
    <t>Construction Period Extension Fee***</t>
  </si>
  <si>
    <t>Corporate Social Responsibility Fee***</t>
  </si>
  <si>
    <t>Green Tax</t>
  </si>
  <si>
    <t>ގްރީން ޓެކްސް</t>
  </si>
  <si>
    <t>Remittance Tax**</t>
  </si>
  <si>
    <t>ރެމިޓެންސް ޓެކްސް</t>
  </si>
  <si>
    <t>Land Acquisition and Conversion Fee</t>
  </si>
  <si>
    <t>ބިން ވިއްކުމާއި ބިން ބަދަލުކުރުމުގެ ފީ</t>
  </si>
  <si>
    <t>ބިން ވިއްކުމަށް ނެގޭ ޓެކްސް</t>
  </si>
  <si>
    <t>ކުލީގެ މުއްދަތު އިތުރުކުރުން</t>
  </si>
  <si>
    <t>Ownership Transfer Tax***</t>
  </si>
  <si>
    <t>އޯނަރޝިޕް ޓްރާންސްފަރ ޓެކްސް</t>
  </si>
  <si>
    <t>ރެވެނިއު ސްޓޭމްޕް</t>
  </si>
  <si>
    <t>ޓޫރިޒަމް އެޑްމިނިސްޓްރޭޝަން ފީ</t>
  </si>
  <si>
    <t>ވޯކް ޕާމިޓް ފީ</t>
  </si>
  <si>
    <t>Total</t>
  </si>
  <si>
    <t>ޖުމްލަ</t>
  </si>
  <si>
    <t>Source: Maldives Inland Revenue Authority</t>
  </si>
  <si>
    <t>2019*: 2019 Figures revised as per Internal Audit reconciliation on 31s March 2020</t>
  </si>
  <si>
    <t>2020 Figures reconciled as of 11.02.2021</t>
  </si>
  <si>
    <t>Percentage  shares</t>
  </si>
  <si>
    <t xml:space="preserve">ބެހިފައިވާ ގޮތް ސައްތައިން </t>
  </si>
  <si>
    <t>Bank Profit Tax</t>
  </si>
  <si>
    <t>ބެންކް ފައިދާގެ ޓެކްސް</t>
  </si>
  <si>
    <t>ބިޒްނަސް ޕްރޮފިޓް ޓެކްސް</t>
  </si>
  <si>
    <t>Commercial Land Rent</t>
  </si>
  <si>
    <t>ވިޔަފާރިކުރުމަށް ދޫކުރެވިފައިވާ ބިންބިމުގެ ކުލި</t>
  </si>
  <si>
    <t>Company Annual Fee</t>
  </si>
  <si>
    <t>ކުންފުނިތަކުގެ އަހަރީ ފީ</t>
  </si>
  <si>
    <t>Company Registration Fee</t>
  </si>
  <si>
    <t>ކުންފުނި ރަޖިސްޓްރީ ކުރުމުގެ ފީ</t>
  </si>
  <si>
    <t>ކޮންސްޓްރަކްޝަން ޕީރިއަޑް އެކްސްޓެންޝަން ފީ</t>
  </si>
  <si>
    <t>ކޯޕަރޭޓް ސޯޝަލް ރެސްޕޮންސިބިލިޓީ ފީ</t>
  </si>
  <si>
    <t>Co-operative Society Annual Fee</t>
  </si>
  <si>
    <t>ކޯޕަރޭޓިވް ސޮސައިޓީ އަހަރީ ފީ</t>
  </si>
  <si>
    <t>Co-operative Society Registration Fee</t>
  </si>
  <si>
    <t>ކޯޕަރޭޓިވް ސޮސައިޓީ ރެޖިސްޓްރޭޝަން ފީ</t>
  </si>
  <si>
    <t>Duty Free Royalty</t>
  </si>
  <si>
    <t>ޑިއުޓީ ފްރީ ޝޮޕްގެ ރޯޔަލްޓީ</t>
  </si>
  <si>
    <t>Fines</t>
  </si>
  <si>
    <t>Flat Maintenance Fee</t>
  </si>
  <si>
    <t>ފްލެޓް ބެލެހެއްޓުމުގެ އަގު</t>
  </si>
  <si>
    <t>Foreign Business Fee</t>
  </si>
  <si>
    <t>ބިދޭސީން ވިޔަފާރި ކުރުމުގެ ހުއްދަ</t>
  </si>
  <si>
    <t>Foreign Investment Administration Annual Fee</t>
  </si>
  <si>
    <t>ފޮރިން އިންވެސްޓްމަންޓް އެޑްމިނިސްޓްރޭޝަން ފީ</t>
  </si>
  <si>
    <t>Fuel Re-Export Royalty</t>
  </si>
  <si>
    <t>ފިއުލް ރީއެކްސްޕޯޓް ރޯޔަލްޓީ</t>
  </si>
  <si>
    <t>Goods and Services Tax</t>
  </si>
  <si>
    <t xml:space="preserve">މުދަލާއި ޚިދުމަތުން ނެގޭ ޓެކްސް     </t>
  </si>
  <si>
    <t>Government Buildings Rent</t>
  </si>
  <si>
    <t>ސަރުކާރުގެ އިމާރާތުގެ ކުލި</t>
  </si>
  <si>
    <t>Import Trade Fee</t>
  </si>
  <si>
    <t>އިމްޕޯޓް ވިޔަފާރި ފީ</t>
  </si>
  <si>
    <t>Land Sales Tax</t>
  </si>
  <si>
    <t>Lease Period Extension Fee</t>
  </si>
  <si>
    <t>Long-Term Agricultural Leased Islands Rent</t>
  </si>
  <si>
    <t>ދަނޑުވެރިކަމަށް ދޫކުރެވިފައިވާ ރަށްރަށުގެ ކުލި</t>
  </si>
  <si>
    <t>Partnership Registration Fee</t>
  </si>
  <si>
    <t>ޕާޓްނާޝިޕް ރަޖިސްޓްރީކުރުމުގެ ފީ</t>
  </si>
  <si>
    <t>Rent from Floating Jetty</t>
  </si>
  <si>
    <t>ފްލޯޓިންގ ޖެޓީގެ ކުލި</t>
  </si>
  <si>
    <t>Rent from Land for Industry</t>
  </si>
  <si>
    <t>ސިނާޢީ މަސައްކަތްތަކަށް ދޫކުރެވިފައިވާ ބިމުގެ ކުލި</t>
  </si>
  <si>
    <t>Sale of Pass</t>
  </si>
  <si>
    <t>Resident Permit</t>
  </si>
  <si>
    <t>ރެސިޑެންޓް ޕާރމިޓް</t>
  </si>
  <si>
    <t>Restaurant, Café, Canteen Fee</t>
  </si>
  <si>
    <t>ރެސްޓޯރަންޓް، ކެފޭ އަދި ކެންޓީންތަކުގެ ވިޔަފާރި ފީ</t>
  </si>
  <si>
    <t>Revenue Stamp</t>
  </si>
  <si>
    <t>Sale of Government Buildings</t>
  </si>
  <si>
    <t>ސަރުކާރުގެ އިމާރާތް ވިއްކި</t>
  </si>
  <si>
    <t>Sale of Government Land</t>
  </si>
  <si>
    <t>ސަރުކާރުގެ ބިން ވިއްކި</t>
  </si>
  <si>
    <t>Sale of Items at Auction</t>
  </si>
  <si>
    <t>ނީލަމުގައި ތަކެތި ވިއްކައިގެން ލިބޭ</t>
  </si>
  <si>
    <t>Sole Traders Registration Fee</t>
  </si>
  <si>
    <t>އަމިއްލަ ފަރުދުންގެ ވިޔަފާރި ރަޖިސްޓަރީ ފީ</t>
  </si>
  <si>
    <t>Tourism Administration Fee</t>
  </si>
  <si>
    <t xml:space="preserve"> </t>
  </si>
  <si>
    <t>Tourism Land Rent</t>
  </si>
  <si>
    <t>ޓުއަރިޒަމްއަށް ދޫކުރެވިފައިވާ ބިމުގެ ކުލި</t>
  </si>
  <si>
    <t>Trade Registry Fee</t>
  </si>
  <si>
    <t>ޓްރޭޑް ރަޖިސްޓްރީ ފީ</t>
  </si>
  <si>
    <t>Uninhabited Islands Rent</t>
  </si>
  <si>
    <t>ގޮއިފާލައްބަ، ހިންނަ ފަދަ ތަންތަނުގެ ވަރުވާ</t>
  </si>
  <si>
    <t>Vehicle Fee</t>
  </si>
  <si>
    <t>އެއްގަމު އުޅަނދު ފީ</t>
  </si>
  <si>
    <t>Vessel Fee</t>
  </si>
  <si>
    <t>ކަނޑުގައި ދުއްވާ އުޅަނދު ފީ</t>
  </si>
  <si>
    <t>Dive School Registration Fee***</t>
  </si>
  <si>
    <t>Guest House Registration Fee***</t>
  </si>
  <si>
    <t>Other Registrations &amp; License Fees***</t>
  </si>
  <si>
    <t>Motor Vehicle and Vessel Registration Fee***</t>
  </si>
  <si>
    <t>Bank Mortgage Registration Fee***</t>
  </si>
  <si>
    <t>Sale of Tender Documents***</t>
  </si>
  <si>
    <t>Online Business And Activity Registration Fee ****</t>
  </si>
  <si>
    <t>Work permit Fee****</t>
  </si>
  <si>
    <t>Others5</t>
  </si>
  <si>
    <t>މަޢުލޫމާތު ދެއްވި ފަރާތް: މޯލްޑިވްސް އިންލަންޑް ރެވެނިއު އޮތޯރިޓީ</t>
  </si>
  <si>
    <t>***  Airport Development Fee, Construction Period Extension Fee, Corporate Social Responsibility Fee, Tourism Administration Fee, Ownership Transfer Tax, Dive School Registration Fee, Guest house registration Fee, Ither Registrations &amp; License Fees, Motor Vehicle and Vessel Registration Fee, Bank Mortgage Registration Fee, Sale of Tender Documents added</t>
  </si>
  <si>
    <t>****Work Permit Fee, Online Business and Activity Registration Fee and Loan Repayment and National Student Loan added</t>
  </si>
  <si>
    <t>**Remittance tax added</t>
  </si>
  <si>
    <t>2023 އާއި އަޅާބަލާއިރު 2024 ގައި އިތުރުވި މިންވަރު (%)</t>
  </si>
  <si>
    <t>Airport Service Charge / Departure Tax</t>
  </si>
  <si>
    <t>2021 Figures are updated as per the Internal Audit Reconciliation on 15th May 2022</t>
  </si>
  <si>
    <t>2022 Figures are updated as per the Internal Audit Reconciliation on 19th June 2023</t>
  </si>
  <si>
    <t>2023 Figures are updated as per the Internal Audit Reconciliation on 29th May 2024</t>
  </si>
  <si>
    <t>2024 Figures are updated as per the Internal Audit Reconciliation on 19th March 2025</t>
  </si>
  <si>
    <t>Percentage change  over 2023</t>
  </si>
  <si>
    <t>Table 13.12: REVENUE COLLECTED BY DETAILED CATEGORIES,  2019 - 2024</t>
  </si>
  <si>
    <t>ތާވަލު 13.12: ޢާމްދަނީގެ ގޮތުގައި ލިބުނު ފައިސާގެ ތަފްޞީލު،  2019 - 2024</t>
  </si>
  <si>
    <t>(*)</t>
  </si>
  <si>
    <r>
      <t xml:space="preserve">ޑްރައިވިންގ ސްކޫލް ރެޖިސްޓްރޭޝަން ފީ </t>
    </r>
    <r>
      <rPr>
        <sz val="8"/>
        <color theme="1"/>
        <rFont val="Faruma"/>
      </rPr>
      <t>***</t>
    </r>
  </si>
  <si>
    <r>
      <t xml:space="preserve">ގެސްޓް ހައުސް ރެޖިސްޓްރޭޝަން ފީ </t>
    </r>
    <r>
      <rPr>
        <sz val="8"/>
        <color theme="1"/>
        <rFont val="Faruma"/>
      </rPr>
      <t>***</t>
    </r>
  </si>
  <si>
    <r>
      <t xml:space="preserve">އެހެނިހެންރެޖިސްޓްރޭޝަން އަދި ލައިސަންސް ފީ </t>
    </r>
    <r>
      <rPr>
        <sz val="8"/>
        <color theme="1"/>
        <rFont val="Faruma"/>
      </rPr>
      <t>***</t>
    </r>
  </si>
  <si>
    <r>
      <t xml:space="preserve">އެއްގަމު އުޅަނދު އަދި ކަނޑުގައި ދުއްވާ އުޅަނދު ރެޖިސްޓްރޭޝަން ފީ </t>
    </r>
    <r>
      <rPr>
        <sz val="8"/>
        <color theme="1"/>
        <rFont val="Faruma"/>
      </rPr>
      <t>***</t>
    </r>
  </si>
  <si>
    <r>
      <t xml:space="preserve">ބޭންކް މޯގޭޖް ރެޖިސްޓްރޭޝަން ފީ </t>
    </r>
    <r>
      <rPr>
        <sz val="8"/>
        <color theme="1"/>
        <rFont val="Faruma"/>
      </rPr>
      <t>***</t>
    </r>
  </si>
  <si>
    <r>
      <t xml:space="preserve">ސޭލް އޮފް ޓެންޑަރ ޑޮކިއުމަންޓްސް </t>
    </r>
    <r>
      <rPr>
        <sz val="8"/>
        <color theme="1"/>
        <rFont val="Faruma"/>
      </rPr>
      <t>***</t>
    </r>
  </si>
  <si>
    <r>
      <t xml:space="preserve">އޮންލައިން ބިޒްނަސް އަދި ރެޖިސްޓްރޭޝަން ފީ </t>
    </r>
    <r>
      <rPr>
        <sz val="8"/>
        <color theme="1"/>
        <rFont val="Faruma"/>
      </rPr>
      <t>****</t>
    </r>
  </si>
  <si>
    <t>na - not applicable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</si>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</sst>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#,##0.0"/>
    <numFmt numFmtId="167" formatCode="0.0"/>
    <numFmt numFmtId="168" formatCode="#,##0.00\ ;&quot; (&quot;#,##0.00\);&quot; -&quot;#\ ;@\ "/>
    <numFmt numFmtId="169" formatCode="0.00_)"/>
    <numFmt numFmtId="170" formatCode="_(* #,##0_);_(* \(#,##0\);_(* &quot;-&quot;??_);_(@_)"/>
    <numFmt numFmtId="171" formatCode="#,##0_);\-#,##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i/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ourier"/>
    </font>
    <font>
      <sz val="10"/>
      <name val="Helv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  <font>
      <sz val="11"/>
      <color theme="1"/>
      <name val="Faruma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Faruma"/>
    </font>
    <font>
      <sz val="10.5"/>
      <color theme="1"/>
      <name val="Faruma"/>
    </font>
    <font>
      <sz val="10"/>
      <color theme="1"/>
      <name val="Calibri"/>
      <family val="2"/>
      <scheme val="minor"/>
    </font>
    <font>
      <sz val="9.5"/>
      <color theme="1"/>
      <name val="Faruma"/>
    </font>
    <font>
      <sz val="8"/>
      <color theme="1"/>
      <name val="Faruma"/>
    </font>
    <font>
      <sz val="10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</borders>
  <cellStyleXfs count="5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5" fillId="0" borderId="0"/>
    <xf numFmtId="168" fontId="5" fillId="0" borderId="0"/>
    <xf numFmtId="0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7" fontId="9" fillId="0" borderId="0"/>
    <xf numFmtId="4" fontId="1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9" fontId="12" fillId="0" borderId="0"/>
    <xf numFmtId="1" fontId="13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0" fillId="0" borderId="0"/>
    <xf numFmtId="40" fontId="10" fillId="0" borderId="0" applyFont="0" applyFill="0" applyBorder="0" applyAlignment="0" applyProtection="0"/>
    <xf numFmtId="0" fontId="10" fillId="0" borderId="0"/>
    <xf numFmtId="0" fontId="2" fillId="0" borderId="0"/>
    <xf numFmtId="1" fontId="13" fillId="0" borderId="12" applyNumberFormat="0"/>
    <xf numFmtId="0" fontId="1" fillId="0" borderId="0"/>
    <xf numFmtId="0" fontId="10" fillId="0" borderId="0"/>
    <xf numFmtId="0" fontId="5" fillId="0" borderId="0" applyFill="0" applyProtection="0"/>
    <xf numFmtId="1" fontId="13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14" fillId="0" borderId="0"/>
    <xf numFmtId="0" fontId="15" fillId="0" borderId="0"/>
    <xf numFmtId="0" fontId="14" fillId="0" borderId="0"/>
    <xf numFmtId="0" fontId="1" fillId="0" borderId="0"/>
    <xf numFmtId="0" fontId="10" fillId="0" borderId="0"/>
    <xf numFmtId="0" fontId="5" fillId="0" borderId="0" applyFill="0" applyProtection="0"/>
  </cellStyleXfs>
  <cellXfs count="66">
    <xf numFmtId="0" fontId="0" fillId="0" borderId="0" xfId="0"/>
    <xf numFmtId="0" fontId="7" fillId="2" borderId="0" xfId="0" applyFont="1" applyFill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vertical="top" wrapText="1"/>
    </xf>
    <xf numFmtId="0" fontId="16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1" fontId="16" fillId="2" borderId="0" xfId="0" applyNumberFormat="1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vertical="top" wrapText="1"/>
    </xf>
    <xf numFmtId="0" fontId="16" fillId="2" borderId="2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right" vertical="center" wrapText="1"/>
    </xf>
    <xf numFmtId="0" fontId="16" fillId="2" borderId="0" xfId="0" applyFont="1" applyFill="1" applyAlignment="1">
      <alignment horizontal="left" vertical="center"/>
    </xf>
    <xf numFmtId="0" fontId="20" fillId="2" borderId="13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 readingOrder="2"/>
    </xf>
    <xf numFmtId="0" fontId="17" fillId="2" borderId="0" xfId="0" applyFont="1" applyFill="1" applyAlignment="1">
      <alignment horizontal="right" vertical="center" wrapText="1"/>
    </xf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right" vertical="center" wrapText="1"/>
    </xf>
    <xf numFmtId="0" fontId="16" fillId="2" borderId="8" xfId="0" applyFont="1" applyFill="1" applyBorder="1" applyAlignment="1">
      <alignment horizontal="right" vertical="center" wrapText="1"/>
    </xf>
    <xf numFmtId="0" fontId="16" fillId="2" borderId="10" xfId="0" applyFont="1" applyFill="1" applyBorder="1" applyAlignment="1">
      <alignment horizontal="right" vertical="center" wrapText="1"/>
    </xf>
    <xf numFmtId="0" fontId="22" fillId="2" borderId="1" xfId="0" applyFont="1" applyFill="1" applyBorder="1" applyAlignment="1">
      <alignment horizontal="right" vertical="center" wrapText="1"/>
    </xf>
    <xf numFmtId="0" fontId="23" fillId="2" borderId="0" xfId="0" applyFont="1" applyFill="1" applyAlignment="1">
      <alignment horizontal="left" vertical="center"/>
    </xf>
    <xf numFmtId="170" fontId="23" fillId="2" borderId="0" xfId="0" applyNumberFormat="1" applyFont="1" applyFill="1" applyAlignment="1">
      <alignment horizontal="right" vertical="center" wrapText="1"/>
    </xf>
    <xf numFmtId="170" fontId="23" fillId="2" borderId="0" xfId="1" applyNumberFormat="1" applyFont="1" applyFill="1" applyBorder="1" applyAlignment="1">
      <alignment horizontal="right" vertical="center" wrapText="1"/>
    </xf>
    <xf numFmtId="170" fontId="23" fillId="2" borderId="7" xfId="0" applyNumberFormat="1" applyFont="1" applyFill="1" applyBorder="1" applyAlignment="1">
      <alignment horizontal="right" vertical="center" wrapText="1"/>
    </xf>
    <xf numFmtId="1" fontId="23" fillId="2" borderId="0" xfId="0" applyNumberFormat="1" applyFont="1" applyFill="1" applyAlignment="1">
      <alignment horizontal="right" vertical="center" wrapText="1"/>
    </xf>
    <xf numFmtId="3" fontId="24" fillId="2" borderId="5" xfId="1" applyNumberFormat="1" applyFont="1" applyFill="1" applyBorder="1" applyAlignment="1">
      <alignment horizontal="center" vertical="center" wrapText="1"/>
    </xf>
    <xf numFmtId="0" fontId="25" fillId="2" borderId="0" xfId="0" applyFont="1" applyFill="1" applyAlignment="1">
      <alignment vertical="top" wrapText="1"/>
    </xf>
    <xf numFmtId="0" fontId="16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170" fontId="24" fillId="2" borderId="0" xfId="1" applyNumberFormat="1" applyFont="1" applyFill="1" applyBorder="1" applyAlignment="1">
      <alignment horizontal="right" vertical="center" wrapText="1"/>
    </xf>
    <xf numFmtId="170" fontId="24" fillId="2" borderId="7" xfId="1" applyNumberFormat="1" applyFont="1" applyFill="1" applyBorder="1" applyAlignment="1">
      <alignment horizontal="right" vertical="center" wrapText="1"/>
    </xf>
    <xf numFmtId="1" fontId="24" fillId="2" borderId="0" xfId="0" applyNumberFormat="1" applyFont="1" applyFill="1" applyAlignment="1">
      <alignment horizontal="right" vertical="center" wrapText="1"/>
    </xf>
    <xf numFmtId="167" fontId="24" fillId="2" borderId="0" xfId="0" applyNumberFormat="1" applyFont="1" applyFill="1" applyAlignment="1">
      <alignment horizontal="right" vertical="center" wrapText="1"/>
    </xf>
    <xf numFmtId="3" fontId="24" fillId="2" borderId="3" xfId="1" applyNumberFormat="1" applyFont="1" applyFill="1" applyBorder="1" applyAlignment="1">
      <alignment horizontal="center" vertical="center" wrapText="1"/>
    </xf>
    <xf numFmtId="0" fontId="26" fillId="2" borderId="0" xfId="0" applyFont="1" applyFill="1" applyAlignment="1">
      <alignment vertical="top" wrapText="1"/>
    </xf>
    <xf numFmtId="171" fontId="27" fillId="2" borderId="0" xfId="0" applyNumberFormat="1" applyFont="1" applyFill="1" applyAlignment="1">
      <alignment horizontal="left" vertical="top"/>
    </xf>
    <xf numFmtId="0" fontId="26" fillId="2" borderId="0" xfId="0" applyFont="1" applyFill="1" applyAlignment="1">
      <alignment vertical="top"/>
    </xf>
    <xf numFmtId="166" fontId="28" fillId="2" borderId="0" xfId="2" applyNumberFormat="1" applyFont="1" applyFill="1" applyAlignment="1">
      <alignment horizontal="right" vertical="center"/>
    </xf>
    <xf numFmtId="166" fontId="26" fillId="2" borderId="0" xfId="2" applyNumberFormat="1" applyFont="1" applyFill="1" applyAlignment="1">
      <alignment horizontal="right" vertical="center"/>
    </xf>
    <xf numFmtId="170" fontId="24" fillId="2" borderId="0" xfId="1" applyNumberFormat="1" applyFont="1" applyFill="1" applyBorder="1" applyAlignment="1">
      <alignment horizontal="center" vertical="center" wrapText="1"/>
    </xf>
    <xf numFmtId="170" fontId="24" fillId="2" borderId="1" xfId="1" applyNumberFormat="1" applyFont="1" applyFill="1" applyBorder="1" applyAlignment="1">
      <alignment horizontal="right" vertical="center" wrapText="1"/>
    </xf>
    <xf numFmtId="170" fontId="24" fillId="2" borderId="8" xfId="1" applyNumberFormat="1" applyFont="1" applyFill="1" applyBorder="1" applyAlignment="1">
      <alignment horizontal="right" vertical="center" wrapText="1"/>
    </xf>
    <xf numFmtId="1" fontId="24" fillId="2" borderId="1" xfId="0" applyNumberFormat="1" applyFont="1" applyFill="1" applyBorder="1" applyAlignment="1">
      <alignment horizontal="right" vertical="center" wrapText="1"/>
    </xf>
    <xf numFmtId="167" fontId="24" fillId="2" borderId="1" xfId="0" applyNumberFormat="1" applyFont="1" applyFill="1" applyBorder="1" applyAlignment="1">
      <alignment horizontal="right" vertical="center" wrapText="1"/>
    </xf>
    <xf numFmtId="3" fontId="24" fillId="2" borderId="4" xfId="1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vertical="top" wrapText="1"/>
    </xf>
    <xf numFmtId="3" fontId="24" fillId="2" borderId="0" xfId="1" applyNumberFormat="1" applyFont="1" applyFill="1" applyBorder="1" applyAlignment="1">
      <alignment horizontal="center" vertical="center" wrapText="1"/>
    </xf>
    <xf numFmtId="0" fontId="30" fillId="2" borderId="0" xfId="0" applyFont="1" applyFill="1" applyAlignment="1">
      <alignment vertical="center"/>
    </xf>
    <xf numFmtId="0" fontId="0" fillId="2" borderId="0" xfId="0" applyFont="1" applyFill="1"/>
    <xf numFmtId="171" fontId="7" fillId="2" borderId="0" xfId="0" applyNumberFormat="1" applyFont="1" applyFill="1" applyAlignment="1">
      <alignment horizontal="left" vertical="center"/>
    </xf>
    <xf numFmtId="170" fontId="0" fillId="2" borderId="0" xfId="1" applyNumberFormat="1" applyFont="1" applyFill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30" fillId="2" borderId="0" xfId="0" applyFont="1" applyFill="1" applyAlignment="1">
      <alignment vertical="center" wrapText="1"/>
    </xf>
    <xf numFmtId="0" fontId="0" fillId="2" borderId="0" xfId="0" applyFont="1" applyFill="1" applyAlignment="1">
      <alignment vertical="top"/>
    </xf>
    <xf numFmtId="1" fontId="0" fillId="2" borderId="0" xfId="0" applyNumberFormat="1" applyFont="1" applyFill="1" applyAlignment="1">
      <alignment vertical="top" wrapText="1"/>
    </xf>
  </cellXfs>
  <cellStyles count="57">
    <cellStyle name="1" xfId="27" xr:uid="{00000000-0005-0000-0000-000000000000}"/>
    <cellStyle name="Comma" xfId="1" builtinId="3"/>
    <cellStyle name="Comma 12" xfId="22" xr:uid="{00000000-0005-0000-0000-000002000000}"/>
    <cellStyle name="Comma 2" xfId="6" xr:uid="{00000000-0005-0000-0000-000003000000}"/>
    <cellStyle name="Comma 2 2" xfId="41" xr:uid="{00000000-0005-0000-0000-000004000000}"/>
    <cellStyle name="Comma 2 2 2 5" xfId="49" xr:uid="{00000000-0005-0000-0000-000005000000}"/>
    <cellStyle name="Comma 3" xfId="7" xr:uid="{00000000-0005-0000-0000-000006000000}"/>
    <cellStyle name="Comma 3 2" xfId="17" xr:uid="{00000000-0005-0000-0000-000007000000}"/>
    <cellStyle name="Comma 3 3" xfId="28" xr:uid="{00000000-0005-0000-0000-000008000000}"/>
    <cellStyle name="Comma 4" xfId="3" xr:uid="{00000000-0005-0000-0000-000009000000}"/>
    <cellStyle name="Comma 4 2" xfId="14" xr:uid="{00000000-0005-0000-0000-00000A000000}"/>
    <cellStyle name="Comma 5" xfId="12" xr:uid="{00000000-0005-0000-0000-00000B000000}"/>
    <cellStyle name="Comma 6" xfId="9" xr:uid="{00000000-0005-0000-0000-00000C000000}"/>
    <cellStyle name="Comma 6 2" xfId="18" xr:uid="{00000000-0005-0000-0000-00000D000000}"/>
    <cellStyle name="Comma 7" xfId="16" xr:uid="{00000000-0005-0000-0000-00000E000000}"/>
    <cellStyle name="Comma 8" xfId="20" xr:uid="{00000000-0005-0000-0000-00000F000000}"/>
    <cellStyle name="Excel Built-in Comma" xfId="5" xr:uid="{00000000-0005-0000-0000-000010000000}"/>
    <cellStyle name="Excel Built-in Normal" xfId="4" xr:uid="{00000000-0005-0000-0000-000011000000}"/>
    <cellStyle name="Normal" xfId="0" builtinId="0"/>
    <cellStyle name="Normal - Style1" xfId="29" xr:uid="{00000000-0005-0000-0000-000013000000}"/>
    <cellStyle name="Normal 10" xfId="35" xr:uid="{00000000-0005-0000-0000-000014000000}"/>
    <cellStyle name="Normal 11" xfId="46" xr:uid="{00000000-0005-0000-0000-000015000000}"/>
    <cellStyle name="Normal 12" xfId="48" xr:uid="{00000000-0005-0000-0000-000016000000}"/>
    <cellStyle name="Normal 2" xfId="10" xr:uid="{00000000-0005-0000-0000-000017000000}"/>
    <cellStyle name="Normal 2 2" xfId="13" xr:uid="{00000000-0005-0000-0000-000018000000}"/>
    <cellStyle name="Normal 2 2 2" xfId="42" xr:uid="{00000000-0005-0000-0000-000019000000}"/>
    <cellStyle name="Normal 2 2 3" xfId="43" xr:uid="{00000000-0005-0000-0000-00001A000000}"/>
    <cellStyle name="Normal 2 2 4" xfId="30" xr:uid="{00000000-0005-0000-0000-00001B000000}"/>
    <cellStyle name="Normal 2 3" xfId="45" xr:uid="{00000000-0005-0000-0000-00001C000000}"/>
    <cellStyle name="Normal 2 3 2" xfId="56" xr:uid="{00000000-0005-0000-0000-00001D000000}"/>
    <cellStyle name="Normal 2 4" xfId="47" xr:uid="{00000000-0005-0000-0000-00001E000000}"/>
    <cellStyle name="Normal 2 5" xfId="51" xr:uid="{00000000-0005-0000-0000-00001F000000}"/>
    <cellStyle name="Normal 2 6" xfId="23" xr:uid="{00000000-0005-0000-0000-000020000000}"/>
    <cellStyle name="Normal 3" xfId="11" xr:uid="{00000000-0005-0000-0000-000021000000}"/>
    <cellStyle name="Normal 3 2" xfId="44" xr:uid="{00000000-0005-0000-0000-000022000000}"/>
    <cellStyle name="Normal 3 2 2" xfId="53" xr:uid="{00000000-0005-0000-0000-000023000000}"/>
    <cellStyle name="Normal 3 3" xfId="31" xr:uid="{00000000-0005-0000-0000-000024000000}"/>
    <cellStyle name="Normal 4" xfId="8" xr:uid="{00000000-0005-0000-0000-000025000000}"/>
    <cellStyle name="Normal 4 2" xfId="32" xr:uid="{00000000-0005-0000-0000-000026000000}"/>
    <cellStyle name="Normal 4 2 2" xfId="37" xr:uid="{00000000-0005-0000-0000-000027000000}"/>
    <cellStyle name="Normal 4 3" xfId="52" xr:uid="{00000000-0005-0000-0000-000028000000}"/>
    <cellStyle name="Normal 4 4" xfId="36" xr:uid="{00000000-0005-0000-0000-000029000000}"/>
    <cellStyle name="Normal 5" xfId="19" xr:uid="{00000000-0005-0000-0000-00002A000000}"/>
    <cellStyle name="Normal 5 2" xfId="25" xr:uid="{00000000-0005-0000-0000-00002B000000}"/>
    <cellStyle name="Normal 5 3" xfId="50" xr:uid="{00000000-0005-0000-0000-00002C000000}"/>
    <cellStyle name="Normal 5 4" xfId="33" xr:uid="{00000000-0005-0000-0000-00002D000000}"/>
    <cellStyle name="Normal 6" xfId="38" xr:uid="{00000000-0005-0000-0000-00002E000000}"/>
    <cellStyle name="Normal 6 2" xfId="54" xr:uid="{00000000-0005-0000-0000-00002F000000}"/>
    <cellStyle name="Normal 7" xfId="39" xr:uid="{00000000-0005-0000-0000-000030000000}"/>
    <cellStyle name="Normal 7 2" xfId="55" xr:uid="{00000000-0005-0000-0000-000031000000}"/>
    <cellStyle name="Normal 8" xfId="40" xr:uid="{00000000-0005-0000-0000-000032000000}"/>
    <cellStyle name="Normal 9" xfId="26" xr:uid="{00000000-0005-0000-0000-000033000000}"/>
    <cellStyle name="Normal_13 Public Finance_done" xfId="2" xr:uid="{00000000-0005-0000-0000-000034000000}"/>
    <cellStyle name="Percent 2" xfId="15" xr:uid="{00000000-0005-0000-0000-000038000000}"/>
    <cellStyle name="Percent 2 2" xfId="24" xr:uid="{00000000-0005-0000-0000-000039000000}"/>
    <cellStyle name="Percent 2 3" xfId="34" xr:uid="{00000000-0005-0000-0000-00003A000000}"/>
    <cellStyle name="Percent 3" xfId="21" xr:uid="{00000000-0005-0000-0000-00003B000000}"/>
  </cellStyles>
  <dxfs count="0"/>
  <tableStyles count="0" defaultTableStyle="TableStyleMedium9" defaultPivotStyle="PivotStyleLight16"/>
  <colors>
    <mruColors>
      <color rgb="FFFDEADA"/>
      <color rgb="FFEBF1DE"/>
      <color rgb="FFFBC99F"/>
      <color rgb="FFF5EADF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3721-5F92-422E-9C99-E08A14D588F6}">
  <dimension ref="A1:X83"/>
  <sheetViews>
    <sheetView tabSelected="1" zoomScaleNormal="100" zoomScaleSheetLayoutView="96" workbookViewId="0">
      <selection activeCell="N9" sqref="N9"/>
    </sheetView>
  </sheetViews>
  <sheetFormatPr defaultColWidth="8" defaultRowHeight="15.75"/>
  <cols>
    <col min="1" max="1" width="58.42578125" style="64" customWidth="1"/>
    <col min="2" max="2" width="15.28515625" style="5" bestFit="1" customWidth="1"/>
    <col min="3" max="6" width="14.7109375" style="5" customWidth="1"/>
    <col min="7" max="7" width="14.85546875" style="5" customWidth="1"/>
    <col min="8" max="8" width="1.28515625" style="5" customWidth="1"/>
    <col min="9" max="12" width="8" style="5" customWidth="1"/>
    <col min="13" max="14" width="8" style="5"/>
    <col min="15" max="15" width="1.28515625" style="5" customWidth="1"/>
    <col min="16" max="16" width="19.5703125" style="5" customWidth="1"/>
    <col min="17" max="17" width="33.7109375" style="10" customWidth="1"/>
    <col min="18" max="18" width="3.42578125" style="5" customWidth="1"/>
    <col min="19" max="16384" width="8" style="5"/>
  </cols>
  <sheetData>
    <row r="1" spans="1:24" ht="21">
      <c r="A1" s="4" t="s">
        <v>123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24" ht="15">
      <c r="A2" s="6" t="s">
        <v>122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24">
      <c r="A3" s="7"/>
      <c r="B3" s="8"/>
      <c r="C3" s="8"/>
      <c r="D3" s="8"/>
      <c r="E3" s="8"/>
      <c r="F3" s="8"/>
      <c r="G3" s="8"/>
      <c r="H3" s="9"/>
      <c r="I3" s="9"/>
      <c r="J3" s="9"/>
      <c r="K3" s="9"/>
      <c r="L3" s="9"/>
      <c r="M3" s="9"/>
      <c r="N3" s="9"/>
      <c r="O3" s="9"/>
      <c r="P3" s="9"/>
    </row>
    <row r="4" spans="1:24" ht="30" customHeight="1">
      <c r="A4" s="11" t="s">
        <v>4</v>
      </c>
      <c r="B4" s="12" t="s">
        <v>5</v>
      </c>
      <c r="C4" s="12"/>
      <c r="D4" s="12"/>
      <c r="E4" s="12"/>
      <c r="F4" s="12"/>
      <c r="G4" s="12"/>
      <c r="H4" s="13"/>
      <c r="I4" s="14" t="s">
        <v>32</v>
      </c>
      <c r="J4" s="12"/>
      <c r="K4" s="12"/>
      <c r="L4" s="12"/>
      <c r="M4" s="12"/>
      <c r="N4" s="12"/>
      <c r="O4" s="15"/>
      <c r="P4" s="16" t="s">
        <v>121</v>
      </c>
      <c r="Q4" s="17" t="s">
        <v>3</v>
      </c>
    </row>
    <row r="5" spans="1:24" ht="18.75" customHeight="1">
      <c r="A5" s="18"/>
      <c r="B5" s="19" t="s">
        <v>6</v>
      </c>
      <c r="C5" s="19"/>
      <c r="D5" s="19"/>
      <c r="E5" s="19"/>
      <c r="F5" s="19"/>
      <c r="G5" s="19"/>
      <c r="H5" s="20"/>
      <c r="I5" s="21" t="s">
        <v>33</v>
      </c>
      <c r="J5" s="22"/>
      <c r="K5" s="22"/>
      <c r="L5" s="22"/>
      <c r="M5" s="22"/>
      <c r="N5" s="22"/>
      <c r="O5" s="23"/>
      <c r="P5" s="24" t="s">
        <v>115</v>
      </c>
      <c r="Q5" s="25"/>
    </row>
    <row r="6" spans="1:24" ht="15" customHeight="1">
      <c r="A6" s="26"/>
      <c r="B6" s="27" t="s">
        <v>7</v>
      </c>
      <c r="C6" s="27">
        <v>2020</v>
      </c>
      <c r="D6" s="27">
        <v>2021</v>
      </c>
      <c r="E6" s="27">
        <v>2022</v>
      </c>
      <c r="F6" s="27">
        <v>2023</v>
      </c>
      <c r="G6" s="27">
        <v>2024</v>
      </c>
      <c r="H6" s="28"/>
      <c r="I6" s="29">
        <v>2019</v>
      </c>
      <c r="J6" s="29">
        <v>2020</v>
      </c>
      <c r="K6" s="29">
        <v>2021</v>
      </c>
      <c r="L6" s="29">
        <v>2022</v>
      </c>
      <c r="M6" s="29">
        <v>2023</v>
      </c>
      <c r="N6" s="29">
        <v>2024</v>
      </c>
      <c r="O6" s="27"/>
      <c r="P6" s="24"/>
      <c r="Q6" s="30"/>
    </row>
    <row r="7" spans="1:24" s="38" customFormat="1" ht="19.5">
      <c r="A7" s="31" t="s">
        <v>27</v>
      </c>
      <c r="B7" s="32">
        <f>SUM(B8:B60)</f>
        <v>16741904213.147459</v>
      </c>
      <c r="C7" s="32">
        <f>SUM(C8:C60)</f>
        <v>10419893551.917801</v>
      </c>
      <c r="D7" s="32">
        <f>SUM(D8:D60)</f>
        <v>15661746364.580502</v>
      </c>
      <c r="E7" s="33">
        <f>SUM(E8:E60)</f>
        <v>22023377263.4538</v>
      </c>
      <c r="F7" s="33">
        <f>SUM(F8:F60)</f>
        <v>24859248846.8526</v>
      </c>
      <c r="G7" s="33">
        <f>SUM(G8:G60)</f>
        <v>28100202340.780598</v>
      </c>
      <c r="H7" s="34"/>
      <c r="I7" s="35">
        <f t="shared" ref="I7:J7" si="0">SUM(I8:I57)</f>
        <v>99.978443567266595</v>
      </c>
      <c r="J7" s="35">
        <f t="shared" si="0"/>
        <v>99.985734106470503</v>
      </c>
      <c r="K7" s="35">
        <f>SUM(K8:K60)</f>
        <v>99.999999999999972</v>
      </c>
      <c r="L7" s="35">
        <f>SUM(L8:L60)</f>
        <v>99.999999999999986</v>
      </c>
      <c r="M7" s="35">
        <f>SUM(M8:M60)</f>
        <v>100</v>
      </c>
      <c r="N7" s="35">
        <f>SUM(N8:N60)</f>
        <v>100</v>
      </c>
      <c r="O7" s="35"/>
      <c r="P7" s="36">
        <f>(G7/F7-1)*100</f>
        <v>13.037214092405414</v>
      </c>
      <c r="Q7" s="37" t="s">
        <v>28</v>
      </c>
    </row>
    <row r="8" spans="1:24" ht="19.5">
      <c r="A8" s="39" t="s">
        <v>116</v>
      </c>
      <c r="B8" s="40">
        <v>731095991.43890047</v>
      </c>
      <c r="C8" s="40">
        <v>283339591.02079999</v>
      </c>
      <c r="D8" s="40">
        <v>473428443.87150002</v>
      </c>
      <c r="E8" s="40">
        <v>830558836.34319997</v>
      </c>
      <c r="F8" s="40">
        <v>988994156.58330011</v>
      </c>
      <c r="G8" s="40">
        <v>1137309043.9941001</v>
      </c>
      <c r="H8" s="41"/>
      <c r="I8" s="43">
        <f>B8/B$7*100</f>
        <v>4.3668628259428761</v>
      </c>
      <c r="J8" s="43">
        <f>C8/C$7*100</f>
        <v>2.7192177118608933</v>
      </c>
      <c r="K8" s="43">
        <f>D8/D$7*100</f>
        <v>3.0228330407787238</v>
      </c>
      <c r="L8" s="43">
        <f>E8/E$7*100</f>
        <v>3.7712600860788608</v>
      </c>
      <c r="M8" s="43">
        <f>F8/F$7*100</f>
        <v>3.9783750614351949</v>
      </c>
      <c r="N8" s="43">
        <f>G8/G$7*100</f>
        <v>4.0473340020885651</v>
      </c>
      <c r="O8" s="42"/>
      <c r="P8" s="44">
        <f>(G8/F8-1)*100</f>
        <v>14.996538293328921</v>
      </c>
      <c r="Q8" s="45" t="s">
        <v>8</v>
      </c>
    </row>
    <row r="9" spans="1:24" ht="19.5">
      <c r="A9" s="39" t="s">
        <v>9</v>
      </c>
      <c r="B9" s="40">
        <v>733697538.34759951</v>
      </c>
      <c r="C9" s="40">
        <v>285888291.4224</v>
      </c>
      <c r="D9" s="40">
        <v>483012009.42839998</v>
      </c>
      <c r="E9" s="40">
        <v>849314523.76380002</v>
      </c>
      <c r="F9" s="40">
        <v>1016365837.6506002</v>
      </c>
      <c r="G9" s="40">
        <v>1159387359.2255998</v>
      </c>
      <c r="H9" s="41"/>
      <c r="I9" s="43">
        <f>B9/B$7*100</f>
        <v>4.3824019598166437</v>
      </c>
      <c r="J9" s="43">
        <f>C9/C$7*100</f>
        <v>2.7436776584899154</v>
      </c>
      <c r="K9" s="43">
        <f>D9/D$7*100</f>
        <v>3.0840239535531349</v>
      </c>
      <c r="L9" s="43">
        <f>E9/E$7*100</f>
        <v>3.8564227166610636</v>
      </c>
      <c r="M9" s="43">
        <f>F9/F$7*100</f>
        <v>4.0884816911082211</v>
      </c>
      <c r="N9" s="43">
        <f>G9/G$7*100</f>
        <v>4.1259039531648902</v>
      </c>
      <c r="O9" s="42"/>
      <c r="P9" s="44">
        <f>(G9/F9-1)*100</f>
        <v>14.07185447177206</v>
      </c>
      <c r="Q9" s="45" t="s">
        <v>10</v>
      </c>
    </row>
    <row r="10" spans="1:24" ht="19.5">
      <c r="A10" s="39" t="s">
        <v>34</v>
      </c>
      <c r="B10" s="40">
        <v>613969839.03999996</v>
      </c>
      <c r="C10" s="40">
        <v>953699643.38</v>
      </c>
      <c r="D10" s="40">
        <v>675071083.45000005</v>
      </c>
      <c r="E10" s="40">
        <v>901259956.67999995</v>
      </c>
      <c r="F10" s="40">
        <v>967668297.61999989</v>
      </c>
      <c r="G10" s="40">
        <v>1470309985.6200001</v>
      </c>
      <c r="H10" s="41"/>
      <c r="I10" s="43">
        <f>B10/B$7*100</f>
        <v>3.6672640771522746</v>
      </c>
      <c r="J10" s="43">
        <f>C10/C$7*100</f>
        <v>9.1526812498431891</v>
      </c>
      <c r="K10" s="43">
        <f>D10/D$7*100</f>
        <v>4.310318068850183</v>
      </c>
      <c r="L10" s="43">
        <f>E10/E$7*100</f>
        <v>4.0922876900246159</v>
      </c>
      <c r="M10" s="43">
        <f>F10/F$7*100</f>
        <v>3.8925886440953952</v>
      </c>
      <c r="N10" s="43">
        <f>G10/G$7*100</f>
        <v>5.2323822006299343</v>
      </c>
      <c r="O10" s="42"/>
      <c r="P10" s="44">
        <f>(G10/F10-1)*100</f>
        <v>51.943593609117691</v>
      </c>
      <c r="Q10" s="45" t="s">
        <v>35</v>
      </c>
    </row>
    <row r="11" spans="1:24" ht="22.5" customHeight="1">
      <c r="A11" s="39" t="s">
        <v>11</v>
      </c>
      <c r="B11" s="40">
        <v>2899307645.7716002</v>
      </c>
      <c r="C11" s="40">
        <v>2701575018.4759002</v>
      </c>
      <c r="D11" s="40">
        <v>2135302216.5644002</v>
      </c>
      <c r="E11" s="40">
        <v>3580679006.5325999</v>
      </c>
      <c r="F11" s="40">
        <v>4344192601.2245998</v>
      </c>
      <c r="G11" s="40">
        <v>4542756466.8767996</v>
      </c>
      <c r="H11" s="41"/>
      <c r="I11" s="43">
        <f>B11/B$7*100</f>
        <v>17.317669536627541</v>
      </c>
      <c r="J11" s="43">
        <f>C11/C$7*100</f>
        <v>25.927088458390923</v>
      </c>
      <c r="K11" s="43">
        <f>D11/D$7*100</f>
        <v>13.633870494758163</v>
      </c>
      <c r="L11" s="43">
        <f>E11/E$7*100</f>
        <v>16.258537297431115</v>
      </c>
      <c r="M11" s="43">
        <f>F11/F$7*100</f>
        <v>17.475156341156353</v>
      </c>
      <c r="N11" s="43">
        <f>G11/G$7*100</f>
        <v>16.166276711410347</v>
      </c>
      <c r="O11" s="42"/>
      <c r="P11" s="44">
        <f>(G11/F11-1)*100</f>
        <v>4.5707887259930802</v>
      </c>
      <c r="Q11" s="45" t="s">
        <v>36</v>
      </c>
    </row>
    <row r="12" spans="1:24" ht="19.5">
      <c r="A12" s="39" t="s">
        <v>37</v>
      </c>
      <c r="B12" s="40">
        <v>94322369.710000008</v>
      </c>
      <c r="C12" s="40">
        <v>48186481.089999996</v>
      </c>
      <c r="D12" s="40">
        <v>87058359.209999993</v>
      </c>
      <c r="E12" s="40">
        <v>90825079.75</v>
      </c>
      <c r="F12" s="40">
        <v>90596856.320000008</v>
      </c>
      <c r="G12" s="40">
        <v>75230863.260000005</v>
      </c>
      <c r="H12" s="41"/>
      <c r="I12" s="43">
        <f>B12/B$7*100</f>
        <v>0.56339092918670752</v>
      </c>
      <c r="J12" s="43">
        <f>C12/C$7*100</f>
        <v>0.46244696118926459</v>
      </c>
      <c r="K12" s="43">
        <f>D12/D$7*100</f>
        <v>0.55586623090056564</v>
      </c>
      <c r="L12" s="43">
        <f>E12/E$7*100</f>
        <v>0.41240305091952284</v>
      </c>
      <c r="M12" s="43">
        <f>F12/F$7*100</f>
        <v>0.36443923498304082</v>
      </c>
      <c r="N12" s="43">
        <f>G12/G$7*100</f>
        <v>0.26772356422081967</v>
      </c>
      <c r="O12" s="42"/>
      <c r="P12" s="44">
        <f>(G12/F12-1)*100</f>
        <v>-16.960845755757013</v>
      </c>
      <c r="Q12" s="45" t="s">
        <v>38</v>
      </c>
    </row>
    <row r="13" spans="1:24" ht="19.5">
      <c r="A13" s="39" t="s">
        <v>39</v>
      </c>
      <c r="B13" s="40">
        <v>16620278.460000001</v>
      </c>
      <c r="C13" s="40">
        <v>15626619.539999999</v>
      </c>
      <c r="D13" s="40">
        <v>18521930</v>
      </c>
      <c r="E13" s="40">
        <v>19460020</v>
      </c>
      <c r="F13" s="40">
        <v>19223057</v>
      </c>
      <c r="G13" s="40">
        <v>3269000</v>
      </c>
      <c r="H13" s="41"/>
      <c r="I13" s="43">
        <f>B13/B$7*100</f>
        <v>9.9273524973031754E-2</v>
      </c>
      <c r="J13" s="43">
        <f>C13/C$7*100</f>
        <v>0.14996909001171024</v>
      </c>
      <c r="K13" s="43">
        <f>D13/D$7*100</f>
        <v>0.11826222675836386</v>
      </c>
      <c r="L13" s="43">
        <f>E13/E$7*100</f>
        <v>8.8360743982225168E-2</v>
      </c>
      <c r="M13" s="43">
        <f>F13/F$7*100</f>
        <v>7.7327585875282018E-2</v>
      </c>
      <c r="N13" s="43">
        <f>G13/G$7*100</f>
        <v>1.1633368188441273E-2</v>
      </c>
      <c r="O13" s="42"/>
      <c r="P13" s="44">
        <f>(G13/F13-1)*100</f>
        <v>-82.99438013423152</v>
      </c>
      <c r="Q13" s="45" t="s">
        <v>40</v>
      </c>
    </row>
    <row r="14" spans="1:24" ht="19.5">
      <c r="A14" s="39" t="s">
        <v>41</v>
      </c>
      <c r="B14" s="40">
        <v>3819268</v>
      </c>
      <c r="C14" s="40">
        <v>3484082</v>
      </c>
      <c r="D14" s="40">
        <v>3435556</v>
      </c>
      <c r="E14" s="40">
        <v>3451009</v>
      </c>
      <c r="F14" s="40">
        <v>5616838</v>
      </c>
      <c r="G14" s="40">
        <v>5960080</v>
      </c>
      <c r="H14" s="41"/>
      <c r="I14" s="43">
        <f>B14/B$7*100</f>
        <v>2.281262603928124E-2</v>
      </c>
      <c r="J14" s="43">
        <f>C14/C$7*100</f>
        <v>3.3436829106174008E-2</v>
      </c>
      <c r="K14" s="43">
        <f>D14/D$7*100</f>
        <v>2.1935970102092896E-2</v>
      </c>
      <c r="L14" s="43">
        <f>E14/E$7*100</f>
        <v>1.5669753819849874E-2</v>
      </c>
      <c r="M14" s="43">
        <f>F14/F$7*100</f>
        <v>2.2594560417343989E-2</v>
      </c>
      <c r="N14" s="43">
        <f>G14/G$7*100</f>
        <v>2.121009638194098E-2</v>
      </c>
      <c r="O14" s="42"/>
      <c r="P14" s="44">
        <f>(G14/F14-1)*100</f>
        <v>6.1109471200700538</v>
      </c>
      <c r="Q14" s="45" t="s">
        <v>42</v>
      </c>
    </row>
    <row r="15" spans="1:24" ht="19.5">
      <c r="A15" s="39" t="s">
        <v>12</v>
      </c>
      <c r="B15" s="40">
        <v>33813250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1"/>
      <c r="I15" s="43">
        <f>B15/B$7*100</f>
        <v>0.20196776644705905</v>
      </c>
      <c r="J15" s="43">
        <f>C15/C$7*100</f>
        <v>0</v>
      </c>
      <c r="K15" s="43">
        <f>D15/D$7*100</f>
        <v>0</v>
      </c>
      <c r="L15" s="43">
        <f>E15/E$7*100</f>
        <v>0</v>
      </c>
      <c r="M15" s="43">
        <f>F15/F$7*100</f>
        <v>0</v>
      </c>
      <c r="N15" s="43">
        <f>G15/G$7*100</f>
        <v>0</v>
      </c>
      <c r="O15" s="42"/>
      <c r="P15" s="44" t="s">
        <v>133</v>
      </c>
      <c r="Q15" s="45" t="s">
        <v>43</v>
      </c>
      <c r="R15" s="46"/>
      <c r="S15" s="46"/>
      <c r="T15" s="46"/>
      <c r="U15" s="46"/>
      <c r="V15" s="46"/>
      <c r="W15" s="46"/>
      <c r="X15" s="46"/>
    </row>
    <row r="16" spans="1:24" ht="19.5">
      <c r="A16" s="39" t="s">
        <v>13</v>
      </c>
      <c r="B16" s="40">
        <v>43975220</v>
      </c>
      <c r="C16" s="40">
        <v>21566315</v>
      </c>
      <c r="D16" s="40">
        <v>6232955</v>
      </c>
      <c r="E16" s="40">
        <v>8036535</v>
      </c>
      <c r="F16" s="40">
        <v>688814.94870000007</v>
      </c>
      <c r="G16" s="40">
        <v>30545169.897600003</v>
      </c>
      <c r="H16" s="41"/>
      <c r="I16" s="43">
        <f>B16/B$7*100</f>
        <v>0.26266558116767957</v>
      </c>
      <c r="J16" s="43">
        <f>C16/C$7*100</f>
        <v>0.20697250785283386</v>
      </c>
      <c r="K16" s="43">
        <f>D16/D$7*100</f>
        <v>3.9797317967656599E-2</v>
      </c>
      <c r="L16" s="43">
        <f>E16/E$7*100</f>
        <v>3.6490929178859627E-2</v>
      </c>
      <c r="M16" s="43">
        <f>F16/F$7*100</f>
        <v>2.7708598636406912E-3</v>
      </c>
      <c r="N16" s="43">
        <f>G16/G$7*100</f>
        <v>0.10870088950666069</v>
      </c>
      <c r="O16" s="42"/>
      <c r="P16" s="44" t="s">
        <v>124</v>
      </c>
      <c r="Q16" s="45" t="s">
        <v>44</v>
      </c>
      <c r="R16" s="46"/>
      <c r="S16" s="46"/>
      <c r="T16" s="46"/>
      <c r="U16" s="46"/>
      <c r="V16" s="46"/>
      <c r="W16" s="46"/>
      <c r="X16" s="46"/>
    </row>
    <row r="17" spans="1:17" ht="19.5">
      <c r="A17" s="39" t="s">
        <v>45</v>
      </c>
      <c r="B17" s="40">
        <v>6200</v>
      </c>
      <c r="C17" s="40">
        <v>7000</v>
      </c>
      <c r="D17" s="40">
        <v>6600</v>
      </c>
      <c r="E17" s="40">
        <v>10400</v>
      </c>
      <c r="F17" s="40">
        <v>6200</v>
      </c>
      <c r="G17" s="40">
        <v>3600</v>
      </c>
      <c r="H17" s="41"/>
      <c r="I17" s="43">
        <f>B17/B$7*100</f>
        <v>3.7032824468862533E-5</v>
      </c>
      <c r="J17" s="43">
        <f>C17/C$7*100</f>
        <v>6.717918916466893E-5</v>
      </c>
      <c r="K17" s="43">
        <f>D17/D$7*100</f>
        <v>4.2140894421110621E-5</v>
      </c>
      <c r="L17" s="43">
        <f>E17/E$7*100</f>
        <v>4.722254845653508E-5</v>
      </c>
      <c r="M17" s="43">
        <f>F17/F$7*100</f>
        <v>2.4940415690737872E-5</v>
      </c>
      <c r="N17" s="43">
        <f>G17/G$7*100</f>
        <v>1.2811295649552947E-5</v>
      </c>
      <c r="O17" s="42"/>
      <c r="P17" s="44">
        <f>(G17/F17-1)*100</f>
        <v>-41.935483870967737</v>
      </c>
      <c r="Q17" s="45" t="s">
        <v>46</v>
      </c>
    </row>
    <row r="18" spans="1:17" ht="19.5">
      <c r="A18" s="39" t="s">
        <v>47</v>
      </c>
      <c r="B18" s="40">
        <v>1000</v>
      </c>
      <c r="C18" s="40">
        <v>600</v>
      </c>
      <c r="D18" s="40">
        <v>1200</v>
      </c>
      <c r="E18" s="40">
        <v>800</v>
      </c>
      <c r="F18" s="40">
        <v>400</v>
      </c>
      <c r="G18" s="40">
        <v>600</v>
      </c>
      <c r="H18" s="41"/>
      <c r="I18" s="43">
        <f>B18/B$7*100</f>
        <v>5.9730362046552476E-6</v>
      </c>
      <c r="J18" s="43">
        <f>C18/C$7*100</f>
        <v>5.7582162141144798E-6</v>
      </c>
      <c r="K18" s="43">
        <f>D18/D$7*100</f>
        <v>7.6619808038382945E-6</v>
      </c>
      <c r="L18" s="43">
        <f>E18/E$7*100</f>
        <v>3.6325037274257751E-6</v>
      </c>
      <c r="M18" s="43">
        <f>F18/F$7*100</f>
        <v>1.6090590768217983E-6</v>
      </c>
      <c r="N18" s="43">
        <f>G18/G$7*100</f>
        <v>2.1352159415921578E-6</v>
      </c>
      <c r="O18" s="42"/>
      <c r="P18" s="44">
        <f>(G18/F18-1)*100</f>
        <v>50</v>
      </c>
      <c r="Q18" s="45" t="s">
        <v>48</v>
      </c>
    </row>
    <row r="19" spans="1:17" ht="19.5">
      <c r="A19" s="39" t="s">
        <v>49</v>
      </c>
      <c r="B19" s="40">
        <v>90092169.840000018</v>
      </c>
      <c r="C19" s="40">
        <v>25837392.369999997</v>
      </c>
      <c r="D19" s="40">
        <v>45588710.759999998</v>
      </c>
      <c r="E19" s="40">
        <v>54901609.490000002</v>
      </c>
      <c r="F19" s="40">
        <v>73684962.449999988</v>
      </c>
      <c r="G19" s="40">
        <v>84165885.189999983</v>
      </c>
      <c r="H19" s="41"/>
      <c r="I19" s="43">
        <f>B19/B$7*100</f>
        <v>0.53812379221026974</v>
      </c>
      <c r="J19" s="43">
        <f>C19/C$7*100</f>
        <v>0.2479621527922862</v>
      </c>
      <c r="K19" s="43">
        <f>D19/D$7*100</f>
        <v>0.29108318892904689</v>
      </c>
      <c r="L19" s="43">
        <f>E19/E$7*100</f>
        <v>0.24928787639262417</v>
      </c>
      <c r="M19" s="43">
        <f>F19/F$7*100</f>
        <v>0.29640864413861462</v>
      </c>
      <c r="N19" s="43">
        <f>G19/G$7*100</f>
        <v>0.29952056632650542</v>
      </c>
      <c r="O19" s="42"/>
      <c r="P19" s="44">
        <f>(G19/F19-1)*100</f>
        <v>14.223964281873624</v>
      </c>
      <c r="Q19" s="45" t="s">
        <v>50</v>
      </c>
    </row>
    <row r="20" spans="1:17" ht="19.5">
      <c r="A20" s="39" t="s">
        <v>51</v>
      </c>
      <c r="B20" s="40">
        <v>197358978.90477699</v>
      </c>
      <c r="C20" s="40">
        <v>129047369.70370001</v>
      </c>
      <c r="D20" s="40">
        <v>181397419.44339997</v>
      </c>
      <c r="E20" s="40">
        <v>137560943.80849999</v>
      </c>
      <c r="F20" s="40">
        <v>69324452.208299994</v>
      </c>
      <c r="G20" s="40">
        <v>83913002.663000003</v>
      </c>
      <c r="H20" s="41"/>
      <c r="I20" s="43">
        <f>B20/B$7*100</f>
        <v>1.1788323263120242</v>
      </c>
      <c r="J20" s="43">
        <f>C20/C$7*100</f>
        <v>1.2384710943611184</v>
      </c>
      <c r="K20" s="43">
        <f>D20/D$7*100</f>
        <v>1.1582196213676117</v>
      </c>
      <c r="L20" s="43">
        <f>E20/E$7*100</f>
        <v>0.62461330141572979</v>
      </c>
      <c r="M20" s="43">
        <f>F20/F$7*100</f>
        <v>0.27886784767866019</v>
      </c>
      <c r="N20" s="43">
        <f>G20/G$7*100</f>
        <v>0.29862063498817132</v>
      </c>
      <c r="O20" s="42"/>
      <c r="P20" s="44">
        <f>(G20/F20-1)*100</f>
        <v>21.04387411654638</v>
      </c>
      <c r="Q20" s="45" t="s">
        <v>1</v>
      </c>
    </row>
    <row r="21" spans="1:17" ht="19.5">
      <c r="A21" s="39" t="s">
        <v>52</v>
      </c>
      <c r="B21" s="40">
        <v>582068</v>
      </c>
      <c r="C21" s="40">
        <v>408101</v>
      </c>
      <c r="D21" s="40">
        <v>460191</v>
      </c>
      <c r="E21" s="40">
        <v>494212.60400000005</v>
      </c>
      <c r="F21" s="40">
        <v>367547.59999999992</v>
      </c>
      <c r="G21" s="40">
        <v>165761.5</v>
      </c>
      <c r="H21" s="41"/>
      <c r="I21" s="43">
        <f>B21/B$7*100</f>
        <v>3.4767132375712706E-3</v>
      </c>
      <c r="J21" s="43">
        <f>C21/C$7*100</f>
        <v>3.9165563253272225E-3</v>
      </c>
      <c r="K21" s="43">
        <f>D21/D$7*100</f>
        <v>2.9383121734159572E-3</v>
      </c>
      <c r="L21" s="43">
        <f>E21/E$7*100</f>
        <v>2.2440364077134984E-3</v>
      </c>
      <c r="M21" s="43">
        <f>F21/F$7*100</f>
        <v>1.4785145048601686E-3</v>
      </c>
      <c r="N21" s="43">
        <f>G21/G$7*100</f>
        <v>5.8989432883704742E-4</v>
      </c>
      <c r="O21" s="42"/>
      <c r="P21" s="44">
        <f>(G21/F21-1)*100</f>
        <v>-54.900671368824064</v>
      </c>
      <c r="Q21" s="45" t="s">
        <v>53</v>
      </c>
    </row>
    <row r="22" spans="1:17" ht="19.5">
      <c r="A22" s="39" t="s">
        <v>54</v>
      </c>
      <c r="B22" s="40">
        <v>0</v>
      </c>
      <c r="C22" s="40">
        <v>0</v>
      </c>
      <c r="D22" s="40">
        <v>0</v>
      </c>
      <c r="E22" s="40">
        <v>0</v>
      </c>
      <c r="F22" s="40">
        <v>7500</v>
      </c>
      <c r="G22" s="40">
        <v>0</v>
      </c>
      <c r="H22" s="41"/>
      <c r="I22" s="43">
        <f>B22/B$7*100</f>
        <v>0</v>
      </c>
      <c r="J22" s="43">
        <f>C22/C$7*100</f>
        <v>0</v>
      </c>
      <c r="K22" s="43">
        <f>D22/D$7*100</f>
        <v>0</v>
      </c>
      <c r="L22" s="43">
        <f>E22/E$7*100</f>
        <v>0</v>
      </c>
      <c r="M22" s="43">
        <f>F22/F$7*100</f>
        <v>3.0169857690408722E-5</v>
      </c>
      <c r="N22" s="43">
        <f>G22/G$7*100</f>
        <v>0</v>
      </c>
      <c r="O22" s="42"/>
      <c r="P22" s="44">
        <f>(G22/F22-1)*100</f>
        <v>-100</v>
      </c>
      <c r="Q22" s="45" t="s">
        <v>55</v>
      </c>
    </row>
    <row r="23" spans="1:17" ht="19.5">
      <c r="A23" s="39" t="s">
        <v>56</v>
      </c>
      <c r="B23" s="40">
        <v>1719140</v>
      </c>
      <c r="C23" s="40">
        <v>3119425.2064</v>
      </c>
      <c r="D23" s="40">
        <v>6985618.6214000005</v>
      </c>
      <c r="E23" s="40">
        <v>8149300</v>
      </c>
      <c r="F23" s="40">
        <v>10602216.342</v>
      </c>
      <c r="G23" s="40">
        <v>9764200.4242000002</v>
      </c>
      <c r="H23" s="41"/>
      <c r="I23" s="43">
        <f>B23/B$7*100</f>
        <v>1.0268485460871023E-2</v>
      </c>
      <c r="J23" s="43">
        <f>C23/C$7*100</f>
        <v>2.9937208003683144E-2</v>
      </c>
      <c r="K23" s="43">
        <f>D23/D$7*100</f>
        <v>4.4603063150085109E-2</v>
      </c>
      <c r="L23" s="43">
        <f>E23/E$7*100</f>
        <v>3.700295328238859E-2</v>
      </c>
      <c r="M23" s="43">
        <f>F23/F$7*100</f>
        <v>4.2648981098808762E-2</v>
      </c>
      <c r="N23" s="43">
        <f>G23/G$7*100</f>
        <v>3.4747794004421254E-2</v>
      </c>
      <c r="O23" s="42"/>
      <c r="P23" s="44">
        <f>(G23/F23-1)*100</f>
        <v>-7.9041578738612728</v>
      </c>
      <c r="Q23" s="47" t="s">
        <v>57</v>
      </c>
    </row>
    <row r="24" spans="1:17" ht="19.5">
      <c r="A24" s="39" t="s">
        <v>58</v>
      </c>
      <c r="B24" s="40">
        <v>140596.6985</v>
      </c>
      <c r="C24" s="40">
        <v>98882.884099999981</v>
      </c>
      <c r="D24" s="40">
        <v>128501.02800000001</v>
      </c>
      <c r="E24" s="40">
        <v>0</v>
      </c>
      <c r="F24" s="40">
        <v>0</v>
      </c>
      <c r="G24" s="40">
        <v>0</v>
      </c>
      <c r="H24" s="41"/>
      <c r="I24" s="43">
        <f>B24/B$7*100</f>
        <v>8.3978917039549813E-4</v>
      </c>
      <c r="J24" s="43">
        <f>C24/C$7*100</f>
        <v>9.489817108717046E-4</v>
      </c>
      <c r="K24" s="43">
        <f>D24/D$7*100</f>
        <v>8.2047700817457279E-4</v>
      </c>
      <c r="L24" s="43">
        <f>E24/E$7*100</f>
        <v>0</v>
      </c>
      <c r="M24" s="43">
        <f>F24/F$7*100</f>
        <v>0</v>
      </c>
      <c r="N24" s="43">
        <f>G24/G$7*100</f>
        <v>0</v>
      </c>
      <c r="O24" s="42"/>
      <c r="P24" s="44" t="s">
        <v>133</v>
      </c>
      <c r="Q24" s="45" t="s">
        <v>59</v>
      </c>
    </row>
    <row r="25" spans="1:17" ht="19.5">
      <c r="A25" s="39" t="s">
        <v>60</v>
      </c>
      <c r="B25" s="40">
        <v>7748561111.9536209</v>
      </c>
      <c r="C25" s="40">
        <v>4306485317.9263</v>
      </c>
      <c r="D25" s="40">
        <v>7830165885.9279003</v>
      </c>
      <c r="E25" s="40">
        <v>9794802791.8334999</v>
      </c>
      <c r="F25" s="40">
        <v>13320202020.650501</v>
      </c>
      <c r="G25" s="40">
        <v>14535960837.768</v>
      </c>
      <c r="H25" s="41"/>
      <c r="I25" s="43">
        <f>B25/B$7*100</f>
        <v>46.282436055682702</v>
      </c>
      <c r="J25" s="43">
        <f>C25/C$7*100</f>
        <v>41.329455972548615</v>
      </c>
      <c r="K25" s="43">
        <f>D25/D$7*100</f>
        <v>49.995483924040876</v>
      </c>
      <c r="L25" s="43">
        <f>E25/E$7*100</f>
        <v>44.474572063419473</v>
      </c>
      <c r="M25" s="43">
        <f>F25/F$7*100</f>
        <v>53.582479916069367</v>
      </c>
      <c r="N25" s="43">
        <f>G25/G$7*100</f>
        <v>51.729025511935887</v>
      </c>
      <c r="O25" s="42"/>
      <c r="P25" s="44">
        <f>(G25/F25-1)*100</f>
        <v>9.1271800174854043</v>
      </c>
      <c r="Q25" s="45" t="s">
        <v>61</v>
      </c>
    </row>
    <row r="26" spans="1:17" ht="19.5">
      <c r="A26" s="39" t="s">
        <v>62</v>
      </c>
      <c r="B26" s="40">
        <v>3350940</v>
      </c>
      <c r="C26" s="40">
        <v>1689040</v>
      </c>
      <c r="D26" s="40">
        <v>1841373.3599999999</v>
      </c>
      <c r="E26" s="40">
        <v>1285491.1099999999</v>
      </c>
      <c r="F26" s="40">
        <v>489295.24</v>
      </c>
      <c r="G26" s="40">
        <v>469140</v>
      </c>
      <c r="H26" s="41"/>
      <c r="I26" s="43">
        <f>B26/B$7*100</f>
        <v>2.0015285939627456E-2</v>
      </c>
      <c r="J26" s="43">
        <f>C26/C$7*100</f>
        <v>1.62097625238132E-2</v>
      </c>
      <c r="K26" s="43">
        <f>D26/D$7*100</f>
        <v>1.1757139447516017E-2</v>
      </c>
      <c r="L26" s="43">
        <f>E26/E$7*100</f>
        <v>5.8369390608096214E-3</v>
      </c>
      <c r="M26" s="43">
        <f>F26/F$7*100</f>
        <v>1.9682623679192503E-3</v>
      </c>
      <c r="N26" s="43">
        <f>G26/G$7*100</f>
        <v>1.6695253447309081E-3</v>
      </c>
      <c r="O26" s="42"/>
      <c r="P26" s="44">
        <f>(G26/F26-1)*100</f>
        <v>-4.119238928218472</v>
      </c>
      <c r="Q26" s="45" t="s">
        <v>63</v>
      </c>
    </row>
    <row r="27" spans="1:17" ht="18.75">
      <c r="A27" s="39" t="s">
        <v>14</v>
      </c>
      <c r="B27" s="40">
        <v>850615153.91795635</v>
      </c>
      <c r="C27" s="40">
        <v>351898223.08999997</v>
      </c>
      <c r="D27" s="40">
        <v>802115145.903</v>
      </c>
      <c r="E27" s="40">
        <v>972994664.45899999</v>
      </c>
      <c r="F27" s="40">
        <v>999070898.00409997</v>
      </c>
      <c r="G27" s="40">
        <v>1080712329.2858</v>
      </c>
      <c r="H27" s="41"/>
      <c r="I27" s="43">
        <f>B27/B$7*100</f>
        <v>5.0807551105803492</v>
      </c>
      <c r="J27" s="43">
        <f>C27/C$7*100</f>
        <v>3.3771767565248538</v>
      </c>
      <c r="K27" s="43">
        <f>D27/D$7*100</f>
        <v>5.1214923753139487</v>
      </c>
      <c r="L27" s="43">
        <f>E27/E$7*100</f>
        <v>4.4180084317658865</v>
      </c>
      <c r="M27" s="43">
        <f>F27/F$7*100</f>
        <v>4.0189102420550054</v>
      </c>
      <c r="N27" s="43">
        <f>G27/G$7*100</f>
        <v>3.8459236562770558</v>
      </c>
      <c r="O27" s="42"/>
      <c r="P27" s="44">
        <f>(G27/F27-1)*100</f>
        <v>8.1717355039366844</v>
      </c>
      <c r="Q27" s="48" t="s">
        <v>15</v>
      </c>
    </row>
    <row r="28" spans="1:17" ht="18.75">
      <c r="A28" s="39" t="s">
        <v>16</v>
      </c>
      <c r="B28" s="40">
        <v>102523494</v>
      </c>
      <c r="C28" s="40">
        <v>8970164</v>
      </c>
      <c r="D28" s="40">
        <v>101221.35</v>
      </c>
      <c r="E28" s="40">
        <v>13885.439999999999</v>
      </c>
      <c r="F28" s="40">
        <v>0</v>
      </c>
      <c r="G28" s="40">
        <v>0</v>
      </c>
      <c r="H28" s="41"/>
      <c r="I28" s="43">
        <f>B28/B$7*100</f>
        <v>0.61237654148975507</v>
      </c>
      <c r="J28" s="43">
        <f>C28/C$7*100</f>
        <v>8.6086906313443332E-2</v>
      </c>
      <c r="K28" s="43">
        <f>D28/D$7*100</f>
        <v>6.4629670053216448E-4</v>
      </c>
      <c r="L28" s="43">
        <f>E28/E$7*100</f>
        <v>6.3048640696183685E-5</v>
      </c>
      <c r="M28" s="43">
        <f>F28/F$7*100</f>
        <v>0</v>
      </c>
      <c r="N28" s="43">
        <f>G28/G$7*100</f>
        <v>0</v>
      </c>
      <c r="O28" s="42"/>
      <c r="P28" s="44" t="s">
        <v>133</v>
      </c>
      <c r="Q28" s="48" t="s">
        <v>17</v>
      </c>
    </row>
    <row r="29" spans="1:17" ht="19.5">
      <c r="A29" s="39" t="s">
        <v>64</v>
      </c>
      <c r="B29" s="40">
        <v>8263656.6699999999</v>
      </c>
      <c r="C29" s="40">
        <v>35005</v>
      </c>
      <c r="D29" s="40">
        <v>47913.39</v>
      </c>
      <c r="E29" s="40">
        <v>0</v>
      </c>
      <c r="F29" s="40">
        <v>0</v>
      </c>
      <c r="G29" s="40">
        <v>0</v>
      </c>
      <c r="H29" s="41"/>
      <c r="I29" s="43">
        <f>B29/B$7*100</f>
        <v>4.9359120472750817E-2</v>
      </c>
      <c r="J29" s="43">
        <f>C29/C$7*100</f>
        <v>3.3594393095846229E-4</v>
      </c>
      <c r="K29" s="43">
        <f>D29/D$7*100</f>
        <v>3.0592622868901476E-4</v>
      </c>
      <c r="L29" s="43">
        <f>E29/E$7*100</f>
        <v>0</v>
      </c>
      <c r="M29" s="43">
        <f>F29/F$7*100</f>
        <v>0</v>
      </c>
      <c r="N29" s="43">
        <f>G29/G$7*100</f>
        <v>0</v>
      </c>
      <c r="O29" s="42"/>
      <c r="P29" s="44" t="s">
        <v>133</v>
      </c>
      <c r="Q29" s="45" t="s">
        <v>65</v>
      </c>
    </row>
    <row r="30" spans="1:17" ht="18.75">
      <c r="A30" s="39" t="s">
        <v>18</v>
      </c>
      <c r="B30" s="40">
        <v>34822119.628899999</v>
      </c>
      <c r="C30" s="40">
        <v>3933797.7640999998</v>
      </c>
      <c r="D30" s="40">
        <v>28475739.920000002</v>
      </c>
      <c r="E30" s="40">
        <v>158906185.6913</v>
      </c>
      <c r="F30" s="40">
        <v>60327482.072099999</v>
      </c>
      <c r="G30" s="40">
        <v>372052414</v>
      </c>
      <c r="H30" s="41"/>
      <c r="I30" s="43">
        <f>B30/B$7*100</f>
        <v>0.20799378126625584</v>
      </c>
      <c r="J30" s="43">
        <f>C30/C$7*100</f>
        <v>3.7752763447146509E-2</v>
      </c>
      <c r="K30" s="43">
        <f>D30/D$7*100</f>
        <v>0.18181714386844319</v>
      </c>
      <c r="L30" s="43">
        <f>E30/E$7*100</f>
        <v>0.72153413979332459</v>
      </c>
      <c r="M30" s="43">
        <f>F30/F$7*100</f>
        <v>0.24267620652479202</v>
      </c>
      <c r="N30" s="43">
        <f>G30/G$7*100</f>
        <v>1.3240204091344088</v>
      </c>
      <c r="O30" s="42"/>
      <c r="P30" s="44" t="s">
        <v>124</v>
      </c>
      <c r="Q30" s="48" t="s">
        <v>19</v>
      </c>
    </row>
    <row r="31" spans="1:17" ht="19.5">
      <c r="A31" s="39" t="s">
        <v>66</v>
      </c>
      <c r="B31" s="40">
        <v>26036075.540000007</v>
      </c>
      <c r="C31" s="40">
        <v>1064712.8500000001</v>
      </c>
      <c r="D31" s="40">
        <v>37500</v>
      </c>
      <c r="E31" s="40">
        <v>0</v>
      </c>
      <c r="F31" s="40">
        <v>0</v>
      </c>
      <c r="G31" s="40">
        <v>0</v>
      </c>
      <c r="H31" s="41"/>
      <c r="I31" s="43">
        <f>B31/B$7*100</f>
        <v>0.15551442182755898</v>
      </c>
      <c r="J31" s="43">
        <f>C31/C$7*100</f>
        <v>1.0218077993743397E-2</v>
      </c>
      <c r="K31" s="43">
        <f>D31/D$7*100</f>
        <v>2.3943690011994669E-4</v>
      </c>
      <c r="L31" s="43">
        <f>E31/E$7*100</f>
        <v>0</v>
      </c>
      <c r="M31" s="43">
        <f>F31/F$7*100</f>
        <v>0</v>
      </c>
      <c r="N31" s="43">
        <f>G31/G$7*100</f>
        <v>0</v>
      </c>
      <c r="O31" s="42"/>
      <c r="P31" s="44" t="s">
        <v>133</v>
      </c>
      <c r="Q31" s="49" t="s">
        <v>20</v>
      </c>
    </row>
    <row r="32" spans="1:17" ht="19.5">
      <c r="A32" s="39" t="s">
        <v>67</v>
      </c>
      <c r="B32" s="40">
        <v>306800000</v>
      </c>
      <c r="C32" s="40">
        <v>153500000</v>
      </c>
      <c r="D32" s="40">
        <v>230200000</v>
      </c>
      <c r="E32" s="40">
        <v>1956325000</v>
      </c>
      <c r="F32" s="40">
        <v>0</v>
      </c>
      <c r="G32" s="40">
        <v>306600000</v>
      </c>
      <c r="H32" s="41"/>
      <c r="I32" s="43">
        <f>B32/B$7*100</f>
        <v>1.8325275075882299</v>
      </c>
      <c r="J32" s="43">
        <f>C32/C$7*100</f>
        <v>1.4731436481109546</v>
      </c>
      <c r="K32" s="43">
        <f>D32/D$7*100</f>
        <v>1.4698233175363129</v>
      </c>
      <c r="L32" s="43">
        <f>E32/E$7*100</f>
        <v>8.8829473181952867</v>
      </c>
      <c r="M32" s="43">
        <f>F32/F$7*100</f>
        <v>0</v>
      </c>
      <c r="N32" s="43">
        <f>G32/G$7*100</f>
        <v>1.0910953461535926</v>
      </c>
      <c r="O32" s="42"/>
      <c r="P32" s="44" t="s">
        <v>124</v>
      </c>
      <c r="Q32" s="45" t="s">
        <v>21</v>
      </c>
    </row>
    <row r="33" spans="1:18" ht="19.5">
      <c r="A33" s="39" t="s">
        <v>68</v>
      </c>
      <c r="B33" s="40">
        <v>15607926.969999995</v>
      </c>
      <c r="C33" s="40">
        <v>9002291.9400000013</v>
      </c>
      <c r="D33" s="40">
        <v>15057208.050000001</v>
      </c>
      <c r="E33" s="40">
        <v>14512448.49</v>
      </c>
      <c r="F33" s="40">
        <v>15633900.409999998</v>
      </c>
      <c r="G33" s="40">
        <v>17307988.920000002</v>
      </c>
      <c r="H33" s="41"/>
      <c r="I33" s="43">
        <f>B33/B$7*100</f>
        <v>9.3226712871425046E-2</v>
      </c>
      <c r="J33" s="43">
        <f>C33/C$7*100</f>
        <v>8.6395239021833506E-2</v>
      </c>
      <c r="K33" s="43">
        <f>D33/D$7*100</f>
        <v>9.6140032532082864E-2</v>
      </c>
      <c r="L33" s="43">
        <f>E33/E$7*100</f>
        <v>6.589565404249946E-2</v>
      </c>
      <c r="M33" s="43">
        <f>F33/F$7*100</f>
        <v>6.2889673402096322E-2</v>
      </c>
      <c r="N33" s="43">
        <f>G33/G$7*100</f>
        <v>6.1593823098140731E-2</v>
      </c>
      <c r="O33" s="42"/>
      <c r="P33" s="44">
        <f>(G33/F33-1)*100</f>
        <v>10.70806686813226</v>
      </c>
      <c r="Q33" s="45" t="s">
        <v>69</v>
      </c>
    </row>
    <row r="34" spans="1:18" ht="19.5">
      <c r="A34" s="39" t="s">
        <v>22</v>
      </c>
      <c r="B34" s="40">
        <v>5139700</v>
      </c>
      <c r="C34" s="40">
        <v>0</v>
      </c>
      <c r="D34" s="40">
        <v>6514450</v>
      </c>
      <c r="E34" s="40">
        <v>4451050</v>
      </c>
      <c r="F34" s="40">
        <v>3372000</v>
      </c>
      <c r="G34" s="40">
        <v>3988650</v>
      </c>
      <c r="H34" s="41"/>
      <c r="I34" s="43">
        <f>B34/B$7*100</f>
        <v>3.0699614181066578E-2</v>
      </c>
      <c r="J34" s="43">
        <f>C34/C$7*100</f>
        <v>0</v>
      </c>
      <c r="K34" s="43">
        <f>D34/D$7*100</f>
        <v>4.159465903963698E-2</v>
      </c>
      <c r="L34" s="43">
        <f>E34/E$7*100</f>
        <v>2.021056964494812E-2</v>
      </c>
      <c r="M34" s="43">
        <f>F34/F$7*100</f>
        <v>1.3564368017607761E-2</v>
      </c>
      <c r="N34" s="43">
        <f>G34/G$7*100</f>
        <v>1.4194381775719267E-2</v>
      </c>
      <c r="O34" s="42"/>
      <c r="P34" s="44">
        <f>(G34/F34-1)*100</f>
        <v>18.287366548042705</v>
      </c>
      <c r="Q34" s="45" t="s">
        <v>23</v>
      </c>
    </row>
    <row r="35" spans="1:18" ht="19.5">
      <c r="A35" s="39" t="s">
        <v>70</v>
      </c>
      <c r="B35" s="40">
        <v>454000</v>
      </c>
      <c r="C35" s="40">
        <v>446000</v>
      </c>
      <c r="D35" s="40">
        <v>386000</v>
      </c>
      <c r="E35" s="40">
        <v>424000</v>
      </c>
      <c r="F35" s="40">
        <v>452000</v>
      </c>
      <c r="G35" s="40">
        <v>326100</v>
      </c>
      <c r="H35" s="41"/>
      <c r="I35" s="43">
        <f>B35/B$7*100</f>
        <v>2.7117584369134827E-3</v>
      </c>
      <c r="J35" s="43">
        <f>C35/C$7*100</f>
        <v>4.2802740524917633E-3</v>
      </c>
      <c r="K35" s="43">
        <f>D35/D$7*100</f>
        <v>2.4646038252346516E-3</v>
      </c>
      <c r="L35" s="43">
        <f>E35/E$7*100</f>
        <v>1.9252269755356611E-3</v>
      </c>
      <c r="M35" s="43">
        <f>F35/F$7*100</f>
        <v>1.8182367568086322E-3</v>
      </c>
      <c r="N35" s="43">
        <f>G35/G$7*100</f>
        <v>1.1604898642553377E-3</v>
      </c>
      <c r="O35" s="42"/>
      <c r="P35" s="44">
        <f>(G35/F35-1)*100</f>
        <v>-27.853982300884962</v>
      </c>
      <c r="Q35" s="45" t="s">
        <v>71</v>
      </c>
    </row>
    <row r="36" spans="1:18" ht="19.5">
      <c r="A36" s="39" t="s">
        <v>72</v>
      </c>
      <c r="B36" s="40">
        <v>54000</v>
      </c>
      <c r="C36" s="40">
        <v>52000</v>
      </c>
      <c r="D36" s="40">
        <v>24000</v>
      </c>
      <c r="E36" s="40">
        <v>12000</v>
      </c>
      <c r="F36" s="40">
        <v>12000</v>
      </c>
      <c r="G36" s="40">
        <v>0</v>
      </c>
      <c r="H36" s="41"/>
      <c r="I36" s="43">
        <f>B36/B$7*100</f>
        <v>3.2254395505138336E-4</v>
      </c>
      <c r="J36" s="43">
        <f>C36/C$7*100</f>
        <v>4.9904540522325495E-4</v>
      </c>
      <c r="K36" s="43">
        <f>D36/D$7*100</f>
        <v>1.5323961607676588E-4</v>
      </c>
      <c r="L36" s="43">
        <f>E36/E$7*100</f>
        <v>5.4487555911386621E-5</v>
      </c>
      <c r="M36" s="43">
        <f>F36/F$7*100</f>
        <v>4.8271772304653944E-5</v>
      </c>
      <c r="N36" s="43">
        <f>G36/G$7*100</f>
        <v>0</v>
      </c>
      <c r="O36" s="42"/>
      <c r="P36" s="44">
        <f>(G36/F36-1)*100</f>
        <v>-100</v>
      </c>
      <c r="Q36" s="45" t="s">
        <v>73</v>
      </c>
    </row>
    <row r="37" spans="1:18" ht="22.5" customHeight="1">
      <c r="A37" s="39" t="s">
        <v>74</v>
      </c>
      <c r="B37" s="40">
        <v>7489192.6899999203</v>
      </c>
      <c r="C37" s="40">
        <v>5695240.2600000007</v>
      </c>
      <c r="D37" s="40">
        <v>396692.32999999996</v>
      </c>
      <c r="E37" s="40">
        <v>406193.52</v>
      </c>
      <c r="F37" s="40">
        <v>276678.59999999992</v>
      </c>
      <c r="G37" s="40">
        <v>267678.59999999998</v>
      </c>
      <c r="H37" s="41"/>
      <c r="I37" s="43">
        <f>B37/B$7*100</f>
        <v>4.4733219081008954E-2</v>
      </c>
      <c r="J37" s="43">
        <f>C37/C$7*100</f>
        <v>5.4657374680682616E-2</v>
      </c>
      <c r="K37" s="43">
        <f>D37/D$7*100</f>
        <v>2.5328741812415713E-3</v>
      </c>
      <c r="L37" s="43">
        <f>E37/E$7*100</f>
        <v>1.8443743443202452E-3</v>
      </c>
      <c r="M37" s="43">
        <f>F37/F$7*100</f>
        <v>1.1129805317308687E-3</v>
      </c>
      <c r="N37" s="43">
        <f>G37/G$7*100</f>
        <v>9.5258602323845093E-4</v>
      </c>
      <c r="O37" s="42"/>
      <c r="P37" s="44">
        <f>(G37/F37-1)*100</f>
        <v>-3.2528717436042909</v>
      </c>
      <c r="Q37" s="45" t="s">
        <v>75</v>
      </c>
    </row>
    <row r="38" spans="1:18" ht="19.5">
      <c r="A38" s="39" t="s">
        <v>76</v>
      </c>
      <c r="B38" s="40">
        <v>2805362</v>
      </c>
      <c r="C38" s="40">
        <v>2336534</v>
      </c>
      <c r="D38" s="40">
        <v>2561088</v>
      </c>
      <c r="E38" s="40">
        <v>2658678</v>
      </c>
      <c r="F38" s="40">
        <v>4846441</v>
      </c>
      <c r="G38" s="40">
        <v>4215912</v>
      </c>
      <c r="H38" s="41"/>
      <c r="I38" s="43">
        <f>B38/B$7*100</f>
        <v>1.6756528793164055E-2</v>
      </c>
      <c r="J38" s="43">
        <f>C38/C$7*100</f>
        <v>2.2423779939382937E-2</v>
      </c>
      <c r="K38" s="43">
        <f>D38/D$7*100</f>
        <v>1.6352505910783841E-2</v>
      </c>
      <c r="L38" s="43">
        <f>E38/E$7*100</f>
        <v>1.2072072181281132E-2</v>
      </c>
      <c r="M38" s="43">
        <f>F38/F$7*100</f>
        <v>1.9495524703328281E-2</v>
      </c>
      <c r="N38" s="43">
        <f>G38/G$7*100</f>
        <v>1.5003137517916126E-2</v>
      </c>
      <c r="O38" s="42"/>
      <c r="P38" s="44">
        <f>(G38/F38-1)*100</f>
        <v>-13.010144970298821</v>
      </c>
      <c r="Q38" s="45"/>
    </row>
    <row r="39" spans="1:18" ht="19.5">
      <c r="A39" s="39" t="s">
        <v>77</v>
      </c>
      <c r="B39" s="40">
        <v>319378590</v>
      </c>
      <c r="C39" s="40">
        <v>243419160</v>
      </c>
      <c r="D39" s="40">
        <v>50155620</v>
      </c>
      <c r="E39" s="40">
        <v>7078000</v>
      </c>
      <c r="F39" s="40">
        <v>6315540</v>
      </c>
      <c r="G39" s="40">
        <v>12600500</v>
      </c>
      <c r="H39" s="41"/>
      <c r="I39" s="43">
        <f>B39/B$7*100</f>
        <v>1.9076598810617444</v>
      </c>
      <c r="J39" s="43">
        <f>C39/C$7*100</f>
        <v>2.3361002565635447</v>
      </c>
      <c r="K39" s="43">
        <f>D39/D$7*100</f>
        <v>0.32024283137050669</v>
      </c>
      <c r="L39" s="43">
        <f>E39/E$7*100</f>
        <v>3.2138576728399551E-2</v>
      </c>
      <c r="M39" s="43">
        <f>F39/F$7*100</f>
        <v>2.5405192405077853E-2</v>
      </c>
      <c r="N39" s="43">
        <f>G39/G$7*100</f>
        <v>4.4841314120053308E-2</v>
      </c>
      <c r="O39" s="42"/>
      <c r="P39" s="44">
        <f>(G39/F39-1)*100</f>
        <v>99.515797540669524</v>
      </c>
      <c r="Q39" s="45" t="s">
        <v>78</v>
      </c>
    </row>
    <row r="40" spans="1:18" ht="21" customHeight="1">
      <c r="A40" s="39" t="s">
        <v>79</v>
      </c>
      <c r="B40" s="40">
        <v>2131125</v>
      </c>
      <c r="C40" s="40">
        <v>22475</v>
      </c>
      <c r="D40" s="40">
        <v>2100</v>
      </c>
      <c r="E40" s="40">
        <v>0</v>
      </c>
      <c r="F40" s="40">
        <v>0</v>
      </c>
      <c r="G40" s="40">
        <v>0</v>
      </c>
      <c r="H40" s="41"/>
      <c r="I40" s="43">
        <f>B40/B$7*100</f>
        <v>1.2729286781645914E-2</v>
      </c>
      <c r="J40" s="43">
        <f>C40/C$7*100</f>
        <v>2.156931823537049E-4</v>
      </c>
      <c r="K40" s="43">
        <f>D40/D$7*100</f>
        <v>1.3408466406717016E-5</v>
      </c>
      <c r="L40" s="43">
        <f>E40/E$7*100</f>
        <v>0</v>
      </c>
      <c r="M40" s="43">
        <f>F40/F$7*100</f>
        <v>0</v>
      </c>
      <c r="N40" s="43">
        <f>G40/G$7*100</f>
        <v>0</v>
      </c>
      <c r="O40" s="42"/>
      <c r="P40" s="44" t="s">
        <v>133</v>
      </c>
      <c r="Q40" s="45" t="s">
        <v>80</v>
      </c>
    </row>
    <row r="41" spans="1:18" ht="19.5">
      <c r="A41" s="39" t="s">
        <v>81</v>
      </c>
      <c r="B41" s="40">
        <v>17580224.899999999</v>
      </c>
      <c r="C41" s="40">
        <v>3527158</v>
      </c>
      <c r="D41" s="40">
        <v>2321504.25</v>
      </c>
      <c r="E41" s="40">
        <v>0</v>
      </c>
      <c r="F41" s="40">
        <v>0</v>
      </c>
      <c r="G41" s="40">
        <v>0</v>
      </c>
      <c r="H41" s="41"/>
      <c r="I41" s="43">
        <f>B41/B$7*100</f>
        <v>0.10500731981368168</v>
      </c>
      <c r="J41" s="43">
        <f>C41/C$7*100</f>
        <v>3.3850230642239333E-2</v>
      </c>
      <c r="K41" s="43">
        <f>D41/D$7*100</f>
        <v>1.4822767499607514E-2</v>
      </c>
      <c r="L41" s="43">
        <f>E41/E$7*100</f>
        <v>0</v>
      </c>
      <c r="M41" s="43">
        <f>F41/F$7*100</f>
        <v>0</v>
      </c>
      <c r="N41" s="43">
        <f>G41/G$7*100</f>
        <v>0</v>
      </c>
      <c r="O41" s="42"/>
      <c r="P41" s="44" t="s">
        <v>133</v>
      </c>
      <c r="Q41" s="45" t="s">
        <v>24</v>
      </c>
    </row>
    <row r="42" spans="1:18" ht="19.5">
      <c r="A42" s="39" t="s">
        <v>82</v>
      </c>
      <c r="B42" s="40">
        <v>615506.92000000027</v>
      </c>
      <c r="C42" s="40">
        <v>364926.9200000001</v>
      </c>
      <c r="D42" s="40">
        <v>299623.19</v>
      </c>
      <c r="E42" s="40">
        <v>79266.919999999984</v>
      </c>
      <c r="F42" s="40">
        <v>60938.969999999972</v>
      </c>
      <c r="G42" s="40">
        <v>38835.24</v>
      </c>
      <c r="H42" s="41"/>
      <c r="I42" s="43">
        <f>B42/B$7*100</f>
        <v>3.676445117375843E-3</v>
      </c>
      <c r="J42" s="43">
        <f>C42/C$7*100</f>
        <v>3.5022135128514307E-3</v>
      </c>
      <c r="K42" s="43">
        <f>D42/D$7*100</f>
        <v>1.9130892751373283E-3</v>
      </c>
      <c r="L42" s="43">
        <f>E42/E$7*100</f>
        <v>3.5992172795195086E-4</v>
      </c>
      <c r="M42" s="43">
        <f>F42/F$7*100</f>
        <v>2.4513600702667803E-4</v>
      </c>
      <c r="N42" s="43">
        <f>G42/G$7*100</f>
        <v>1.3820270590592904E-4</v>
      </c>
      <c r="O42" s="42"/>
      <c r="P42" s="44">
        <f>(G42/F42-1)*100</f>
        <v>-36.271912702167405</v>
      </c>
      <c r="Q42" s="45" t="s">
        <v>83</v>
      </c>
    </row>
    <row r="43" spans="1:18" ht="19.5">
      <c r="A43" s="39" t="s">
        <v>84</v>
      </c>
      <c r="B43" s="40">
        <v>17461011.800000004</v>
      </c>
      <c r="C43" s="40">
        <v>8867455.7400000002</v>
      </c>
      <c r="D43" s="40">
        <v>11772213.02</v>
      </c>
      <c r="E43" s="40">
        <v>15362219.560000001</v>
      </c>
      <c r="F43" s="40">
        <v>3459737</v>
      </c>
      <c r="G43" s="40">
        <v>1343818</v>
      </c>
      <c r="H43" s="41"/>
      <c r="I43" s="43">
        <f>B43/B$7*100</f>
        <v>0.10429525565131254</v>
      </c>
      <c r="J43" s="43">
        <f>C43/C$7*100</f>
        <v>8.5101212366684192E-2</v>
      </c>
      <c r="K43" s="43">
        <f>D43/D$7*100</f>
        <v>7.5165391814946025E-2</v>
      </c>
      <c r="L43" s="43">
        <f>E43/E$7*100</f>
        <v>6.9754149766541443E-2</v>
      </c>
      <c r="M43" s="43">
        <f>F43/F$7*100</f>
        <v>1.3917303058165546E-2</v>
      </c>
      <c r="N43" s="43">
        <f>G43/G$7*100</f>
        <v>4.7822360269974837E-3</v>
      </c>
      <c r="O43" s="42"/>
      <c r="P43" s="44">
        <f>(G43/F43-1)*100</f>
        <v>-61.1583770673898</v>
      </c>
      <c r="Q43" s="45" t="s">
        <v>85</v>
      </c>
    </row>
    <row r="44" spans="1:18" ht="19.5">
      <c r="A44" s="39" t="s">
        <v>86</v>
      </c>
      <c r="B44" s="40">
        <v>1205.75</v>
      </c>
      <c r="C44" s="50">
        <v>0</v>
      </c>
      <c r="D44" s="50">
        <v>0</v>
      </c>
      <c r="E44" s="50">
        <v>0</v>
      </c>
      <c r="F44" s="50">
        <v>0</v>
      </c>
      <c r="G44" s="50">
        <v>15138.15</v>
      </c>
      <c r="H44" s="41"/>
      <c r="I44" s="43">
        <f>B44/B$7*100</f>
        <v>7.2019884037630651E-6</v>
      </c>
      <c r="J44" s="43">
        <f>C44/C$7*100</f>
        <v>0</v>
      </c>
      <c r="K44" s="43">
        <f>D44/D$7*100</f>
        <v>0</v>
      </c>
      <c r="L44" s="43">
        <f>E44/E$7*100</f>
        <v>0</v>
      </c>
      <c r="M44" s="43">
        <f>F44/F$7*100</f>
        <v>0</v>
      </c>
      <c r="N44" s="43">
        <f>G44/G$7*100</f>
        <v>5.3872032010355536E-5</v>
      </c>
      <c r="O44" s="42"/>
      <c r="P44" s="44" t="s">
        <v>124</v>
      </c>
      <c r="Q44" s="45" t="s">
        <v>87</v>
      </c>
    </row>
    <row r="45" spans="1:18" ht="18.75">
      <c r="A45" s="39" t="s">
        <v>88</v>
      </c>
      <c r="B45" s="40">
        <v>1515800</v>
      </c>
      <c r="C45" s="40">
        <v>2455200</v>
      </c>
      <c r="D45" s="40">
        <v>2483600</v>
      </c>
      <c r="E45" s="40">
        <v>2823600</v>
      </c>
      <c r="F45" s="40">
        <v>2737600</v>
      </c>
      <c r="G45" s="40">
        <v>874800</v>
      </c>
      <c r="H45" s="41"/>
      <c r="I45" s="43">
        <f>B45/B$7*100</f>
        <v>9.0539282790164238E-3</v>
      </c>
      <c r="J45" s="43">
        <f>C45/C$7*100</f>
        <v>2.3562620748156453E-2</v>
      </c>
      <c r="K45" s="43">
        <f>D45/D$7*100</f>
        <v>1.5857746270343989E-2</v>
      </c>
      <c r="L45" s="43">
        <f>E45/E$7*100</f>
        <v>1.2820921905949275E-2</v>
      </c>
      <c r="M45" s="43">
        <f>F45/F$7*100</f>
        <v>1.1012400321768388E-2</v>
      </c>
      <c r="N45" s="43">
        <f>G45/G$7*100</f>
        <v>3.1131448428413661E-3</v>
      </c>
      <c r="O45" s="42"/>
      <c r="P45" s="44">
        <f>(G45/F45-1)*100</f>
        <v>-68.04500292226767</v>
      </c>
      <c r="Q45" s="48" t="s">
        <v>89</v>
      </c>
    </row>
    <row r="46" spans="1:18" ht="18.75">
      <c r="A46" s="39" t="s">
        <v>90</v>
      </c>
      <c r="B46" s="40">
        <v>6136000</v>
      </c>
      <c r="C46" s="50">
        <v>0</v>
      </c>
      <c r="D46" s="40">
        <v>0</v>
      </c>
      <c r="E46" s="40">
        <v>16862000</v>
      </c>
      <c r="F46" s="40">
        <v>1530999.9999999998</v>
      </c>
      <c r="G46" s="40">
        <v>15330000</v>
      </c>
      <c r="H46" s="41"/>
      <c r="I46" s="43">
        <f>B46/B$7*100</f>
        <v>3.6650550151764598E-2</v>
      </c>
      <c r="J46" s="43">
        <f>C46/C$7*100</f>
        <v>0</v>
      </c>
      <c r="K46" s="43">
        <f>D46/D$7*100</f>
        <v>0</v>
      </c>
      <c r="L46" s="43">
        <f>E46/E$7*100</f>
        <v>7.6564097314816781E-2</v>
      </c>
      <c r="M46" s="43">
        <f>F46/F$7*100</f>
        <v>6.158673616535432E-3</v>
      </c>
      <c r="N46" s="43">
        <f>G46/G$7*100</f>
        <v>5.4554767307679629E-2</v>
      </c>
      <c r="O46" s="42"/>
      <c r="P46" s="44" t="s">
        <v>124</v>
      </c>
      <c r="Q46" s="48" t="s">
        <v>25</v>
      </c>
      <c r="R46" s="5" t="s">
        <v>91</v>
      </c>
    </row>
    <row r="47" spans="1:18" ht="19.5">
      <c r="A47" s="39" t="s">
        <v>92</v>
      </c>
      <c r="B47" s="40">
        <v>1646551366.4556053</v>
      </c>
      <c r="C47" s="40">
        <v>702177427.79410005</v>
      </c>
      <c r="D47" s="40">
        <v>2072265268.9057002</v>
      </c>
      <c r="E47" s="40">
        <v>1921185842.3618999</v>
      </c>
      <c r="F47" s="40">
        <v>1764632124.0801997</v>
      </c>
      <c r="G47" s="40">
        <v>1883543104.6684999</v>
      </c>
      <c r="H47" s="41"/>
      <c r="I47" s="43">
        <f>B47/B$7*100</f>
        <v>9.8349109246638999</v>
      </c>
      <c r="J47" s="43">
        <f>C47/C$7*100</f>
        <v>6.7388157498486434</v>
      </c>
      <c r="K47" s="43">
        <f>D47/D$7*100</f>
        <v>13.231380592346898</v>
      </c>
      <c r="L47" s="43">
        <f>E47/E$7*100</f>
        <v>8.723393416821537</v>
      </c>
      <c r="M47" s="43">
        <f>F47/F$7*100</f>
        <v>7.0984933412564386</v>
      </c>
      <c r="N47" s="43">
        <f>G47/G$7*100</f>
        <v>6.7029521062736119</v>
      </c>
      <c r="O47" s="42"/>
      <c r="P47" s="44">
        <f>(G47/F47-1)*100</f>
        <v>6.7385705476874724</v>
      </c>
      <c r="Q47" s="45" t="s">
        <v>93</v>
      </c>
    </row>
    <row r="48" spans="1:18" ht="19.5">
      <c r="A48" s="39" t="s">
        <v>94</v>
      </c>
      <c r="B48" s="40">
        <v>1957300</v>
      </c>
      <c r="C48" s="40">
        <v>1684088.22</v>
      </c>
      <c r="D48" s="40">
        <v>1942700</v>
      </c>
      <c r="E48" s="40">
        <v>2384850</v>
      </c>
      <c r="F48" s="40">
        <v>2414950</v>
      </c>
      <c r="G48" s="40">
        <v>1653050</v>
      </c>
      <c r="H48" s="41"/>
      <c r="I48" s="43">
        <f>B48/B$7*100</f>
        <v>1.1691023763371717E-2</v>
      </c>
      <c r="J48" s="43">
        <f>C48/C$7*100</f>
        <v>1.6162240157338654E-2</v>
      </c>
      <c r="K48" s="43">
        <f>D48/D$7*100</f>
        <v>1.2404108423013878E-2</v>
      </c>
      <c r="L48" s="43">
        <f>E48/E$7*100</f>
        <v>1.08287206429392E-2</v>
      </c>
      <c r="M48" s="43">
        <f>F48/F$7*100</f>
        <v>9.7144930439270055E-3</v>
      </c>
      <c r="N48" s="43">
        <f>G48/G$7*100</f>
        <v>5.8826978537481946E-3</v>
      </c>
      <c r="O48" s="42"/>
      <c r="P48" s="44">
        <f>(G48/F48-1)*100</f>
        <v>-31.549307439077413</v>
      </c>
      <c r="Q48" s="45" t="s">
        <v>95</v>
      </c>
    </row>
    <row r="49" spans="1:19" ht="19.5">
      <c r="A49" s="39" t="s">
        <v>96</v>
      </c>
      <c r="B49" s="40">
        <v>10240781.280000003</v>
      </c>
      <c r="C49" s="40">
        <v>3136308.9299999997</v>
      </c>
      <c r="D49" s="40">
        <v>5448162.4500000011</v>
      </c>
      <c r="E49" s="40">
        <v>4915938.79</v>
      </c>
      <c r="F49" s="40">
        <v>3828036.1</v>
      </c>
      <c r="G49" s="40">
        <v>2965131.9</v>
      </c>
      <c r="H49" s="41"/>
      <c r="I49" s="43">
        <f>B49/B$7*100</f>
        <v>6.1168557349395726E-2</v>
      </c>
      <c r="J49" s="43">
        <f>C49/C$7*100</f>
        <v>3.0099241555330059E-2</v>
      </c>
      <c r="K49" s="43">
        <f>D49/D$7*100</f>
        <v>3.4786430090077182E-2</v>
      </c>
      <c r="L49" s="43">
        <f>E49/E$7*100</f>
        <v>2.2321457473089945E-2</v>
      </c>
      <c r="M49" s="43">
        <f>F49/F$7*100</f>
        <v>1.5398840582766292E-2</v>
      </c>
      <c r="N49" s="43">
        <f>G49/G$7*100</f>
        <v>1.0551994836339073E-2</v>
      </c>
      <c r="O49" s="42"/>
      <c r="P49" s="44">
        <f>(G49/F49-1)*100</f>
        <v>-22.54169442132482</v>
      </c>
      <c r="Q49" s="45" t="s">
        <v>97</v>
      </c>
    </row>
    <row r="50" spans="1:19" ht="19.5">
      <c r="A50" s="39" t="s">
        <v>98</v>
      </c>
      <c r="B50" s="40">
        <v>107432467.20999999</v>
      </c>
      <c r="C50" s="40">
        <v>102966321.18999998</v>
      </c>
      <c r="D50" s="40">
        <v>112957794.64</v>
      </c>
      <c r="E50" s="40">
        <v>129870432.02000001</v>
      </c>
      <c r="F50" s="40">
        <v>0</v>
      </c>
      <c r="G50" s="40">
        <v>0</v>
      </c>
      <c r="H50" s="41"/>
      <c r="I50" s="43">
        <f>B50/B$7*100</f>
        <v>0.64169801620076772</v>
      </c>
      <c r="J50" s="43">
        <f>C50/C$7*100</f>
        <v>0.98817056697329542</v>
      </c>
      <c r="K50" s="43">
        <f>D50/D$7*100</f>
        <v>0.72123371181299023</v>
      </c>
      <c r="L50" s="43">
        <f>E50/E$7*100</f>
        <v>0.58969353549380732</v>
      </c>
      <c r="M50" s="43">
        <f>F50/F$7*100</f>
        <v>0</v>
      </c>
      <c r="N50" s="43">
        <f>G50/G$7*100</f>
        <v>0</v>
      </c>
      <c r="O50" s="42"/>
      <c r="P50" s="44" t="s">
        <v>133</v>
      </c>
      <c r="Q50" s="45" t="s">
        <v>99</v>
      </c>
    </row>
    <row r="51" spans="1:19" ht="24" customHeight="1">
      <c r="A51" s="39" t="s">
        <v>100</v>
      </c>
      <c r="B51" s="40">
        <v>27258582.329999998</v>
      </c>
      <c r="C51" s="40">
        <v>25058472.93</v>
      </c>
      <c r="D51" s="40">
        <v>26417397.909999996</v>
      </c>
      <c r="E51" s="40">
        <v>26969076.540000003</v>
      </c>
      <c r="F51" s="40">
        <v>2469558.75</v>
      </c>
      <c r="G51" s="40">
        <v>1580250</v>
      </c>
      <c r="H51" s="41"/>
      <c r="I51" s="43">
        <f>B51/B$7*100</f>
        <v>0.16281649914466578</v>
      </c>
      <c r="J51" s="43">
        <f>C51/C$7*100</f>
        <v>0.24048684187745797</v>
      </c>
      <c r="K51" s="43">
        <f>D51/D$7*100</f>
        <v>0.16867466306148154</v>
      </c>
      <c r="L51" s="43">
        <f>E51/E$7*100</f>
        <v>0.12245658882097631</v>
      </c>
      <c r="M51" s="43">
        <f>F51/F$7*100</f>
        <v>9.9341648060804859E-3</v>
      </c>
      <c r="N51" s="43">
        <f>G51/G$7*100</f>
        <v>5.6236249861683456E-3</v>
      </c>
      <c r="O51" s="42"/>
      <c r="P51" s="44">
        <f>(G51/F51-1)*100</f>
        <v>-36.010835943870546</v>
      </c>
      <c r="Q51" s="45" t="s">
        <v>101</v>
      </c>
    </row>
    <row r="52" spans="1:19" ht="24" customHeight="1">
      <c r="A52" s="39" t="s">
        <v>102</v>
      </c>
      <c r="B52" s="40">
        <v>160000</v>
      </c>
      <c r="C52" s="40">
        <v>130000</v>
      </c>
      <c r="D52" s="40">
        <v>105000</v>
      </c>
      <c r="E52" s="40">
        <v>90000</v>
      </c>
      <c r="F52" s="40">
        <v>5000</v>
      </c>
      <c r="G52" s="40">
        <v>105000</v>
      </c>
      <c r="H52" s="41"/>
      <c r="I52" s="43">
        <f>B52/B$7*100</f>
        <v>9.5568579274483956E-4</v>
      </c>
      <c r="J52" s="43">
        <f>C52/C$7*100</f>
        <v>1.2476135130581375E-3</v>
      </c>
      <c r="K52" s="43">
        <f>D52/D$7*100</f>
        <v>6.704233203358508E-4</v>
      </c>
      <c r="L52" s="43">
        <f>E52/E$7*100</f>
        <v>4.0865666933539974E-4</v>
      </c>
      <c r="M52" s="43">
        <f>F52/F$7*100</f>
        <v>2.0113238460272479E-5</v>
      </c>
      <c r="N52" s="43">
        <f>G52/G$7*100</f>
        <v>3.7366278977862762E-4</v>
      </c>
      <c r="O52" s="42"/>
      <c r="P52" s="44" t="s">
        <v>124</v>
      </c>
      <c r="Q52" s="45" t="s">
        <v>125</v>
      </c>
    </row>
    <row r="53" spans="1:19" ht="24" customHeight="1">
      <c r="A53" s="39" t="s">
        <v>103</v>
      </c>
      <c r="B53" s="40">
        <v>647000</v>
      </c>
      <c r="C53" s="40">
        <v>519000</v>
      </c>
      <c r="D53" s="40">
        <v>1263500</v>
      </c>
      <c r="E53" s="40">
        <v>466000</v>
      </c>
      <c r="F53" s="40">
        <v>500</v>
      </c>
      <c r="G53" s="40">
        <v>110000</v>
      </c>
      <c r="H53" s="41"/>
      <c r="I53" s="43">
        <f>B53/B$7*100</f>
        <v>3.8645544244119449E-3</v>
      </c>
      <c r="J53" s="43">
        <f>C53/C$7*100</f>
        <v>4.980857025209025E-3</v>
      </c>
      <c r="K53" s="43">
        <f>D53/D$7*100</f>
        <v>8.0674272880414052E-3</v>
      </c>
      <c r="L53" s="43">
        <f>E53/E$7*100</f>
        <v>2.1159334212255141E-3</v>
      </c>
      <c r="M53" s="43">
        <f>F53/F$7*100</f>
        <v>2.0113238460272478E-6</v>
      </c>
      <c r="N53" s="43">
        <f>G53/G$7*100</f>
        <v>3.9145625595856228E-4</v>
      </c>
      <c r="O53" s="42"/>
      <c r="P53" s="44" t="s">
        <v>124</v>
      </c>
      <c r="Q53" s="45" t="s">
        <v>126</v>
      </c>
    </row>
    <row r="54" spans="1:19" ht="24" customHeight="1">
      <c r="A54" s="39" t="s">
        <v>104</v>
      </c>
      <c r="B54" s="40">
        <v>5619006.6000000015</v>
      </c>
      <c r="C54" s="40">
        <v>6301806.3499999996</v>
      </c>
      <c r="D54" s="40">
        <v>8304883.1099999994</v>
      </c>
      <c r="E54" s="40">
        <v>5066125.55</v>
      </c>
      <c r="F54" s="40">
        <v>4900346.55</v>
      </c>
      <c r="G54" s="40">
        <v>5891173.6500000004</v>
      </c>
      <c r="H54" s="41"/>
      <c r="I54" s="43">
        <f>B54/B$7*100</f>
        <v>3.3562529855996795E-2</v>
      </c>
      <c r="J54" s="43">
        <f>C54/C$7*100</f>
        <v>6.0478605837965979E-2</v>
      </c>
      <c r="K54" s="43">
        <f>D54/D$7*100</f>
        <v>5.3026545805784059E-2</v>
      </c>
      <c r="L54" s="43">
        <f>E54/E$7*100</f>
        <v>2.3003399929977447E-2</v>
      </c>
      <c r="M54" s="43">
        <f>F54/F$7*100</f>
        <v>1.971236773962471E-2</v>
      </c>
      <c r="N54" s="43">
        <f>G54/G$7*100</f>
        <v>2.0964879820279433E-2</v>
      </c>
      <c r="O54" s="42"/>
      <c r="P54" s="44">
        <f>(G54/F54-1)*100</f>
        <v>20.219531208461184</v>
      </c>
      <c r="Q54" s="45" t="s">
        <v>127</v>
      </c>
    </row>
    <row r="55" spans="1:19" ht="24" customHeight="1">
      <c r="A55" s="39" t="s">
        <v>105</v>
      </c>
      <c r="B55" s="40">
        <v>105000</v>
      </c>
      <c r="C55" s="40">
        <v>95000</v>
      </c>
      <c r="D55" s="40">
        <v>120000</v>
      </c>
      <c r="E55" s="40">
        <v>155000</v>
      </c>
      <c r="F55" s="40">
        <v>60000</v>
      </c>
      <c r="G55" s="40">
        <v>110000</v>
      </c>
      <c r="H55" s="41"/>
      <c r="I55" s="43">
        <f>B55/B$7*100</f>
        <v>6.27168801488801E-4</v>
      </c>
      <c r="J55" s="43">
        <f>C55/C$7*100</f>
        <v>9.117175672347926E-4</v>
      </c>
      <c r="K55" s="43">
        <f>D55/D$7*100</f>
        <v>7.6619808038382942E-4</v>
      </c>
      <c r="L55" s="43">
        <f>E55/E$7*100</f>
        <v>7.0379759718874392E-4</v>
      </c>
      <c r="M55" s="43">
        <f>F55/F$7*100</f>
        <v>2.4135886152326977E-4</v>
      </c>
      <c r="N55" s="43">
        <f>G55/G$7*100</f>
        <v>3.9145625595856228E-4</v>
      </c>
      <c r="O55" s="42"/>
      <c r="P55" s="44">
        <f>(G55/F55-1)*100</f>
        <v>83.333333333333329</v>
      </c>
      <c r="Q55" s="45" t="s">
        <v>128</v>
      </c>
    </row>
    <row r="56" spans="1:19" ht="24" customHeight="1">
      <c r="A56" s="39" t="s">
        <v>106</v>
      </c>
      <c r="B56" s="40">
        <v>460000</v>
      </c>
      <c r="C56" s="40">
        <v>620000</v>
      </c>
      <c r="D56" s="40">
        <v>510000</v>
      </c>
      <c r="E56" s="40">
        <v>580000</v>
      </c>
      <c r="F56" s="40">
        <v>310000</v>
      </c>
      <c r="G56" s="40">
        <v>70000</v>
      </c>
      <c r="H56" s="41"/>
      <c r="I56" s="43">
        <f>B56/B$7*100</f>
        <v>2.7475966541414139E-3</v>
      </c>
      <c r="J56" s="43">
        <f>C56/C$7*100</f>
        <v>5.9501567545849621E-3</v>
      </c>
      <c r="K56" s="43">
        <f>D56/D$7*100</f>
        <v>3.2563418416312754E-3</v>
      </c>
      <c r="L56" s="43">
        <f>E56/E$7*100</f>
        <v>2.6335652023836871E-3</v>
      </c>
      <c r="M56" s="43">
        <f>F56/F$7*100</f>
        <v>1.2470207845368937E-3</v>
      </c>
      <c r="N56" s="43">
        <f>G56/G$7*100</f>
        <v>2.4910852651908511E-4</v>
      </c>
      <c r="O56" s="42"/>
      <c r="P56" s="44">
        <f>(G56/F56-1)*100</f>
        <v>-77.41935483870968</v>
      </c>
      <c r="Q56" s="45" t="s">
        <v>129</v>
      </c>
    </row>
    <row r="57" spans="1:19" ht="24" customHeight="1">
      <c r="A57" s="39" t="s">
        <v>107</v>
      </c>
      <c r="B57" s="40">
        <v>0</v>
      </c>
      <c r="C57" s="40">
        <v>69120</v>
      </c>
      <c r="D57" s="40">
        <v>1105715.1173</v>
      </c>
      <c r="E57" s="40">
        <v>942307.5</v>
      </c>
      <c r="F57" s="40">
        <v>479035</v>
      </c>
      <c r="G57" s="40">
        <v>997120</v>
      </c>
      <c r="H57" s="41"/>
      <c r="I57" s="43">
        <f>B57/B$7*100</f>
        <v>0</v>
      </c>
      <c r="J57" s="43">
        <f>C57/C$7*100</f>
        <v>6.6334650786598808E-4</v>
      </c>
      <c r="K57" s="43">
        <f>D57/D$7*100</f>
        <v>7.0599733360553404E-3</v>
      </c>
      <c r="L57" s="43">
        <f>E57/E$7*100</f>
        <v>4.2786693826640798E-3</v>
      </c>
      <c r="M57" s="43">
        <f>F57/F$7*100</f>
        <v>1.9269890371633254E-3</v>
      </c>
      <c r="N57" s="43">
        <f>G57/G$7*100</f>
        <v>3.5484441994672873E-3</v>
      </c>
      <c r="O57" s="42"/>
      <c r="P57" s="44" t="s">
        <v>124</v>
      </c>
      <c r="Q57" s="45" t="s">
        <v>130</v>
      </c>
    </row>
    <row r="58" spans="1:19" ht="24" customHeight="1">
      <c r="A58" s="39" t="s">
        <v>108</v>
      </c>
      <c r="B58" s="40">
        <v>0</v>
      </c>
      <c r="C58" s="40">
        <v>1029500</v>
      </c>
      <c r="D58" s="40">
        <v>2556500</v>
      </c>
      <c r="E58" s="40">
        <v>2981000</v>
      </c>
      <c r="F58" s="40">
        <v>2293150</v>
      </c>
      <c r="G58" s="40">
        <v>536000</v>
      </c>
      <c r="H58" s="41"/>
      <c r="I58" s="43">
        <f>B58/B$7*100</f>
        <v>0</v>
      </c>
      <c r="J58" s="43">
        <f>C58/C$7*100</f>
        <v>9.880139320718094E-3</v>
      </c>
      <c r="K58" s="43">
        <f>D58/D$7*100</f>
        <v>1.6323211604177167E-2</v>
      </c>
      <c r="L58" s="43">
        <f>E58/E$7*100</f>
        <v>1.3535617014320296E-2</v>
      </c>
      <c r="M58" s="43">
        <f>F58/F$7*100</f>
        <v>9.2245345550347677E-3</v>
      </c>
      <c r="N58" s="43">
        <f>G58/G$7*100</f>
        <v>1.9074595744889944E-3</v>
      </c>
      <c r="O58" s="42"/>
      <c r="P58" s="44">
        <f>(G58/F58-1)*100</f>
        <v>-76.626038418768943</v>
      </c>
      <c r="Q58" s="45" t="s">
        <v>131</v>
      </c>
    </row>
    <row r="59" spans="1:19" ht="24" customHeight="1">
      <c r="A59" s="39" t="s">
        <v>109</v>
      </c>
      <c r="B59" s="40">
        <v>0</v>
      </c>
      <c r="C59" s="40">
        <v>0</v>
      </c>
      <c r="D59" s="40">
        <v>325423600</v>
      </c>
      <c r="E59" s="40">
        <v>486563100</v>
      </c>
      <c r="F59" s="40">
        <v>573307350</v>
      </c>
      <c r="G59" s="40">
        <v>670932300</v>
      </c>
      <c r="H59" s="41"/>
      <c r="I59" s="43">
        <f>B59/B$7*100</f>
        <v>0</v>
      </c>
      <c r="J59" s="43">
        <f>C59/C$7*100</f>
        <v>0</v>
      </c>
      <c r="K59" s="43">
        <f>D59/D$7*100</f>
        <v>2.0778244802632928</v>
      </c>
      <c r="L59" s="43">
        <f>E59/E$7*100</f>
        <v>2.2093028429723005</v>
      </c>
      <c r="M59" s="43">
        <f>F59/F$7*100</f>
        <v>2.3062134883153793</v>
      </c>
      <c r="N59" s="43">
        <f>G59/G$7*100</f>
        <v>2.3876422378151534</v>
      </c>
      <c r="O59" s="42"/>
      <c r="P59" s="44">
        <f>(G59/F59-1)*100</f>
        <v>17.02837928032843</v>
      </c>
      <c r="Q59" s="45" t="s">
        <v>26</v>
      </c>
    </row>
    <row r="60" spans="1:19" ht="24" customHeight="1">
      <c r="A60" s="39" t="s">
        <v>110</v>
      </c>
      <c r="B60" s="40">
        <v>3608957.3200000003</v>
      </c>
      <c r="C60" s="40">
        <v>456990.92000000004</v>
      </c>
      <c r="D60" s="51">
        <v>1736169.3795000166</v>
      </c>
      <c r="E60" s="51">
        <v>7507882.6960000247</v>
      </c>
      <c r="F60" s="51">
        <v>498421526.47820002</v>
      </c>
      <c r="G60" s="51">
        <v>576824049.94700003</v>
      </c>
      <c r="H60" s="52"/>
      <c r="I60" s="54">
        <f>B60/B$7*100</f>
        <v>2.1556432733415575E-2</v>
      </c>
      <c r="J60" s="54">
        <f>C60/C$7*100</f>
        <v>4.3857542087451561E-3</v>
      </c>
      <c r="K60" s="54">
        <f>D60/D$7*100</f>
        <v>1.1085413714950807E-2</v>
      </c>
      <c r="L60" s="54">
        <f>E60/E$7*100</f>
        <v>3.4090514847869464E-2</v>
      </c>
      <c r="M60" s="54">
        <f>F60/F$7*100</f>
        <v>2.0049742031578099</v>
      </c>
      <c r="N60" s="54">
        <f>G60/G$7*100</f>
        <v>2.0527398449009757</v>
      </c>
      <c r="O60" s="53"/>
      <c r="P60" s="55">
        <f>(G60/F60-1)*100</f>
        <v>15.730163988458701</v>
      </c>
      <c r="Q60" s="56" t="s">
        <v>2</v>
      </c>
    </row>
    <row r="61" spans="1:19" ht="14.25" customHeight="1">
      <c r="A61" s="2"/>
      <c r="B61" s="2"/>
      <c r="C61" s="2"/>
      <c r="D61" s="3"/>
      <c r="E61" s="3"/>
      <c r="F61" s="3"/>
      <c r="G61" s="3"/>
      <c r="H61" s="3"/>
      <c r="I61" s="42"/>
      <c r="J61" s="42"/>
      <c r="K61" s="42"/>
      <c r="L61" s="42"/>
      <c r="M61" s="42"/>
      <c r="N61" s="42"/>
      <c r="O61" s="42"/>
      <c r="P61" s="57"/>
      <c r="Q61" s="58" t="s">
        <v>111</v>
      </c>
    </row>
    <row r="62" spans="1:19" ht="39.75" customHeight="1">
      <c r="A62" s="3" t="s">
        <v>112</v>
      </c>
      <c r="B62" s="3"/>
      <c r="C62" s="3"/>
      <c r="D62" s="3"/>
      <c r="E62" s="3"/>
      <c r="F62" s="3"/>
      <c r="G62" s="3"/>
      <c r="H62" s="3"/>
      <c r="I62" s="42"/>
      <c r="J62" s="42"/>
      <c r="K62" s="42"/>
      <c r="L62" s="42"/>
      <c r="M62" s="42"/>
      <c r="N62" s="42"/>
      <c r="O62" s="42"/>
      <c r="P62" s="57"/>
      <c r="Q62" s="58"/>
      <c r="R62" s="59"/>
      <c r="S62" s="59"/>
    </row>
    <row r="63" spans="1:19" ht="18.75" customHeight="1">
      <c r="A63" s="3" t="s">
        <v>113</v>
      </c>
      <c r="B63" s="3"/>
      <c r="C63" s="3"/>
      <c r="D63" s="3"/>
      <c r="E63" s="3"/>
      <c r="F63" s="3"/>
      <c r="G63" s="3"/>
      <c r="H63" s="3"/>
      <c r="I63" s="42"/>
      <c r="J63" s="42"/>
      <c r="K63" s="42"/>
      <c r="L63" s="42"/>
      <c r="M63" s="42"/>
      <c r="N63" s="42"/>
      <c r="O63" s="42"/>
      <c r="P63" s="57"/>
      <c r="Q63" s="58"/>
      <c r="R63" s="59"/>
      <c r="S63" s="59"/>
    </row>
    <row r="64" spans="1:19" ht="19.5">
      <c r="A64" s="1" t="s">
        <v>114</v>
      </c>
      <c r="B64" s="40"/>
      <c r="C64" s="40"/>
      <c r="D64" s="40"/>
      <c r="E64" s="40"/>
      <c r="F64" s="40"/>
      <c r="G64" s="40"/>
      <c r="H64" s="40"/>
      <c r="I64" s="42"/>
      <c r="J64" s="42"/>
      <c r="K64" s="42"/>
      <c r="L64" s="42"/>
      <c r="M64" s="42"/>
      <c r="N64" s="42"/>
      <c r="O64" s="42"/>
      <c r="P64" s="57"/>
      <c r="Q64" s="45"/>
      <c r="R64" s="59"/>
      <c r="S64" s="59"/>
    </row>
    <row r="65" spans="1:19" s="62" customFormat="1" ht="18.75">
      <c r="A65" s="60" t="s">
        <v>29</v>
      </c>
      <c r="B65" s="61"/>
      <c r="C65" s="61"/>
      <c r="D65" s="61"/>
      <c r="E65" s="61"/>
      <c r="F65" s="61"/>
      <c r="G65" s="61"/>
      <c r="H65" s="61"/>
      <c r="R65" s="63"/>
      <c r="S65" s="63"/>
    </row>
    <row r="66" spans="1:19" s="62" customFormat="1" ht="18.75">
      <c r="A66" s="60" t="s">
        <v>30</v>
      </c>
      <c r="B66" s="61"/>
      <c r="C66" s="61"/>
      <c r="D66" s="61"/>
      <c r="E66" s="61"/>
      <c r="F66" s="61"/>
      <c r="G66" s="61"/>
      <c r="H66" s="61"/>
      <c r="R66" s="63"/>
      <c r="S66" s="63"/>
    </row>
    <row r="67" spans="1:19" ht="19.5" customHeight="1">
      <c r="A67" s="60" t="s">
        <v>31</v>
      </c>
    </row>
    <row r="68" spans="1:19" s="60" customFormat="1" ht="19.5" customHeight="1">
      <c r="A68" s="60" t="s">
        <v>117</v>
      </c>
    </row>
    <row r="69" spans="1:19" s="60" customFormat="1" ht="19.5" customHeight="1">
      <c r="A69" s="60" t="s">
        <v>118</v>
      </c>
    </row>
    <row r="70" spans="1:19" s="60" customFormat="1" ht="19.5" customHeight="1">
      <c r="A70" s="60" t="s">
        <v>119</v>
      </c>
    </row>
    <row r="71" spans="1:19" s="60" customFormat="1" ht="19.5" customHeight="1">
      <c r="A71" s="60" t="s">
        <v>120</v>
      </c>
    </row>
    <row r="72" spans="1:19" s="60" customFormat="1" ht="19.5" customHeight="1">
      <c r="A72" s="60" t="s">
        <v>0</v>
      </c>
      <c r="K72" s="5"/>
      <c r="L72" s="5"/>
      <c r="M72" s="5"/>
      <c r="N72" s="5"/>
      <c r="O72" s="5"/>
      <c r="P72" s="5"/>
    </row>
    <row r="73" spans="1:19" ht="15">
      <c r="A73" s="60" t="s">
        <v>132</v>
      </c>
      <c r="B73" s="40"/>
      <c r="C73" s="40"/>
      <c r="D73" s="40"/>
      <c r="E73" s="40"/>
      <c r="F73" s="40"/>
      <c r="G73" s="40"/>
      <c r="Q73" s="5"/>
    </row>
    <row r="83" spans="11:16">
      <c r="K83" s="65"/>
      <c r="P83" s="65"/>
    </row>
  </sheetData>
  <mergeCells count="12">
    <mergeCell ref="A1:Q1"/>
    <mergeCell ref="A2:Q2"/>
    <mergeCell ref="Q4:Q6"/>
    <mergeCell ref="A4:A6"/>
    <mergeCell ref="P5:P6"/>
    <mergeCell ref="I4:N4"/>
    <mergeCell ref="I5:N5"/>
    <mergeCell ref="A61:H61"/>
    <mergeCell ref="A62:H62"/>
    <mergeCell ref="A63:H63"/>
    <mergeCell ref="B4:G4"/>
    <mergeCell ref="B5:G5"/>
  </mergeCells>
  <pageMargins left="0.7" right="0.7" top="0.75" bottom="0.75" header="0.3" footer="0.3"/>
  <pageSetup scale="35" orientation="portrait" r:id="rId1"/>
  <colBreaks count="1" manualBreakCount="1">
    <brk id="1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1593d9c1-a9f6-478d-a576-b0943b39c604"/>
    <ds:schemaRef ds:uri="http://schemas.microsoft.com/office/infopath/2007/PartnerControls"/>
    <ds:schemaRef ds:uri="http://www.w3.org/XML/1998/namespace"/>
    <ds:schemaRef ds:uri="http://purl.org/dc/elements/1.1/"/>
    <ds:schemaRef ds:uri="1916c6aa-fa20-4fca-8349-5fbeea1bc48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13.12</vt:lpstr>
      <vt:lpstr>'13.12'!Print_Area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2025-07-20T03:06:31Z</cp:lastPrinted>
  <dcterms:created xsi:type="dcterms:W3CDTF">2014-03-06T08:38:12Z</dcterms:created>
  <dcterms:modified xsi:type="dcterms:W3CDTF">2025-07-20T03:08:12Z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