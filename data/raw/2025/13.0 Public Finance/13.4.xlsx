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public finance\"/>
    </mc:Choice>
  </mc:AlternateContent>
  <xr:revisionPtr revIDLastSave="0" documentId="13_ncr:1_{F044D630-63F2-44DD-82ED-A4E4392C8790}" xr6:coauthVersionLast="47" xr6:coauthVersionMax="47" xr10:uidLastSave="{00000000-0000-0000-0000-000000000000}"/>
  <bookViews>
    <workbookView xWindow="-120" yWindow="-120" windowWidth="29040" windowHeight="15720" tabRatio="667" xr2:uid="{00000000-000D-0000-FFFF-FFFF00000000}"/>
  </bookViews>
  <sheets>
    <sheet name="13.4" sheetId="4" r:id="rId1"/>
  </sheets>
  <definedNames>
    <definedName name="aas">#REF!</definedName>
    <definedName name="BACODE">#REF!</definedName>
    <definedName name="BAList">#REF!</definedName>
    <definedName name="bcodelist">#REF!</definedName>
    <definedName name="capital">#REF!</definedName>
    <definedName name="Code">#REF!</definedName>
    <definedName name="Code2">#REF!</definedName>
    <definedName name="Location">#REF!</definedName>
    <definedName name="m">#REF!</definedName>
    <definedName name="namelookup">#REF!</definedName>
    <definedName name="Office">#REF!</definedName>
    <definedName name="PLIST">#REF!</definedName>
    <definedName name="policylist">#REF!</definedName>
    <definedName name="_xlnm.Print_Area" localSheetId="0">'13.4'!$A$1:$R$27</definedName>
    <definedName name="Priority">#REF!</definedName>
    <definedName name="Prog111">#REF!</definedName>
    <definedName name="Prog112">#REF!</definedName>
    <definedName name="Prog113">#REF!</definedName>
    <definedName name="Prog114">#REF!</definedName>
    <definedName name="Prog115">#REF!</definedName>
    <definedName name="Prog116">#REF!</definedName>
    <definedName name="Prog121">#REF!</definedName>
    <definedName name="Prog122">#REF!</definedName>
    <definedName name="Prog123">#REF!</definedName>
    <definedName name="Prog124">#REF!</definedName>
    <definedName name="Prog125">#REF!</definedName>
    <definedName name="Prog126">#REF!</definedName>
    <definedName name="Prog127">#REF!</definedName>
    <definedName name="Prog131">#REF!</definedName>
    <definedName name="Prog132">#REF!</definedName>
    <definedName name="Prog133">#REF!</definedName>
    <definedName name="Prog134">#REF!</definedName>
    <definedName name="Prog141">#REF!</definedName>
    <definedName name="Prog142">#REF!</definedName>
    <definedName name="Prog143">#REF!</definedName>
    <definedName name="Prog144">#REF!</definedName>
    <definedName name="Prog145">#REF!</definedName>
    <definedName name="Prog151">#REF!</definedName>
    <definedName name="Prog152">#REF!</definedName>
    <definedName name="Prog153">#REF!</definedName>
    <definedName name="Prog154">#REF!</definedName>
    <definedName name="Prog155">#REF!</definedName>
    <definedName name="Prog211">#REF!</definedName>
    <definedName name="Prog2110">#REF!</definedName>
    <definedName name="Prog2111">#REF!</definedName>
    <definedName name="Prog212">#REF!</definedName>
    <definedName name="Prog213">#REF!</definedName>
    <definedName name="Prog214">#REF!</definedName>
    <definedName name="Prog215">#REF!</definedName>
    <definedName name="Prog216">#REF!</definedName>
    <definedName name="Prog217">#REF!</definedName>
    <definedName name="Prog218">#REF!</definedName>
    <definedName name="Prog219">#REF!</definedName>
    <definedName name="Prog221">#REF!</definedName>
    <definedName name="Prog222">#REF!</definedName>
    <definedName name="Prog223">#REF!</definedName>
    <definedName name="Prog224">#REF!</definedName>
    <definedName name="Prog225">#REF!</definedName>
    <definedName name="Prog226">#REF!</definedName>
    <definedName name="Prog227">#REF!</definedName>
    <definedName name="Prog228">#REF!</definedName>
    <definedName name="Prog229">#REF!</definedName>
    <definedName name="Prog231">#REF!</definedName>
    <definedName name="Prog232">#REF!</definedName>
    <definedName name="Prog233">#REF!</definedName>
    <definedName name="Prog234">#REF!</definedName>
    <definedName name="Prog241">#REF!</definedName>
    <definedName name="Prog242">#REF!</definedName>
    <definedName name="Prog243">#REF!</definedName>
    <definedName name="Prog251">#REF!</definedName>
    <definedName name="Prog252">#REF!</definedName>
    <definedName name="Prog253">#REF!</definedName>
    <definedName name="Prog254">#REF!</definedName>
    <definedName name="Prog255">#REF!</definedName>
    <definedName name="Prog256">#REF!</definedName>
    <definedName name="Prog311">#REF!</definedName>
    <definedName name="Prog312">#REF!</definedName>
    <definedName name="Prog313">#REF!</definedName>
    <definedName name="Prog314">#REF!</definedName>
    <definedName name="Prog315">#REF!</definedName>
    <definedName name="Prog316">#REF!</definedName>
    <definedName name="Prog317">#REF!</definedName>
    <definedName name="Prog321">#REF!</definedName>
    <definedName name="Prog322">#REF!</definedName>
    <definedName name="Prog323">#REF!</definedName>
    <definedName name="Prog324">#REF!</definedName>
    <definedName name="Prog331">#REF!</definedName>
    <definedName name="Prog3310">#REF!</definedName>
    <definedName name="Prog3311">#REF!</definedName>
    <definedName name="Prog3312">#REF!</definedName>
    <definedName name="Prog3313">#REF!</definedName>
    <definedName name="Prog3314">#REF!</definedName>
    <definedName name="Prog332">#REF!</definedName>
    <definedName name="Prog333">#REF!</definedName>
    <definedName name="Prog334">#REF!</definedName>
    <definedName name="Prog335">#REF!</definedName>
    <definedName name="Prog336">#REF!</definedName>
    <definedName name="Prog337">#REF!</definedName>
    <definedName name="Prog338">#REF!</definedName>
    <definedName name="Prog339">#REF!</definedName>
    <definedName name="Prog341">#REF!</definedName>
    <definedName name="Prog342">#REF!</definedName>
    <definedName name="Prog343">#REF!</definedName>
    <definedName name="Prog344">#REF!</definedName>
    <definedName name="Prog345">#REF!</definedName>
    <definedName name="Prog351">#REF!</definedName>
    <definedName name="Prog352">#REF!</definedName>
    <definedName name="Prog353">#REF!</definedName>
    <definedName name="Prog354">#REF!</definedName>
    <definedName name="Prog355">#REF!</definedName>
    <definedName name="Prog356">#REF!</definedName>
    <definedName name="Prog357">#REF!</definedName>
    <definedName name="Prog361">#REF!</definedName>
    <definedName name="Prog362">#REF!</definedName>
    <definedName name="Prog363">#REF!</definedName>
    <definedName name="Prog364">#REF!</definedName>
    <definedName name="Prog365">#REF!</definedName>
    <definedName name="Prog366">#REF!</definedName>
    <definedName name="Prog371">#REF!</definedName>
    <definedName name="Prog3710">#REF!</definedName>
    <definedName name="Prog372">#REF!</definedName>
    <definedName name="Prog373">#REF!</definedName>
    <definedName name="Prog374">#REF!</definedName>
    <definedName name="Prog375">#REF!</definedName>
    <definedName name="Prog376">#REF!</definedName>
    <definedName name="Prog377">#REF!</definedName>
    <definedName name="Prog378">#REF!</definedName>
    <definedName name="Prog379">#REF!</definedName>
    <definedName name="Prog4101">#REF!</definedName>
    <definedName name="Prog4102">#REF!</definedName>
    <definedName name="Prog4103">#REF!</definedName>
    <definedName name="Prog4104">#REF!</definedName>
    <definedName name="Prog4105">#REF!</definedName>
    <definedName name="Prog4106">#REF!</definedName>
    <definedName name="Prog411">#REF!</definedName>
    <definedName name="Prog412">#REF!</definedName>
    <definedName name="Prog413">#REF!</definedName>
    <definedName name="Prog414">#REF!</definedName>
    <definedName name="Prog415">#REF!</definedName>
    <definedName name="Prog416">#REF!</definedName>
    <definedName name="Prog421">#REF!</definedName>
    <definedName name="Prog422">#REF!</definedName>
    <definedName name="Prog423">#REF!</definedName>
    <definedName name="Prog424">#REF!</definedName>
    <definedName name="Prog425">#REF!</definedName>
    <definedName name="Prog426">#REF!</definedName>
    <definedName name="Prog427">#REF!</definedName>
    <definedName name="Prog431">#REF!</definedName>
    <definedName name="Prog432">#REF!</definedName>
    <definedName name="Prog433">#REF!</definedName>
    <definedName name="Prog434">#REF!</definedName>
    <definedName name="Prog435">#REF!</definedName>
    <definedName name="Prog436">#REF!</definedName>
    <definedName name="Prog437">#REF!</definedName>
    <definedName name="Prog441">#REF!</definedName>
    <definedName name="Prog442">#REF!</definedName>
    <definedName name="Prog443">#REF!</definedName>
    <definedName name="Prog444">#REF!</definedName>
    <definedName name="Prog445">#REF!</definedName>
    <definedName name="Prog451">#REF!</definedName>
    <definedName name="Prog452">#REF!</definedName>
    <definedName name="Prog453">#REF!</definedName>
    <definedName name="Prog454">#REF!</definedName>
    <definedName name="Prog455">#REF!</definedName>
    <definedName name="Prog456">#REF!</definedName>
    <definedName name="Prog461">#REF!</definedName>
    <definedName name="Prog4610">#REF!</definedName>
    <definedName name="Prog462">#REF!</definedName>
    <definedName name="Prog463">#REF!</definedName>
    <definedName name="Prog464">#REF!</definedName>
    <definedName name="Prog465">#REF!</definedName>
    <definedName name="Prog466">#REF!</definedName>
    <definedName name="Prog467">#REF!</definedName>
    <definedName name="Prog468">#REF!</definedName>
    <definedName name="Prog469">#REF!</definedName>
    <definedName name="Prog471">#REF!</definedName>
    <definedName name="Prog472">#REF!</definedName>
    <definedName name="Prog473">#REF!</definedName>
    <definedName name="Prog474">#REF!</definedName>
    <definedName name="Prog475">#REF!</definedName>
    <definedName name="Prog476">#REF!</definedName>
    <definedName name="Prog477">#REF!</definedName>
    <definedName name="Prog478">#REF!</definedName>
    <definedName name="Prog479">#REF!</definedName>
    <definedName name="Prog481">#REF!</definedName>
    <definedName name="Prog482">#REF!</definedName>
    <definedName name="Prog483">#REF!</definedName>
    <definedName name="Prog484">#REF!</definedName>
    <definedName name="Prog485">#REF!</definedName>
    <definedName name="Prog486">#REF!</definedName>
    <definedName name="Prog491">#REF!</definedName>
    <definedName name="Prog492">#REF!</definedName>
    <definedName name="Prog493">#REF!</definedName>
    <definedName name="Prog494">#REF!</definedName>
    <definedName name="Prog495">#REF!</definedName>
    <definedName name="Prog496">#REF!</definedName>
    <definedName name="Prog497">#REF!</definedName>
    <definedName name="Prog511">#REF!</definedName>
    <definedName name="Prog512">#REF!</definedName>
    <definedName name="Prog513">#REF!</definedName>
    <definedName name="Prog521">#REF!</definedName>
    <definedName name="Prog522">#REF!</definedName>
    <definedName name="Prog523">#REF!</definedName>
    <definedName name="Prog524">#REF!</definedName>
    <definedName name="Prog525">#REF!</definedName>
    <definedName name="Prog526">#REF!</definedName>
    <definedName name="Prog531">#REF!</definedName>
    <definedName name="Prog532">#REF!</definedName>
    <definedName name="Prog533">#REF!</definedName>
    <definedName name="Prog534">#REF!</definedName>
    <definedName name="Prog535">#REF!</definedName>
    <definedName name="Prog541">#REF!</definedName>
    <definedName name="Prog542">#REF!</definedName>
    <definedName name="Prog543">#REF!</definedName>
    <definedName name="Prog544">#REF!</definedName>
    <definedName name="Prog545">#REF!</definedName>
    <definedName name="Prog546">#REF!</definedName>
    <definedName name="Prog547">#REF!</definedName>
    <definedName name="Program1P1">#REF!</definedName>
    <definedName name="Program1P1SAPREF">#REF!</definedName>
    <definedName name="Program1P1SL">#REF!</definedName>
    <definedName name="Program1P2">#REF!</definedName>
    <definedName name="Program1P2SAPREF">#REF!</definedName>
    <definedName name="Program1P2SL">#REF!</definedName>
    <definedName name="recurrent">#REF!</definedName>
    <definedName name="reruerueu">#REF!</definedName>
    <definedName name="Status">#REF!</definedName>
    <definedName name="strategylist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" i="4" l="1"/>
  <c r="P12" i="4"/>
  <c r="P15" i="4"/>
  <c r="P20" i="4"/>
  <c r="P14" i="4"/>
  <c r="P21" i="4"/>
  <c r="P13" i="4" l="1"/>
  <c r="P11" i="4"/>
  <c r="P18" i="4"/>
  <c r="P17" i="4"/>
  <c r="P16" i="4"/>
  <c r="P19" i="4"/>
  <c r="P22" i="4" l="1"/>
  <c r="P9" i="4"/>
  <c r="N8" i="4"/>
  <c r="N20" i="4"/>
  <c r="N10" i="4"/>
  <c r="N13" i="4"/>
  <c r="N12" i="4"/>
  <c r="N11" i="4"/>
  <c r="N14" i="4"/>
  <c r="N21" i="4"/>
  <c r="N15" i="4"/>
  <c r="N19" i="4"/>
  <c r="N9" i="4"/>
  <c r="N16" i="4"/>
  <c r="N22" i="4"/>
  <c r="N17" i="4"/>
  <c r="N18" i="4"/>
  <c r="P8" i="4" l="1"/>
</calcChain>
</file>

<file path=xl/sharedStrings.xml><?xml version="1.0" encoding="utf-8"?>
<sst xmlns="http://schemas.openxmlformats.org/spreadsheetml/2006/main" count="61" uniqueCount="53">
  <si>
    <t>(In million MVR)</t>
  </si>
  <si>
    <t>Particulars</t>
  </si>
  <si>
    <t>clIBcfwt</t>
  </si>
  <si>
    <t>Actual</t>
  </si>
  <si>
    <t xml:space="preserve">Approved </t>
  </si>
  <si>
    <t>Percentage Change</t>
  </si>
  <si>
    <t>(cniaWyifur cnwyilim)</t>
  </si>
  <si>
    <t>ބެހިފައިވާ ގޮތް އިން ސައްތައިން</t>
  </si>
  <si>
    <t>އިތުރުވި މިންވަރު</t>
  </si>
  <si>
    <t>Percentage Share</t>
  </si>
  <si>
    <t xml:space="preserve"> Note:  1_/  Data revised</t>
  </si>
  <si>
    <r>
      <t xml:space="preserve">ނޯޓް: </t>
    </r>
    <r>
      <rPr>
        <i/>
        <sz val="10"/>
        <color theme="1"/>
        <rFont val="Faruma"/>
      </rPr>
      <t>/_1</t>
    </r>
    <r>
      <rPr>
        <sz val="10"/>
        <color theme="1"/>
        <rFont val="Faruma"/>
      </rPr>
      <t xml:space="preserve">  އިސްލާޙުކުރެވިފައި</t>
    </r>
  </si>
  <si>
    <t xml:space="preserve"> 2_/  Comprises development expenditure financed from domestic sources and by foreign grants. </t>
  </si>
  <si>
    <t>Wsiawf EverukudwrwK cSwaIqcawrwt  cnegibil iawgutog egIhea Elih egurEb iaWncnEjcaWr Inenemih iawgiawbim 2_/</t>
  </si>
  <si>
    <t>Approved</t>
  </si>
  <si>
    <t xml:space="preserve">(*) - Indicates if the percentage change is greater than 100. </t>
  </si>
  <si>
    <t>އެހެނިހެން ޚަރަދު</t>
  </si>
  <si>
    <t>Grants</t>
  </si>
  <si>
    <t>Expense</t>
  </si>
  <si>
    <t>Compensation of employees</t>
  </si>
  <si>
    <t>Use of goods and services</t>
  </si>
  <si>
    <t>Interest</t>
  </si>
  <si>
    <t>Subsidies</t>
  </si>
  <si>
    <t>Social benefits</t>
  </si>
  <si>
    <t>Other expense</t>
  </si>
  <si>
    <t>Wages and salaries</t>
  </si>
  <si>
    <t>Social contributions</t>
  </si>
  <si>
    <t>To nonresidents</t>
  </si>
  <si>
    <t>To residents other than general government</t>
  </si>
  <si>
    <t>Social security benefits</t>
  </si>
  <si>
    <t>Social assistance benefits</t>
  </si>
  <si>
    <t>Employer social benefits</t>
  </si>
  <si>
    <t>ޚަރަދު</t>
  </si>
  <si>
    <t>މުވައްޒަފުނަނަށް ހިނގާ ޚަރަދު</t>
  </si>
  <si>
    <t>މުސާރައާއި އުޖޫރަ</t>
  </si>
  <si>
    <t>އޮފީސް ހިންގުމަށް ކުރާ ޚަރަދު</t>
  </si>
  <si>
    <t>ލޯނުގެ ހިދުމަތުގެ ޚަރަދު</t>
  </si>
  <si>
    <t>ބޭރުގެ ފަރާތްތަކަށް</t>
  </si>
  <si>
    <t>ރާއްޖޭގެ އަމިއްލަ ފަރާތްތަކަށް</t>
  </si>
  <si>
    <t>ސަރުކާރުންދޭ އެހީ އާއި އިޝްތިރާކާތް</t>
  </si>
  <si>
    <t>ކައުންސިލްތަކަށް ދޭ އެހީގެ ފައިސާ</t>
  </si>
  <si>
    <t>އެހެނިހެންގޮތްގޮތުން ދޭ އެހީގެ ފައިސާ</t>
  </si>
  <si>
    <t>މުވައްޒަފުންނަށް ދޭ އިޖުތިމާއީ އެހީތެރިކަން</t>
  </si>
  <si>
    <t>ސަބްސިޑީ</t>
  </si>
  <si>
    <t>މުވައްޒަފުންގެ އިޖުތިމާއީ ރައްކާތެރިކަމަށް ދޭ އެހީ</t>
  </si>
  <si>
    <t>އިޖުތިމާއީ ރައްކާތެރިކަމަށް ދޭ އެހީ</t>
  </si>
  <si>
    <t>2023-2024</t>
  </si>
  <si>
    <t>Source:  Ministry of Finance and Planning.</t>
  </si>
  <si>
    <t xml:space="preserve"> 3_/  Data prepared in accordance with GFS 2014.</t>
  </si>
  <si>
    <t>/_3 މައުލޫމާތު ތައްޔާރުކޮށްފައިވަނީ ޖީއެފްއެސް 2014 އާ އެއްގޮތްވާ ގޮތުގެ މަތިން.</t>
  </si>
  <si>
    <t>Table  13.4 :  SUMMARY OF CENTRAL GOVERNMENT EXPENDITURE, 2017 - 2027</t>
  </si>
  <si>
    <t xml:space="preserve"> gcninElcp cDcnea cscnEnif cfoa IrcTcsinim :ctWrwf ivcaedutWmUluAwm</t>
  </si>
  <si>
    <t>ތާވަލު 13.4: ދައުލަތުގެ ޚަރަދުގެ ޚުލާސާ، 2017 - 2027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</si>
</sst>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.00\ _ރ_._-;_-* #,##0.00\ _ރ_.\-;_-* &quot;-&quot;??\ _ރ_._-;_-@_-"/>
    <numFmt numFmtId="166" formatCode="General_)"/>
    <numFmt numFmtId="167" formatCode="#,##0.0"/>
    <numFmt numFmtId="168" formatCode="_(* #,##0.0_);_(* \(#,##0.0\);_(* &quot;-&quot;??_);_(@_)"/>
    <numFmt numFmtId="169" formatCode="0.0"/>
    <numFmt numFmtId="170" formatCode="#,##0.00\ ;&quot; (&quot;#,##0.00\);&quot; -&quot;#\ ;@\ "/>
    <numFmt numFmtId="173" formatCode="0.0%"/>
    <numFmt numFmtId="174" formatCode="0.00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S Sans Serif"/>
      <family val="2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b/>
      <i/>
      <strike/>
      <u/>
      <sz val="10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Faruma"/>
    </font>
    <font>
      <sz val="9"/>
      <color theme="1"/>
      <name val="Calibri"/>
      <family val="2"/>
      <scheme val="minor"/>
    </font>
    <font>
      <sz val="10"/>
      <color theme="1"/>
      <name val="Faruma"/>
    </font>
    <font>
      <i/>
      <sz val="9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b/>
      <sz val="12"/>
      <color theme="1"/>
      <name val="A_Faseyha"/>
    </font>
    <font>
      <sz val="10"/>
      <name val="Courier"/>
    </font>
    <font>
      <sz val="10"/>
      <name val="Helv"/>
    </font>
    <font>
      <sz val="12"/>
      <color theme="1"/>
      <name val="A_Faseyha"/>
    </font>
    <font>
      <b/>
      <sz val="10"/>
      <color theme="1"/>
      <name val="A_Faseyha"/>
    </font>
    <font>
      <sz val="10"/>
      <color theme="1"/>
      <name val="A_Faseyha"/>
    </font>
    <font>
      <i/>
      <sz val="10"/>
      <color theme="1"/>
      <name val="Faruma"/>
    </font>
    <font>
      <b/>
      <sz val="10"/>
      <color theme="1"/>
      <name val="Faruma"/>
    </font>
    <font>
      <sz val="12"/>
      <color theme="1"/>
      <name val="Century Gothic"/>
      <family val="2"/>
    </font>
    <font>
      <b/>
      <i/>
      <sz val="16"/>
      <name val="Helv"/>
    </font>
    <font>
      <b/>
      <sz val="10"/>
      <name val="TimesNewRomanPS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i/>
      <sz val="10"/>
      <color theme="1"/>
      <name val="Cambria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1" tint="4.9989318521683403E-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theme="1" tint="4.9989318521683403E-2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0" fontId="6" fillId="0" borderId="0"/>
    <xf numFmtId="170" fontId="6" fillId="0" borderId="0"/>
    <xf numFmtId="0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9" fontId="1" fillId="0" borderId="0" applyFont="0" applyFill="0" applyBorder="0" applyAlignment="0" applyProtection="0"/>
    <xf numFmtId="169" fontId="20" fillId="0" borderId="0"/>
    <xf numFmtId="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9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74" fontId="28" fillId="0" borderId="0"/>
    <xf numFmtId="1" fontId="29" fillId="0" borderId="15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1" fillId="0" borderId="0"/>
    <xf numFmtId="40" fontId="21" fillId="0" borderId="0" applyFont="0" applyFill="0" applyBorder="0" applyAlignment="0" applyProtection="0"/>
    <xf numFmtId="0" fontId="21" fillId="0" borderId="0"/>
    <xf numFmtId="0" fontId="2" fillId="0" borderId="0"/>
    <xf numFmtId="0" fontId="2" fillId="0" borderId="0"/>
    <xf numFmtId="1" fontId="29" fillId="0" borderId="15" applyNumberFormat="0"/>
    <xf numFmtId="0" fontId="1" fillId="0" borderId="0"/>
    <xf numFmtId="0" fontId="21" fillId="0" borderId="0"/>
    <xf numFmtId="0" fontId="6" fillId="0" borderId="0" applyFill="0" applyProtection="0"/>
    <xf numFmtId="1" fontId="29" fillId="0" borderId="15" applyNumberFormat="0"/>
    <xf numFmtId="43" fontId="1" fillId="0" borderId="0" applyFont="0" applyFill="0" applyBorder="0" applyAlignment="0" applyProtection="0"/>
    <xf numFmtId="0" fontId="1" fillId="0" borderId="0"/>
    <xf numFmtId="0" fontId="30" fillId="0" borderId="0"/>
    <xf numFmtId="0" fontId="31" fillId="0" borderId="0"/>
    <xf numFmtId="0" fontId="30" fillId="0" borderId="0"/>
    <xf numFmtId="0" fontId="1" fillId="0" borderId="0"/>
    <xf numFmtId="0" fontId="21" fillId="0" borderId="0"/>
    <xf numFmtId="0" fontId="6" fillId="0" borderId="0" applyFill="0" applyProtection="0"/>
  </cellStyleXfs>
  <cellXfs count="93">
    <xf numFmtId="0" fontId="0" fillId="0" borderId="0" xfId="0"/>
    <xf numFmtId="166" fontId="9" fillId="2" borderId="0" xfId="2" applyNumberFormat="1" applyFont="1" applyFill="1" applyAlignment="1" applyProtection="1">
      <alignment horizontal="right" vertical="center"/>
      <protection locked="0"/>
    </xf>
    <xf numFmtId="166" fontId="9" fillId="2" borderId="2" xfId="2" applyNumberFormat="1" applyFont="1" applyFill="1" applyBorder="1" applyAlignment="1">
      <alignment horizontal="right" vertical="center"/>
    </xf>
    <xf numFmtId="166" fontId="5" fillId="2" borderId="0" xfId="2" applyNumberFormat="1" applyFont="1" applyFill="1" applyAlignment="1" applyProtection="1">
      <alignment horizontal="right" vertical="center"/>
      <protection locked="0"/>
    </xf>
    <xf numFmtId="166" fontId="5" fillId="2" borderId="1" xfId="2" applyNumberFormat="1" applyFont="1" applyFill="1" applyBorder="1" applyAlignment="1">
      <alignment horizontal="right" vertical="center"/>
    </xf>
    <xf numFmtId="166" fontId="15" fillId="2" borderId="0" xfId="2" applyNumberFormat="1" applyFont="1" applyFill="1" applyAlignment="1">
      <alignment vertical="center"/>
    </xf>
    <xf numFmtId="166" fontId="8" fillId="2" borderId="0" xfId="2" applyNumberFormat="1" applyFont="1" applyFill="1" applyAlignment="1">
      <alignment vertical="center"/>
    </xf>
    <xf numFmtId="166" fontId="17" fillId="2" borderId="0" xfId="2" applyNumberFormat="1" applyFont="1" applyFill="1" applyAlignment="1">
      <alignment vertical="center"/>
    </xf>
    <xf numFmtId="166" fontId="14" fillId="2" borderId="0" xfId="2" applyNumberFormat="1" applyFont="1" applyFill="1" applyAlignment="1">
      <alignment horizontal="left" vertical="center"/>
    </xf>
    <xf numFmtId="166" fontId="8" fillId="2" borderId="0" xfId="2" applyNumberFormat="1" applyFont="1" applyFill="1" applyAlignment="1">
      <alignment horizontal="center" vertical="center"/>
    </xf>
    <xf numFmtId="37" fontId="12" fillId="2" borderId="0" xfId="2" applyNumberFormat="1" applyFont="1" applyFill="1" applyAlignment="1">
      <alignment vertical="center"/>
    </xf>
    <xf numFmtId="166" fontId="8" fillId="2" borderId="3" xfId="2" applyNumberFormat="1" applyFont="1" applyFill="1" applyBorder="1" applyAlignment="1">
      <alignment horizontal="center" vertical="center"/>
    </xf>
    <xf numFmtId="166" fontId="9" fillId="2" borderId="0" xfId="2" applyNumberFormat="1" applyFont="1" applyFill="1" applyAlignment="1">
      <alignment horizontal="left" vertical="center"/>
    </xf>
    <xf numFmtId="167" fontId="9" fillId="2" borderId="0" xfId="2" applyNumberFormat="1" applyFont="1" applyFill="1" applyAlignment="1" applyProtection="1">
      <alignment horizontal="right" vertical="center"/>
      <protection locked="0"/>
    </xf>
    <xf numFmtId="169" fontId="12" fillId="2" borderId="0" xfId="2" applyNumberFormat="1" applyFont="1" applyFill="1" applyAlignment="1">
      <alignment horizontal="right" vertical="center"/>
    </xf>
    <xf numFmtId="169" fontId="17" fillId="2" borderId="0" xfId="2" applyNumberFormat="1" applyFont="1" applyFill="1" applyAlignment="1">
      <alignment horizontal="right" vertical="center"/>
    </xf>
    <xf numFmtId="1" fontId="17" fillId="2" borderId="0" xfId="2" applyNumberFormat="1" applyFont="1" applyFill="1" applyAlignment="1">
      <alignment vertical="center"/>
    </xf>
    <xf numFmtId="169" fontId="15" fillId="2" borderId="0" xfId="2" applyNumberFormat="1" applyFont="1" applyFill="1" applyAlignment="1">
      <alignment horizontal="right" vertical="center"/>
    </xf>
    <xf numFmtId="1" fontId="15" fillId="2" borderId="0" xfId="2" applyNumberFormat="1" applyFont="1" applyFill="1" applyAlignment="1">
      <alignment vertical="center"/>
    </xf>
    <xf numFmtId="169" fontId="11" fillId="2" borderId="3" xfId="2" applyNumberFormat="1" applyFont="1" applyFill="1" applyBorder="1" applyAlignment="1" applyProtection="1">
      <alignment horizontal="center" vertical="center"/>
      <protection hidden="1"/>
    </xf>
    <xf numFmtId="166" fontId="9" fillId="2" borderId="0" xfId="2" applyNumberFormat="1" applyFont="1" applyFill="1" applyAlignment="1" applyProtection="1">
      <alignment horizontal="center" vertical="center"/>
      <protection locked="0"/>
    </xf>
    <xf numFmtId="166" fontId="9" fillId="2" borderId="9" xfId="2" applyNumberFormat="1" applyFont="1" applyFill="1" applyBorder="1" applyAlignment="1">
      <alignment horizontal="center" vertical="center"/>
    </xf>
    <xf numFmtId="166" fontId="11" fillId="2" borderId="10" xfId="2" applyNumberFormat="1" applyFont="1" applyFill="1" applyBorder="1" applyAlignment="1">
      <alignment horizontal="center" vertical="center" wrapText="1"/>
    </xf>
    <xf numFmtId="166" fontId="9" fillId="2" borderId="11" xfId="2" applyNumberFormat="1" applyFont="1" applyFill="1" applyBorder="1" applyAlignment="1" applyProtection="1">
      <alignment horizontal="center" vertical="center" wrapText="1"/>
      <protection locked="0"/>
    </xf>
    <xf numFmtId="166" fontId="11" fillId="2" borderId="6" xfId="2" applyNumberFormat="1" applyFont="1" applyFill="1" applyBorder="1" applyAlignment="1">
      <alignment horizontal="center" vertical="center" wrapText="1"/>
    </xf>
    <xf numFmtId="169" fontId="11" fillId="2" borderId="3" xfId="2" applyNumberFormat="1" applyFont="1" applyFill="1" applyBorder="1" applyAlignment="1" applyProtection="1">
      <alignment horizontal="center" vertical="center" wrapText="1"/>
      <protection hidden="1"/>
    </xf>
    <xf numFmtId="166" fontId="9" fillId="2" borderId="7" xfId="2" applyNumberFormat="1" applyFont="1" applyFill="1" applyBorder="1" applyAlignment="1" applyProtection="1">
      <alignment horizontal="center" vertical="center" wrapText="1"/>
      <protection locked="0"/>
    </xf>
    <xf numFmtId="166" fontId="14" fillId="2" borderId="0" xfId="2" applyNumberFormat="1" applyFont="1" applyFill="1" applyAlignment="1">
      <alignment vertical="center"/>
    </xf>
    <xf numFmtId="167" fontId="9" fillId="2" borderId="8" xfId="2" applyNumberFormat="1" applyFont="1" applyFill="1" applyBorder="1" applyAlignment="1" applyProtection="1">
      <alignment horizontal="center" vertical="center"/>
      <protection locked="0"/>
    </xf>
    <xf numFmtId="167" fontId="12" fillId="2" borderId="8" xfId="2" applyNumberFormat="1" applyFont="1" applyFill="1" applyBorder="1" applyAlignment="1" applyProtection="1">
      <alignment horizontal="center" vertical="center"/>
      <protection locked="0"/>
    </xf>
    <xf numFmtId="1" fontId="13" fillId="2" borderId="0" xfId="2" applyNumberFormat="1" applyFont="1" applyFill="1" applyAlignment="1">
      <alignment horizontal="right" vertical="center"/>
    </xf>
    <xf numFmtId="166" fontId="14" fillId="2" borderId="0" xfId="2" applyNumberFormat="1" applyFont="1" applyFill="1" applyAlignment="1">
      <alignment horizontal="left" vertical="center" indent="4"/>
    </xf>
    <xf numFmtId="173" fontId="8" fillId="2" borderId="0" xfId="11" applyNumberFormat="1" applyFont="1" applyFill="1" applyAlignment="1">
      <alignment vertical="center"/>
    </xf>
    <xf numFmtId="166" fontId="23" fillId="2" borderId="0" xfId="2" applyNumberFormat="1" applyFont="1" applyFill="1" applyAlignment="1">
      <alignment horizontal="right" vertical="center"/>
    </xf>
    <xf numFmtId="166" fontId="24" fillId="2" borderId="0" xfId="2" applyNumberFormat="1" applyFont="1" applyFill="1" applyAlignment="1">
      <alignment horizontal="right" vertical="center"/>
    </xf>
    <xf numFmtId="166" fontId="19" fillId="2" borderId="3" xfId="2" applyNumberFormat="1" applyFont="1" applyFill="1" applyBorder="1" applyAlignment="1">
      <alignment horizontal="center" vertical="center"/>
    </xf>
    <xf numFmtId="166" fontId="9" fillId="2" borderId="4" xfId="2" applyNumberFormat="1" applyFont="1" applyFill="1" applyBorder="1" applyAlignment="1" applyProtection="1">
      <alignment horizontal="center" vertical="center" wrapText="1"/>
      <protection locked="0"/>
    </xf>
    <xf numFmtId="166" fontId="9" fillId="2" borderId="13" xfId="2" applyNumberFormat="1" applyFont="1" applyFill="1" applyBorder="1" applyAlignment="1">
      <alignment horizontal="center" vertical="center"/>
    </xf>
    <xf numFmtId="169" fontId="9" fillId="2" borderId="12" xfId="2" applyNumberFormat="1" applyFont="1" applyFill="1" applyBorder="1" applyAlignment="1" applyProtection="1">
      <alignment horizontal="center" vertical="center"/>
      <protection locked="0"/>
    </xf>
    <xf numFmtId="169" fontId="9" fillId="2" borderId="0" xfId="1" applyNumberFormat="1" applyFont="1" applyFill="1" applyBorder="1" applyAlignment="1" applyProtection="1">
      <alignment horizontal="right" vertical="center" indent="3"/>
    </xf>
    <xf numFmtId="167" fontId="9" fillId="2" borderId="4" xfId="2" applyNumberFormat="1" applyFont="1" applyFill="1" applyBorder="1" applyAlignment="1" applyProtection="1">
      <alignment horizontal="center" vertical="center"/>
      <protection locked="0"/>
    </xf>
    <xf numFmtId="1" fontId="23" fillId="2" borderId="2" xfId="2" applyNumberFormat="1" applyFont="1" applyFill="1" applyBorder="1" applyAlignment="1">
      <alignment vertical="center"/>
    </xf>
    <xf numFmtId="166" fontId="24" fillId="2" borderId="0" xfId="2" applyNumberFormat="1" applyFont="1" applyFill="1" applyAlignment="1">
      <alignment horizontal="right" vertical="center" indent="3"/>
    </xf>
    <xf numFmtId="166" fontId="8" fillId="2" borderId="10" xfId="2" applyNumberFormat="1" applyFont="1" applyFill="1" applyBorder="1" applyAlignment="1">
      <alignment horizontal="center" vertical="center"/>
    </xf>
    <xf numFmtId="167" fontId="12" fillId="2" borderId="0" xfId="2" applyNumberFormat="1" applyFont="1" applyFill="1" applyAlignment="1" applyProtection="1">
      <alignment horizontal="right" vertical="center"/>
      <protection locked="0"/>
    </xf>
    <xf numFmtId="166" fontId="9" fillId="2" borderId="2" xfId="2" applyNumberFormat="1" applyFont="1" applyFill="1" applyBorder="1" applyAlignment="1">
      <alignment horizontal="left" vertical="center"/>
    </xf>
    <xf numFmtId="166" fontId="8" fillId="2" borderId="2" xfId="2" applyNumberFormat="1" applyFont="1" applyFill="1" applyBorder="1" applyAlignment="1">
      <alignment vertical="center"/>
    </xf>
    <xf numFmtId="166" fontId="26" fillId="2" borderId="0" xfId="2" applyNumberFormat="1" applyFont="1" applyFill="1" applyAlignment="1">
      <alignment horizontal="right" vertical="center"/>
    </xf>
    <xf numFmtId="168" fontId="12" fillId="2" borderId="0" xfId="1" applyNumberFormat="1" applyFont="1" applyFill="1" applyAlignment="1" applyProtection="1">
      <alignment horizontal="right" vertical="center"/>
      <protection locked="0"/>
    </xf>
    <xf numFmtId="167" fontId="13" fillId="2" borderId="0" xfId="2" applyNumberFormat="1" applyFont="1" applyFill="1" applyAlignment="1">
      <alignment horizontal="right" vertical="center" indent="1"/>
    </xf>
    <xf numFmtId="166" fontId="12" fillId="2" borderId="0" xfId="2" applyNumberFormat="1" applyFont="1" applyFill="1" applyAlignment="1">
      <alignment horizontal="left" vertical="center" indent="1"/>
    </xf>
    <xf numFmtId="167" fontId="9" fillId="2" borderId="2" xfId="2" applyNumberFormat="1" applyFont="1" applyFill="1" applyBorder="1" applyAlignment="1" applyProtection="1">
      <alignment horizontal="right" vertical="center"/>
      <protection locked="0"/>
    </xf>
    <xf numFmtId="166" fontId="9" fillId="2" borderId="0" xfId="2" applyNumberFormat="1" applyFont="1" applyFill="1" applyAlignment="1">
      <alignment horizontal="left" vertical="center" wrapText="1"/>
    </xf>
    <xf numFmtId="168" fontId="9" fillId="2" borderId="0" xfId="1" applyNumberFormat="1" applyFont="1" applyFill="1" applyAlignment="1" applyProtection="1">
      <alignment vertical="center"/>
      <protection locked="0"/>
    </xf>
    <xf numFmtId="168" fontId="9" fillId="2" borderId="0" xfId="1" applyNumberFormat="1" applyFont="1" applyFill="1" applyBorder="1" applyAlignment="1" applyProtection="1">
      <alignment horizontal="center" vertical="center"/>
      <protection locked="0"/>
    </xf>
    <xf numFmtId="168" fontId="9" fillId="2" borderId="0" xfId="1" applyNumberFormat="1" applyFont="1" applyFill="1" applyAlignment="1" applyProtection="1">
      <alignment horizontal="right" vertical="center"/>
      <protection locked="0"/>
    </xf>
    <xf numFmtId="168" fontId="9" fillId="2" borderId="0" xfId="1" applyNumberFormat="1" applyFont="1" applyFill="1" applyBorder="1" applyAlignment="1" applyProtection="1">
      <alignment horizontal="right" vertical="center"/>
      <protection locked="0"/>
    </xf>
    <xf numFmtId="168" fontId="9" fillId="2" borderId="0" xfId="1" applyNumberFormat="1" applyFont="1" applyFill="1" applyAlignment="1">
      <alignment horizontal="right" vertical="center"/>
    </xf>
    <xf numFmtId="168" fontId="9" fillId="2" borderId="0" xfId="1" applyNumberFormat="1" applyFont="1" applyFill="1" applyBorder="1" applyAlignment="1">
      <alignment horizontal="right" vertical="center"/>
    </xf>
    <xf numFmtId="168" fontId="12" fillId="2" borderId="0" xfId="1" applyNumberFormat="1" applyFont="1" applyFill="1" applyBorder="1" applyAlignment="1" applyProtection="1">
      <alignment horizontal="right" vertical="center"/>
      <protection locked="0"/>
    </xf>
    <xf numFmtId="168" fontId="9" fillId="2" borderId="0" xfId="1" applyNumberFormat="1" applyFont="1" applyFill="1" applyBorder="1" applyAlignment="1" applyProtection="1">
      <alignment vertical="center"/>
      <protection locked="0"/>
    </xf>
    <xf numFmtId="168" fontId="9" fillId="2" borderId="2" xfId="1" applyNumberFormat="1" applyFont="1" applyFill="1" applyBorder="1" applyAlignment="1" applyProtection="1">
      <alignment horizontal="right" vertical="center"/>
      <protection locked="0"/>
    </xf>
    <xf numFmtId="167" fontId="9" fillId="2" borderId="5" xfId="2" applyNumberFormat="1" applyFont="1" applyFill="1" applyBorder="1" applyAlignment="1" applyProtection="1">
      <alignment horizontal="center" vertical="center"/>
      <protection locked="0"/>
    </xf>
    <xf numFmtId="167" fontId="9" fillId="2" borderId="9" xfId="2" applyNumberFormat="1" applyFont="1" applyFill="1" applyBorder="1" applyAlignment="1" applyProtection="1">
      <alignment horizontal="center" vertical="center"/>
      <protection locked="0"/>
    </xf>
    <xf numFmtId="0" fontId="8" fillId="2" borderId="0" xfId="2" applyFont="1" applyFill="1" applyAlignment="1">
      <alignment horizontal="center" vertical="center"/>
    </xf>
    <xf numFmtId="0" fontId="16" fillId="2" borderId="0" xfId="2" applyFont="1" applyFill="1" applyAlignment="1">
      <alignment horizontal="center" vertical="center"/>
    </xf>
    <xf numFmtId="167" fontId="13" fillId="2" borderId="0" xfId="2" applyNumberFormat="1" applyFont="1" applyFill="1" applyAlignment="1">
      <alignment horizontal="right" vertical="center"/>
    </xf>
    <xf numFmtId="167" fontId="26" fillId="2" borderId="0" xfId="2" applyNumberFormat="1" applyFont="1" applyFill="1" applyAlignment="1">
      <alignment horizontal="right" vertical="center" indent="1"/>
    </xf>
    <xf numFmtId="167" fontId="26" fillId="2" borderId="0" xfId="2" applyNumberFormat="1" applyFont="1" applyFill="1" applyAlignment="1">
      <alignment horizontal="right" vertical="center"/>
    </xf>
    <xf numFmtId="167" fontId="26" fillId="2" borderId="2" xfId="2" applyNumberFormat="1" applyFont="1" applyFill="1" applyBorder="1" applyAlignment="1">
      <alignment horizontal="right" vertical="center"/>
    </xf>
    <xf numFmtId="167" fontId="13" fillId="2" borderId="0" xfId="2" applyNumberFormat="1" applyFont="1" applyFill="1" applyAlignment="1">
      <alignment horizontal="left" vertical="center" indent="7"/>
    </xf>
    <xf numFmtId="166" fontId="5" fillId="2" borderId="2" xfId="2" applyNumberFormat="1" applyFont="1" applyFill="1" applyBorder="1" applyAlignment="1">
      <alignment horizontal="right" vertical="center"/>
    </xf>
    <xf numFmtId="168" fontId="9" fillId="2" borderId="0" xfId="1" applyNumberFormat="1" applyFont="1" applyFill="1" applyAlignment="1">
      <alignment vertical="center"/>
    </xf>
    <xf numFmtId="168" fontId="12" fillId="2" borderId="0" xfId="1" applyNumberFormat="1" applyFont="1" applyFill="1" applyAlignment="1">
      <alignment vertical="center"/>
    </xf>
    <xf numFmtId="169" fontId="9" fillId="2" borderId="2" xfId="1" applyNumberFormat="1" applyFont="1" applyFill="1" applyBorder="1" applyAlignment="1" applyProtection="1">
      <alignment horizontal="right" vertical="center" indent="3"/>
    </xf>
    <xf numFmtId="166" fontId="24" fillId="2" borderId="0" xfId="2" applyNumberFormat="1" applyFont="1" applyFill="1" applyAlignment="1">
      <alignment horizontal="right" vertical="center" indent="3" readingOrder="2"/>
    </xf>
    <xf numFmtId="166" fontId="5" fillId="2" borderId="14" xfId="2" applyNumberFormat="1" applyFont="1" applyFill="1" applyBorder="1" applyAlignment="1">
      <alignment horizontal="right" vertical="center"/>
    </xf>
    <xf numFmtId="166" fontId="5" fillId="2" borderId="8" xfId="2" applyNumberFormat="1" applyFont="1" applyFill="1" applyBorder="1" applyAlignment="1" applyProtection="1">
      <alignment horizontal="right" vertical="center"/>
      <protection locked="0"/>
    </xf>
    <xf numFmtId="168" fontId="9" fillId="2" borderId="0" xfId="1" applyNumberFormat="1" applyFont="1" applyFill="1" applyBorder="1" applyAlignment="1">
      <alignment vertical="center"/>
    </xf>
    <xf numFmtId="168" fontId="9" fillId="2" borderId="8" xfId="1" applyNumberFormat="1" applyFont="1" applyFill="1" applyBorder="1" applyAlignment="1">
      <alignment vertical="center"/>
    </xf>
    <xf numFmtId="168" fontId="12" fillId="2" borderId="0" xfId="1" applyNumberFormat="1" applyFont="1" applyFill="1" applyBorder="1" applyAlignment="1">
      <alignment vertical="center"/>
    </xf>
    <xf numFmtId="168" fontId="12" fillId="2" borderId="8" xfId="1" applyNumberFormat="1" applyFont="1" applyFill="1" applyBorder="1" applyAlignment="1">
      <alignment vertical="center"/>
    </xf>
    <xf numFmtId="168" fontId="12" fillId="2" borderId="8" xfId="1" applyNumberFormat="1" applyFont="1" applyFill="1" applyBorder="1" applyAlignment="1" applyProtection="1">
      <alignment horizontal="right" vertical="center"/>
      <protection locked="0"/>
    </xf>
    <xf numFmtId="168" fontId="9" fillId="2" borderId="8" xfId="1" applyNumberFormat="1" applyFont="1" applyFill="1" applyBorder="1" applyAlignment="1" applyProtection="1">
      <alignment horizontal="right" vertical="center"/>
      <protection locked="0"/>
    </xf>
    <xf numFmtId="168" fontId="9" fillId="2" borderId="8" xfId="1" applyNumberFormat="1" applyFont="1" applyFill="1" applyBorder="1" applyAlignment="1" applyProtection="1">
      <alignment horizontal="center" vertical="center"/>
      <protection locked="0"/>
    </xf>
    <xf numFmtId="168" fontId="9" fillId="2" borderId="9" xfId="1" applyNumberFormat="1" applyFont="1" applyFill="1" applyBorder="1" applyAlignment="1" applyProtection="1">
      <alignment horizontal="right" vertical="center"/>
      <protection locked="0"/>
    </xf>
    <xf numFmtId="0" fontId="32" fillId="2" borderId="0" xfId="44" applyFont="1" applyFill="1" applyAlignment="1">
      <alignment horizontal="left" vertical="center"/>
    </xf>
    <xf numFmtId="167" fontId="12" fillId="2" borderId="4" xfId="2" applyNumberFormat="1" applyFont="1" applyFill="1" applyBorder="1" applyAlignment="1" applyProtection="1">
      <alignment horizontal="center" vertical="center"/>
      <protection locked="0"/>
    </xf>
    <xf numFmtId="169" fontId="12" fillId="2" borderId="0" xfId="1" applyNumberFormat="1" applyFont="1" applyFill="1" applyBorder="1" applyAlignment="1" applyProtection="1">
      <alignment horizontal="right" vertical="center" indent="3"/>
    </xf>
    <xf numFmtId="166" fontId="10" fillId="2" borderId="0" xfId="2" applyNumberFormat="1" applyFont="1" applyFill="1" applyAlignment="1">
      <alignment horizontal="center" vertical="center"/>
    </xf>
    <xf numFmtId="166" fontId="19" fillId="2" borderId="0" xfId="2" applyNumberFormat="1" applyFont="1" applyFill="1" applyAlignment="1">
      <alignment horizontal="center" vertical="center"/>
    </xf>
    <xf numFmtId="166" fontId="22" fillId="2" borderId="0" xfId="2" applyNumberFormat="1" applyFont="1" applyFill="1" applyAlignment="1">
      <alignment horizontal="center" vertical="center" wrapText="1"/>
    </xf>
    <xf numFmtId="166" fontId="9" fillId="2" borderId="2" xfId="2" applyNumberFormat="1" applyFont="1" applyFill="1" applyBorder="1" applyAlignment="1">
      <alignment horizontal="center" vertical="center"/>
    </xf>
  </cellXfs>
  <cellStyles count="59">
    <cellStyle name="1" xfId="28" xr:uid="{00000000-0005-0000-0000-000000000000}"/>
    <cellStyle name="Comma" xfId="1" builtinId="3"/>
    <cellStyle name="Comma 12" xfId="23" xr:uid="{00000000-0005-0000-0000-000002000000}"/>
    <cellStyle name="Comma 2" xfId="6" xr:uid="{00000000-0005-0000-0000-000003000000}"/>
    <cellStyle name="Comma 2 2" xfId="42" xr:uid="{00000000-0005-0000-0000-000004000000}"/>
    <cellStyle name="Comma 2 2 2 5" xfId="51" xr:uid="{00000000-0005-0000-0000-000005000000}"/>
    <cellStyle name="Comma 3" xfId="7" xr:uid="{00000000-0005-0000-0000-000006000000}"/>
    <cellStyle name="Comma 3 2" xfId="18" xr:uid="{00000000-0005-0000-0000-000007000000}"/>
    <cellStyle name="Comma 3 3" xfId="29" xr:uid="{00000000-0005-0000-0000-000008000000}"/>
    <cellStyle name="Comma 4" xfId="3" xr:uid="{00000000-0005-0000-0000-000009000000}"/>
    <cellStyle name="Comma 4 2" xfId="15" xr:uid="{00000000-0005-0000-0000-00000A000000}"/>
    <cellStyle name="Comma 5" xfId="13" xr:uid="{00000000-0005-0000-0000-00000B000000}"/>
    <cellStyle name="Comma 6" xfId="9" xr:uid="{00000000-0005-0000-0000-00000C000000}"/>
    <cellStyle name="Comma 6 2" xfId="19" xr:uid="{00000000-0005-0000-0000-00000D000000}"/>
    <cellStyle name="Comma 7" xfId="17" xr:uid="{00000000-0005-0000-0000-00000E000000}"/>
    <cellStyle name="Comma 8" xfId="21" xr:uid="{00000000-0005-0000-0000-00000F000000}"/>
    <cellStyle name="Excel Built-in Comma" xfId="5" xr:uid="{00000000-0005-0000-0000-000010000000}"/>
    <cellStyle name="Excel Built-in Normal" xfId="4" xr:uid="{00000000-0005-0000-0000-000011000000}"/>
    <cellStyle name="Normal" xfId="0" builtinId="0"/>
    <cellStyle name="Normal - Style1" xfId="30" xr:uid="{00000000-0005-0000-0000-000013000000}"/>
    <cellStyle name="Normal 10" xfId="36" xr:uid="{00000000-0005-0000-0000-000014000000}"/>
    <cellStyle name="Normal 11" xfId="48" xr:uid="{00000000-0005-0000-0000-000015000000}"/>
    <cellStyle name="Normal 12" xfId="50" xr:uid="{00000000-0005-0000-0000-000016000000}"/>
    <cellStyle name="Normal 2" xfId="10" xr:uid="{00000000-0005-0000-0000-000017000000}"/>
    <cellStyle name="Normal 2 2" xfId="14" xr:uid="{00000000-0005-0000-0000-000018000000}"/>
    <cellStyle name="Normal 2 2 2" xfId="43" xr:uid="{00000000-0005-0000-0000-000019000000}"/>
    <cellStyle name="Normal 2 2 3" xfId="45" xr:uid="{00000000-0005-0000-0000-00001A000000}"/>
    <cellStyle name="Normal 2 2 4" xfId="31" xr:uid="{00000000-0005-0000-0000-00001B000000}"/>
    <cellStyle name="Normal 2 3" xfId="47" xr:uid="{00000000-0005-0000-0000-00001C000000}"/>
    <cellStyle name="Normal 2 3 2" xfId="58" xr:uid="{00000000-0005-0000-0000-00001D000000}"/>
    <cellStyle name="Normal 2 4" xfId="49" xr:uid="{00000000-0005-0000-0000-00001E000000}"/>
    <cellStyle name="Normal 2 5" xfId="53" xr:uid="{00000000-0005-0000-0000-00001F000000}"/>
    <cellStyle name="Normal 2 6" xfId="24" xr:uid="{00000000-0005-0000-0000-000020000000}"/>
    <cellStyle name="Normal 3" xfId="12" xr:uid="{00000000-0005-0000-0000-000021000000}"/>
    <cellStyle name="Normal 3 2" xfId="46" xr:uid="{00000000-0005-0000-0000-000022000000}"/>
    <cellStyle name="Normal 3 2 2" xfId="55" xr:uid="{00000000-0005-0000-0000-000023000000}"/>
    <cellStyle name="Normal 3 3" xfId="32" xr:uid="{00000000-0005-0000-0000-000024000000}"/>
    <cellStyle name="Normal 4" xfId="8" xr:uid="{00000000-0005-0000-0000-000025000000}"/>
    <cellStyle name="Normal 4 2" xfId="33" xr:uid="{00000000-0005-0000-0000-000026000000}"/>
    <cellStyle name="Normal 4 2 2" xfId="38" xr:uid="{00000000-0005-0000-0000-000027000000}"/>
    <cellStyle name="Normal 4 3" xfId="54" xr:uid="{00000000-0005-0000-0000-000028000000}"/>
    <cellStyle name="Normal 4 4" xfId="37" xr:uid="{00000000-0005-0000-0000-000029000000}"/>
    <cellStyle name="Normal 5" xfId="20" xr:uid="{00000000-0005-0000-0000-00002A000000}"/>
    <cellStyle name="Normal 5 2" xfId="26" xr:uid="{00000000-0005-0000-0000-00002B000000}"/>
    <cellStyle name="Normal 5 3" xfId="52" xr:uid="{00000000-0005-0000-0000-00002C000000}"/>
    <cellStyle name="Normal 5 4" xfId="34" xr:uid="{00000000-0005-0000-0000-00002D000000}"/>
    <cellStyle name="Normal 6" xfId="39" xr:uid="{00000000-0005-0000-0000-00002E000000}"/>
    <cellStyle name="Normal 6 2" xfId="56" xr:uid="{00000000-0005-0000-0000-00002F000000}"/>
    <cellStyle name="Normal 7" xfId="40" xr:uid="{00000000-0005-0000-0000-000030000000}"/>
    <cellStyle name="Normal 7 2" xfId="57" xr:uid="{00000000-0005-0000-0000-000031000000}"/>
    <cellStyle name="Normal 8" xfId="41" xr:uid="{00000000-0005-0000-0000-000032000000}"/>
    <cellStyle name="Normal 9" xfId="27" xr:uid="{00000000-0005-0000-0000-000033000000}"/>
    <cellStyle name="Normal_13 Public Finance_done" xfId="2" xr:uid="{00000000-0005-0000-0000-000034000000}"/>
    <cellStyle name="Normal_Quick data" xfId="44" xr:uid="{00000000-0005-0000-0000-000035000000}"/>
    <cellStyle name="Percent" xfId="11" builtinId="5"/>
    <cellStyle name="Percent 2" xfId="16" xr:uid="{00000000-0005-0000-0000-000038000000}"/>
    <cellStyle name="Percent 2 2" xfId="25" xr:uid="{00000000-0005-0000-0000-000039000000}"/>
    <cellStyle name="Percent 2 3" xfId="35" xr:uid="{00000000-0005-0000-0000-00003A000000}"/>
    <cellStyle name="Percent 3" xfId="22" xr:uid="{00000000-0005-0000-0000-00003B000000}"/>
  </cellStyles>
  <dxfs count="0"/>
  <tableStyles count="0" defaultTableStyle="TableStyleMedium9" defaultPivotStyle="PivotStyleLight16"/>
  <colors>
    <mruColors>
      <color rgb="FFFDEADA"/>
      <color rgb="FFEBF1DE"/>
      <color rgb="FFFBC99F"/>
      <color rgb="FFF5EADF"/>
      <color rgb="FFFAC090"/>
      <color rgb="FF996633"/>
      <color rgb="FFCC6600"/>
      <color rgb="FF6C3600"/>
      <color rgb="FFFCD5B5"/>
      <color rgb="FF7DDF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T33"/>
  <sheetViews>
    <sheetView tabSelected="1" zoomScaleNormal="100" zoomScaleSheetLayoutView="100" workbookViewId="0">
      <pane xSplit="1" topLeftCell="B1" activePane="topRight" state="frozen"/>
      <selection pane="topRight" activeCell="S8" sqref="S8"/>
    </sheetView>
  </sheetViews>
  <sheetFormatPr defaultColWidth="9.140625" defaultRowHeight="12.75"/>
  <cols>
    <col min="1" max="1" width="40.85546875" style="5" customWidth="1"/>
    <col min="2" max="6" width="9.28515625" style="5" customWidth="1"/>
    <col min="7" max="7" width="9.140625" style="5" bestFit="1" customWidth="1"/>
    <col min="8" max="10" width="9.5703125" style="5" bestFit="1" customWidth="1"/>
    <col min="11" max="12" width="9.5703125" style="5" customWidth="1"/>
    <col min="13" max="13" width="2.28515625" style="5" customWidth="1"/>
    <col min="14" max="14" width="13" style="5" customWidth="1"/>
    <col min="15" max="15" width="1" style="5" customWidth="1"/>
    <col min="16" max="16" width="12.140625" style="17" customWidth="1"/>
    <col min="17" max="17" width="2.5703125" style="17" customWidth="1"/>
    <col min="18" max="18" width="38.140625" style="18" customWidth="1"/>
    <col min="19" max="19" width="9.140625" style="5"/>
    <col min="20" max="20" width="9.140625" style="65"/>
    <col min="21" max="16384" width="9.140625" style="5"/>
  </cols>
  <sheetData>
    <row r="1" spans="1:20" ht="18.75">
      <c r="A1" s="90" t="s">
        <v>52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20" ht="15">
      <c r="A2" s="89" t="s">
        <v>50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</row>
    <row r="3" spans="1:20" ht="18.75">
      <c r="A3" s="91" t="s">
        <v>6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</row>
    <row r="4" spans="1:20">
      <c r="A4" s="92" t="s">
        <v>0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</row>
    <row r="5" spans="1:20" ht="29.25" customHeight="1">
      <c r="A5" s="9"/>
      <c r="B5" s="9"/>
      <c r="C5" s="9"/>
      <c r="D5" s="9"/>
      <c r="E5" s="11"/>
      <c r="F5" s="11"/>
      <c r="G5" s="11"/>
      <c r="H5" s="11"/>
      <c r="I5" s="43"/>
      <c r="J5" s="9"/>
      <c r="K5" s="9"/>
      <c r="L5" s="9"/>
      <c r="M5" s="9"/>
      <c r="N5" s="24" t="s">
        <v>7</v>
      </c>
      <c r="O5" s="22"/>
      <c r="P5" s="25" t="s">
        <v>8</v>
      </c>
      <c r="Q5" s="19"/>
      <c r="R5" s="35"/>
    </row>
    <row r="6" spans="1:20" s="6" customFormat="1" ht="24">
      <c r="A6" s="12" t="s">
        <v>1</v>
      </c>
      <c r="B6" s="3" t="s">
        <v>3</v>
      </c>
      <c r="C6" s="3" t="s">
        <v>3</v>
      </c>
      <c r="D6" s="3" t="s">
        <v>3</v>
      </c>
      <c r="E6" s="3" t="s">
        <v>3</v>
      </c>
      <c r="F6" s="3" t="s">
        <v>3</v>
      </c>
      <c r="G6" s="3" t="s">
        <v>3</v>
      </c>
      <c r="H6" s="3" t="s">
        <v>3</v>
      </c>
      <c r="I6" s="77" t="s">
        <v>3</v>
      </c>
      <c r="J6" s="3" t="s">
        <v>4</v>
      </c>
      <c r="K6" s="3" t="s">
        <v>4</v>
      </c>
      <c r="L6" s="3" t="s">
        <v>14</v>
      </c>
      <c r="M6" s="1"/>
      <c r="N6" s="26" t="s">
        <v>9</v>
      </c>
      <c r="O6" s="23"/>
      <c r="P6" s="36" t="s">
        <v>5</v>
      </c>
      <c r="Q6" s="20"/>
      <c r="R6" s="33" t="s">
        <v>2</v>
      </c>
      <c r="T6" s="64"/>
    </row>
    <row r="7" spans="1:20" s="6" customFormat="1" ht="15.75">
      <c r="A7" s="45"/>
      <c r="B7" s="4">
        <v>2017</v>
      </c>
      <c r="C7" s="4">
        <v>2018</v>
      </c>
      <c r="D7" s="4">
        <v>2019</v>
      </c>
      <c r="E7" s="4">
        <v>2020</v>
      </c>
      <c r="F7" s="4">
        <v>2021</v>
      </c>
      <c r="G7" s="4">
        <v>2022</v>
      </c>
      <c r="H7" s="4">
        <v>2023</v>
      </c>
      <c r="I7" s="76">
        <v>2024</v>
      </c>
      <c r="J7" s="4">
        <v>2025</v>
      </c>
      <c r="K7" s="4">
        <v>2026</v>
      </c>
      <c r="L7" s="71">
        <v>2027</v>
      </c>
      <c r="M7" s="2"/>
      <c r="N7" s="37">
        <v>2024</v>
      </c>
      <c r="O7" s="21"/>
      <c r="P7" s="38" t="s">
        <v>46</v>
      </c>
      <c r="Q7" s="46"/>
      <c r="R7" s="41"/>
      <c r="T7" s="64"/>
    </row>
    <row r="8" spans="1:20" s="6" customFormat="1" ht="21" customHeight="1">
      <c r="A8" s="12" t="s">
        <v>18</v>
      </c>
      <c r="B8" s="55">
        <v>14992.023142</v>
      </c>
      <c r="C8" s="55">
        <v>18328.295645999999</v>
      </c>
      <c r="D8" s="55">
        <v>21383.981932999999</v>
      </c>
      <c r="E8" s="55">
        <v>20320.759587</v>
      </c>
      <c r="F8" s="56">
        <v>24071.266126999999</v>
      </c>
      <c r="G8" s="72">
        <v>28180.935936000002</v>
      </c>
      <c r="H8" s="78">
        <v>32306.638602999999</v>
      </c>
      <c r="I8" s="79">
        <v>34940.084476000004</v>
      </c>
      <c r="J8" s="72">
        <v>37155.423157999998</v>
      </c>
      <c r="K8" s="72">
        <v>38231.993864999997</v>
      </c>
      <c r="L8" s="72">
        <v>38606.537061000003</v>
      </c>
      <c r="M8" s="13"/>
      <c r="N8" s="40">
        <f>I8/$I$8*100</f>
        <v>100</v>
      </c>
      <c r="O8" s="28"/>
      <c r="P8" s="39">
        <f>+(I8-H8)/H8*100</f>
        <v>8.151407843326238</v>
      </c>
      <c r="R8" s="47" t="s">
        <v>32</v>
      </c>
      <c r="S8" s="32"/>
      <c r="T8" s="64"/>
    </row>
    <row r="9" spans="1:20" s="6" customFormat="1" ht="21" customHeight="1">
      <c r="A9" s="12" t="s">
        <v>19</v>
      </c>
      <c r="B9" s="55">
        <v>7499.5055840000005</v>
      </c>
      <c r="C9" s="57">
        <v>8260.7605469999999</v>
      </c>
      <c r="D9" s="57">
        <v>8901.6940109999996</v>
      </c>
      <c r="E9" s="57">
        <v>8842.7456110000003</v>
      </c>
      <c r="F9" s="58">
        <v>9300.2195699999993</v>
      </c>
      <c r="G9" s="72">
        <v>10019.676957</v>
      </c>
      <c r="H9" s="78">
        <v>10923.270525</v>
      </c>
      <c r="I9" s="79">
        <v>12415.121983000001</v>
      </c>
      <c r="J9" s="72">
        <v>15004.058703999999</v>
      </c>
      <c r="K9" s="72">
        <v>15919.673972000001</v>
      </c>
      <c r="L9" s="72">
        <v>16399.722579000001</v>
      </c>
      <c r="M9" s="13"/>
      <c r="N9" s="40">
        <f t="shared" ref="N9:N22" si="0">I9/$I$8*100</f>
        <v>35.532604368852702</v>
      </c>
      <c r="O9" s="28"/>
      <c r="P9" s="39">
        <f t="shared" ref="P9:P22" si="1">+(I9-H9)/H9*100</f>
        <v>13.65755296992428</v>
      </c>
      <c r="R9" s="47" t="s">
        <v>33</v>
      </c>
      <c r="T9" s="64"/>
    </row>
    <row r="10" spans="1:20" s="7" customFormat="1" ht="21" customHeight="1">
      <c r="A10" s="50" t="s">
        <v>25</v>
      </c>
      <c r="B10" s="48">
        <v>7289.7864689999997</v>
      </c>
      <c r="C10" s="48">
        <v>8040.9678519999998</v>
      </c>
      <c r="D10" s="48">
        <v>8665.052694</v>
      </c>
      <c r="E10" s="48">
        <v>8615.7547840000007</v>
      </c>
      <c r="F10" s="59">
        <v>9065.2809689999995</v>
      </c>
      <c r="G10" s="73">
        <v>9761.1350829999992</v>
      </c>
      <c r="H10" s="80">
        <v>10636.534044</v>
      </c>
      <c r="I10" s="81">
        <v>12074.932996</v>
      </c>
      <c r="J10" s="73">
        <v>14618.297076999999</v>
      </c>
      <c r="K10" s="73">
        <v>15533.527947</v>
      </c>
      <c r="L10" s="73">
        <v>16011.756724000001</v>
      </c>
      <c r="M10" s="44"/>
      <c r="N10" s="87">
        <f t="shared" si="0"/>
        <v>34.558969095493033</v>
      </c>
      <c r="O10" s="29"/>
      <c r="P10" s="88">
        <f t="shared" si="1"/>
        <v>13.523192292242895</v>
      </c>
      <c r="R10" s="66" t="s">
        <v>34</v>
      </c>
      <c r="T10" s="64"/>
    </row>
    <row r="11" spans="1:20" s="7" customFormat="1" ht="21" customHeight="1">
      <c r="A11" s="50" t="s">
        <v>26</v>
      </c>
      <c r="B11" s="48">
        <v>209.71911499999999</v>
      </c>
      <c r="C11" s="48">
        <v>219.79269500000001</v>
      </c>
      <c r="D11" s="48">
        <v>236.64131699999999</v>
      </c>
      <c r="E11" s="48">
        <v>226.990827</v>
      </c>
      <c r="F11" s="59">
        <v>234.93860100000001</v>
      </c>
      <c r="G11" s="59">
        <v>258.54187400000001</v>
      </c>
      <c r="H11" s="59">
        <v>286.73648100000003</v>
      </c>
      <c r="I11" s="82">
        <v>340.188987</v>
      </c>
      <c r="J11" s="59">
        <v>385.76162699999998</v>
      </c>
      <c r="K11" s="59">
        <v>386.14602500000001</v>
      </c>
      <c r="L11" s="59">
        <v>387.96585499999998</v>
      </c>
      <c r="M11" s="44"/>
      <c r="N11" s="87">
        <f t="shared" si="0"/>
        <v>0.97363527335966349</v>
      </c>
      <c r="O11" s="29"/>
      <c r="P11" s="88">
        <f t="shared" si="1"/>
        <v>18.641683058110754</v>
      </c>
      <c r="R11" s="49" t="s">
        <v>42</v>
      </c>
      <c r="T11" s="64"/>
    </row>
    <row r="12" spans="1:20" s="6" customFormat="1" ht="18.75">
      <c r="A12" s="12" t="s">
        <v>20</v>
      </c>
      <c r="B12" s="55">
        <v>2910.8360510000002</v>
      </c>
      <c r="C12" s="55">
        <v>3770.7117159999998</v>
      </c>
      <c r="D12" s="55">
        <v>4272.9974709999997</v>
      </c>
      <c r="E12" s="55">
        <v>3478.4966239999999</v>
      </c>
      <c r="F12" s="56">
        <v>4654.1686879999997</v>
      </c>
      <c r="G12" s="56">
        <v>4219.6350750000001</v>
      </c>
      <c r="H12" s="56">
        <v>4816.0212510000001</v>
      </c>
      <c r="I12" s="79">
        <v>4767.5471369999996</v>
      </c>
      <c r="J12" s="72">
        <v>5623.7108420000004</v>
      </c>
      <c r="K12" s="72">
        <v>6095.2055479999999</v>
      </c>
      <c r="L12" s="72">
        <v>5969.5297229999996</v>
      </c>
      <c r="M12" s="13"/>
      <c r="N12" s="40">
        <f t="shared" si="0"/>
        <v>13.644921609376132</v>
      </c>
      <c r="O12" s="28"/>
      <c r="P12" s="39">
        <f t="shared" si="1"/>
        <v>-1.0065178593208113</v>
      </c>
      <c r="R12" s="67" t="s">
        <v>35</v>
      </c>
      <c r="T12" s="64"/>
    </row>
    <row r="13" spans="1:20" s="6" customFormat="1" ht="18.75">
      <c r="A13" s="12" t="s">
        <v>21</v>
      </c>
      <c r="B13" s="55">
        <v>1096.946659</v>
      </c>
      <c r="C13" s="55">
        <v>1440.2569269999999</v>
      </c>
      <c r="D13" s="55">
        <v>1540.813124</v>
      </c>
      <c r="E13" s="55">
        <v>1603.859134</v>
      </c>
      <c r="F13" s="56">
        <v>2104.4655419999999</v>
      </c>
      <c r="G13" s="56">
        <v>3452.422247</v>
      </c>
      <c r="H13" s="56">
        <v>4195.2461110000004</v>
      </c>
      <c r="I13" s="83">
        <v>4668.6130800000001</v>
      </c>
      <c r="J13" s="56">
        <v>5550.1191989999998</v>
      </c>
      <c r="K13" s="56">
        <v>5499.1671889999998</v>
      </c>
      <c r="L13" s="56">
        <v>5392.8070470000002</v>
      </c>
      <c r="M13" s="13"/>
      <c r="N13" s="40">
        <f t="shared" si="0"/>
        <v>13.361768152583672</v>
      </c>
      <c r="O13" s="28"/>
      <c r="P13" s="39">
        <f t="shared" si="1"/>
        <v>11.28341357039398</v>
      </c>
      <c r="R13" s="67" t="s">
        <v>36</v>
      </c>
      <c r="T13" s="64"/>
    </row>
    <row r="14" spans="1:20" s="7" customFormat="1" ht="18.75">
      <c r="A14" s="50" t="s">
        <v>27</v>
      </c>
      <c r="B14" s="48">
        <v>186.929496</v>
      </c>
      <c r="C14" s="48">
        <v>505.16703699999999</v>
      </c>
      <c r="D14" s="48">
        <v>624.492615</v>
      </c>
      <c r="E14" s="48">
        <v>531.97743700000001</v>
      </c>
      <c r="F14" s="59">
        <v>984.38957200000004</v>
      </c>
      <c r="G14" s="59">
        <v>1603.07645</v>
      </c>
      <c r="H14" s="59">
        <v>1572.2461290000001</v>
      </c>
      <c r="I14" s="81">
        <v>1764.670541</v>
      </c>
      <c r="J14" s="73">
        <v>2105.8396929999999</v>
      </c>
      <c r="K14" s="73">
        <v>1920.8172589999999</v>
      </c>
      <c r="L14" s="73">
        <v>1613.6068029999999</v>
      </c>
      <c r="M14" s="44"/>
      <c r="N14" s="87">
        <f t="shared" si="0"/>
        <v>5.0505617472451583</v>
      </c>
      <c r="O14" s="29"/>
      <c r="P14" s="88">
        <f t="shared" si="1"/>
        <v>12.23882243694173</v>
      </c>
      <c r="R14" s="49" t="s">
        <v>37</v>
      </c>
      <c r="T14" s="64"/>
    </row>
    <row r="15" spans="1:20" s="7" customFormat="1" ht="18.75">
      <c r="A15" s="50" t="s">
        <v>28</v>
      </c>
      <c r="B15" s="48">
        <v>910.01716299999998</v>
      </c>
      <c r="C15" s="48">
        <v>935.08988999999997</v>
      </c>
      <c r="D15" s="48">
        <v>916.32050900000002</v>
      </c>
      <c r="E15" s="48">
        <v>1071.881697</v>
      </c>
      <c r="F15" s="59">
        <v>1120.0759700000001</v>
      </c>
      <c r="G15" s="59">
        <v>1849.3457969999999</v>
      </c>
      <c r="H15" s="59">
        <v>2622.9999819999998</v>
      </c>
      <c r="I15" s="81">
        <v>2903.9425390000001</v>
      </c>
      <c r="J15" s="73">
        <v>3444.2795059999999</v>
      </c>
      <c r="K15" s="73">
        <v>3578.3499299999999</v>
      </c>
      <c r="L15" s="73">
        <v>3779.2002440000001</v>
      </c>
      <c r="M15" s="44"/>
      <c r="N15" s="87">
        <f t="shared" si="0"/>
        <v>8.3112064053385151</v>
      </c>
      <c r="O15" s="29"/>
      <c r="P15" s="88">
        <f t="shared" si="1"/>
        <v>10.71073423286056</v>
      </c>
      <c r="R15" s="49" t="s">
        <v>38</v>
      </c>
      <c r="T15" s="64"/>
    </row>
    <row r="16" spans="1:20" s="6" customFormat="1" ht="18.75">
      <c r="A16" s="12" t="s">
        <v>22</v>
      </c>
      <c r="B16" s="55">
        <v>287.527469</v>
      </c>
      <c r="C16" s="55">
        <v>595.08640200000002</v>
      </c>
      <c r="D16" s="55">
        <v>789.54117199999996</v>
      </c>
      <c r="E16" s="55">
        <v>1084.421182</v>
      </c>
      <c r="F16" s="56">
        <v>1434.8469680000001</v>
      </c>
      <c r="G16" s="56">
        <v>3717.950613</v>
      </c>
      <c r="H16" s="56">
        <v>3880.7529800000002</v>
      </c>
      <c r="I16" s="79">
        <v>3915.6088549999999</v>
      </c>
      <c r="J16" s="72">
        <v>1859.6179360000001</v>
      </c>
      <c r="K16" s="72">
        <v>904.57204000000002</v>
      </c>
      <c r="L16" s="72">
        <v>832.41058099999998</v>
      </c>
      <c r="M16" s="13"/>
      <c r="N16" s="40">
        <f t="shared" si="0"/>
        <v>11.206638202862941</v>
      </c>
      <c r="O16" s="28"/>
      <c r="P16" s="39">
        <f t="shared" si="1"/>
        <v>0.89817298806789148</v>
      </c>
      <c r="R16" s="67" t="s">
        <v>43</v>
      </c>
      <c r="T16" s="64"/>
    </row>
    <row r="17" spans="1:20" s="6" customFormat="1" ht="22.5" customHeight="1">
      <c r="A17" s="52" t="s">
        <v>17</v>
      </c>
      <c r="B17" s="55">
        <v>0</v>
      </c>
      <c r="C17" s="53">
        <v>31.390172</v>
      </c>
      <c r="D17" s="53">
        <v>126.25328399999999</v>
      </c>
      <c r="E17" s="60">
        <v>947.21775000000002</v>
      </c>
      <c r="F17" s="60">
        <v>1404.986257</v>
      </c>
      <c r="G17" s="54">
        <v>1652.053416</v>
      </c>
      <c r="H17" s="54">
        <v>1941.177316</v>
      </c>
      <c r="I17" s="84">
        <v>2249.9736699999999</v>
      </c>
      <c r="J17" s="54">
        <v>2146.8474849999998</v>
      </c>
      <c r="K17" s="54">
        <v>2507.8056120000001</v>
      </c>
      <c r="L17" s="54">
        <v>2650.4189670000001</v>
      </c>
      <c r="M17" s="54"/>
      <c r="N17" s="40">
        <f t="shared" si="0"/>
        <v>6.4395198344339555</v>
      </c>
      <c r="O17" s="28"/>
      <c r="P17" s="39">
        <f t="shared" si="1"/>
        <v>15.907684035598932</v>
      </c>
      <c r="R17" s="67" t="s">
        <v>40</v>
      </c>
      <c r="T17" s="64"/>
    </row>
    <row r="18" spans="1:20" s="6" customFormat="1" ht="18.75">
      <c r="A18" s="12" t="s">
        <v>23</v>
      </c>
      <c r="B18" s="55">
        <v>2532.629355</v>
      </c>
      <c r="C18" s="55">
        <v>3272.8302210000002</v>
      </c>
      <c r="D18" s="55">
        <v>3120.7742629999998</v>
      </c>
      <c r="E18" s="55">
        <v>3219.747805</v>
      </c>
      <c r="F18" s="56">
        <v>3936.9809780000001</v>
      </c>
      <c r="G18" s="56">
        <v>4258.8344559999996</v>
      </c>
      <c r="H18" s="56">
        <v>5095.5205999999998</v>
      </c>
      <c r="I18" s="83">
        <v>5664.0294180000001</v>
      </c>
      <c r="J18" s="56">
        <v>4644.27495</v>
      </c>
      <c r="K18" s="56">
        <v>4687.9367949999996</v>
      </c>
      <c r="L18" s="56">
        <v>4778.5060370000001</v>
      </c>
      <c r="M18" s="13"/>
      <c r="N18" s="40">
        <f t="shared" si="0"/>
        <v>16.210691825575193</v>
      </c>
      <c r="O18" s="28"/>
      <c r="P18" s="39">
        <f t="shared" si="1"/>
        <v>11.157031099040211</v>
      </c>
      <c r="R18" s="68" t="s">
        <v>39</v>
      </c>
      <c r="T18" s="64"/>
    </row>
    <row r="19" spans="1:20" s="6" customFormat="1" ht="18.75">
      <c r="A19" s="50" t="s">
        <v>29</v>
      </c>
      <c r="B19" s="48">
        <v>538.01226299999996</v>
      </c>
      <c r="C19" s="48">
        <v>546.00995899999998</v>
      </c>
      <c r="D19" s="48">
        <v>1014.447769</v>
      </c>
      <c r="E19" s="48">
        <v>1128.900484</v>
      </c>
      <c r="F19" s="59">
        <v>1195.919574</v>
      </c>
      <c r="G19" s="59">
        <v>1266.2141079999999</v>
      </c>
      <c r="H19" s="59">
        <v>1338.292424</v>
      </c>
      <c r="I19" s="82">
        <v>1420.21957</v>
      </c>
      <c r="J19" s="59">
        <v>1157.978717</v>
      </c>
      <c r="K19" s="59">
        <v>1217.452902</v>
      </c>
      <c r="L19" s="59">
        <v>1278.142151</v>
      </c>
      <c r="M19" s="44"/>
      <c r="N19" s="87">
        <f t="shared" si="0"/>
        <v>4.0647284953633545</v>
      </c>
      <c r="O19" s="29"/>
      <c r="P19" s="88">
        <f t="shared" si="1"/>
        <v>6.1217671512425742</v>
      </c>
      <c r="R19" s="49" t="s">
        <v>45</v>
      </c>
      <c r="T19" s="64"/>
    </row>
    <row r="20" spans="1:20" s="7" customFormat="1" ht="18.75">
      <c r="A20" s="50" t="s">
        <v>30</v>
      </c>
      <c r="B20" s="48">
        <v>1383.9713879999999</v>
      </c>
      <c r="C20" s="48">
        <v>2072.4884889999998</v>
      </c>
      <c r="D20" s="48">
        <v>1856.5159550000001</v>
      </c>
      <c r="E20" s="48">
        <v>1984.288622</v>
      </c>
      <c r="F20" s="59">
        <v>2548.064687</v>
      </c>
      <c r="G20" s="59">
        <v>2745.8239359999998</v>
      </c>
      <c r="H20" s="59">
        <v>3430.219306</v>
      </c>
      <c r="I20" s="81">
        <v>3908.8554479999998</v>
      </c>
      <c r="J20" s="73">
        <v>3241.8444829999999</v>
      </c>
      <c r="K20" s="73">
        <v>3225.9060439999998</v>
      </c>
      <c r="L20" s="73">
        <v>3255.7125809999998</v>
      </c>
      <c r="M20" s="44"/>
      <c r="N20" s="87">
        <f t="shared" si="0"/>
        <v>11.187309666308774</v>
      </c>
      <c r="O20" s="29"/>
      <c r="P20" s="88">
        <f t="shared" si="1"/>
        <v>13.953514317955968</v>
      </c>
      <c r="R20" s="49" t="s">
        <v>41</v>
      </c>
      <c r="T20" s="64"/>
    </row>
    <row r="21" spans="1:20" s="7" customFormat="1" ht="18.75">
      <c r="A21" s="50" t="s">
        <v>31</v>
      </c>
      <c r="B21" s="59">
        <v>610.64570400000002</v>
      </c>
      <c r="C21" s="59">
        <v>654.331773</v>
      </c>
      <c r="D21" s="59">
        <v>249.81053900000001</v>
      </c>
      <c r="E21" s="59">
        <v>106.558699</v>
      </c>
      <c r="F21" s="59">
        <v>192.99671699999999</v>
      </c>
      <c r="G21" s="59">
        <v>246.796412</v>
      </c>
      <c r="H21" s="59">
        <v>327.00887</v>
      </c>
      <c r="I21" s="82">
        <v>334.95440000000002</v>
      </c>
      <c r="J21" s="59">
        <v>244.45175</v>
      </c>
      <c r="K21" s="59">
        <v>244.57784899999999</v>
      </c>
      <c r="L21" s="59">
        <v>244.65130500000001</v>
      </c>
      <c r="M21" s="44"/>
      <c r="N21" s="87">
        <f t="shared" si="0"/>
        <v>0.95865366390306495</v>
      </c>
      <c r="O21" s="29"/>
      <c r="P21" s="88">
        <f t="shared" si="1"/>
        <v>2.429759779910563</v>
      </c>
      <c r="R21" s="70" t="s">
        <v>44</v>
      </c>
      <c r="T21" s="64"/>
    </row>
    <row r="22" spans="1:20" s="6" customFormat="1" ht="18.75">
      <c r="A22" s="45" t="s">
        <v>24</v>
      </c>
      <c r="B22" s="61">
        <v>664.57802400000003</v>
      </c>
      <c r="C22" s="61">
        <v>957.25966100000005</v>
      </c>
      <c r="D22" s="61">
        <v>2631.9086080000002</v>
      </c>
      <c r="E22" s="61">
        <v>1144.271481</v>
      </c>
      <c r="F22" s="61">
        <v>1235.5981240000001</v>
      </c>
      <c r="G22" s="61">
        <v>860.36317199999996</v>
      </c>
      <c r="H22" s="61">
        <v>1454.6498200000001</v>
      </c>
      <c r="I22" s="85">
        <v>1259.190333</v>
      </c>
      <c r="J22" s="61">
        <v>2326.794042</v>
      </c>
      <c r="K22" s="61">
        <v>2617.632709</v>
      </c>
      <c r="L22" s="61">
        <v>2583.1421270000001</v>
      </c>
      <c r="M22" s="51"/>
      <c r="N22" s="62">
        <f t="shared" si="0"/>
        <v>3.6038560063153979</v>
      </c>
      <c r="O22" s="63"/>
      <c r="P22" s="74">
        <f t="shared" si="1"/>
        <v>-13.436875618628275</v>
      </c>
      <c r="Q22" s="46"/>
      <c r="R22" s="69" t="s">
        <v>16</v>
      </c>
      <c r="T22" s="64"/>
    </row>
    <row r="23" spans="1:20" ht="12" customHeight="1">
      <c r="A23" s="27" t="s">
        <v>10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15"/>
      <c r="R23" s="30" t="s">
        <v>11</v>
      </c>
      <c r="T23" s="64"/>
    </row>
    <row r="24" spans="1:20" s="7" customFormat="1" ht="15.75" customHeight="1">
      <c r="A24" s="31" t="s">
        <v>12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4"/>
      <c r="Q24" s="14"/>
      <c r="R24" s="42" t="s">
        <v>13</v>
      </c>
      <c r="T24" s="64"/>
    </row>
    <row r="25" spans="1:20" s="7" customFormat="1" ht="15.75" customHeight="1">
      <c r="A25" s="31" t="s">
        <v>48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4"/>
      <c r="Q25" s="14"/>
      <c r="R25" s="75" t="s">
        <v>49</v>
      </c>
      <c r="T25" s="64"/>
    </row>
    <row r="26" spans="1:20" s="7" customFormat="1" ht="14.25" customHeight="1">
      <c r="A26" s="86" t="s">
        <v>15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4"/>
      <c r="Q26" s="14"/>
      <c r="R26" s="34" t="s">
        <v>51</v>
      </c>
      <c r="T26" s="64"/>
    </row>
    <row r="27" spans="1:20" s="7" customFormat="1" ht="12">
      <c r="A27" s="8" t="s">
        <v>47</v>
      </c>
      <c r="P27" s="15"/>
      <c r="Q27" s="15"/>
      <c r="R27" s="16"/>
      <c r="T27" s="64"/>
    </row>
    <row r="28" spans="1:20" s="7" customFormat="1" ht="12">
      <c r="P28" s="15"/>
      <c r="Q28" s="15"/>
      <c r="R28" s="16"/>
      <c r="T28" s="64"/>
    </row>
    <row r="29" spans="1:20" s="7" customFormat="1" ht="12">
      <c r="P29" s="15"/>
      <c r="Q29" s="15"/>
      <c r="R29" s="16"/>
      <c r="T29" s="64"/>
    </row>
    <row r="30" spans="1:20" s="7" customFormat="1" ht="12">
      <c r="P30" s="15"/>
      <c r="Q30" s="15"/>
      <c r="R30" s="16"/>
      <c r="T30" s="64"/>
    </row>
    <row r="31" spans="1:20" s="7" customFormat="1" ht="12">
      <c r="P31" s="15"/>
      <c r="Q31" s="15"/>
      <c r="R31" s="16"/>
      <c r="T31" s="64"/>
    </row>
    <row r="32" spans="1:20" s="7" customFormat="1" ht="12">
      <c r="P32" s="15"/>
      <c r="Q32" s="15"/>
      <c r="R32" s="16"/>
      <c r="T32" s="64"/>
    </row>
    <row r="33" spans="16:20" s="7" customFormat="1" ht="12">
      <c r="P33" s="15"/>
      <c r="Q33" s="15"/>
      <c r="R33" s="16"/>
      <c r="T33" s="64"/>
    </row>
  </sheetData>
  <mergeCells count="4">
    <mergeCell ref="A1:R1"/>
    <mergeCell ref="A2:R2"/>
    <mergeCell ref="A3:R3"/>
    <mergeCell ref="A4:R4"/>
  </mergeCells>
  <pageMargins left="0.17" right="0.16" top="0.35" bottom="0.27" header="0.17" footer="0.17"/>
  <pageSetup paperSize="9" scale="67" orientation="landscape" horizontalDpi="4294967295" verticalDpi="4294967295" r:id="rId1"/>
  <colBreaks count="1" manualBreakCount="1">
    <brk id="18" max="1048575" man="1"/>
  </colBreaks>
  <customProperties>
    <customPr name="_pios_id" r:id="rId2"/>
    <customPr name="EpmWorksheetKeyString_GUID" r:id="rId3"/>
  </customProperties>
  <ignoredErrors>
    <ignoredError sqref="O10:O11 M11 O8 O18:O22 M18:M22 O17 M17 O12:O16 M12:M16 N8:N22" unlocked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7DC9D39BAE724F85A1474AC8C92FD3" ma:contentTypeVersion="12" ma:contentTypeDescription="Create a new document." ma:contentTypeScope="" ma:versionID="ddf961073f13a059aafd10dd57e81137">
  <xsd:schema xmlns:xsd="http://www.w3.org/2001/XMLSchema" xmlns:xs="http://www.w3.org/2001/XMLSchema" xmlns:p="http://schemas.microsoft.com/office/2006/metadata/properties" xmlns:ns3="1593d9c1-a9f6-478d-a576-b0943b39c604" xmlns:ns4="1916c6aa-fa20-4fca-8349-5fbeea1bc483" targetNamespace="http://schemas.microsoft.com/office/2006/metadata/properties" ma:root="true" ma:fieldsID="f7905aefecda01ffe934984932a8a6d2" ns3:_="" ns4:_="">
    <xsd:import namespace="1593d9c1-a9f6-478d-a576-b0943b39c604"/>
    <xsd:import namespace="1916c6aa-fa20-4fca-8349-5fbeea1bc483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3d9c1-a9f6-478d-a576-b0943b39c60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6c6aa-fa20-4fca-8349-5fbeea1bc4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650295-2D2D-4185-9F87-A8013C75F15B}">
  <ds:schemaRefs>
    <ds:schemaRef ds:uri="http://purl.org/dc/terms/"/>
    <ds:schemaRef ds:uri="1593d9c1-a9f6-478d-a576-b0943b39c604"/>
    <ds:schemaRef ds:uri="http://schemas.microsoft.com/office/infopath/2007/PartnerControls"/>
    <ds:schemaRef ds:uri="http://www.w3.org/XML/1998/namespace"/>
    <ds:schemaRef ds:uri="http://purl.org/dc/elements/1.1/"/>
    <ds:schemaRef ds:uri="1916c6aa-fa20-4fca-8349-5fbeea1bc483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28C741E-629C-40C3-A399-FDE3A4E33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93d9c1-a9f6-478d-a576-b0943b39c604"/>
    <ds:schemaRef ds:uri="1916c6aa-fa20-4fca-8349-5fbeea1bc4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4048A6-D847-4D7F-8D3A-6E928B052D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13.4</vt:lpstr>
      <vt:lpstr>'13.4'!Print_Area</vt:lpstr>
    </vt:vector>
  </TitlesOfParts>
  <Manager/>
  <Company>Department of National Planning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f.shifaza</dc:creator>
  <cp:keywords/>
  <dc:description/>
  <cp:lastModifiedBy>Fathimath Shifaza</cp:lastModifiedBy>
  <cp:revision/>
  <cp:lastPrinted>2025-07-17T03:07:58Z</cp:lastPrinted>
  <dcterms:created xsi:type="dcterms:W3CDTF">2014-03-06T08:38:12Z</dcterms:created>
  <dcterms:modified xsi:type="dcterms:W3CDTF">2025-07-17T03:08:06Z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0x010100707DC9D39BAE724F85A1474AC8C92FD3</vt:lpwstr>
  </property>
</Properties>
</file>