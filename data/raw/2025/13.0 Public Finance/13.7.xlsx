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950AAAF1-C7D6-43D9-92D6-ACC6A5B7EE67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7" sheetId="32" r:id="rId1"/>
  </sheets>
  <definedNames>
    <definedName name="_xlnm._FilterDatabase" localSheetId="0" hidden="1">'13.7'!$A$9:$X$162</definedName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'13.7'!$A$1:$L$163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2" l="1"/>
  <c r="C23" i="32"/>
  <c r="D23" i="32"/>
  <c r="E23" i="32"/>
  <c r="F23" i="32"/>
  <c r="G23" i="32"/>
  <c r="H23" i="32"/>
  <c r="I23" i="32"/>
  <c r="J23" i="32"/>
  <c r="K23" i="32"/>
  <c r="L23" i="32"/>
  <c r="B23" i="32"/>
  <c r="C25" i="32"/>
  <c r="D25" i="32"/>
  <c r="E25" i="32"/>
  <c r="F25" i="32"/>
  <c r="G25" i="32"/>
  <c r="H25" i="32"/>
  <c r="I25" i="32"/>
  <c r="J25" i="32"/>
  <c r="K25" i="32"/>
  <c r="L25" i="32"/>
  <c r="B25" i="32"/>
  <c r="C29" i="32"/>
  <c r="D29" i="32"/>
  <c r="E29" i="32"/>
  <c r="F29" i="32"/>
  <c r="G29" i="32"/>
  <c r="H29" i="32"/>
  <c r="I29" i="32"/>
  <c r="J29" i="32"/>
  <c r="K29" i="32"/>
  <c r="L29" i="32"/>
  <c r="B29" i="32"/>
  <c r="C31" i="32"/>
  <c r="D31" i="32"/>
  <c r="E31" i="32"/>
  <c r="F31" i="32"/>
  <c r="G31" i="32"/>
  <c r="H31" i="32"/>
  <c r="I31" i="32"/>
  <c r="J31" i="32"/>
  <c r="K31" i="32"/>
  <c r="L31" i="32"/>
  <c r="B31" i="32"/>
  <c r="C36" i="32"/>
  <c r="D36" i="32"/>
  <c r="E36" i="32"/>
  <c r="F36" i="32"/>
  <c r="G36" i="32"/>
  <c r="H36" i="32"/>
  <c r="I36" i="32"/>
  <c r="J36" i="32"/>
  <c r="K36" i="32"/>
  <c r="L36" i="32"/>
  <c r="B36" i="32"/>
  <c r="C38" i="32"/>
  <c r="D38" i="32"/>
  <c r="E38" i="32"/>
  <c r="F38" i="32"/>
  <c r="G38" i="32"/>
  <c r="H38" i="32"/>
  <c r="I38" i="32"/>
  <c r="J38" i="32"/>
  <c r="K38" i="32"/>
  <c r="L38" i="32"/>
  <c r="B38" i="32"/>
  <c r="C41" i="32"/>
  <c r="D41" i="32"/>
  <c r="E41" i="32"/>
  <c r="F41" i="32"/>
  <c r="G41" i="32"/>
  <c r="H41" i="32"/>
  <c r="I41" i="32"/>
  <c r="J41" i="32"/>
  <c r="K41" i="32"/>
  <c r="L41" i="32"/>
  <c r="B41" i="32"/>
  <c r="C49" i="32"/>
  <c r="D49" i="32"/>
  <c r="E49" i="32"/>
  <c r="F49" i="32"/>
  <c r="G49" i="32"/>
  <c r="H49" i="32"/>
  <c r="I49" i="32"/>
  <c r="J49" i="32"/>
  <c r="K49" i="32"/>
  <c r="L49" i="32"/>
  <c r="B49" i="32"/>
  <c r="C52" i="32"/>
  <c r="D52" i="32"/>
  <c r="E52" i="32"/>
  <c r="F52" i="32"/>
  <c r="G52" i="32"/>
  <c r="H52" i="32"/>
  <c r="I52" i="32"/>
  <c r="J52" i="32"/>
  <c r="K52" i="32"/>
  <c r="L52" i="32"/>
  <c r="B52" i="32"/>
  <c r="C88" i="32"/>
  <c r="D88" i="32"/>
  <c r="E88" i="32"/>
  <c r="F88" i="32"/>
  <c r="G88" i="32"/>
  <c r="H88" i="32"/>
  <c r="I88" i="32"/>
  <c r="J88" i="32"/>
  <c r="K88" i="32"/>
  <c r="L88" i="32"/>
  <c r="B88" i="32"/>
  <c r="C93" i="32"/>
  <c r="D93" i="32"/>
  <c r="E93" i="32"/>
  <c r="F93" i="32"/>
  <c r="G93" i="32"/>
  <c r="H93" i="32"/>
  <c r="I93" i="32"/>
  <c r="J93" i="32"/>
  <c r="K93" i="32"/>
  <c r="L93" i="32"/>
  <c r="B93" i="32"/>
  <c r="C96" i="32"/>
  <c r="D96" i="32"/>
  <c r="E96" i="32"/>
  <c r="F96" i="32"/>
  <c r="G96" i="32"/>
  <c r="H96" i="32"/>
  <c r="I96" i="32"/>
  <c r="J96" i="32"/>
  <c r="K96" i="32"/>
  <c r="L96" i="32"/>
  <c r="B96" i="32"/>
  <c r="C106" i="32"/>
  <c r="D106" i="32"/>
  <c r="E106" i="32"/>
  <c r="F106" i="32"/>
  <c r="G106" i="32"/>
  <c r="H106" i="32"/>
  <c r="I106" i="32"/>
  <c r="J106" i="32"/>
  <c r="K106" i="32"/>
  <c r="L106" i="32"/>
  <c r="B106" i="32"/>
  <c r="C109" i="32"/>
  <c r="D109" i="32"/>
  <c r="E109" i="32"/>
  <c r="F109" i="32"/>
  <c r="G109" i="32"/>
  <c r="H109" i="32"/>
  <c r="I109" i="32"/>
  <c r="J109" i="32"/>
  <c r="K109" i="32"/>
  <c r="L109" i="32"/>
  <c r="B109" i="32"/>
  <c r="C123" i="32"/>
  <c r="D123" i="32"/>
  <c r="E123" i="32"/>
  <c r="F123" i="32"/>
  <c r="G123" i="32"/>
  <c r="H123" i="32"/>
  <c r="I123" i="32"/>
  <c r="J123" i="32"/>
  <c r="K123" i="32"/>
  <c r="L123" i="32"/>
  <c r="B123" i="32"/>
  <c r="C135" i="32"/>
  <c r="D135" i="32"/>
  <c r="E135" i="32"/>
  <c r="F135" i="32"/>
  <c r="G135" i="32"/>
  <c r="H135" i="32"/>
  <c r="I135" i="32"/>
  <c r="J135" i="32"/>
  <c r="K135" i="32"/>
  <c r="L135" i="32"/>
  <c r="B135" i="32"/>
  <c r="C142" i="32"/>
  <c r="D142" i="32"/>
  <c r="E142" i="32"/>
  <c r="F142" i="32"/>
  <c r="G142" i="32"/>
  <c r="H142" i="32"/>
  <c r="I142" i="32"/>
  <c r="J142" i="32"/>
  <c r="K142" i="32"/>
  <c r="L142" i="32"/>
  <c r="B142" i="32"/>
  <c r="C154" i="32"/>
  <c r="D154" i="32"/>
  <c r="E154" i="32"/>
  <c r="F154" i="32"/>
  <c r="G154" i="32"/>
  <c r="H154" i="32"/>
  <c r="I154" i="32"/>
  <c r="J154" i="32"/>
  <c r="K154" i="32"/>
  <c r="L154" i="32"/>
  <c r="B154" i="32"/>
  <c r="C18" i="32"/>
  <c r="D18" i="32"/>
  <c r="E18" i="32"/>
  <c r="F18" i="32"/>
  <c r="G18" i="32"/>
  <c r="H18" i="32"/>
  <c r="I18" i="32"/>
  <c r="J18" i="32"/>
  <c r="K18" i="32"/>
  <c r="L18" i="32"/>
  <c r="C12" i="32"/>
  <c r="D12" i="32"/>
  <c r="E12" i="32"/>
  <c r="F12" i="32"/>
  <c r="G12" i="32"/>
  <c r="H12" i="32"/>
  <c r="I12" i="32"/>
  <c r="J12" i="32"/>
  <c r="K12" i="32"/>
  <c r="L12" i="32"/>
  <c r="B12" i="32"/>
  <c r="C10" i="32"/>
  <c r="D10" i="32"/>
  <c r="E10" i="32"/>
  <c r="F10" i="32"/>
  <c r="G10" i="32"/>
  <c r="H10" i="32"/>
  <c r="I10" i="32"/>
  <c r="J10" i="32"/>
  <c r="K10" i="32"/>
  <c r="L10" i="32"/>
  <c r="B10" i="32"/>
  <c r="L8" i="32" l="1"/>
  <c r="K8" i="32"/>
  <c r="I8" i="32"/>
  <c r="H8" i="32"/>
  <c r="J8" i="32"/>
  <c r="B8" i="32"/>
  <c r="G8" i="32"/>
  <c r="F8" i="32"/>
  <c r="E8" i="32"/>
  <c r="C8" i="32"/>
  <c r="D8" i="32"/>
  <c r="C6" i="32" l="1"/>
  <c r="D6" i="32"/>
  <c r="E6" i="32"/>
  <c r="B6" i="32" l="1"/>
  <c r="G6" i="32" l="1"/>
  <c r="F6" i="32"/>
  <c r="L6" i="32" l="1"/>
  <c r="K6" i="32"/>
  <c r="J6" i="32"/>
  <c r="I6" i="32"/>
  <c r="H6" i="32"/>
</calcChain>
</file>

<file path=xl/sharedStrings.xml><?xml version="1.0" encoding="utf-8"?>
<sst xmlns="http://schemas.openxmlformats.org/spreadsheetml/2006/main" count="167" uniqueCount="135">
  <si>
    <t>Particulars</t>
  </si>
  <si>
    <t>Actual</t>
  </si>
  <si>
    <t xml:space="preserve">Approved </t>
  </si>
  <si>
    <t>Kuwait Fund</t>
  </si>
  <si>
    <t>Saudi Fund</t>
  </si>
  <si>
    <t>Total spending</t>
  </si>
  <si>
    <t xml:space="preserve">     Projects</t>
  </si>
  <si>
    <t>Sanitation in 5 islands</t>
  </si>
  <si>
    <t>Upgrading of Airport - S.Gan</t>
  </si>
  <si>
    <t>Greater Male Connectivity Project (Male - Thilafushi Bridge)</t>
  </si>
  <si>
    <t>Deutsche Bank</t>
  </si>
  <si>
    <t>Others</t>
  </si>
  <si>
    <t>Approved</t>
  </si>
  <si>
    <t>Fisheries Sector Devlopment Project</t>
  </si>
  <si>
    <t>Velana International Airport Development (Runway)</t>
  </si>
  <si>
    <t>Dev. of New Tertiary Hospital - L.Gan</t>
  </si>
  <si>
    <t>Hospital New Building - AA.Rasdhoo</t>
  </si>
  <si>
    <t>Hospital New Building - Fuvahmulah</t>
  </si>
  <si>
    <t>Hospital New Building - K.Thulusdhoo</t>
  </si>
  <si>
    <t>Hospital New Building - N.Velidhoo</t>
  </si>
  <si>
    <t>Regional Hospital New Building - GDh.Thinadhoo</t>
  </si>
  <si>
    <t>Tertiary Hospital New Building - HDh.Kulhudhuffushi</t>
  </si>
  <si>
    <t>AREISE Project</t>
  </si>
  <si>
    <t>Maldives Agribusiness Project</t>
  </si>
  <si>
    <t>Greater Male Waste To Energy Project</t>
  </si>
  <si>
    <t>Developing Regional Hospital - S.Hithadhoo</t>
  </si>
  <si>
    <t>Land Reclamation - K.Gulhifalhu</t>
  </si>
  <si>
    <t>Hospital New Building - R.Alifushi</t>
  </si>
  <si>
    <t>New Hospital Building - GDh.Gahdhoo</t>
  </si>
  <si>
    <t>Public Finance Management syst strengthening project</t>
  </si>
  <si>
    <t>Support Livelihoods in MV Fisheries with Sustainable Energy</t>
  </si>
  <si>
    <t>Accel. Sustain. System Dev. with Renewable Energy (ASSURE)</t>
  </si>
  <si>
    <t>COVID-19 Emergency Response and Health Systems Preparedness</t>
  </si>
  <si>
    <t>MV Enhancing Employability &amp; Resilience of Youth (MEERY)</t>
  </si>
  <si>
    <t>Emergency Response to COVID-19 Pandemic Phase 2</t>
  </si>
  <si>
    <t>Outer Island Harbour, Water Supply &amp; Sewerage - OFID Phase 3</t>
  </si>
  <si>
    <t>Velana International Airport Development (Terminal)</t>
  </si>
  <si>
    <t>Affordable Housing Scheme Project</t>
  </si>
  <si>
    <t>Agence Francaise Development</t>
  </si>
  <si>
    <t>Rehab of Harbours and Creation of Sewerage Networks</t>
  </si>
  <si>
    <t>Asian Development Bank</t>
  </si>
  <si>
    <t>MicroSmall and Medium sized enterprises develoment prj</t>
  </si>
  <si>
    <t>Preparing Outer Island For Sustainable Energy Devel - POISED</t>
  </si>
  <si>
    <t>Sasec national single window project</t>
  </si>
  <si>
    <t>Asian Infrastructure Investment Bank</t>
  </si>
  <si>
    <t>Cassa Depositi e Prestiti</t>
  </si>
  <si>
    <t>China Exim Bank</t>
  </si>
  <si>
    <t>Development of 1500 Housing Units - Ph2 (Exim bank/China)</t>
  </si>
  <si>
    <t>Male - Hulhule Bridge Project</t>
  </si>
  <si>
    <t>Clean Technology Fund</t>
  </si>
  <si>
    <t>Commercial Loans</t>
  </si>
  <si>
    <t>European Investment Bank</t>
  </si>
  <si>
    <t>Government of Abu Dhabi</t>
  </si>
  <si>
    <t>Arena converting waste to energy</t>
  </si>
  <si>
    <t>Small Scale Waste to Energy Project</t>
  </si>
  <si>
    <t>Small Scale Waste to Energy Project - Phase 2</t>
  </si>
  <si>
    <t>Government of Maldives</t>
  </si>
  <si>
    <t>School Building (12 Class Rooms) - HA.Baarah</t>
  </si>
  <si>
    <t>Sheih Ibrah. School (Hall &amp; Classroom) HA.Kelaa</t>
  </si>
  <si>
    <t>Indian Exim Bank</t>
  </si>
  <si>
    <t>Addu City Reclamation and Shore Protection</t>
  </si>
  <si>
    <t>Addu City Road Development</t>
  </si>
  <si>
    <t>Build.Of Cricket Stadium - Hulhumale</t>
  </si>
  <si>
    <t>Const. of Cancer Hospital - L.Gan</t>
  </si>
  <si>
    <t>Dev.Of National Basketball Centre</t>
  </si>
  <si>
    <t>Dev.Of National Nettball Centre</t>
  </si>
  <si>
    <t>Dev.Of National Table Tennis Centre</t>
  </si>
  <si>
    <t>Dev.Of National Volley Court - Male City</t>
  </si>
  <si>
    <t>Developing Roads - GDh.Thinadhoo</t>
  </si>
  <si>
    <t>Estab. Of Synthetic Track - Fuvamulah City</t>
  </si>
  <si>
    <t>Estab. Of Synthetic Track - GDh.Thinadhoo</t>
  </si>
  <si>
    <t>Estab. Of Synthetic Track - HDh.Kulhudhuffushi</t>
  </si>
  <si>
    <t>Estab. Of Synthetic Track - S.Hithadhoo</t>
  </si>
  <si>
    <t>Estab.Of Badminton Court Complex - Hulhumale</t>
  </si>
  <si>
    <t>Establishing Of Police Stations</t>
  </si>
  <si>
    <t>Expansion Of MIFCO Facility - Kooddoo &amp; Kaduohgiri</t>
  </si>
  <si>
    <t>Port Development Project - K.Gulhifalhu</t>
  </si>
  <si>
    <t>Provision of Water Supply &amp; Sewerage Project</t>
  </si>
  <si>
    <t>Upgrading of Airport - Hdh.Hanimaadhoo</t>
  </si>
  <si>
    <t>Infrastructure Development Projects Account</t>
  </si>
  <si>
    <t>Construction of Dharumavantha Hospital Building</t>
  </si>
  <si>
    <t>High Achievers Scholarship</t>
  </si>
  <si>
    <t>Major Medical Eqmnt&amp;Accessories for Dharumavantha Hospital</t>
  </si>
  <si>
    <t>Medical Equipment for IGMH New Building</t>
  </si>
  <si>
    <t>ING Bank</t>
  </si>
  <si>
    <t>Maldives Urband Dev. &amp; Reslience Project</t>
  </si>
  <si>
    <t>International Fund for Agriculture Devel</t>
  </si>
  <si>
    <t>Fisheries and Agriculture Diversification Project</t>
  </si>
  <si>
    <t>Islamic Development Bank</t>
  </si>
  <si>
    <t>COVID-19 Amendment to Istisnaa agreement</t>
  </si>
  <si>
    <t>Greater Male Environmental Improvement &amp; Waste Management</t>
  </si>
  <si>
    <t>Micro enterprises develoment project</t>
  </si>
  <si>
    <t>Quarantine Facility Project</t>
  </si>
  <si>
    <t>Reconstruction of Harbours - IDB</t>
  </si>
  <si>
    <t>Sanitation in 5 Islands (IDB Loan)</t>
  </si>
  <si>
    <t>Coastal Protection-Gn.Fuvamulah-OREO Prj</t>
  </si>
  <si>
    <t>Hospital New Building - Th.Vilufushi</t>
  </si>
  <si>
    <t>Water Supply and Sewerage System in Fuvahmulah - Kuwait Fund</t>
  </si>
  <si>
    <t>OPEC Fund for International Development</t>
  </si>
  <si>
    <t>Outer Island Water Supply and Sewerage Systems (OFID phase1)</t>
  </si>
  <si>
    <t>Prov.of Water Supply, Sanitation&amp;Waste Mngmt prj (OFID ph2)</t>
  </si>
  <si>
    <t>Prov.WaterSupply,Sani.&amp;WasteMgmt-OFID-P2</t>
  </si>
  <si>
    <t>Hulhumale Island Development Project</t>
  </si>
  <si>
    <t>Reconstruction &amp; Development of GA Atoll</t>
  </si>
  <si>
    <t>Maldives Solar Development and Energy Storage Solutions</t>
  </si>
  <si>
    <t>ASCENT Project</t>
  </si>
  <si>
    <t>Maldives Covid - 19 Health Facility</t>
  </si>
  <si>
    <t>Construction of Cancer Hospital</t>
  </si>
  <si>
    <t>Expansion of Mifco Facility - Lh.Felivaru, Ga. Gemanafushi</t>
  </si>
  <si>
    <t>Expansion of Mifco Facility- Lh.Felivaru, GA. Gemanafushi</t>
  </si>
  <si>
    <t>Devel. of Mental Health Hospital - L. Gan</t>
  </si>
  <si>
    <t>Development of Hospitals</t>
  </si>
  <si>
    <t>Development of 4,200 Housing Units in K. Gulhifalhu</t>
  </si>
  <si>
    <t>Devel. of Parking Buildings in K. Male'</t>
  </si>
  <si>
    <t>Upgrading of School Infrastructure</t>
  </si>
  <si>
    <t>Devel. of Multi Sports Complex</t>
  </si>
  <si>
    <t>Devel. of Futsal Complex</t>
  </si>
  <si>
    <t>Devel. of Netball Complex</t>
  </si>
  <si>
    <t>Maldives Competitiveness and Growth project</t>
  </si>
  <si>
    <t>Atoll Education Development Project</t>
  </si>
  <si>
    <t>Livelihood Enhancement of the Rural Poor in SAARC Project</t>
  </si>
  <si>
    <t>Construction of Hospital - Sh.Milandhoo</t>
  </si>
  <si>
    <t>Devel. of New Hospital Building of 50 Beds - F. Nilandhoo</t>
  </si>
  <si>
    <t>Devel. of New Hospital Building of 50 Beds - L. Fonadhoo</t>
  </si>
  <si>
    <t>Hospital New Building 50 Beds - Fuvahmulah</t>
  </si>
  <si>
    <t>Women &amp; Children'S Hospital</t>
  </si>
  <si>
    <t>Haematology and Thalassemia Hospital</t>
  </si>
  <si>
    <t>Devel. of Hulhumale Hospital Tower</t>
  </si>
  <si>
    <t>Devel. of Hospitals</t>
  </si>
  <si>
    <t>Construction of 1000 Housing Units - B.Eydhafushi</t>
  </si>
  <si>
    <t>Greater Male' Roads and Other Facilties Development</t>
  </si>
  <si>
    <t>Comprehensive Multi Sports Complex</t>
  </si>
  <si>
    <t>International Development Association (WB)</t>
  </si>
  <si>
    <t>Source:  Ministry of Finance and Planning.</t>
  </si>
  <si>
    <t>Table 13.7:  Expenditure on Major Projects Financed by Foreign Loans, 2017 - 2027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</si>
</sst>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8" formatCode="_(* #,##0.0_);_(* \(#,##0.0\);_(* &quot;-&quot;??_);_(@_)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2"/>
      <color theme="1"/>
      <name val="Century Gothic"/>
      <family val="2"/>
    </font>
    <font>
      <sz val="9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9" fontId="12" fillId="0" borderId="0"/>
    <xf numFmtId="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5" fillId="0" borderId="0"/>
    <xf numFmtId="1" fontId="16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3" fillId="0" borderId="0"/>
    <xf numFmtId="40" fontId="13" fillId="0" borderId="0" applyFont="0" applyFill="0" applyBorder="0" applyAlignment="0" applyProtection="0"/>
    <xf numFmtId="0" fontId="13" fillId="0" borderId="0"/>
    <xf numFmtId="0" fontId="2" fillId="0" borderId="0"/>
    <xf numFmtId="1" fontId="16" fillId="0" borderId="6" applyNumberFormat="0"/>
    <xf numFmtId="0" fontId="1" fillId="0" borderId="0"/>
    <xf numFmtId="0" fontId="13" fillId="0" borderId="0"/>
    <xf numFmtId="0" fontId="6" fillId="0" borderId="0" applyFill="0" applyProtection="0"/>
    <xf numFmtId="1" fontId="16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3" fillId="0" borderId="0"/>
    <xf numFmtId="0" fontId="6" fillId="0" borderId="0" applyFill="0" applyProtection="0"/>
  </cellStyleXfs>
  <cellXfs count="45">
    <xf numFmtId="0" fontId="0" fillId="0" borderId="0" xfId="0"/>
    <xf numFmtId="166" fontId="10" fillId="2" borderId="0" xfId="2" applyNumberFormat="1" applyFont="1" applyFill="1" applyAlignment="1">
      <alignment horizontal="left" vertical="center"/>
    </xf>
    <xf numFmtId="172" fontId="8" fillId="2" borderId="0" xfId="12" applyNumberFormat="1" applyFont="1" applyFill="1" applyBorder="1" applyAlignment="1">
      <alignment horizontal="center" vertical="center"/>
    </xf>
    <xf numFmtId="0" fontId="0" fillId="2" borderId="0" xfId="0" applyFill="1"/>
    <xf numFmtId="172" fontId="0" fillId="2" borderId="0" xfId="12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72" fontId="0" fillId="2" borderId="0" xfId="12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2" borderId="2" xfId="12" applyNumberFormat="1" applyFont="1" applyFill="1" applyBorder="1" applyAlignment="1" applyProtection="1">
      <alignment horizontal="center" vertical="center"/>
    </xf>
    <xf numFmtId="172" fontId="8" fillId="2" borderId="1" xfId="12" applyNumberFormat="1" applyFont="1" applyFill="1" applyBorder="1" applyAlignment="1">
      <alignment horizontal="center" vertical="center"/>
    </xf>
    <xf numFmtId="171" fontId="8" fillId="2" borderId="0" xfId="12" applyNumberFormat="1" applyFont="1" applyFill="1" applyBorder="1" applyAlignment="1"/>
    <xf numFmtId="171" fontId="0" fillId="2" borderId="0" xfId="12" applyNumberFormat="1" applyFont="1" applyFill="1" applyBorder="1" applyAlignment="1"/>
    <xf numFmtId="172" fontId="8" fillId="2" borderId="3" xfId="12" applyNumberFormat="1" applyFont="1" applyFill="1" applyBorder="1" applyAlignment="1">
      <alignment horizontal="center" vertical="center"/>
    </xf>
    <xf numFmtId="166" fontId="20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8" fontId="0" fillId="2" borderId="0" xfId="1" applyNumberFormat="1" applyFont="1" applyFill="1" applyBorder="1"/>
    <xf numFmtId="171" fontId="8" fillId="2" borderId="3" xfId="12" applyNumberFormat="1" applyFont="1" applyFill="1" applyBorder="1" applyAlignment="1"/>
    <xf numFmtId="171" fontId="0" fillId="2" borderId="3" xfId="12" applyNumberFormat="1" applyFont="1" applyFill="1" applyBorder="1" applyAlignment="1"/>
    <xf numFmtId="168" fontId="0" fillId="2" borderId="0" xfId="1" applyNumberFormat="1" applyFont="1" applyFill="1" applyBorder="1" applyAlignment="1"/>
    <xf numFmtId="171" fontId="0" fillId="2" borderId="0" xfId="12" applyNumberFormat="1" applyFont="1" applyFill="1" applyBorder="1" applyAlignment="1">
      <alignment horizontal="right"/>
    </xf>
    <xf numFmtId="171" fontId="0" fillId="2" borderId="3" xfId="12" applyNumberFormat="1" applyFont="1" applyFill="1" applyBorder="1" applyAlignment="1">
      <alignment horizontal="right"/>
    </xf>
    <xf numFmtId="172" fontId="0" fillId="2" borderId="0" xfId="12" applyNumberFormat="1" applyFont="1" applyFill="1" applyBorder="1" applyAlignment="1">
      <alignment horizontal="right"/>
    </xf>
    <xf numFmtId="168" fontId="0" fillId="2" borderId="0" xfId="1" applyNumberFormat="1" applyFont="1" applyFill="1" applyBorder="1" applyAlignment="1">
      <alignment horizontal="right"/>
    </xf>
    <xf numFmtId="168" fontId="0" fillId="2" borderId="3" xfId="1" applyNumberFormat="1" applyFont="1" applyFill="1" applyBorder="1" applyAlignment="1">
      <alignment horizontal="right"/>
    </xf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172" fontId="8" fillId="2" borderId="0" xfId="12" applyNumberFormat="1" applyFont="1" applyFill="1" applyBorder="1" applyAlignment="1">
      <alignment horizontal="right" vertical="center"/>
    </xf>
    <xf numFmtId="171" fontId="8" fillId="2" borderId="0" xfId="12" applyNumberFormat="1" applyFont="1" applyFill="1" applyBorder="1" applyAlignment="1">
      <alignment horizontal="right"/>
    </xf>
    <xf numFmtId="168" fontId="0" fillId="2" borderId="1" xfId="1" applyNumberFormat="1" applyFont="1" applyFill="1" applyBorder="1" applyAlignment="1">
      <alignment horizontal="right"/>
    </xf>
    <xf numFmtId="168" fontId="0" fillId="2" borderId="4" xfId="1" applyNumberFormat="1" applyFont="1" applyFill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/>
    </xf>
    <xf numFmtId="168" fontId="8" fillId="3" borderId="0" xfId="1" applyNumberFormat="1" applyFont="1" applyFill="1" applyBorder="1" applyAlignment="1">
      <alignment horizontal="right"/>
    </xf>
    <xf numFmtId="168" fontId="8" fillId="3" borderId="3" xfId="1" applyNumberFormat="1" applyFont="1" applyFill="1" applyBorder="1" applyAlignment="1">
      <alignment horizontal="right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L162"/>
  <sheetViews>
    <sheetView showGridLines="0" tabSelected="1" zoomScale="85" zoomScaleNormal="85" zoomScaleSheetLayoutView="89" workbookViewId="0">
      <selection activeCell="R17" sqref="R17"/>
    </sheetView>
  </sheetViews>
  <sheetFormatPr defaultRowHeight="15"/>
  <cols>
    <col min="1" max="1" width="65" style="3" customWidth="1"/>
    <col min="2" max="3" width="12.140625" style="3" customWidth="1"/>
    <col min="4" max="4" width="11.7109375" style="3" customWidth="1"/>
    <col min="5" max="5" width="12.140625" style="3" customWidth="1"/>
    <col min="6" max="6" width="10.7109375" style="3" customWidth="1"/>
    <col min="7" max="7" width="10.7109375" style="20" customWidth="1"/>
    <col min="8" max="8" width="14.140625" style="3" customWidth="1"/>
    <col min="9" max="10" width="13.140625" style="3" customWidth="1"/>
    <col min="11" max="11" width="12.5703125" style="3" customWidth="1"/>
    <col min="12" max="12" width="12.42578125" style="3" customWidth="1"/>
    <col min="13" max="13" width="9.140625" style="3" customWidth="1"/>
    <col min="14" max="16384" width="9.140625" style="3"/>
  </cols>
  <sheetData>
    <row r="1" spans="1:12" ht="31.5" customHeight="1">
      <c r="A1" s="41" t="s">
        <v>134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6.75" customHeight="1">
      <c r="A2" s="12"/>
      <c r="B2" s="12"/>
      <c r="C2" s="12"/>
      <c r="D2" s="12"/>
      <c r="E2" s="12"/>
      <c r="F2" s="12"/>
      <c r="G2" s="34"/>
      <c r="H2" s="12"/>
      <c r="I2" s="12"/>
      <c r="J2" s="12"/>
    </row>
    <row r="3" spans="1:12">
      <c r="A3" s="39" t="s">
        <v>0</v>
      </c>
      <c r="B3" s="13">
        <v>2017</v>
      </c>
      <c r="C3" s="9">
        <v>2018</v>
      </c>
      <c r="D3" s="9">
        <v>2019</v>
      </c>
      <c r="E3" s="9">
        <v>2020</v>
      </c>
      <c r="F3" s="9">
        <v>2021</v>
      </c>
      <c r="G3" s="7">
        <v>2022</v>
      </c>
      <c r="H3" s="9">
        <v>2023</v>
      </c>
      <c r="I3" s="21">
        <v>2024</v>
      </c>
      <c r="J3" s="9">
        <v>2025</v>
      </c>
      <c r="K3" s="9">
        <v>2026</v>
      </c>
      <c r="L3" s="9">
        <v>2027</v>
      </c>
    </row>
    <row r="4" spans="1:12">
      <c r="A4" s="40"/>
      <c r="B4" s="14" t="s">
        <v>1</v>
      </c>
      <c r="C4" s="10" t="s">
        <v>1</v>
      </c>
      <c r="D4" s="10" t="s">
        <v>1</v>
      </c>
      <c r="E4" s="10" t="s">
        <v>1</v>
      </c>
      <c r="F4" s="10" t="s">
        <v>1</v>
      </c>
      <c r="G4" s="8" t="s">
        <v>1</v>
      </c>
      <c r="H4" s="10" t="s">
        <v>1</v>
      </c>
      <c r="I4" s="22" t="s">
        <v>1</v>
      </c>
      <c r="J4" s="10" t="s">
        <v>2</v>
      </c>
      <c r="K4" s="10" t="s">
        <v>12</v>
      </c>
      <c r="L4" s="10" t="s">
        <v>12</v>
      </c>
    </row>
    <row r="5" spans="1:12">
      <c r="A5" s="5"/>
      <c r="B5" s="2"/>
      <c r="C5" s="2"/>
      <c r="D5" s="2"/>
      <c r="E5" s="2"/>
      <c r="F5" s="2"/>
      <c r="G5" s="35"/>
      <c r="H5" s="2"/>
      <c r="I5" s="17"/>
      <c r="J5" s="2"/>
      <c r="K5" s="23"/>
    </row>
    <row r="6" spans="1:12">
      <c r="A6" s="11" t="s">
        <v>5</v>
      </c>
      <c r="B6" s="15">
        <f>B8</f>
        <v>2712.936905</v>
      </c>
      <c r="C6" s="15">
        <f t="shared" ref="C6:L6" si="0">C8</f>
        <v>4274.3906940000006</v>
      </c>
      <c r="D6" s="15">
        <f t="shared" si="0"/>
        <v>1920.8020029999998</v>
      </c>
      <c r="E6" s="15">
        <f t="shared" si="0"/>
        <v>1216.8932089999998</v>
      </c>
      <c r="F6" s="15">
        <f t="shared" si="0"/>
        <v>1359.5724930000001</v>
      </c>
      <c r="G6" s="36">
        <f t="shared" si="0"/>
        <v>2921.4975059999997</v>
      </c>
      <c r="H6" s="15">
        <f t="shared" si="0"/>
        <v>6002.670157999999</v>
      </c>
      <c r="I6" s="24">
        <f t="shared" si="0"/>
        <v>6561.3304929999995</v>
      </c>
      <c r="J6" s="15">
        <f t="shared" si="0"/>
        <v>5136.6619690000007</v>
      </c>
      <c r="K6" s="15">
        <f t="shared" si="0"/>
        <v>4755.3612670000002</v>
      </c>
      <c r="L6" s="15">
        <f t="shared" si="0"/>
        <v>4162.3549790000006</v>
      </c>
    </row>
    <row r="7" spans="1:12">
      <c r="A7" s="19"/>
      <c r="B7" s="16"/>
      <c r="C7" s="16"/>
      <c r="D7" s="16"/>
      <c r="E7" s="16"/>
      <c r="F7" s="16"/>
      <c r="G7" s="27"/>
      <c r="H7" s="16"/>
      <c r="I7" s="25"/>
      <c r="J7" s="16"/>
      <c r="K7" s="26"/>
    </row>
    <row r="8" spans="1:12">
      <c r="A8" s="11" t="s">
        <v>6</v>
      </c>
      <c r="B8" s="15">
        <f>B10+B12+B18+B23+B25+B29+B31+B36+B38+B41+B49+B52+B88+B93+B96+B106+B109+B123+B135+B142+B154</f>
        <v>2712.936905</v>
      </c>
      <c r="C8" s="15">
        <f t="shared" ref="C8:L8" si="1">C10+C12+C18+C23+C25+C29+C31+C36+C38+C41+C49+C52+C88+C93+C96+C106+C109+C123+C135+C142+C154</f>
        <v>4274.3906940000006</v>
      </c>
      <c r="D8" s="15">
        <f t="shared" si="1"/>
        <v>1920.8020029999998</v>
      </c>
      <c r="E8" s="15">
        <f t="shared" si="1"/>
        <v>1216.8932089999998</v>
      </c>
      <c r="F8" s="15">
        <f t="shared" si="1"/>
        <v>1359.5724930000001</v>
      </c>
      <c r="G8" s="15">
        <f t="shared" si="1"/>
        <v>2921.4975059999997</v>
      </c>
      <c r="H8" s="15">
        <f t="shared" si="1"/>
        <v>6002.670157999999</v>
      </c>
      <c r="I8" s="24">
        <f t="shared" si="1"/>
        <v>6561.3304929999995</v>
      </c>
      <c r="J8" s="15">
        <f t="shared" si="1"/>
        <v>5136.6619690000007</v>
      </c>
      <c r="K8" s="15">
        <f t="shared" si="1"/>
        <v>4755.3612670000002</v>
      </c>
      <c r="L8" s="15">
        <f t="shared" si="1"/>
        <v>4162.3549790000006</v>
      </c>
    </row>
    <row r="9" spans="1:12">
      <c r="A9" s="11"/>
      <c r="B9" s="27"/>
      <c r="C9" s="27"/>
      <c r="D9" s="27"/>
      <c r="E9" s="27"/>
      <c r="F9" s="27"/>
      <c r="G9" s="27"/>
      <c r="H9" s="27"/>
      <c r="I9" s="28"/>
      <c r="J9" s="29"/>
      <c r="K9" s="30"/>
    </row>
    <row r="10" spans="1:12" ht="15.75">
      <c r="A10" s="42" t="s">
        <v>38</v>
      </c>
      <c r="B10" s="43">
        <f>SUM(B11)</f>
        <v>4.6062190000000003</v>
      </c>
      <c r="C10" s="43">
        <f t="shared" ref="C10:L10" si="2">SUM(C11)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4">
        <f t="shared" si="2"/>
        <v>0</v>
      </c>
      <c r="J10" s="43">
        <f t="shared" si="2"/>
        <v>0</v>
      </c>
      <c r="K10" s="43">
        <f t="shared" si="2"/>
        <v>0</v>
      </c>
      <c r="L10" s="43">
        <f t="shared" si="2"/>
        <v>0</v>
      </c>
    </row>
    <row r="11" spans="1:12">
      <c r="A11" s="32" t="s">
        <v>39</v>
      </c>
      <c r="B11" s="30">
        <v>4.6062190000000003</v>
      </c>
      <c r="C11" s="30"/>
      <c r="D11" s="30"/>
      <c r="E11" s="30"/>
      <c r="F11" s="30"/>
      <c r="G11" s="30"/>
      <c r="H11" s="30">
        <v>0</v>
      </c>
      <c r="I11" s="31">
        <v>0</v>
      </c>
      <c r="J11" s="30">
        <v>0</v>
      </c>
      <c r="K11" s="30">
        <v>0</v>
      </c>
      <c r="L11" s="30">
        <v>0</v>
      </c>
    </row>
    <row r="12" spans="1:12" ht="15.75">
      <c r="A12" s="42" t="s">
        <v>40</v>
      </c>
      <c r="B12" s="43">
        <f>SUM(B13:B17)</f>
        <v>0</v>
      </c>
      <c r="C12" s="43">
        <f t="shared" ref="C12:L12" si="3">SUM(C13:C17)</f>
        <v>3.5794860000000002</v>
      </c>
      <c r="D12" s="43">
        <f t="shared" si="3"/>
        <v>4.1766999999999999E-2</v>
      </c>
      <c r="E12" s="43">
        <f t="shared" si="3"/>
        <v>3.5778940000000001</v>
      </c>
      <c r="F12" s="43">
        <f t="shared" si="3"/>
        <v>2.341936</v>
      </c>
      <c r="G12" s="43">
        <f t="shared" si="3"/>
        <v>71.404282999999992</v>
      </c>
      <c r="H12" s="43">
        <f t="shared" si="3"/>
        <v>75.187070000000006</v>
      </c>
      <c r="I12" s="44">
        <f t="shared" si="3"/>
        <v>202.73201399999999</v>
      </c>
      <c r="J12" s="43">
        <f t="shared" si="3"/>
        <v>123.72848300000001</v>
      </c>
      <c r="K12" s="43">
        <f t="shared" si="3"/>
        <v>96.038370000000015</v>
      </c>
      <c r="L12" s="43">
        <f t="shared" si="3"/>
        <v>137.93972099999999</v>
      </c>
    </row>
    <row r="13" spans="1:12">
      <c r="A13" s="32" t="s">
        <v>24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59.454465999999996</v>
      </c>
      <c r="H13" s="30">
        <v>29.570785999999998</v>
      </c>
      <c r="I13" s="31">
        <v>148.32769400000001</v>
      </c>
      <c r="J13" s="30">
        <v>84.476472000000001</v>
      </c>
      <c r="K13" s="30">
        <v>78.531902000000002</v>
      </c>
      <c r="L13" s="30">
        <v>132.88999999999999</v>
      </c>
    </row>
    <row r="14" spans="1:12">
      <c r="A14" s="32" t="s">
        <v>41</v>
      </c>
      <c r="B14" s="30">
        <v>0</v>
      </c>
      <c r="C14" s="30">
        <v>3.5794860000000002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1">
        <v>0</v>
      </c>
      <c r="J14" s="30">
        <v>0</v>
      </c>
      <c r="K14" s="30">
        <v>0</v>
      </c>
      <c r="L14" s="30">
        <v>0</v>
      </c>
    </row>
    <row r="15" spans="1:12">
      <c r="A15" s="32" t="s">
        <v>42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8.5279109999999996</v>
      </c>
      <c r="H15" s="30">
        <v>42.213422000000001</v>
      </c>
      <c r="I15" s="31">
        <v>34.267878000000003</v>
      </c>
      <c r="J15" s="30">
        <v>17.107863999999999</v>
      </c>
      <c r="K15" s="30">
        <v>12.456747</v>
      </c>
      <c r="L15" s="30">
        <v>0</v>
      </c>
    </row>
    <row r="16" spans="1:12">
      <c r="A16" s="32" t="s">
        <v>104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1">
        <v>0</v>
      </c>
      <c r="J16" s="30">
        <v>0</v>
      </c>
      <c r="K16" s="30">
        <v>0</v>
      </c>
      <c r="L16" s="30">
        <v>0</v>
      </c>
    </row>
    <row r="17" spans="1:12">
      <c r="A17" s="32" t="s">
        <v>43</v>
      </c>
      <c r="B17" s="30">
        <v>0</v>
      </c>
      <c r="C17" s="30">
        <v>0</v>
      </c>
      <c r="D17" s="30">
        <v>4.1766999999999999E-2</v>
      </c>
      <c r="E17" s="30">
        <v>3.5778940000000001</v>
      </c>
      <c r="F17" s="30">
        <v>2.341936</v>
      </c>
      <c r="G17" s="30">
        <v>3.4219059999999999</v>
      </c>
      <c r="H17" s="30">
        <v>3.4028619999999998</v>
      </c>
      <c r="I17" s="31">
        <v>20.136441999999999</v>
      </c>
      <c r="J17" s="30">
        <v>22.144147</v>
      </c>
      <c r="K17" s="30">
        <v>5.0497209999999999</v>
      </c>
      <c r="L17" s="30">
        <v>5.0497209999999999</v>
      </c>
    </row>
    <row r="18" spans="1:12" ht="15.75">
      <c r="A18" s="42" t="s">
        <v>44</v>
      </c>
      <c r="B18" s="43">
        <f>SUM(B19:B22)</f>
        <v>0</v>
      </c>
      <c r="C18" s="43">
        <f t="shared" ref="C18:L18" si="4">SUM(C19:C22)</f>
        <v>0</v>
      </c>
      <c r="D18" s="43">
        <f t="shared" si="4"/>
        <v>0</v>
      </c>
      <c r="E18" s="43">
        <f t="shared" si="4"/>
        <v>16.31711</v>
      </c>
      <c r="F18" s="43">
        <f t="shared" si="4"/>
        <v>7.0104889999999997</v>
      </c>
      <c r="G18" s="43">
        <f t="shared" si="4"/>
        <v>74.771489000000003</v>
      </c>
      <c r="H18" s="43">
        <f t="shared" si="4"/>
        <v>49.020391000000004</v>
      </c>
      <c r="I18" s="44">
        <f t="shared" si="4"/>
        <v>113.37092699999999</v>
      </c>
      <c r="J18" s="43">
        <f t="shared" si="4"/>
        <v>144.18810300000001</v>
      </c>
      <c r="K18" s="43">
        <f t="shared" si="4"/>
        <v>212.23831100000001</v>
      </c>
      <c r="L18" s="43">
        <f t="shared" si="4"/>
        <v>247.14252300000001</v>
      </c>
    </row>
    <row r="19" spans="1:12">
      <c r="A19" s="32" t="s">
        <v>32</v>
      </c>
      <c r="B19" s="30">
        <v>0</v>
      </c>
      <c r="C19" s="30">
        <v>0</v>
      </c>
      <c r="D19" s="30">
        <v>0</v>
      </c>
      <c r="E19" s="30">
        <v>16.31711</v>
      </c>
      <c r="F19" s="30">
        <v>7.0104889999999997</v>
      </c>
      <c r="G19" s="30">
        <v>12.448459</v>
      </c>
      <c r="H19" s="30">
        <v>17.906566999999999</v>
      </c>
      <c r="I19" s="31">
        <v>0</v>
      </c>
      <c r="J19" s="30">
        <v>22</v>
      </c>
      <c r="K19" s="30">
        <v>12.96646</v>
      </c>
      <c r="L19" s="30">
        <v>0</v>
      </c>
    </row>
    <row r="20" spans="1:12">
      <c r="A20" s="32" t="s">
        <v>24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62.323030000000003</v>
      </c>
      <c r="H20" s="30">
        <v>31.113824000000001</v>
      </c>
      <c r="I20" s="31">
        <v>113.37092699999999</v>
      </c>
      <c r="J20" s="30">
        <v>79.355911000000006</v>
      </c>
      <c r="K20" s="30">
        <v>132.543814</v>
      </c>
      <c r="L20" s="30">
        <v>150</v>
      </c>
    </row>
    <row r="21" spans="1:12">
      <c r="A21" s="32" t="s">
        <v>105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1">
        <v>0</v>
      </c>
      <c r="J21" s="30">
        <v>4.6057499999999996</v>
      </c>
      <c r="K21" s="30">
        <v>6.7280369999999996</v>
      </c>
      <c r="L21" s="30">
        <v>7.1425229999999997</v>
      </c>
    </row>
    <row r="22" spans="1:12">
      <c r="A22" s="32" t="s">
        <v>104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1">
        <v>0</v>
      </c>
      <c r="J22" s="30">
        <v>38.226441999999999</v>
      </c>
      <c r="K22" s="30">
        <v>60</v>
      </c>
      <c r="L22" s="30">
        <v>90</v>
      </c>
    </row>
    <row r="23" spans="1:12" ht="15.75">
      <c r="A23" s="42" t="s">
        <v>45</v>
      </c>
      <c r="B23" s="43">
        <f>SUM(B24)</f>
        <v>0</v>
      </c>
      <c r="C23" s="43">
        <f t="shared" ref="C23:L23" si="5">SUM(C24)</f>
        <v>0</v>
      </c>
      <c r="D23" s="43">
        <f t="shared" si="5"/>
        <v>0</v>
      </c>
      <c r="E23" s="43">
        <f t="shared" si="5"/>
        <v>0</v>
      </c>
      <c r="F23" s="43">
        <f t="shared" si="5"/>
        <v>0</v>
      </c>
      <c r="G23" s="43">
        <f t="shared" si="5"/>
        <v>0</v>
      </c>
      <c r="H23" s="43">
        <f t="shared" si="5"/>
        <v>0</v>
      </c>
      <c r="I23" s="44">
        <f t="shared" si="5"/>
        <v>0</v>
      </c>
      <c r="J23" s="43">
        <f t="shared" si="5"/>
        <v>18.493098</v>
      </c>
      <c r="K23" s="43">
        <f t="shared" si="5"/>
        <v>20</v>
      </c>
      <c r="L23" s="43">
        <f t="shared" si="5"/>
        <v>20</v>
      </c>
    </row>
    <row r="24" spans="1:12">
      <c r="A24" s="32" t="s">
        <v>22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1">
        <v>0</v>
      </c>
      <c r="J24" s="30">
        <v>18.493098</v>
      </c>
      <c r="K24" s="30">
        <v>20</v>
      </c>
      <c r="L24" s="30">
        <v>20</v>
      </c>
    </row>
    <row r="25" spans="1:12" ht="15.75">
      <c r="A25" s="42" t="s">
        <v>46</v>
      </c>
      <c r="B25" s="43">
        <f>SUM(B26:B28)</f>
        <v>0</v>
      </c>
      <c r="C25" s="43">
        <f t="shared" ref="C25:L25" si="6">SUM(C26:C28)</f>
        <v>2436.6959830000001</v>
      </c>
      <c r="D25" s="43">
        <f t="shared" si="6"/>
        <v>968.12357099999997</v>
      </c>
      <c r="E25" s="43">
        <f t="shared" si="6"/>
        <v>0</v>
      </c>
      <c r="F25" s="43">
        <f t="shared" si="6"/>
        <v>0</v>
      </c>
      <c r="G25" s="43">
        <f t="shared" si="6"/>
        <v>0</v>
      </c>
      <c r="H25" s="43">
        <f t="shared" si="6"/>
        <v>0</v>
      </c>
      <c r="I25" s="44">
        <f t="shared" si="6"/>
        <v>0</v>
      </c>
      <c r="J25" s="43">
        <f t="shared" si="6"/>
        <v>0</v>
      </c>
      <c r="K25" s="43">
        <f t="shared" si="6"/>
        <v>0</v>
      </c>
      <c r="L25" s="43">
        <f t="shared" si="6"/>
        <v>0</v>
      </c>
    </row>
    <row r="26" spans="1:12">
      <c r="A26" s="32" t="s">
        <v>47</v>
      </c>
      <c r="B26" s="30">
        <v>0</v>
      </c>
      <c r="C26" s="30">
        <v>0</v>
      </c>
      <c r="D26" s="30">
        <v>135.414344</v>
      </c>
      <c r="E26" s="30">
        <v>0</v>
      </c>
      <c r="F26" s="30">
        <v>0</v>
      </c>
      <c r="G26" s="30">
        <v>0</v>
      </c>
      <c r="H26" s="30">
        <v>0</v>
      </c>
      <c r="I26" s="31">
        <v>0</v>
      </c>
      <c r="J26" s="30">
        <v>0</v>
      </c>
      <c r="K26" s="30">
        <v>0</v>
      </c>
      <c r="L26" s="30">
        <v>0</v>
      </c>
    </row>
    <row r="27" spans="1:12">
      <c r="A27" s="32" t="s">
        <v>48</v>
      </c>
      <c r="B27" s="30">
        <v>0</v>
      </c>
      <c r="C27" s="30">
        <v>590.45759999999996</v>
      </c>
      <c r="D27" s="30">
        <v>51.255000000000003</v>
      </c>
      <c r="E27" s="30">
        <v>0</v>
      </c>
      <c r="F27" s="30">
        <v>0</v>
      </c>
      <c r="G27" s="30">
        <v>0</v>
      </c>
      <c r="H27" s="30">
        <v>0</v>
      </c>
      <c r="I27" s="31">
        <v>0</v>
      </c>
      <c r="J27" s="30">
        <v>0</v>
      </c>
      <c r="K27" s="30">
        <v>0</v>
      </c>
      <c r="L27" s="30">
        <v>0</v>
      </c>
    </row>
    <row r="28" spans="1:12">
      <c r="A28" s="32" t="s">
        <v>14</v>
      </c>
      <c r="B28" s="30">
        <v>0</v>
      </c>
      <c r="C28" s="30">
        <v>1846.2383830000001</v>
      </c>
      <c r="D28" s="30">
        <v>781.45422699999995</v>
      </c>
      <c r="E28" s="30">
        <v>0</v>
      </c>
      <c r="F28" s="30">
        <v>0</v>
      </c>
      <c r="G28" s="30">
        <v>0</v>
      </c>
      <c r="H28" s="30">
        <v>0</v>
      </c>
      <c r="I28" s="31">
        <v>0</v>
      </c>
      <c r="J28" s="30">
        <v>0</v>
      </c>
      <c r="K28" s="30">
        <v>0</v>
      </c>
      <c r="L28" s="30">
        <v>0</v>
      </c>
    </row>
    <row r="29" spans="1:12" ht="15.75">
      <c r="A29" s="42" t="s">
        <v>49</v>
      </c>
      <c r="B29" s="43">
        <f>SUM(B30)</f>
        <v>0</v>
      </c>
      <c r="C29" s="43">
        <f t="shared" ref="C29:L29" si="7">SUM(C30)</f>
        <v>0</v>
      </c>
      <c r="D29" s="43">
        <f t="shared" si="7"/>
        <v>0</v>
      </c>
      <c r="E29" s="43">
        <f t="shared" si="7"/>
        <v>0</v>
      </c>
      <c r="F29" s="43">
        <f t="shared" si="7"/>
        <v>0</v>
      </c>
      <c r="G29" s="43">
        <f t="shared" si="7"/>
        <v>0</v>
      </c>
      <c r="H29" s="43">
        <f t="shared" si="7"/>
        <v>0</v>
      </c>
      <c r="I29" s="44">
        <f t="shared" si="7"/>
        <v>0</v>
      </c>
      <c r="J29" s="43">
        <f t="shared" si="7"/>
        <v>27.739647000000001</v>
      </c>
      <c r="K29" s="43">
        <f t="shared" si="7"/>
        <v>30</v>
      </c>
      <c r="L29" s="43">
        <f t="shared" si="7"/>
        <v>24.1</v>
      </c>
    </row>
    <row r="30" spans="1:12">
      <c r="A30" s="32" t="s">
        <v>22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1">
        <v>0</v>
      </c>
      <c r="J30" s="30">
        <v>27.739647000000001</v>
      </c>
      <c r="K30" s="30">
        <v>30</v>
      </c>
      <c r="L30" s="30">
        <v>24.1</v>
      </c>
    </row>
    <row r="31" spans="1:12" ht="15.75">
      <c r="A31" s="42" t="s">
        <v>50</v>
      </c>
      <c r="B31" s="43">
        <f>SUM(B32:B35)</f>
        <v>1059.795267</v>
      </c>
      <c r="C31" s="43">
        <f t="shared" ref="C31:L31" si="8">SUM(C32:C35)</f>
        <v>0</v>
      </c>
      <c r="D31" s="43">
        <f t="shared" si="8"/>
        <v>0</v>
      </c>
      <c r="E31" s="43">
        <f t="shared" si="8"/>
        <v>206.52477999999999</v>
      </c>
      <c r="F31" s="43">
        <f t="shared" si="8"/>
        <v>593.27833299999998</v>
      </c>
      <c r="G31" s="43">
        <f t="shared" si="8"/>
        <v>0</v>
      </c>
      <c r="H31" s="43">
        <f t="shared" si="8"/>
        <v>0</v>
      </c>
      <c r="I31" s="44">
        <f t="shared" si="8"/>
        <v>191.903763</v>
      </c>
      <c r="J31" s="43">
        <f t="shared" si="8"/>
        <v>0</v>
      </c>
      <c r="K31" s="43">
        <f t="shared" si="8"/>
        <v>0</v>
      </c>
      <c r="L31" s="43">
        <f t="shared" si="8"/>
        <v>0</v>
      </c>
    </row>
    <row r="32" spans="1:12">
      <c r="A32" s="32" t="s">
        <v>47</v>
      </c>
      <c r="B32" s="30">
        <v>269.30672299999998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1">
        <v>0</v>
      </c>
      <c r="J32" s="30">
        <v>0</v>
      </c>
      <c r="K32" s="30">
        <v>0</v>
      </c>
      <c r="L32" s="30">
        <v>0</v>
      </c>
    </row>
    <row r="33" spans="1:12">
      <c r="A33" s="32" t="s">
        <v>48</v>
      </c>
      <c r="B33" s="30">
        <v>154.44839999999999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1">
        <v>0</v>
      </c>
      <c r="J33" s="30">
        <v>0</v>
      </c>
      <c r="K33" s="30">
        <v>0</v>
      </c>
      <c r="L33" s="30">
        <v>0</v>
      </c>
    </row>
    <row r="34" spans="1:12">
      <c r="A34" s="32" t="s">
        <v>14</v>
      </c>
      <c r="B34" s="30">
        <v>636.04014400000005</v>
      </c>
      <c r="C34" s="30">
        <v>0</v>
      </c>
      <c r="D34" s="30">
        <v>0</v>
      </c>
      <c r="E34" s="30">
        <v>206.52477999999999</v>
      </c>
      <c r="F34" s="30">
        <v>593.27833299999998</v>
      </c>
      <c r="G34" s="30">
        <v>0</v>
      </c>
      <c r="H34" s="30">
        <v>0</v>
      </c>
      <c r="I34" s="31">
        <v>0</v>
      </c>
      <c r="J34" s="30">
        <v>0</v>
      </c>
      <c r="K34" s="30">
        <v>0</v>
      </c>
      <c r="L34" s="30">
        <v>0</v>
      </c>
    </row>
    <row r="35" spans="1:12">
      <c r="A35" s="32" t="s">
        <v>36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>
        <v>191.903763</v>
      </c>
      <c r="J35" s="30">
        <v>0</v>
      </c>
      <c r="K35" s="30">
        <v>0</v>
      </c>
      <c r="L35" s="30">
        <v>0</v>
      </c>
    </row>
    <row r="36" spans="1:12" ht="15.75">
      <c r="A36" s="42" t="s">
        <v>10</v>
      </c>
      <c r="B36" s="43">
        <f>SUM(B37)</f>
        <v>0</v>
      </c>
      <c r="C36" s="43">
        <f t="shared" ref="C36:L36" si="9">SUM(C37)</f>
        <v>0</v>
      </c>
      <c r="D36" s="43">
        <f t="shared" si="9"/>
        <v>0</v>
      </c>
      <c r="E36" s="43">
        <f t="shared" si="9"/>
        <v>0</v>
      </c>
      <c r="F36" s="43">
        <f t="shared" si="9"/>
        <v>0</v>
      </c>
      <c r="G36" s="43">
        <f t="shared" si="9"/>
        <v>0</v>
      </c>
      <c r="H36" s="43">
        <f t="shared" si="9"/>
        <v>0</v>
      </c>
      <c r="I36" s="44">
        <f t="shared" si="9"/>
        <v>0</v>
      </c>
      <c r="J36" s="43">
        <f t="shared" si="9"/>
        <v>0</v>
      </c>
      <c r="K36" s="43">
        <f t="shared" si="9"/>
        <v>0</v>
      </c>
      <c r="L36" s="43">
        <f t="shared" si="9"/>
        <v>0</v>
      </c>
    </row>
    <row r="37" spans="1:12">
      <c r="A37" s="32" t="s">
        <v>28</v>
      </c>
      <c r="B37" s="30">
        <v>0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1">
        <v>0</v>
      </c>
      <c r="J37" s="30">
        <v>0</v>
      </c>
      <c r="K37" s="30">
        <v>0</v>
      </c>
      <c r="L37" s="30">
        <v>0</v>
      </c>
    </row>
    <row r="38" spans="1:12" ht="15.75">
      <c r="A38" s="42" t="s">
        <v>51</v>
      </c>
      <c r="B38" s="43">
        <f>SUM(B39:B40)</f>
        <v>0</v>
      </c>
      <c r="C38" s="43">
        <f t="shared" ref="C38:L38" si="10">SUM(C39:C40)</f>
        <v>0</v>
      </c>
      <c r="D38" s="43">
        <f t="shared" si="10"/>
        <v>0</v>
      </c>
      <c r="E38" s="43">
        <f t="shared" si="10"/>
        <v>0</v>
      </c>
      <c r="F38" s="43">
        <f t="shared" si="10"/>
        <v>0</v>
      </c>
      <c r="G38" s="43">
        <f t="shared" si="10"/>
        <v>0</v>
      </c>
      <c r="H38" s="43">
        <f t="shared" si="10"/>
        <v>315.63234499999999</v>
      </c>
      <c r="I38" s="44">
        <f t="shared" si="10"/>
        <v>197.743155</v>
      </c>
      <c r="J38" s="43">
        <f t="shared" si="10"/>
        <v>198.10116099999999</v>
      </c>
      <c r="K38" s="43">
        <f t="shared" si="10"/>
        <v>100</v>
      </c>
      <c r="L38" s="43">
        <f t="shared" si="10"/>
        <v>60</v>
      </c>
    </row>
    <row r="39" spans="1:12">
      <c r="A39" s="32" t="s">
        <v>106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27.739647000000001</v>
      </c>
      <c r="K39" s="30">
        <v>50</v>
      </c>
      <c r="L39" s="30">
        <v>60</v>
      </c>
    </row>
    <row r="40" spans="1:12">
      <c r="A40" s="32" t="s">
        <v>42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315.63234499999999</v>
      </c>
      <c r="I40" s="31">
        <v>197.743155</v>
      </c>
      <c r="J40" s="30">
        <v>170.361514</v>
      </c>
      <c r="K40" s="30">
        <v>50</v>
      </c>
      <c r="L40" s="30">
        <v>0</v>
      </c>
    </row>
    <row r="41" spans="1:12" ht="15.75">
      <c r="A41" s="42" t="s">
        <v>52</v>
      </c>
      <c r="B41" s="43">
        <f>SUM(B42:B48)</f>
        <v>12.935041999999999</v>
      </c>
      <c r="C41" s="43">
        <f t="shared" ref="C41:L41" si="11">SUM(C42:C48)</f>
        <v>16.104220999999999</v>
      </c>
      <c r="D41" s="43">
        <f t="shared" si="11"/>
        <v>78.549955000000011</v>
      </c>
      <c r="E41" s="43">
        <f t="shared" si="11"/>
        <v>56.903977999999995</v>
      </c>
      <c r="F41" s="43">
        <f t="shared" si="11"/>
        <v>16.216663</v>
      </c>
      <c r="G41" s="43">
        <f t="shared" si="11"/>
        <v>49.690517999999997</v>
      </c>
      <c r="H41" s="43">
        <f t="shared" si="11"/>
        <v>127.489288</v>
      </c>
      <c r="I41" s="44">
        <f t="shared" si="11"/>
        <v>439.792396</v>
      </c>
      <c r="J41" s="43">
        <f t="shared" si="11"/>
        <v>289.22495200000003</v>
      </c>
      <c r="K41" s="43">
        <f t="shared" si="11"/>
        <v>199.36229300000002</v>
      </c>
      <c r="L41" s="43">
        <f t="shared" si="11"/>
        <v>270.31100000000004</v>
      </c>
    </row>
    <row r="42" spans="1:12">
      <c r="A42" s="32" t="s">
        <v>107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1">
        <v>0</v>
      </c>
      <c r="J42" s="30">
        <v>59.879198000000002</v>
      </c>
      <c r="K42" s="30">
        <v>78.321700000000007</v>
      </c>
      <c r="L42" s="30">
        <v>230.31100000000001</v>
      </c>
    </row>
    <row r="43" spans="1:12">
      <c r="A43" s="32" t="s">
        <v>31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>
        <v>0</v>
      </c>
      <c r="J43" s="30">
        <v>0</v>
      </c>
      <c r="K43" s="30">
        <v>0</v>
      </c>
      <c r="L43" s="30">
        <v>0</v>
      </c>
    </row>
    <row r="44" spans="1:12">
      <c r="A44" s="32" t="s">
        <v>53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1">
        <v>0</v>
      </c>
      <c r="J44" s="30">
        <v>83.218941000000001</v>
      </c>
      <c r="K44" s="30">
        <v>30</v>
      </c>
      <c r="L44" s="30">
        <v>40</v>
      </c>
    </row>
    <row r="45" spans="1:12">
      <c r="A45" s="32" t="s">
        <v>24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1">
        <v>0</v>
      </c>
      <c r="J45" s="30">
        <v>0</v>
      </c>
      <c r="K45" s="30">
        <v>0</v>
      </c>
      <c r="L45" s="30">
        <v>0</v>
      </c>
    </row>
    <row r="46" spans="1:12">
      <c r="A46" s="32" t="s">
        <v>54</v>
      </c>
      <c r="B46" s="30">
        <v>0</v>
      </c>
      <c r="C46" s="30">
        <v>16.104220999999999</v>
      </c>
      <c r="D46" s="30">
        <v>34.838484000000001</v>
      </c>
      <c r="E46" s="30">
        <v>2.684037</v>
      </c>
      <c r="F46" s="30">
        <v>0</v>
      </c>
      <c r="G46" s="30">
        <v>0</v>
      </c>
      <c r="H46" s="30">
        <v>0</v>
      </c>
      <c r="I46" s="31">
        <v>0</v>
      </c>
      <c r="J46" s="30">
        <v>11.965355000000001</v>
      </c>
      <c r="K46" s="30">
        <v>12.940346</v>
      </c>
      <c r="L46" s="30">
        <v>0</v>
      </c>
    </row>
    <row r="47" spans="1:12">
      <c r="A47" s="32" t="s">
        <v>55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1">
        <v>0</v>
      </c>
      <c r="J47" s="30">
        <v>0</v>
      </c>
      <c r="K47" s="30">
        <v>0</v>
      </c>
      <c r="L47" s="30">
        <v>0</v>
      </c>
    </row>
    <row r="48" spans="1:12">
      <c r="A48" s="32" t="s">
        <v>36</v>
      </c>
      <c r="B48" s="30">
        <v>12.935041999999999</v>
      </c>
      <c r="C48" s="30">
        <v>0</v>
      </c>
      <c r="D48" s="30">
        <v>43.711471000000003</v>
      </c>
      <c r="E48" s="30">
        <v>54.219940999999999</v>
      </c>
      <c r="F48" s="30">
        <v>16.216663</v>
      </c>
      <c r="G48" s="30">
        <v>49.690517999999997</v>
      </c>
      <c r="H48" s="30">
        <v>127.489288</v>
      </c>
      <c r="I48" s="31">
        <v>439.792396</v>
      </c>
      <c r="J48" s="30">
        <v>134.16145800000001</v>
      </c>
      <c r="K48" s="30">
        <v>78.100246999999996</v>
      </c>
      <c r="L48" s="30">
        <v>0</v>
      </c>
    </row>
    <row r="49" spans="1:12" ht="15.75">
      <c r="A49" s="42" t="s">
        <v>56</v>
      </c>
      <c r="B49" s="43">
        <f>SUM(B50:B51)</f>
        <v>0</v>
      </c>
      <c r="C49" s="43">
        <f t="shared" ref="C49:L49" si="12">SUM(C50:C51)</f>
        <v>6.2662720000000007</v>
      </c>
      <c r="D49" s="43">
        <f t="shared" si="12"/>
        <v>0</v>
      </c>
      <c r="E49" s="43">
        <f t="shared" si="12"/>
        <v>0</v>
      </c>
      <c r="F49" s="43">
        <f t="shared" si="12"/>
        <v>0</v>
      </c>
      <c r="G49" s="43">
        <f t="shared" si="12"/>
        <v>0</v>
      </c>
      <c r="H49" s="43">
        <f t="shared" si="12"/>
        <v>0</v>
      </c>
      <c r="I49" s="44">
        <f t="shared" si="12"/>
        <v>0</v>
      </c>
      <c r="J49" s="43">
        <f t="shared" si="12"/>
        <v>0</v>
      </c>
      <c r="K49" s="43">
        <f t="shared" si="12"/>
        <v>0</v>
      </c>
      <c r="L49" s="43">
        <f t="shared" si="12"/>
        <v>0</v>
      </c>
    </row>
    <row r="50" spans="1:12">
      <c r="A50" s="32" t="s">
        <v>57</v>
      </c>
      <c r="B50" s="30">
        <v>0</v>
      </c>
      <c r="C50" s="30">
        <v>4.9912720000000004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1">
        <v>0</v>
      </c>
      <c r="J50" s="30">
        <v>0</v>
      </c>
      <c r="K50" s="30">
        <v>0</v>
      </c>
      <c r="L50" s="30">
        <v>0</v>
      </c>
    </row>
    <row r="51" spans="1:12">
      <c r="A51" s="32" t="s">
        <v>58</v>
      </c>
      <c r="B51" s="30">
        <v>0</v>
      </c>
      <c r="C51" s="30">
        <v>1.2749999999999999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1">
        <v>0</v>
      </c>
      <c r="J51" s="30">
        <v>0</v>
      </c>
      <c r="K51" s="30">
        <v>0</v>
      </c>
      <c r="L51" s="30">
        <v>0</v>
      </c>
    </row>
    <row r="52" spans="1:12" ht="15.75">
      <c r="A52" s="42" t="s">
        <v>59</v>
      </c>
      <c r="B52" s="43">
        <f>SUM(B53:B87)</f>
        <v>0</v>
      </c>
      <c r="C52" s="43">
        <f t="shared" ref="C52:L52" si="13">SUM(C53:C87)</f>
        <v>0</v>
      </c>
      <c r="D52" s="43">
        <f t="shared" si="13"/>
        <v>0</v>
      </c>
      <c r="E52" s="43">
        <f t="shared" si="13"/>
        <v>1.6268899999999999</v>
      </c>
      <c r="F52" s="43">
        <f t="shared" si="13"/>
        <v>367.65664600000002</v>
      </c>
      <c r="G52" s="43">
        <f t="shared" si="13"/>
        <v>2126.5504249999999</v>
      </c>
      <c r="H52" s="43">
        <f t="shared" si="13"/>
        <v>3426.8094489999999</v>
      </c>
      <c r="I52" s="44">
        <f t="shared" si="13"/>
        <v>2229.0128209999993</v>
      </c>
      <c r="J52" s="43">
        <f t="shared" si="13"/>
        <v>2338.2552110000006</v>
      </c>
      <c r="K52" s="43">
        <f t="shared" si="13"/>
        <v>2104.7334230000001</v>
      </c>
      <c r="L52" s="43">
        <f t="shared" si="13"/>
        <v>1618.3391010000005</v>
      </c>
    </row>
    <row r="53" spans="1:12">
      <c r="A53" s="32" t="s">
        <v>60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916.15583400000003</v>
      </c>
      <c r="I53" s="31">
        <v>182.54507100000001</v>
      </c>
      <c r="J53" s="30">
        <v>0</v>
      </c>
      <c r="K53" s="30">
        <v>0</v>
      </c>
      <c r="L53" s="30">
        <v>0</v>
      </c>
    </row>
    <row r="54" spans="1:12">
      <c r="A54" s="32" t="s">
        <v>61</v>
      </c>
      <c r="B54" s="30">
        <v>0</v>
      </c>
      <c r="C54" s="30">
        <v>0</v>
      </c>
      <c r="D54" s="30">
        <v>0</v>
      </c>
      <c r="E54" s="30">
        <v>0</v>
      </c>
      <c r="F54" s="30">
        <v>0</v>
      </c>
      <c r="G54" s="30">
        <v>213.23795799999999</v>
      </c>
      <c r="H54" s="30">
        <v>403.45188999999999</v>
      </c>
      <c r="I54" s="31">
        <v>247.70092199999999</v>
      </c>
      <c r="J54" s="30">
        <v>96.041645000000003</v>
      </c>
      <c r="K54" s="30">
        <v>90.708590000000001</v>
      </c>
      <c r="L54" s="30">
        <v>45.015281999999999</v>
      </c>
    </row>
    <row r="55" spans="1:12" hidden="1">
      <c r="A55" s="32" t="s">
        <v>62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1">
        <v>0</v>
      </c>
      <c r="J55" s="30">
        <v>0</v>
      </c>
      <c r="K55" s="30">
        <v>0</v>
      </c>
      <c r="L55" s="30">
        <v>0</v>
      </c>
    </row>
    <row r="56" spans="1:12" hidden="1">
      <c r="A56" s="32" t="s">
        <v>63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1">
        <v>0</v>
      </c>
      <c r="J56" s="30">
        <v>0</v>
      </c>
      <c r="K56" s="30">
        <v>0</v>
      </c>
      <c r="L56" s="30">
        <v>0</v>
      </c>
    </row>
    <row r="57" spans="1:12" hidden="1">
      <c r="A57" s="32" t="s">
        <v>64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1">
        <v>0</v>
      </c>
      <c r="J57" s="30">
        <v>0</v>
      </c>
      <c r="K57" s="30">
        <v>0</v>
      </c>
      <c r="L57" s="30">
        <v>0</v>
      </c>
    </row>
    <row r="58" spans="1:12" hidden="1">
      <c r="A58" s="32" t="s">
        <v>65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1">
        <v>0</v>
      </c>
      <c r="J58" s="30">
        <v>0</v>
      </c>
      <c r="K58" s="30">
        <v>0</v>
      </c>
      <c r="L58" s="30">
        <v>0</v>
      </c>
    </row>
    <row r="59" spans="1:12" hidden="1">
      <c r="A59" s="32" t="s">
        <v>66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1">
        <v>0</v>
      </c>
      <c r="J59" s="30">
        <v>0</v>
      </c>
      <c r="K59" s="30">
        <v>0</v>
      </c>
      <c r="L59" s="30">
        <v>0</v>
      </c>
    </row>
    <row r="60" spans="1:12" hidden="1">
      <c r="A60" s="32" t="s">
        <v>67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1">
        <v>0</v>
      </c>
      <c r="J60" s="30">
        <v>0</v>
      </c>
      <c r="K60" s="30">
        <v>0</v>
      </c>
      <c r="L60" s="30">
        <v>0</v>
      </c>
    </row>
    <row r="61" spans="1:12">
      <c r="A61" s="32" t="s">
        <v>68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15.992473</v>
      </c>
      <c r="I61" s="31">
        <v>0</v>
      </c>
      <c r="J61" s="30">
        <v>0</v>
      </c>
      <c r="K61" s="30">
        <v>0</v>
      </c>
      <c r="L61" s="30">
        <v>0</v>
      </c>
    </row>
    <row r="62" spans="1:12">
      <c r="A62" s="32" t="s">
        <v>131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1">
        <v>0</v>
      </c>
      <c r="J62" s="30">
        <v>13.455707</v>
      </c>
      <c r="K62" s="30">
        <v>33</v>
      </c>
      <c r="L62" s="30">
        <v>37.4</v>
      </c>
    </row>
    <row r="63" spans="1:12">
      <c r="A63" s="32" t="s">
        <v>69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1">
        <v>0</v>
      </c>
      <c r="J63" s="30">
        <v>5.9177910000000002</v>
      </c>
      <c r="K63" s="30">
        <v>12</v>
      </c>
      <c r="L63" s="30">
        <v>13.6</v>
      </c>
    </row>
    <row r="64" spans="1:12">
      <c r="A64" s="32" t="s">
        <v>70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1">
        <v>0</v>
      </c>
      <c r="J64" s="30">
        <v>5.9177910000000002</v>
      </c>
      <c r="K64" s="30">
        <v>12</v>
      </c>
      <c r="L64" s="30">
        <v>13.6</v>
      </c>
    </row>
    <row r="65" spans="1:12">
      <c r="A65" s="32" t="s">
        <v>71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1">
        <v>0</v>
      </c>
      <c r="J65" s="30">
        <v>5.9177910000000002</v>
      </c>
      <c r="K65" s="30">
        <v>12</v>
      </c>
      <c r="L65" s="30">
        <v>13.6</v>
      </c>
    </row>
    <row r="66" spans="1:12">
      <c r="A66" s="32" t="s">
        <v>72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1">
        <v>0</v>
      </c>
      <c r="J66" s="30">
        <v>5.9177910000000002</v>
      </c>
      <c r="K66" s="30">
        <v>12</v>
      </c>
      <c r="L66" s="30">
        <v>13.6</v>
      </c>
    </row>
    <row r="67" spans="1:12">
      <c r="A67" s="32" t="s">
        <v>73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1">
        <v>0</v>
      </c>
      <c r="J67" s="30">
        <v>0</v>
      </c>
      <c r="K67" s="30">
        <v>0</v>
      </c>
      <c r="L67" s="30">
        <v>0</v>
      </c>
    </row>
    <row r="68" spans="1:12">
      <c r="A68" s="32" t="s">
        <v>74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1">
        <v>0</v>
      </c>
      <c r="J68" s="30">
        <v>0</v>
      </c>
      <c r="K68" s="30">
        <v>0</v>
      </c>
      <c r="L68" s="30">
        <v>0</v>
      </c>
    </row>
    <row r="69" spans="1:12">
      <c r="A69" s="32" t="s">
        <v>75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50.771768999999999</v>
      </c>
      <c r="I69" s="31">
        <v>0</v>
      </c>
      <c r="J69" s="30">
        <v>0</v>
      </c>
      <c r="K69" s="30">
        <v>0</v>
      </c>
      <c r="L69" s="30">
        <v>0</v>
      </c>
    </row>
    <row r="70" spans="1:12">
      <c r="A70" s="32" t="s">
        <v>9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1546.92904</v>
      </c>
      <c r="H70" s="30">
        <v>750.495768</v>
      </c>
      <c r="I70" s="31">
        <v>790.61475700000005</v>
      </c>
      <c r="J70" s="30">
        <v>1212.0918409999999</v>
      </c>
      <c r="K70" s="30">
        <v>700</v>
      </c>
      <c r="L70" s="30">
        <v>717.41519800000003</v>
      </c>
    </row>
    <row r="71" spans="1:12">
      <c r="A71" s="32" t="s">
        <v>27</v>
      </c>
      <c r="B71" s="30">
        <v>0</v>
      </c>
      <c r="C71" s="30">
        <v>0</v>
      </c>
      <c r="D71" s="30">
        <v>0</v>
      </c>
      <c r="E71" s="30">
        <v>0</v>
      </c>
      <c r="F71" s="30">
        <v>0</v>
      </c>
      <c r="G71" s="30">
        <v>0</v>
      </c>
      <c r="H71" s="30">
        <v>0</v>
      </c>
      <c r="I71" s="31">
        <v>0</v>
      </c>
      <c r="J71" s="30">
        <v>0</v>
      </c>
      <c r="K71" s="30">
        <v>0</v>
      </c>
      <c r="L71" s="30">
        <v>0</v>
      </c>
    </row>
    <row r="72" spans="1:12">
      <c r="A72" s="32" t="s">
        <v>76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1">
        <v>0</v>
      </c>
      <c r="J72" s="30">
        <v>0</v>
      </c>
      <c r="K72" s="30">
        <v>0</v>
      </c>
      <c r="L72" s="30">
        <v>0</v>
      </c>
    </row>
    <row r="73" spans="1:12">
      <c r="A73" s="32" t="s">
        <v>77</v>
      </c>
      <c r="B73" s="30">
        <v>0</v>
      </c>
      <c r="C73" s="30">
        <v>0</v>
      </c>
      <c r="D73" s="30">
        <v>0</v>
      </c>
      <c r="E73" s="30">
        <v>1.6268899999999999</v>
      </c>
      <c r="F73" s="30">
        <v>367.65664600000002</v>
      </c>
      <c r="G73" s="30">
        <v>366.38342699999998</v>
      </c>
      <c r="H73" s="30">
        <v>727.60036700000001</v>
      </c>
      <c r="I73" s="31">
        <v>117.475984</v>
      </c>
      <c r="J73" s="30">
        <v>124.890503</v>
      </c>
      <c r="K73" s="30">
        <v>386.29539399999999</v>
      </c>
      <c r="L73" s="30">
        <v>167.053392</v>
      </c>
    </row>
    <row r="74" spans="1:12">
      <c r="A74" s="32" t="s">
        <v>78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463.39850899999999</v>
      </c>
      <c r="I74" s="31">
        <v>711.81229099999996</v>
      </c>
      <c r="J74" s="30">
        <v>0</v>
      </c>
      <c r="K74" s="30">
        <v>0</v>
      </c>
      <c r="L74" s="30">
        <v>0</v>
      </c>
    </row>
    <row r="75" spans="1:12">
      <c r="A75" s="32" t="s">
        <v>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67.628630999999999</v>
      </c>
      <c r="I75" s="31">
        <v>111.4864</v>
      </c>
      <c r="J75" s="30">
        <v>0</v>
      </c>
      <c r="K75" s="30">
        <v>0</v>
      </c>
      <c r="L75" s="30">
        <v>0</v>
      </c>
    </row>
    <row r="76" spans="1:12">
      <c r="A76" s="32" t="s">
        <v>78</v>
      </c>
      <c r="B76" s="30">
        <v>0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31.314208000000001</v>
      </c>
      <c r="I76" s="31">
        <v>0</v>
      </c>
      <c r="J76" s="30">
        <v>370.568602</v>
      </c>
      <c r="K76" s="30">
        <v>346.04578199999997</v>
      </c>
      <c r="L76" s="30">
        <v>167.02439200000001</v>
      </c>
    </row>
    <row r="77" spans="1:12">
      <c r="A77" s="32" t="s">
        <v>8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1">
        <v>0</v>
      </c>
      <c r="J77" s="30">
        <v>189.48624100000001</v>
      </c>
      <c r="K77" s="30">
        <v>131.11635699999999</v>
      </c>
      <c r="L77" s="30">
        <v>54.323537000000002</v>
      </c>
    </row>
    <row r="78" spans="1:12">
      <c r="A78" s="32" t="s">
        <v>108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1">
        <v>0</v>
      </c>
      <c r="J78" s="30">
        <v>47.007328000000001</v>
      </c>
      <c r="K78" s="30">
        <v>33.890999999999998</v>
      </c>
      <c r="L78" s="30">
        <v>33.890999999999998</v>
      </c>
    </row>
    <row r="79" spans="1:12">
      <c r="A79" s="32" t="s">
        <v>109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1">
        <v>67.377396000000005</v>
      </c>
      <c r="J79" s="30">
        <v>0</v>
      </c>
      <c r="K79" s="30">
        <v>0</v>
      </c>
      <c r="L79" s="30">
        <v>0</v>
      </c>
    </row>
    <row r="80" spans="1:12">
      <c r="A80" s="32" t="s">
        <v>110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1">
        <v>0</v>
      </c>
      <c r="J80" s="30">
        <v>49.963265999999997</v>
      </c>
      <c r="K80" s="30">
        <v>56.735300000000002</v>
      </c>
      <c r="L80" s="30">
        <v>56.735300000000002</v>
      </c>
    </row>
    <row r="81" spans="1:12">
      <c r="A81" s="32" t="s">
        <v>111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1">
        <v>0</v>
      </c>
      <c r="J81" s="30">
        <v>9.1365020000000001</v>
      </c>
      <c r="K81" s="30">
        <v>9</v>
      </c>
      <c r="L81" s="30">
        <v>9</v>
      </c>
    </row>
    <row r="82" spans="1:12">
      <c r="A82" s="32" t="s">
        <v>112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1">
        <v>0</v>
      </c>
      <c r="J82" s="30">
        <v>115.71908500000001</v>
      </c>
      <c r="K82" s="30">
        <v>152.55000000000001</v>
      </c>
      <c r="L82" s="30">
        <v>152.88999999999999</v>
      </c>
    </row>
    <row r="83" spans="1:12">
      <c r="A83" s="32" t="s">
        <v>113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1">
        <v>0</v>
      </c>
      <c r="J83" s="30">
        <v>22.383799</v>
      </c>
      <c r="K83" s="30">
        <v>33.890999999999998</v>
      </c>
      <c r="L83" s="30">
        <v>33.890999999999998</v>
      </c>
    </row>
    <row r="84" spans="1:12">
      <c r="A84" s="32" t="s">
        <v>114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1">
        <v>0</v>
      </c>
      <c r="J84" s="30">
        <v>46.102459000000003</v>
      </c>
      <c r="K84" s="30">
        <v>40</v>
      </c>
      <c r="L84" s="30">
        <v>40</v>
      </c>
    </row>
    <row r="85" spans="1:12">
      <c r="A85" s="32" t="s">
        <v>115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1">
        <v>0</v>
      </c>
      <c r="J85" s="30">
        <v>9.1743469999999991</v>
      </c>
      <c r="K85" s="30">
        <v>22.5</v>
      </c>
      <c r="L85" s="30">
        <v>25.5</v>
      </c>
    </row>
    <row r="86" spans="1:12">
      <c r="A86" s="32" t="s">
        <v>116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1">
        <v>0</v>
      </c>
      <c r="J86" s="30">
        <v>4.2813610000000004</v>
      </c>
      <c r="K86" s="30">
        <v>10.5</v>
      </c>
      <c r="L86" s="30">
        <v>11.9</v>
      </c>
    </row>
    <row r="87" spans="1:12">
      <c r="A87" s="32" t="s">
        <v>117</v>
      </c>
      <c r="B87" s="30">
        <v>0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1">
        <v>0</v>
      </c>
      <c r="J87" s="30">
        <v>4.2813610000000004</v>
      </c>
      <c r="K87" s="30">
        <v>10.5</v>
      </c>
      <c r="L87" s="30">
        <v>11.9</v>
      </c>
    </row>
    <row r="88" spans="1:12" ht="15.75">
      <c r="A88" s="42" t="s">
        <v>79</v>
      </c>
      <c r="B88" s="43">
        <f>SUM(B89:B92)</f>
        <v>1150.621112</v>
      </c>
      <c r="C88" s="43">
        <f t="shared" ref="C88:L88" si="14">SUM(C89:C92)</f>
        <v>711.35315200000002</v>
      </c>
      <c r="D88" s="43">
        <f t="shared" si="14"/>
        <v>67.640708000000004</v>
      </c>
      <c r="E88" s="43">
        <f t="shared" si="14"/>
        <v>122.45209699999999</v>
      </c>
      <c r="F88" s="43">
        <f t="shared" si="14"/>
        <v>58.142526000000004</v>
      </c>
      <c r="G88" s="43">
        <f t="shared" si="14"/>
        <v>0</v>
      </c>
      <c r="H88" s="43">
        <f t="shared" si="14"/>
        <v>0</v>
      </c>
      <c r="I88" s="44">
        <f t="shared" si="14"/>
        <v>0</v>
      </c>
      <c r="J88" s="43">
        <f t="shared" si="14"/>
        <v>0</v>
      </c>
      <c r="K88" s="43">
        <f t="shared" si="14"/>
        <v>0</v>
      </c>
      <c r="L88" s="43">
        <f t="shared" si="14"/>
        <v>0</v>
      </c>
    </row>
    <row r="89" spans="1:12">
      <c r="A89" s="32" t="s">
        <v>80</v>
      </c>
      <c r="B89" s="30">
        <v>1150.621112</v>
      </c>
      <c r="C89" s="30">
        <v>50.546923</v>
      </c>
      <c r="D89" s="30">
        <v>0</v>
      </c>
      <c r="E89" s="30">
        <v>59.121913999999997</v>
      </c>
      <c r="F89" s="30"/>
      <c r="G89" s="30">
        <v>0</v>
      </c>
      <c r="H89" s="30">
        <v>0</v>
      </c>
      <c r="I89" s="31">
        <v>0</v>
      </c>
      <c r="J89" s="30">
        <v>0</v>
      </c>
      <c r="K89" s="30">
        <v>0</v>
      </c>
      <c r="L89" s="30">
        <v>0</v>
      </c>
    </row>
    <row r="90" spans="1:12">
      <c r="A90" s="32" t="s">
        <v>81</v>
      </c>
      <c r="B90" s="30">
        <v>0</v>
      </c>
      <c r="C90" s="30">
        <v>0</v>
      </c>
      <c r="D90" s="30">
        <v>0</v>
      </c>
      <c r="E90" s="30">
        <v>0</v>
      </c>
      <c r="F90" s="30">
        <v>-1.5105E-2</v>
      </c>
      <c r="G90" s="30">
        <v>0</v>
      </c>
      <c r="H90" s="30">
        <v>0</v>
      </c>
      <c r="I90" s="31">
        <v>0</v>
      </c>
      <c r="J90" s="30">
        <v>0</v>
      </c>
      <c r="K90" s="30">
        <v>0</v>
      </c>
      <c r="L90" s="30">
        <v>0</v>
      </c>
    </row>
    <row r="91" spans="1:12">
      <c r="A91" s="32" t="s">
        <v>82</v>
      </c>
      <c r="B91" s="30"/>
      <c r="C91" s="30">
        <v>660.80622900000003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1">
        <v>0</v>
      </c>
      <c r="J91" s="30">
        <v>0</v>
      </c>
      <c r="K91" s="30">
        <v>0</v>
      </c>
      <c r="L91" s="30">
        <v>0</v>
      </c>
    </row>
    <row r="92" spans="1:12">
      <c r="A92" s="32" t="s">
        <v>83</v>
      </c>
      <c r="B92" s="30">
        <v>0</v>
      </c>
      <c r="C92" s="30">
        <v>0</v>
      </c>
      <c r="D92" s="30">
        <v>67.640708000000004</v>
      </c>
      <c r="E92" s="30">
        <v>63.330182999999998</v>
      </c>
      <c r="F92" s="30">
        <v>58.157631000000002</v>
      </c>
      <c r="G92" s="30">
        <v>0</v>
      </c>
      <c r="H92" s="30">
        <v>0</v>
      </c>
      <c r="I92" s="31">
        <v>0</v>
      </c>
      <c r="J92" s="30">
        <v>0</v>
      </c>
      <c r="K92" s="30">
        <v>0</v>
      </c>
      <c r="L92" s="30">
        <v>0</v>
      </c>
    </row>
    <row r="93" spans="1:12" ht="15.75">
      <c r="A93" s="42" t="s">
        <v>84</v>
      </c>
      <c r="B93" s="43">
        <f>SUM(B94:B95)</f>
        <v>0</v>
      </c>
      <c r="C93" s="43">
        <f t="shared" ref="C93:L93" si="15">SUM(C94:C95)</f>
        <v>0</v>
      </c>
      <c r="D93" s="43">
        <f t="shared" si="15"/>
        <v>0</v>
      </c>
      <c r="E93" s="43">
        <f t="shared" si="15"/>
        <v>0</v>
      </c>
      <c r="F93" s="43">
        <f t="shared" si="15"/>
        <v>0</v>
      </c>
      <c r="G93" s="43">
        <f t="shared" si="15"/>
        <v>0</v>
      </c>
      <c r="H93" s="43">
        <f t="shared" si="15"/>
        <v>572.91983600000003</v>
      </c>
      <c r="I93" s="44">
        <f t="shared" si="15"/>
        <v>1028.1267969999999</v>
      </c>
      <c r="J93" s="43">
        <f t="shared" si="15"/>
        <v>0</v>
      </c>
      <c r="K93" s="43">
        <f t="shared" si="15"/>
        <v>0</v>
      </c>
      <c r="L93" s="43">
        <f t="shared" si="15"/>
        <v>0</v>
      </c>
    </row>
    <row r="94" spans="1:12">
      <c r="A94" s="32" t="s">
        <v>26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572.91983600000003</v>
      </c>
      <c r="I94" s="31">
        <v>1028.1267969999999</v>
      </c>
      <c r="J94" s="30">
        <v>0</v>
      </c>
      <c r="K94" s="30">
        <v>0</v>
      </c>
      <c r="L94" s="30">
        <v>0</v>
      </c>
    </row>
    <row r="95" spans="1:12">
      <c r="A95" s="32" t="s">
        <v>76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1"/>
      <c r="J95" s="30">
        <v>0</v>
      </c>
      <c r="K95" s="30">
        <v>0</v>
      </c>
      <c r="L95" s="30">
        <v>0</v>
      </c>
    </row>
    <row r="96" spans="1:12" ht="15.75">
      <c r="A96" s="42" t="s">
        <v>132</v>
      </c>
      <c r="B96" s="43">
        <f>SUM(B97:B105)</f>
        <v>0</v>
      </c>
      <c r="C96" s="43">
        <f t="shared" ref="C96:L96" si="16">SUM(C97:C105)</f>
        <v>0</v>
      </c>
      <c r="D96" s="43">
        <f t="shared" si="16"/>
        <v>0.416047</v>
      </c>
      <c r="E96" s="43">
        <f t="shared" si="16"/>
        <v>11.818293000000001</v>
      </c>
      <c r="F96" s="43">
        <f t="shared" si="16"/>
        <v>5.8313949999999997</v>
      </c>
      <c r="G96" s="43">
        <f t="shared" si="16"/>
        <v>7.7871629999999996</v>
      </c>
      <c r="H96" s="43">
        <f t="shared" si="16"/>
        <v>59.020105999999998</v>
      </c>
      <c r="I96" s="44">
        <f t="shared" si="16"/>
        <v>39.013862000000003</v>
      </c>
      <c r="J96" s="43">
        <f t="shared" si="16"/>
        <v>224.611088</v>
      </c>
      <c r="K96" s="43">
        <f t="shared" si="16"/>
        <v>176.023369</v>
      </c>
      <c r="L96" s="43">
        <f t="shared" si="16"/>
        <v>173.24633299999999</v>
      </c>
    </row>
    <row r="97" spans="1:12">
      <c r="A97" s="32" t="s">
        <v>22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1">
        <v>36.754305000000002</v>
      </c>
      <c r="J97" s="30">
        <v>112.21611900000001</v>
      </c>
      <c r="K97" s="30">
        <v>72.55</v>
      </c>
      <c r="L97" s="30">
        <v>91.626527999999993</v>
      </c>
    </row>
    <row r="98" spans="1:12">
      <c r="A98" s="32" t="s">
        <v>32</v>
      </c>
      <c r="B98" s="30">
        <v>0</v>
      </c>
      <c r="C98" s="30">
        <v>0</v>
      </c>
      <c r="D98" s="30">
        <v>0</v>
      </c>
      <c r="E98" s="30">
        <v>7.322864</v>
      </c>
      <c r="F98" s="30">
        <v>0</v>
      </c>
      <c r="G98" s="30">
        <v>0</v>
      </c>
      <c r="H98" s="30">
        <v>15.282059</v>
      </c>
      <c r="I98" s="31">
        <v>0</v>
      </c>
      <c r="J98" s="30">
        <v>10</v>
      </c>
      <c r="K98" s="30">
        <v>5.9819019999999998</v>
      </c>
      <c r="L98" s="30">
        <v>0</v>
      </c>
    </row>
    <row r="99" spans="1:12">
      <c r="A99" s="32" t="s">
        <v>85</v>
      </c>
      <c r="B99" s="30">
        <v>0</v>
      </c>
      <c r="C99" s="30">
        <v>0</v>
      </c>
      <c r="D99" s="30">
        <v>0.416047</v>
      </c>
      <c r="E99" s="30">
        <v>2.7649680000000001</v>
      </c>
      <c r="F99" s="30">
        <v>0</v>
      </c>
      <c r="G99" s="30">
        <v>0</v>
      </c>
      <c r="H99" s="30">
        <v>0</v>
      </c>
      <c r="I99" s="31">
        <v>0</v>
      </c>
      <c r="J99" s="30">
        <v>8.3218940000000003</v>
      </c>
      <c r="K99" s="30">
        <v>12</v>
      </c>
      <c r="L99" s="30">
        <v>21.988465999999999</v>
      </c>
    </row>
    <row r="100" spans="1:12">
      <c r="A100" s="32" t="s">
        <v>33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43.738047000000002</v>
      </c>
      <c r="I100" s="31">
        <v>0</v>
      </c>
      <c r="J100" s="30">
        <v>45</v>
      </c>
      <c r="K100" s="30">
        <v>32.936732999999997</v>
      </c>
      <c r="L100" s="30">
        <v>0</v>
      </c>
    </row>
    <row r="101" spans="1:12">
      <c r="A101" s="32" t="s">
        <v>29</v>
      </c>
      <c r="B101" s="30">
        <v>0</v>
      </c>
      <c r="C101" s="30">
        <v>0</v>
      </c>
      <c r="D101" s="30">
        <v>0</v>
      </c>
      <c r="E101" s="30">
        <v>1.730461</v>
      </c>
      <c r="F101" s="30">
        <v>5.8313949999999997</v>
      </c>
      <c r="G101" s="30">
        <v>7.7871629999999996</v>
      </c>
      <c r="H101" s="30">
        <v>0</v>
      </c>
      <c r="I101" s="31">
        <v>0</v>
      </c>
      <c r="J101" s="30">
        <v>0</v>
      </c>
      <c r="K101" s="30">
        <v>0</v>
      </c>
      <c r="L101" s="30">
        <v>0</v>
      </c>
    </row>
    <row r="102" spans="1:12">
      <c r="A102" s="32" t="s">
        <v>118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1">
        <v>2.259557</v>
      </c>
      <c r="J102" s="30">
        <v>3.2094969999999998</v>
      </c>
      <c r="K102" s="30">
        <v>3.2503980000000001</v>
      </c>
      <c r="L102" s="30">
        <v>3.292116</v>
      </c>
    </row>
    <row r="103" spans="1:12">
      <c r="A103" s="32" t="s">
        <v>119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1">
        <v>0</v>
      </c>
      <c r="J103" s="30">
        <v>10</v>
      </c>
      <c r="K103" s="30">
        <v>12</v>
      </c>
      <c r="L103" s="30">
        <v>15</v>
      </c>
    </row>
    <row r="104" spans="1:12">
      <c r="A104" s="32" t="s">
        <v>34</v>
      </c>
      <c r="B104" s="30">
        <v>0</v>
      </c>
      <c r="C104" s="30">
        <v>0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1">
        <v>0</v>
      </c>
      <c r="J104" s="30">
        <v>35</v>
      </c>
      <c r="K104" s="30">
        <v>36.042828999999998</v>
      </c>
      <c r="L104" s="30">
        <v>40</v>
      </c>
    </row>
    <row r="105" spans="1:12">
      <c r="A105" s="32" t="s">
        <v>105</v>
      </c>
      <c r="B105" s="30">
        <v>0</v>
      </c>
      <c r="C105" s="30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1">
        <v>0</v>
      </c>
      <c r="J105" s="30">
        <v>0.86357799999999996</v>
      </c>
      <c r="K105" s="30">
        <v>1.2615069999999999</v>
      </c>
      <c r="L105" s="30">
        <v>1.3392230000000001</v>
      </c>
    </row>
    <row r="106" spans="1:12" ht="15.75">
      <c r="A106" s="42" t="s">
        <v>86</v>
      </c>
      <c r="B106" s="43">
        <f>SUM(B107:B108)</f>
        <v>3.875683</v>
      </c>
      <c r="C106" s="43">
        <f t="shared" ref="C106:L106" si="17">SUM(C107:C108)</f>
        <v>4.0679610000000004</v>
      </c>
      <c r="D106" s="43">
        <f t="shared" si="17"/>
        <v>0</v>
      </c>
      <c r="E106" s="43">
        <f t="shared" si="17"/>
        <v>0</v>
      </c>
      <c r="F106" s="43">
        <f t="shared" si="17"/>
        <v>0.121479</v>
      </c>
      <c r="G106" s="43">
        <f t="shared" si="17"/>
        <v>1.787037</v>
      </c>
      <c r="H106" s="43">
        <f t="shared" si="17"/>
        <v>7.7880779999999996</v>
      </c>
      <c r="I106" s="44">
        <f t="shared" si="17"/>
        <v>15.650218000000001</v>
      </c>
      <c r="J106" s="43">
        <f t="shared" si="17"/>
        <v>11.095859000000001</v>
      </c>
      <c r="K106" s="43">
        <f t="shared" si="17"/>
        <v>4.8222240000000003</v>
      </c>
      <c r="L106" s="43">
        <f t="shared" si="17"/>
        <v>0</v>
      </c>
    </row>
    <row r="107" spans="1:12">
      <c r="A107" s="32" t="s">
        <v>87</v>
      </c>
      <c r="B107" s="30">
        <v>3.875683</v>
      </c>
      <c r="C107" s="30">
        <v>4.0679610000000004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</row>
    <row r="108" spans="1:12">
      <c r="A108" s="32" t="s">
        <v>23</v>
      </c>
      <c r="B108" s="30">
        <v>0</v>
      </c>
      <c r="C108" s="30">
        <v>0</v>
      </c>
      <c r="D108" s="30">
        <v>0</v>
      </c>
      <c r="E108" s="30">
        <v>0</v>
      </c>
      <c r="F108" s="30">
        <v>0.121479</v>
      </c>
      <c r="G108" s="30">
        <v>1.787037</v>
      </c>
      <c r="H108" s="30">
        <v>7.7880779999999996</v>
      </c>
      <c r="I108" s="31">
        <v>15.650218000000001</v>
      </c>
      <c r="J108" s="30">
        <v>11.095859000000001</v>
      </c>
      <c r="K108" s="30">
        <v>4.8222240000000003</v>
      </c>
      <c r="L108" s="30">
        <v>0</v>
      </c>
    </row>
    <row r="109" spans="1:12" ht="15.75">
      <c r="A109" s="42" t="s">
        <v>88</v>
      </c>
      <c r="B109" s="43">
        <f>SUM(B110:B122)</f>
        <v>200.89760799999999</v>
      </c>
      <c r="C109" s="43">
        <f t="shared" ref="C109:L109" si="18">SUM(C110:C122)</f>
        <v>89.898685</v>
      </c>
      <c r="D109" s="43">
        <f t="shared" si="18"/>
        <v>56.228341999999998</v>
      </c>
      <c r="E109" s="43">
        <f t="shared" si="18"/>
        <v>136.857215</v>
      </c>
      <c r="F109" s="43">
        <f t="shared" si="18"/>
        <v>5.1851019999999997</v>
      </c>
      <c r="G109" s="43">
        <f t="shared" si="18"/>
        <v>37.268259999999998</v>
      </c>
      <c r="H109" s="43">
        <f t="shared" si="18"/>
        <v>32.046645999999996</v>
      </c>
      <c r="I109" s="44">
        <f t="shared" si="18"/>
        <v>7.6986759999999999</v>
      </c>
      <c r="J109" s="43">
        <f t="shared" si="18"/>
        <v>85.468018999999998</v>
      </c>
      <c r="K109" s="43">
        <f t="shared" si="18"/>
        <v>98.324027999999998</v>
      </c>
      <c r="L109" s="43">
        <f t="shared" si="18"/>
        <v>99.698892999999998</v>
      </c>
    </row>
    <row r="110" spans="1:12">
      <c r="A110" s="32" t="s">
        <v>89</v>
      </c>
      <c r="B110" s="30">
        <v>0</v>
      </c>
      <c r="C110" s="30">
        <v>0</v>
      </c>
      <c r="D110" s="30">
        <v>0</v>
      </c>
      <c r="E110" s="30">
        <v>4.9705539999999999</v>
      </c>
      <c r="F110" s="30">
        <v>0</v>
      </c>
      <c r="G110" s="30">
        <v>0</v>
      </c>
      <c r="H110" s="30">
        <v>0</v>
      </c>
      <c r="I110" s="31">
        <v>0</v>
      </c>
      <c r="J110" s="30">
        <v>0</v>
      </c>
      <c r="K110" s="30">
        <v>0</v>
      </c>
      <c r="L110" s="30">
        <v>0</v>
      </c>
    </row>
    <row r="111" spans="1:12">
      <c r="A111" s="32" t="s">
        <v>34</v>
      </c>
      <c r="B111" s="30">
        <v>0</v>
      </c>
      <c r="C111" s="30">
        <v>0</v>
      </c>
      <c r="D111" s="30">
        <v>0</v>
      </c>
      <c r="E111" s="30">
        <v>123.712828</v>
      </c>
      <c r="F111" s="30">
        <v>0</v>
      </c>
      <c r="G111" s="30">
        <v>33.638069999999999</v>
      </c>
      <c r="H111" s="30">
        <v>9.2816379999999992</v>
      </c>
      <c r="I111" s="31">
        <v>0</v>
      </c>
      <c r="J111" s="30">
        <v>0</v>
      </c>
      <c r="K111" s="30">
        <v>0</v>
      </c>
      <c r="L111" s="30">
        <v>0</v>
      </c>
    </row>
    <row r="112" spans="1:12">
      <c r="A112" s="32" t="s">
        <v>90</v>
      </c>
      <c r="B112" s="30">
        <v>0</v>
      </c>
      <c r="C112" s="30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1">
        <v>0</v>
      </c>
      <c r="J112" s="30">
        <v>23.578700000000001</v>
      </c>
      <c r="K112" s="30">
        <v>25.5</v>
      </c>
      <c r="L112" s="30">
        <v>25.5</v>
      </c>
    </row>
    <row r="113" spans="1:12">
      <c r="A113" s="32" t="s">
        <v>24</v>
      </c>
      <c r="B113" s="30">
        <v>0</v>
      </c>
      <c r="C113" s="30">
        <v>0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1">
        <v>0</v>
      </c>
      <c r="J113" s="30">
        <v>23.578700000000001</v>
      </c>
      <c r="K113" s="30">
        <v>25.5</v>
      </c>
      <c r="L113" s="30">
        <v>25.5</v>
      </c>
    </row>
    <row r="114" spans="1:12">
      <c r="A114" s="32" t="s">
        <v>91</v>
      </c>
      <c r="B114" s="30">
        <v>6.7162290000000002</v>
      </c>
      <c r="C114" s="30">
        <v>15.898467</v>
      </c>
      <c r="D114" s="30">
        <v>6.9545130000000004</v>
      </c>
      <c r="E114" s="30">
        <v>1.462035</v>
      </c>
      <c r="F114" s="30">
        <v>0</v>
      </c>
      <c r="G114" s="30">
        <v>0</v>
      </c>
      <c r="H114" s="30">
        <v>0</v>
      </c>
      <c r="I114" s="31">
        <v>0</v>
      </c>
      <c r="J114" s="30">
        <v>0</v>
      </c>
      <c r="K114" s="30">
        <v>0</v>
      </c>
      <c r="L114" s="30">
        <v>0</v>
      </c>
    </row>
    <row r="115" spans="1:12">
      <c r="A115" s="32" t="s">
        <v>92</v>
      </c>
      <c r="B115" s="30">
        <v>9.6125000000000002E-2</v>
      </c>
      <c r="C115" s="30">
        <v>0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1">
        <v>0</v>
      </c>
      <c r="J115" s="30">
        <v>0</v>
      </c>
      <c r="K115" s="30">
        <v>0</v>
      </c>
      <c r="L115" s="30">
        <v>0</v>
      </c>
    </row>
    <row r="116" spans="1:12">
      <c r="A116" s="32" t="s">
        <v>93</v>
      </c>
      <c r="B116" s="30">
        <v>162.8535</v>
      </c>
      <c r="C116" s="30">
        <v>16.522089999999999</v>
      </c>
      <c r="D116" s="30">
        <v>0</v>
      </c>
      <c r="E116" s="30">
        <v>0</v>
      </c>
      <c r="F116" s="30">
        <v>5.1851019999999997</v>
      </c>
      <c r="G116" s="30">
        <v>0</v>
      </c>
      <c r="H116" s="30">
        <v>0</v>
      </c>
      <c r="I116" s="31">
        <v>0</v>
      </c>
      <c r="J116" s="30">
        <v>0</v>
      </c>
      <c r="K116" s="30">
        <v>0</v>
      </c>
      <c r="L116" s="30">
        <v>0</v>
      </c>
    </row>
    <row r="117" spans="1:12">
      <c r="A117" s="32" t="s">
        <v>7</v>
      </c>
      <c r="B117" s="30">
        <v>0</v>
      </c>
      <c r="C117" s="30">
        <v>0</v>
      </c>
      <c r="D117" s="30">
        <v>0</v>
      </c>
      <c r="E117" s="30">
        <v>0.108</v>
      </c>
      <c r="F117" s="30">
        <v>0</v>
      </c>
      <c r="G117" s="30">
        <v>0</v>
      </c>
      <c r="H117" s="30">
        <v>0.95576499999999998</v>
      </c>
      <c r="I117" s="31">
        <v>0</v>
      </c>
      <c r="J117" s="30">
        <v>0</v>
      </c>
      <c r="K117" s="30">
        <v>0</v>
      </c>
      <c r="L117" s="30">
        <v>0</v>
      </c>
    </row>
    <row r="118" spans="1:12">
      <c r="A118" s="32" t="s">
        <v>94</v>
      </c>
      <c r="B118" s="30">
        <v>31.231753999999999</v>
      </c>
      <c r="C118" s="30">
        <v>57.478127999999998</v>
      </c>
      <c r="D118" s="30">
        <v>49.273828999999999</v>
      </c>
      <c r="E118" s="30">
        <v>6.6037980000000003</v>
      </c>
      <c r="F118" s="30">
        <v>0</v>
      </c>
      <c r="G118" s="30">
        <v>3.6301899999999998</v>
      </c>
      <c r="H118" s="30">
        <v>21.012367999999999</v>
      </c>
      <c r="I118" s="31">
        <v>0</v>
      </c>
      <c r="J118" s="30">
        <v>0</v>
      </c>
      <c r="K118" s="30">
        <v>0</v>
      </c>
      <c r="L118" s="30">
        <v>0</v>
      </c>
    </row>
    <row r="119" spans="1:12">
      <c r="A119" s="32" t="s">
        <v>30</v>
      </c>
      <c r="B119" s="30">
        <v>0</v>
      </c>
      <c r="C119" s="30">
        <v>0</v>
      </c>
      <c r="D119" s="30">
        <v>0</v>
      </c>
      <c r="E119" s="30">
        <v>0</v>
      </c>
      <c r="F119" s="30">
        <v>0</v>
      </c>
      <c r="G119" s="30">
        <v>0</v>
      </c>
      <c r="H119" s="30">
        <v>0.796875</v>
      </c>
      <c r="I119" s="31">
        <v>0</v>
      </c>
      <c r="J119" s="30">
        <v>0</v>
      </c>
      <c r="K119" s="30">
        <v>0</v>
      </c>
      <c r="L119" s="30">
        <v>0</v>
      </c>
    </row>
    <row r="120" spans="1:12">
      <c r="A120" s="32" t="s">
        <v>120</v>
      </c>
      <c r="B120" s="30">
        <v>0</v>
      </c>
      <c r="C120" s="30">
        <v>0</v>
      </c>
      <c r="D120" s="30">
        <v>0</v>
      </c>
      <c r="E120" s="30">
        <v>0</v>
      </c>
      <c r="F120" s="30">
        <v>0</v>
      </c>
      <c r="G120" s="30">
        <v>0</v>
      </c>
      <c r="H120" s="30">
        <v>0</v>
      </c>
      <c r="I120" s="31">
        <v>0</v>
      </c>
      <c r="J120" s="30">
        <v>9.856306</v>
      </c>
      <c r="K120" s="30">
        <v>17.277999999999999</v>
      </c>
      <c r="L120" s="30">
        <v>18.341999999999999</v>
      </c>
    </row>
    <row r="121" spans="1:12">
      <c r="A121" s="32" t="s">
        <v>30</v>
      </c>
      <c r="B121" s="30">
        <v>0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1">
        <v>7.6986759999999999</v>
      </c>
      <c r="J121" s="30">
        <v>25</v>
      </c>
      <c r="K121" s="30">
        <v>25</v>
      </c>
      <c r="L121" s="30">
        <v>25</v>
      </c>
    </row>
    <row r="122" spans="1:12">
      <c r="A122" s="32" t="s">
        <v>105</v>
      </c>
      <c r="B122" s="30">
        <v>0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1">
        <v>0</v>
      </c>
      <c r="J122" s="30">
        <v>3.454313</v>
      </c>
      <c r="K122" s="30">
        <v>5.0460279999999997</v>
      </c>
      <c r="L122" s="30">
        <v>5.3568930000000003</v>
      </c>
    </row>
    <row r="123" spans="1:12" ht="15.75">
      <c r="A123" s="42" t="s">
        <v>3</v>
      </c>
      <c r="B123" s="43">
        <f>SUM(B124:B134)</f>
        <v>39.221474000000001</v>
      </c>
      <c r="C123" s="43">
        <f t="shared" ref="C123:L123" si="19">SUM(C124:C134)</f>
        <v>67.146174000000002</v>
      </c>
      <c r="D123" s="43">
        <f t="shared" si="19"/>
        <v>155.27542099999999</v>
      </c>
      <c r="E123" s="43">
        <f t="shared" si="19"/>
        <v>132.047945</v>
      </c>
      <c r="F123" s="43">
        <f t="shared" si="19"/>
        <v>36.000688000000004</v>
      </c>
      <c r="G123" s="43">
        <f t="shared" si="19"/>
        <v>152.975672</v>
      </c>
      <c r="H123" s="43">
        <f t="shared" si="19"/>
        <v>397.17409299999997</v>
      </c>
      <c r="I123" s="44">
        <f t="shared" si="19"/>
        <v>886.31791599999997</v>
      </c>
      <c r="J123" s="43">
        <f t="shared" si="19"/>
        <v>342.84743800000001</v>
      </c>
      <c r="K123" s="43">
        <f t="shared" si="19"/>
        <v>93.650240999999994</v>
      </c>
      <c r="L123" s="43">
        <f t="shared" si="19"/>
        <v>33.859569</v>
      </c>
    </row>
    <row r="124" spans="1:12">
      <c r="A124" s="32" t="s">
        <v>95</v>
      </c>
      <c r="B124" s="30">
        <v>0</v>
      </c>
      <c r="C124" s="30">
        <v>0</v>
      </c>
      <c r="D124" s="30">
        <v>0</v>
      </c>
      <c r="E124" s="30">
        <v>0</v>
      </c>
      <c r="F124" s="30">
        <v>0</v>
      </c>
      <c r="G124" s="30">
        <v>30.518169</v>
      </c>
      <c r="H124" s="30">
        <v>33.180795000000003</v>
      </c>
      <c r="I124" s="31">
        <v>53.459124000000003</v>
      </c>
      <c r="J124" s="30">
        <v>27.739647000000001</v>
      </c>
      <c r="K124" s="30">
        <v>30</v>
      </c>
      <c r="L124" s="30">
        <v>17.174769000000001</v>
      </c>
    </row>
    <row r="125" spans="1:12" hidden="1">
      <c r="A125" s="32" t="s">
        <v>16</v>
      </c>
      <c r="B125" s="30">
        <v>0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1">
        <v>0</v>
      </c>
      <c r="J125" s="30">
        <v>0</v>
      </c>
      <c r="K125" s="30">
        <v>0</v>
      </c>
      <c r="L125" s="30">
        <v>0</v>
      </c>
    </row>
    <row r="126" spans="1:12" hidden="1">
      <c r="A126" s="32" t="s">
        <v>17</v>
      </c>
      <c r="B126" s="30">
        <v>0</v>
      </c>
      <c r="C126" s="30">
        <v>0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1">
        <v>0</v>
      </c>
      <c r="J126" s="30">
        <v>0</v>
      </c>
      <c r="K126" s="30">
        <v>0</v>
      </c>
      <c r="L126" s="30">
        <v>0</v>
      </c>
    </row>
    <row r="127" spans="1:12">
      <c r="A127" s="32" t="s">
        <v>18</v>
      </c>
      <c r="B127" s="30">
        <v>0</v>
      </c>
      <c r="C127" s="30">
        <v>0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1">
        <v>0</v>
      </c>
      <c r="J127" s="30">
        <v>2.2440259999999999</v>
      </c>
      <c r="K127" s="30">
        <v>4.8537600000000003</v>
      </c>
      <c r="L127" s="30">
        <v>6.0671999999999997</v>
      </c>
    </row>
    <row r="128" spans="1:12">
      <c r="A128" s="32" t="s">
        <v>19</v>
      </c>
      <c r="B128" s="30">
        <v>0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1">
        <v>0</v>
      </c>
      <c r="J128" s="30">
        <v>1.9635229999999999</v>
      </c>
      <c r="K128" s="30">
        <v>4.2470400000000001</v>
      </c>
      <c r="L128" s="30">
        <v>5.3087999999999997</v>
      </c>
    </row>
    <row r="129" spans="1:12" hidden="1">
      <c r="A129" s="32" t="s">
        <v>96</v>
      </c>
      <c r="B129" s="30">
        <v>0</v>
      </c>
      <c r="C129" s="30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1">
        <v>0</v>
      </c>
      <c r="J129" s="30">
        <v>0</v>
      </c>
      <c r="K129" s="30">
        <v>0</v>
      </c>
      <c r="L129" s="30">
        <v>0</v>
      </c>
    </row>
    <row r="130" spans="1:12" hidden="1">
      <c r="A130" s="32" t="s">
        <v>20</v>
      </c>
      <c r="B130" s="30">
        <v>0</v>
      </c>
      <c r="C130" s="30">
        <v>0</v>
      </c>
      <c r="D130" s="30">
        <v>0</v>
      </c>
      <c r="E130" s="30">
        <v>0</v>
      </c>
      <c r="F130" s="30">
        <v>0</v>
      </c>
      <c r="G130" s="30">
        <v>0</v>
      </c>
      <c r="H130" s="30">
        <v>0</v>
      </c>
      <c r="I130" s="31">
        <v>0</v>
      </c>
      <c r="J130" s="30">
        <v>0</v>
      </c>
      <c r="K130" s="30">
        <v>0</v>
      </c>
      <c r="L130" s="30">
        <v>0</v>
      </c>
    </row>
    <row r="131" spans="1:12" hidden="1">
      <c r="A131" s="32" t="s">
        <v>21</v>
      </c>
      <c r="B131" s="30">
        <v>0</v>
      </c>
      <c r="C131" s="30">
        <v>0</v>
      </c>
      <c r="D131" s="30">
        <v>0</v>
      </c>
      <c r="E131" s="30">
        <v>0</v>
      </c>
      <c r="F131" s="30">
        <v>0</v>
      </c>
      <c r="G131" s="30">
        <v>0</v>
      </c>
      <c r="H131" s="30">
        <v>0</v>
      </c>
      <c r="I131" s="31">
        <v>0</v>
      </c>
      <c r="J131" s="30">
        <v>0</v>
      </c>
      <c r="K131" s="30">
        <v>0</v>
      </c>
      <c r="L131" s="30">
        <v>0</v>
      </c>
    </row>
    <row r="132" spans="1:12">
      <c r="A132" s="32" t="s">
        <v>36</v>
      </c>
      <c r="B132" s="30">
        <v>0</v>
      </c>
      <c r="C132" s="30">
        <v>0</v>
      </c>
      <c r="D132" s="30">
        <v>140.253118</v>
      </c>
      <c r="E132" s="30">
        <v>132.047945</v>
      </c>
      <c r="F132" s="30">
        <v>33.160178000000002</v>
      </c>
      <c r="G132" s="30">
        <v>122.457503</v>
      </c>
      <c r="H132" s="30">
        <v>360.93613099999999</v>
      </c>
      <c r="I132" s="31">
        <v>832.85879199999999</v>
      </c>
      <c r="J132" s="30">
        <v>308.93671899999998</v>
      </c>
      <c r="K132" s="30">
        <v>50.302401000000003</v>
      </c>
      <c r="L132" s="30">
        <v>0</v>
      </c>
    </row>
    <row r="133" spans="1:12">
      <c r="A133" s="32" t="s">
        <v>97</v>
      </c>
      <c r="B133" s="30">
        <v>39.221474000000001</v>
      </c>
      <c r="C133" s="30">
        <v>67.146174000000002</v>
      </c>
      <c r="D133" s="30">
        <v>15.022303000000001</v>
      </c>
      <c r="E133" s="30"/>
      <c r="F133" s="30">
        <v>2.8405100000000001</v>
      </c>
      <c r="G133" s="30"/>
      <c r="H133" s="30">
        <v>3.0571670000000002</v>
      </c>
      <c r="I133" s="31"/>
      <c r="J133" s="30"/>
      <c r="K133" s="30"/>
      <c r="L133" s="30"/>
    </row>
    <row r="134" spans="1:12">
      <c r="A134" s="32" t="s">
        <v>121</v>
      </c>
      <c r="B134" s="30">
        <v>0</v>
      </c>
      <c r="C134" s="30">
        <v>0</v>
      </c>
      <c r="D134" s="30">
        <v>0</v>
      </c>
      <c r="E134" s="30">
        <v>0</v>
      </c>
      <c r="F134" s="30">
        <v>0</v>
      </c>
      <c r="G134" s="30">
        <v>0</v>
      </c>
      <c r="H134" s="30">
        <v>0</v>
      </c>
      <c r="I134" s="31">
        <v>0</v>
      </c>
      <c r="J134" s="30">
        <v>1.9635229999999999</v>
      </c>
      <c r="K134" s="30">
        <v>4.2470400000000001</v>
      </c>
      <c r="L134" s="30">
        <v>5.3087999999999997</v>
      </c>
    </row>
    <row r="135" spans="1:12" ht="15.75">
      <c r="A135" s="42" t="s">
        <v>98</v>
      </c>
      <c r="B135" s="43">
        <f>SUM(B136:B141)</f>
        <v>169.33550400000001</v>
      </c>
      <c r="C135" s="43">
        <f t="shared" ref="C135:L135" si="20">SUM(C136:C141)</f>
        <v>476.732192</v>
      </c>
      <c r="D135" s="43">
        <f t="shared" si="20"/>
        <v>351.69442700000002</v>
      </c>
      <c r="E135" s="43">
        <f t="shared" si="20"/>
        <v>210.41657700000002</v>
      </c>
      <c r="F135" s="43">
        <f t="shared" si="20"/>
        <v>153.933727</v>
      </c>
      <c r="G135" s="43">
        <f t="shared" si="20"/>
        <v>216.291067</v>
      </c>
      <c r="H135" s="43">
        <f t="shared" si="20"/>
        <v>330.242929</v>
      </c>
      <c r="I135" s="44">
        <f t="shared" si="20"/>
        <v>143.283626</v>
      </c>
      <c r="J135" s="43">
        <f t="shared" si="20"/>
        <v>213.39282299999999</v>
      </c>
      <c r="K135" s="43">
        <f t="shared" si="20"/>
        <v>181.75135299999999</v>
      </c>
      <c r="L135" s="43">
        <f t="shared" si="20"/>
        <v>150.82254</v>
      </c>
    </row>
    <row r="136" spans="1:12">
      <c r="A136" s="32" t="s">
        <v>25</v>
      </c>
      <c r="B136" s="30">
        <v>19.680786000000001</v>
      </c>
      <c r="C136" s="30">
        <v>35.355018999999999</v>
      </c>
      <c r="D136" s="30">
        <v>26.770658000000001</v>
      </c>
      <c r="E136" s="30">
        <v>20.243748</v>
      </c>
      <c r="F136" s="30">
        <v>24.595856000000001</v>
      </c>
      <c r="G136" s="30">
        <v>0</v>
      </c>
      <c r="H136" s="30">
        <v>0</v>
      </c>
      <c r="I136" s="31">
        <v>0</v>
      </c>
      <c r="J136" s="30">
        <v>0</v>
      </c>
      <c r="K136" s="30">
        <v>0</v>
      </c>
      <c r="L136" s="30">
        <v>0</v>
      </c>
    </row>
    <row r="137" spans="1:12">
      <c r="A137" s="32" t="s">
        <v>35</v>
      </c>
      <c r="B137" s="30">
        <v>0</v>
      </c>
      <c r="C137" s="30">
        <v>0</v>
      </c>
      <c r="D137" s="30">
        <v>0</v>
      </c>
      <c r="E137" s="30">
        <v>0</v>
      </c>
      <c r="F137" s="30">
        <v>82.182007999999996</v>
      </c>
      <c r="G137" s="30">
        <v>86.976175999999995</v>
      </c>
      <c r="H137" s="30">
        <v>102.876127</v>
      </c>
      <c r="I137" s="31">
        <v>120.94855699999999</v>
      </c>
      <c r="J137" s="30">
        <v>142.11684099999999</v>
      </c>
      <c r="K137" s="30">
        <v>112.55</v>
      </c>
      <c r="L137" s="30">
        <v>96.898082000000002</v>
      </c>
    </row>
    <row r="138" spans="1:12">
      <c r="A138" s="32" t="s">
        <v>99</v>
      </c>
      <c r="B138" s="30">
        <v>73.010936999999998</v>
      </c>
      <c r="C138" s="30">
        <v>203.74176900000001</v>
      </c>
      <c r="D138" s="30">
        <v>42.026724999999999</v>
      </c>
      <c r="E138" s="30">
        <v>0</v>
      </c>
      <c r="F138" s="30">
        <v>3.273155</v>
      </c>
      <c r="G138" s="30">
        <v>0</v>
      </c>
      <c r="H138" s="30">
        <v>0</v>
      </c>
      <c r="I138" s="31">
        <v>0</v>
      </c>
      <c r="J138" s="30">
        <v>0</v>
      </c>
      <c r="K138" s="30">
        <v>0</v>
      </c>
      <c r="L138" s="30">
        <v>0</v>
      </c>
    </row>
    <row r="139" spans="1:12">
      <c r="A139" s="32" t="s">
        <v>100</v>
      </c>
      <c r="B139" s="30">
        <v>76.643781000000004</v>
      </c>
      <c r="C139" s="30">
        <v>206.83545000000001</v>
      </c>
      <c r="D139" s="30">
        <v>180.009007</v>
      </c>
      <c r="E139" s="30">
        <v>55.066505999999997</v>
      </c>
      <c r="F139" s="30">
        <v>26.524978999999998</v>
      </c>
      <c r="G139" s="30">
        <v>7.7775600000000003</v>
      </c>
      <c r="H139" s="30">
        <v>0</v>
      </c>
      <c r="I139" s="31">
        <v>4.7725530000000003</v>
      </c>
      <c r="J139" s="30">
        <v>0</v>
      </c>
      <c r="K139" s="30">
        <v>0</v>
      </c>
      <c r="L139" s="30">
        <v>0</v>
      </c>
    </row>
    <row r="140" spans="1:12">
      <c r="A140" s="32" t="s">
        <v>101</v>
      </c>
      <c r="B140" s="30">
        <v>0</v>
      </c>
      <c r="C140" s="30">
        <v>0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1">
        <v>0</v>
      </c>
      <c r="J140" s="30">
        <v>71.275981999999999</v>
      </c>
      <c r="K140" s="30">
        <v>69.201352999999997</v>
      </c>
      <c r="L140" s="30">
        <v>53.924458000000001</v>
      </c>
    </row>
    <row r="141" spans="1:12">
      <c r="A141" s="32" t="s">
        <v>36</v>
      </c>
      <c r="B141" s="30">
        <v>0</v>
      </c>
      <c r="C141" s="30">
        <v>30.799954</v>
      </c>
      <c r="D141" s="30">
        <v>102.888037</v>
      </c>
      <c r="E141" s="30">
        <v>135.106323</v>
      </c>
      <c r="F141" s="30">
        <v>17.357728999999999</v>
      </c>
      <c r="G141" s="30">
        <v>121.53733099999999</v>
      </c>
      <c r="H141" s="30">
        <v>227.36680200000001</v>
      </c>
      <c r="I141" s="31">
        <v>17.562515999999999</v>
      </c>
      <c r="J141" s="30">
        <v>0</v>
      </c>
      <c r="K141" s="30">
        <v>0</v>
      </c>
      <c r="L141" s="30">
        <v>0</v>
      </c>
    </row>
    <row r="142" spans="1:12" ht="15.75">
      <c r="A142" s="42" t="s">
        <v>4</v>
      </c>
      <c r="B142" s="43">
        <f>SUM(B143:B153)</f>
        <v>71.648995999999997</v>
      </c>
      <c r="C142" s="43">
        <f t="shared" ref="C142:L142" si="21">SUM(C143:C153)</f>
        <v>462.54656799999998</v>
      </c>
      <c r="D142" s="43">
        <f t="shared" si="21"/>
        <v>242.83176500000002</v>
      </c>
      <c r="E142" s="43">
        <f t="shared" si="21"/>
        <v>318.35042999999996</v>
      </c>
      <c r="F142" s="43">
        <f t="shared" si="21"/>
        <v>113.853509</v>
      </c>
      <c r="G142" s="43">
        <f t="shared" si="21"/>
        <v>182.97159200000002</v>
      </c>
      <c r="H142" s="43">
        <f t="shared" si="21"/>
        <v>609.33992699999999</v>
      </c>
      <c r="I142" s="44">
        <f t="shared" si="21"/>
        <v>1066.6843220000001</v>
      </c>
      <c r="J142" s="43">
        <f t="shared" si="21"/>
        <v>880.90477500000009</v>
      </c>
      <c r="K142" s="43">
        <f t="shared" si="21"/>
        <v>893.90000099999986</v>
      </c>
      <c r="L142" s="43">
        <f t="shared" si="21"/>
        <v>498.6699989999999</v>
      </c>
    </row>
    <row r="143" spans="1:12">
      <c r="A143" s="32" t="s">
        <v>37</v>
      </c>
      <c r="B143" s="30">
        <v>0</v>
      </c>
      <c r="C143" s="30">
        <v>0</v>
      </c>
      <c r="D143" s="30">
        <v>0</v>
      </c>
      <c r="E143" s="30">
        <v>0</v>
      </c>
      <c r="F143" s="30">
        <v>0</v>
      </c>
      <c r="G143" s="30">
        <v>0</v>
      </c>
      <c r="H143" s="30">
        <v>0</v>
      </c>
      <c r="I143" s="31">
        <v>0</v>
      </c>
      <c r="J143" s="30">
        <v>0</v>
      </c>
      <c r="K143" s="30">
        <v>0</v>
      </c>
      <c r="L143" s="30">
        <v>0</v>
      </c>
    </row>
    <row r="144" spans="1:12">
      <c r="A144" s="32" t="s">
        <v>15</v>
      </c>
      <c r="B144" s="30">
        <v>0</v>
      </c>
      <c r="C144" s="30">
        <v>0</v>
      </c>
      <c r="D144" s="30">
        <v>0</v>
      </c>
      <c r="E144" s="30">
        <v>0</v>
      </c>
      <c r="F144" s="30">
        <v>0</v>
      </c>
      <c r="G144" s="30">
        <v>0</v>
      </c>
      <c r="H144" s="30">
        <v>0</v>
      </c>
      <c r="I144" s="31">
        <v>0</v>
      </c>
      <c r="J144" s="30">
        <v>0</v>
      </c>
      <c r="K144" s="30">
        <v>0</v>
      </c>
      <c r="L144" s="30">
        <v>0</v>
      </c>
    </row>
    <row r="145" spans="1:12">
      <c r="A145" s="32" t="s">
        <v>25</v>
      </c>
      <c r="B145" s="30">
        <v>25.249545000000001</v>
      </c>
      <c r="C145" s="30">
        <v>41.909210999999999</v>
      </c>
      <c r="D145" s="30">
        <v>35.520724000000001</v>
      </c>
      <c r="E145" s="30">
        <v>48.954270000000001</v>
      </c>
      <c r="F145" s="30">
        <v>22.940982999999999</v>
      </c>
      <c r="G145" s="30">
        <v>0</v>
      </c>
      <c r="H145" s="30">
        <v>0</v>
      </c>
      <c r="I145" s="31">
        <v>0</v>
      </c>
      <c r="J145" s="30">
        <v>0</v>
      </c>
      <c r="K145" s="30">
        <v>0</v>
      </c>
      <c r="L145" s="30">
        <v>0</v>
      </c>
    </row>
    <row r="146" spans="1:12">
      <c r="A146" s="32" t="s">
        <v>13</v>
      </c>
      <c r="B146" s="30">
        <v>0</v>
      </c>
      <c r="C146" s="30">
        <v>0</v>
      </c>
      <c r="D146" s="30">
        <v>0</v>
      </c>
      <c r="E146" s="30">
        <v>0</v>
      </c>
      <c r="F146" s="30">
        <v>0</v>
      </c>
      <c r="G146" s="30">
        <v>0</v>
      </c>
      <c r="H146" s="30">
        <v>27.01</v>
      </c>
      <c r="I146" s="31">
        <v>9.9976249999999993</v>
      </c>
      <c r="J146" s="30">
        <v>32.362921</v>
      </c>
      <c r="K146" s="30">
        <v>45</v>
      </c>
      <c r="L146" s="30">
        <v>80</v>
      </c>
    </row>
    <row r="147" spans="1:12">
      <c r="A147" s="32" t="s">
        <v>102</v>
      </c>
      <c r="B147" s="30">
        <v>7.5999350000000003</v>
      </c>
      <c r="C147" s="30">
        <v>68.707398999999995</v>
      </c>
      <c r="D147" s="30">
        <v>167.882869</v>
      </c>
      <c r="E147" s="30">
        <v>106.696883</v>
      </c>
      <c r="F147" s="30">
        <v>90.912526</v>
      </c>
      <c r="G147" s="30">
        <v>59.751764000000001</v>
      </c>
      <c r="H147" s="30">
        <v>110.05573099999999</v>
      </c>
      <c r="I147" s="31">
        <v>108.095688</v>
      </c>
      <c r="J147" s="30">
        <v>98.346294999999998</v>
      </c>
      <c r="K147" s="30">
        <v>87.55</v>
      </c>
      <c r="L147" s="30">
        <v>152.88999999999999</v>
      </c>
    </row>
    <row r="148" spans="1:12">
      <c r="A148" s="32" t="s">
        <v>103</v>
      </c>
      <c r="B148" s="30">
        <v>0</v>
      </c>
      <c r="C148" s="30">
        <v>6.1156050000000004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1">
        <v>0</v>
      </c>
      <c r="J148" s="30">
        <v>0</v>
      </c>
      <c r="K148" s="30">
        <v>0</v>
      </c>
      <c r="L148" s="30">
        <v>0</v>
      </c>
    </row>
    <row r="149" spans="1:12">
      <c r="A149" s="32" t="s">
        <v>36</v>
      </c>
      <c r="B149" s="30">
        <v>38.799515999999997</v>
      </c>
      <c r="C149" s="30">
        <v>345.81435299999998</v>
      </c>
      <c r="D149" s="30">
        <v>39.428172000000004</v>
      </c>
      <c r="E149" s="30">
        <v>162.699277</v>
      </c>
      <c r="F149" s="30">
        <v>0</v>
      </c>
      <c r="G149" s="30">
        <v>123.21982800000001</v>
      </c>
      <c r="H149" s="30">
        <v>472.27419600000002</v>
      </c>
      <c r="I149" s="31">
        <v>948.59100899999999</v>
      </c>
      <c r="J149" s="30">
        <v>550</v>
      </c>
      <c r="K149" s="30">
        <v>491.25</v>
      </c>
      <c r="L149" s="30">
        <v>0</v>
      </c>
    </row>
    <row r="150" spans="1:12">
      <c r="A150" s="32" t="s">
        <v>122</v>
      </c>
      <c r="B150" s="30">
        <v>0</v>
      </c>
      <c r="C150" s="30">
        <v>0</v>
      </c>
      <c r="D150" s="30">
        <v>0</v>
      </c>
      <c r="E150" s="30">
        <v>0</v>
      </c>
      <c r="F150" s="30">
        <v>0</v>
      </c>
      <c r="G150" s="30">
        <v>0</v>
      </c>
      <c r="H150" s="30">
        <v>0</v>
      </c>
      <c r="I150" s="31">
        <v>0</v>
      </c>
      <c r="J150" s="30">
        <v>38.573028999999998</v>
      </c>
      <c r="K150" s="30">
        <v>62.516666999999998</v>
      </c>
      <c r="L150" s="30">
        <v>50.963332999999999</v>
      </c>
    </row>
    <row r="151" spans="1:12">
      <c r="A151" s="32" t="s">
        <v>123</v>
      </c>
      <c r="B151" s="30">
        <v>0</v>
      </c>
      <c r="C151" s="30">
        <v>0</v>
      </c>
      <c r="D151" s="30">
        <v>0</v>
      </c>
      <c r="E151" s="30">
        <v>0</v>
      </c>
      <c r="F151" s="30">
        <v>0</v>
      </c>
      <c r="G151" s="30">
        <v>0</v>
      </c>
      <c r="H151" s="30">
        <v>0</v>
      </c>
      <c r="I151" s="31">
        <v>0</v>
      </c>
      <c r="J151" s="30">
        <v>38.573028999999998</v>
      </c>
      <c r="K151" s="30">
        <v>62.516666999999998</v>
      </c>
      <c r="L151" s="30">
        <v>50.963332999999999</v>
      </c>
    </row>
    <row r="152" spans="1:12">
      <c r="A152" s="32" t="s">
        <v>37</v>
      </c>
      <c r="B152" s="30">
        <v>0</v>
      </c>
      <c r="C152" s="30">
        <v>0</v>
      </c>
      <c r="D152" s="30">
        <v>0</v>
      </c>
      <c r="E152" s="30">
        <v>0</v>
      </c>
      <c r="F152" s="30">
        <v>0</v>
      </c>
      <c r="G152" s="30">
        <v>0</v>
      </c>
      <c r="H152" s="30">
        <v>0</v>
      </c>
      <c r="I152" s="31">
        <v>0</v>
      </c>
      <c r="J152" s="30">
        <v>84.476472000000001</v>
      </c>
      <c r="K152" s="30">
        <v>82.55</v>
      </c>
      <c r="L152" s="30">
        <v>112.89</v>
      </c>
    </row>
    <row r="153" spans="1:12">
      <c r="A153" s="32" t="s">
        <v>124</v>
      </c>
      <c r="B153" s="30">
        <v>0</v>
      </c>
      <c r="C153" s="30">
        <v>0</v>
      </c>
      <c r="D153" s="30">
        <v>0</v>
      </c>
      <c r="E153" s="30">
        <v>0</v>
      </c>
      <c r="F153" s="30">
        <v>0</v>
      </c>
      <c r="G153" s="30">
        <v>0</v>
      </c>
      <c r="H153" s="30">
        <v>0</v>
      </c>
      <c r="I153" s="31">
        <v>0</v>
      </c>
      <c r="J153" s="30">
        <v>38.573028999999998</v>
      </c>
      <c r="K153" s="30">
        <v>62.516666999999998</v>
      </c>
      <c r="L153" s="30">
        <v>50.963332999999999</v>
      </c>
    </row>
    <row r="154" spans="1:12" ht="15.75">
      <c r="A154" s="42" t="s">
        <v>11</v>
      </c>
      <c r="B154" s="43">
        <f>SUM(B155:B160)</f>
        <v>0</v>
      </c>
      <c r="C154" s="43">
        <f t="shared" ref="C154:L154" si="22">SUM(C155:C160)</f>
        <v>0</v>
      </c>
      <c r="D154" s="43">
        <f t="shared" si="22"/>
        <v>0</v>
      </c>
      <c r="E154" s="43">
        <f t="shared" si="22"/>
        <v>0</v>
      </c>
      <c r="F154" s="43">
        <f t="shared" si="22"/>
        <v>0</v>
      </c>
      <c r="G154" s="43">
        <f t="shared" si="22"/>
        <v>0</v>
      </c>
      <c r="H154" s="43">
        <f t="shared" si="22"/>
        <v>0</v>
      </c>
      <c r="I154" s="44">
        <f t="shared" si="22"/>
        <v>0</v>
      </c>
      <c r="J154" s="43">
        <f t="shared" si="22"/>
        <v>238.611312</v>
      </c>
      <c r="K154" s="43">
        <f t="shared" si="22"/>
        <v>544.51765400000011</v>
      </c>
      <c r="L154" s="43">
        <f t="shared" si="22"/>
        <v>828.22529999999995</v>
      </c>
    </row>
    <row r="155" spans="1:12">
      <c r="A155" s="32" t="s">
        <v>125</v>
      </c>
      <c r="B155" s="30">
        <v>0</v>
      </c>
      <c r="C155" s="30">
        <v>0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1">
        <v>0</v>
      </c>
      <c r="J155" s="30">
        <v>30.205006000000001</v>
      </c>
      <c r="K155" s="30">
        <v>60.422400000000003</v>
      </c>
      <c r="L155" s="30">
        <v>60.422400000000003</v>
      </c>
    </row>
    <row r="156" spans="1:12">
      <c r="A156" s="32" t="s">
        <v>126</v>
      </c>
      <c r="B156" s="30">
        <v>0</v>
      </c>
      <c r="C156" s="30">
        <v>0</v>
      </c>
      <c r="D156" s="30">
        <v>0</v>
      </c>
      <c r="E156" s="30">
        <v>0</v>
      </c>
      <c r="F156" s="30">
        <v>0</v>
      </c>
      <c r="G156" s="30">
        <v>0</v>
      </c>
      <c r="H156" s="30">
        <v>0</v>
      </c>
      <c r="I156" s="31">
        <v>0</v>
      </c>
      <c r="J156" s="30">
        <v>20.279204</v>
      </c>
      <c r="K156" s="30">
        <v>44.436</v>
      </c>
      <c r="L156" s="30">
        <v>199.16300000000001</v>
      </c>
    </row>
    <row r="157" spans="1:12">
      <c r="A157" s="32" t="s">
        <v>127</v>
      </c>
      <c r="B157" s="30">
        <v>0</v>
      </c>
      <c r="C157" s="30">
        <v>0</v>
      </c>
      <c r="D157" s="30">
        <v>0</v>
      </c>
      <c r="E157" s="30">
        <v>0</v>
      </c>
      <c r="F157" s="30">
        <v>0</v>
      </c>
      <c r="G157" s="30">
        <v>0</v>
      </c>
      <c r="H157" s="30">
        <v>0</v>
      </c>
      <c r="I157" s="31">
        <v>0</v>
      </c>
      <c r="J157" s="30">
        <v>60.837535000000003</v>
      </c>
      <c r="K157" s="30">
        <v>237.4212</v>
      </c>
      <c r="L157" s="30">
        <v>205.74459999999999</v>
      </c>
    </row>
    <row r="158" spans="1:12">
      <c r="A158" s="32" t="s">
        <v>128</v>
      </c>
      <c r="B158" s="30">
        <v>0</v>
      </c>
      <c r="C158" s="30">
        <v>0</v>
      </c>
      <c r="D158" s="30">
        <v>0</v>
      </c>
      <c r="E158" s="30">
        <v>0</v>
      </c>
      <c r="F158" s="30">
        <v>0</v>
      </c>
      <c r="G158" s="30">
        <v>0</v>
      </c>
      <c r="H158" s="30">
        <v>0</v>
      </c>
      <c r="I158" s="31">
        <v>0</v>
      </c>
      <c r="J158" s="30">
        <v>54.575381999999998</v>
      </c>
      <c r="K158" s="30">
        <v>74.569354000000004</v>
      </c>
      <c r="L158" s="30">
        <v>77.762500000000003</v>
      </c>
    </row>
    <row r="159" spans="1:12">
      <c r="A159" s="32" t="s">
        <v>129</v>
      </c>
      <c r="B159" s="30">
        <v>0</v>
      </c>
      <c r="C159" s="30">
        <v>0</v>
      </c>
      <c r="D159" s="30">
        <v>0</v>
      </c>
      <c r="E159" s="30">
        <v>0</v>
      </c>
      <c r="F159" s="30">
        <v>0</v>
      </c>
      <c r="G159" s="30">
        <v>0</v>
      </c>
      <c r="H159" s="30">
        <v>0</v>
      </c>
      <c r="I159" s="31">
        <v>0</v>
      </c>
      <c r="J159" s="30">
        <v>22.015984</v>
      </c>
      <c r="K159" s="30">
        <v>38.796799999999998</v>
      </c>
      <c r="L159" s="30">
        <v>38.796799999999998</v>
      </c>
    </row>
    <row r="160" spans="1:12">
      <c r="A160" s="32" t="s">
        <v>130</v>
      </c>
      <c r="B160" s="30">
        <v>0</v>
      </c>
      <c r="C160" s="30">
        <v>0</v>
      </c>
      <c r="D160" s="30">
        <v>0</v>
      </c>
      <c r="E160" s="30">
        <v>0</v>
      </c>
      <c r="F160" s="30">
        <v>0</v>
      </c>
      <c r="G160" s="30">
        <v>0</v>
      </c>
      <c r="H160" s="30">
        <v>0</v>
      </c>
      <c r="I160" s="31">
        <v>0</v>
      </c>
      <c r="J160" s="30">
        <v>50.698200999999997</v>
      </c>
      <c r="K160" s="30">
        <v>88.871899999999997</v>
      </c>
      <c r="L160" s="30">
        <v>246.33600000000001</v>
      </c>
    </row>
    <row r="161" spans="1:12">
      <c r="A161" s="33"/>
      <c r="B161" s="37">
        <v>0</v>
      </c>
      <c r="C161" s="37">
        <v>0</v>
      </c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8">
        <v>0</v>
      </c>
      <c r="J161" s="37">
        <v>0</v>
      </c>
      <c r="K161" s="37">
        <v>0</v>
      </c>
      <c r="L161" s="37">
        <v>0</v>
      </c>
    </row>
    <row r="162" spans="1:12">
      <c r="A162" s="1" t="s">
        <v>133</v>
      </c>
      <c r="C162" s="4"/>
      <c r="D162" s="4"/>
      <c r="E162" s="4"/>
      <c r="F162" s="4"/>
      <c r="G162" s="6"/>
      <c r="H162" s="4"/>
      <c r="I162" s="4"/>
      <c r="J162" s="4"/>
      <c r="K162" s="18"/>
    </row>
  </sheetData>
  <mergeCells count="2">
    <mergeCell ref="A3:A4"/>
    <mergeCell ref="A1:L1"/>
  </mergeCells>
  <pageMargins left="0.7" right="0.7" top="0.75" bottom="0.75" header="0.3" footer="0.3"/>
  <pageSetup paperSize="9" scale="40" orientation="portrait" r:id="rId1"/>
  <customProperties>
    <customPr name="_pios_id" r:id="rId2"/>
    <customPr name="EpmWorksheetKeyString_GUID" r:id="rId3"/>
  </customProperties>
  <ignoredErrors>
    <ignoredError sqref="B154:L15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</vt:lpstr>
      <vt:lpstr>'13.7'!Print_Area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2025-07-17T03:13:32Z</cp:lastPrinted>
  <dcterms:created xsi:type="dcterms:W3CDTF">2014-03-06T08:38:12Z</dcterms:created>
  <dcterms:modified xsi:type="dcterms:W3CDTF">2025-07-17T03:13:41Z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