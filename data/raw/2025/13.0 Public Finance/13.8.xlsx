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ublic finance\"/>
    </mc:Choice>
  </mc:AlternateContent>
  <xr:revisionPtr revIDLastSave="0" documentId="13_ncr:1_{7FC999FC-912C-4361-BCBB-2BF405AA250D}" xr6:coauthVersionLast="47" xr6:coauthVersionMax="47" xr10:uidLastSave="{00000000-0000-0000-0000-000000000000}"/>
  <bookViews>
    <workbookView xWindow="-120" yWindow="-120" windowWidth="29040" windowHeight="15720" tabRatio="667" xr2:uid="{00000000-000D-0000-FFFF-FFFF00000000}"/>
  </bookViews>
  <sheets>
    <sheet name="13.8" sheetId="30" r:id="rId1"/>
  </sheets>
  <definedNames>
    <definedName name="aas">#REF!</definedName>
    <definedName name="BACODE" localSheetId="0">#REF!</definedName>
    <definedName name="BACODE">#REF!</definedName>
    <definedName name="BAList">#REF!</definedName>
    <definedName name="bcodelist" localSheetId="0">#REF!</definedName>
    <definedName name="bcodelist">#REF!</definedName>
    <definedName name="capital" localSheetId="0">#REF!</definedName>
    <definedName name="capital">#REF!</definedName>
    <definedName name="Code" localSheetId="0">#REF!</definedName>
    <definedName name="Code">#REF!</definedName>
    <definedName name="Code2" localSheetId="0">#REF!</definedName>
    <definedName name="Code2">#REF!</definedName>
    <definedName name="Location" localSheetId="0">#REF!</definedName>
    <definedName name="Location">#REF!</definedName>
    <definedName name="m">#REF!</definedName>
    <definedName name="namelookup" localSheetId="0">#REF!</definedName>
    <definedName name="namelookup">#REF!</definedName>
    <definedName name="Office" localSheetId="0">#REF!</definedName>
    <definedName name="Office">#REF!</definedName>
    <definedName name="PLIST" localSheetId="0">#REF!</definedName>
    <definedName name="PLIST">#REF!</definedName>
    <definedName name="policylist" localSheetId="0">#REF!</definedName>
    <definedName name="policylist">#REF!</definedName>
    <definedName name="_xlnm.Print_Area" localSheetId="0">'13.8'!$B$1:$R$41</definedName>
    <definedName name="Priority" localSheetId="0">#REF!</definedName>
    <definedName name="Priority">#REF!</definedName>
    <definedName name="Prog111" localSheetId="0">#REF!</definedName>
    <definedName name="Prog111">#REF!</definedName>
    <definedName name="Prog112" localSheetId="0">#REF!</definedName>
    <definedName name="Prog112">#REF!</definedName>
    <definedName name="Prog113" localSheetId="0">#REF!</definedName>
    <definedName name="Prog113">#REF!</definedName>
    <definedName name="Prog114" localSheetId="0">#REF!</definedName>
    <definedName name="Prog114">#REF!</definedName>
    <definedName name="Prog115" localSheetId="0">#REF!</definedName>
    <definedName name="Prog115">#REF!</definedName>
    <definedName name="Prog116" localSheetId="0">#REF!</definedName>
    <definedName name="Prog116">#REF!</definedName>
    <definedName name="Prog121" localSheetId="0">#REF!</definedName>
    <definedName name="Prog121">#REF!</definedName>
    <definedName name="Prog122" localSheetId="0">#REF!</definedName>
    <definedName name="Prog122">#REF!</definedName>
    <definedName name="Prog123" localSheetId="0">#REF!</definedName>
    <definedName name="Prog123">#REF!</definedName>
    <definedName name="Prog124" localSheetId="0">#REF!</definedName>
    <definedName name="Prog124">#REF!</definedName>
    <definedName name="Prog125" localSheetId="0">#REF!</definedName>
    <definedName name="Prog125">#REF!</definedName>
    <definedName name="Prog126" localSheetId="0">#REF!</definedName>
    <definedName name="Prog126">#REF!</definedName>
    <definedName name="Prog127" localSheetId="0">#REF!</definedName>
    <definedName name="Prog127">#REF!</definedName>
    <definedName name="Prog131" localSheetId="0">#REF!</definedName>
    <definedName name="Prog131">#REF!</definedName>
    <definedName name="Prog132" localSheetId="0">#REF!</definedName>
    <definedName name="Prog132">#REF!</definedName>
    <definedName name="Prog133" localSheetId="0">#REF!</definedName>
    <definedName name="Prog133">#REF!</definedName>
    <definedName name="Prog134" localSheetId="0">#REF!</definedName>
    <definedName name="Prog134">#REF!</definedName>
    <definedName name="Prog141" localSheetId="0">#REF!</definedName>
    <definedName name="Prog141">#REF!</definedName>
    <definedName name="Prog142" localSheetId="0">#REF!</definedName>
    <definedName name="Prog142">#REF!</definedName>
    <definedName name="Prog143" localSheetId="0">#REF!</definedName>
    <definedName name="Prog143">#REF!</definedName>
    <definedName name="Prog144" localSheetId="0">#REF!</definedName>
    <definedName name="Prog144">#REF!</definedName>
    <definedName name="Prog145" localSheetId="0">#REF!</definedName>
    <definedName name="Prog145">#REF!</definedName>
    <definedName name="Prog151" localSheetId="0">#REF!</definedName>
    <definedName name="Prog151">#REF!</definedName>
    <definedName name="Prog152" localSheetId="0">#REF!</definedName>
    <definedName name="Prog152">#REF!</definedName>
    <definedName name="Prog153" localSheetId="0">#REF!</definedName>
    <definedName name="Prog153">#REF!</definedName>
    <definedName name="Prog154" localSheetId="0">#REF!</definedName>
    <definedName name="Prog154">#REF!</definedName>
    <definedName name="Prog155" localSheetId="0">#REF!</definedName>
    <definedName name="Prog155">#REF!</definedName>
    <definedName name="Prog211" localSheetId="0">#REF!</definedName>
    <definedName name="Prog211">#REF!</definedName>
    <definedName name="Prog2110" localSheetId="0">#REF!</definedName>
    <definedName name="Prog2110">#REF!</definedName>
    <definedName name="Prog2111" localSheetId="0">#REF!</definedName>
    <definedName name="Prog2111">#REF!</definedName>
    <definedName name="Prog212" localSheetId="0">#REF!</definedName>
    <definedName name="Prog212">#REF!</definedName>
    <definedName name="Prog213" localSheetId="0">#REF!</definedName>
    <definedName name="Prog213">#REF!</definedName>
    <definedName name="Prog214" localSheetId="0">#REF!</definedName>
    <definedName name="Prog214">#REF!</definedName>
    <definedName name="Prog215" localSheetId="0">#REF!</definedName>
    <definedName name="Prog215">#REF!</definedName>
    <definedName name="Prog216" localSheetId="0">#REF!</definedName>
    <definedName name="Prog216">#REF!</definedName>
    <definedName name="Prog217" localSheetId="0">#REF!</definedName>
    <definedName name="Prog217">#REF!</definedName>
    <definedName name="Prog218" localSheetId="0">#REF!</definedName>
    <definedName name="Prog218">#REF!</definedName>
    <definedName name="Prog219" localSheetId="0">#REF!</definedName>
    <definedName name="Prog219">#REF!</definedName>
    <definedName name="Prog221" localSheetId="0">#REF!</definedName>
    <definedName name="Prog221">#REF!</definedName>
    <definedName name="Prog222" localSheetId="0">#REF!</definedName>
    <definedName name="Prog222">#REF!</definedName>
    <definedName name="Prog223" localSheetId="0">#REF!</definedName>
    <definedName name="Prog223">#REF!</definedName>
    <definedName name="Prog224" localSheetId="0">#REF!</definedName>
    <definedName name="Prog224">#REF!</definedName>
    <definedName name="Prog225" localSheetId="0">#REF!</definedName>
    <definedName name="Prog225">#REF!</definedName>
    <definedName name="Prog226" localSheetId="0">#REF!</definedName>
    <definedName name="Prog226">#REF!</definedName>
    <definedName name="Prog227" localSheetId="0">#REF!</definedName>
    <definedName name="Prog227">#REF!</definedName>
    <definedName name="Prog228" localSheetId="0">#REF!</definedName>
    <definedName name="Prog228">#REF!</definedName>
    <definedName name="Prog229" localSheetId="0">#REF!</definedName>
    <definedName name="Prog229">#REF!</definedName>
    <definedName name="Prog231" localSheetId="0">#REF!</definedName>
    <definedName name="Prog231">#REF!</definedName>
    <definedName name="Prog232" localSheetId="0">#REF!</definedName>
    <definedName name="Prog232">#REF!</definedName>
    <definedName name="Prog233" localSheetId="0">#REF!</definedName>
    <definedName name="Prog233">#REF!</definedName>
    <definedName name="Prog234" localSheetId="0">#REF!</definedName>
    <definedName name="Prog234">#REF!</definedName>
    <definedName name="Prog241" localSheetId="0">#REF!</definedName>
    <definedName name="Prog241">#REF!</definedName>
    <definedName name="Prog242" localSheetId="0">#REF!</definedName>
    <definedName name="Prog242">#REF!</definedName>
    <definedName name="Prog243" localSheetId="0">#REF!</definedName>
    <definedName name="Prog243">#REF!</definedName>
    <definedName name="Prog251" localSheetId="0">#REF!</definedName>
    <definedName name="Prog251">#REF!</definedName>
    <definedName name="Prog252" localSheetId="0">#REF!</definedName>
    <definedName name="Prog252">#REF!</definedName>
    <definedName name="Prog253" localSheetId="0">#REF!</definedName>
    <definedName name="Prog253">#REF!</definedName>
    <definedName name="Prog254" localSheetId="0">#REF!</definedName>
    <definedName name="Prog254">#REF!</definedName>
    <definedName name="Prog255" localSheetId="0">#REF!</definedName>
    <definedName name="Prog255">#REF!</definedName>
    <definedName name="Prog256" localSheetId="0">#REF!</definedName>
    <definedName name="Prog256">#REF!</definedName>
    <definedName name="Prog311" localSheetId="0">#REF!</definedName>
    <definedName name="Prog311">#REF!</definedName>
    <definedName name="Prog312" localSheetId="0">#REF!</definedName>
    <definedName name="Prog312">#REF!</definedName>
    <definedName name="Prog313" localSheetId="0">#REF!</definedName>
    <definedName name="Prog313">#REF!</definedName>
    <definedName name="Prog314" localSheetId="0">#REF!</definedName>
    <definedName name="Prog314">#REF!</definedName>
    <definedName name="Prog315" localSheetId="0">#REF!</definedName>
    <definedName name="Prog315">#REF!</definedName>
    <definedName name="Prog316" localSheetId="0">#REF!</definedName>
    <definedName name="Prog316">#REF!</definedName>
    <definedName name="Prog317" localSheetId="0">#REF!</definedName>
    <definedName name="Prog317">#REF!</definedName>
    <definedName name="Prog321" localSheetId="0">#REF!</definedName>
    <definedName name="Prog321">#REF!</definedName>
    <definedName name="Prog322" localSheetId="0">#REF!</definedName>
    <definedName name="Prog322">#REF!</definedName>
    <definedName name="Prog323" localSheetId="0">#REF!</definedName>
    <definedName name="Prog323">#REF!</definedName>
    <definedName name="Prog324" localSheetId="0">#REF!</definedName>
    <definedName name="Prog324">#REF!</definedName>
    <definedName name="Prog331" localSheetId="0">#REF!</definedName>
    <definedName name="Prog331">#REF!</definedName>
    <definedName name="Prog3310" localSheetId="0">#REF!</definedName>
    <definedName name="Prog3310">#REF!</definedName>
    <definedName name="Prog3311" localSheetId="0">#REF!</definedName>
    <definedName name="Prog3311">#REF!</definedName>
    <definedName name="Prog3312" localSheetId="0">#REF!</definedName>
    <definedName name="Prog3312">#REF!</definedName>
    <definedName name="Prog3313" localSheetId="0">#REF!</definedName>
    <definedName name="Prog3313">#REF!</definedName>
    <definedName name="Prog3314" localSheetId="0">#REF!</definedName>
    <definedName name="Prog3314">#REF!</definedName>
    <definedName name="Prog332" localSheetId="0">#REF!</definedName>
    <definedName name="Prog332">#REF!</definedName>
    <definedName name="Prog333" localSheetId="0">#REF!</definedName>
    <definedName name="Prog333">#REF!</definedName>
    <definedName name="Prog334" localSheetId="0">#REF!</definedName>
    <definedName name="Prog334">#REF!</definedName>
    <definedName name="Prog335" localSheetId="0">#REF!</definedName>
    <definedName name="Prog335">#REF!</definedName>
    <definedName name="Prog336" localSheetId="0">#REF!</definedName>
    <definedName name="Prog336">#REF!</definedName>
    <definedName name="Prog337" localSheetId="0">#REF!</definedName>
    <definedName name="Prog337">#REF!</definedName>
    <definedName name="Prog338" localSheetId="0">#REF!</definedName>
    <definedName name="Prog338">#REF!</definedName>
    <definedName name="Prog339" localSheetId="0">#REF!</definedName>
    <definedName name="Prog339">#REF!</definedName>
    <definedName name="Prog341" localSheetId="0">#REF!</definedName>
    <definedName name="Prog341">#REF!</definedName>
    <definedName name="Prog342" localSheetId="0">#REF!</definedName>
    <definedName name="Prog342">#REF!</definedName>
    <definedName name="Prog343" localSheetId="0">#REF!</definedName>
    <definedName name="Prog343">#REF!</definedName>
    <definedName name="Prog344" localSheetId="0">#REF!</definedName>
    <definedName name="Prog344">#REF!</definedName>
    <definedName name="Prog345" localSheetId="0">#REF!</definedName>
    <definedName name="Prog345">#REF!</definedName>
    <definedName name="Prog351" localSheetId="0">#REF!</definedName>
    <definedName name="Prog351">#REF!</definedName>
    <definedName name="Prog352" localSheetId="0">#REF!</definedName>
    <definedName name="Prog352">#REF!</definedName>
    <definedName name="Prog353" localSheetId="0">#REF!</definedName>
    <definedName name="Prog353">#REF!</definedName>
    <definedName name="Prog354" localSheetId="0">#REF!</definedName>
    <definedName name="Prog354">#REF!</definedName>
    <definedName name="Prog355" localSheetId="0">#REF!</definedName>
    <definedName name="Prog355">#REF!</definedName>
    <definedName name="Prog356" localSheetId="0">#REF!</definedName>
    <definedName name="Prog356">#REF!</definedName>
    <definedName name="Prog357" localSheetId="0">#REF!</definedName>
    <definedName name="Prog357">#REF!</definedName>
    <definedName name="Prog361" localSheetId="0">#REF!</definedName>
    <definedName name="Prog361">#REF!</definedName>
    <definedName name="Prog362" localSheetId="0">#REF!</definedName>
    <definedName name="Prog362">#REF!</definedName>
    <definedName name="Prog363" localSheetId="0">#REF!</definedName>
    <definedName name="Prog363">#REF!</definedName>
    <definedName name="Prog364" localSheetId="0">#REF!</definedName>
    <definedName name="Prog364">#REF!</definedName>
    <definedName name="Prog365" localSheetId="0">#REF!</definedName>
    <definedName name="Prog365">#REF!</definedName>
    <definedName name="Prog366" localSheetId="0">#REF!</definedName>
    <definedName name="Prog366">#REF!</definedName>
    <definedName name="Prog371" localSheetId="0">#REF!</definedName>
    <definedName name="Prog371">#REF!</definedName>
    <definedName name="Prog3710" localSheetId="0">#REF!</definedName>
    <definedName name="Prog3710">#REF!</definedName>
    <definedName name="Prog372" localSheetId="0">#REF!</definedName>
    <definedName name="Prog372">#REF!</definedName>
    <definedName name="Prog373" localSheetId="0">#REF!</definedName>
    <definedName name="Prog373">#REF!</definedName>
    <definedName name="Prog374" localSheetId="0">#REF!</definedName>
    <definedName name="Prog374">#REF!</definedName>
    <definedName name="Prog375" localSheetId="0">#REF!</definedName>
    <definedName name="Prog375">#REF!</definedName>
    <definedName name="Prog376" localSheetId="0">#REF!</definedName>
    <definedName name="Prog376">#REF!</definedName>
    <definedName name="Prog377" localSheetId="0">#REF!</definedName>
    <definedName name="Prog377">#REF!</definedName>
    <definedName name="Prog378" localSheetId="0">#REF!</definedName>
    <definedName name="Prog378">#REF!</definedName>
    <definedName name="Prog379" localSheetId="0">#REF!</definedName>
    <definedName name="Prog379">#REF!</definedName>
    <definedName name="Prog4101" localSheetId="0">#REF!</definedName>
    <definedName name="Prog4101">#REF!</definedName>
    <definedName name="Prog4102" localSheetId="0">#REF!</definedName>
    <definedName name="Prog4102">#REF!</definedName>
    <definedName name="Prog4103" localSheetId="0">#REF!</definedName>
    <definedName name="Prog4103">#REF!</definedName>
    <definedName name="Prog4104" localSheetId="0">#REF!</definedName>
    <definedName name="Prog4104">#REF!</definedName>
    <definedName name="Prog4105" localSheetId="0">#REF!</definedName>
    <definedName name="Prog4105">#REF!</definedName>
    <definedName name="Prog4106" localSheetId="0">#REF!</definedName>
    <definedName name="Prog4106">#REF!</definedName>
    <definedName name="Prog411" localSheetId="0">#REF!</definedName>
    <definedName name="Prog411">#REF!</definedName>
    <definedName name="Prog412" localSheetId="0">#REF!</definedName>
    <definedName name="Prog412">#REF!</definedName>
    <definedName name="Prog413" localSheetId="0">#REF!</definedName>
    <definedName name="Prog413">#REF!</definedName>
    <definedName name="Prog414" localSheetId="0">#REF!</definedName>
    <definedName name="Prog414">#REF!</definedName>
    <definedName name="Prog415" localSheetId="0">#REF!</definedName>
    <definedName name="Prog415">#REF!</definedName>
    <definedName name="Prog416" localSheetId="0">#REF!</definedName>
    <definedName name="Prog416">#REF!</definedName>
    <definedName name="Prog421" localSheetId="0">#REF!</definedName>
    <definedName name="Prog421">#REF!</definedName>
    <definedName name="Prog422" localSheetId="0">#REF!</definedName>
    <definedName name="Prog422">#REF!</definedName>
    <definedName name="Prog423" localSheetId="0">#REF!</definedName>
    <definedName name="Prog423">#REF!</definedName>
    <definedName name="Prog424" localSheetId="0">#REF!</definedName>
    <definedName name="Prog424">#REF!</definedName>
    <definedName name="Prog425" localSheetId="0">#REF!</definedName>
    <definedName name="Prog425">#REF!</definedName>
    <definedName name="Prog426" localSheetId="0">#REF!</definedName>
    <definedName name="Prog426">#REF!</definedName>
    <definedName name="Prog427" localSheetId="0">#REF!</definedName>
    <definedName name="Prog427">#REF!</definedName>
    <definedName name="Prog431" localSheetId="0">#REF!</definedName>
    <definedName name="Prog431">#REF!</definedName>
    <definedName name="Prog432" localSheetId="0">#REF!</definedName>
    <definedName name="Prog432">#REF!</definedName>
    <definedName name="Prog433" localSheetId="0">#REF!</definedName>
    <definedName name="Prog433">#REF!</definedName>
    <definedName name="Prog434" localSheetId="0">#REF!</definedName>
    <definedName name="Prog434">#REF!</definedName>
    <definedName name="Prog435" localSheetId="0">#REF!</definedName>
    <definedName name="Prog435">#REF!</definedName>
    <definedName name="Prog436" localSheetId="0">#REF!</definedName>
    <definedName name="Prog436">#REF!</definedName>
    <definedName name="Prog437" localSheetId="0">#REF!</definedName>
    <definedName name="Prog437">#REF!</definedName>
    <definedName name="Prog441" localSheetId="0">#REF!</definedName>
    <definedName name="Prog441">#REF!</definedName>
    <definedName name="Prog442" localSheetId="0">#REF!</definedName>
    <definedName name="Prog442">#REF!</definedName>
    <definedName name="Prog443" localSheetId="0">#REF!</definedName>
    <definedName name="Prog443">#REF!</definedName>
    <definedName name="Prog444" localSheetId="0">#REF!</definedName>
    <definedName name="Prog444">#REF!</definedName>
    <definedName name="Prog445" localSheetId="0">#REF!</definedName>
    <definedName name="Prog445">#REF!</definedName>
    <definedName name="Prog451" localSheetId="0">#REF!</definedName>
    <definedName name="Prog451">#REF!</definedName>
    <definedName name="Prog452" localSheetId="0">#REF!</definedName>
    <definedName name="Prog452">#REF!</definedName>
    <definedName name="Prog453" localSheetId="0">#REF!</definedName>
    <definedName name="Prog453">#REF!</definedName>
    <definedName name="Prog454" localSheetId="0">#REF!</definedName>
    <definedName name="Prog454">#REF!</definedName>
    <definedName name="Prog455" localSheetId="0">#REF!</definedName>
    <definedName name="Prog455">#REF!</definedName>
    <definedName name="Prog456" localSheetId="0">#REF!</definedName>
    <definedName name="Prog456">#REF!</definedName>
    <definedName name="Prog461" localSheetId="0">#REF!</definedName>
    <definedName name="Prog461">#REF!</definedName>
    <definedName name="Prog4610" localSheetId="0">#REF!</definedName>
    <definedName name="Prog4610">#REF!</definedName>
    <definedName name="Prog462" localSheetId="0">#REF!</definedName>
    <definedName name="Prog462">#REF!</definedName>
    <definedName name="Prog463" localSheetId="0">#REF!</definedName>
    <definedName name="Prog463">#REF!</definedName>
    <definedName name="Prog464" localSheetId="0">#REF!</definedName>
    <definedName name="Prog464">#REF!</definedName>
    <definedName name="Prog465" localSheetId="0">#REF!</definedName>
    <definedName name="Prog465">#REF!</definedName>
    <definedName name="Prog466" localSheetId="0">#REF!</definedName>
    <definedName name="Prog466">#REF!</definedName>
    <definedName name="Prog467" localSheetId="0">#REF!</definedName>
    <definedName name="Prog467">#REF!</definedName>
    <definedName name="Prog468" localSheetId="0">#REF!</definedName>
    <definedName name="Prog468">#REF!</definedName>
    <definedName name="Prog469" localSheetId="0">#REF!</definedName>
    <definedName name="Prog469">#REF!</definedName>
    <definedName name="Prog471" localSheetId="0">#REF!</definedName>
    <definedName name="Prog471">#REF!</definedName>
    <definedName name="Prog472" localSheetId="0">#REF!</definedName>
    <definedName name="Prog472">#REF!</definedName>
    <definedName name="Prog473" localSheetId="0">#REF!</definedName>
    <definedName name="Prog473">#REF!</definedName>
    <definedName name="Prog474" localSheetId="0">#REF!</definedName>
    <definedName name="Prog474">#REF!</definedName>
    <definedName name="Prog475" localSheetId="0">#REF!</definedName>
    <definedName name="Prog475">#REF!</definedName>
    <definedName name="Prog476" localSheetId="0">#REF!</definedName>
    <definedName name="Prog476">#REF!</definedName>
    <definedName name="Prog477" localSheetId="0">#REF!</definedName>
    <definedName name="Prog477">#REF!</definedName>
    <definedName name="Prog478" localSheetId="0">#REF!</definedName>
    <definedName name="Prog478">#REF!</definedName>
    <definedName name="Prog479" localSheetId="0">#REF!</definedName>
    <definedName name="Prog479">#REF!</definedName>
    <definedName name="Prog481" localSheetId="0">#REF!</definedName>
    <definedName name="Prog481">#REF!</definedName>
    <definedName name="Prog482" localSheetId="0">#REF!</definedName>
    <definedName name="Prog482">#REF!</definedName>
    <definedName name="Prog483" localSheetId="0">#REF!</definedName>
    <definedName name="Prog483">#REF!</definedName>
    <definedName name="Prog484" localSheetId="0">#REF!</definedName>
    <definedName name="Prog484">#REF!</definedName>
    <definedName name="Prog485" localSheetId="0">#REF!</definedName>
    <definedName name="Prog485">#REF!</definedName>
    <definedName name="Prog486" localSheetId="0">#REF!</definedName>
    <definedName name="Prog486">#REF!</definedName>
    <definedName name="Prog491" localSheetId="0">#REF!</definedName>
    <definedName name="Prog491">#REF!</definedName>
    <definedName name="Prog492" localSheetId="0">#REF!</definedName>
    <definedName name="Prog492">#REF!</definedName>
    <definedName name="Prog493" localSheetId="0">#REF!</definedName>
    <definedName name="Prog493">#REF!</definedName>
    <definedName name="Prog494" localSheetId="0">#REF!</definedName>
    <definedName name="Prog494">#REF!</definedName>
    <definedName name="Prog495" localSheetId="0">#REF!</definedName>
    <definedName name="Prog495">#REF!</definedName>
    <definedName name="Prog496" localSheetId="0">#REF!</definedName>
    <definedName name="Prog496">#REF!</definedName>
    <definedName name="Prog497" localSheetId="0">#REF!</definedName>
    <definedName name="Prog497">#REF!</definedName>
    <definedName name="Prog511" localSheetId="0">#REF!</definedName>
    <definedName name="Prog511">#REF!</definedName>
    <definedName name="Prog512" localSheetId="0">#REF!</definedName>
    <definedName name="Prog512">#REF!</definedName>
    <definedName name="Prog513" localSheetId="0">#REF!</definedName>
    <definedName name="Prog513">#REF!</definedName>
    <definedName name="Prog521" localSheetId="0">#REF!</definedName>
    <definedName name="Prog521">#REF!</definedName>
    <definedName name="Prog522" localSheetId="0">#REF!</definedName>
    <definedName name="Prog522">#REF!</definedName>
    <definedName name="Prog523" localSheetId="0">#REF!</definedName>
    <definedName name="Prog523">#REF!</definedName>
    <definedName name="Prog524" localSheetId="0">#REF!</definedName>
    <definedName name="Prog524">#REF!</definedName>
    <definedName name="Prog525" localSheetId="0">#REF!</definedName>
    <definedName name="Prog525">#REF!</definedName>
    <definedName name="Prog526" localSheetId="0">#REF!</definedName>
    <definedName name="Prog526">#REF!</definedName>
    <definedName name="Prog531" localSheetId="0">#REF!</definedName>
    <definedName name="Prog531">#REF!</definedName>
    <definedName name="Prog532" localSheetId="0">#REF!</definedName>
    <definedName name="Prog532">#REF!</definedName>
    <definedName name="Prog533" localSheetId="0">#REF!</definedName>
    <definedName name="Prog533">#REF!</definedName>
    <definedName name="Prog534" localSheetId="0">#REF!</definedName>
    <definedName name="Prog534">#REF!</definedName>
    <definedName name="Prog535" localSheetId="0">#REF!</definedName>
    <definedName name="Prog535">#REF!</definedName>
    <definedName name="Prog541" localSheetId="0">#REF!</definedName>
    <definedName name="Prog541">#REF!</definedName>
    <definedName name="Prog542" localSheetId="0">#REF!</definedName>
    <definedName name="Prog542">#REF!</definedName>
    <definedName name="Prog543" localSheetId="0">#REF!</definedName>
    <definedName name="Prog543">#REF!</definedName>
    <definedName name="Prog544" localSheetId="0">#REF!</definedName>
    <definedName name="Prog544">#REF!</definedName>
    <definedName name="Prog545" localSheetId="0">#REF!</definedName>
    <definedName name="Prog545">#REF!</definedName>
    <definedName name="Prog546" localSheetId="0">#REF!</definedName>
    <definedName name="Prog546">#REF!</definedName>
    <definedName name="Prog547" localSheetId="0">#REF!</definedName>
    <definedName name="Prog547">#REF!</definedName>
    <definedName name="Program1P1" localSheetId="0">#REF!</definedName>
    <definedName name="Program1P1">#REF!</definedName>
    <definedName name="Program1P1SAPREF" localSheetId="0">#REF!</definedName>
    <definedName name="Program1P1SAPREF">#REF!</definedName>
    <definedName name="Program1P1SL" localSheetId="0">#REF!</definedName>
    <definedName name="Program1P1SL">#REF!</definedName>
    <definedName name="Program1P2" localSheetId="0">#REF!</definedName>
    <definedName name="Program1P2">#REF!</definedName>
    <definedName name="Program1P2SAPREF" localSheetId="0">#REF!</definedName>
    <definedName name="Program1P2SAPREF">#REF!</definedName>
    <definedName name="Program1P2SL" localSheetId="0">#REF!</definedName>
    <definedName name="Program1P2SL">#REF!</definedName>
    <definedName name="recurrent" localSheetId="0">#REF!</definedName>
    <definedName name="recurrent">#REF!</definedName>
    <definedName name="reruerueu" localSheetId="0">#REF!</definedName>
    <definedName name="reruerueu">#REF!</definedName>
    <definedName name="Status" localSheetId="0">#REF!</definedName>
    <definedName name="Status">#REF!</definedName>
    <definedName name="strategylist" localSheetId="0">#REF!</definedName>
    <definedName name="strategylist">#REF!</definedName>
    <definedName name="Type" localSheetId="0">#REF!</definedName>
    <definedName name="Type">#REF!</definedName>
    <definedName name="Z_4C076027_7D33_4348_B8F1_EB44AEBB6676_.wvu.Cols" localSheetId="0" hidden="1">'13.8'!#REF!</definedName>
    <definedName name="Z_4C076027_7D33_4348_B8F1_EB44AEBB6676_.wvu.PrintArea" localSheetId="0" hidden="1">'13.8'!#REF!</definedName>
    <definedName name="Z_4C076027_7D33_4348_B8F1_EB44AEBB6676_.wvu.Rows" localSheetId="0" hidden="1">'13.8'!#REF!,'13.8'!#REF!,'13.8'!#REF!,'13.8'!#REF!,'13.8'!#REF!,'13.8'!#REF!,'13.8'!#REF!,'13.8'!#REF!,'13.8'!#REF!,'13.8'!$14:$14,'13.8'!#REF!,'13.8'!#REF!,'13.8'!#REF!,'13.8'!#REF!</definedName>
    <definedName name="Z_7AF63859_16DE_433E_88CA_6659784C6AF5_.wvu.Cols" localSheetId="0" hidden="1">'13.8'!#REF!</definedName>
    <definedName name="Z_7AF63859_16DE_433E_88CA_6659784C6AF5_.wvu.PrintArea" localSheetId="0" hidden="1">'13.8'!$B$1:$B$42</definedName>
    <definedName name="Z_7AF63859_16DE_433E_88CA_6659784C6AF5_.wvu.Rows" localSheetId="0" hidden="1">'13.8'!#REF!,'13.8'!#REF!,'13.8'!#REF!,'13.8'!#REF!</definedName>
    <definedName name="Z_C0DBC270_9699_4A5F_8964_ED5115A1B162_.wvu.Cols" localSheetId="0" hidden="1">'13.8'!#REF!</definedName>
    <definedName name="Z_C0DBC270_9699_4A5F_8964_ED5115A1B162_.wvu.PrintArea" localSheetId="0" hidden="1">'13.8'!$B$2:$B$42</definedName>
    <definedName name="Z_C0DBC270_9699_4A5F_8964_ED5115A1B162_.wvu.Rows" localSheetId="0" hidden="1">'13.8'!#REF!,'13.8'!#REF!,'13.8'!#REF!,'13.8'!#REF!,'13.8'!#REF!,'13.8'!#REF!,'13.8'!#REF!,'13.8'!#REF!,'13.8'!#REF!,'13.8'!#REF!,'13.8'!#REF!,'13.8'!#REF!,'13.8'!#REF!,'13.8'!#REF!,'13.8'!#REF!,'13.8'!$14:$14,'13.8'!#REF!,'13.8'!#REF!,'13.8'!#REF!,'13.8'!#REF!,'13.8'!#REF!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0" i="30" l="1"/>
  <c r="R20" i="30" l="1"/>
  <c r="Q20" i="30"/>
  <c r="O20" i="30"/>
  <c r="N20" i="30"/>
  <c r="R11" i="30"/>
  <c r="Q11" i="30"/>
  <c r="P11" i="30"/>
  <c r="O11" i="30"/>
  <c r="N11" i="30"/>
  <c r="R9" i="30" l="1"/>
  <c r="M20" i="30" l="1"/>
  <c r="M11" i="30"/>
  <c r="O9" i="30" l="1"/>
  <c r="M9" i="30"/>
  <c r="Q9" i="30"/>
  <c r="N9" i="30"/>
  <c r="P9" i="30" l="1"/>
</calcChain>
</file>

<file path=xl/sharedStrings.xml><?xml version="1.0" encoding="utf-8"?>
<sst xmlns="http://schemas.openxmlformats.org/spreadsheetml/2006/main" count="139" uniqueCount="38">
  <si>
    <t>Particulars</t>
  </si>
  <si>
    <t>Actual</t>
  </si>
  <si>
    <t xml:space="preserve">Approved </t>
  </si>
  <si>
    <t>-</t>
  </si>
  <si>
    <t>Other</t>
  </si>
  <si>
    <t>(In million Rufiyaa)</t>
  </si>
  <si>
    <t>Bilateral</t>
  </si>
  <si>
    <t>Italy</t>
  </si>
  <si>
    <t>Japan</t>
  </si>
  <si>
    <t>Kuwait Fund</t>
  </si>
  <si>
    <t>Saudi Arabia</t>
  </si>
  <si>
    <t>Multilateral</t>
  </si>
  <si>
    <t>ADB</t>
  </si>
  <si>
    <t>IDA</t>
  </si>
  <si>
    <t>IDB</t>
  </si>
  <si>
    <t>IFAD</t>
  </si>
  <si>
    <t>Abu Dhabi Fund</t>
  </si>
  <si>
    <t>European Investment Bank (EIB)</t>
  </si>
  <si>
    <t>World Bank</t>
  </si>
  <si>
    <t>Deutsche Bank</t>
  </si>
  <si>
    <t>Total disbursements</t>
  </si>
  <si>
    <t xml:space="preserve">India </t>
  </si>
  <si>
    <t>OPEC Fund (OFID)</t>
  </si>
  <si>
    <t>ING Bank (Netherland)</t>
  </si>
  <si>
    <t>Exim Bank - China</t>
  </si>
  <si>
    <t>Exim Bank - India</t>
  </si>
  <si>
    <t>French Development Agency (AFD)</t>
  </si>
  <si>
    <t>DANIDA</t>
  </si>
  <si>
    <t>AIIB</t>
  </si>
  <si>
    <t>Clean technology Fund</t>
  </si>
  <si>
    <t>CDP</t>
  </si>
  <si>
    <t>Foreign Bond</t>
  </si>
  <si>
    <t>Others</t>
  </si>
  <si>
    <t>TABLE 13.8: FOREIGN LOANS BY LENDING AGENCY, 2012 - 2027</t>
  </si>
  <si>
    <t>IDPA</t>
  </si>
  <si>
    <t>CTF</t>
  </si>
  <si>
    <t>Source:  Ministry of Finance and Planning.</t>
  </si>
  <si>
    <t xml:space="preserve"> gcninElcp cDcnea cscnEnif cfoa IrcTcsinim :ctWrwf ivcaedutWmUluAwm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</si>
</sst>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General_)"/>
    <numFmt numFmtId="167" formatCode="#,##0.0"/>
    <numFmt numFmtId="168" formatCode="_(* #,##0.0_);_(* \(#,##0.0\);_(* &quot;-&quot;??_);_(@_)"/>
    <numFmt numFmtId="169" formatCode="0.0"/>
    <numFmt numFmtId="170" formatCode="#,##0.00\ ;&quot; (&quot;#,##0.00\);&quot; -&quot;#\ ;@\ "/>
    <numFmt numFmtId="171" formatCode="_(* #,##0.0_);_(* \(#,##0.0\);_(* &quot;-&quot;?_);_(@_)"/>
    <numFmt numFmtId="172" formatCode="#,##0.0_);\(#,##0.0\)"/>
    <numFmt numFmtId="174" formatCode="0.00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sz val="10"/>
      <name val="Courier"/>
      <family val="3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i/>
      <sz val="9.5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ourier"/>
    </font>
    <font>
      <sz val="10"/>
      <name val="Helv"/>
    </font>
    <font>
      <sz val="10"/>
      <color theme="1"/>
      <name val="A_Faseyha"/>
    </font>
    <font>
      <sz val="12"/>
      <color theme="1"/>
      <name val="Century Gothic"/>
      <family val="2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i/>
      <u/>
      <sz val="11"/>
      <color theme="1"/>
      <name val="Calibri"/>
      <family val="2"/>
      <scheme val="minor"/>
    </font>
    <font>
      <sz val="9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5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  <xf numFmtId="0" fontId="6" fillId="0" borderId="0"/>
    <xf numFmtId="170" fontId="6" fillId="0" borderId="0"/>
    <xf numFmtId="0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10" fillId="0" borderId="0" applyNumberFormat="0" applyFill="0" applyBorder="0" applyAlignment="0" applyProtection="0"/>
    <xf numFmtId="169" fontId="11" fillId="0" borderId="0"/>
    <xf numFmtId="4" fontId="1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74" fontId="15" fillId="0" borderId="0"/>
    <xf numFmtId="1" fontId="16" fillId="0" borderId="6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2" fillId="0" borderId="0"/>
    <xf numFmtId="40" fontId="12" fillId="0" borderId="0" applyFont="0" applyFill="0" applyBorder="0" applyAlignment="0" applyProtection="0"/>
    <xf numFmtId="0" fontId="12" fillId="0" borderId="0"/>
    <xf numFmtId="0" fontId="2" fillId="0" borderId="0"/>
    <xf numFmtId="1" fontId="16" fillId="0" borderId="6" applyNumberFormat="0"/>
    <xf numFmtId="0" fontId="1" fillId="0" borderId="0"/>
    <xf numFmtId="0" fontId="12" fillId="0" borderId="0"/>
    <xf numFmtId="0" fontId="6" fillId="0" borderId="0" applyFill="0" applyProtection="0"/>
    <xf numFmtId="1" fontId="16" fillId="0" borderId="6" applyNumberFormat="0"/>
    <xf numFmtId="43" fontId="1" fillId="0" borderId="0" applyFont="0" applyFill="0" applyBorder="0" applyAlignment="0" applyProtection="0"/>
    <xf numFmtId="0" fontId="1" fillId="0" borderId="0"/>
    <xf numFmtId="0" fontId="17" fillId="0" borderId="0"/>
    <xf numFmtId="0" fontId="18" fillId="0" borderId="0"/>
    <xf numFmtId="0" fontId="17" fillId="0" borderId="0"/>
    <xf numFmtId="0" fontId="1" fillId="0" borderId="0"/>
    <xf numFmtId="0" fontId="12" fillId="0" borderId="0"/>
    <xf numFmtId="0" fontId="6" fillId="0" borderId="0" applyFill="0" applyProtection="0"/>
  </cellStyleXfs>
  <cellXfs count="50">
    <xf numFmtId="0" fontId="0" fillId="0" borderId="0" xfId="0"/>
    <xf numFmtId="166" fontId="9" fillId="2" borderId="0" xfId="2" applyNumberFormat="1" applyFont="1" applyFill="1" applyAlignment="1">
      <alignment horizontal="left" vertical="center"/>
    </xf>
    <xf numFmtId="166" fontId="13" fillId="2" borderId="0" xfId="2" applyNumberFormat="1" applyFont="1" applyFill="1" applyAlignment="1">
      <alignment horizontal="right" vertical="center"/>
    </xf>
    <xf numFmtId="169" fontId="8" fillId="2" borderId="0" xfId="11" applyFont="1" applyFill="1" applyAlignment="1">
      <alignment vertical="center"/>
    </xf>
    <xf numFmtId="172" fontId="8" fillId="2" borderId="0" xfId="12" applyNumberFormat="1" applyFont="1" applyFill="1" applyBorder="1" applyAlignment="1">
      <alignment horizontal="center" vertical="center"/>
    </xf>
    <xf numFmtId="169" fontId="1" fillId="2" borderId="0" xfId="11" applyFont="1" applyFill="1" applyAlignment="1">
      <alignment vertical="center"/>
    </xf>
    <xf numFmtId="172" fontId="1" fillId="2" borderId="0" xfId="12" applyNumberFormat="1" applyFont="1" applyFill="1" applyBorder="1" applyAlignment="1">
      <alignment vertical="center"/>
    </xf>
    <xf numFmtId="169" fontId="8" fillId="2" borderId="0" xfId="11" applyFont="1" applyFill="1" applyAlignment="1">
      <alignment horizontal="left" vertical="center"/>
    </xf>
    <xf numFmtId="172" fontId="8" fillId="2" borderId="0" xfId="12" applyNumberFormat="1" applyFont="1" applyFill="1" applyBorder="1" applyAlignment="1">
      <alignment vertical="center"/>
    </xf>
    <xf numFmtId="0" fontId="8" fillId="2" borderId="2" xfId="12" applyNumberFormat="1" applyFont="1" applyFill="1" applyBorder="1" applyAlignment="1" applyProtection="1">
      <alignment horizontal="right" vertical="center"/>
    </xf>
    <xf numFmtId="0" fontId="8" fillId="2" borderId="2" xfId="11" applyNumberFormat="1" applyFont="1" applyFill="1" applyBorder="1" applyAlignment="1">
      <alignment horizontal="right" vertical="center"/>
    </xf>
    <xf numFmtId="172" fontId="8" fillId="2" borderId="1" xfId="12" applyNumberFormat="1" applyFont="1" applyFill="1" applyBorder="1" applyAlignment="1">
      <alignment horizontal="right" vertical="center"/>
    </xf>
    <xf numFmtId="169" fontId="8" fillId="2" borderId="1" xfId="11" applyFont="1" applyFill="1" applyBorder="1" applyAlignment="1">
      <alignment horizontal="right" vertical="center"/>
    </xf>
    <xf numFmtId="169" fontId="8" fillId="2" borderId="0" xfId="11" applyFont="1" applyFill="1" applyAlignment="1">
      <alignment horizontal="left" vertical="center" indent="1"/>
    </xf>
    <xf numFmtId="171" fontId="8" fillId="2" borderId="0" xfId="12" applyNumberFormat="1" applyFont="1" applyFill="1" applyBorder="1" applyAlignment="1">
      <alignment vertical="center"/>
    </xf>
    <xf numFmtId="171" fontId="1" fillId="2" borderId="0" xfId="12" applyNumberFormat="1" applyFont="1" applyFill="1" applyBorder="1" applyAlignment="1">
      <alignment vertical="center"/>
    </xf>
    <xf numFmtId="168" fontId="1" fillId="2" borderId="0" xfId="1" applyNumberFormat="1" applyFont="1" applyFill="1" applyBorder="1" applyAlignment="1">
      <alignment vertical="center"/>
    </xf>
    <xf numFmtId="168" fontId="8" fillId="2" borderId="0" xfId="1" applyNumberFormat="1" applyFont="1" applyFill="1" applyBorder="1" applyAlignment="1">
      <alignment vertical="center"/>
    </xf>
    <xf numFmtId="172" fontId="8" fillId="2" borderId="0" xfId="12" applyNumberFormat="1" applyFont="1" applyFill="1" applyBorder="1" applyAlignment="1">
      <alignment horizontal="centerContinuous" vertical="center"/>
    </xf>
    <xf numFmtId="169" fontId="8" fillId="2" borderId="0" xfId="11" applyFont="1" applyFill="1" applyAlignment="1">
      <alignment horizontal="center" vertical="center"/>
    </xf>
    <xf numFmtId="0" fontId="1" fillId="2" borderId="0" xfId="11" applyNumberFormat="1" applyFont="1" applyFill="1" applyAlignment="1">
      <alignment vertical="center"/>
    </xf>
    <xf numFmtId="169" fontId="1" fillId="2" borderId="0" xfId="11" applyFont="1" applyFill="1" applyAlignment="1">
      <alignment horizontal="center" vertical="center"/>
    </xf>
    <xf numFmtId="0" fontId="8" fillId="2" borderId="0" xfId="12" applyNumberFormat="1" applyFont="1" applyFill="1" applyBorder="1" applyAlignment="1" applyProtection="1">
      <alignment horizontal="center" vertical="center"/>
    </xf>
    <xf numFmtId="0" fontId="1" fillId="2" borderId="0" xfId="11" applyNumberFormat="1" applyFont="1" applyFill="1" applyAlignment="1">
      <alignment horizontal="center" vertical="center"/>
    </xf>
    <xf numFmtId="169" fontId="19" fillId="2" borderId="0" xfId="11" applyFont="1" applyFill="1" applyAlignment="1">
      <alignment vertical="center"/>
    </xf>
    <xf numFmtId="167" fontId="8" fillId="2" borderId="0" xfId="12" applyNumberFormat="1" applyFont="1" applyFill="1" applyBorder="1" applyAlignment="1">
      <alignment vertical="center"/>
    </xf>
    <xf numFmtId="0" fontId="8" fillId="2" borderId="0" xfId="11" applyNumberFormat="1" applyFont="1" applyFill="1" applyAlignment="1">
      <alignment vertical="center"/>
    </xf>
    <xf numFmtId="171" fontId="1" fillId="2" borderId="0" xfId="12" applyNumberFormat="1" applyFont="1" applyFill="1" applyBorder="1" applyAlignment="1">
      <alignment horizontal="right" vertical="center"/>
    </xf>
    <xf numFmtId="172" fontId="1" fillId="2" borderId="0" xfId="12" applyNumberFormat="1" applyFont="1" applyFill="1" applyBorder="1" applyAlignment="1">
      <alignment horizontal="right" vertical="center"/>
    </xf>
    <xf numFmtId="167" fontId="1" fillId="2" borderId="0" xfId="12" applyNumberFormat="1" applyFont="1" applyFill="1" applyBorder="1" applyAlignment="1">
      <alignment horizontal="right" vertical="center"/>
    </xf>
    <xf numFmtId="167" fontId="1" fillId="2" borderId="0" xfId="12" applyNumberFormat="1" applyFont="1" applyFill="1" applyBorder="1" applyAlignment="1">
      <alignment vertical="center"/>
    </xf>
    <xf numFmtId="169" fontId="1" fillId="2" borderId="0" xfId="11" applyFont="1" applyFill="1" applyAlignment="1">
      <alignment horizontal="left" vertical="center" indent="2"/>
    </xf>
    <xf numFmtId="169" fontId="1" fillId="2" borderId="1" xfId="11" applyFont="1" applyFill="1" applyBorder="1" applyAlignment="1">
      <alignment horizontal="left" vertical="center" indent="2"/>
    </xf>
    <xf numFmtId="171" fontId="1" fillId="2" borderId="1" xfId="12" applyNumberFormat="1" applyFont="1" applyFill="1" applyBorder="1" applyAlignment="1">
      <alignment horizontal="right" vertical="center"/>
    </xf>
    <xf numFmtId="169" fontId="1" fillId="2" borderId="0" xfId="11" quotePrefix="1" applyFont="1" applyFill="1" applyAlignment="1">
      <alignment horizontal="left" vertical="center"/>
    </xf>
    <xf numFmtId="171" fontId="8" fillId="2" borderId="0" xfId="12" applyNumberFormat="1" applyFont="1" applyFill="1" applyBorder="1" applyAlignment="1">
      <alignment horizontal="right" vertical="center"/>
    </xf>
    <xf numFmtId="172" fontId="1" fillId="2" borderId="1" xfId="12" applyNumberFormat="1" applyFont="1" applyFill="1" applyBorder="1" applyAlignment="1">
      <alignment horizontal="right" vertical="center"/>
    </xf>
    <xf numFmtId="172" fontId="1" fillId="2" borderId="1" xfId="12" applyNumberFormat="1" applyFont="1" applyFill="1" applyBorder="1" applyAlignment="1">
      <alignment vertical="center"/>
    </xf>
    <xf numFmtId="172" fontId="1" fillId="2" borderId="3" xfId="12" applyNumberFormat="1" applyFont="1" applyFill="1" applyBorder="1" applyAlignment="1">
      <alignment vertical="center"/>
    </xf>
    <xf numFmtId="172" fontId="8" fillId="2" borderId="3" xfId="12" applyNumberFormat="1" applyFont="1" applyFill="1" applyBorder="1" applyAlignment="1">
      <alignment horizontal="center" vertical="center"/>
    </xf>
    <xf numFmtId="168" fontId="1" fillId="2" borderId="1" xfId="1" applyNumberFormat="1" applyFont="1" applyFill="1" applyBorder="1" applyAlignment="1">
      <alignment vertical="center"/>
    </xf>
    <xf numFmtId="166" fontId="20" fillId="2" borderId="0" xfId="2" applyNumberFormat="1" applyFont="1" applyFill="1" applyAlignment="1">
      <alignment horizontal="right" vertical="center"/>
    </xf>
    <xf numFmtId="0" fontId="8" fillId="2" borderId="5" xfId="11" applyNumberFormat="1" applyFont="1" applyFill="1" applyBorder="1" applyAlignment="1">
      <alignment horizontal="right" vertical="center"/>
    </xf>
    <xf numFmtId="169" fontId="8" fillId="2" borderId="4" xfId="11" applyFont="1" applyFill="1" applyBorder="1" applyAlignment="1">
      <alignment horizontal="right" vertical="center"/>
    </xf>
    <xf numFmtId="168" fontId="8" fillId="2" borderId="3" xfId="1" applyNumberFormat="1" applyFont="1" applyFill="1" applyBorder="1" applyAlignment="1">
      <alignment vertical="center"/>
    </xf>
    <xf numFmtId="168" fontId="1" fillId="2" borderId="3" xfId="1" applyNumberFormat="1" applyFont="1" applyFill="1" applyBorder="1" applyAlignment="1">
      <alignment vertical="center"/>
    </xf>
    <xf numFmtId="168" fontId="1" fillId="2" borderId="4" xfId="1" applyNumberFormat="1" applyFont="1" applyFill="1" applyBorder="1" applyAlignment="1">
      <alignment vertical="center"/>
    </xf>
    <xf numFmtId="169" fontId="8" fillId="2" borderId="0" xfId="11" applyFont="1" applyFill="1" applyAlignment="1">
      <alignment horizontal="center" vertical="center"/>
    </xf>
    <xf numFmtId="169" fontId="8" fillId="2" borderId="2" xfId="11" applyFont="1" applyFill="1" applyBorder="1" applyAlignment="1">
      <alignment horizontal="left" vertical="center"/>
    </xf>
    <xf numFmtId="169" fontId="8" fillId="2" borderId="1" xfId="11" applyFont="1" applyFill="1" applyBorder="1" applyAlignment="1">
      <alignment horizontal="left" vertical="center"/>
    </xf>
  </cellXfs>
  <cellStyles count="57">
    <cellStyle name="1" xfId="27" xr:uid="{00000000-0005-0000-0000-000000000000}"/>
    <cellStyle name="Comma" xfId="1" builtinId="3"/>
    <cellStyle name="Comma 12" xfId="22" xr:uid="{00000000-0005-0000-0000-000002000000}"/>
    <cellStyle name="Comma 2" xfId="6" xr:uid="{00000000-0005-0000-0000-000003000000}"/>
    <cellStyle name="Comma 2 2" xfId="41" xr:uid="{00000000-0005-0000-0000-000004000000}"/>
    <cellStyle name="Comma 2 2 2 5" xfId="49" xr:uid="{00000000-0005-0000-0000-000005000000}"/>
    <cellStyle name="Comma 3" xfId="7" xr:uid="{00000000-0005-0000-0000-000006000000}"/>
    <cellStyle name="Comma 3 2" xfId="17" xr:uid="{00000000-0005-0000-0000-000007000000}"/>
    <cellStyle name="Comma 3 3" xfId="28" xr:uid="{00000000-0005-0000-0000-000008000000}"/>
    <cellStyle name="Comma 4" xfId="3" xr:uid="{00000000-0005-0000-0000-000009000000}"/>
    <cellStyle name="Comma 4 2" xfId="14" xr:uid="{00000000-0005-0000-0000-00000A000000}"/>
    <cellStyle name="Comma 5" xfId="12" xr:uid="{00000000-0005-0000-0000-00000B000000}"/>
    <cellStyle name="Comma 6" xfId="9" xr:uid="{00000000-0005-0000-0000-00000C000000}"/>
    <cellStyle name="Comma 6 2" xfId="18" xr:uid="{00000000-0005-0000-0000-00000D000000}"/>
    <cellStyle name="Comma 7" xfId="16" xr:uid="{00000000-0005-0000-0000-00000E000000}"/>
    <cellStyle name="Comma 8" xfId="20" xr:uid="{00000000-0005-0000-0000-00000F000000}"/>
    <cellStyle name="Excel Built-in Comma" xfId="5" xr:uid="{00000000-0005-0000-0000-000010000000}"/>
    <cellStyle name="Excel Built-in Normal" xfId="4" xr:uid="{00000000-0005-0000-0000-000011000000}"/>
    <cellStyle name="Normal" xfId="0" builtinId="0"/>
    <cellStyle name="Normal - Style1" xfId="29" xr:uid="{00000000-0005-0000-0000-000013000000}"/>
    <cellStyle name="Normal 10" xfId="35" xr:uid="{00000000-0005-0000-0000-000014000000}"/>
    <cellStyle name="Normal 11" xfId="46" xr:uid="{00000000-0005-0000-0000-000015000000}"/>
    <cellStyle name="Normal 12" xfId="48" xr:uid="{00000000-0005-0000-0000-000016000000}"/>
    <cellStyle name="Normal 2" xfId="10" xr:uid="{00000000-0005-0000-0000-000017000000}"/>
    <cellStyle name="Normal 2 2" xfId="13" xr:uid="{00000000-0005-0000-0000-000018000000}"/>
    <cellStyle name="Normal 2 2 2" xfId="42" xr:uid="{00000000-0005-0000-0000-000019000000}"/>
    <cellStyle name="Normal 2 2 3" xfId="43" xr:uid="{00000000-0005-0000-0000-00001A000000}"/>
    <cellStyle name="Normal 2 2 4" xfId="30" xr:uid="{00000000-0005-0000-0000-00001B000000}"/>
    <cellStyle name="Normal 2 3" xfId="45" xr:uid="{00000000-0005-0000-0000-00001C000000}"/>
    <cellStyle name="Normal 2 3 2" xfId="56" xr:uid="{00000000-0005-0000-0000-00001D000000}"/>
    <cellStyle name="Normal 2 4" xfId="47" xr:uid="{00000000-0005-0000-0000-00001E000000}"/>
    <cellStyle name="Normal 2 5" xfId="51" xr:uid="{00000000-0005-0000-0000-00001F000000}"/>
    <cellStyle name="Normal 2 6" xfId="23" xr:uid="{00000000-0005-0000-0000-000020000000}"/>
    <cellStyle name="Normal 3" xfId="11" xr:uid="{00000000-0005-0000-0000-000021000000}"/>
    <cellStyle name="Normal 3 2" xfId="44" xr:uid="{00000000-0005-0000-0000-000022000000}"/>
    <cellStyle name="Normal 3 2 2" xfId="53" xr:uid="{00000000-0005-0000-0000-000023000000}"/>
    <cellStyle name="Normal 3 3" xfId="31" xr:uid="{00000000-0005-0000-0000-000024000000}"/>
    <cellStyle name="Normal 4" xfId="8" xr:uid="{00000000-0005-0000-0000-000025000000}"/>
    <cellStyle name="Normal 4 2" xfId="32" xr:uid="{00000000-0005-0000-0000-000026000000}"/>
    <cellStyle name="Normal 4 2 2" xfId="37" xr:uid="{00000000-0005-0000-0000-000027000000}"/>
    <cellStyle name="Normal 4 3" xfId="52" xr:uid="{00000000-0005-0000-0000-000028000000}"/>
    <cellStyle name="Normal 4 4" xfId="36" xr:uid="{00000000-0005-0000-0000-000029000000}"/>
    <cellStyle name="Normal 5" xfId="19" xr:uid="{00000000-0005-0000-0000-00002A000000}"/>
    <cellStyle name="Normal 5 2" xfId="25" xr:uid="{00000000-0005-0000-0000-00002B000000}"/>
    <cellStyle name="Normal 5 3" xfId="50" xr:uid="{00000000-0005-0000-0000-00002C000000}"/>
    <cellStyle name="Normal 5 4" xfId="33" xr:uid="{00000000-0005-0000-0000-00002D000000}"/>
    <cellStyle name="Normal 6" xfId="38" xr:uid="{00000000-0005-0000-0000-00002E000000}"/>
    <cellStyle name="Normal 6 2" xfId="54" xr:uid="{00000000-0005-0000-0000-00002F000000}"/>
    <cellStyle name="Normal 7" xfId="39" xr:uid="{00000000-0005-0000-0000-000030000000}"/>
    <cellStyle name="Normal 7 2" xfId="55" xr:uid="{00000000-0005-0000-0000-000031000000}"/>
    <cellStyle name="Normal 8" xfId="40" xr:uid="{00000000-0005-0000-0000-000032000000}"/>
    <cellStyle name="Normal 9" xfId="26" xr:uid="{00000000-0005-0000-0000-000033000000}"/>
    <cellStyle name="Normal_13 Public Finance_done" xfId="2" xr:uid="{00000000-0005-0000-0000-000034000000}"/>
    <cellStyle name="Percent 2" xfId="15" xr:uid="{00000000-0005-0000-0000-000038000000}"/>
    <cellStyle name="Percent 2 2" xfId="24" xr:uid="{00000000-0005-0000-0000-000039000000}"/>
    <cellStyle name="Percent 2 3" xfId="34" xr:uid="{00000000-0005-0000-0000-00003A000000}"/>
    <cellStyle name="Percent 3" xfId="21" xr:uid="{00000000-0005-0000-0000-00003B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DEADA"/>
      <color rgb="FFEBF1DE"/>
      <color rgb="FFFBC99F"/>
      <color rgb="FFF5EADF"/>
      <color rgb="FFFAC090"/>
      <color rgb="FF996633"/>
      <color rgb="FFCC6600"/>
      <color rgb="FF6C3600"/>
      <color rgb="FFFCD5B5"/>
      <color rgb="FF7DD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1:BE44"/>
  <sheetViews>
    <sheetView showGridLines="0" tabSelected="1" topLeftCell="B1" zoomScaleNormal="100" zoomScaleSheetLayoutView="89" workbookViewId="0">
      <pane xSplit="1" ySplit="1" topLeftCell="C2" activePane="bottomRight" state="frozen"/>
      <selection activeCell="A51" sqref="A51"/>
      <selection pane="topRight" activeCell="A51" sqref="A51"/>
      <selection pane="bottomLeft" activeCell="A51" sqref="A51"/>
      <selection pane="bottomRight" activeCell="U27" sqref="U27"/>
    </sheetView>
  </sheetViews>
  <sheetFormatPr defaultRowHeight="18.75" customHeight="1"/>
  <cols>
    <col min="1" max="1" width="6.7109375" style="20" customWidth="1"/>
    <col min="2" max="2" width="46.28515625" style="5" customWidth="1"/>
    <col min="3" max="3" width="10.42578125" style="5" bestFit="1" customWidth="1"/>
    <col min="4" max="6" width="11" style="5" customWidth="1"/>
    <col min="7" max="7" width="10.7109375" style="5" customWidth="1"/>
    <col min="8" max="16" width="11" style="5" customWidth="1"/>
    <col min="17" max="17" width="12.7109375" style="5" bestFit="1" customWidth="1"/>
    <col min="18" max="20" width="11" style="5" customWidth="1"/>
    <col min="21" max="21" width="15" style="5" customWidth="1"/>
    <col min="22" max="22" width="15.5703125" style="5" customWidth="1"/>
    <col min="23" max="23" width="15" style="5" customWidth="1"/>
    <col min="24" max="25" width="16.7109375" style="5" customWidth="1"/>
    <col min="26" max="26" width="14.7109375" style="5" customWidth="1"/>
    <col min="27" max="27" width="15" style="5" customWidth="1"/>
    <col min="28" max="28" width="11.42578125" style="5" customWidth="1"/>
    <col min="29" max="34" width="12.28515625" style="5" customWidth="1"/>
    <col min="35" max="35" width="12.42578125" style="5" customWidth="1"/>
    <col min="36" max="36" width="15.28515625" style="5" customWidth="1"/>
    <col min="37" max="37" width="14" style="5" customWidth="1"/>
    <col min="38" max="39" width="12.85546875" style="5" customWidth="1"/>
    <col min="40" max="40" width="17.140625" style="5" customWidth="1"/>
    <col min="41" max="41" width="12.42578125" style="5" customWidth="1"/>
    <col min="42" max="42" width="11.42578125" style="5" customWidth="1"/>
    <col min="43" max="43" width="11.7109375" style="5" customWidth="1"/>
    <col min="44" max="44" width="12" style="5" customWidth="1"/>
    <col min="45" max="51" width="12.42578125" style="5" customWidth="1"/>
    <col min="52" max="53" width="12.42578125" style="5" bestFit="1" customWidth="1"/>
    <col min="54" max="54" width="12.5703125" style="5" customWidth="1"/>
    <col min="55" max="55" width="8.7109375" style="5" customWidth="1"/>
    <col min="56" max="58" width="12.5703125" style="5" customWidth="1"/>
    <col min="59" max="59" width="13.42578125" style="5" customWidth="1"/>
    <col min="60" max="62" width="7.140625" style="5" customWidth="1"/>
    <col min="63" max="63" width="9.140625" style="5" customWidth="1"/>
    <col min="64" max="64" width="42.140625" style="5" customWidth="1"/>
    <col min="65" max="65" width="7.140625" style="5" customWidth="1"/>
    <col min="66" max="67" width="11.5703125" style="5" customWidth="1"/>
    <col min="68" max="68" width="14.140625" style="5" bestFit="1" customWidth="1"/>
    <col min="69" max="71" width="17" style="5" bestFit="1" customWidth="1"/>
    <col min="72" max="72" width="14.140625" style="5" bestFit="1" customWidth="1"/>
    <col min="73" max="16384" width="9.140625" style="5"/>
  </cols>
  <sheetData>
    <row r="1" spans="1:57" ht="18.75" customHeight="1">
      <c r="B1" s="34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57" ht="18.75" customHeight="1">
      <c r="B2" s="47" t="s">
        <v>33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18"/>
      <c r="T2" s="18"/>
      <c r="U2" s="18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</row>
    <row r="3" spans="1:57" ht="18.75" customHeight="1">
      <c r="B3" s="47" t="s">
        <v>5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18"/>
      <c r="S3" s="18"/>
      <c r="T3" s="18"/>
      <c r="U3" s="18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</row>
    <row r="4" spans="1:57" ht="3" customHeight="1"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57" ht="18.75" customHeight="1">
      <c r="B5" s="48" t="s">
        <v>0</v>
      </c>
      <c r="C5" s="9">
        <v>2012</v>
      </c>
      <c r="D5" s="9">
        <v>2013</v>
      </c>
      <c r="E5" s="9">
        <v>2014</v>
      </c>
      <c r="F5" s="9">
        <v>2015</v>
      </c>
      <c r="G5" s="9">
        <v>2016</v>
      </c>
      <c r="H5" s="9">
        <v>2017</v>
      </c>
      <c r="I5" s="9">
        <v>2018</v>
      </c>
      <c r="J5" s="10">
        <v>2019</v>
      </c>
      <c r="K5" s="10">
        <v>2020</v>
      </c>
      <c r="L5" s="10">
        <v>2021</v>
      </c>
      <c r="M5" s="10">
        <v>2022</v>
      </c>
      <c r="N5" s="10">
        <v>2023</v>
      </c>
      <c r="O5" s="10">
        <v>2024</v>
      </c>
      <c r="P5" s="10">
        <v>2025</v>
      </c>
      <c r="Q5" s="10">
        <v>2026</v>
      </c>
      <c r="R5" s="42">
        <v>2027</v>
      </c>
      <c r="S5" s="22"/>
      <c r="T5" s="22"/>
      <c r="U5" s="22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3"/>
      <c r="BE5" s="23"/>
    </row>
    <row r="6" spans="1:57" ht="18.75" customHeight="1">
      <c r="B6" s="49"/>
      <c r="C6" s="11" t="s">
        <v>1</v>
      </c>
      <c r="D6" s="11" t="s">
        <v>1</v>
      </c>
      <c r="E6" s="11" t="s">
        <v>1</v>
      </c>
      <c r="F6" s="11" t="s">
        <v>1</v>
      </c>
      <c r="G6" s="11" t="s">
        <v>1</v>
      </c>
      <c r="H6" s="11" t="s">
        <v>1</v>
      </c>
      <c r="I6" s="11" t="s">
        <v>1</v>
      </c>
      <c r="J6" s="12" t="s">
        <v>1</v>
      </c>
      <c r="K6" s="12" t="s">
        <v>1</v>
      </c>
      <c r="L6" s="12" t="s">
        <v>1</v>
      </c>
      <c r="M6" s="12" t="s">
        <v>1</v>
      </c>
      <c r="N6" s="12" t="s">
        <v>1</v>
      </c>
      <c r="O6" s="12" t="s">
        <v>1</v>
      </c>
      <c r="P6" s="12" t="s">
        <v>2</v>
      </c>
      <c r="Q6" s="12" t="s">
        <v>2</v>
      </c>
      <c r="R6" s="43" t="s">
        <v>2</v>
      </c>
      <c r="S6" s="4"/>
      <c r="T6" s="4"/>
      <c r="U6" s="4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1"/>
      <c r="BE6" s="21"/>
    </row>
    <row r="7" spans="1:57" ht="18.75" hidden="1" customHeight="1"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39"/>
      <c r="S7" s="4"/>
      <c r="T7" s="4"/>
      <c r="U7" s="4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</row>
    <row r="8" spans="1:57" ht="18.75" customHeight="1"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38"/>
      <c r="S8" s="6"/>
      <c r="T8" s="6"/>
      <c r="U8" s="6"/>
    </row>
    <row r="9" spans="1:57" s="3" customFormat="1" ht="18.75" customHeight="1">
      <c r="A9" s="26"/>
      <c r="B9" s="7" t="s">
        <v>20</v>
      </c>
      <c r="C9" s="8">
        <v>1145.8582073000002</v>
      </c>
      <c r="D9" s="8">
        <v>1187.1923499999998</v>
      </c>
      <c r="E9" s="8">
        <v>188.39416599999998</v>
      </c>
      <c r="F9" s="8">
        <v>648.38820088</v>
      </c>
      <c r="G9" s="8">
        <v>2847.9303870199997</v>
      </c>
      <c r="H9" s="8">
        <v>2712.936905</v>
      </c>
      <c r="I9" s="8">
        <v>3556.7712700000002</v>
      </c>
      <c r="J9" s="8">
        <v>8197.4945939999998</v>
      </c>
      <c r="K9" s="8">
        <v>15136.860316999999</v>
      </c>
      <c r="L9" s="8">
        <v>16265.58577</v>
      </c>
      <c r="M9" s="17">
        <f t="shared" ref="M9:P9" si="0">M11+M20</f>
        <v>4908.8783549999998</v>
      </c>
      <c r="N9" s="17">
        <f t="shared" si="0"/>
        <v>6002.6701579999999</v>
      </c>
      <c r="O9" s="17">
        <f t="shared" si="0"/>
        <v>6561.3304929999995</v>
      </c>
      <c r="P9" s="17">
        <f t="shared" si="0"/>
        <v>5136.6619689999998</v>
      </c>
      <c r="Q9" s="17">
        <f>Q11+Q20</f>
        <v>4755.3612670000002</v>
      </c>
      <c r="R9" s="44">
        <f>R11+R20</f>
        <v>4162.3549789999997</v>
      </c>
      <c r="S9" s="8"/>
      <c r="T9" s="8"/>
      <c r="U9" s="8"/>
      <c r="V9" s="8"/>
      <c r="W9" s="8"/>
      <c r="X9" s="8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</row>
    <row r="10" spans="1:57" s="3" customFormat="1" ht="6.75" customHeight="1">
      <c r="A10" s="26"/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17"/>
      <c r="N10" s="17"/>
      <c r="O10" s="17"/>
      <c r="P10" s="17"/>
      <c r="Q10" s="17"/>
      <c r="R10" s="44"/>
      <c r="S10" s="8"/>
      <c r="T10" s="8"/>
      <c r="U10" s="8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</row>
    <row r="11" spans="1:57" s="3" customFormat="1" ht="18.75" customHeight="1">
      <c r="A11" s="26"/>
      <c r="B11" s="13" t="s">
        <v>6</v>
      </c>
      <c r="C11" s="14">
        <v>257.65936199999999</v>
      </c>
      <c r="D11" s="14">
        <v>59.122427999999999</v>
      </c>
      <c r="E11" s="14">
        <v>35.200921999999998</v>
      </c>
      <c r="F11" s="14">
        <v>11.3955135</v>
      </c>
      <c r="G11" s="14">
        <v>22.5097825</v>
      </c>
      <c r="H11" s="14">
        <v>123.80551199999999</v>
      </c>
      <c r="I11" s="14">
        <v>545.79696300000001</v>
      </c>
      <c r="J11" s="14">
        <v>476.65714099999997</v>
      </c>
      <c r="K11" s="8">
        <v>222.26806099999999</v>
      </c>
      <c r="L11" s="8">
        <v>788.30936200000008</v>
      </c>
      <c r="M11" s="17">
        <f t="shared" ref="M11" si="1">SUM(M12:M18)</f>
        <v>2342.9302269999998</v>
      </c>
      <c r="N11" s="17">
        <f>SUMIF(N12:N18, "&lt;&gt;0")</f>
        <v>1134.0033080000001</v>
      </c>
      <c r="O11" s="17">
        <f>SUMIF(O12:O18, "&lt;&gt;0")</f>
        <v>2392.7946339999999</v>
      </c>
      <c r="P11" s="17">
        <f>SUMIF(P12:P18, "&lt;&gt;0")</f>
        <v>1512.977165</v>
      </c>
      <c r="Q11" s="17">
        <f>SUMIF(Q12:Q18, "&lt;&gt;0")</f>
        <v>1186.9125349999999</v>
      </c>
      <c r="R11" s="44">
        <f>SUMIF(R12:R18, "&lt;&gt;0")</f>
        <v>802.84056800000008</v>
      </c>
      <c r="S11" s="8"/>
      <c r="T11" s="8"/>
      <c r="U11" s="8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</row>
    <row r="12" spans="1:57" ht="18.75" customHeight="1">
      <c r="B12" s="31" t="s">
        <v>10</v>
      </c>
      <c r="C12" s="27">
        <v>153.78399200000001</v>
      </c>
      <c r="D12" s="27">
        <v>37.905923999999999</v>
      </c>
      <c r="E12" s="27">
        <v>25.450016999999999</v>
      </c>
      <c r="F12" s="27">
        <v>0</v>
      </c>
      <c r="G12" s="27">
        <v>0</v>
      </c>
      <c r="H12" s="27">
        <v>71.648995999999997</v>
      </c>
      <c r="I12" s="28">
        <v>462.54656799999998</v>
      </c>
      <c r="J12" s="28">
        <v>242.83176499999999</v>
      </c>
      <c r="K12" s="27">
        <v>0</v>
      </c>
      <c r="L12" s="6">
        <v>4.2532399999999999</v>
      </c>
      <c r="M12" s="16">
        <v>182.97159199999999</v>
      </c>
      <c r="N12" s="16">
        <v>609.33992699999999</v>
      </c>
      <c r="O12" s="16">
        <v>1066.6843220000001</v>
      </c>
      <c r="P12" s="16">
        <v>880.90477499999997</v>
      </c>
      <c r="Q12" s="16">
        <v>893.90000099999997</v>
      </c>
      <c r="R12" s="45">
        <v>498.66999900000002</v>
      </c>
      <c r="S12" s="28"/>
      <c r="T12" s="28"/>
      <c r="U12" s="28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</row>
    <row r="13" spans="1:57" ht="18.75" customHeight="1">
      <c r="B13" s="31" t="s">
        <v>9</v>
      </c>
      <c r="C13" s="27">
        <v>9.1164190000000005</v>
      </c>
      <c r="D13" s="27" t="s">
        <v>3</v>
      </c>
      <c r="E13" s="27" t="s">
        <v>3</v>
      </c>
      <c r="F13" s="27">
        <v>0</v>
      </c>
      <c r="G13" s="27">
        <v>22.5097825</v>
      </c>
      <c r="H13" s="27">
        <v>39.221474000000001</v>
      </c>
      <c r="I13" s="28">
        <v>67.146174000000002</v>
      </c>
      <c r="J13" s="28">
        <v>155.27542099999999</v>
      </c>
      <c r="K13" s="27">
        <v>0</v>
      </c>
      <c r="L13" s="27">
        <v>0</v>
      </c>
      <c r="M13" s="16">
        <v>152.975672</v>
      </c>
      <c r="N13" s="16">
        <v>397.17409300000003</v>
      </c>
      <c r="O13" s="16">
        <v>886.31791599999997</v>
      </c>
      <c r="P13" s="16">
        <v>342.84743800000001</v>
      </c>
      <c r="Q13" s="16">
        <v>93.650240999999994</v>
      </c>
      <c r="R13" s="45">
        <v>33.859569</v>
      </c>
      <c r="S13" s="28"/>
      <c r="T13" s="28"/>
      <c r="U13" s="28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</row>
    <row r="14" spans="1:57" ht="18.75" customHeight="1">
      <c r="B14" s="31" t="s">
        <v>8</v>
      </c>
      <c r="C14" s="27">
        <v>7.1360210000000004</v>
      </c>
      <c r="D14" s="27" t="s">
        <v>3</v>
      </c>
      <c r="E14" s="27" t="s">
        <v>3</v>
      </c>
      <c r="F14" s="27">
        <v>0</v>
      </c>
      <c r="G14" s="27">
        <v>0</v>
      </c>
      <c r="H14" s="27">
        <v>0</v>
      </c>
      <c r="I14" s="27">
        <v>0</v>
      </c>
      <c r="J14" s="27" t="s">
        <v>3</v>
      </c>
      <c r="K14" s="6">
        <v>2.8492250000000001</v>
      </c>
      <c r="L14" s="6">
        <v>365.33536900000001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45">
        <v>0</v>
      </c>
      <c r="S14" s="28"/>
      <c r="T14" s="28"/>
      <c r="U14" s="28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</row>
    <row r="15" spans="1:57" ht="18.75" customHeight="1">
      <c r="B15" s="31" t="s">
        <v>16</v>
      </c>
      <c r="C15" s="27">
        <v>87.622929999999997</v>
      </c>
      <c r="D15" s="27">
        <v>21.216504</v>
      </c>
      <c r="E15" s="27">
        <v>9.7509049999999995</v>
      </c>
      <c r="F15" s="27">
        <v>0</v>
      </c>
      <c r="G15" s="27">
        <v>0</v>
      </c>
      <c r="H15" s="27">
        <v>12.935041999999999</v>
      </c>
      <c r="I15" s="28">
        <v>16.104220999999999</v>
      </c>
      <c r="J15" s="28">
        <v>78.549955000000011</v>
      </c>
      <c r="K15" s="27">
        <v>0</v>
      </c>
      <c r="L15" s="27">
        <v>0</v>
      </c>
      <c r="M15" s="16">
        <v>49.690517999999997</v>
      </c>
      <c r="N15" s="16">
        <v>127.489288</v>
      </c>
      <c r="O15" s="16">
        <v>439.792396</v>
      </c>
      <c r="P15" s="16">
        <v>289.22495199999997</v>
      </c>
      <c r="Q15" s="16">
        <v>199.36229299999999</v>
      </c>
      <c r="R15" s="45">
        <v>270.31099999999998</v>
      </c>
      <c r="S15" s="28"/>
      <c r="T15" s="28"/>
      <c r="U15" s="28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</row>
    <row r="16" spans="1:57" ht="18.75" customHeight="1">
      <c r="B16" s="31" t="s">
        <v>21</v>
      </c>
      <c r="C16" s="27">
        <v>0</v>
      </c>
      <c r="D16" s="27">
        <v>0</v>
      </c>
      <c r="E16" s="27">
        <v>0</v>
      </c>
      <c r="F16" s="27">
        <v>0</v>
      </c>
      <c r="G16" s="27">
        <v>0</v>
      </c>
      <c r="H16" s="27">
        <v>0</v>
      </c>
      <c r="I16" s="27">
        <v>0</v>
      </c>
      <c r="J16" s="28">
        <v>384</v>
      </c>
      <c r="K16" s="27">
        <v>0</v>
      </c>
      <c r="L16" s="27" t="s">
        <v>3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45">
        <v>0</v>
      </c>
      <c r="S16" s="28"/>
      <c r="T16" s="28"/>
      <c r="U16" s="28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</row>
    <row r="17" spans="1:57" ht="18.75" customHeight="1">
      <c r="B17" s="31" t="s">
        <v>7</v>
      </c>
      <c r="C17" s="27">
        <v>0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16">
        <v>0</v>
      </c>
      <c r="O17" s="16">
        <v>0</v>
      </c>
      <c r="P17" s="16">
        <v>0</v>
      </c>
      <c r="Q17" s="16">
        <v>0</v>
      </c>
      <c r="R17" s="45">
        <v>0</v>
      </c>
      <c r="S17" s="28"/>
      <c r="T17" s="28"/>
      <c r="U17" s="28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</row>
    <row r="18" spans="1:57" ht="18.75" customHeight="1">
      <c r="B18" s="31" t="s">
        <v>4</v>
      </c>
      <c r="C18" s="27">
        <v>0</v>
      </c>
      <c r="D18" s="27">
        <v>0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 t="s">
        <v>3</v>
      </c>
      <c r="K18" s="6">
        <v>73.295512000000002</v>
      </c>
      <c r="L18" s="6">
        <v>11.308966</v>
      </c>
      <c r="M18" s="16">
        <v>1957.292445</v>
      </c>
      <c r="N18" s="16">
        <v>0</v>
      </c>
      <c r="O18" s="16">
        <v>0</v>
      </c>
      <c r="P18" s="16">
        <v>0</v>
      </c>
      <c r="Q18" s="16">
        <v>0</v>
      </c>
      <c r="R18" s="45">
        <v>0</v>
      </c>
      <c r="S18" s="28"/>
      <c r="T18" s="28"/>
      <c r="U18" s="28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</row>
    <row r="19" spans="1:57" ht="14.25" customHeight="1">
      <c r="C19" s="15"/>
      <c r="D19" s="15"/>
      <c r="E19" s="15"/>
      <c r="F19" s="15"/>
      <c r="G19" s="15"/>
      <c r="H19" s="15"/>
      <c r="I19" s="6"/>
      <c r="J19" s="6"/>
      <c r="K19" s="6"/>
      <c r="L19" s="6"/>
      <c r="M19" s="17"/>
      <c r="N19" s="17"/>
      <c r="O19" s="17"/>
      <c r="P19" s="17"/>
      <c r="Q19" s="17"/>
      <c r="R19" s="44"/>
      <c r="S19" s="6"/>
      <c r="T19" s="6"/>
      <c r="U19" s="6"/>
    </row>
    <row r="20" spans="1:57" s="3" customFormat="1" ht="18.75" customHeight="1">
      <c r="A20" s="26"/>
      <c r="B20" s="13" t="s">
        <v>11</v>
      </c>
      <c r="C20" s="14">
        <v>888.19884530000013</v>
      </c>
      <c r="D20" s="14">
        <v>1128.0699219999999</v>
      </c>
      <c r="E20" s="14">
        <v>153.19324399999999</v>
      </c>
      <c r="F20" s="14">
        <v>636.99268738000001</v>
      </c>
      <c r="G20" s="14">
        <v>2825.4206045199999</v>
      </c>
      <c r="H20" s="14">
        <v>2589.1313930000001</v>
      </c>
      <c r="I20" s="14">
        <v>3010.974307</v>
      </c>
      <c r="J20" s="14">
        <v>7720.8374530000001</v>
      </c>
      <c r="K20" s="8">
        <v>750.197271</v>
      </c>
      <c r="L20" s="35">
        <v>171.032837</v>
      </c>
      <c r="M20" s="17">
        <f t="shared" ref="M20" si="2">SUM(M21:M40)</f>
        <v>2565.948128</v>
      </c>
      <c r="N20" s="17">
        <f>SUMIF(N21:N40, "&lt;&gt;0")</f>
        <v>4868.6668499999996</v>
      </c>
      <c r="O20" s="17">
        <f>SUMIF(O21:O40, "&lt;&gt;0")</f>
        <v>4168.5358589999996</v>
      </c>
      <c r="P20" s="17">
        <f>SUMIF(P21:P40, "&lt;&gt;0")</f>
        <v>3623.684804</v>
      </c>
      <c r="Q20" s="17">
        <f>SUMIF(Q21:Q40, "&lt;&gt;0")</f>
        <v>3568.4487319999998</v>
      </c>
      <c r="R20" s="44">
        <f>SUMIF(R21:R40, "&lt;&gt;0")</f>
        <v>3359.5144110000001</v>
      </c>
      <c r="S20" s="8"/>
      <c r="T20" s="8"/>
      <c r="U20" s="8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</row>
    <row r="21" spans="1:57" ht="18.75" customHeight="1">
      <c r="B21" s="31" t="s">
        <v>22</v>
      </c>
      <c r="C21" s="27">
        <v>14.050041999999999</v>
      </c>
      <c r="D21" s="27">
        <v>14.039686</v>
      </c>
      <c r="E21" s="27">
        <v>15.610315</v>
      </c>
      <c r="F21" s="27">
        <v>31.178673200000006</v>
      </c>
      <c r="G21" s="27">
        <v>1.40838182</v>
      </c>
      <c r="H21" s="27">
        <v>169.33550400000001</v>
      </c>
      <c r="I21" s="27">
        <v>476.732192</v>
      </c>
      <c r="J21" s="27">
        <v>351.69442700000002</v>
      </c>
      <c r="K21" s="6">
        <v>210.41657699999999</v>
      </c>
      <c r="L21" s="6">
        <v>154.254785</v>
      </c>
      <c r="M21" s="16">
        <v>216.291067</v>
      </c>
      <c r="N21" s="16">
        <v>330.242929</v>
      </c>
      <c r="O21" s="16">
        <v>143.283626</v>
      </c>
      <c r="P21" s="16">
        <v>213.39282299999999</v>
      </c>
      <c r="Q21" s="16">
        <v>181.75135299999999</v>
      </c>
      <c r="R21" s="45">
        <v>150.82254</v>
      </c>
      <c r="S21" s="28"/>
      <c r="T21" s="28"/>
      <c r="U21" s="28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</row>
    <row r="22" spans="1:57" ht="18.75" customHeight="1">
      <c r="B22" s="31" t="s">
        <v>13</v>
      </c>
      <c r="C22" s="27">
        <v>86.079061999999993</v>
      </c>
      <c r="D22" s="27">
        <v>59.978203000000001</v>
      </c>
      <c r="E22" s="27" t="s">
        <v>3</v>
      </c>
      <c r="F22" s="27">
        <v>0</v>
      </c>
      <c r="G22" s="27">
        <v>0</v>
      </c>
      <c r="H22" s="27">
        <v>0</v>
      </c>
      <c r="I22" s="27" t="s">
        <v>3</v>
      </c>
      <c r="J22" s="27" t="s">
        <v>3</v>
      </c>
      <c r="K22" s="27">
        <v>0</v>
      </c>
      <c r="L22" s="27">
        <v>0</v>
      </c>
      <c r="M22" s="16">
        <v>0</v>
      </c>
      <c r="N22" s="16">
        <v>59.020105999999998</v>
      </c>
      <c r="O22" s="16">
        <v>39.013862000000003</v>
      </c>
      <c r="P22" s="16">
        <v>224.611088</v>
      </c>
      <c r="Q22" s="16">
        <v>176.023369</v>
      </c>
      <c r="R22" s="45">
        <v>173.24633299999999</v>
      </c>
      <c r="S22" s="28"/>
      <c r="T22" s="28"/>
      <c r="U22" s="28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</row>
    <row r="23" spans="1:57" ht="18.75" customHeight="1">
      <c r="B23" s="31" t="s">
        <v>12</v>
      </c>
      <c r="C23" s="27">
        <v>43.581213299999995</v>
      </c>
      <c r="D23" s="27">
        <v>37.78454</v>
      </c>
      <c r="E23" s="27">
        <v>11.569822</v>
      </c>
      <c r="F23" s="27">
        <v>0</v>
      </c>
      <c r="G23" s="27">
        <v>0.1019655</v>
      </c>
      <c r="H23" s="27">
        <v>0</v>
      </c>
      <c r="I23" s="28">
        <v>3.5794860000000002</v>
      </c>
      <c r="J23" s="28">
        <v>4.1766999999999999E-2</v>
      </c>
      <c r="K23" s="6">
        <v>407.23163</v>
      </c>
      <c r="L23" s="6">
        <v>94.645206999999999</v>
      </c>
      <c r="M23" s="16">
        <v>71.416798</v>
      </c>
      <c r="N23" s="16">
        <v>75.187070000000006</v>
      </c>
      <c r="O23" s="16">
        <v>202.73201399999999</v>
      </c>
      <c r="P23" s="16">
        <v>123.728483</v>
      </c>
      <c r="Q23" s="16">
        <v>96.03837</v>
      </c>
      <c r="R23" s="45">
        <v>137.93972099999999</v>
      </c>
      <c r="S23" s="28"/>
      <c r="T23" s="28"/>
      <c r="U23" s="28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</row>
    <row r="24" spans="1:57" ht="18.75" customHeight="1">
      <c r="B24" s="31" t="s">
        <v>35</v>
      </c>
      <c r="C24" s="27"/>
      <c r="D24" s="27"/>
      <c r="E24" s="27"/>
      <c r="F24" s="27"/>
      <c r="G24" s="27"/>
      <c r="H24" s="27"/>
      <c r="I24" s="28"/>
      <c r="J24" s="28"/>
      <c r="K24" s="6"/>
      <c r="L24" s="6"/>
      <c r="M24" s="16"/>
      <c r="N24" s="16">
        <v>0</v>
      </c>
      <c r="O24" s="16">
        <v>0</v>
      </c>
      <c r="P24" s="16">
        <v>27.739647000000001</v>
      </c>
      <c r="Q24" s="16">
        <v>30</v>
      </c>
      <c r="R24" s="45">
        <v>24.1</v>
      </c>
      <c r="S24" s="28"/>
      <c r="T24" s="28"/>
      <c r="U24" s="28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</row>
    <row r="25" spans="1:57" ht="18.75" customHeight="1">
      <c r="A25" s="5"/>
      <c r="B25" s="31" t="s">
        <v>14</v>
      </c>
      <c r="C25" s="27">
        <v>82.244337999999999</v>
      </c>
      <c r="D25" s="27">
        <v>30.346392999999999</v>
      </c>
      <c r="E25" s="27">
        <v>11.611944999999999</v>
      </c>
      <c r="F25" s="27">
        <v>6.6867516699999996</v>
      </c>
      <c r="G25" s="27">
        <v>117.37629888000001</v>
      </c>
      <c r="H25" s="27">
        <v>200.89760799999999</v>
      </c>
      <c r="I25" s="27">
        <v>89.898685</v>
      </c>
      <c r="J25" s="27">
        <v>56.228343000000002</v>
      </c>
      <c r="K25" s="6">
        <v>3.4716999999999998</v>
      </c>
      <c r="L25" s="27">
        <v>0</v>
      </c>
      <c r="M25" s="16">
        <v>37.268259999999998</v>
      </c>
      <c r="N25" s="16">
        <v>32.046646000000003</v>
      </c>
      <c r="O25" s="16">
        <v>7.6986759999999999</v>
      </c>
      <c r="P25" s="16">
        <v>85.468018999999998</v>
      </c>
      <c r="Q25" s="16">
        <v>98.324027999999998</v>
      </c>
      <c r="R25" s="45">
        <v>99.698892999999998</v>
      </c>
      <c r="S25" s="28"/>
      <c r="T25" s="28"/>
      <c r="U25" s="28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</row>
    <row r="26" spans="1:57" ht="18.75" customHeight="1">
      <c r="A26" s="5"/>
      <c r="B26" s="31" t="s">
        <v>34</v>
      </c>
      <c r="C26" s="27">
        <v>0</v>
      </c>
      <c r="D26" s="27">
        <v>0</v>
      </c>
      <c r="E26" s="27">
        <v>0</v>
      </c>
      <c r="F26" s="27">
        <v>0</v>
      </c>
      <c r="G26" s="27">
        <v>0</v>
      </c>
      <c r="H26" s="27">
        <v>0</v>
      </c>
      <c r="I26" s="27">
        <v>0</v>
      </c>
      <c r="J26" s="27">
        <v>0</v>
      </c>
      <c r="K26" s="27">
        <v>0</v>
      </c>
      <c r="L26" s="27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45">
        <v>0</v>
      </c>
      <c r="S26" s="28"/>
      <c r="T26" s="28"/>
      <c r="U26" s="28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</row>
    <row r="27" spans="1:57" ht="18.75" customHeight="1">
      <c r="A27" s="5"/>
      <c r="B27" s="31" t="s">
        <v>15</v>
      </c>
      <c r="C27" s="27">
        <v>18.887602999999999</v>
      </c>
      <c r="D27" s="27">
        <v>2.7029269999999999</v>
      </c>
      <c r="E27" s="27">
        <v>5.7226840000000001</v>
      </c>
      <c r="F27" s="27">
        <v>9.0050719099999998</v>
      </c>
      <c r="G27" s="27">
        <v>17.833543120000002</v>
      </c>
      <c r="H27" s="27">
        <v>3.875683</v>
      </c>
      <c r="I27" s="27">
        <v>4.0679610000000004</v>
      </c>
      <c r="J27" s="27" t="s">
        <v>3</v>
      </c>
      <c r="K27" s="6">
        <v>2.7705799999999998</v>
      </c>
      <c r="L27" s="6">
        <v>4.4660840000000004</v>
      </c>
      <c r="M27" s="16">
        <v>1.7870360000000001</v>
      </c>
      <c r="N27" s="16">
        <v>7.7880779999999996</v>
      </c>
      <c r="O27" s="16">
        <v>15.650218000000001</v>
      </c>
      <c r="P27" s="16">
        <v>11.095859000000001</v>
      </c>
      <c r="Q27" s="16">
        <v>4.8222240000000003</v>
      </c>
      <c r="R27" s="45">
        <v>0</v>
      </c>
      <c r="S27" s="28"/>
      <c r="T27" s="28"/>
      <c r="U27" s="28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</row>
    <row r="28" spans="1:57" ht="18.75" customHeight="1">
      <c r="A28" s="5"/>
      <c r="B28" s="31" t="s">
        <v>23</v>
      </c>
      <c r="C28" s="27">
        <v>0</v>
      </c>
      <c r="D28" s="27" t="s">
        <v>3</v>
      </c>
      <c r="E28" s="27" t="s">
        <v>3</v>
      </c>
      <c r="F28" s="27">
        <v>0</v>
      </c>
      <c r="G28" s="27">
        <v>0</v>
      </c>
      <c r="H28" s="27">
        <v>0</v>
      </c>
      <c r="I28" s="27">
        <v>0</v>
      </c>
      <c r="J28" s="27" t="s">
        <v>3</v>
      </c>
      <c r="K28" s="27">
        <v>0</v>
      </c>
      <c r="L28" s="27" t="s">
        <v>3</v>
      </c>
      <c r="M28" s="16">
        <v>0</v>
      </c>
      <c r="N28" s="16">
        <v>572.91983600000003</v>
      </c>
      <c r="O28" s="16">
        <v>1028.1267969999999</v>
      </c>
      <c r="P28" s="16">
        <v>0</v>
      </c>
      <c r="Q28" s="16">
        <v>0</v>
      </c>
      <c r="R28" s="45">
        <v>0</v>
      </c>
      <c r="S28" s="28"/>
      <c r="T28" s="28"/>
      <c r="U28" s="28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</row>
    <row r="29" spans="1:57" ht="18.75" customHeight="1">
      <c r="A29" s="5"/>
      <c r="B29" s="31" t="s">
        <v>24</v>
      </c>
      <c r="C29" s="27">
        <v>471.93762600000002</v>
      </c>
      <c r="D29" s="27">
        <v>816.53743199999997</v>
      </c>
      <c r="E29" s="27">
        <v>0</v>
      </c>
      <c r="F29" s="27">
        <v>408.18139250000002</v>
      </c>
      <c r="G29" s="27">
        <v>2682.0185108000001</v>
      </c>
      <c r="H29" s="27">
        <v>1059.795267</v>
      </c>
      <c r="I29" s="27" t="s">
        <v>3</v>
      </c>
      <c r="J29" s="27">
        <v>968.12357099999997</v>
      </c>
      <c r="K29" s="27">
        <v>0</v>
      </c>
      <c r="L29" s="27" t="s">
        <v>3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45">
        <v>0</v>
      </c>
      <c r="S29" s="28"/>
      <c r="T29" s="28"/>
      <c r="U29" s="28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</row>
    <row r="30" spans="1:57" ht="18.75" customHeight="1">
      <c r="A30" s="5"/>
      <c r="B30" s="31" t="s">
        <v>25</v>
      </c>
      <c r="C30" s="27">
        <v>102.86886</v>
      </c>
      <c r="D30" s="27" t="s">
        <v>3</v>
      </c>
      <c r="E30" s="27">
        <v>18.706969000000001</v>
      </c>
      <c r="F30" s="27">
        <v>99.107693899999987</v>
      </c>
      <c r="G30" s="27" t="s">
        <v>3</v>
      </c>
      <c r="H30" s="27" t="s">
        <v>3</v>
      </c>
      <c r="I30" s="27" t="s">
        <v>3</v>
      </c>
      <c r="J30" s="27" t="s">
        <v>3</v>
      </c>
      <c r="K30" s="6">
        <v>1.6268899999999999</v>
      </c>
      <c r="L30" s="6">
        <v>367.65664600000002</v>
      </c>
      <c r="M30" s="16">
        <v>2126.5504249999999</v>
      </c>
      <c r="N30" s="16">
        <v>3426.8094489999999</v>
      </c>
      <c r="O30" s="16">
        <v>2229.0128209999998</v>
      </c>
      <c r="P30" s="16">
        <v>2338.2552110000001</v>
      </c>
      <c r="Q30" s="16">
        <v>2104.7334230000001</v>
      </c>
      <c r="R30" s="45">
        <v>1618.339101</v>
      </c>
      <c r="S30" s="28"/>
      <c r="T30" s="28"/>
      <c r="U30" s="28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</row>
    <row r="31" spans="1:57" ht="18.75" customHeight="1">
      <c r="A31" s="5"/>
      <c r="B31" s="31" t="s">
        <v>17</v>
      </c>
      <c r="C31" s="27">
        <v>0</v>
      </c>
      <c r="D31" s="27" t="s">
        <v>3</v>
      </c>
      <c r="E31" s="27" t="s">
        <v>3</v>
      </c>
      <c r="F31" s="27">
        <v>0</v>
      </c>
      <c r="G31" s="27" t="s">
        <v>3</v>
      </c>
      <c r="H31" s="27" t="s">
        <v>3</v>
      </c>
      <c r="I31" s="27" t="s">
        <v>3</v>
      </c>
      <c r="J31" s="27" t="s">
        <v>3</v>
      </c>
      <c r="K31" s="27">
        <v>0</v>
      </c>
      <c r="L31" s="27">
        <v>0</v>
      </c>
      <c r="M31" s="16">
        <v>0</v>
      </c>
      <c r="N31" s="16">
        <v>315.63234499999999</v>
      </c>
      <c r="O31" s="16">
        <v>197.743155</v>
      </c>
      <c r="P31" s="16">
        <v>198.10116099999999</v>
      </c>
      <c r="Q31" s="16">
        <v>100</v>
      </c>
      <c r="R31" s="45">
        <v>60</v>
      </c>
      <c r="S31" s="28"/>
      <c r="T31" s="28"/>
      <c r="U31" s="28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</row>
    <row r="32" spans="1:57" ht="18.75" customHeight="1">
      <c r="A32" s="5"/>
      <c r="B32" s="31" t="s">
        <v>26</v>
      </c>
      <c r="C32" s="27">
        <v>49.063294999999997</v>
      </c>
      <c r="D32" s="27">
        <v>66.525672</v>
      </c>
      <c r="E32" s="27">
        <v>52.931077999999999</v>
      </c>
      <c r="F32" s="27">
        <v>82.833104200000008</v>
      </c>
      <c r="G32" s="27">
        <v>6.6819044000000005</v>
      </c>
      <c r="H32" s="27">
        <v>4.6062190000000003</v>
      </c>
      <c r="I32" s="27" t="s">
        <v>3</v>
      </c>
      <c r="J32" s="27" t="s">
        <v>3</v>
      </c>
      <c r="K32" s="27">
        <v>0</v>
      </c>
      <c r="L32" s="27" t="s">
        <v>3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45">
        <v>0</v>
      </c>
      <c r="S32" s="28"/>
      <c r="T32" s="28"/>
      <c r="U32" s="28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</row>
    <row r="33" spans="1:57" ht="18.75" customHeight="1">
      <c r="A33" s="5"/>
      <c r="B33" s="31" t="s">
        <v>27</v>
      </c>
      <c r="C33" s="27">
        <v>19.486806000000001</v>
      </c>
      <c r="D33" s="27">
        <v>100.155069</v>
      </c>
      <c r="E33" s="27">
        <v>37.040430999999998</v>
      </c>
      <c r="F33" s="27" t="s">
        <v>3</v>
      </c>
      <c r="G33" s="27" t="s">
        <v>3</v>
      </c>
      <c r="H33" s="27" t="s">
        <v>3</v>
      </c>
      <c r="I33" s="27" t="s">
        <v>3</v>
      </c>
      <c r="J33" s="27" t="s">
        <v>3</v>
      </c>
      <c r="K33" s="27">
        <v>0</v>
      </c>
      <c r="L33" s="27" t="s">
        <v>3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45">
        <v>0</v>
      </c>
      <c r="S33" s="28"/>
      <c r="T33" s="28"/>
      <c r="U33" s="28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</row>
    <row r="34" spans="1:57" ht="18.75" customHeight="1">
      <c r="A34" s="5"/>
      <c r="B34" s="31" t="s">
        <v>28</v>
      </c>
      <c r="C34" s="27" t="s">
        <v>3</v>
      </c>
      <c r="D34" s="27" t="s">
        <v>3</v>
      </c>
      <c r="E34" s="27" t="s">
        <v>3</v>
      </c>
      <c r="F34" s="27" t="s">
        <v>3</v>
      </c>
      <c r="G34" s="27" t="s">
        <v>3</v>
      </c>
      <c r="H34" s="27" t="s">
        <v>3</v>
      </c>
      <c r="I34" s="27" t="s">
        <v>3</v>
      </c>
      <c r="J34" s="27" t="s">
        <v>3</v>
      </c>
      <c r="K34" s="6">
        <v>16.31711</v>
      </c>
      <c r="L34" s="6">
        <v>7.0104889999999997</v>
      </c>
      <c r="M34" s="16">
        <v>74.771489000000003</v>
      </c>
      <c r="N34" s="16">
        <v>49.020390999999996</v>
      </c>
      <c r="O34" s="16">
        <v>113.37092699999999</v>
      </c>
      <c r="P34" s="16">
        <v>144.18810300000001</v>
      </c>
      <c r="Q34" s="16">
        <v>212.23831100000001</v>
      </c>
      <c r="R34" s="45">
        <v>247.14252300000001</v>
      </c>
      <c r="S34" s="28"/>
      <c r="T34" s="28"/>
      <c r="U34" s="28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</row>
    <row r="35" spans="1:57" ht="18.75" customHeight="1">
      <c r="A35" s="5"/>
      <c r="B35" s="31" t="s">
        <v>18</v>
      </c>
      <c r="C35" s="27" t="s">
        <v>3</v>
      </c>
      <c r="D35" s="27" t="s">
        <v>3</v>
      </c>
      <c r="E35" s="27" t="s">
        <v>3</v>
      </c>
      <c r="F35" s="27" t="s">
        <v>3</v>
      </c>
      <c r="G35" s="27" t="s">
        <v>3</v>
      </c>
      <c r="H35" s="27" t="s">
        <v>3</v>
      </c>
      <c r="I35" s="27" t="s">
        <v>3</v>
      </c>
      <c r="J35" s="27">
        <v>0.416047</v>
      </c>
      <c r="K35" s="6">
        <v>271.67566799999997</v>
      </c>
      <c r="L35" s="6">
        <v>10.51238</v>
      </c>
      <c r="M35" s="16">
        <v>37.863053000000001</v>
      </c>
      <c r="N35" s="16">
        <v>0</v>
      </c>
      <c r="O35" s="16">
        <v>0</v>
      </c>
      <c r="P35" s="16">
        <v>0</v>
      </c>
      <c r="Q35" s="16">
        <v>0</v>
      </c>
      <c r="R35" s="45">
        <v>0</v>
      </c>
      <c r="S35" s="28"/>
      <c r="T35" s="28"/>
      <c r="U35" s="28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</row>
    <row r="36" spans="1:57" ht="18.75" customHeight="1">
      <c r="A36" s="5"/>
      <c r="B36" s="31" t="s">
        <v>19</v>
      </c>
      <c r="C36" s="27" t="s">
        <v>3</v>
      </c>
      <c r="D36" s="27" t="s">
        <v>3</v>
      </c>
      <c r="E36" s="27" t="s">
        <v>3</v>
      </c>
      <c r="F36" s="27" t="s">
        <v>3</v>
      </c>
      <c r="G36" s="27" t="s">
        <v>3</v>
      </c>
      <c r="H36" s="27" t="s">
        <v>3</v>
      </c>
      <c r="I36" s="27" t="s">
        <v>3</v>
      </c>
      <c r="J36" s="27" t="s">
        <v>3</v>
      </c>
      <c r="K36" s="27">
        <v>0</v>
      </c>
      <c r="L36" s="27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45">
        <v>0</v>
      </c>
      <c r="S36" s="28"/>
      <c r="T36" s="28"/>
      <c r="U36" s="28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</row>
    <row r="37" spans="1:57" ht="18.75" customHeight="1">
      <c r="A37" s="5"/>
      <c r="B37" s="31" t="s">
        <v>29</v>
      </c>
      <c r="C37" s="27" t="s">
        <v>3</v>
      </c>
      <c r="D37" s="27" t="s">
        <v>3</v>
      </c>
      <c r="E37" s="27" t="s">
        <v>3</v>
      </c>
      <c r="F37" s="27" t="s">
        <v>3</v>
      </c>
      <c r="G37" s="27" t="s">
        <v>3</v>
      </c>
      <c r="H37" s="27" t="s">
        <v>3</v>
      </c>
      <c r="I37" s="27" t="s">
        <v>3</v>
      </c>
      <c r="J37" s="27" t="s">
        <v>3</v>
      </c>
      <c r="K37" s="27">
        <v>0</v>
      </c>
      <c r="L37" s="27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45">
        <v>0</v>
      </c>
      <c r="S37" s="28"/>
      <c r="T37" s="28"/>
      <c r="U37" s="28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</row>
    <row r="38" spans="1:57" ht="18.75" customHeight="1">
      <c r="A38" s="5"/>
      <c r="B38" s="31" t="s">
        <v>30</v>
      </c>
      <c r="C38" s="27" t="s">
        <v>3</v>
      </c>
      <c r="D38" s="27" t="s">
        <v>3</v>
      </c>
      <c r="E38" s="27" t="s">
        <v>3</v>
      </c>
      <c r="F38" s="27" t="s">
        <v>3</v>
      </c>
      <c r="G38" s="27" t="s">
        <v>3</v>
      </c>
      <c r="H38" s="27" t="s">
        <v>3</v>
      </c>
      <c r="I38" s="27" t="s">
        <v>3</v>
      </c>
      <c r="J38" s="27" t="s">
        <v>3</v>
      </c>
      <c r="K38" s="27">
        <v>0</v>
      </c>
      <c r="L38" s="27">
        <v>0</v>
      </c>
      <c r="M38" s="16">
        <v>0</v>
      </c>
      <c r="N38" s="16">
        <v>0</v>
      </c>
      <c r="O38" s="16">
        <v>0</v>
      </c>
      <c r="P38" s="16">
        <v>18.493098</v>
      </c>
      <c r="Q38" s="16">
        <v>20</v>
      </c>
      <c r="R38" s="45">
        <v>20</v>
      </c>
      <c r="S38" s="28"/>
      <c r="T38" s="28"/>
      <c r="U38" s="28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</row>
    <row r="39" spans="1:57" ht="18.75" customHeight="1">
      <c r="A39" s="5"/>
      <c r="B39" s="31" t="s">
        <v>31</v>
      </c>
      <c r="C39" s="27" t="s">
        <v>3</v>
      </c>
      <c r="D39" s="27" t="s">
        <v>3</v>
      </c>
      <c r="E39" s="27" t="s">
        <v>3</v>
      </c>
      <c r="F39" s="27" t="s">
        <v>3</v>
      </c>
      <c r="G39" s="27" t="s">
        <v>3</v>
      </c>
      <c r="H39" s="27" t="s">
        <v>3</v>
      </c>
      <c r="I39" s="27" t="s">
        <v>3</v>
      </c>
      <c r="J39" s="27">
        <v>70.468097999999998</v>
      </c>
      <c r="K39" s="6">
        <v>127.75533900000001</v>
      </c>
      <c r="L39" s="6">
        <v>7712.2032040000004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45">
        <v>0</v>
      </c>
      <c r="S39" s="28"/>
      <c r="T39" s="28"/>
      <c r="U39" s="28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</row>
    <row r="40" spans="1:57" ht="18.75" customHeight="1">
      <c r="A40" s="5"/>
      <c r="B40" s="32" t="s">
        <v>32</v>
      </c>
      <c r="C40" s="33" t="s">
        <v>3</v>
      </c>
      <c r="D40" s="33" t="s">
        <v>3</v>
      </c>
      <c r="E40" s="33" t="s">
        <v>3</v>
      </c>
      <c r="F40" s="33" t="s">
        <v>3</v>
      </c>
      <c r="G40" s="33" t="s">
        <v>3</v>
      </c>
      <c r="H40" s="33">
        <v>1150.621112</v>
      </c>
      <c r="I40" s="36">
        <v>2436.6959830000001</v>
      </c>
      <c r="J40" s="36">
        <v>6273.8652000000002</v>
      </c>
      <c r="K40" s="37">
        <v>206.52477999999999</v>
      </c>
      <c r="L40" s="37">
        <v>593.27833299999998</v>
      </c>
      <c r="M40" s="40">
        <v>0</v>
      </c>
      <c r="N40" s="40">
        <v>0</v>
      </c>
      <c r="O40" s="40">
        <v>191.903763</v>
      </c>
      <c r="P40" s="40">
        <v>238.611312</v>
      </c>
      <c r="Q40" s="40">
        <v>544.51765399999999</v>
      </c>
      <c r="R40" s="46">
        <v>828.22529999999995</v>
      </c>
      <c r="S40" s="28"/>
      <c r="T40" s="28"/>
      <c r="U40" s="28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</row>
    <row r="41" spans="1:57" ht="18.75" customHeight="1">
      <c r="A41" s="5"/>
      <c r="B41" s="1" t="s">
        <v>36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Q41" s="41"/>
      <c r="R41" s="2" t="s">
        <v>37</v>
      </c>
      <c r="S41" s="6"/>
      <c r="T41" s="6"/>
      <c r="U41" s="6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</row>
    <row r="43" spans="1:57" ht="18.75" customHeight="1">
      <c r="A43" s="5"/>
      <c r="B43" s="3"/>
    </row>
    <row r="44" spans="1:57" ht="18.75" customHeight="1">
      <c r="A44" s="5"/>
    </row>
  </sheetData>
  <mergeCells count="3">
    <mergeCell ref="B5:B6"/>
    <mergeCell ref="B3:Q3"/>
    <mergeCell ref="B2:R2"/>
  </mergeCells>
  <conditionalFormatting sqref="B1:B1048576">
    <cfRule type="duplicateValues" dxfId="0" priority="3"/>
  </conditionalFormatting>
  <printOptions horizontalCentered="1"/>
  <pageMargins left="0.5" right="0.5" top="0.5" bottom="0.5" header="0.31496062992126" footer="0.196850393700787"/>
  <pageSetup paperSize="9" scale="41" fitToHeight="0" orientation="portrait" r:id="rId1"/>
  <headerFooter alignWithMargins="0"/>
  <customProperties>
    <customPr name="_pios_id" r:id="rId2"/>
    <customPr name="EpmWorksheetKeyString_GUID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650295-2D2D-4185-9F87-A8013C75F15B}">
  <ds:schemaRefs>
    <ds:schemaRef ds:uri="http://purl.org/dc/terms/"/>
    <ds:schemaRef ds:uri="1593d9c1-a9f6-478d-a576-b0943b39c604"/>
    <ds:schemaRef ds:uri="http://schemas.microsoft.com/office/infopath/2007/PartnerControls"/>
    <ds:schemaRef ds:uri="http://www.w3.org/XML/1998/namespace"/>
    <ds:schemaRef ds:uri="http://purl.org/dc/elements/1.1/"/>
    <ds:schemaRef ds:uri="1916c6aa-fa20-4fca-8349-5fbeea1bc483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13.8</vt:lpstr>
      <vt:lpstr>'13.8'!Print_Area</vt:lpstr>
    </vt:vector>
  </TitlesOfParts>
  <Manager/>
  <Company>Department of National Planning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Fathimath Shifaza</cp:lastModifiedBy>
  <cp:revision/>
  <cp:lastPrinted>2025-07-17T03:16:05Z</cp:lastPrinted>
  <dcterms:created xsi:type="dcterms:W3CDTF">2014-03-06T08:38:12Z</dcterms:created>
  <dcterms:modified xsi:type="dcterms:W3CDTF">2025-07-17T03:16:14Z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