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3F3460FD-A4DA-4D74-AB1A-3E2D40A2CD81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 13.5" sheetId="27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 13.5'!$B$1:$N$95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 13.5'!#REF!</definedName>
    <definedName name="Z_4C076027_7D33_4348_B8F1_EB44AEBB6676_.wvu.PrintArea" localSheetId="0" hidden="1">' 13.5'!#REF!</definedName>
    <definedName name="Z_4C076027_7D33_4348_B8F1_EB44AEBB6676_.wvu.Rows" localSheetId="0" hidden="1">' 13.5'!#REF!,' 13.5'!#REF!,' 13.5'!#REF!,' 13.5'!#REF!,' 13.5'!#REF!,' 13.5'!#REF!,' 13.5'!#REF!,' 13.5'!#REF!,' 13.5'!#REF!,' 13.5'!#REF!,' 13.5'!#REF!,' 13.5'!#REF!,' 13.5'!#REF!,' 13.5'!#REF!</definedName>
    <definedName name="Z_7AF63859_16DE_433E_88CA_6659784C6AF5_.wvu.Cols" localSheetId="0" hidden="1">' 13.5'!#REF!</definedName>
    <definedName name="Z_7AF63859_16DE_433E_88CA_6659784C6AF5_.wvu.PrintArea" localSheetId="0" hidden="1">' 13.5'!$C$1:$C$95</definedName>
    <definedName name="Z_7AF63859_16DE_433E_88CA_6659784C6AF5_.wvu.Rows" localSheetId="0" hidden="1">' 13.5'!#REF!,' 13.5'!#REF!,' 13.5'!#REF!,' 13.5'!#REF!</definedName>
    <definedName name="Z_C0DBC270_9699_4A5F_8964_ED5115A1B162_.wvu.Cols" localSheetId="0" hidden="1">' 13.5'!#REF!</definedName>
    <definedName name="Z_C0DBC270_9699_4A5F_8964_ED5115A1B162_.wvu.PrintArea" localSheetId="0" hidden="1">' 13.5'!#REF!</definedName>
    <definedName name="Z_C0DBC270_9699_4A5F_8964_ED5115A1B162_.wvu.Rows" localSheetId="0" hidden="1">' 13.5'!#REF!,' 13.5'!#REF!,' 13.5'!#REF!,' 13.5'!#REF!,' 13.5'!#REF!,' 13.5'!#REF!,' 13.5'!#REF!,' 13.5'!#REF!,' 13.5'!#REF!,' 13.5'!#REF!,' 13.5'!#REF!,' 13.5'!#REF!,' 13.5'!#REF!,' 13.5'!#REF!,' 13.5'!#REF!,' 13.5'!#REF!,' 13.5'!#REF!,' 13.5'!#REF!,' 13.5'!#REF!,' 13.5'!#REF!,' 13.5'!#REF!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7" l="1"/>
  <c r="M9" i="27"/>
  <c r="K9" i="27" l="1"/>
  <c r="L9" i="27"/>
  <c r="J9" i="27"/>
  <c r="K52" i="27" l="1"/>
  <c r="K25" i="27"/>
  <c r="K19" i="27"/>
  <c r="K66" i="27"/>
  <c r="K44" i="27"/>
  <c r="K73" i="27" l="1"/>
  <c r="K33" i="27"/>
  <c r="K58" i="27"/>
  <c r="K83" i="27"/>
  <c r="N44" i="27" l="1"/>
  <c r="N52" i="27"/>
  <c r="N73" i="27"/>
  <c r="N83" i="27"/>
  <c r="N19" i="27"/>
  <c r="N25" i="27"/>
  <c r="N33" i="27"/>
  <c r="N58" i="27"/>
  <c r="N66" i="27"/>
  <c r="N7" i="27" l="1"/>
  <c r="E83" i="27" l="1"/>
  <c r="F83" i="27"/>
  <c r="G83" i="27"/>
  <c r="H83" i="27"/>
  <c r="I83" i="27"/>
  <c r="J83" i="27"/>
  <c r="L83" i="27"/>
  <c r="M83" i="27"/>
  <c r="D83" i="27"/>
  <c r="E73" i="27"/>
  <c r="F73" i="27"/>
  <c r="G73" i="27"/>
  <c r="H73" i="27"/>
  <c r="I73" i="27"/>
  <c r="J73" i="27"/>
  <c r="L73" i="27"/>
  <c r="M73" i="27"/>
  <c r="D73" i="27"/>
  <c r="E66" i="27"/>
  <c r="F66" i="27"/>
  <c r="G66" i="27"/>
  <c r="H66" i="27"/>
  <c r="I66" i="27"/>
  <c r="J66" i="27"/>
  <c r="L66" i="27"/>
  <c r="M66" i="27"/>
  <c r="D66" i="27"/>
  <c r="E58" i="27"/>
  <c r="F58" i="27"/>
  <c r="G58" i="27"/>
  <c r="H58" i="27"/>
  <c r="I58" i="27"/>
  <c r="J58" i="27"/>
  <c r="L58" i="27"/>
  <c r="M58" i="27"/>
  <c r="D58" i="27"/>
  <c r="E52" i="27"/>
  <c r="F52" i="27"/>
  <c r="G52" i="27"/>
  <c r="H52" i="27"/>
  <c r="I52" i="27"/>
  <c r="J52" i="27"/>
  <c r="L52" i="27"/>
  <c r="M52" i="27"/>
  <c r="D52" i="27"/>
  <c r="E44" i="27"/>
  <c r="F44" i="27"/>
  <c r="G44" i="27"/>
  <c r="H44" i="27"/>
  <c r="I44" i="27"/>
  <c r="J44" i="27"/>
  <c r="L44" i="27"/>
  <c r="M44" i="27"/>
  <c r="D44" i="27"/>
  <c r="E33" i="27"/>
  <c r="F33" i="27"/>
  <c r="G33" i="27"/>
  <c r="H33" i="27"/>
  <c r="I33" i="27"/>
  <c r="J33" i="27"/>
  <c r="L33" i="27"/>
  <c r="M33" i="27"/>
  <c r="D33" i="27"/>
  <c r="E25" i="27"/>
  <c r="F25" i="27"/>
  <c r="G25" i="27"/>
  <c r="H25" i="27"/>
  <c r="I25" i="27"/>
  <c r="J25" i="27"/>
  <c r="L25" i="27"/>
  <c r="M25" i="27"/>
  <c r="D25" i="27"/>
  <c r="E19" i="27"/>
  <c r="F19" i="27"/>
  <c r="G19" i="27"/>
  <c r="H19" i="27"/>
  <c r="I19" i="27"/>
  <c r="J19" i="27"/>
  <c r="L19" i="27"/>
  <c r="M19" i="27"/>
  <c r="D19" i="27"/>
  <c r="E9" i="27"/>
  <c r="F9" i="27"/>
  <c r="G9" i="27"/>
  <c r="H9" i="27"/>
  <c r="I9" i="27"/>
  <c r="K7" i="27"/>
  <c r="D9" i="27"/>
  <c r="D7" i="27" l="1"/>
  <c r="J7" i="27"/>
  <c r="L7" i="27"/>
  <c r="I7" i="27"/>
  <c r="H7" i="27"/>
  <c r="M7" i="27"/>
  <c r="F7" i="27"/>
  <c r="E7" i="27"/>
  <c r="G7" i="27"/>
</calcChain>
</file>

<file path=xl/sharedStrings.xml><?xml version="1.0" encoding="utf-8"?>
<sst xmlns="http://schemas.openxmlformats.org/spreadsheetml/2006/main" count="92" uniqueCount="83">
  <si>
    <t>Particulars</t>
  </si>
  <si>
    <t>Actual</t>
  </si>
  <si>
    <t xml:space="preserve">Approved </t>
  </si>
  <si>
    <t>(In million Rufiyaa)</t>
  </si>
  <si>
    <t>General Public Services</t>
  </si>
  <si>
    <t>Defense</t>
  </si>
  <si>
    <t>Public Order &amp; Safety</t>
  </si>
  <si>
    <t>Economic Affairs</t>
  </si>
  <si>
    <t>Environmental Protection</t>
  </si>
  <si>
    <t>Housing &amp; Community Amenities</t>
  </si>
  <si>
    <t>Health</t>
  </si>
  <si>
    <t>Recreation, Culture &amp; Religion</t>
  </si>
  <si>
    <t>Education</t>
  </si>
  <si>
    <t>Social Protection</t>
  </si>
  <si>
    <t>7011 - Exec. &amp; Legisl., Financial &amp; Fiscal Affairs, Extrnal Affairs</t>
  </si>
  <si>
    <t>7012 - Foreign Economic Aid</t>
  </si>
  <si>
    <t>7013 - General Services</t>
  </si>
  <si>
    <t>7014 - Basic Research</t>
  </si>
  <si>
    <t>7015 - R&amp;D General Public Services</t>
  </si>
  <si>
    <t>7016 - General Public Services N.E.C.</t>
  </si>
  <si>
    <t>7017 - Public Debt Transactions</t>
  </si>
  <si>
    <t>7021 - Military Defense</t>
  </si>
  <si>
    <t>7022 - Civil Defense</t>
  </si>
  <si>
    <t>7024 - R&amp;D Defense</t>
  </si>
  <si>
    <t>7025 - Defense N.E.C.</t>
  </si>
  <si>
    <t>7031 - Police Services</t>
  </si>
  <si>
    <t>7032 - Fire Protection Services</t>
  </si>
  <si>
    <t>7033 - Law Courts</t>
  </si>
  <si>
    <t>7034 - Prisons</t>
  </si>
  <si>
    <t>7035 - R&amp;D Public Order And Safety</t>
  </si>
  <si>
    <t>7036 - Public Order And Safety N.E.C</t>
  </si>
  <si>
    <t>7041 - General Economic, Commercial, And Labor Affairs</t>
  </si>
  <si>
    <t>7042 - Agriculture, Forestry, Fi Shing, And Hunting</t>
  </si>
  <si>
    <t>7043 - Fuel And Energy</t>
  </si>
  <si>
    <t>7044 - Mining, Manufacturing, And Construction</t>
  </si>
  <si>
    <t>7045 - Transport</t>
  </si>
  <si>
    <t>7046 - Communication</t>
  </si>
  <si>
    <t>7047 - Other Industries</t>
  </si>
  <si>
    <t>7048 - R&amp;D Economic Affairs</t>
  </si>
  <si>
    <t>7049 - Economic Affairs N.E.C</t>
  </si>
  <si>
    <t>7051 - Waste Management</t>
  </si>
  <si>
    <t>7052 - Waste Water Management</t>
  </si>
  <si>
    <t>7053 - Pollution Abatement</t>
  </si>
  <si>
    <t>7054 - Protection Of Biodiversity And Landscape</t>
  </si>
  <si>
    <t>7055 - R&amp;D Environmental Protection</t>
  </si>
  <si>
    <t>7056 - Environmental Protection N.E.C</t>
  </si>
  <si>
    <t>7061 - Housing Development</t>
  </si>
  <si>
    <t>7062 - Community Development</t>
  </si>
  <si>
    <t>7063 - Water Supply</t>
  </si>
  <si>
    <t>7064 - Street Lighting</t>
  </si>
  <si>
    <t>7071 - Medical Products, Appliances, And Equipment</t>
  </si>
  <si>
    <t>7072 - Outpatient Services</t>
  </si>
  <si>
    <t>7073 - Hospital Services</t>
  </si>
  <si>
    <t>7074 - Public Health Services</t>
  </si>
  <si>
    <t>7075 - R&amp;D Health</t>
  </si>
  <si>
    <t>7076 - Health N.E.C.</t>
  </si>
  <si>
    <t>7081 - Recreational And Sporting Services</t>
  </si>
  <si>
    <t>7082 - Cultural Services</t>
  </si>
  <si>
    <t>7083 - Broadcasting And Publishing Services</t>
  </si>
  <si>
    <t>7084 - Religious And Other Community Services</t>
  </si>
  <si>
    <t>7086 - Recreation, Culture, And Religion N.E.C.</t>
  </si>
  <si>
    <t>7091 - Pre-Primary And Primary Education</t>
  </si>
  <si>
    <t>7092 - Secondary Education</t>
  </si>
  <si>
    <t>7093 - Post-Secondary Nontertiary Education</t>
  </si>
  <si>
    <t>7094 - Tertiary Education</t>
  </si>
  <si>
    <t>7095 - Education Not Definable By Level</t>
  </si>
  <si>
    <t>7096 - Subsidiary Services To Education</t>
  </si>
  <si>
    <t>7097 - R&amp;D Education</t>
  </si>
  <si>
    <t>7098 - Education N.E.C.</t>
  </si>
  <si>
    <t>7101 - Sickness And Disability</t>
  </si>
  <si>
    <t>7102 - Old Age</t>
  </si>
  <si>
    <t>7103 - Survivors</t>
  </si>
  <si>
    <t>7104 - Family and Children</t>
  </si>
  <si>
    <t>7105 - Unemployment</t>
  </si>
  <si>
    <t>7107 - Social Exclusion N.E.C.</t>
  </si>
  <si>
    <t>7108 - R&amp;D Social Protection</t>
  </si>
  <si>
    <t>7109 - Social Protection N.E.C.</t>
  </si>
  <si>
    <t>TABLE 13.5.  FUNCTIONAL CLASSIFICATION OF CENTRAL GOVERNMENT CAPITAL EXPENDITURE, 2017 - 2027</t>
  </si>
  <si>
    <t>7018 - Transfers Of A General Char. Between Diff. Levels Of Gov.</t>
  </si>
  <si>
    <t>Total Expenditure</t>
  </si>
  <si>
    <t xml:space="preserve"> Source: Ministry of Finance and Planning.</t>
  </si>
  <si>
    <t>2/ Prepared in accordance with GFS 2014.</t>
  </si>
  <si>
    <t>1/ Budget Data for Council Block Grants were reclassified under COFOG 7018 (Transfers of a general characteristic between different levels of Government) in line with GFS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</si>
</sst>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9" fontId="10" fillId="0" borderId="0"/>
    <xf numFmtId="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6" fillId="0" borderId="0"/>
    <xf numFmtId="1" fontId="17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" fillId="0" borderId="0"/>
    <xf numFmtId="40" fontId="11" fillId="0" borderId="0" applyFont="0" applyFill="0" applyBorder="0" applyAlignment="0" applyProtection="0"/>
    <xf numFmtId="0" fontId="11" fillId="0" borderId="0"/>
    <xf numFmtId="0" fontId="2" fillId="0" borderId="0"/>
    <xf numFmtId="1" fontId="17" fillId="0" borderId="6" applyNumberFormat="0"/>
    <xf numFmtId="0" fontId="1" fillId="0" borderId="0"/>
    <xf numFmtId="0" fontId="11" fillId="0" borderId="0"/>
    <xf numFmtId="0" fontId="5" fillId="0" borderId="0" applyFill="0" applyProtection="0"/>
    <xf numFmtId="1" fontId="17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1" fillId="0" borderId="0"/>
    <xf numFmtId="0" fontId="5" fillId="0" borderId="0" applyFill="0" applyProtection="0"/>
  </cellStyleXfs>
  <cellXfs count="71">
    <xf numFmtId="0" fontId="0" fillId="0" borderId="0" xfId="0"/>
    <xf numFmtId="0" fontId="12" fillId="2" borderId="0" xfId="10" applyNumberFormat="1" applyFont="1" applyFill="1" applyAlignment="1">
      <alignment vertical="center"/>
    </xf>
    <xf numFmtId="0" fontId="13" fillId="2" borderId="0" xfId="11" applyNumberFormat="1" applyFont="1" applyFill="1" applyBorder="1" applyAlignment="1" applyProtection="1">
      <alignment horizontal="center" vertical="center"/>
    </xf>
    <xf numFmtId="0" fontId="12" fillId="2" borderId="0" xfId="10" applyNumberFormat="1" applyFont="1" applyFill="1" applyAlignment="1">
      <alignment horizontal="center" vertical="center"/>
    </xf>
    <xf numFmtId="169" fontId="14" fillId="2" borderId="0" xfId="10" applyFont="1" applyFill="1" applyAlignment="1">
      <alignment vertical="center"/>
    </xf>
    <xf numFmtId="169" fontId="12" fillId="2" borderId="0" xfId="10" applyFont="1" applyFill="1" applyAlignment="1">
      <alignment vertical="center"/>
    </xf>
    <xf numFmtId="172" fontId="13" fillId="2" borderId="0" xfId="11" applyNumberFormat="1" applyFont="1" applyFill="1" applyBorder="1" applyAlignment="1">
      <alignment horizontal="center" vertical="center"/>
    </xf>
    <xf numFmtId="167" fontId="13" fillId="2" borderId="0" xfId="11" applyNumberFormat="1" applyFont="1" applyFill="1" applyBorder="1" applyAlignment="1">
      <alignment vertical="center"/>
    </xf>
    <xf numFmtId="169" fontId="13" fillId="2" borderId="0" xfId="10" applyFont="1" applyFill="1" applyAlignment="1">
      <alignment vertical="center"/>
    </xf>
    <xf numFmtId="172" fontId="12" fillId="2" borderId="0" xfId="11" applyNumberFormat="1" applyFont="1" applyFill="1" applyBorder="1" applyAlignment="1">
      <alignment vertical="center"/>
    </xf>
    <xf numFmtId="0" fontId="13" fillId="2" borderId="0" xfId="10" applyNumberFormat="1" applyFont="1" applyFill="1" applyAlignment="1">
      <alignment vertical="center"/>
    </xf>
    <xf numFmtId="172" fontId="13" fillId="2" borderId="0" xfId="11" applyNumberFormat="1" applyFont="1" applyFill="1" applyBorder="1" applyAlignment="1">
      <alignment vertical="center"/>
    </xf>
    <xf numFmtId="167" fontId="12" fillId="2" borderId="0" xfId="11" applyNumberFormat="1" applyFont="1" applyFill="1" applyBorder="1" applyAlignment="1">
      <alignment vertical="center"/>
    </xf>
    <xf numFmtId="169" fontId="7" fillId="2" borderId="0" xfId="10" applyFont="1" applyFill="1" applyAlignment="1">
      <alignment vertical="center"/>
    </xf>
    <xf numFmtId="172" fontId="7" fillId="2" borderId="0" xfId="11" applyNumberFormat="1" applyFont="1" applyFill="1" applyBorder="1" applyAlignment="1">
      <alignment horizontal="center" vertical="center"/>
    </xf>
    <xf numFmtId="169" fontId="1" fillId="2" borderId="0" xfId="10" applyFont="1" applyFill="1" applyAlignment="1">
      <alignment vertical="center"/>
    </xf>
    <xf numFmtId="172" fontId="1" fillId="2" borderId="0" xfId="11" applyNumberFormat="1" applyFont="1" applyFill="1" applyBorder="1" applyAlignment="1">
      <alignment vertical="center"/>
    </xf>
    <xf numFmtId="169" fontId="7" fillId="2" borderId="0" xfId="10" applyFont="1" applyFill="1" applyAlignment="1">
      <alignment horizontal="left" vertical="center"/>
    </xf>
    <xf numFmtId="172" fontId="7" fillId="2" borderId="0" xfId="11" applyNumberFormat="1" applyFont="1" applyFill="1" applyBorder="1" applyAlignment="1">
      <alignment vertical="center"/>
    </xf>
    <xf numFmtId="172" fontId="13" fillId="2" borderId="0" xfId="11" applyNumberFormat="1" applyFont="1" applyFill="1" applyBorder="1" applyAlignment="1">
      <alignment horizontal="centerContinuous" vertical="center"/>
    </xf>
    <xf numFmtId="172" fontId="12" fillId="2" borderId="0" xfId="11" applyNumberFormat="1" applyFont="1" applyFill="1" applyBorder="1" applyAlignment="1">
      <alignment horizontal="centerContinuous" vertical="center"/>
    </xf>
    <xf numFmtId="0" fontId="7" fillId="2" borderId="2" xfId="11" applyNumberFormat="1" applyFont="1" applyFill="1" applyBorder="1" applyAlignment="1" applyProtection="1">
      <alignment horizontal="right" vertical="center"/>
    </xf>
    <xf numFmtId="0" fontId="7" fillId="2" borderId="2" xfId="10" applyNumberFormat="1" applyFont="1" applyFill="1" applyBorder="1" applyAlignment="1">
      <alignment horizontal="right" vertical="center"/>
    </xf>
    <xf numFmtId="172" fontId="7" fillId="2" borderId="1" xfId="11" applyNumberFormat="1" applyFont="1" applyFill="1" applyBorder="1" applyAlignment="1">
      <alignment horizontal="right" vertical="center"/>
    </xf>
    <xf numFmtId="169" fontId="7" fillId="2" borderId="1" xfId="10" applyFont="1" applyFill="1" applyBorder="1" applyAlignment="1">
      <alignment horizontal="right" vertical="center"/>
    </xf>
    <xf numFmtId="169" fontId="1" fillId="2" borderId="0" xfId="10" applyFont="1" applyFill="1" applyAlignment="1">
      <alignment horizontal="centerContinuous" vertical="center"/>
    </xf>
    <xf numFmtId="172" fontId="1" fillId="2" borderId="0" xfId="11" applyNumberFormat="1" applyFont="1" applyFill="1" applyBorder="1" applyAlignment="1">
      <alignment horizontal="centerContinuous" vertical="center"/>
    </xf>
    <xf numFmtId="169" fontId="7" fillId="2" borderId="0" xfId="10" applyFont="1" applyFill="1" applyAlignment="1">
      <alignment horizontal="left" vertical="center" indent="1"/>
    </xf>
    <xf numFmtId="171" fontId="7" fillId="2" borderId="0" xfId="11" applyNumberFormat="1" applyFont="1" applyFill="1" applyBorder="1" applyAlignment="1">
      <alignment vertical="center"/>
    </xf>
    <xf numFmtId="169" fontId="1" fillId="2" borderId="0" xfId="10" applyFont="1" applyFill="1" applyAlignment="1">
      <alignment horizontal="left" vertical="center" wrapText="1" indent="1"/>
    </xf>
    <xf numFmtId="171" fontId="1" fillId="2" borderId="0" xfId="11" applyNumberFormat="1" applyFont="1" applyFill="1" applyBorder="1" applyAlignment="1">
      <alignment vertical="center"/>
    </xf>
    <xf numFmtId="169" fontId="1" fillId="2" borderId="0" xfId="10" applyFont="1" applyFill="1" applyAlignment="1">
      <alignment horizontal="left" vertical="center" indent="1"/>
    </xf>
    <xf numFmtId="171" fontId="1" fillId="2" borderId="0" xfId="10" applyNumberFormat="1" applyFont="1" applyFill="1"/>
    <xf numFmtId="169" fontId="8" fillId="2" borderId="0" xfId="10" applyFont="1" applyFill="1" applyAlignment="1">
      <alignment vertical="center"/>
    </xf>
    <xf numFmtId="0" fontId="7" fillId="2" borderId="0" xfId="10" applyNumberFormat="1" applyFont="1" applyFill="1" applyAlignment="1">
      <alignment horizontal="right" vertical="center"/>
    </xf>
    <xf numFmtId="169" fontId="12" fillId="2" borderId="0" xfId="10" applyFont="1" applyFill="1" applyAlignment="1">
      <alignment horizontal="center" vertical="center"/>
    </xf>
    <xf numFmtId="169" fontId="13" fillId="2" borderId="0" xfId="10" applyFont="1" applyFill="1" applyAlignment="1">
      <alignment horizontal="center" vertical="center"/>
    </xf>
    <xf numFmtId="168" fontId="1" fillId="2" borderId="0" xfId="1" applyNumberFormat="1" applyFont="1" applyFill="1" applyBorder="1" applyAlignment="1">
      <alignment vertical="center"/>
    </xf>
    <xf numFmtId="43" fontId="7" fillId="2" borderId="0" xfId="1" applyFont="1" applyFill="1" applyBorder="1" applyAlignment="1">
      <alignment vertical="center"/>
    </xf>
    <xf numFmtId="168" fontId="7" fillId="2" borderId="0" xfId="1" applyNumberFormat="1" applyFont="1" applyFill="1" applyBorder="1" applyAlignment="1">
      <alignment vertical="center"/>
    </xf>
    <xf numFmtId="169" fontId="12" fillId="2" borderId="0" xfId="10" applyFont="1" applyFill="1"/>
    <xf numFmtId="0" fontId="12" fillId="2" borderId="0" xfId="11" applyNumberFormat="1" applyFont="1" applyFill="1" applyBorder="1" applyAlignment="1">
      <alignment vertical="center"/>
    </xf>
    <xf numFmtId="171" fontId="1" fillId="2" borderId="0" xfId="11" applyNumberFormat="1" applyFont="1" applyFill="1" applyBorder="1" applyAlignment="1">
      <alignment horizontal="center" vertical="center"/>
    </xf>
    <xf numFmtId="171" fontId="1" fillId="2" borderId="0" xfId="10" applyNumberFormat="1" applyFont="1" applyFill="1" applyAlignment="1">
      <alignment horizontal="center" vertical="center"/>
    </xf>
    <xf numFmtId="43" fontId="13" fillId="2" borderId="0" xfId="1" applyFont="1" applyFill="1" applyBorder="1" applyAlignment="1">
      <alignment horizontal="centerContinuous" vertical="center"/>
    </xf>
    <xf numFmtId="43" fontId="12" fillId="2" borderId="0" xfId="1" applyFont="1" applyFill="1" applyBorder="1" applyAlignment="1">
      <alignment horizontal="centerContinuous" vertical="center"/>
    </xf>
    <xf numFmtId="43" fontId="12" fillId="2" borderId="0" xfId="1" applyFont="1" applyFill="1" applyBorder="1" applyAlignment="1">
      <alignment vertical="center"/>
    </xf>
    <xf numFmtId="43" fontId="12" fillId="2" borderId="0" xfId="1" applyFont="1" applyFill="1" applyAlignment="1">
      <alignment vertical="center"/>
    </xf>
    <xf numFmtId="43" fontId="7" fillId="2" borderId="1" xfId="1" applyFont="1" applyFill="1" applyBorder="1" applyAlignment="1">
      <alignment horizontal="right" vertical="center"/>
    </xf>
    <xf numFmtId="43" fontId="13" fillId="2" borderId="0" xfId="1" applyFont="1" applyFill="1" applyBorder="1" applyAlignment="1">
      <alignment horizontal="center" vertical="center"/>
    </xf>
    <xf numFmtId="43" fontId="1" fillId="2" borderId="0" xfId="1" applyFont="1" applyFill="1" applyBorder="1" applyAlignment="1">
      <alignment vertical="center"/>
    </xf>
    <xf numFmtId="43" fontId="1" fillId="2" borderId="0" xfId="1" applyFont="1" applyFill="1" applyBorder="1" applyAlignment="1">
      <alignment horizontal="center" vertical="center"/>
    </xf>
    <xf numFmtId="43" fontId="1" fillId="2" borderId="0" xfId="1" applyFont="1" applyFill="1"/>
    <xf numFmtId="43" fontId="1" fillId="2" borderId="0" xfId="1" applyFont="1" applyFill="1" applyBorder="1"/>
    <xf numFmtId="0" fontId="7" fillId="2" borderId="5" xfId="10" applyNumberFormat="1" applyFont="1" applyFill="1" applyBorder="1" applyAlignment="1">
      <alignment horizontal="right" vertical="center"/>
    </xf>
    <xf numFmtId="43" fontId="7" fillId="2" borderId="4" xfId="1" applyFont="1" applyFill="1" applyBorder="1" applyAlignment="1">
      <alignment horizontal="right" vertical="center"/>
    </xf>
    <xf numFmtId="43" fontId="13" fillId="2" borderId="3" xfId="1" applyFont="1" applyFill="1" applyBorder="1" applyAlignment="1">
      <alignment horizontal="center" vertical="center"/>
    </xf>
    <xf numFmtId="43" fontId="7" fillId="2" borderId="3" xfId="1" applyFont="1" applyFill="1" applyBorder="1" applyAlignment="1">
      <alignment vertical="center"/>
    </xf>
    <xf numFmtId="43" fontId="1" fillId="2" borderId="3" xfId="1" applyFont="1" applyFill="1" applyBorder="1" applyAlignment="1">
      <alignment vertic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/>
    <xf numFmtId="169" fontId="8" fillId="2" borderId="2" xfId="10" applyFont="1" applyFill="1" applyBorder="1" applyAlignment="1">
      <alignment horizontal="left" vertical="center" wrapText="1"/>
    </xf>
    <xf numFmtId="169" fontId="7" fillId="2" borderId="2" xfId="10" applyFont="1" applyFill="1" applyBorder="1" applyAlignment="1">
      <alignment horizontal="center" vertical="center"/>
    </xf>
    <xf numFmtId="169" fontId="7" fillId="2" borderId="1" xfId="10" applyFont="1" applyFill="1" applyBorder="1" applyAlignment="1">
      <alignment horizontal="center" vertical="center"/>
    </xf>
    <xf numFmtId="0" fontId="7" fillId="2" borderId="0" xfId="10" applyNumberFormat="1" applyFont="1" applyFill="1" applyAlignment="1">
      <alignment horizontal="center" vertical="center"/>
    </xf>
    <xf numFmtId="169" fontId="7" fillId="2" borderId="0" xfId="10" applyFont="1" applyFill="1" applyAlignment="1">
      <alignment horizontal="center" vertical="center"/>
    </xf>
    <xf numFmtId="169" fontId="8" fillId="2" borderId="0" xfId="10" applyFont="1" applyFill="1" applyBorder="1" applyAlignment="1">
      <alignment horizontal="left" vertical="center" wrapText="1"/>
    </xf>
    <xf numFmtId="0" fontId="12" fillId="2" borderId="0" xfId="10" applyNumberFormat="1" applyFont="1" applyFill="1" applyBorder="1" applyAlignment="1">
      <alignment vertical="center"/>
    </xf>
    <xf numFmtId="169" fontId="12" fillId="2" borderId="0" xfId="10" applyFont="1" applyFill="1" applyBorder="1" applyAlignment="1">
      <alignment vertical="center"/>
    </xf>
    <xf numFmtId="43" fontId="1" fillId="2" borderId="4" xfId="1" applyFont="1" applyFill="1" applyBorder="1" applyAlignment="1">
      <alignment horizontal="center" vertical="center"/>
    </xf>
    <xf numFmtId="43" fontId="1" fillId="2" borderId="7" xfId="1" applyFont="1" applyFill="1" applyBorder="1" applyAlignment="1">
      <alignment horizontal="center" vertical="center"/>
    </xf>
  </cellXfs>
  <cellStyles count="56">
    <cellStyle name="1" xfId="26" xr:uid="{00000000-0005-0000-0000-000000000000}"/>
    <cellStyle name="Comma" xfId="1" builtinId="3"/>
    <cellStyle name="Comma 12" xfId="21" xr:uid="{00000000-0005-0000-0000-000002000000}"/>
    <cellStyle name="Comma 2" xfId="5" xr:uid="{00000000-0005-0000-0000-000003000000}"/>
    <cellStyle name="Comma 2 2" xfId="40" xr:uid="{00000000-0005-0000-0000-000004000000}"/>
    <cellStyle name="Comma 2 2 2 5" xfId="48" xr:uid="{00000000-0005-0000-0000-000005000000}"/>
    <cellStyle name="Comma 3" xfId="6" xr:uid="{00000000-0005-0000-0000-000006000000}"/>
    <cellStyle name="Comma 3 2" xfId="16" xr:uid="{00000000-0005-0000-0000-000007000000}"/>
    <cellStyle name="Comma 3 3" xfId="27" xr:uid="{00000000-0005-0000-0000-000008000000}"/>
    <cellStyle name="Comma 4" xfId="2" xr:uid="{00000000-0005-0000-0000-000009000000}"/>
    <cellStyle name="Comma 4 2" xfId="13" xr:uid="{00000000-0005-0000-0000-00000A000000}"/>
    <cellStyle name="Comma 5" xfId="11" xr:uid="{00000000-0005-0000-0000-00000B000000}"/>
    <cellStyle name="Comma 6" xfId="8" xr:uid="{00000000-0005-0000-0000-00000C000000}"/>
    <cellStyle name="Comma 6 2" xfId="17" xr:uid="{00000000-0005-0000-0000-00000D000000}"/>
    <cellStyle name="Comma 7" xfId="15" xr:uid="{00000000-0005-0000-0000-00000E000000}"/>
    <cellStyle name="Comma 8" xfId="19" xr:uid="{00000000-0005-0000-0000-00000F000000}"/>
    <cellStyle name="Excel Built-in Comma" xfId="4" xr:uid="{00000000-0005-0000-0000-000010000000}"/>
    <cellStyle name="Excel Built-in Normal" xfId="3" xr:uid="{00000000-0005-0000-0000-000011000000}"/>
    <cellStyle name="Normal" xfId="0" builtinId="0"/>
    <cellStyle name="Normal - Style1" xfId="28" xr:uid="{00000000-0005-0000-0000-000013000000}"/>
    <cellStyle name="Normal 10" xfId="34" xr:uid="{00000000-0005-0000-0000-000014000000}"/>
    <cellStyle name="Normal 11" xfId="45" xr:uid="{00000000-0005-0000-0000-000015000000}"/>
    <cellStyle name="Normal 12" xfId="47" xr:uid="{00000000-0005-0000-0000-000016000000}"/>
    <cellStyle name="Normal 2" xfId="9" xr:uid="{00000000-0005-0000-0000-000017000000}"/>
    <cellStyle name="Normal 2 2" xfId="12" xr:uid="{00000000-0005-0000-0000-000018000000}"/>
    <cellStyle name="Normal 2 2 2" xfId="41" xr:uid="{00000000-0005-0000-0000-000019000000}"/>
    <cellStyle name="Normal 2 2 3" xfId="42" xr:uid="{00000000-0005-0000-0000-00001A000000}"/>
    <cellStyle name="Normal 2 2 4" xfId="29" xr:uid="{00000000-0005-0000-0000-00001B000000}"/>
    <cellStyle name="Normal 2 3" xfId="44" xr:uid="{00000000-0005-0000-0000-00001C000000}"/>
    <cellStyle name="Normal 2 3 2" xfId="55" xr:uid="{00000000-0005-0000-0000-00001D000000}"/>
    <cellStyle name="Normal 2 4" xfId="46" xr:uid="{00000000-0005-0000-0000-00001E000000}"/>
    <cellStyle name="Normal 2 5" xfId="50" xr:uid="{00000000-0005-0000-0000-00001F000000}"/>
    <cellStyle name="Normal 2 6" xfId="22" xr:uid="{00000000-0005-0000-0000-000020000000}"/>
    <cellStyle name="Normal 3" xfId="10" xr:uid="{00000000-0005-0000-0000-000021000000}"/>
    <cellStyle name="Normal 3 2" xfId="43" xr:uid="{00000000-0005-0000-0000-000022000000}"/>
    <cellStyle name="Normal 3 2 2" xfId="52" xr:uid="{00000000-0005-0000-0000-000023000000}"/>
    <cellStyle name="Normal 3 3" xfId="30" xr:uid="{00000000-0005-0000-0000-000024000000}"/>
    <cellStyle name="Normal 4" xfId="7" xr:uid="{00000000-0005-0000-0000-000025000000}"/>
    <cellStyle name="Normal 4 2" xfId="31" xr:uid="{00000000-0005-0000-0000-000026000000}"/>
    <cellStyle name="Normal 4 2 2" xfId="36" xr:uid="{00000000-0005-0000-0000-000027000000}"/>
    <cellStyle name="Normal 4 3" xfId="51" xr:uid="{00000000-0005-0000-0000-000028000000}"/>
    <cellStyle name="Normal 4 4" xfId="35" xr:uid="{00000000-0005-0000-0000-000029000000}"/>
    <cellStyle name="Normal 5" xfId="18" xr:uid="{00000000-0005-0000-0000-00002A000000}"/>
    <cellStyle name="Normal 5 2" xfId="24" xr:uid="{00000000-0005-0000-0000-00002B000000}"/>
    <cellStyle name="Normal 5 3" xfId="49" xr:uid="{00000000-0005-0000-0000-00002C000000}"/>
    <cellStyle name="Normal 5 4" xfId="32" xr:uid="{00000000-0005-0000-0000-00002D000000}"/>
    <cellStyle name="Normal 6" xfId="37" xr:uid="{00000000-0005-0000-0000-00002E000000}"/>
    <cellStyle name="Normal 6 2" xfId="53" xr:uid="{00000000-0005-0000-0000-00002F000000}"/>
    <cellStyle name="Normal 7" xfId="38" xr:uid="{00000000-0005-0000-0000-000030000000}"/>
    <cellStyle name="Normal 7 2" xfId="54" xr:uid="{00000000-0005-0000-0000-000031000000}"/>
    <cellStyle name="Normal 8" xfId="39" xr:uid="{00000000-0005-0000-0000-000032000000}"/>
    <cellStyle name="Normal 9" xfId="25" xr:uid="{00000000-0005-0000-0000-000033000000}"/>
    <cellStyle name="Percent 2" xfId="14" xr:uid="{00000000-0005-0000-0000-000038000000}"/>
    <cellStyle name="Percent 2 2" xfId="23" xr:uid="{00000000-0005-0000-0000-000039000000}"/>
    <cellStyle name="Percent 2 3" xfId="33" xr:uid="{00000000-0005-0000-0000-00003A000000}"/>
    <cellStyle name="Percent 3" xfId="20" xr:uid="{00000000-0005-0000-0000-00003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BC94"/>
  <sheetViews>
    <sheetView showGridLines="0" tabSelected="1" topLeftCell="B1" zoomScaleNormal="100" zoomScaleSheetLayoutView="82" workbookViewId="0">
      <pane xSplit="2" ySplit="1" topLeftCell="D35" activePane="bottomRight" state="frozen"/>
      <selection pane="topRight" activeCell="C1" sqref="C1"/>
      <selection pane="bottomLeft" activeCell="B4" sqref="B4"/>
      <selection pane="bottomRight" activeCell="D102" sqref="D102"/>
    </sheetView>
  </sheetViews>
  <sheetFormatPr defaultRowHeight="18.75" customHeight="1"/>
  <cols>
    <col min="1" max="2" width="6.7109375" style="1" customWidth="1"/>
    <col min="3" max="3" width="62" style="5" customWidth="1"/>
    <col min="4" max="5" width="12.42578125" style="5" bestFit="1" customWidth="1"/>
    <col min="6" max="6" width="14.5703125" style="5" bestFit="1" customWidth="1"/>
    <col min="7" max="7" width="12.42578125" style="5" bestFit="1" customWidth="1"/>
    <col min="8" max="8" width="13.140625" style="5" bestFit="1" customWidth="1"/>
    <col min="9" max="9" width="12.85546875" style="5" bestFit="1" customWidth="1"/>
    <col min="10" max="10" width="12.42578125" style="47" bestFit="1" customWidth="1"/>
    <col min="11" max="11" width="12.7109375" style="47" customWidth="1"/>
    <col min="12" max="13" width="13.140625" style="47" bestFit="1" customWidth="1"/>
    <col min="14" max="14" width="12.5703125" style="47" customWidth="1"/>
    <col min="15" max="18" width="11" style="5" customWidth="1"/>
    <col min="19" max="19" width="15" style="5" customWidth="1"/>
    <col min="20" max="20" width="15.5703125" style="5" customWidth="1"/>
    <col min="21" max="21" width="15" style="5" customWidth="1"/>
    <col min="22" max="23" width="16.7109375" style="5" customWidth="1"/>
    <col min="24" max="24" width="14.7109375" style="5" customWidth="1"/>
    <col min="25" max="25" width="15" style="5" customWidth="1"/>
    <col min="26" max="26" width="11.42578125" style="5" customWidth="1"/>
    <col min="27" max="32" width="12.28515625" style="5" customWidth="1"/>
    <col min="33" max="33" width="12.42578125" style="5" customWidth="1"/>
    <col min="34" max="34" width="15.28515625" style="5" customWidth="1"/>
    <col min="35" max="35" width="14" style="5" customWidth="1"/>
    <col min="36" max="37" width="12.85546875" style="5" customWidth="1"/>
    <col min="38" max="38" width="17.140625" style="5" customWidth="1"/>
    <col min="39" max="39" width="12.42578125" style="5" customWidth="1"/>
    <col min="40" max="40" width="11.42578125" style="5" customWidth="1"/>
    <col min="41" max="41" width="11.7109375" style="5" customWidth="1"/>
    <col min="42" max="42" width="12" style="5" customWidth="1"/>
    <col min="43" max="49" width="12.42578125" style="5" customWidth="1"/>
    <col min="50" max="51" width="12.42578125" style="5" bestFit="1" customWidth="1"/>
    <col min="52" max="52" width="12.5703125" style="5" customWidth="1"/>
    <col min="53" max="53" width="8.7109375" style="5" customWidth="1"/>
    <col min="54" max="56" width="12.5703125" style="5" customWidth="1"/>
    <col min="57" max="57" width="13.42578125" style="5" customWidth="1"/>
    <col min="58" max="60" width="7.140625" style="5" customWidth="1"/>
    <col min="61" max="61" width="9.140625" style="5" customWidth="1"/>
    <col min="62" max="62" width="42.140625" style="5" customWidth="1"/>
    <col min="63" max="63" width="7.140625" style="5" customWidth="1"/>
    <col min="64" max="65" width="11.5703125" style="5" customWidth="1"/>
    <col min="66" max="66" width="14.140625" style="5" bestFit="1" customWidth="1"/>
    <col min="67" max="69" width="17" style="5" bestFit="1" customWidth="1"/>
    <col min="70" max="70" width="14.140625" style="5" bestFit="1" customWidth="1"/>
    <col min="71" max="16384" width="9.140625" style="5"/>
  </cols>
  <sheetData>
    <row r="1" spans="1:55" ht="18.75" customHeight="1">
      <c r="C1" s="64" t="s">
        <v>77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44"/>
      <c r="O1" s="19"/>
      <c r="P1" s="19"/>
      <c r="Q1" s="19"/>
      <c r="R1" s="19"/>
      <c r="S1" s="19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</row>
    <row r="2" spans="1:55" ht="18.75" customHeight="1">
      <c r="C2" s="65" t="s">
        <v>3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44"/>
      <c r="O2" s="19"/>
      <c r="P2" s="19"/>
      <c r="Q2" s="19"/>
      <c r="R2" s="19"/>
      <c r="S2" s="19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</row>
    <row r="3" spans="1:55" ht="3.75" customHeight="1">
      <c r="C3" s="25"/>
      <c r="D3" s="26"/>
      <c r="E3" s="26"/>
      <c r="F3" s="26"/>
      <c r="G3" s="26"/>
      <c r="H3" s="26"/>
      <c r="I3" s="20"/>
      <c r="J3" s="45"/>
      <c r="K3" s="45"/>
      <c r="L3" s="45"/>
      <c r="M3" s="45"/>
      <c r="N3" s="45"/>
      <c r="O3" s="20"/>
      <c r="P3" s="20"/>
      <c r="Q3" s="20"/>
      <c r="R3" s="20"/>
      <c r="S3" s="20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</row>
    <row r="4" spans="1:55" ht="18.75" customHeight="1">
      <c r="C4" s="62" t="s">
        <v>0</v>
      </c>
      <c r="D4" s="21">
        <v>2017</v>
      </c>
      <c r="E4" s="22">
        <v>2018</v>
      </c>
      <c r="F4" s="22">
        <v>2019</v>
      </c>
      <c r="G4" s="22">
        <v>2020</v>
      </c>
      <c r="H4" s="22">
        <v>2021</v>
      </c>
      <c r="I4" s="22">
        <v>2022</v>
      </c>
      <c r="J4" s="22">
        <v>2023</v>
      </c>
      <c r="K4" s="22">
        <v>2024</v>
      </c>
      <c r="L4" s="54">
        <v>2025</v>
      </c>
      <c r="M4" s="22">
        <v>2026</v>
      </c>
      <c r="N4" s="22">
        <v>2027</v>
      </c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"/>
      <c r="BC4" s="3"/>
    </row>
    <row r="5" spans="1:55" ht="18.75" customHeight="1">
      <c r="C5" s="63"/>
      <c r="D5" s="23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48" t="s">
        <v>1</v>
      </c>
      <c r="K5" s="48" t="s">
        <v>1</v>
      </c>
      <c r="L5" s="55" t="s">
        <v>2</v>
      </c>
      <c r="M5" s="48" t="s">
        <v>2</v>
      </c>
      <c r="N5" s="48" t="s">
        <v>2</v>
      </c>
      <c r="O5" s="6"/>
      <c r="P5" s="6"/>
      <c r="Q5" s="6"/>
      <c r="R5" s="6"/>
      <c r="S5" s="6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35"/>
      <c r="BC5" s="35"/>
    </row>
    <row r="6" spans="1:55" ht="18.75" customHeight="1">
      <c r="C6" s="13"/>
      <c r="D6" s="14"/>
      <c r="E6" s="14"/>
      <c r="F6" s="14"/>
      <c r="G6" s="14"/>
      <c r="H6" s="14"/>
      <c r="I6" s="6"/>
      <c r="J6" s="49"/>
      <c r="K6" s="49"/>
      <c r="L6" s="56"/>
      <c r="M6" s="49"/>
      <c r="N6" s="49"/>
      <c r="O6" s="6"/>
      <c r="P6" s="6"/>
      <c r="Q6" s="6"/>
      <c r="R6" s="6"/>
      <c r="S6" s="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8" customFormat="1" ht="18.75" customHeight="1">
      <c r="A7" s="10"/>
      <c r="B7" s="10"/>
      <c r="C7" s="17" t="s">
        <v>79</v>
      </c>
      <c r="D7" s="18">
        <f>D9+D19+D25+D33+D44+D52+D58+D66+D73+D83</f>
        <v>24935.136204000002</v>
      </c>
      <c r="E7" s="18">
        <f t="shared" ref="E7:M7" si="0">E9+E19+E25+E33+E44+E52+E58+E66+E73+E83</f>
        <v>28165.331600999998</v>
      </c>
      <c r="F7" s="38">
        <f t="shared" si="0"/>
        <v>30128.216621999996</v>
      </c>
      <c r="G7" s="18">
        <f t="shared" si="0"/>
        <v>30156.529875000004</v>
      </c>
      <c r="H7" s="18">
        <f t="shared" si="0"/>
        <v>37145.084501000005</v>
      </c>
      <c r="I7" s="18">
        <f t="shared" si="0"/>
        <v>42828.320053999996</v>
      </c>
      <c r="J7" s="38">
        <f t="shared" si="0"/>
        <v>44893.612827999998</v>
      </c>
      <c r="K7" s="38">
        <f>K9+K19+K25+K33+K44+K52+K58+K66+K73+K83</f>
        <v>48217.774545</v>
      </c>
      <c r="L7" s="57">
        <f t="shared" si="0"/>
        <v>49178.515906000001</v>
      </c>
      <c r="M7" s="38">
        <f t="shared" si="0"/>
        <v>51697.485560999994</v>
      </c>
      <c r="N7" s="38">
        <f t="shared" ref="N7" si="1">N9+N19+N25+N33+N44+N52+N58+N66+N73+N83</f>
        <v>50270.437008000008</v>
      </c>
      <c r="O7" s="11"/>
      <c r="P7" s="11"/>
      <c r="Q7" s="11"/>
      <c r="R7" s="11"/>
      <c r="S7" s="11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ht="9" customHeight="1">
      <c r="C8" s="15"/>
      <c r="D8" s="16"/>
      <c r="E8" s="16"/>
      <c r="F8" s="16"/>
      <c r="G8" s="16"/>
      <c r="H8" s="16"/>
      <c r="I8" s="16"/>
      <c r="J8" s="50"/>
      <c r="K8" s="50"/>
      <c r="L8" s="58"/>
      <c r="M8" s="50"/>
      <c r="N8" s="50"/>
      <c r="O8" s="9"/>
      <c r="P8" s="9"/>
      <c r="Q8" s="9"/>
      <c r="R8" s="9"/>
      <c r="S8" s="9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ht="18.75" customHeight="1">
      <c r="C9" s="27" t="s">
        <v>4</v>
      </c>
      <c r="D9" s="28">
        <f>SUM(D10:D16)</f>
        <v>5934.1499600000006</v>
      </c>
      <c r="E9" s="28">
        <f t="shared" ref="E9:I9" si="2">SUM(E10:E16)</f>
        <v>5257.6541889999999</v>
      </c>
      <c r="F9" s="28">
        <f t="shared" si="2"/>
        <v>8051.9318199999998</v>
      </c>
      <c r="G9" s="28">
        <f t="shared" si="2"/>
        <v>7708.0394669999996</v>
      </c>
      <c r="H9" s="28">
        <f t="shared" si="2"/>
        <v>10897.043096000001</v>
      </c>
      <c r="I9" s="28">
        <f t="shared" si="2"/>
        <v>7864.6088310000005</v>
      </c>
      <c r="J9" s="38">
        <f>SUM(J10:J17)</f>
        <v>8175.2209930000008</v>
      </c>
      <c r="K9" s="38">
        <f t="shared" ref="K9:N9" si="3">SUM(K10:K17)</f>
        <v>9699.4671039999994</v>
      </c>
      <c r="L9" s="57">
        <f t="shared" si="3"/>
        <v>11113.519934</v>
      </c>
      <c r="M9" s="38">
        <f t="shared" si="3"/>
        <v>12604.785301</v>
      </c>
      <c r="N9" s="38">
        <f t="shared" si="3"/>
        <v>12982.24028</v>
      </c>
      <c r="O9" s="11"/>
      <c r="P9" s="11"/>
      <c r="Q9" s="11"/>
      <c r="R9" s="11"/>
      <c r="S9" s="11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28.5" customHeight="1">
      <c r="C10" s="29" t="s">
        <v>14</v>
      </c>
      <c r="D10" s="30">
        <v>2387.2441709999998</v>
      </c>
      <c r="E10" s="30">
        <v>2140.9994259999999</v>
      </c>
      <c r="F10" s="30">
        <v>5311.8029740000002</v>
      </c>
      <c r="G10" s="30">
        <v>4846.1230079999996</v>
      </c>
      <c r="H10" s="30">
        <v>4618.1041439999999</v>
      </c>
      <c r="I10" s="30">
        <v>1384.488081</v>
      </c>
      <c r="J10" s="51">
        <v>1846.6511370000001</v>
      </c>
      <c r="K10" s="51">
        <v>2294.2264439999999</v>
      </c>
      <c r="L10" s="59">
        <v>2231.6220929999999</v>
      </c>
      <c r="M10" s="51">
        <v>2488.9472300000002</v>
      </c>
      <c r="N10" s="51">
        <v>2367.0649709999998</v>
      </c>
      <c r="O10" s="9"/>
      <c r="P10" s="9"/>
      <c r="Q10" s="41"/>
      <c r="R10" s="40"/>
      <c r="S10" s="40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ht="18.75" customHeight="1">
      <c r="C11" s="31" t="s">
        <v>15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51">
        <v>15.208333</v>
      </c>
      <c r="K11" s="51">
        <v>0</v>
      </c>
      <c r="L11" s="59">
        <v>0</v>
      </c>
      <c r="M11" s="51">
        <v>0</v>
      </c>
      <c r="N11" s="51">
        <v>0</v>
      </c>
      <c r="O11" s="34"/>
      <c r="P11" s="34"/>
      <c r="Q11" s="41"/>
      <c r="R11" s="34"/>
      <c r="S11" s="34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ht="18.75" customHeight="1">
      <c r="C12" s="31" t="s">
        <v>16</v>
      </c>
      <c r="D12" s="30">
        <v>45.604931999999998</v>
      </c>
      <c r="E12" s="30">
        <v>44.17586</v>
      </c>
      <c r="F12" s="30">
        <v>74.768175999999997</v>
      </c>
      <c r="G12" s="30">
        <v>64.927921999999995</v>
      </c>
      <c r="H12" s="30">
        <v>113.025437</v>
      </c>
      <c r="I12" s="30">
        <v>300.50889000000001</v>
      </c>
      <c r="J12" s="51">
        <v>248.27589499999999</v>
      </c>
      <c r="K12" s="51">
        <v>460.111695</v>
      </c>
      <c r="L12" s="59">
        <v>1130.1303889999999</v>
      </c>
      <c r="M12" s="51">
        <v>2051.8456780000001</v>
      </c>
      <c r="N12" s="51">
        <v>2513.2724760000001</v>
      </c>
      <c r="O12" s="28"/>
      <c r="P12" s="28"/>
      <c r="Q12" s="41"/>
      <c r="R12" s="28"/>
      <c r="S12" s="28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</row>
    <row r="13" spans="1:55" ht="18.75" customHeight="1">
      <c r="C13" s="31" t="s">
        <v>17</v>
      </c>
      <c r="D13" s="30">
        <v>0</v>
      </c>
      <c r="E13" s="30">
        <v>0</v>
      </c>
      <c r="F13" s="32">
        <v>0</v>
      </c>
      <c r="G13" s="32">
        <v>0</v>
      </c>
      <c r="H13" s="32">
        <v>0.20493</v>
      </c>
      <c r="I13" s="32">
        <v>0.67946499999999999</v>
      </c>
      <c r="J13" s="51">
        <v>0.399841</v>
      </c>
      <c r="K13" s="51">
        <v>0.262407</v>
      </c>
      <c r="L13" s="59">
        <v>0</v>
      </c>
      <c r="M13" s="51">
        <v>0</v>
      </c>
      <c r="N13" s="51">
        <v>0</v>
      </c>
      <c r="O13" s="28"/>
      <c r="P13" s="28"/>
      <c r="Q13" s="41"/>
      <c r="R13" s="28"/>
      <c r="S13" s="28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ht="18.75" customHeight="1">
      <c r="C14" s="31" t="s">
        <v>18</v>
      </c>
      <c r="D14" s="30">
        <v>0</v>
      </c>
      <c r="E14" s="30">
        <v>0</v>
      </c>
      <c r="F14" s="32">
        <v>0</v>
      </c>
      <c r="G14" s="32">
        <v>0</v>
      </c>
      <c r="H14" s="32">
        <v>0</v>
      </c>
      <c r="I14" s="32">
        <v>0</v>
      </c>
      <c r="J14" s="51">
        <v>0.30235699999999999</v>
      </c>
      <c r="K14" s="51">
        <v>0.40483400000000003</v>
      </c>
      <c r="L14" s="59">
        <v>0.56349499999999997</v>
      </c>
      <c r="M14" s="51">
        <v>0.56349499999999997</v>
      </c>
      <c r="N14" s="51">
        <v>0.56349499999999997</v>
      </c>
      <c r="O14" s="28"/>
      <c r="P14" s="28"/>
      <c r="Q14" s="41"/>
      <c r="R14" s="28"/>
      <c r="S14" s="2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ht="18.75" customHeight="1">
      <c r="C15" s="31" t="s">
        <v>19</v>
      </c>
      <c r="D15" s="30">
        <v>0</v>
      </c>
      <c r="E15" s="30">
        <v>0</v>
      </c>
      <c r="F15" s="32">
        <v>0</v>
      </c>
      <c r="G15" s="32">
        <v>0</v>
      </c>
      <c r="H15" s="32">
        <v>0</v>
      </c>
      <c r="I15" s="32">
        <v>23.833103999999999</v>
      </c>
      <c r="J15" s="51">
        <v>27.598085999999999</v>
      </c>
      <c r="K15" s="51">
        <v>25.282684</v>
      </c>
      <c r="L15" s="59">
        <v>54.237273000000002</v>
      </c>
      <c r="M15" s="51">
        <v>56.456097</v>
      </c>
      <c r="N15" s="51">
        <v>58.113323999999999</v>
      </c>
      <c r="O15" s="28"/>
      <c r="P15" s="28"/>
      <c r="Q15" s="41"/>
      <c r="R15" s="28"/>
      <c r="S15" s="28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ht="18.75" customHeight="1">
      <c r="C16" s="31" t="s">
        <v>20</v>
      </c>
      <c r="D16" s="42">
        <v>3501.3008570000002</v>
      </c>
      <c r="E16" s="42">
        <v>3072.4789030000002</v>
      </c>
      <c r="F16" s="43">
        <v>2665.36067</v>
      </c>
      <c r="G16" s="43">
        <v>2796.9885370000002</v>
      </c>
      <c r="H16" s="43">
        <v>6165.7085850000003</v>
      </c>
      <c r="I16" s="43">
        <v>6155.0992910000004</v>
      </c>
      <c r="J16" s="51">
        <v>4232.6235290000004</v>
      </c>
      <c r="K16" s="51">
        <v>4706.2354050000004</v>
      </c>
      <c r="L16" s="59">
        <v>5550.1191989999998</v>
      </c>
      <c r="M16" s="51">
        <v>5499.1671889999998</v>
      </c>
      <c r="N16" s="51">
        <v>5392.8070470000002</v>
      </c>
      <c r="O16" s="28"/>
      <c r="P16" s="28"/>
      <c r="Q16" s="41"/>
      <c r="R16" s="28"/>
      <c r="S16" s="28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  <row r="17" spans="3:55" ht="18.75" customHeight="1">
      <c r="C17" s="31" t="s">
        <v>78</v>
      </c>
      <c r="D17" s="32"/>
      <c r="E17" s="32"/>
      <c r="F17" s="32"/>
      <c r="G17" s="32"/>
      <c r="H17" s="32"/>
      <c r="I17" s="32"/>
      <c r="J17" s="51">
        <v>1804.1618149999999</v>
      </c>
      <c r="K17" s="51">
        <v>2212.9436350000001</v>
      </c>
      <c r="L17" s="59">
        <v>2146.8474849999998</v>
      </c>
      <c r="M17" s="51">
        <v>2507.8056120000001</v>
      </c>
      <c r="N17" s="51">
        <v>2650.4189670000001</v>
      </c>
      <c r="O17" s="28"/>
      <c r="P17" s="28"/>
      <c r="Q17" s="41"/>
      <c r="R17" s="28"/>
      <c r="S17" s="28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</row>
    <row r="18" spans="3:55" ht="18.75" customHeight="1">
      <c r="C18" s="31"/>
      <c r="D18" s="32"/>
      <c r="E18" s="32"/>
      <c r="F18" s="32"/>
      <c r="G18" s="32"/>
      <c r="H18" s="32"/>
      <c r="I18" s="32"/>
      <c r="J18" s="52"/>
      <c r="K18" s="53"/>
      <c r="L18" s="60"/>
      <c r="M18" s="53"/>
      <c r="N18" s="53"/>
      <c r="O18" s="28"/>
      <c r="P18" s="28"/>
      <c r="Q18" s="41"/>
      <c r="R18" s="28"/>
      <c r="S18" s="28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</row>
    <row r="19" spans="3:55" ht="18.75" customHeight="1">
      <c r="C19" s="27" t="s">
        <v>5</v>
      </c>
      <c r="D19" s="28">
        <f>SUM(D20:D23)</f>
        <v>1240.2034780000001</v>
      </c>
      <c r="E19" s="28">
        <f t="shared" ref="E19:M19" si="4">SUM(E20:E23)</f>
        <v>1419.87564</v>
      </c>
      <c r="F19" s="28">
        <f t="shared" si="4"/>
        <v>1372.595595</v>
      </c>
      <c r="G19" s="28">
        <f t="shared" si="4"/>
        <v>1366.7934630000002</v>
      </c>
      <c r="H19" s="28">
        <f t="shared" si="4"/>
        <v>1703.0526179999999</v>
      </c>
      <c r="I19" s="28">
        <f t="shared" si="4"/>
        <v>1670.758221</v>
      </c>
      <c r="J19" s="38">
        <f t="shared" si="4"/>
        <v>1601.0508890000001</v>
      </c>
      <c r="K19" s="38">
        <f t="shared" si="4"/>
        <v>2477.2080370000008</v>
      </c>
      <c r="L19" s="57">
        <f t="shared" si="4"/>
        <v>2086.481988</v>
      </c>
      <c r="M19" s="38">
        <f t="shared" si="4"/>
        <v>1949.3201100000001</v>
      </c>
      <c r="N19" s="38">
        <f t="shared" ref="N19" si="5">SUM(N20:N23)</f>
        <v>1966.3633609999999</v>
      </c>
      <c r="O19" s="28"/>
      <c r="P19" s="28"/>
      <c r="Q19" s="41"/>
      <c r="R19" s="28"/>
      <c r="S19" s="28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</row>
    <row r="20" spans="3:55" ht="18.75" customHeight="1">
      <c r="C20" s="31" t="s">
        <v>21</v>
      </c>
      <c r="D20" s="30">
        <v>1114.4017630000001</v>
      </c>
      <c r="E20" s="30">
        <v>1292.3270279999999</v>
      </c>
      <c r="F20" s="30">
        <v>1241.2229440000001</v>
      </c>
      <c r="G20" s="30">
        <v>1230.6227510000001</v>
      </c>
      <c r="H20" s="30">
        <v>1508.5630759999999</v>
      </c>
      <c r="I20" s="30">
        <v>1639.989857</v>
      </c>
      <c r="J20" s="51">
        <v>1581.936858</v>
      </c>
      <c r="K20" s="51">
        <v>2458.3376360000002</v>
      </c>
      <c r="L20" s="59">
        <v>2063.8085110000002</v>
      </c>
      <c r="M20" s="51">
        <v>1931.4326410000001</v>
      </c>
      <c r="N20" s="51">
        <v>1948.4150790000001</v>
      </c>
      <c r="O20" s="28"/>
      <c r="P20" s="28"/>
      <c r="Q20" s="41"/>
      <c r="R20" s="28"/>
      <c r="S20" s="28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</row>
    <row r="21" spans="3:55" ht="18.75" customHeight="1">
      <c r="C21" s="31" t="s">
        <v>22</v>
      </c>
      <c r="D21" s="30">
        <v>125.801715</v>
      </c>
      <c r="E21" s="30">
        <v>127.54861200000001</v>
      </c>
      <c r="F21" s="30">
        <v>131.37265099999999</v>
      </c>
      <c r="G21" s="30">
        <v>136.17071200000001</v>
      </c>
      <c r="H21" s="30">
        <v>191.97498899999999</v>
      </c>
      <c r="I21" s="30">
        <v>4.3102679999999998</v>
      </c>
      <c r="J21" s="51">
        <v>4.6905340000000004</v>
      </c>
      <c r="K21" s="51">
        <v>4.4881140000000004</v>
      </c>
      <c r="L21" s="59">
        <v>5.5389460000000001</v>
      </c>
      <c r="M21" s="51">
        <v>5.6613239999999996</v>
      </c>
      <c r="N21" s="51">
        <v>5.7265389999999998</v>
      </c>
      <c r="O21" s="28"/>
      <c r="P21" s="28"/>
      <c r="Q21" s="41"/>
      <c r="R21" s="28"/>
      <c r="S21" s="28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</row>
    <row r="22" spans="3:55" ht="18.75" customHeight="1">
      <c r="C22" s="31" t="s">
        <v>23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1.495E-2</v>
      </c>
      <c r="J22" s="51">
        <v>9.6000000000000002E-2</v>
      </c>
      <c r="K22" s="51">
        <v>1.2E-2</v>
      </c>
      <c r="L22" s="59">
        <v>0.1</v>
      </c>
      <c r="M22" s="51">
        <v>0.19331999999999999</v>
      </c>
      <c r="N22" s="51">
        <v>0.21168000000000001</v>
      </c>
      <c r="O22" s="28"/>
      <c r="P22" s="28"/>
      <c r="Q22" s="41"/>
      <c r="R22" s="28"/>
      <c r="S22" s="28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3:55" ht="18.75" customHeight="1">
      <c r="C23" s="31" t="s">
        <v>24</v>
      </c>
      <c r="D23" s="30">
        <v>0</v>
      </c>
      <c r="E23" s="30">
        <v>0</v>
      </c>
      <c r="F23" s="30">
        <v>0</v>
      </c>
      <c r="G23" s="30">
        <v>0</v>
      </c>
      <c r="H23" s="30">
        <v>2.5145529999999998</v>
      </c>
      <c r="I23" s="30">
        <v>26.443145999999999</v>
      </c>
      <c r="J23" s="51">
        <v>14.327496999999999</v>
      </c>
      <c r="K23" s="51">
        <v>14.370286999999999</v>
      </c>
      <c r="L23" s="59">
        <v>17.034531000000001</v>
      </c>
      <c r="M23" s="51">
        <v>12.032825000000001</v>
      </c>
      <c r="N23" s="51">
        <v>12.010063000000001</v>
      </c>
      <c r="O23" s="28"/>
      <c r="P23" s="28"/>
      <c r="Q23" s="41"/>
      <c r="R23" s="28"/>
      <c r="S23" s="28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</row>
    <row r="24" spans="3:55" ht="18.75" customHeight="1">
      <c r="C24" s="31"/>
      <c r="D24" s="30"/>
      <c r="E24" s="30"/>
      <c r="F24" s="30"/>
      <c r="G24" s="30"/>
      <c r="H24" s="30"/>
      <c r="I24" s="30"/>
      <c r="J24" s="50"/>
      <c r="K24" s="50"/>
      <c r="L24" s="58"/>
      <c r="M24" s="50"/>
      <c r="N24" s="50"/>
      <c r="O24" s="28"/>
      <c r="P24" s="28"/>
      <c r="Q24" s="41"/>
      <c r="R24" s="28"/>
      <c r="S24" s="28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</row>
    <row r="25" spans="3:55" ht="18.75" customHeight="1">
      <c r="C25" s="27" t="s">
        <v>6</v>
      </c>
      <c r="D25" s="28">
        <f>SUM(D26:D31)</f>
        <v>1991.4790010000002</v>
      </c>
      <c r="E25" s="28">
        <f t="shared" ref="E25:M25" si="6">SUM(E26:E31)</f>
        <v>2146.9140630000002</v>
      </c>
      <c r="F25" s="28">
        <f t="shared" si="6"/>
        <v>2271.9082830000002</v>
      </c>
      <c r="G25" s="28">
        <f t="shared" si="6"/>
        <v>2139.2553240000002</v>
      </c>
      <c r="H25" s="28">
        <f t="shared" si="6"/>
        <v>2397.702194</v>
      </c>
      <c r="I25" s="28">
        <f t="shared" si="6"/>
        <v>3020.1964109999999</v>
      </c>
      <c r="J25" s="38">
        <f t="shared" si="6"/>
        <v>3688.151969</v>
      </c>
      <c r="K25" s="38">
        <f t="shared" si="6"/>
        <v>4176.2126150000004</v>
      </c>
      <c r="L25" s="57">
        <f t="shared" si="6"/>
        <v>4593.9970970000004</v>
      </c>
      <c r="M25" s="38">
        <f t="shared" si="6"/>
        <v>4814.5218299999997</v>
      </c>
      <c r="N25" s="38">
        <f t="shared" ref="N25" si="7">SUM(N26:N31)</f>
        <v>4851.1840979999997</v>
      </c>
      <c r="O25" s="28"/>
      <c r="P25" s="28"/>
      <c r="Q25" s="41"/>
      <c r="R25" s="28"/>
      <c r="S25" s="28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</row>
    <row r="26" spans="3:55" ht="18.75" customHeight="1">
      <c r="C26" s="31" t="s">
        <v>25</v>
      </c>
      <c r="D26" s="30">
        <v>1406.8970380000001</v>
      </c>
      <c r="E26" s="30">
        <v>1563.1145650000001</v>
      </c>
      <c r="F26" s="30">
        <v>1658.4072040000001</v>
      </c>
      <c r="G26" s="30">
        <v>1545.5458920000001</v>
      </c>
      <c r="H26" s="30">
        <v>1750.1016709999999</v>
      </c>
      <c r="I26" s="30">
        <v>1862.9252059999999</v>
      </c>
      <c r="J26" s="51">
        <v>2429.8483329999999</v>
      </c>
      <c r="K26" s="51">
        <v>2839.8926230000002</v>
      </c>
      <c r="L26" s="59">
        <v>3181.4085490000002</v>
      </c>
      <c r="M26" s="51">
        <v>3194.0019649999999</v>
      </c>
      <c r="N26" s="51">
        <v>3226.4584319999999</v>
      </c>
      <c r="O26" s="28"/>
      <c r="P26" s="28"/>
      <c r="Q26" s="41"/>
      <c r="R26" s="28"/>
      <c r="S26" s="28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spans="3:55" ht="18.75" customHeight="1">
      <c r="C27" s="31" t="s">
        <v>26</v>
      </c>
      <c r="D27" s="30">
        <v>1.9484520000000001</v>
      </c>
      <c r="E27" s="30">
        <v>1.767045</v>
      </c>
      <c r="F27" s="30">
        <v>0</v>
      </c>
      <c r="G27" s="30">
        <v>0</v>
      </c>
      <c r="H27" s="30">
        <v>0.74449200000000004</v>
      </c>
      <c r="I27" s="30">
        <v>48.396462</v>
      </c>
      <c r="J27" s="51">
        <v>52.961492999999997</v>
      </c>
      <c r="K27" s="51">
        <v>78.934094000000002</v>
      </c>
      <c r="L27" s="59">
        <v>76.783460000000005</v>
      </c>
      <c r="M27" s="51">
        <v>76.783460000000005</v>
      </c>
      <c r="N27" s="51">
        <v>76.783460000000005</v>
      </c>
      <c r="O27" s="9"/>
      <c r="P27" s="9"/>
      <c r="Q27" s="41"/>
      <c r="R27" s="9"/>
      <c r="S27" s="9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</row>
    <row r="28" spans="3:55" ht="18.75" customHeight="1">
      <c r="C28" s="31" t="s">
        <v>27</v>
      </c>
      <c r="D28" s="30">
        <v>193.98505499999999</v>
      </c>
      <c r="E28" s="30">
        <v>199.991176</v>
      </c>
      <c r="F28" s="30">
        <v>220.86851100000001</v>
      </c>
      <c r="G28" s="30">
        <v>215.68453400000001</v>
      </c>
      <c r="H28" s="30">
        <v>273.444999</v>
      </c>
      <c r="I28" s="30">
        <v>696.79230099999995</v>
      </c>
      <c r="J28" s="51">
        <v>728.11601499999995</v>
      </c>
      <c r="K28" s="51">
        <v>755.87427500000001</v>
      </c>
      <c r="L28" s="59">
        <v>843.763733</v>
      </c>
      <c r="M28" s="51">
        <v>958.83682599999997</v>
      </c>
      <c r="N28" s="51">
        <v>962.87284999999997</v>
      </c>
      <c r="O28" s="9"/>
      <c r="P28" s="9"/>
      <c r="Q28" s="41"/>
      <c r="R28" s="9"/>
      <c r="S28" s="9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spans="3:55" ht="18.75" customHeight="1">
      <c r="C29" s="31" t="s">
        <v>28</v>
      </c>
      <c r="D29" s="30">
        <v>342.09839199999999</v>
      </c>
      <c r="E29" s="30">
        <v>318.97099500000002</v>
      </c>
      <c r="F29" s="30">
        <v>355.54577699999999</v>
      </c>
      <c r="G29" s="30">
        <v>354.70775099999997</v>
      </c>
      <c r="H29" s="30">
        <v>336.40366899999998</v>
      </c>
      <c r="I29" s="30">
        <v>364.22179399999999</v>
      </c>
      <c r="J29" s="51">
        <v>418.08449400000001</v>
      </c>
      <c r="K29" s="51">
        <v>400.22410100000002</v>
      </c>
      <c r="L29" s="59">
        <v>412.47687999999999</v>
      </c>
      <c r="M29" s="51">
        <v>516.09413300000006</v>
      </c>
      <c r="N29" s="51">
        <v>520.51570600000002</v>
      </c>
      <c r="O29" s="9"/>
      <c r="P29" s="9"/>
      <c r="Q29" s="41"/>
      <c r="R29" s="9"/>
      <c r="S29" s="9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</row>
    <row r="30" spans="3:55" ht="18.75" customHeight="1">
      <c r="C30" s="31" t="s">
        <v>29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1.116698</v>
      </c>
      <c r="J30" s="51">
        <v>1.314805</v>
      </c>
      <c r="K30" s="51">
        <v>1.264656</v>
      </c>
      <c r="L30" s="59">
        <v>1.1336660000000001</v>
      </c>
      <c r="M30" s="51">
        <v>1.1391659999999999</v>
      </c>
      <c r="N30" s="51">
        <v>1.1447210000000001</v>
      </c>
      <c r="O30" s="9"/>
      <c r="P30" s="9"/>
      <c r="Q30" s="41"/>
      <c r="R30" s="9"/>
      <c r="S30" s="9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spans="3:55" ht="18.75" customHeight="1">
      <c r="C31" s="31" t="s">
        <v>30</v>
      </c>
      <c r="D31" s="30">
        <v>46.550063999999999</v>
      </c>
      <c r="E31" s="30">
        <v>63.070281999999999</v>
      </c>
      <c r="F31" s="30">
        <v>37.086790999999998</v>
      </c>
      <c r="G31" s="30">
        <v>23.317146999999999</v>
      </c>
      <c r="H31" s="30">
        <v>37.007362999999998</v>
      </c>
      <c r="I31" s="30">
        <v>46.743949999999998</v>
      </c>
      <c r="J31" s="51">
        <v>57.826828999999996</v>
      </c>
      <c r="K31" s="51">
        <v>100.02286599999999</v>
      </c>
      <c r="L31" s="59">
        <v>78.430808999999996</v>
      </c>
      <c r="M31" s="51">
        <v>67.66628</v>
      </c>
      <c r="N31" s="51">
        <v>63.408929000000001</v>
      </c>
      <c r="O31" s="9"/>
      <c r="P31" s="9"/>
      <c r="Q31" s="41"/>
      <c r="R31" s="9"/>
      <c r="S31" s="9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spans="3:55" ht="18.75" customHeight="1">
      <c r="C32" s="31"/>
      <c r="D32" s="30"/>
      <c r="E32" s="30"/>
      <c r="F32" s="30"/>
      <c r="G32" s="30"/>
      <c r="H32" s="30"/>
      <c r="I32" s="30"/>
      <c r="J32" s="50"/>
      <c r="K32" s="50"/>
      <c r="L32" s="58"/>
      <c r="M32" s="50"/>
      <c r="N32" s="50"/>
      <c r="O32" s="9"/>
      <c r="P32" s="9"/>
      <c r="Q32" s="41"/>
      <c r="R32" s="9"/>
      <c r="S32" s="9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</row>
    <row r="33" spans="3:55" ht="18.75" customHeight="1">
      <c r="C33" s="27" t="s">
        <v>7</v>
      </c>
      <c r="D33" s="28">
        <f>SUM(D34:D42)</f>
        <v>2641.9359739999995</v>
      </c>
      <c r="E33" s="28">
        <f t="shared" ref="E33:I33" si="8">SUM(E34:E42)</f>
        <v>4821.5370370000001</v>
      </c>
      <c r="F33" s="28">
        <f t="shared" si="8"/>
        <v>2751.1752449999994</v>
      </c>
      <c r="G33" s="28">
        <f t="shared" si="8"/>
        <v>3696.6012339999997</v>
      </c>
      <c r="H33" s="28">
        <f t="shared" si="8"/>
        <v>4667.8215129999999</v>
      </c>
      <c r="I33" s="28">
        <f t="shared" si="8"/>
        <v>9323.6952720000008</v>
      </c>
      <c r="J33" s="38">
        <f>SUM(J34:J42)</f>
        <v>9449.9013719999984</v>
      </c>
      <c r="K33" s="38">
        <f>SUM(K34:K42)</f>
        <v>10341.983655000002</v>
      </c>
      <c r="L33" s="57">
        <f>SUM(L34:L42)</f>
        <v>7247.3510299999998</v>
      </c>
      <c r="M33" s="38">
        <f>SUM(M34:M42)</f>
        <v>6809.0282380000008</v>
      </c>
      <c r="N33" s="38">
        <f>SUM(N34:N42)</f>
        <v>6200.4805049999995</v>
      </c>
      <c r="O33" s="11"/>
      <c r="P33" s="11"/>
      <c r="Q33" s="41"/>
      <c r="R33" s="9"/>
      <c r="S33" s="9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spans="3:55" ht="18.75" customHeight="1">
      <c r="C34" s="31" t="s">
        <v>31</v>
      </c>
      <c r="D34" s="30">
        <v>390.26300500000002</v>
      </c>
      <c r="E34" s="30">
        <v>478.92076700000001</v>
      </c>
      <c r="F34" s="30">
        <v>321.23025799999999</v>
      </c>
      <c r="G34" s="30">
        <v>297.56059800000003</v>
      </c>
      <c r="H34" s="30">
        <v>360.81907699999999</v>
      </c>
      <c r="I34" s="30">
        <v>580.96813199999997</v>
      </c>
      <c r="J34" s="51">
        <v>230.26608899999999</v>
      </c>
      <c r="K34" s="51">
        <v>173.757508</v>
      </c>
      <c r="L34" s="59">
        <v>387.476314</v>
      </c>
      <c r="M34" s="51">
        <v>335.51907299999999</v>
      </c>
      <c r="N34" s="51">
        <v>292.789108</v>
      </c>
      <c r="O34" s="9"/>
      <c r="P34" s="9"/>
      <c r="Q34" s="41"/>
      <c r="R34" s="9"/>
      <c r="S34" s="9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  <row r="35" spans="3:55" ht="18.75" customHeight="1">
      <c r="C35" s="31" t="s">
        <v>32</v>
      </c>
      <c r="D35" s="30">
        <v>42.664113</v>
      </c>
      <c r="E35" s="30">
        <v>59.002504999999999</v>
      </c>
      <c r="F35" s="30">
        <v>61.818724000000003</v>
      </c>
      <c r="G35" s="30">
        <v>67.546983999999995</v>
      </c>
      <c r="H35" s="30">
        <v>75.312235999999999</v>
      </c>
      <c r="I35" s="30">
        <v>175.37433100000001</v>
      </c>
      <c r="J35" s="51">
        <v>561.98022100000003</v>
      </c>
      <c r="K35" s="51">
        <v>606.54210499999999</v>
      </c>
      <c r="L35" s="59">
        <v>501.11015200000003</v>
      </c>
      <c r="M35" s="51">
        <v>776.71430399999997</v>
      </c>
      <c r="N35" s="51">
        <v>811.30295899999999</v>
      </c>
      <c r="O35" s="9"/>
      <c r="P35" s="9"/>
      <c r="Q35" s="41"/>
      <c r="R35" s="9"/>
      <c r="S35" s="9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</row>
    <row r="36" spans="3:55" ht="18.75" customHeight="1">
      <c r="C36" s="31" t="s">
        <v>33</v>
      </c>
      <c r="D36" s="30">
        <v>19.898406999999999</v>
      </c>
      <c r="E36" s="30">
        <v>13.499948</v>
      </c>
      <c r="F36" s="30">
        <v>12.482464</v>
      </c>
      <c r="G36" s="30">
        <v>688.57049800000004</v>
      </c>
      <c r="H36" s="30">
        <v>1273.7126270000001</v>
      </c>
      <c r="I36" s="30">
        <v>3364.8917150000002</v>
      </c>
      <c r="J36" s="51">
        <v>3120.9434209999999</v>
      </c>
      <c r="K36" s="51">
        <v>2972.5635040000002</v>
      </c>
      <c r="L36" s="59">
        <v>1554.198245</v>
      </c>
      <c r="M36" s="51">
        <v>1049.96029</v>
      </c>
      <c r="N36" s="51">
        <v>857.49501099999998</v>
      </c>
      <c r="O36" s="9"/>
      <c r="P36" s="9"/>
      <c r="Q36" s="41"/>
      <c r="R36" s="9"/>
      <c r="S36" s="9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</row>
    <row r="37" spans="3:55" ht="18.75" customHeight="1">
      <c r="C37" s="31" t="s">
        <v>34</v>
      </c>
      <c r="D37" s="30">
        <v>82.565000999999995</v>
      </c>
      <c r="E37" s="30">
        <v>51.005037999999999</v>
      </c>
      <c r="F37" s="30">
        <v>9.7262799999999991</v>
      </c>
      <c r="G37" s="30">
        <v>23.985844</v>
      </c>
      <c r="H37" s="30">
        <v>15.798958000000001</v>
      </c>
      <c r="I37" s="30">
        <v>36.929412999999997</v>
      </c>
      <c r="J37" s="51">
        <v>24.740694000000001</v>
      </c>
      <c r="K37" s="51">
        <v>16.369616000000001</v>
      </c>
      <c r="L37" s="59">
        <v>22.353325999999999</v>
      </c>
      <c r="M37" s="51">
        <v>22.370380999999998</v>
      </c>
      <c r="N37" s="51">
        <v>22.387975999999998</v>
      </c>
      <c r="O37" s="9"/>
      <c r="P37" s="9"/>
      <c r="Q37" s="41"/>
      <c r="R37" s="9"/>
      <c r="S37" s="9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</row>
    <row r="38" spans="3:55" ht="18.75" customHeight="1">
      <c r="C38" s="31" t="s">
        <v>35</v>
      </c>
      <c r="D38" s="30">
        <v>1998.2884759999999</v>
      </c>
      <c r="E38" s="30">
        <v>4023.331443</v>
      </c>
      <c r="F38" s="30">
        <v>2045.5448019999999</v>
      </c>
      <c r="G38" s="30">
        <v>1989.1783330000001</v>
      </c>
      <c r="H38" s="30">
        <v>2380.9065220000002</v>
      </c>
      <c r="I38" s="30">
        <v>4496.5173649999997</v>
      </c>
      <c r="J38" s="51">
        <v>4928.3755620000002</v>
      </c>
      <c r="K38" s="51">
        <v>5752.5470320000004</v>
      </c>
      <c r="L38" s="59">
        <v>4301.6427839999997</v>
      </c>
      <c r="M38" s="51">
        <v>4156.6284340000002</v>
      </c>
      <c r="N38" s="51">
        <v>3587.371596</v>
      </c>
      <c r="O38" s="9"/>
      <c r="P38" s="9"/>
      <c r="Q38" s="41"/>
      <c r="R38" s="9"/>
      <c r="S38" s="9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3:55" ht="18.75" customHeight="1">
      <c r="C39" s="31" t="s">
        <v>36</v>
      </c>
      <c r="D39" s="30">
        <v>63.214917</v>
      </c>
      <c r="E39" s="30">
        <v>90.634518</v>
      </c>
      <c r="F39" s="30">
        <v>82.185231999999999</v>
      </c>
      <c r="G39" s="30">
        <v>49.145603999999999</v>
      </c>
      <c r="H39" s="30">
        <v>80.331046999999998</v>
      </c>
      <c r="I39" s="30">
        <v>91.446803000000003</v>
      </c>
      <c r="J39" s="51">
        <v>84.743831999999998</v>
      </c>
      <c r="K39" s="51">
        <v>12.234022</v>
      </c>
      <c r="L39" s="59">
        <v>12.381949000000001</v>
      </c>
      <c r="M39" s="51">
        <v>12.389419</v>
      </c>
      <c r="N39" s="51">
        <v>12.397164</v>
      </c>
      <c r="O39" s="9"/>
      <c r="P39" s="9"/>
      <c r="Q39" s="41"/>
      <c r="R39" s="9"/>
      <c r="S39" s="9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0" spans="3:55" ht="18.75" customHeight="1">
      <c r="C40" s="31" t="s">
        <v>37</v>
      </c>
      <c r="D40" s="30">
        <v>0</v>
      </c>
      <c r="E40" s="30">
        <v>0</v>
      </c>
      <c r="F40" s="30">
        <v>0</v>
      </c>
      <c r="G40" s="30">
        <v>428.45365800000002</v>
      </c>
      <c r="H40" s="30">
        <v>336.88745499999999</v>
      </c>
      <c r="I40" s="30">
        <v>506.22125899999998</v>
      </c>
      <c r="J40" s="51">
        <v>464.98913900000002</v>
      </c>
      <c r="K40" s="51">
        <v>652.92538400000001</v>
      </c>
      <c r="L40" s="59">
        <v>278.51807200000002</v>
      </c>
      <c r="M40" s="51">
        <v>195.555072</v>
      </c>
      <c r="N40" s="51">
        <v>187.876668</v>
      </c>
      <c r="O40" s="9"/>
      <c r="P40" s="9"/>
      <c r="Q40" s="41"/>
      <c r="R40" s="9"/>
      <c r="S40" s="9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</row>
    <row r="41" spans="3:55" ht="18.75" customHeight="1">
      <c r="C41" s="31" t="s">
        <v>38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51">
        <v>0</v>
      </c>
      <c r="K41" s="51">
        <v>0</v>
      </c>
      <c r="L41" s="59">
        <v>0</v>
      </c>
      <c r="M41" s="51">
        <v>0</v>
      </c>
      <c r="N41" s="51">
        <v>0</v>
      </c>
      <c r="O41" s="9"/>
      <c r="P41" s="9"/>
      <c r="Q41" s="41"/>
      <c r="R41" s="9"/>
      <c r="S41" s="9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</row>
    <row r="42" spans="3:55" ht="18.75" customHeight="1">
      <c r="C42" s="31" t="s">
        <v>39</v>
      </c>
      <c r="D42" s="30">
        <v>45.042054999999998</v>
      </c>
      <c r="E42" s="30">
        <v>105.14281800000001</v>
      </c>
      <c r="F42" s="30">
        <v>218.18748500000001</v>
      </c>
      <c r="G42" s="30">
        <v>152.15971500000001</v>
      </c>
      <c r="H42" s="30">
        <v>144.05359100000001</v>
      </c>
      <c r="I42" s="30">
        <v>71.346254000000002</v>
      </c>
      <c r="J42" s="51">
        <v>33.862414000000001</v>
      </c>
      <c r="K42" s="51">
        <v>155.04448400000001</v>
      </c>
      <c r="L42" s="59">
        <v>189.670188</v>
      </c>
      <c r="M42" s="51">
        <v>259.89126499999998</v>
      </c>
      <c r="N42" s="51">
        <v>428.86002300000001</v>
      </c>
      <c r="O42" s="9"/>
      <c r="P42" s="9"/>
      <c r="Q42" s="41"/>
      <c r="R42" s="9"/>
      <c r="S42" s="9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</row>
    <row r="43" spans="3:55" ht="18.75" customHeight="1">
      <c r="C43" s="31"/>
      <c r="D43" s="30"/>
      <c r="E43" s="30"/>
      <c r="F43" s="30"/>
      <c r="G43" s="30"/>
      <c r="H43" s="30"/>
      <c r="I43" s="30"/>
      <c r="J43" s="50"/>
      <c r="K43" s="50"/>
      <c r="L43" s="58"/>
      <c r="M43" s="50"/>
      <c r="N43" s="50"/>
      <c r="O43" s="9"/>
      <c r="P43" s="9"/>
      <c r="Q43" s="41"/>
      <c r="R43" s="9"/>
      <c r="S43" s="9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</row>
    <row r="44" spans="3:55" ht="18.75" customHeight="1">
      <c r="C44" s="27" t="s">
        <v>8</v>
      </c>
      <c r="D44" s="28">
        <f>SUM(D45:D50)</f>
        <v>981.87495199999989</v>
      </c>
      <c r="E44" s="28">
        <f t="shared" ref="E44:M44" si="9">SUM(E45:E50)</f>
        <v>1186.1350220000002</v>
      </c>
      <c r="F44" s="28">
        <f t="shared" si="9"/>
        <v>826.75561999999991</v>
      </c>
      <c r="G44" s="28">
        <f t="shared" si="9"/>
        <v>504.37113299999999</v>
      </c>
      <c r="H44" s="28">
        <f t="shared" si="9"/>
        <v>1511.5808030000001</v>
      </c>
      <c r="I44" s="28">
        <f t="shared" si="9"/>
        <v>2100.976701</v>
      </c>
      <c r="J44" s="38">
        <f t="shared" si="9"/>
        <v>2216.2078509999997</v>
      </c>
      <c r="K44" s="38">
        <f t="shared" si="9"/>
        <v>1891.3871470000001</v>
      </c>
      <c r="L44" s="57">
        <f t="shared" si="9"/>
        <v>2278.3142710000002</v>
      </c>
      <c r="M44" s="38">
        <f t="shared" si="9"/>
        <v>1755.0717859999997</v>
      </c>
      <c r="N44" s="38">
        <f t="shared" ref="N44" si="10">SUM(N45:N50)</f>
        <v>1226.0435970000001</v>
      </c>
      <c r="O44" s="11"/>
      <c r="P44" s="11"/>
      <c r="Q44" s="41"/>
      <c r="R44" s="9"/>
      <c r="S44" s="9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</row>
    <row r="45" spans="3:55" ht="18.75" customHeight="1">
      <c r="C45" s="31" t="s">
        <v>40</v>
      </c>
      <c r="D45" s="30">
        <v>444.95075900000001</v>
      </c>
      <c r="E45" s="30">
        <v>773.35535200000004</v>
      </c>
      <c r="F45" s="30">
        <v>530.11599699999999</v>
      </c>
      <c r="G45" s="30">
        <v>290.44672300000002</v>
      </c>
      <c r="H45" s="30">
        <v>1182.1735920000001</v>
      </c>
      <c r="I45" s="30">
        <v>1546.7129950000001</v>
      </c>
      <c r="J45" s="51">
        <v>1647.5101589999999</v>
      </c>
      <c r="K45" s="51">
        <v>1238.735103</v>
      </c>
      <c r="L45" s="59">
        <v>1819.813999</v>
      </c>
      <c r="M45" s="51">
        <v>1377.2373889999999</v>
      </c>
      <c r="N45" s="51">
        <v>978.79488600000002</v>
      </c>
      <c r="O45" s="9"/>
      <c r="P45" s="9"/>
      <c r="Q45" s="41"/>
      <c r="R45" s="9"/>
      <c r="S45" s="9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</row>
    <row r="46" spans="3:55" ht="18.75" customHeight="1">
      <c r="C46" s="31" t="s">
        <v>41</v>
      </c>
      <c r="D46" s="30">
        <v>309.03109599999999</v>
      </c>
      <c r="E46" s="30">
        <v>193.26579599999999</v>
      </c>
      <c r="F46" s="30">
        <v>194.691575</v>
      </c>
      <c r="G46" s="30">
        <v>113.43531400000001</v>
      </c>
      <c r="H46" s="30">
        <v>111.816625</v>
      </c>
      <c r="I46" s="30">
        <v>76.505172000000002</v>
      </c>
      <c r="J46" s="51">
        <v>235.94064700000001</v>
      </c>
      <c r="K46" s="51">
        <v>189.64834300000001</v>
      </c>
      <c r="L46" s="59">
        <v>127.81089900000001</v>
      </c>
      <c r="M46" s="51">
        <v>14.482338</v>
      </c>
      <c r="N46" s="51">
        <v>8.6551559999999998</v>
      </c>
      <c r="O46" s="9"/>
      <c r="P46" s="9"/>
      <c r="Q46" s="41"/>
      <c r="R46" s="9"/>
      <c r="S46" s="9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</row>
    <row r="47" spans="3:55" ht="18.75" customHeight="1">
      <c r="C47" s="31" t="s">
        <v>42</v>
      </c>
      <c r="D47" s="30">
        <v>27.504299</v>
      </c>
      <c r="E47" s="30">
        <v>37.136892000000003</v>
      </c>
      <c r="F47" s="30">
        <v>3.9660959999999998</v>
      </c>
      <c r="G47" s="30">
        <v>7.9152399999999998</v>
      </c>
      <c r="H47" s="30">
        <v>8.8272379999999995</v>
      </c>
      <c r="I47" s="30">
        <v>47.805432000000003</v>
      </c>
      <c r="J47" s="51">
        <v>33.616627000000001</v>
      </c>
      <c r="K47" s="51">
        <v>37.471120999999997</v>
      </c>
      <c r="L47" s="59">
        <v>41.003247999999999</v>
      </c>
      <c r="M47" s="51">
        <v>41.703515000000003</v>
      </c>
      <c r="N47" s="51">
        <v>41.794680999999997</v>
      </c>
      <c r="O47" s="9"/>
      <c r="P47" s="9"/>
      <c r="Q47" s="41"/>
      <c r="R47" s="9"/>
      <c r="S47" s="9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</row>
    <row r="48" spans="3:55" ht="18.75" customHeight="1">
      <c r="C48" s="31" t="s">
        <v>43</v>
      </c>
      <c r="D48" s="30">
        <v>138.64036899999999</v>
      </c>
      <c r="E48" s="30">
        <v>86.745419999999996</v>
      </c>
      <c r="F48" s="30">
        <v>13.153468</v>
      </c>
      <c r="G48" s="30">
        <v>14.093896000000001</v>
      </c>
      <c r="H48" s="30">
        <v>55.589787999999999</v>
      </c>
      <c r="I48" s="30">
        <v>374.32469900000001</v>
      </c>
      <c r="J48" s="51">
        <v>254.83351500000001</v>
      </c>
      <c r="K48" s="51">
        <v>371.357617</v>
      </c>
      <c r="L48" s="59">
        <v>245.905036</v>
      </c>
      <c r="M48" s="51">
        <v>278.90350899999999</v>
      </c>
      <c r="N48" s="51">
        <v>153.401501</v>
      </c>
      <c r="O48" s="9"/>
      <c r="P48" s="9"/>
      <c r="Q48" s="41"/>
      <c r="R48" s="9"/>
      <c r="S48" s="9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</row>
    <row r="49" spans="3:55" ht="18.75" customHeight="1">
      <c r="C49" s="31" t="s">
        <v>44</v>
      </c>
      <c r="D49" s="30">
        <v>0</v>
      </c>
      <c r="E49" s="30">
        <v>0</v>
      </c>
      <c r="F49" s="30">
        <v>0</v>
      </c>
      <c r="G49" s="30">
        <v>3.1108980000000002</v>
      </c>
      <c r="H49" s="30">
        <v>0</v>
      </c>
      <c r="I49" s="30">
        <v>6.713508</v>
      </c>
      <c r="J49" s="51">
        <v>5.8648389999999999</v>
      </c>
      <c r="K49" s="51">
        <v>8.4574719999999992</v>
      </c>
      <c r="L49" s="59">
        <v>7.6598090000000001</v>
      </c>
      <c r="M49" s="51">
        <v>8.2423289999999998</v>
      </c>
      <c r="N49" s="51">
        <v>8.5952330000000003</v>
      </c>
      <c r="O49" s="9"/>
      <c r="P49" s="9"/>
      <c r="Q49" s="41"/>
      <c r="R49" s="9"/>
      <c r="S49" s="9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</row>
    <row r="50" spans="3:55" ht="18.75" customHeight="1">
      <c r="C50" s="31" t="s">
        <v>45</v>
      </c>
      <c r="D50" s="30">
        <v>61.748429000000002</v>
      </c>
      <c r="E50" s="30">
        <v>95.631562000000002</v>
      </c>
      <c r="F50" s="30">
        <v>84.828484000000003</v>
      </c>
      <c r="G50" s="30">
        <v>75.369062</v>
      </c>
      <c r="H50" s="30">
        <v>153.17356000000001</v>
      </c>
      <c r="I50" s="30">
        <v>48.914895000000001</v>
      </c>
      <c r="J50" s="51">
        <v>38.442064000000002</v>
      </c>
      <c r="K50" s="51">
        <v>45.717491000000003</v>
      </c>
      <c r="L50" s="59">
        <v>36.121279999999999</v>
      </c>
      <c r="M50" s="51">
        <v>34.502706000000003</v>
      </c>
      <c r="N50" s="51">
        <v>34.802140000000001</v>
      </c>
      <c r="O50" s="9"/>
      <c r="P50" s="9"/>
      <c r="Q50" s="41"/>
      <c r="R50" s="9"/>
      <c r="S50" s="9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</row>
    <row r="51" spans="3:55" ht="18.75" customHeight="1">
      <c r="C51" s="31"/>
      <c r="D51" s="30"/>
      <c r="E51" s="30"/>
      <c r="F51" s="30"/>
      <c r="G51" s="30"/>
      <c r="H51" s="30"/>
      <c r="I51" s="30"/>
      <c r="J51" s="50"/>
      <c r="K51" s="50"/>
      <c r="L51" s="58"/>
      <c r="M51" s="50"/>
      <c r="N51" s="50"/>
      <c r="O51" s="9"/>
      <c r="P51" s="9"/>
      <c r="Q51" s="41"/>
      <c r="R51" s="9"/>
      <c r="S51" s="9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</row>
    <row r="52" spans="3:55" ht="18.75" customHeight="1">
      <c r="C52" s="27" t="s">
        <v>9</v>
      </c>
      <c r="D52" s="28">
        <f>SUM(D53:D56)</f>
        <v>1693.662949</v>
      </c>
      <c r="E52" s="28">
        <f t="shared" ref="E52:M52" si="11">SUM(E53:E56)</f>
        <v>1354.194694</v>
      </c>
      <c r="F52" s="28">
        <f t="shared" si="11"/>
        <v>2626.9542820000001</v>
      </c>
      <c r="G52" s="28">
        <f t="shared" si="11"/>
        <v>2991.9280779999999</v>
      </c>
      <c r="H52" s="28">
        <f t="shared" si="11"/>
        <v>2718.5837820000002</v>
      </c>
      <c r="I52" s="28">
        <f t="shared" si="11"/>
        <v>4962.949533</v>
      </c>
      <c r="J52" s="38">
        <f t="shared" si="11"/>
        <v>3690.3469650000002</v>
      </c>
      <c r="K52" s="38">
        <f t="shared" si="11"/>
        <v>3258.2542629999998</v>
      </c>
      <c r="L52" s="57">
        <f t="shared" si="11"/>
        <v>3020.8740030000004</v>
      </c>
      <c r="M52" s="38">
        <f t="shared" si="11"/>
        <v>2923.9423649999999</v>
      </c>
      <c r="N52" s="38">
        <f t="shared" ref="N52" si="12">SUM(N53:N56)</f>
        <v>2335.4019739999999</v>
      </c>
      <c r="O52" s="11"/>
      <c r="P52" s="11"/>
      <c r="Q52" s="41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</row>
    <row r="53" spans="3:55" ht="18.75" customHeight="1">
      <c r="C53" s="31" t="s">
        <v>46</v>
      </c>
      <c r="D53" s="30">
        <v>453.28564399999999</v>
      </c>
      <c r="E53" s="30">
        <v>142.57951</v>
      </c>
      <c r="F53" s="30">
        <v>904.34193300000004</v>
      </c>
      <c r="G53" s="30">
        <v>1463.160654</v>
      </c>
      <c r="H53" s="30">
        <v>677.24094500000001</v>
      </c>
      <c r="I53" s="30">
        <v>3013.521424</v>
      </c>
      <c r="J53" s="51">
        <v>3403.1326730000001</v>
      </c>
      <c r="K53" s="51">
        <v>3015.8372549999999</v>
      </c>
      <c r="L53" s="59">
        <v>2713.2981110000001</v>
      </c>
      <c r="M53" s="51">
        <v>2641.496995</v>
      </c>
      <c r="N53" s="51">
        <v>2072.7957700000002</v>
      </c>
      <c r="O53" s="9"/>
      <c r="P53" s="9"/>
      <c r="Q53" s="41"/>
      <c r="R53" s="9"/>
      <c r="S53" s="9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</row>
    <row r="54" spans="3:55" ht="18.75" customHeight="1">
      <c r="C54" s="31" t="s">
        <v>47</v>
      </c>
      <c r="D54" s="30">
        <v>1097.475606</v>
      </c>
      <c r="E54" s="30">
        <v>1107.7880990000001</v>
      </c>
      <c r="F54" s="30">
        <v>1619.272301</v>
      </c>
      <c r="G54" s="30">
        <v>1468.498169</v>
      </c>
      <c r="H54" s="30">
        <v>1917.926982</v>
      </c>
      <c r="I54" s="30">
        <v>1693.1059339999999</v>
      </c>
      <c r="J54" s="51">
        <v>93.963471999999996</v>
      </c>
      <c r="K54" s="51">
        <v>98.720776000000001</v>
      </c>
      <c r="L54" s="59">
        <v>114.66396899999999</v>
      </c>
      <c r="M54" s="51">
        <v>258.11057699999998</v>
      </c>
      <c r="N54" s="51">
        <v>258.00620400000003</v>
      </c>
      <c r="O54" s="9"/>
      <c r="P54" s="9"/>
      <c r="Q54" s="41"/>
      <c r="R54" s="11"/>
      <c r="S54" s="11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</row>
    <row r="55" spans="3:55" ht="18.75" customHeight="1">
      <c r="C55" s="31" t="s">
        <v>48</v>
      </c>
      <c r="D55" s="30">
        <v>142.90169900000001</v>
      </c>
      <c r="E55" s="30">
        <v>103.827085</v>
      </c>
      <c r="F55" s="30">
        <v>103.340048</v>
      </c>
      <c r="G55" s="30">
        <v>60.269255000000001</v>
      </c>
      <c r="H55" s="30">
        <v>116.560653</v>
      </c>
      <c r="I55" s="30">
        <v>256.32217500000002</v>
      </c>
      <c r="J55" s="51">
        <v>193.25082</v>
      </c>
      <c r="K55" s="51">
        <v>143.62123199999999</v>
      </c>
      <c r="L55" s="59">
        <v>192.911923</v>
      </c>
      <c r="M55" s="51">
        <v>24.334793000000001</v>
      </c>
      <c r="N55" s="51">
        <v>4.5999999999999996</v>
      </c>
      <c r="O55" s="9"/>
      <c r="P55" s="9"/>
      <c r="Q55" s="41"/>
      <c r="R55" s="9"/>
      <c r="S55" s="9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</row>
    <row r="56" spans="3:55" ht="18.75" customHeight="1">
      <c r="C56" s="31" t="s">
        <v>49</v>
      </c>
      <c r="D56" s="30">
        <v>0</v>
      </c>
      <c r="E56" s="30">
        <v>0</v>
      </c>
      <c r="F56" s="30">
        <v>0</v>
      </c>
      <c r="G56" s="30">
        <v>0</v>
      </c>
      <c r="H56" s="30">
        <v>6.8552020000000002</v>
      </c>
      <c r="I56" s="30">
        <v>0</v>
      </c>
      <c r="J56" s="51">
        <v>0</v>
      </c>
      <c r="K56" s="51">
        <v>7.4999999999999997E-2</v>
      </c>
      <c r="L56" s="59">
        <v>0</v>
      </c>
      <c r="M56" s="51">
        <v>0</v>
      </c>
      <c r="N56" s="51">
        <v>0</v>
      </c>
      <c r="O56" s="9"/>
      <c r="P56" s="9"/>
      <c r="Q56" s="41"/>
      <c r="R56" s="9"/>
      <c r="S56" s="9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</row>
    <row r="57" spans="3:55" ht="18.75" customHeight="1">
      <c r="C57" s="31"/>
      <c r="D57" s="30"/>
      <c r="E57" s="30"/>
      <c r="F57" s="30"/>
      <c r="G57" s="30"/>
      <c r="H57" s="30"/>
      <c r="I57" s="30"/>
      <c r="J57" s="50"/>
      <c r="K57" s="50"/>
      <c r="L57" s="58"/>
      <c r="M57" s="50"/>
      <c r="N57" s="50"/>
      <c r="O57" s="9"/>
      <c r="P57" s="9"/>
      <c r="Q57" s="41"/>
      <c r="R57" s="9"/>
      <c r="S57" s="9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</row>
    <row r="58" spans="3:55" ht="18.75" customHeight="1">
      <c r="C58" s="27" t="s">
        <v>10</v>
      </c>
      <c r="D58" s="28">
        <f>SUM(D59:D64)</f>
        <v>3750.4032439999996</v>
      </c>
      <c r="E58" s="28">
        <f t="shared" ref="E58:M58" si="13">SUM(E59:E64)</f>
        <v>3408.0512389999994</v>
      </c>
      <c r="F58" s="28">
        <f t="shared" si="13"/>
        <v>3372.266901</v>
      </c>
      <c r="G58" s="28">
        <f t="shared" si="13"/>
        <v>4305.3634599999996</v>
      </c>
      <c r="H58" s="28">
        <f t="shared" si="13"/>
        <v>4752.2948119999992</v>
      </c>
      <c r="I58" s="28">
        <f t="shared" si="13"/>
        <v>6236.4776389999997</v>
      </c>
      <c r="J58" s="38">
        <f t="shared" si="13"/>
        <v>7478.7945069999996</v>
      </c>
      <c r="K58" s="38">
        <f t="shared" si="13"/>
        <v>7614.5212750000001</v>
      </c>
      <c r="L58" s="57">
        <f t="shared" si="13"/>
        <v>8251.0904410000003</v>
      </c>
      <c r="M58" s="38">
        <f t="shared" si="13"/>
        <v>9226.4957069999982</v>
      </c>
      <c r="N58" s="38">
        <f t="shared" ref="N58" si="14">SUM(N59:N64)</f>
        <v>9344.4895740000011</v>
      </c>
      <c r="O58" s="11"/>
      <c r="P58" s="11"/>
      <c r="Q58" s="41"/>
      <c r="R58" s="9"/>
      <c r="S58" s="9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</row>
    <row r="59" spans="3:55" ht="18.75" customHeight="1">
      <c r="C59" s="31" t="s">
        <v>50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2100.255361</v>
      </c>
      <c r="J59" s="51">
        <v>2728.067466</v>
      </c>
      <c r="K59" s="51">
        <v>2959.6096689999999</v>
      </c>
      <c r="L59" s="59">
        <v>1099.5356730000001</v>
      </c>
      <c r="M59" s="51">
        <v>1013.801255</v>
      </c>
      <c r="N59" s="51">
        <v>908.53998000000001</v>
      </c>
      <c r="O59" s="9"/>
      <c r="P59" s="9"/>
      <c r="Q59" s="41"/>
      <c r="R59" s="9"/>
      <c r="S59" s="9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</row>
    <row r="60" spans="3:55" ht="18.75" customHeight="1">
      <c r="C60" s="31" t="s">
        <v>51</v>
      </c>
      <c r="D60" s="30">
        <v>0.483539</v>
      </c>
      <c r="E60" s="30">
        <v>1.6688860000000001</v>
      </c>
      <c r="F60" s="30">
        <v>3.9129369999999999</v>
      </c>
      <c r="G60" s="30">
        <v>13.159383999999999</v>
      </c>
      <c r="H60" s="30">
        <v>7.1334070000000001</v>
      </c>
      <c r="I60" s="30">
        <v>329.55416600000001</v>
      </c>
      <c r="J60" s="51">
        <v>892.70176900000001</v>
      </c>
      <c r="K60" s="51">
        <v>929.77519099999995</v>
      </c>
      <c r="L60" s="59">
        <v>1831.821862</v>
      </c>
      <c r="M60" s="51">
        <v>1820.7242839999999</v>
      </c>
      <c r="N60" s="51">
        <v>1861.194242</v>
      </c>
      <c r="O60" s="9"/>
      <c r="P60" s="9"/>
      <c r="Q60" s="41"/>
      <c r="R60" s="9"/>
      <c r="S60" s="9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</row>
    <row r="61" spans="3:55" ht="18.75" customHeight="1">
      <c r="C61" s="31" t="s">
        <v>52</v>
      </c>
      <c r="D61" s="30">
        <v>3464.1359750000001</v>
      </c>
      <c r="E61" s="30">
        <v>3095.0308009999999</v>
      </c>
      <c r="F61" s="30">
        <v>2893.614564</v>
      </c>
      <c r="G61" s="30">
        <v>3005.2939040000001</v>
      </c>
      <c r="H61" s="30">
        <v>3558.618039</v>
      </c>
      <c r="I61" s="30">
        <v>2288.5060130000002</v>
      </c>
      <c r="J61" s="51">
        <v>3475.840381</v>
      </c>
      <c r="K61" s="51">
        <v>3483.1767439999999</v>
      </c>
      <c r="L61" s="59">
        <v>4911.6752390000001</v>
      </c>
      <c r="M61" s="51">
        <v>6001.5979319999997</v>
      </c>
      <c r="N61" s="51">
        <v>6180.8092130000005</v>
      </c>
      <c r="O61" s="9"/>
      <c r="P61" s="9"/>
      <c r="Q61" s="41"/>
      <c r="R61" s="9"/>
      <c r="S61" s="9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</row>
    <row r="62" spans="3:55" ht="18.75" customHeight="1">
      <c r="C62" s="31" t="s">
        <v>53</v>
      </c>
      <c r="D62" s="30">
        <v>275.86024900000001</v>
      </c>
      <c r="E62" s="30">
        <v>304.62205499999999</v>
      </c>
      <c r="F62" s="30">
        <v>467.57576499999999</v>
      </c>
      <c r="G62" s="30">
        <v>1286.249922</v>
      </c>
      <c r="H62" s="30">
        <v>1186.3312309999999</v>
      </c>
      <c r="I62" s="30">
        <v>335.49319000000003</v>
      </c>
      <c r="J62" s="51">
        <v>184.21494000000001</v>
      </c>
      <c r="K62" s="51">
        <v>118.162178</v>
      </c>
      <c r="L62" s="59">
        <v>219.35302799999999</v>
      </c>
      <c r="M62" s="51">
        <v>195.42165900000001</v>
      </c>
      <c r="N62" s="51">
        <v>183.04280299999999</v>
      </c>
      <c r="O62" s="9"/>
      <c r="P62" s="9"/>
      <c r="Q62" s="41"/>
      <c r="R62" s="9"/>
      <c r="S62" s="9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</row>
    <row r="63" spans="3:55" ht="18.75" customHeight="1">
      <c r="C63" s="31" t="s">
        <v>54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938.258149</v>
      </c>
      <c r="J63" s="51">
        <v>3.1663969999999999</v>
      </c>
      <c r="K63" s="51">
        <v>3.2883309999999999</v>
      </c>
      <c r="L63" s="59">
        <v>7.9745920000000003</v>
      </c>
      <c r="M63" s="51">
        <v>4.6513049999999998</v>
      </c>
      <c r="N63" s="51">
        <v>4.6592169999999999</v>
      </c>
      <c r="O63" s="9"/>
      <c r="P63" s="9"/>
      <c r="Q63" s="41"/>
      <c r="R63" s="9"/>
      <c r="S63" s="9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</row>
    <row r="64" spans="3:55" ht="18.75" customHeight="1">
      <c r="C64" s="31" t="s">
        <v>55</v>
      </c>
      <c r="D64" s="30">
        <v>9.9234810000000007</v>
      </c>
      <c r="E64" s="30">
        <v>6.7294970000000003</v>
      </c>
      <c r="F64" s="30">
        <v>7.1636350000000002</v>
      </c>
      <c r="G64" s="30">
        <v>0.66025</v>
      </c>
      <c r="H64" s="30">
        <v>0.21213499999999999</v>
      </c>
      <c r="I64" s="30">
        <v>244.41076000000001</v>
      </c>
      <c r="J64" s="51">
        <v>194.80355399999999</v>
      </c>
      <c r="K64" s="51">
        <v>120.509162</v>
      </c>
      <c r="L64" s="59">
        <v>180.73004700000001</v>
      </c>
      <c r="M64" s="51">
        <v>190.299272</v>
      </c>
      <c r="N64" s="51">
        <v>206.24411900000001</v>
      </c>
      <c r="O64" s="9"/>
      <c r="P64" s="9"/>
      <c r="Q64" s="41"/>
      <c r="R64" s="9"/>
      <c r="S64" s="9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</row>
    <row r="65" spans="3:55" ht="18.75" customHeight="1">
      <c r="C65" s="31"/>
      <c r="D65" s="30"/>
      <c r="E65" s="30"/>
      <c r="F65" s="30"/>
      <c r="G65" s="30"/>
      <c r="H65" s="30"/>
      <c r="I65" s="30"/>
      <c r="J65" s="50"/>
      <c r="K65" s="50"/>
      <c r="L65" s="58"/>
      <c r="M65" s="50"/>
      <c r="N65" s="50"/>
      <c r="O65" s="9"/>
      <c r="P65" s="9"/>
      <c r="Q65" s="41"/>
      <c r="R65" s="9"/>
      <c r="S65" s="9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</row>
    <row r="66" spans="3:55" ht="18.75" customHeight="1">
      <c r="C66" s="27" t="s">
        <v>11</v>
      </c>
      <c r="D66" s="28">
        <f>SUM(D67:D71)</f>
        <v>926.807231</v>
      </c>
      <c r="E66" s="28">
        <f t="shared" ref="E66:M66" si="15">SUM(E67:E71)</f>
        <v>882.02225999999996</v>
      </c>
      <c r="F66" s="28">
        <f t="shared" si="15"/>
        <v>742.13024599999994</v>
      </c>
      <c r="G66" s="28">
        <f t="shared" si="15"/>
        <v>598.852487</v>
      </c>
      <c r="H66" s="28">
        <f t="shared" si="15"/>
        <v>731.36501599999997</v>
      </c>
      <c r="I66" s="28">
        <f t="shared" si="15"/>
        <v>934.44211599999994</v>
      </c>
      <c r="J66" s="38">
        <f t="shared" si="15"/>
        <v>1223.1582640000001</v>
      </c>
      <c r="K66" s="38">
        <f t="shared" si="15"/>
        <v>1115.7067070000001</v>
      </c>
      <c r="L66" s="57">
        <f t="shared" si="15"/>
        <v>1186.104486</v>
      </c>
      <c r="M66" s="38">
        <f t="shared" si="15"/>
        <v>1680.0894469999998</v>
      </c>
      <c r="N66" s="38">
        <f t="shared" ref="N66" si="16">SUM(N67:N71)</f>
        <v>1535.3028119999999</v>
      </c>
      <c r="O66" s="11"/>
      <c r="P66" s="11"/>
      <c r="Q66" s="41"/>
      <c r="R66" s="9"/>
      <c r="S66" s="9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</row>
    <row r="67" spans="3:55" ht="18.75" customHeight="1">
      <c r="C67" s="31" t="s">
        <v>56</v>
      </c>
      <c r="D67" s="30">
        <v>350.15365600000001</v>
      </c>
      <c r="E67" s="30">
        <v>284.49100199999998</v>
      </c>
      <c r="F67" s="30">
        <v>309.84527700000001</v>
      </c>
      <c r="G67" s="30">
        <v>321.05280900000002</v>
      </c>
      <c r="H67" s="30">
        <v>409.16492299999999</v>
      </c>
      <c r="I67" s="30">
        <v>400.94305800000001</v>
      </c>
      <c r="J67" s="51">
        <v>589.53267900000003</v>
      </c>
      <c r="K67" s="51">
        <v>414.33660600000002</v>
      </c>
      <c r="L67" s="59">
        <v>392.28357199999999</v>
      </c>
      <c r="M67" s="51">
        <v>703.31196399999999</v>
      </c>
      <c r="N67" s="51">
        <v>557.77379900000005</v>
      </c>
      <c r="O67" s="9"/>
      <c r="P67" s="9"/>
      <c r="Q67" s="41"/>
      <c r="R67" s="9"/>
      <c r="S67" s="9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</row>
    <row r="68" spans="3:55" ht="18.75" customHeight="1">
      <c r="C68" s="31" t="s">
        <v>57</v>
      </c>
      <c r="D68" s="30">
        <v>18.181044</v>
      </c>
      <c r="E68" s="30">
        <v>21.267917000000001</v>
      </c>
      <c r="F68" s="30">
        <v>39.376033</v>
      </c>
      <c r="G68" s="30">
        <v>32.962566000000002</v>
      </c>
      <c r="H68" s="30">
        <v>37.804606999999997</v>
      </c>
      <c r="I68" s="30">
        <v>43.912421000000002</v>
      </c>
      <c r="J68" s="51">
        <v>75.089686</v>
      </c>
      <c r="K68" s="51">
        <v>73.453438000000006</v>
      </c>
      <c r="L68" s="59">
        <v>97.354656000000006</v>
      </c>
      <c r="M68" s="51">
        <v>184.24830700000001</v>
      </c>
      <c r="N68" s="51">
        <v>185.910752</v>
      </c>
      <c r="O68" s="9"/>
      <c r="P68" s="9"/>
      <c r="Q68" s="41"/>
      <c r="R68" s="11"/>
      <c r="S68" s="11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</row>
    <row r="69" spans="3:55" ht="18.75" customHeight="1">
      <c r="C69" s="31" t="s">
        <v>58</v>
      </c>
      <c r="D69" s="30">
        <v>1.8071E-2</v>
      </c>
      <c r="E69" s="30">
        <v>0</v>
      </c>
      <c r="F69" s="30">
        <v>0</v>
      </c>
      <c r="G69" s="30">
        <v>0</v>
      </c>
      <c r="H69" s="30">
        <v>0</v>
      </c>
      <c r="I69" s="30">
        <v>98.401137000000006</v>
      </c>
      <c r="J69" s="51">
        <v>95.808655000000002</v>
      </c>
      <c r="K69" s="51">
        <v>143.52812399999999</v>
      </c>
      <c r="L69" s="59">
        <v>132.2133</v>
      </c>
      <c r="M69" s="51">
        <v>137.34208599999999</v>
      </c>
      <c r="N69" s="51">
        <v>134.00278499999999</v>
      </c>
      <c r="O69" s="9"/>
      <c r="P69" s="9"/>
      <c r="Q69" s="41"/>
      <c r="R69" s="9"/>
      <c r="S69" s="9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</row>
    <row r="70" spans="3:55" ht="18.75" customHeight="1">
      <c r="C70" s="31" t="s">
        <v>59</v>
      </c>
      <c r="D70" s="30">
        <v>558.45446000000004</v>
      </c>
      <c r="E70" s="30">
        <v>576.26334099999997</v>
      </c>
      <c r="F70" s="30">
        <v>392.90893599999998</v>
      </c>
      <c r="G70" s="30">
        <v>244.83711199999999</v>
      </c>
      <c r="H70" s="30">
        <v>284.39548600000001</v>
      </c>
      <c r="I70" s="30">
        <v>335.89675899999997</v>
      </c>
      <c r="J70" s="51">
        <v>397.552932</v>
      </c>
      <c r="K70" s="51">
        <v>371.91997800000001</v>
      </c>
      <c r="L70" s="59">
        <v>447.574094</v>
      </c>
      <c r="M70" s="51">
        <v>544.16018099999997</v>
      </c>
      <c r="N70" s="51">
        <v>538.26368000000002</v>
      </c>
      <c r="O70" s="9"/>
      <c r="P70" s="9"/>
      <c r="Q70" s="41"/>
      <c r="R70" s="9"/>
      <c r="S70" s="9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</row>
    <row r="71" spans="3:55" ht="18.75" customHeight="1">
      <c r="C71" s="31" t="s">
        <v>60</v>
      </c>
      <c r="D71" s="30">
        <v>0</v>
      </c>
      <c r="E71" s="30">
        <v>0</v>
      </c>
      <c r="F71" s="30">
        <v>0</v>
      </c>
      <c r="G71" s="30">
        <v>0</v>
      </c>
      <c r="H71" s="30">
        <v>0</v>
      </c>
      <c r="I71" s="30">
        <v>55.288741000000002</v>
      </c>
      <c r="J71" s="51">
        <v>65.174312</v>
      </c>
      <c r="K71" s="51">
        <v>112.46856099999999</v>
      </c>
      <c r="L71" s="59">
        <v>116.678864</v>
      </c>
      <c r="M71" s="51">
        <v>111.026909</v>
      </c>
      <c r="N71" s="51">
        <v>119.35179599999999</v>
      </c>
      <c r="O71" s="9"/>
      <c r="P71" s="9"/>
      <c r="Q71" s="41"/>
      <c r="R71" s="9"/>
      <c r="S71" s="9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</row>
    <row r="72" spans="3:55" ht="18.75" customHeight="1">
      <c r="C72" s="31"/>
      <c r="D72" s="30"/>
      <c r="E72" s="30"/>
      <c r="F72" s="30"/>
      <c r="G72" s="30"/>
      <c r="H72" s="30"/>
      <c r="I72" s="30"/>
      <c r="J72" s="50"/>
      <c r="K72" s="50"/>
      <c r="L72" s="58"/>
      <c r="M72" s="50"/>
      <c r="N72" s="50"/>
      <c r="O72" s="9"/>
      <c r="P72" s="9"/>
      <c r="Q72" s="41"/>
      <c r="R72" s="9"/>
      <c r="S72" s="9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</row>
    <row r="73" spans="3:55" ht="18.75" customHeight="1">
      <c r="C73" s="27" t="s">
        <v>12</v>
      </c>
      <c r="D73" s="28">
        <f>SUM(D74:D81)</f>
        <v>2822.2328280000002</v>
      </c>
      <c r="E73" s="28">
        <f t="shared" ref="E73:M73" si="17">SUM(E74:E81)</f>
        <v>3203.048229</v>
      </c>
      <c r="F73" s="28">
        <f t="shared" si="17"/>
        <v>3632.2430530000001</v>
      </c>
      <c r="G73" s="28">
        <f t="shared" si="17"/>
        <v>3288.7698529999998</v>
      </c>
      <c r="H73" s="28">
        <f t="shared" si="17"/>
        <v>3726.738922</v>
      </c>
      <c r="I73" s="28">
        <f t="shared" si="17"/>
        <v>4437.2148290000005</v>
      </c>
      <c r="J73" s="38">
        <f t="shared" si="17"/>
        <v>4817.3654119999992</v>
      </c>
      <c r="K73" s="38">
        <f t="shared" si="17"/>
        <v>4810.5108950000003</v>
      </c>
      <c r="L73" s="57">
        <f t="shared" si="17"/>
        <v>5404.3095169999997</v>
      </c>
      <c r="M73" s="38">
        <f t="shared" si="17"/>
        <v>5483.4475779999993</v>
      </c>
      <c r="N73" s="38">
        <f t="shared" ref="N73" si="18">SUM(N74:N81)</f>
        <v>5214.0205689999993</v>
      </c>
      <c r="O73" s="11"/>
      <c r="P73" s="11"/>
      <c r="Q73" s="41"/>
      <c r="R73" s="9"/>
      <c r="S73" s="9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</row>
    <row r="74" spans="3:55" ht="18.75" customHeight="1">
      <c r="C74" s="31" t="s">
        <v>61</v>
      </c>
      <c r="D74" s="30">
        <v>4.7590180000000002</v>
      </c>
      <c r="E74" s="30">
        <v>2.8356979999999998</v>
      </c>
      <c r="F74" s="30">
        <v>0.17297699999999999</v>
      </c>
      <c r="G74" s="30">
        <v>0</v>
      </c>
      <c r="H74" s="30">
        <v>0</v>
      </c>
      <c r="I74" s="30">
        <v>0</v>
      </c>
      <c r="J74" s="51">
        <v>1286.6411149999999</v>
      </c>
      <c r="K74" s="51">
        <v>1289.27161</v>
      </c>
      <c r="L74" s="59">
        <v>1432.197645</v>
      </c>
      <c r="M74" s="51">
        <v>1432.2294199999999</v>
      </c>
      <c r="N74" s="51">
        <v>1432.2615619999999</v>
      </c>
      <c r="O74" s="9"/>
      <c r="P74" s="9"/>
      <c r="Q74" s="41"/>
      <c r="R74" s="9"/>
      <c r="S74" s="9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</row>
    <row r="75" spans="3:55" ht="18.75" customHeight="1">
      <c r="C75" s="31" t="s">
        <v>62</v>
      </c>
      <c r="D75" s="30">
        <v>272.86814399999997</v>
      </c>
      <c r="E75" s="30">
        <v>144.963616</v>
      </c>
      <c r="F75" s="30">
        <v>84.064688000000004</v>
      </c>
      <c r="G75" s="30">
        <v>99.581159999999997</v>
      </c>
      <c r="H75" s="30">
        <v>94.571845999999994</v>
      </c>
      <c r="I75" s="30">
        <v>116.117198</v>
      </c>
      <c r="J75" s="51">
        <v>964.30675799999995</v>
      </c>
      <c r="K75" s="51">
        <v>1055.9472060000001</v>
      </c>
      <c r="L75" s="59">
        <v>1110.251446</v>
      </c>
      <c r="M75" s="51">
        <v>1110.4280940000001</v>
      </c>
      <c r="N75" s="51">
        <v>1111.238102</v>
      </c>
      <c r="O75" s="9"/>
      <c r="P75" s="9"/>
      <c r="Q75" s="41"/>
      <c r="R75" s="9"/>
      <c r="S75" s="9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</row>
    <row r="76" spans="3:55" ht="18.75" customHeight="1">
      <c r="C76" s="31" t="s">
        <v>63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6.3036490000000001</v>
      </c>
      <c r="J76" s="51">
        <v>145.090765</v>
      </c>
      <c r="K76" s="51">
        <v>166.05773400000001</v>
      </c>
      <c r="L76" s="59">
        <v>164.22671600000001</v>
      </c>
      <c r="M76" s="51">
        <v>162.01306500000001</v>
      </c>
      <c r="N76" s="51">
        <v>161.85690600000001</v>
      </c>
      <c r="O76" s="9"/>
      <c r="P76" s="9"/>
      <c r="Q76" s="41"/>
      <c r="R76" s="9"/>
      <c r="S76" s="9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</row>
    <row r="77" spans="3:55" ht="18.75" customHeight="1">
      <c r="C77" s="31" t="s">
        <v>64</v>
      </c>
      <c r="D77" s="30">
        <v>348.93276600000002</v>
      </c>
      <c r="E77" s="30">
        <v>695.60666800000001</v>
      </c>
      <c r="F77" s="30">
        <v>752.392833</v>
      </c>
      <c r="G77" s="30">
        <v>686.93798700000002</v>
      </c>
      <c r="H77" s="30">
        <v>788.05201199999999</v>
      </c>
      <c r="I77" s="30">
        <v>822.05489599999999</v>
      </c>
      <c r="J77" s="51">
        <v>652.77379599999995</v>
      </c>
      <c r="K77" s="51">
        <v>735.92960300000004</v>
      </c>
      <c r="L77" s="59">
        <v>709.10917600000005</v>
      </c>
      <c r="M77" s="51">
        <v>871.90451399999995</v>
      </c>
      <c r="N77" s="51">
        <v>863.67000299999995</v>
      </c>
      <c r="O77" s="9"/>
      <c r="P77" s="9"/>
      <c r="Q77" s="41"/>
      <c r="R77" s="9"/>
      <c r="S77" s="9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</row>
    <row r="78" spans="3:55" ht="18.75" customHeight="1">
      <c r="C78" s="31" t="s">
        <v>65</v>
      </c>
      <c r="D78" s="30">
        <v>2.155389</v>
      </c>
      <c r="E78" s="30">
        <v>1.291455</v>
      </c>
      <c r="F78" s="30">
        <v>22.029094000000001</v>
      </c>
      <c r="G78" s="30">
        <v>29.637249000000001</v>
      </c>
      <c r="H78" s="30">
        <v>158.858734</v>
      </c>
      <c r="I78" s="30">
        <v>372.08384699999999</v>
      </c>
      <c r="J78" s="51">
        <v>556.52203499999996</v>
      </c>
      <c r="K78" s="51">
        <v>360.43566399999997</v>
      </c>
      <c r="L78" s="59">
        <v>518.79052200000001</v>
      </c>
      <c r="M78" s="51">
        <v>434.24001099999998</v>
      </c>
      <c r="N78" s="51">
        <v>302.13642399999998</v>
      </c>
      <c r="O78" s="9"/>
      <c r="P78" s="9"/>
      <c r="Q78" s="41"/>
      <c r="R78" s="9"/>
      <c r="S78" s="9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</row>
    <row r="79" spans="3:55" ht="18.75" customHeight="1">
      <c r="C79" s="31" t="s">
        <v>66</v>
      </c>
      <c r="D79" s="30">
        <v>33.392603999999999</v>
      </c>
      <c r="E79" s="30">
        <v>129.27908600000001</v>
      </c>
      <c r="F79" s="30">
        <v>45.24633</v>
      </c>
      <c r="G79" s="30">
        <v>18.821041000000001</v>
      </c>
      <c r="H79" s="30">
        <v>32.356834999999997</v>
      </c>
      <c r="I79" s="30">
        <v>53.681080999999999</v>
      </c>
      <c r="J79" s="51">
        <v>140.86454599999999</v>
      </c>
      <c r="K79" s="51">
        <v>58.424379000000002</v>
      </c>
      <c r="L79" s="59">
        <v>106.158027</v>
      </c>
      <c r="M79" s="51">
        <v>96.943572000000003</v>
      </c>
      <c r="N79" s="51">
        <v>66.873463999999998</v>
      </c>
      <c r="O79" s="9"/>
      <c r="P79" s="9"/>
      <c r="Q79" s="41"/>
      <c r="R79" s="9"/>
      <c r="S79" s="9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</row>
    <row r="80" spans="3:55" ht="18.75" customHeight="1">
      <c r="C80" s="31" t="s">
        <v>67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13.472144</v>
      </c>
      <c r="J80" s="51">
        <v>13.738227</v>
      </c>
      <c r="K80" s="51">
        <v>23.000592000000001</v>
      </c>
      <c r="L80" s="59">
        <v>20.024184000000002</v>
      </c>
      <c r="M80" s="51">
        <v>29.905011999999999</v>
      </c>
      <c r="N80" s="51">
        <v>19.296088999999998</v>
      </c>
      <c r="O80" s="9"/>
      <c r="P80" s="9"/>
      <c r="Q80" s="41"/>
      <c r="R80" s="9"/>
      <c r="S80" s="9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</row>
    <row r="81" spans="1:55" ht="18.75" customHeight="1">
      <c r="C81" s="31" t="s">
        <v>68</v>
      </c>
      <c r="D81" s="30">
        <v>2160.1249069999999</v>
      </c>
      <c r="E81" s="30">
        <v>2229.0717060000002</v>
      </c>
      <c r="F81" s="30">
        <v>2728.3371310000002</v>
      </c>
      <c r="G81" s="30">
        <v>2453.7924159999998</v>
      </c>
      <c r="H81" s="30">
        <v>2652.8994950000001</v>
      </c>
      <c r="I81" s="30">
        <v>3053.5020140000001</v>
      </c>
      <c r="J81" s="51">
        <v>1057.4281699999999</v>
      </c>
      <c r="K81" s="51">
        <v>1121.444107</v>
      </c>
      <c r="L81" s="59">
        <v>1343.5518010000001</v>
      </c>
      <c r="M81" s="51">
        <v>1345.7838899999999</v>
      </c>
      <c r="N81" s="51">
        <v>1256.6880189999999</v>
      </c>
      <c r="O81" s="9"/>
      <c r="P81" s="9"/>
      <c r="Q81" s="41"/>
      <c r="R81" s="9"/>
      <c r="S81" s="9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</row>
    <row r="82" spans="1:55" ht="18.75" customHeight="1">
      <c r="C82" s="31"/>
      <c r="D82" s="30"/>
      <c r="E82" s="30"/>
      <c r="F82" s="30"/>
      <c r="G82" s="30"/>
      <c r="H82" s="30"/>
      <c r="I82" s="30"/>
      <c r="J82" s="50"/>
      <c r="K82" s="50"/>
      <c r="L82" s="58"/>
      <c r="M82" s="50"/>
      <c r="N82" s="50"/>
      <c r="O82" s="9"/>
      <c r="P82" s="9"/>
      <c r="Q82" s="41"/>
      <c r="R82" s="9"/>
      <c r="S82" s="9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</row>
    <row r="83" spans="1:55" ht="18.75" customHeight="1">
      <c r="C83" s="27" t="s">
        <v>13</v>
      </c>
      <c r="D83" s="28">
        <f>SUM(D84:D91)</f>
        <v>2952.386587</v>
      </c>
      <c r="E83" s="28">
        <f t="shared" ref="E83:M83" si="19">SUM(E84:E91)</f>
        <v>4485.8992279999993</v>
      </c>
      <c r="F83" s="28">
        <f t="shared" si="19"/>
        <v>4480.2555769999999</v>
      </c>
      <c r="G83" s="28">
        <f t="shared" si="19"/>
        <v>3556.5553760000003</v>
      </c>
      <c r="H83" s="28">
        <f t="shared" si="19"/>
        <v>4038.9017449999997</v>
      </c>
      <c r="I83" s="39">
        <f t="shared" si="19"/>
        <v>2277.000501</v>
      </c>
      <c r="J83" s="38">
        <f t="shared" si="19"/>
        <v>2553.4146059999998</v>
      </c>
      <c r="K83" s="38">
        <f t="shared" si="19"/>
        <v>2832.5228469999997</v>
      </c>
      <c r="L83" s="57">
        <f t="shared" si="19"/>
        <v>3996.4731390000006</v>
      </c>
      <c r="M83" s="38">
        <f t="shared" si="19"/>
        <v>4450.7831990000004</v>
      </c>
      <c r="N83" s="38">
        <f t="shared" ref="N83" si="20">SUM(N84:N91)</f>
        <v>4614.9102380000004</v>
      </c>
      <c r="O83" s="11"/>
      <c r="P83" s="11"/>
      <c r="Q83" s="41"/>
      <c r="R83" s="9"/>
      <c r="S83" s="9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</row>
    <row r="84" spans="1:55" ht="18.75" customHeight="1">
      <c r="C84" s="31" t="s">
        <v>69</v>
      </c>
      <c r="D84" s="30">
        <v>1193.5024719999999</v>
      </c>
      <c r="E84" s="30">
        <v>1893.6130519999999</v>
      </c>
      <c r="F84" s="37">
        <v>1616.641539</v>
      </c>
      <c r="G84" s="37">
        <v>1551.7629420000001</v>
      </c>
      <c r="H84" s="37">
        <v>2004.660394</v>
      </c>
      <c r="I84" s="37">
        <v>289.42080700000002</v>
      </c>
      <c r="J84" s="51">
        <v>436.521298</v>
      </c>
      <c r="K84" s="51">
        <v>663.84119099999998</v>
      </c>
      <c r="L84" s="59">
        <v>1018.697587</v>
      </c>
      <c r="M84" s="51">
        <v>1104.5038930000001</v>
      </c>
      <c r="N84" s="51">
        <v>1201.5752560000001</v>
      </c>
      <c r="O84" s="9"/>
      <c r="P84" s="9"/>
      <c r="Q84" s="41"/>
      <c r="R84" s="11"/>
      <c r="S84" s="11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</row>
    <row r="85" spans="1:55" ht="18.75" customHeight="1">
      <c r="C85" s="31" t="s">
        <v>70</v>
      </c>
      <c r="D85" s="30">
        <v>1249.276779</v>
      </c>
      <c r="E85" s="30">
        <v>1280.2780339999999</v>
      </c>
      <c r="F85" s="37">
        <v>1301.3348040000001</v>
      </c>
      <c r="G85" s="37">
        <v>1332.7633109999999</v>
      </c>
      <c r="H85" s="37">
        <v>1413.399408</v>
      </c>
      <c r="I85" s="37">
        <v>1502.71919</v>
      </c>
      <c r="J85" s="51">
        <v>1597.104842</v>
      </c>
      <c r="K85" s="51">
        <v>1699.5765899999999</v>
      </c>
      <c r="L85" s="59">
        <v>1445.9898290000001</v>
      </c>
      <c r="M85" s="51">
        <v>1508.7312649999999</v>
      </c>
      <c r="N85" s="51">
        <v>1574.449693</v>
      </c>
      <c r="O85" s="9"/>
      <c r="P85" s="9"/>
      <c r="Q85" s="41"/>
      <c r="R85" s="9"/>
      <c r="S85" s="9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</row>
    <row r="86" spans="1:55" ht="18.75" customHeight="1">
      <c r="C86" s="31" t="s">
        <v>71</v>
      </c>
      <c r="D86" s="30">
        <v>57.6935</v>
      </c>
      <c r="E86" s="30">
        <v>53.843874999999997</v>
      </c>
      <c r="F86" s="37">
        <v>51.2395</v>
      </c>
      <c r="G86" s="37">
        <v>0</v>
      </c>
      <c r="H86" s="37">
        <v>65.081000000000003</v>
      </c>
      <c r="I86" s="37">
        <v>0</v>
      </c>
      <c r="J86" s="51">
        <v>0</v>
      </c>
      <c r="K86" s="51">
        <v>0</v>
      </c>
      <c r="L86" s="59">
        <v>0</v>
      </c>
      <c r="M86" s="51">
        <v>0</v>
      </c>
      <c r="N86" s="51">
        <v>0</v>
      </c>
      <c r="O86" s="9"/>
      <c r="P86" s="9"/>
      <c r="Q86" s="41"/>
      <c r="R86" s="9"/>
      <c r="S86" s="9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</row>
    <row r="87" spans="1:55" ht="18.75" customHeight="1">
      <c r="C87" s="31" t="s">
        <v>72</v>
      </c>
      <c r="D87" s="30">
        <v>83.626141000000004</v>
      </c>
      <c r="E87" s="30">
        <v>86.245324999999994</v>
      </c>
      <c r="F87" s="37">
        <v>108.120639</v>
      </c>
      <c r="G87" s="37">
        <v>168.36881199999999</v>
      </c>
      <c r="H87" s="37">
        <v>173.12403800000001</v>
      </c>
      <c r="I87" s="37">
        <v>267.890558</v>
      </c>
      <c r="J87" s="51">
        <v>290.04227400000002</v>
      </c>
      <c r="K87" s="51">
        <v>308.88926400000003</v>
      </c>
      <c r="L87" s="59">
        <v>1247.843642</v>
      </c>
      <c r="M87" s="51">
        <v>1555.6537410000001</v>
      </c>
      <c r="N87" s="51">
        <v>1556.217253</v>
      </c>
      <c r="O87" s="9"/>
      <c r="P87" s="9"/>
      <c r="Q87" s="41"/>
      <c r="R87" s="9"/>
      <c r="S87" s="9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</row>
    <row r="88" spans="1:55" ht="18.75" customHeight="1">
      <c r="C88" s="31" t="s">
        <v>73</v>
      </c>
      <c r="D88" s="30">
        <v>0</v>
      </c>
      <c r="E88" s="30">
        <v>0</v>
      </c>
      <c r="F88" s="37">
        <v>0</v>
      </c>
      <c r="G88" s="37">
        <v>136.685281</v>
      </c>
      <c r="H88" s="37">
        <v>256.07544000000001</v>
      </c>
      <c r="I88" s="37">
        <v>32.444997000000001</v>
      </c>
      <c r="J88" s="51">
        <v>68.131218000000004</v>
      </c>
      <c r="K88" s="51">
        <v>4.9099349999999999</v>
      </c>
      <c r="L88" s="59">
        <v>0</v>
      </c>
      <c r="M88" s="51">
        <v>0</v>
      </c>
      <c r="N88" s="51">
        <v>0</v>
      </c>
      <c r="O88" s="9"/>
      <c r="P88" s="9"/>
      <c r="Q88" s="41"/>
      <c r="R88" s="9"/>
      <c r="S88" s="9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</row>
    <row r="89" spans="1:55" ht="18.75" customHeight="1">
      <c r="C89" s="31" t="s">
        <v>74</v>
      </c>
      <c r="D89" s="37">
        <v>2.0923000000000001E-2</v>
      </c>
      <c r="E89" s="30">
        <v>1.2999999999999999E-2</v>
      </c>
      <c r="F89" s="39">
        <v>28.288045</v>
      </c>
      <c r="G89" s="39">
        <v>27.984555</v>
      </c>
      <c r="H89" s="39">
        <v>20.866302999999998</v>
      </c>
      <c r="I89" s="37">
        <v>129.37623600000001</v>
      </c>
      <c r="J89" s="51">
        <v>125.075568</v>
      </c>
      <c r="K89" s="51">
        <v>110.012109</v>
      </c>
      <c r="L89" s="59">
        <v>150.358307</v>
      </c>
      <c r="M89" s="51">
        <v>149.81320500000001</v>
      </c>
      <c r="N89" s="51">
        <v>147.22295299999999</v>
      </c>
      <c r="O89" s="9"/>
      <c r="P89" s="9"/>
      <c r="Q89" s="41"/>
      <c r="R89" s="9"/>
      <c r="S89" s="9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</row>
    <row r="90" spans="1:55" ht="18.75" customHeight="1">
      <c r="C90" s="31" t="s">
        <v>75</v>
      </c>
      <c r="D90" s="37">
        <v>0</v>
      </c>
      <c r="E90" s="30">
        <v>0</v>
      </c>
      <c r="F90" s="39">
        <v>0</v>
      </c>
      <c r="G90" s="39">
        <v>0</v>
      </c>
      <c r="H90" s="39">
        <v>0</v>
      </c>
      <c r="I90" s="37">
        <v>0</v>
      </c>
      <c r="J90" s="51">
        <v>0.78234700000000001</v>
      </c>
      <c r="K90" s="51">
        <v>0.98229699999999998</v>
      </c>
      <c r="L90" s="59">
        <v>1.643057</v>
      </c>
      <c r="M90" s="51">
        <v>1.771509</v>
      </c>
      <c r="N90" s="51">
        <v>1.8182560000000001</v>
      </c>
      <c r="O90" s="9"/>
      <c r="P90" s="9"/>
      <c r="Q90" s="41"/>
      <c r="R90" s="9"/>
      <c r="S90" s="9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</row>
    <row r="91" spans="1:55" ht="18.75" customHeight="1">
      <c r="C91" s="31" t="s">
        <v>76</v>
      </c>
      <c r="D91" s="37">
        <v>368.266772</v>
      </c>
      <c r="E91" s="30">
        <v>1171.9059420000001</v>
      </c>
      <c r="F91" s="37">
        <v>1374.63105</v>
      </c>
      <c r="G91" s="37">
        <v>338.990475</v>
      </c>
      <c r="H91" s="37">
        <v>105.695162</v>
      </c>
      <c r="I91" s="37">
        <v>55.148713000000001</v>
      </c>
      <c r="J91" s="51">
        <v>35.757058999999998</v>
      </c>
      <c r="K91" s="51">
        <v>44.311461000000001</v>
      </c>
      <c r="L91" s="69">
        <v>131.94071700000001</v>
      </c>
      <c r="M91" s="70">
        <v>130.309586</v>
      </c>
      <c r="N91" s="70">
        <v>133.62682699999999</v>
      </c>
      <c r="O91" s="9"/>
      <c r="P91" s="9"/>
      <c r="Q91" s="41"/>
      <c r="R91" s="9"/>
      <c r="S91" s="9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</row>
    <row r="92" spans="1:55" s="68" customFormat="1" ht="16.5" customHeight="1">
      <c r="A92" s="67"/>
      <c r="B92" s="67"/>
      <c r="C92" s="61" t="s">
        <v>81</v>
      </c>
      <c r="D92" s="61"/>
      <c r="E92" s="61"/>
      <c r="F92" s="61"/>
      <c r="G92" s="61"/>
      <c r="H92" s="61"/>
      <c r="I92" s="61"/>
      <c r="J92" s="61"/>
      <c r="K92" s="61"/>
      <c r="L92" s="66"/>
      <c r="M92" s="46"/>
      <c r="N92" s="46"/>
      <c r="O92" s="9"/>
      <c r="P92" s="9"/>
      <c r="Q92" s="9"/>
      <c r="R92" s="9"/>
      <c r="S92" s="9"/>
    </row>
    <row r="93" spans="1:55" ht="16.5" customHeight="1">
      <c r="C93" s="66" t="s">
        <v>82</v>
      </c>
      <c r="D93" s="66"/>
      <c r="E93" s="66"/>
      <c r="F93" s="66"/>
      <c r="G93" s="66"/>
      <c r="H93" s="66"/>
      <c r="I93" s="66"/>
      <c r="J93" s="66"/>
      <c r="K93" s="66"/>
      <c r="L93" s="66"/>
      <c r="M93" s="46"/>
      <c r="N93" s="46"/>
      <c r="O93" s="9"/>
      <c r="P93" s="9"/>
      <c r="Q93" s="9"/>
      <c r="R93" s="9"/>
      <c r="S93" s="9"/>
    </row>
    <row r="94" spans="1:55" ht="16.5" customHeight="1">
      <c r="C94" s="33" t="s">
        <v>80</v>
      </c>
      <c r="D94" s="9"/>
      <c r="E94" s="9"/>
      <c r="F94" s="9"/>
      <c r="G94" s="9"/>
      <c r="H94" s="9"/>
      <c r="I94" s="9"/>
      <c r="J94" s="46"/>
      <c r="K94" s="46"/>
      <c r="L94" s="46"/>
      <c r="M94" s="46"/>
      <c r="N94" s="46"/>
      <c r="O94" s="9"/>
      <c r="P94" s="9"/>
      <c r="Q94" s="9"/>
      <c r="R94" s="9"/>
      <c r="S94" s="9"/>
    </row>
  </sheetData>
  <mergeCells count="5">
    <mergeCell ref="C93:L93"/>
    <mergeCell ref="C4:C5"/>
    <mergeCell ref="C92:L92"/>
    <mergeCell ref="C1:M1"/>
    <mergeCell ref="C2:M2"/>
  </mergeCells>
  <conditionalFormatting sqref="R10:R21 Q10:Q91">
    <cfRule type="duplicateValues" dxfId="0" priority="1"/>
  </conditionalFormatting>
  <printOptions horizontalCentered="1"/>
  <pageMargins left="0.5" right="0.5" top="0.5" bottom="0.5" header="0.31496062992126" footer="0.196850393700787"/>
  <pageSetup paperSize="9" scale="43" fitToHeight="0" orientation="portrait" r:id="rId1"/>
  <headerFooter alignWithMargins="0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13.5</vt:lpstr>
      <vt:lpstr>' 13.5'!Print_Area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2025-07-17T03:09:23Z</cp:lastPrinted>
  <dcterms:created xsi:type="dcterms:W3CDTF">2014-03-06T08:38:12Z</dcterms:created>
  <dcterms:modified xsi:type="dcterms:W3CDTF">2025-07-17T03:09:30Z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