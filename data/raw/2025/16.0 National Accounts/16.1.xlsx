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National Accounts\"/>
    </mc:Choice>
  </mc:AlternateContent>
  <xr:revisionPtr revIDLastSave="0" documentId="13_ncr:1_{078961A6-C887-47C5-85C1-3A972B76FBED}" xr6:coauthVersionLast="47" xr6:coauthVersionMax="47" xr10:uidLastSave="{00000000-0000-0000-0000-000000000000}"/>
  <bookViews>
    <workbookView xWindow="-120" yWindow="-120" windowWidth="29040" windowHeight="15720" tabRatio="877" xr2:uid="{00000000-000D-0000-FFFF-FFFF00000000}"/>
  </bookViews>
  <sheets>
    <sheet name="16.1" sheetId="16" r:id="rId1"/>
  </sheets>
  <definedNames>
    <definedName name="_Tot97">"$#REF!.$#REF!$#REF!:$#REF!$#REF!"</definedName>
    <definedName name="B___0">"$#REF!.$#REF!$#REF!:$#REF!$#REF!"</definedName>
    <definedName name="bec">"$#REF!.$B$100:$N$116"</definedName>
    <definedName name="C____0">"$#REF!.$#REF!$#REF!:$#REF!$#REF!"</definedName>
    <definedName name="capital">#REF!</definedName>
    <definedName name="capital___0">#REF!</definedName>
    <definedName name="capital___4">#REF!</definedName>
    <definedName name="ctry">"$#REF!.$B$100:$N$115"</definedName>
    <definedName name="Database_MI">"$BOP5thmanual.$#REF!$8:$#REF!$769"</definedName>
    <definedName name="Database_MI___0">"$#REF!.$#REF!$#REF!:$#REF!$#REF!"</definedName>
    <definedName name="DATES">"$#REF!.$I$1:$I$1"</definedName>
    <definedName name="DATES___0">"$#REF!.$D$1:$D$1"</definedName>
    <definedName name="entries">"""$#ref!.$f$19:$m$19;$#ref!.$f$26:$m$26;$#ref!.$f$62:$m$63;$#ref!.$f$78:$m$78;$#ref!.$f$84:$m$84;$#ref!.$f$89:$m$90;$#ref!.$f$104:$m$105;$#ref!.$f$128:$m$129;$#ref!.$f$140:$m$141;$#ref!.$f$179:$m$180;$#ref!.$f$187:$m$188;$#ref!.$f$200:$m$200;$#ref!.$f$203:"</definedName>
    <definedName name="Excel_BuiltIn_Database_0">"$#REF!.$#REF!$#REF!:$#REF!$#REF!"</definedName>
    <definedName name="Excel_BuiltIn_Database_30">"$BOP5thmanual.$#REF!$8:$#REF!$769"</definedName>
    <definedName name="Excel_BuiltIn_Print_Area_0">"$#REF!.$C$6:$C$16"</definedName>
    <definedName name="Excel_BuiltIn_Print_Area_11_1">"$#REF!.$A$1:$P$22"</definedName>
    <definedName name="Excel_BuiltIn_Print_Area_13_1">"$#REF!.$B$1:$I$73"</definedName>
    <definedName name="Excel_BuiltIn_Print_Area_16_1">"$#REF!.$A$1:$N$25"</definedName>
    <definedName name="Excel_BuiltIn_Print_Area_17">"$#REF!.$B$1:$I$71"</definedName>
    <definedName name="Excel_BuiltIn_Print_Area_18">"$#REF!.$B$1:$H$72"</definedName>
    <definedName name="Excel_BuiltIn_Print_Area_19">"$#REF!.$A$1:$Q$26"</definedName>
    <definedName name="Excel_BuiltIn_Print_Area_20">"$#REF!.$A$1:$T$44"</definedName>
    <definedName name="Excel_BuiltIn_Print_Area_21">"$#REF!.$A$1:$S$29"</definedName>
    <definedName name="Excel_BuiltIn_Print_Area_22">"$#REF!.$A$1:$N$21"</definedName>
    <definedName name="Excel_BuiltIn_Print_Area_23">"$#REF!.$A$1:$N$80"</definedName>
    <definedName name="Excel_BuiltIn_Print_Area_24">"$#REF!.$E$#REF!:$T$#REF!"</definedName>
    <definedName name="Excel_BuiltIn_Print_Area_25">"$#REF!.$B$1:$H$73"</definedName>
    <definedName name="Excel_BuiltIn_Print_Area_26">"$#REF!.$A$1:$M$24"</definedName>
    <definedName name="Excel_BuiltIn_Print_Area_28">"$#REF!.$A$1:$N$25"</definedName>
    <definedName name="Excel_BuiltIn_Print_Area_29">"$#REF!.$A$24:$L$44"</definedName>
    <definedName name="Excel_BuiltIn_Print_Titles_38">"$#REF!.$B$6:$IN$8"</definedName>
    <definedName name="K111mals0">#REF!</definedName>
    <definedName name="K111mals0___0">#REF!</definedName>
    <definedName name="K111mals0___4">#REF!</definedName>
    <definedName name="MmExcelLinker_4D7A9A6F_6E4F_413E_B5F7_FD5714B14315">NA()</definedName>
    <definedName name="NAMES">"$#REF!.$B$15:$B$769"</definedName>
    <definedName name="NAMES___0">"$#REF!.$A$12:$A$239"</definedName>
    <definedName name="_xlnm.Print_Area" localSheetId="0">'16.1'!$A$1:$X$49</definedName>
    <definedName name="Print_Area_MI">"$#REF!.$D$8:$D$766"</definedName>
    <definedName name="PRINT_AREA_MI___0">"$#REF!.$C$6:$C$16"</definedName>
    <definedName name="Print_Area_MI_11">NA()</definedName>
    <definedName name="Total97">"$#REF!.$#REF!$#REF!:$#REF!$#REF!"</definedName>
    <definedName name="two">"$#REF!.$K$21:$M$35"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44" i="16" l="1"/>
  <c r="U44" i="16"/>
  <c r="P44" i="16"/>
  <c r="O44" i="16"/>
  <c r="J44" i="16"/>
  <c r="I44" i="16"/>
  <c r="F44" i="16"/>
  <c r="D44" i="16"/>
  <c r="C44" i="16"/>
  <c r="X43" i="16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X42" i="16"/>
  <c r="X44" i="16" s="1"/>
  <c r="W42" i="16"/>
  <c r="W44" i="16" s="1"/>
  <c r="V42" i="16"/>
  <c r="U42" i="16"/>
  <c r="T42" i="16"/>
  <c r="T44" i="16" s="1"/>
  <c r="S42" i="16"/>
  <c r="S44" i="16" s="1"/>
  <c r="R42" i="16"/>
  <c r="R44" i="16" s="1"/>
  <c r="Q42" i="16"/>
  <c r="Q44" i="16" s="1"/>
  <c r="P42" i="16"/>
  <c r="O42" i="16"/>
  <c r="N42" i="16"/>
  <c r="N44" i="16" s="1"/>
  <c r="M42" i="16"/>
  <c r="M44" i="16" s="1"/>
  <c r="L42" i="16"/>
  <c r="L44" i="16" s="1"/>
  <c r="K42" i="16"/>
  <c r="K44" i="16" s="1"/>
  <c r="J42" i="16"/>
  <c r="I42" i="16"/>
  <c r="H42" i="16"/>
  <c r="H44" i="16" s="1"/>
  <c r="G42" i="16"/>
  <c r="G44" i="16" s="1"/>
  <c r="F42" i="16"/>
  <c r="E42" i="16"/>
  <c r="E44" i="16" s="1"/>
  <c r="D42" i="16"/>
  <c r="C42" i="16"/>
</calcChain>
</file>

<file path=xl/sharedStrings.xml><?xml version="1.0" encoding="utf-8"?>
<sst xmlns="http://schemas.openxmlformats.org/spreadsheetml/2006/main" count="70" uniqueCount="63">
  <si>
    <t xml:space="preserve">(Estimated using production approach) </t>
  </si>
  <si>
    <t>ISIC</t>
  </si>
  <si>
    <t>Industry / Economic Activity</t>
  </si>
  <si>
    <t xml:space="preserve">Primary </t>
  </si>
  <si>
    <t xml:space="preserve">Secondary </t>
  </si>
  <si>
    <t>D</t>
  </si>
  <si>
    <t>E</t>
  </si>
  <si>
    <t>F</t>
  </si>
  <si>
    <t xml:space="preserve">Tertiary </t>
  </si>
  <si>
    <t>G</t>
  </si>
  <si>
    <t>H</t>
  </si>
  <si>
    <t>I</t>
  </si>
  <si>
    <t>K</t>
  </si>
  <si>
    <t>L</t>
  </si>
  <si>
    <t>N</t>
  </si>
  <si>
    <t>O</t>
  </si>
  <si>
    <t>Fisheries</t>
  </si>
  <si>
    <t>Education</t>
  </si>
  <si>
    <t>GDP at Market price</t>
  </si>
  <si>
    <t xml:space="preserve">A </t>
  </si>
  <si>
    <t>C</t>
  </si>
  <si>
    <t>P</t>
  </si>
  <si>
    <t>Q</t>
  </si>
  <si>
    <t>R &amp; S</t>
  </si>
  <si>
    <t xml:space="preserve">M </t>
  </si>
  <si>
    <t>Transportation and communication</t>
  </si>
  <si>
    <t>Manufacturing</t>
  </si>
  <si>
    <t xml:space="preserve">Agriculture </t>
  </si>
  <si>
    <t xml:space="preserve"> Construction</t>
  </si>
  <si>
    <t>Wholesale and retail trade</t>
  </si>
  <si>
    <t xml:space="preserve"> Tourism</t>
  </si>
  <si>
    <t xml:space="preserve"> Financial services</t>
  </si>
  <si>
    <t>Professional, scientific and technical activities</t>
  </si>
  <si>
    <t>Human health and social work activities</t>
  </si>
  <si>
    <t xml:space="preserve">   Taxes less subsidies</t>
  </si>
  <si>
    <t xml:space="preserve">   Total GVA at basic prices</t>
  </si>
  <si>
    <t xml:space="preserve">     fish preparation </t>
  </si>
  <si>
    <t xml:space="preserve">     Resorts </t>
  </si>
  <si>
    <t xml:space="preserve">     Food and beverage services</t>
  </si>
  <si>
    <t xml:space="preserve">     Transportation</t>
  </si>
  <si>
    <t xml:space="preserve">     Travel agencies and support services</t>
  </si>
  <si>
    <t xml:space="preserve">     Postal and Telecommunication</t>
  </si>
  <si>
    <t xml:space="preserve">     Financial intermediation</t>
  </si>
  <si>
    <t xml:space="preserve">     Insurance and auxiliary to financial intermediation</t>
  </si>
  <si>
    <t xml:space="preserve">    Other manufacturing products</t>
  </si>
  <si>
    <t>Note : na = not available</t>
  </si>
  <si>
    <t>Real estate activities</t>
  </si>
  <si>
    <t>Public administration and defence; compulsory social security</t>
  </si>
  <si>
    <t>Arts, entertainment and recreation &amp; Other service activities</t>
  </si>
  <si>
    <t>(In Million MVR , at 2019 constant prices)</t>
  </si>
  <si>
    <t xml:space="preserve">Water supply; sewerage, waste management and remediation activities </t>
  </si>
  <si>
    <t xml:space="preserve"> Electric power generation, transmission &amp; distribution</t>
  </si>
  <si>
    <t xml:space="preserve">    Other Tourist Accomodation and Domestic Accomodation</t>
  </si>
  <si>
    <t>Electricity, water and waste management</t>
  </si>
  <si>
    <t>Table 16.1:  GROSS DOMESTIC PRODUCT (AT CONSTANT PRICES), BY KIND OF ACTIVITY, 2003-2024</t>
  </si>
  <si>
    <t>Memorandum items:</t>
  </si>
  <si>
    <t xml:space="preserve">Resident population </t>
  </si>
  <si>
    <t>Exchange rate</t>
  </si>
  <si>
    <t>GDP at constant price (US$ million)</t>
  </si>
  <si>
    <t>Real GDP per capita ( MVR)</t>
  </si>
  <si>
    <t>Real GDP per capita ( US $)</t>
  </si>
  <si>
    <t>Published in September 2025</t>
  </si>
  <si>
    <t>Source: Maldives Bureau of Statistics / Ministry of Finance and Planning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</si>
</sst>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General_)"/>
    <numFmt numFmtId="165" formatCode="_(* #,##0_);_(* \(#,##0\);_(* &quot;-&quot;??_);_(@_)"/>
  </numFmts>
  <fonts count="23"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color rgb="FFFF0000"/>
      <name val="Courier"/>
      <family val="3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sz val="10"/>
      <name val="Arial"/>
      <family val="2"/>
    </font>
    <font>
      <sz val="9"/>
      <name val="Calibri"/>
      <family val="2"/>
    </font>
    <font>
      <i/>
      <sz val="9"/>
      <name val="Calibri"/>
      <family val="2"/>
    </font>
    <font>
      <sz val="10"/>
      <name val="Calibri"/>
      <family val="2"/>
    </font>
    <font>
      <sz val="10"/>
      <name val="Courier New"/>
      <family val="3"/>
    </font>
    <font>
      <sz val="11"/>
      <color theme="1"/>
      <name val="Calibri"/>
      <family val="2"/>
      <scheme val="minor"/>
    </font>
    <font>
      <i/>
      <sz val="10"/>
      <name val="Calibri"/>
      <family val="2"/>
    </font>
    <font>
      <b/>
      <sz val="10"/>
      <name val="Calibri"/>
      <family val="2"/>
    </font>
    <font>
      <b/>
      <sz val="11"/>
      <name val="Arial"/>
      <family val="2"/>
    </font>
    <font>
      <i/>
      <sz val="10"/>
      <name val="Courier"/>
      <family val="3"/>
    </font>
    <font>
      <sz val="10"/>
      <name val="Courier"/>
      <charset val="134"/>
    </font>
    <font>
      <i/>
      <sz val="10"/>
      <name val="Courier"/>
      <charset val="134"/>
    </font>
    <font>
      <sz val="11"/>
      <color indexed="8"/>
      <name val="Faruma"/>
    </font>
    <font>
      <sz val="11"/>
      <color indexed="8"/>
      <name val="Calibri"/>
      <family val="2"/>
    </font>
    <font>
      <b/>
      <sz val="11"/>
      <name val="Calibri"/>
      <family val="2"/>
    </font>
    <font>
      <sz val="9"/>
      <name val="Courier"/>
      <charset val="134"/>
    </font>
    <font>
      <sz val="10"/>
      <color indexed="10"/>
      <name val="Courier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9">
    <xf numFmtId="0" fontId="0" fillId="0" borderId="0"/>
    <xf numFmtId="164" fontId="1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164" fontId="10" fillId="0" borderId="0"/>
    <xf numFmtId="40" fontId="10" fillId="0" borderId="0" applyFill="0" applyBorder="0" applyAlignment="0" applyProtection="0"/>
    <xf numFmtId="9" fontId="6" fillId="0" borderId="0" applyFill="0" applyBorder="0" applyAlignment="0" applyProtection="0"/>
    <xf numFmtId="43" fontId="11" fillId="0" borderId="0" applyFont="0" applyFill="0" applyBorder="0" applyAlignment="0" applyProtection="0"/>
  </cellStyleXfs>
  <cellXfs count="59">
    <xf numFmtId="0" fontId="0" fillId="0" borderId="0" xfId="0"/>
    <xf numFmtId="164" fontId="1" fillId="2" borderId="0" xfId="1" applyFill="1"/>
    <xf numFmtId="164" fontId="1" fillId="2" borderId="0" xfId="1" applyFill="1" applyAlignment="1">
      <alignment vertical="center"/>
    </xf>
    <xf numFmtId="164" fontId="1" fillId="0" borderId="0" xfId="1" applyAlignment="1">
      <alignment vertical="center"/>
    </xf>
    <xf numFmtId="164" fontId="1" fillId="2" borderId="0" xfId="1" applyFill="1" applyAlignment="1">
      <alignment horizontal="center"/>
    </xf>
    <xf numFmtId="164" fontId="14" fillId="2" borderId="0" xfId="1" applyFont="1" applyFill="1" applyAlignment="1">
      <alignment vertical="center"/>
    </xf>
    <xf numFmtId="43" fontId="2" fillId="2" borderId="0" xfId="8" applyFont="1" applyFill="1"/>
    <xf numFmtId="0" fontId="4" fillId="2" borderId="0" xfId="8" applyNumberFormat="1" applyFont="1" applyFill="1" applyAlignment="1">
      <alignment horizontal="right" vertical="center"/>
    </xf>
    <xf numFmtId="164" fontId="15" fillId="2" borderId="0" xfId="1" applyFont="1" applyFill="1" applyAlignment="1">
      <alignment vertical="center"/>
    </xf>
    <xf numFmtId="164" fontId="5" fillId="2" borderId="0" xfId="1" applyFont="1" applyFill="1" applyAlignment="1">
      <alignment vertical="center"/>
    </xf>
    <xf numFmtId="43" fontId="4" fillId="2" borderId="3" xfId="8" applyFont="1" applyFill="1" applyBorder="1" applyAlignment="1" applyProtection="1">
      <alignment vertical="center" wrapText="1"/>
    </xf>
    <xf numFmtId="164" fontId="3" fillId="2" borderId="0" xfId="1" applyFont="1" applyFill="1" applyAlignment="1">
      <alignment horizontal="center" vertical="center"/>
    </xf>
    <xf numFmtId="164" fontId="3" fillId="2" borderId="1" xfId="1" applyFont="1" applyFill="1" applyBorder="1" applyAlignment="1">
      <alignment horizontal="center" vertical="center"/>
    </xf>
    <xf numFmtId="43" fontId="4" fillId="2" borderId="3" xfId="8" applyFont="1" applyFill="1" applyBorder="1" applyAlignment="1" applyProtection="1">
      <alignment horizontal="center" vertical="center" wrapText="1"/>
    </xf>
    <xf numFmtId="164" fontId="13" fillId="3" borderId="2" xfId="0" applyNumberFormat="1" applyFont="1" applyFill="1" applyBorder="1" applyAlignment="1">
      <alignment horizontal="center"/>
    </xf>
    <xf numFmtId="164" fontId="13" fillId="3" borderId="2" xfId="0" applyNumberFormat="1" applyFont="1" applyFill="1" applyBorder="1" applyAlignment="1">
      <alignment horizontal="left" vertical="center"/>
    </xf>
    <xf numFmtId="165" fontId="13" fillId="3" borderId="2" xfId="0" applyNumberFormat="1" applyFont="1" applyFill="1" applyBorder="1" applyAlignment="1">
      <alignment horizontal="right" vertical="center"/>
    </xf>
    <xf numFmtId="165" fontId="13" fillId="0" borderId="2" xfId="0" applyNumberFormat="1" applyFont="1" applyBorder="1" applyAlignment="1">
      <alignment horizontal="right" vertical="center"/>
    </xf>
    <xf numFmtId="164" fontId="16" fillId="3" borderId="0" xfId="0" applyNumberFormat="1" applyFont="1" applyFill="1" applyAlignment="1">
      <alignment vertical="center"/>
    </xf>
    <xf numFmtId="164" fontId="9" fillId="3" borderId="0" xfId="0" applyNumberFormat="1" applyFont="1" applyFill="1" applyAlignment="1">
      <alignment horizontal="center"/>
    </xf>
    <xf numFmtId="164" fontId="9" fillId="3" borderId="0" xfId="0" applyNumberFormat="1" applyFont="1" applyFill="1" applyAlignment="1">
      <alignment horizontal="left"/>
    </xf>
    <xf numFmtId="165" fontId="9" fillId="3" borderId="0" xfId="0" applyNumberFormat="1" applyFont="1" applyFill="1" applyAlignment="1">
      <alignment horizontal="right" vertical="center"/>
    </xf>
    <xf numFmtId="165" fontId="9" fillId="0" borderId="0" xfId="0" applyNumberFormat="1" applyFont="1" applyAlignment="1">
      <alignment horizontal="right" vertical="center"/>
    </xf>
    <xf numFmtId="164" fontId="13" fillId="3" borderId="0" xfId="0" applyNumberFormat="1" applyFont="1" applyFill="1" applyAlignment="1">
      <alignment horizontal="center"/>
    </xf>
    <xf numFmtId="164" fontId="13" fillId="3" borderId="0" xfId="0" applyNumberFormat="1" applyFont="1" applyFill="1"/>
    <xf numFmtId="165" fontId="13" fillId="3" borderId="0" xfId="0" applyNumberFormat="1" applyFont="1" applyFill="1" applyAlignment="1">
      <alignment horizontal="right" vertical="center"/>
    </xf>
    <xf numFmtId="165" fontId="13" fillId="0" borderId="0" xfId="0" applyNumberFormat="1" applyFont="1" applyAlignment="1">
      <alignment horizontal="right" vertical="center"/>
    </xf>
    <xf numFmtId="165" fontId="13" fillId="3" borderId="0" xfId="0" applyNumberFormat="1" applyFont="1" applyFill="1" applyAlignment="1">
      <alignment horizontal="right"/>
    </xf>
    <xf numFmtId="165" fontId="13" fillId="0" borderId="0" xfId="0" applyNumberFormat="1" applyFont="1" applyAlignment="1">
      <alignment horizontal="right"/>
    </xf>
    <xf numFmtId="164" fontId="9" fillId="3" borderId="0" xfId="0" applyNumberFormat="1" applyFont="1" applyFill="1"/>
    <xf numFmtId="165" fontId="9" fillId="3" borderId="0" xfId="0" applyNumberFormat="1" applyFont="1" applyFill="1" applyAlignment="1">
      <alignment horizontal="right"/>
    </xf>
    <xf numFmtId="165" fontId="9" fillId="0" borderId="0" xfId="0" applyNumberFormat="1" applyFont="1" applyAlignment="1">
      <alignment horizontal="right"/>
    </xf>
    <xf numFmtId="164" fontId="8" fillId="3" borderId="0" xfId="0" applyNumberFormat="1" applyFont="1" applyFill="1"/>
    <xf numFmtId="165" fontId="12" fillId="3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/>
    </xf>
    <xf numFmtId="164" fontId="12" fillId="3" borderId="0" xfId="0" applyNumberFormat="1" applyFont="1" applyFill="1" applyAlignment="1">
      <alignment horizontal="center"/>
    </xf>
    <xf numFmtId="164" fontId="17" fillId="3" borderId="0" xfId="0" applyNumberFormat="1" applyFont="1" applyFill="1" applyAlignment="1">
      <alignment vertical="center"/>
    </xf>
    <xf numFmtId="164" fontId="16" fillId="0" borderId="0" xfId="0" applyNumberFormat="1" applyFont="1" applyAlignment="1">
      <alignment vertical="center"/>
    </xf>
    <xf numFmtId="164" fontId="9" fillId="3" borderId="1" xfId="0" applyNumberFormat="1" applyFont="1" applyFill="1" applyBorder="1" applyAlignment="1">
      <alignment vertical="center"/>
    </xf>
    <xf numFmtId="164" fontId="9" fillId="3" borderId="1" xfId="0" applyNumberFormat="1" applyFont="1" applyFill="1" applyBorder="1"/>
    <xf numFmtId="0" fontId="18" fillId="0" borderId="1" xfId="0" applyFont="1" applyBorder="1" applyAlignment="1">
      <alignment horizontal="right" vertical="center"/>
    </xf>
    <xf numFmtId="0" fontId="19" fillId="0" borderId="0" xfId="0" applyFont="1"/>
    <xf numFmtId="164" fontId="20" fillId="3" borderId="0" xfId="0" applyNumberFormat="1" applyFont="1" applyFill="1"/>
    <xf numFmtId="43" fontId="9" fillId="3" borderId="0" xfId="0" applyNumberFormat="1" applyFont="1" applyFill="1" applyAlignment="1">
      <alignment horizontal="right"/>
    </xf>
    <xf numFmtId="165" fontId="9" fillId="3" borderId="1" xfId="0" applyNumberFormat="1" applyFont="1" applyFill="1" applyBorder="1" applyAlignment="1">
      <alignment horizontal="right"/>
    </xf>
    <xf numFmtId="164" fontId="12" fillId="3" borderId="0" xfId="0" applyNumberFormat="1" applyFont="1" applyFill="1" applyAlignment="1">
      <alignment horizontal="left"/>
    </xf>
    <xf numFmtId="164" fontId="9" fillId="0" borderId="0" xfId="0" applyNumberFormat="1" applyFont="1"/>
    <xf numFmtId="165" fontId="9" fillId="3" borderId="0" xfId="0" applyNumberFormat="1" applyFont="1" applyFill="1"/>
    <xf numFmtId="164" fontId="7" fillId="3" borderId="0" xfId="0" applyNumberFormat="1" applyFont="1" applyFill="1"/>
    <xf numFmtId="164" fontId="7" fillId="0" borderId="0" xfId="0" applyNumberFormat="1" applyFont="1"/>
    <xf numFmtId="164" fontId="6" fillId="3" borderId="0" xfId="0" applyNumberFormat="1" applyFont="1" applyFill="1"/>
    <xf numFmtId="164" fontId="21" fillId="3" borderId="0" xfId="0" applyNumberFormat="1" applyFont="1" applyFill="1"/>
    <xf numFmtId="164" fontId="16" fillId="3" borderId="0" xfId="0" applyNumberFormat="1" applyFont="1" applyFill="1" applyAlignment="1">
      <alignment horizontal="center"/>
    </xf>
    <xf numFmtId="164" fontId="16" fillId="3" borderId="0" xfId="0" applyNumberFormat="1" applyFont="1" applyFill="1"/>
    <xf numFmtId="164" fontId="16" fillId="0" borderId="0" xfId="0" applyNumberFormat="1" applyFont="1"/>
    <xf numFmtId="43" fontId="22" fillId="3" borderId="0" xfId="0" applyNumberFormat="1" applyFont="1" applyFill="1"/>
    <xf numFmtId="164" fontId="9" fillId="3" borderId="1" xfId="0" applyNumberFormat="1" applyFont="1" applyFill="1" applyBorder="1" applyAlignment="1">
      <alignment horizontal="right"/>
    </xf>
    <xf numFmtId="164" fontId="9" fillId="0" borderId="1" xfId="0" applyNumberFormat="1" applyFont="1" applyBorder="1" applyAlignment="1">
      <alignment horizontal="right"/>
    </xf>
    <xf numFmtId="0" fontId="19" fillId="0" borderId="0" xfId="0" applyFont="1" applyAlignment="1">
      <alignment horizontal="right"/>
    </xf>
  </cellXfs>
  <cellStyles count="9">
    <cellStyle name="1" xfId="2" xr:uid="{00000000-0005-0000-0000-000000000000}"/>
    <cellStyle name="Comma" xfId="8" builtinId="3"/>
    <cellStyle name="Comma 2" xfId="4" xr:uid="{00000000-0005-0000-0000-000002000000}"/>
    <cellStyle name="Comma 3" xfId="6" xr:uid="{00000000-0005-0000-0000-000003000000}"/>
    <cellStyle name="Normal" xfId="0" builtinId="0"/>
    <cellStyle name="Normal 2" xfId="3" xr:uid="{00000000-0005-0000-0000-000005000000}"/>
    <cellStyle name="Normal 3" xfId="5" xr:uid="{00000000-0005-0000-0000-000006000000}"/>
    <cellStyle name="Normal_XII-1 (Commerce)" xfId="1" xr:uid="{00000000-0005-0000-0000-000008000000}"/>
    <cellStyle name="Percent 2" xfId="7" xr:uid="{00000000-0005-0000-0000-00000C000000}"/>
  </cellStyles>
  <dxfs count="0"/>
  <tableStyles count="0" defaultTableStyle="TableStyleMedium9" defaultPivotStyle="PivotStyleLight16"/>
  <colors>
    <mruColors>
      <color rgb="FF00FFCC"/>
      <color rgb="FF33CCCC"/>
      <color rgb="FF3A7E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AG48"/>
  <sheetViews>
    <sheetView showGridLines="0" tabSelected="1" view="pageBreakPreview" zoomScale="112" zoomScaleNormal="96" zoomScaleSheetLayoutView="112" workbookViewId="0">
      <pane xSplit="2" ySplit="5" topLeftCell="C6" activePane="bottomRight" state="frozen"/>
      <selection activeCell="J14" sqref="J14"/>
      <selection pane="topRight" activeCell="J14" sqref="J14"/>
      <selection pane="bottomLeft" activeCell="J14" sqref="J14"/>
      <selection pane="bottomRight" activeCell="T42" sqref="T42"/>
    </sheetView>
  </sheetViews>
  <sheetFormatPr defaultColWidth="10.42578125" defaultRowHeight="18" customHeight="1"/>
  <cols>
    <col min="1" max="1" width="5.85546875" style="4" customWidth="1"/>
    <col min="2" max="2" width="54.85546875" style="1" customWidth="1"/>
    <col min="3" max="13" width="8.5703125" style="1" customWidth="1"/>
    <col min="14" max="16" width="10" style="6" customWidth="1"/>
    <col min="17" max="20" width="10.42578125" style="1"/>
    <col min="21" max="23" width="10.140625" style="1" customWidth="1"/>
    <col min="24" max="16384" width="10.42578125" style="1"/>
  </cols>
  <sheetData>
    <row r="1" spans="1:33" s="5" customFormat="1" ht="18" customHeight="1">
      <c r="A1" s="11" t="s">
        <v>54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2"/>
      <c r="Z1" s="2"/>
      <c r="AA1" s="2"/>
      <c r="AB1" s="2"/>
      <c r="AC1" s="2"/>
      <c r="AD1" s="2"/>
      <c r="AE1" s="2"/>
      <c r="AF1" s="2"/>
      <c r="AG1" s="2"/>
    </row>
    <row r="2" spans="1:33" s="5" customFormat="1" ht="18" customHeight="1">
      <c r="A2" s="1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2"/>
      <c r="Z2" s="2"/>
      <c r="AA2" s="2"/>
      <c r="AB2" s="2"/>
      <c r="AC2" s="2"/>
      <c r="AD2" s="2"/>
      <c r="AE2" s="2"/>
      <c r="AF2" s="2"/>
      <c r="AG2" s="2"/>
    </row>
    <row r="3" spans="1:33" ht="18" customHeight="1">
      <c r="B3" s="10"/>
      <c r="C3" s="13" t="s">
        <v>49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2"/>
      <c r="Z3" s="2"/>
      <c r="AA3" s="2"/>
      <c r="AB3" s="2"/>
      <c r="AC3" s="2"/>
      <c r="AD3" s="2"/>
      <c r="AE3" s="2"/>
      <c r="AF3" s="2"/>
      <c r="AG3" s="2"/>
    </row>
    <row r="4" spans="1:33" ht="18" customHeight="1">
      <c r="A4" s="9" t="s">
        <v>1</v>
      </c>
      <c r="B4" s="9" t="s">
        <v>2</v>
      </c>
      <c r="C4" s="7">
        <v>2003</v>
      </c>
      <c r="D4" s="7">
        <v>2004</v>
      </c>
      <c r="E4" s="7">
        <v>2005</v>
      </c>
      <c r="F4" s="7">
        <v>2006</v>
      </c>
      <c r="G4" s="7">
        <v>2007</v>
      </c>
      <c r="H4" s="7">
        <v>2008</v>
      </c>
      <c r="I4" s="7">
        <v>2009</v>
      </c>
      <c r="J4" s="7">
        <v>2010</v>
      </c>
      <c r="K4" s="7">
        <v>2011</v>
      </c>
      <c r="L4" s="7">
        <v>2012</v>
      </c>
      <c r="M4" s="7">
        <v>2013</v>
      </c>
      <c r="N4" s="7">
        <v>2014</v>
      </c>
      <c r="O4" s="7">
        <v>2015</v>
      </c>
      <c r="P4" s="7">
        <v>2016</v>
      </c>
      <c r="Q4" s="7">
        <v>2017</v>
      </c>
      <c r="R4" s="7">
        <v>2018</v>
      </c>
      <c r="S4" s="7">
        <v>2019</v>
      </c>
      <c r="T4" s="7">
        <v>2020</v>
      </c>
      <c r="U4" s="7">
        <v>2021</v>
      </c>
      <c r="V4" s="7">
        <v>2022</v>
      </c>
      <c r="W4" s="7">
        <v>2023</v>
      </c>
      <c r="X4" s="7">
        <v>2024</v>
      </c>
      <c r="Y4" s="2"/>
      <c r="Z4" s="2"/>
      <c r="AA4" s="2"/>
      <c r="AB4" s="2"/>
      <c r="AC4" s="2"/>
      <c r="AD4" s="2"/>
      <c r="AE4" s="2"/>
      <c r="AF4" s="2"/>
      <c r="AG4" s="2"/>
    </row>
    <row r="5" spans="1:33" s="2" customFormat="1" ht="18" customHeight="1">
      <c r="A5" s="14"/>
      <c r="B5" s="15" t="s">
        <v>18</v>
      </c>
      <c r="C5" s="16">
        <v>37360.192819038602</v>
      </c>
      <c r="D5" s="16">
        <v>39533.198654158397</v>
      </c>
      <c r="E5" s="16">
        <v>35096.322121149002</v>
      </c>
      <c r="F5" s="16">
        <v>43381.089145347898</v>
      </c>
      <c r="G5" s="16">
        <v>46471.3095568629</v>
      </c>
      <c r="H5" s="16">
        <v>50644.348122129202</v>
      </c>
      <c r="I5" s="16">
        <v>46512.9021147776</v>
      </c>
      <c r="J5" s="16">
        <v>49692.278233337202</v>
      </c>
      <c r="K5" s="16">
        <v>53952.247684246999</v>
      </c>
      <c r="L5" s="17">
        <v>55227.5426425599</v>
      </c>
      <c r="M5" s="16">
        <v>59073.172592274102</v>
      </c>
      <c r="N5" s="16">
        <v>63681.526758406799</v>
      </c>
      <c r="O5" s="16">
        <v>66210.775962752101</v>
      </c>
      <c r="P5" s="16">
        <v>70562.304518178105</v>
      </c>
      <c r="Q5" s="16">
        <v>75540.149802972606</v>
      </c>
      <c r="R5" s="16">
        <v>82087.974669136805</v>
      </c>
      <c r="S5" s="16">
        <v>88079.030673816203</v>
      </c>
      <c r="T5" s="16">
        <v>59093.253323697703</v>
      </c>
      <c r="U5" s="16">
        <v>81257.873961902704</v>
      </c>
      <c r="V5" s="16">
        <v>92492.660366603595</v>
      </c>
      <c r="W5" s="16">
        <v>97064.445904743101</v>
      </c>
      <c r="X5" s="16">
        <v>100456.270030186</v>
      </c>
      <c r="Y5" s="18"/>
      <c r="Z5" s="18"/>
    </row>
    <row r="6" spans="1:33" s="2" customFormat="1" ht="18" customHeight="1">
      <c r="A6" s="19"/>
      <c r="B6" s="20" t="s">
        <v>34</v>
      </c>
      <c r="C6" s="21">
        <v>4825.6352316610901</v>
      </c>
      <c r="D6" s="21">
        <v>5292.2108938357096</v>
      </c>
      <c r="E6" s="21">
        <v>3867.5130378477702</v>
      </c>
      <c r="F6" s="21">
        <v>5520.9200482823699</v>
      </c>
      <c r="G6" s="21">
        <v>5987.7407111386301</v>
      </c>
      <c r="H6" s="21">
        <v>6603.65349392797</v>
      </c>
      <c r="I6" s="21">
        <v>5416.2606409046402</v>
      </c>
      <c r="J6" s="21">
        <v>6252.4518938595302</v>
      </c>
      <c r="K6" s="21">
        <v>7578.5059198579502</v>
      </c>
      <c r="L6" s="22">
        <v>7744.9341501486997</v>
      </c>
      <c r="M6" s="21">
        <v>8365.4096265556</v>
      </c>
      <c r="N6" s="21">
        <v>9000.5430677715303</v>
      </c>
      <c r="O6" s="21">
        <v>8588.8670421805</v>
      </c>
      <c r="P6" s="21">
        <v>8835.46164015055</v>
      </c>
      <c r="Q6" s="21">
        <v>9513.5801946428601</v>
      </c>
      <c r="R6" s="21">
        <v>10222.5777762336</v>
      </c>
      <c r="S6" s="21">
        <v>10831.927609030001</v>
      </c>
      <c r="T6" s="21">
        <v>5069.70366415425</v>
      </c>
      <c r="U6" s="21">
        <v>9149.1910661819493</v>
      </c>
      <c r="V6" s="21">
        <v>10068.193458621699</v>
      </c>
      <c r="W6" s="21">
        <v>10680.1274650295</v>
      </c>
      <c r="X6" s="21">
        <v>10780.470978306101</v>
      </c>
      <c r="Y6" s="18"/>
      <c r="Z6" s="18"/>
    </row>
    <row r="7" spans="1:33" s="2" customFormat="1" ht="18" customHeight="1">
      <c r="A7" s="23"/>
      <c r="B7" s="24" t="s">
        <v>35</v>
      </c>
      <c r="C7" s="25">
        <v>32534.557587377501</v>
      </c>
      <c r="D7" s="25">
        <v>34240.9877603227</v>
      </c>
      <c r="E7" s="25">
        <v>31228.809083301199</v>
      </c>
      <c r="F7" s="25">
        <v>37860.169097065504</v>
      </c>
      <c r="G7" s="25">
        <v>40483.568845724301</v>
      </c>
      <c r="H7" s="25">
        <v>44040.6946282012</v>
      </c>
      <c r="I7" s="25">
        <v>41096.641473873002</v>
      </c>
      <c r="J7" s="25">
        <v>43439.826339477702</v>
      </c>
      <c r="K7" s="25">
        <v>46373.741764389</v>
      </c>
      <c r="L7" s="26">
        <v>47482.6084924112</v>
      </c>
      <c r="M7" s="25">
        <v>50707.762965718503</v>
      </c>
      <c r="N7" s="25">
        <v>54680.983690635301</v>
      </c>
      <c r="O7" s="25">
        <v>57621.908920571601</v>
      </c>
      <c r="P7" s="25">
        <v>61726.842878027499</v>
      </c>
      <c r="Q7" s="25">
        <v>66026.569608329795</v>
      </c>
      <c r="R7" s="25">
        <v>71865.396892903198</v>
      </c>
      <c r="S7" s="25">
        <v>77247.103064786206</v>
      </c>
      <c r="T7" s="25">
        <v>54023.549659543503</v>
      </c>
      <c r="U7" s="25">
        <v>72108.682895720805</v>
      </c>
      <c r="V7" s="25">
        <v>82424.466907981798</v>
      </c>
      <c r="W7" s="25">
        <v>86384.318439713505</v>
      </c>
      <c r="X7" s="25">
        <v>89675.799051880094</v>
      </c>
      <c r="Y7" s="18"/>
      <c r="Z7" s="18"/>
    </row>
    <row r="8" spans="1:33" s="2" customFormat="1" ht="18" customHeight="1">
      <c r="A8" s="23"/>
      <c r="B8" s="24" t="s">
        <v>3</v>
      </c>
      <c r="C8" s="27">
        <v>4310.6412559679502</v>
      </c>
      <c r="D8" s="27">
        <v>4323.7890320704</v>
      </c>
      <c r="E8" s="27">
        <v>4854.3964883602703</v>
      </c>
      <c r="F8" s="27">
        <v>4938.7209898177898</v>
      </c>
      <c r="G8" s="27">
        <v>3993.6224968063202</v>
      </c>
      <c r="H8" s="27">
        <v>3756.7209113065801</v>
      </c>
      <c r="I8" s="27">
        <v>3668.7270998193399</v>
      </c>
      <c r="J8" s="27">
        <v>3526.9016944339</v>
      </c>
      <c r="K8" s="27">
        <v>3525.1584988640402</v>
      </c>
      <c r="L8" s="28">
        <v>3518.71575112651</v>
      </c>
      <c r="M8" s="27">
        <v>3767.7214452123499</v>
      </c>
      <c r="N8" s="27">
        <v>3754.4017048140599</v>
      </c>
      <c r="O8" s="27">
        <v>3734.8031075014101</v>
      </c>
      <c r="P8" s="27">
        <v>3790.8824115674201</v>
      </c>
      <c r="Q8" s="27">
        <v>4103.3813268329004</v>
      </c>
      <c r="R8" s="27">
        <v>4305.7996228290403</v>
      </c>
      <c r="S8" s="27">
        <v>3958.2926857203001</v>
      </c>
      <c r="T8" s="27">
        <v>4217.5640423551504</v>
      </c>
      <c r="U8" s="27">
        <v>4184.2142120893204</v>
      </c>
      <c r="V8" s="27">
        <v>4442.8483320632204</v>
      </c>
      <c r="W8" s="27">
        <v>4584.0220364296101</v>
      </c>
      <c r="X8" s="27">
        <v>3397.75085780461</v>
      </c>
      <c r="Y8" s="18"/>
      <c r="Z8" s="18"/>
    </row>
    <row r="9" spans="1:33" s="2" customFormat="1" ht="18" customHeight="1">
      <c r="A9" s="19" t="s">
        <v>19</v>
      </c>
      <c r="B9" s="29" t="s">
        <v>27</v>
      </c>
      <c r="C9" s="30">
        <v>772.71013358357004</v>
      </c>
      <c r="D9" s="30">
        <v>775.86825714450504</v>
      </c>
      <c r="E9" s="30">
        <v>700.60607326345303</v>
      </c>
      <c r="F9" s="30">
        <v>773.35718516048405</v>
      </c>
      <c r="G9" s="30">
        <v>789.38698530029399</v>
      </c>
      <c r="H9" s="21">
        <v>782.16148545092506</v>
      </c>
      <c r="I9" s="30">
        <v>761.17357862532197</v>
      </c>
      <c r="J9" s="30">
        <v>787.46407067453697</v>
      </c>
      <c r="K9" s="30">
        <v>807.16035348349897</v>
      </c>
      <c r="L9" s="31">
        <v>805.11509477582001</v>
      </c>
      <c r="M9" s="30">
        <v>829.85549923345502</v>
      </c>
      <c r="N9" s="30">
        <v>835.42234999005598</v>
      </c>
      <c r="O9" s="30">
        <v>843.477979754579</v>
      </c>
      <c r="P9" s="30">
        <v>854.19368295220102</v>
      </c>
      <c r="Q9" s="30">
        <v>854.61197964065502</v>
      </c>
      <c r="R9" s="30">
        <v>868.02651269045202</v>
      </c>
      <c r="S9" s="30">
        <v>882.72423879999997</v>
      </c>
      <c r="T9" s="30">
        <v>856.70942805498498</v>
      </c>
      <c r="U9" s="30">
        <v>904.472893233474</v>
      </c>
      <c r="V9" s="30">
        <v>930.43100244888899</v>
      </c>
      <c r="W9" s="30">
        <v>946.27662417366696</v>
      </c>
      <c r="X9" s="30">
        <v>964.96455087427</v>
      </c>
      <c r="Y9" s="18"/>
      <c r="Z9" s="18"/>
    </row>
    <row r="10" spans="1:33" s="2" customFormat="1" ht="18" customHeight="1">
      <c r="A10" s="19" t="s">
        <v>19</v>
      </c>
      <c r="B10" s="29" t="s">
        <v>16</v>
      </c>
      <c r="C10" s="30">
        <v>3537.9311223843802</v>
      </c>
      <c r="D10" s="30">
        <v>3547.9207749258999</v>
      </c>
      <c r="E10" s="30">
        <v>4153.7904150968197</v>
      </c>
      <c r="F10" s="30">
        <v>4165.3638046572996</v>
      </c>
      <c r="G10" s="30">
        <v>3204.23551150603</v>
      </c>
      <c r="H10" s="30">
        <v>2974.5594258556598</v>
      </c>
      <c r="I10" s="30">
        <v>2907.55352119402</v>
      </c>
      <c r="J10" s="30">
        <v>2739.4376237593601</v>
      </c>
      <c r="K10" s="30">
        <v>2717.9981453805399</v>
      </c>
      <c r="L10" s="31">
        <v>2713.6006563506899</v>
      </c>
      <c r="M10" s="30">
        <v>2937.8659459789001</v>
      </c>
      <c r="N10" s="30">
        <v>2918.979354824</v>
      </c>
      <c r="O10" s="30">
        <v>2891.3251277468298</v>
      </c>
      <c r="P10" s="30">
        <v>2936.68872861522</v>
      </c>
      <c r="Q10" s="30">
        <v>3248.7693471922498</v>
      </c>
      <c r="R10" s="30">
        <v>3437.7731101385898</v>
      </c>
      <c r="S10" s="30">
        <v>3075.5684469203002</v>
      </c>
      <c r="T10" s="30">
        <v>3360.8546143001599</v>
      </c>
      <c r="U10" s="30">
        <v>3279.7413188558398</v>
      </c>
      <c r="V10" s="30">
        <v>3512.4173296143299</v>
      </c>
      <c r="W10" s="30">
        <v>3637.7454122559402</v>
      </c>
      <c r="X10" s="30">
        <v>2432.7863069303398</v>
      </c>
      <c r="Y10" s="18"/>
      <c r="Z10" s="18"/>
    </row>
    <row r="11" spans="1:33" s="2" customFormat="1" ht="18" customHeight="1">
      <c r="A11" s="23"/>
      <c r="B11" s="24" t="s">
        <v>4</v>
      </c>
      <c r="C11" s="27">
        <v>2678.6857131821598</v>
      </c>
      <c r="D11" s="27">
        <v>3402.2979339113399</v>
      </c>
      <c r="E11" s="27">
        <v>3919.6484656819198</v>
      </c>
      <c r="F11" s="27">
        <v>4410.8522385404503</v>
      </c>
      <c r="G11" s="27">
        <v>5148.2401529213203</v>
      </c>
      <c r="H11" s="27">
        <v>5659.6425986246704</v>
      </c>
      <c r="I11" s="27">
        <v>4146.9291875148801</v>
      </c>
      <c r="J11" s="27">
        <v>4448.4744648981596</v>
      </c>
      <c r="K11" s="27">
        <v>5157.4573525610804</v>
      </c>
      <c r="L11" s="28">
        <v>5327.1356229805897</v>
      </c>
      <c r="M11" s="27">
        <v>4951.1558465828602</v>
      </c>
      <c r="N11" s="27">
        <v>5828.3127941134398</v>
      </c>
      <c r="O11" s="27">
        <v>7034.4928514553503</v>
      </c>
      <c r="P11" s="27">
        <v>7704.4073738009201</v>
      </c>
      <c r="Q11" s="27">
        <v>8726.9694573756406</v>
      </c>
      <c r="R11" s="27">
        <v>10249.463087545701</v>
      </c>
      <c r="S11" s="27">
        <v>10518.876821595901</v>
      </c>
      <c r="T11" s="27">
        <v>6933.8121743971997</v>
      </c>
      <c r="U11" s="27">
        <v>6613.69898286637</v>
      </c>
      <c r="V11" s="27">
        <v>7913.1766459581204</v>
      </c>
      <c r="W11" s="27">
        <v>8168.1190396975298</v>
      </c>
      <c r="X11" s="27">
        <v>8235.5076790909607</v>
      </c>
      <c r="Y11" s="18"/>
      <c r="Z11" s="18"/>
    </row>
    <row r="12" spans="1:33" s="2" customFormat="1" ht="18" customHeight="1">
      <c r="A12" s="19" t="s">
        <v>20</v>
      </c>
      <c r="B12" s="29" t="s">
        <v>26</v>
      </c>
      <c r="C12" s="30">
        <v>1106.4905590825199</v>
      </c>
      <c r="D12" s="30">
        <v>1114.56749366036</v>
      </c>
      <c r="E12" s="30">
        <v>1175.0360402097599</v>
      </c>
      <c r="F12" s="30">
        <v>1340.3266337668399</v>
      </c>
      <c r="G12" s="30">
        <v>1135.81777084444</v>
      </c>
      <c r="H12" s="30">
        <v>1182.32226417791</v>
      </c>
      <c r="I12" s="30">
        <v>932.29500369646496</v>
      </c>
      <c r="J12" s="30">
        <v>993.01504940633299</v>
      </c>
      <c r="K12" s="30">
        <v>1106.89822791654</v>
      </c>
      <c r="L12" s="31">
        <v>1128.30734690489</v>
      </c>
      <c r="M12" s="30">
        <v>1215.12611931429</v>
      </c>
      <c r="N12" s="30">
        <v>1196.8050968812599</v>
      </c>
      <c r="O12" s="30">
        <v>1288.0155223639199</v>
      </c>
      <c r="P12" s="30">
        <v>1411.55699295827</v>
      </c>
      <c r="Q12" s="30">
        <v>1616.86760863225</v>
      </c>
      <c r="R12" s="30">
        <v>1822.1846461810601</v>
      </c>
      <c r="S12" s="30">
        <v>1877.1531368398801</v>
      </c>
      <c r="T12" s="30">
        <v>1516.45191303465</v>
      </c>
      <c r="U12" s="30">
        <v>1707.7893567671799</v>
      </c>
      <c r="V12" s="30">
        <v>1808.2276040587799</v>
      </c>
      <c r="W12" s="30">
        <v>1841.2853348021299</v>
      </c>
      <c r="X12" s="30">
        <v>1536.1222856905099</v>
      </c>
      <c r="Y12" s="18"/>
      <c r="Z12" s="18"/>
    </row>
    <row r="13" spans="1:33" s="2" customFormat="1" ht="18" customHeight="1">
      <c r="A13" s="19" t="s">
        <v>20</v>
      </c>
      <c r="B13" s="32" t="s">
        <v>36</v>
      </c>
      <c r="C13" s="33">
        <v>374.67680501732502</v>
      </c>
      <c r="D13" s="33">
        <v>396.18502377317799</v>
      </c>
      <c r="E13" s="33">
        <v>519.00266735186904</v>
      </c>
      <c r="F13" s="33">
        <v>605.59899207840897</v>
      </c>
      <c r="G13" s="33">
        <v>401.48708516147701</v>
      </c>
      <c r="H13" s="33">
        <v>371.53804656166699</v>
      </c>
      <c r="I13" s="33">
        <v>181.68760130407099</v>
      </c>
      <c r="J13" s="33">
        <v>203.502987714336</v>
      </c>
      <c r="K13" s="33">
        <v>235.375388654711</v>
      </c>
      <c r="L13" s="34">
        <v>298.57558157434198</v>
      </c>
      <c r="M13" s="33">
        <v>383.23457369865099</v>
      </c>
      <c r="N13" s="33">
        <v>308.10720188597497</v>
      </c>
      <c r="O13" s="33">
        <v>283.04027394232202</v>
      </c>
      <c r="P13" s="33">
        <v>349.06258366243799</v>
      </c>
      <c r="Q13" s="33">
        <v>484.65407211357098</v>
      </c>
      <c r="R13" s="33">
        <v>510.61351538132601</v>
      </c>
      <c r="S13" s="33">
        <v>545.23081835916503</v>
      </c>
      <c r="T13" s="33">
        <v>528.54654866863598</v>
      </c>
      <c r="U13" s="33">
        <v>550.46433828838303</v>
      </c>
      <c r="V13" s="33">
        <v>540.11811917599505</v>
      </c>
      <c r="W13" s="33">
        <v>642.76245983578099</v>
      </c>
      <c r="X13" s="33">
        <v>353.612658723501</v>
      </c>
      <c r="Y13" s="18"/>
      <c r="Z13" s="18"/>
    </row>
    <row r="14" spans="1:33" s="2" customFormat="1" ht="18" customHeight="1">
      <c r="A14" s="19" t="s">
        <v>20</v>
      </c>
      <c r="B14" s="32" t="s">
        <v>44</v>
      </c>
      <c r="C14" s="33">
        <v>731.81375406519896</v>
      </c>
      <c r="D14" s="33">
        <v>718.38246988718004</v>
      </c>
      <c r="E14" s="33">
        <v>656.033372857887</v>
      </c>
      <c r="F14" s="33">
        <v>734.72764168842696</v>
      </c>
      <c r="G14" s="33">
        <v>734.33068568296505</v>
      </c>
      <c r="H14" s="33">
        <v>810.78421761623895</v>
      </c>
      <c r="I14" s="33">
        <v>750.60740239239396</v>
      </c>
      <c r="J14" s="33">
        <v>789.51206169199804</v>
      </c>
      <c r="K14" s="33">
        <v>871.522839261831</v>
      </c>
      <c r="L14" s="34">
        <v>829.731765330543</v>
      </c>
      <c r="M14" s="33">
        <v>831.89154561563498</v>
      </c>
      <c r="N14" s="33">
        <v>888.69789499528201</v>
      </c>
      <c r="O14" s="33">
        <v>1004.9752484216</v>
      </c>
      <c r="P14" s="33">
        <v>1062.4944092958301</v>
      </c>
      <c r="Q14" s="33">
        <v>1132.21353651868</v>
      </c>
      <c r="R14" s="33">
        <v>1311.5711307997301</v>
      </c>
      <c r="S14" s="33">
        <v>1331.9223184807099</v>
      </c>
      <c r="T14" s="33">
        <v>987.90536436601201</v>
      </c>
      <c r="U14" s="33">
        <v>1157.3250184788001</v>
      </c>
      <c r="V14" s="33">
        <v>1268.10948488278</v>
      </c>
      <c r="W14" s="33">
        <v>1198.5228749663399</v>
      </c>
      <c r="X14" s="33">
        <v>1182.50962696701</v>
      </c>
      <c r="Y14" s="18"/>
      <c r="Z14" s="18"/>
    </row>
    <row r="15" spans="1:33" s="2" customFormat="1" ht="18" customHeight="1">
      <c r="A15" s="19"/>
      <c r="B15" s="29" t="s">
        <v>53</v>
      </c>
      <c r="C15" s="30">
        <v>266.586233872957</v>
      </c>
      <c r="D15" s="30">
        <v>307.01682966797398</v>
      </c>
      <c r="E15" s="30">
        <v>380.67728686908998</v>
      </c>
      <c r="F15" s="30">
        <v>386.47173458191799</v>
      </c>
      <c r="G15" s="30">
        <v>383.75105432712502</v>
      </c>
      <c r="H15" s="30">
        <v>492.01535318296101</v>
      </c>
      <c r="I15" s="30">
        <v>550.42297888515998</v>
      </c>
      <c r="J15" s="30">
        <v>588.27180500813597</v>
      </c>
      <c r="K15" s="30">
        <v>602.52551279647696</v>
      </c>
      <c r="L15" s="31">
        <v>828.48153170907597</v>
      </c>
      <c r="M15" s="30">
        <v>807.18330159132097</v>
      </c>
      <c r="N15" s="30">
        <v>866.804120564595</v>
      </c>
      <c r="O15" s="30">
        <v>935.16489864816697</v>
      </c>
      <c r="P15" s="30">
        <v>1181.3141973194299</v>
      </c>
      <c r="Q15" s="30">
        <v>1348.22955487526</v>
      </c>
      <c r="R15" s="30">
        <v>1444.9330501097099</v>
      </c>
      <c r="S15" s="30">
        <v>1663.09868475605</v>
      </c>
      <c r="T15" s="30">
        <v>1987.3350146517</v>
      </c>
      <c r="U15" s="30">
        <v>1674.5330904926</v>
      </c>
      <c r="V15" s="30">
        <v>1769.5505474409799</v>
      </c>
      <c r="W15" s="30">
        <v>1897.04046056828</v>
      </c>
      <c r="X15" s="30">
        <v>2346.9548921631199</v>
      </c>
      <c r="Y15" s="18"/>
      <c r="Z15" s="18"/>
    </row>
    <row r="16" spans="1:33" s="8" customFormat="1" ht="18" customHeight="1">
      <c r="A16" s="35" t="s">
        <v>5</v>
      </c>
      <c r="B16" s="32" t="s">
        <v>51</v>
      </c>
      <c r="C16" s="33">
        <v>179.96791635181199</v>
      </c>
      <c r="D16" s="33">
        <v>205.82603631430101</v>
      </c>
      <c r="E16" s="33">
        <v>258.67364040509301</v>
      </c>
      <c r="F16" s="33">
        <v>253.10086935643301</v>
      </c>
      <c r="G16" s="33">
        <v>237.73119829997299</v>
      </c>
      <c r="H16" s="33">
        <v>311.36189742578398</v>
      </c>
      <c r="I16" s="33">
        <v>343.64407751719398</v>
      </c>
      <c r="J16" s="33">
        <v>357.30917915372498</v>
      </c>
      <c r="K16" s="33">
        <v>347.73216532592602</v>
      </c>
      <c r="L16" s="34">
        <v>536.10070912220101</v>
      </c>
      <c r="M16" s="33">
        <v>498.20955427564598</v>
      </c>
      <c r="N16" s="33">
        <v>530.99210356648496</v>
      </c>
      <c r="O16" s="33">
        <v>570.451541842246</v>
      </c>
      <c r="P16" s="33">
        <v>669.39631858228404</v>
      </c>
      <c r="Q16" s="33">
        <v>770.695671337867</v>
      </c>
      <c r="R16" s="33">
        <v>788.13066811888996</v>
      </c>
      <c r="S16" s="33">
        <v>916.52011100000004</v>
      </c>
      <c r="T16" s="33">
        <v>1192.42380833571</v>
      </c>
      <c r="U16" s="33">
        <v>820.22215247603003</v>
      </c>
      <c r="V16" s="33">
        <v>876.44387548037298</v>
      </c>
      <c r="W16" s="33">
        <v>1033.51865659533</v>
      </c>
      <c r="X16" s="33">
        <v>1353.8962032624599</v>
      </c>
      <c r="Y16" s="36"/>
      <c r="Z16" s="36"/>
    </row>
    <row r="17" spans="1:26" s="8" customFormat="1" ht="18" customHeight="1">
      <c r="A17" s="35" t="s">
        <v>6</v>
      </c>
      <c r="B17" s="32" t="s">
        <v>50</v>
      </c>
      <c r="C17" s="33">
        <v>86.618317521145201</v>
      </c>
      <c r="D17" s="33">
        <v>101.190793353673</v>
      </c>
      <c r="E17" s="33">
        <v>122.003646463997</v>
      </c>
      <c r="F17" s="33">
        <v>133.37086522548501</v>
      </c>
      <c r="G17" s="33">
        <v>146.01985602715101</v>
      </c>
      <c r="H17" s="33">
        <v>180.653455757177</v>
      </c>
      <c r="I17" s="33">
        <v>206.77890136796501</v>
      </c>
      <c r="J17" s="33">
        <v>230.96262585441201</v>
      </c>
      <c r="K17" s="33">
        <v>254.793347470551</v>
      </c>
      <c r="L17" s="34">
        <v>292.38082258687399</v>
      </c>
      <c r="M17" s="33">
        <v>308.97374731567498</v>
      </c>
      <c r="N17" s="33">
        <v>335.81201699810998</v>
      </c>
      <c r="O17" s="33">
        <v>364.71335680592102</v>
      </c>
      <c r="P17" s="33">
        <v>511.917878737146</v>
      </c>
      <c r="Q17" s="33">
        <v>577.53388353739103</v>
      </c>
      <c r="R17" s="33">
        <v>656.80238199082396</v>
      </c>
      <c r="S17" s="33">
        <v>746.57857375605499</v>
      </c>
      <c r="T17" s="33">
        <v>794.91120631599097</v>
      </c>
      <c r="U17" s="33">
        <v>854.31093801657505</v>
      </c>
      <c r="V17" s="33">
        <v>893.10667196060695</v>
      </c>
      <c r="W17" s="33">
        <v>863.52180397294899</v>
      </c>
      <c r="X17" s="33">
        <v>993.05868890066199</v>
      </c>
      <c r="Y17" s="36"/>
      <c r="Z17" s="36"/>
    </row>
    <row r="18" spans="1:26" s="2" customFormat="1" ht="18" customHeight="1">
      <c r="A18" s="19" t="s">
        <v>7</v>
      </c>
      <c r="B18" s="29" t="s">
        <v>28</v>
      </c>
      <c r="C18" s="30">
        <v>1305.6089202266701</v>
      </c>
      <c r="D18" s="30">
        <v>1980.71361058301</v>
      </c>
      <c r="E18" s="30">
        <v>2363.9351386030698</v>
      </c>
      <c r="F18" s="30">
        <v>2684.0538701916998</v>
      </c>
      <c r="G18" s="30">
        <v>3628.6713277497502</v>
      </c>
      <c r="H18" s="30">
        <v>3985.3049812638001</v>
      </c>
      <c r="I18" s="30">
        <v>2664.21120493326</v>
      </c>
      <c r="J18" s="30">
        <v>2867.1876104836902</v>
      </c>
      <c r="K18" s="30">
        <v>3448.03361184806</v>
      </c>
      <c r="L18" s="31">
        <v>3370.34674436663</v>
      </c>
      <c r="M18" s="30">
        <v>2928.84642567725</v>
      </c>
      <c r="N18" s="30">
        <v>3764.7035766675899</v>
      </c>
      <c r="O18" s="30">
        <v>4811.3124304432604</v>
      </c>
      <c r="P18" s="30">
        <v>5111.5361835232297</v>
      </c>
      <c r="Q18" s="30">
        <v>5761.8722938681303</v>
      </c>
      <c r="R18" s="30">
        <v>6982.3453912549103</v>
      </c>
      <c r="S18" s="30">
        <v>6978.625</v>
      </c>
      <c r="T18" s="30">
        <v>3430.0252467108498</v>
      </c>
      <c r="U18" s="30">
        <v>3231.3765356065801</v>
      </c>
      <c r="V18" s="30">
        <v>4335.3984944583599</v>
      </c>
      <c r="W18" s="30">
        <v>4429.7932443271202</v>
      </c>
      <c r="X18" s="30">
        <v>4352.4305012373297</v>
      </c>
      <c r="Y18" s="18"/>
      <c r="Z18" s="18"/>
    </row>
    <row r="19" spans="1:26" s="2" customFormat="1" ht="18" customHeight="1">
      <c r="A19" s="23"/>
      <c r="B19" s="24" t="s">
        <v>8</v>
      </c>
      <c r="C19" s="27">
        <v>25545.230618227401</v>
      </c>
      <c r="D19" s="27">
        <v>26514.900794341</v>
      </c>
      <c r="E19" s="27">
        <v>22454.764129259001</v>
      </c>
      <c r="F19" s="27">
        <v>28510.595868707202</v>
      </c>
      <c r="G19" s="27">
        <v>31341.706195996601</v>
      </c>
      <c r="H19" s="27">
        <v>34624.331118269904</v>
      </c>
      <c r="I19" s="27">
        <v>33280.985186538797</v>
      </c>
      <c r="J19" s="27">
        <v>35464.450180145599</v>
      </c>
      <c r="K19" s="27">
        <v>37691.1259129639</v>
      </c>
      <c r="L19" s="28">
        <v>38636.7571183041</v>
      </c>
      <c r="M19" s="27">
        <v>41988.885673923302</v>
      </c>
      <c r="N19" s="27">
        <v>45098.269191707797</v>
      </c>
      <c r="O19" s="27">
        <v>46852.612961614897</v>
      </c>
      <c r="P19" s="27">
        <v>50231.553092659196</v>
      </c>
      <c r="Q19" s="27">
        <v>53196.218824121199</v>
      </c>
      <c r="R19" s="27">
        <v>57310.134182528403</v>
      </c>
      <c r="S19" s="27">
        <v>62769.9335574699</v>
      </c>
      <c r="T19" s="27">
        <v>42872.173442791202</v>
      </c>
      <c r="U19" s="27">
        <v>61310.7697007651</v>
      </c>
      <c r="V19" s="27">
        <v>70068.441929960507</v>
      </c>
      <c r="W19" s="27">
        <v>73632.177363586394</v>
      </c>
      <c r="X19" s="27">
        <v>78042.540514984503</v>
      </c>
      <c r="Y19" s="18"/>
      <c r="Z19" s="18"/>
    </row>
    <row r="20" spans="1:26" s="2" customFormat="1" ht="18" customHeight="1">
      <c r="A20" s="19" t="s">
        <v>9</v>
      </c>
      <c r="B20" s="29" t="s">
        <v>29</v>
      </c>
      <c r="C20" s="30">
        <v>4650.72224009199</v>
      </c>
      <c r="D20" s="30">
        <v>3955.7923289850701</v>
      </c>
      <c r="E20" s="30">
        <v>3550.0393634280499</v>
      </c>
      <c r="F20" s="30">
        <v>4312.8083731142497</v>
      </c>
      <c r="G20" s="30">
        <v>4215.74461280579</v>
      </c>
      <c r="H20" s="30">
        <v>5412.9640225537796</v>
      </c>
      <c r="I20" s="30">
        <v>3854.84011500926</v>
      </c>
      <c r="J20" s="30">
        <v>4004.6803963428601</v>
      </c>
      <c r="K20" s="30">
        <v>4821.8073231742801</v>
      </c>
      <c r="L20" s="31">
        <v>4740.31165732917</v>
      </c>
      <c r="M20" s="30">
        <v>5140.8448899022296</v>
      </c>
      <c r="N20" s="30">
        <v>6127.5646560393498</v>
      </c>
      <c r="O20" s="30">
        <v>5835.0993761457003</v>
      </c>
      <c r="P20" s="30">
        <v>6688.9535244831304</v>
      </c>
      <c r="Q20" s="30">
        <v>6920.1762673984504</v>
      </c>
      <c r="R20" s="30">
        <v>7621.2479411904296</v>
      </c>
      <c r="S20" s="30">
        <v>7814.3967144593698</v>
      </c>
      <c r="T20" s="30">
        <v>4844.61349991304</v>
      </c>
      <c r="U20" s="30">
        <v>6786.5183231394803</v>
      </c>
      <c r="V20" s="30">
        <v>8160.7136103804296</v>
      </c>
      <c r="W20" s="30">
        <v>8744.0176776055705</v>
      </c>
      <c r="X20" s="30">
        <v>9114.6336379590502</v>
      </c>
      <c r="Y20" s="18"/>
      <c r="Z20" s="18"/>
    </row>
    <row r="21" spans="1:26" s="2" customFormat="1" ht="18" customHeight="1">
      <c r="A21" s="19"/>
      <c r="B21" s="29" t="s">
        <v>30</v>
      </c>
      <c r="C21" s="30">
        <v>9094.8496217448192</v>
      </c>
      <c r="D21" s="30">
        <v>9805.3923035022108</v>
      </c>
      <c r="E21" s="30">
        <v>6350.0218364003704</v>
      </c>
      <c r="F21" s="30">
        <v>9343.7171038520592</v>
      </c>
      <c r="G21" s="30">
        <v>10150.2163470204</v>
      </c>
      <c r="H21" s="30">
        <v>10213.6388802616</v>
      </c>
      <c r="I21" s="30">
        <v>9636.0532216573392</v>
      </c>
      <c r="J21" s="30">
        <v>10776.5270574592</v>
      </c>
      <c r="K21" s="30">
        <v>11737.0302219203</v>
      </c>
      <c r="L21" s="31">
        <v>11701.628849782101</v>
      </c>
      <c r="M21" s="30">
        <v>12900.9808807924</v>
      </c>
      <c r="N21" s="30">
        <v>13226.276317932799</v>
      </c>
      <c r="O21" s="30">
        <v>13107.9247596801</v>
      </c>
      <c r="P21" s="30">
        <v>13638.610931687999</v>
      </c>
      <c r="Q21" s="30">
        <v>15010.305378209199</v>
      </c>
      <c r="R21" s="30">
        <v>16621.864233120599</v>
      </c>
      <c r="S21" s="30">
        <v>18992.5042795306</v>
      </c>
      <c r="T21" s="30">
        <v>6687.9570043080503</v>
      </c>
      <c r="U21" s="30">
        <v>17277.8147939175</v>
      </c>
      <c r="V21" s="30">
        <v>20543.572318313101</v>
      </c>
      <c r="W21" s="30">
        <v>20847.143075045798</v>
      </c>
      <c r="X21" s="30">
        <v>22557.595737700802</v>
      </c>
      <c r="Y21" s="18"/>
      <c r="Z21" s="18"/>
    </row>
    <row r="22" spans="1:26" s="8" customFormat="1" ht="18" customHeight="1">
      <c r="A22" s="35" t="s">
        <v>11</v>
      </c>
      <c r="B22" s="32" t="s">
        <v>37</v>
      </c>
      <c r="C22" s="33">
        <v>8213.0356278148702</v>
      </c>
      <c r="D22" s="33">
        <v>8840.6341164198093</v>
      </c>
      <c r="E22" s="33">
        <v>5559.2947443368403</v>
      </c>
      <c r="F22" s="33">
        <v>8258.7177374610092</v>
      </c>
      <c r="G22" s="33">
        <v>8966.0126279525903</v>
      </c>
      <c r="H22" s="33">
        <v>9130.7394032911907</v>
      </c>
      <c r="I22" s="33">
        <v>8671.7163902507291</v>
      </c>
      <c r="J22" s="33">
        <v>9827.5101990809508</v>
      </c>
      <c r="K22" s="33">
        <v>10689.469618569799</v>
      </c>
      <c r="L22" s="34">
        <v>10726.4103075159</v>
      </c>
      <c r="M22" s="33">
        <v>11713.332308409799</v>
      </c>
      <c r="N22" s="33">
        <v>12078.8387380532</v>
      </c>
      <c r="O22" s="33">
        <v>11713.4157011186</v>
      </c>
      <c r="P22" s="33">
        <v>12295.5860736949</v>
      </c>
      <c r="Q22" s="33">
        <v>13819.4595771922</v>
      </c>
      <c r="R22" s="33">
        <v>15511.8735383725</v>
      </c>
      <c r="S22" s="33">
        <v>17957.132444913299</v>
      </c>
      <c r="T22" s="33">
        <v>6015.96830237007</v>
      </c>
      <c r="U22" s="33">
        <v>16402.141559993401</v>
      </c>
      <c r="V22" s="33">
        <v>19564.215694506998</v>
      </c>
      <c r="W22" s="33">
        <v>19799.959812435602</v>
      </c>
      <c r="X22" s="33">
        <v>21462.496730768598</v>
      </c>
      <c r="Y22" s="36"/>
      <c r="Z22" s="36"/>
    </row>
    <row r="23" spans="1:26" s="8" customFormat="1" ht="18" customHeight="1">
      <c r="A23" s="35" t="s">
        <v>11</v>
      </c>
      <c r="B23" s="32" t="s">
        <v>52</v>
      </c>
      <c r="C23" s="33">
        <v>340.45005171157902</v>
      </c>
      <c r="D23" s="33">
        <v>418.452517291871</v>
      </c>
      <c r="E23" s="33">
        <v>309.899128486959</v>
      </c>
      <c r="F23" s="33">
        <v>390.99181782242999</v>
      </c>
      <c r="G23" s="33">
        <v>459.95624559830202</v>
      </c>
      <c r="H23" s="33">
        <v>464.09127969537701</v>
      </c>
      <c r="I23" s="33">
        <v>414.981519197919</v>
      </c>
      <c r="J23" s="33">
        <v>513.77003632517301</v>
      </c>
      <c r="K23" s="33">
        <v>620.95014558352602</v>
      </c>
      <c r="L23" s="34">
        <v>499.24126891429898</v>
      </c>
      <c r="M23" s="33">
        <v>603.77237457481203</v>
      </c>
      <c r="N23" s="33">
        <v>664.08204203643595</v>
      </c>
      <c r="O23" s="33">
        <v>891.34100000870296</v>
      </c>
      <c r="P23" s="33">
        <v>821.02463443034799</v>
      </c>
      <c r="Q23" s="33">
        <v>644.17730816503695</v>
      </c>
      <c r="R23" s="33">
        <v>537.674587190593</v>
      </c>
      <c r="S23" s="33">
        <v>435.61945281953302</v>
      </c>
      <c r="T23" s="33">
        <v>163.266566828929</v>
      </c>
      <c r="U23" s="33">
        <v>256.01597137678601</v>
      </c>
      <c r="V23" s="33">
        <v>348.85327141821199</v>
      </c>
      <c r="W23" s="33">
        <v>409.27105689319598</v>
      </c>
      <c r="X23" s="33">
        <v>446.80407713069599</v>
      </c>
      <c r="Y23" s="36"/>
      <c r="Z23" s="36"/>
    </row>
    <row r="24" spans="1:26" s="8" customFormat="1" ht="18" customHeight="1">
      <c r="A24" s="35" t="s">
        <v>11</v>
      </c>
      <c r="B24" s="32" t="s">
        <v>38</v>
      </c>
      <c r="C24" s="33">
        <v>541.36394221836997</v>
      </c>
      <c r="D24" s="33">
        <v>546.30566979053106</v>
      </c>
      <c r="E24" s="33">
        <v>480.82796357657099</v>
      </c>
      <c r="F24" s="33">
        <v>694.00754856862</v>
      </c>
      <c r="G24" s="33">
        <v>724.24747346955405</v>
      </c>
      <c r="H24" s="33">
        <v>618.80819727502399</v>
      </c>
      <c r="I24" s="33">
        <v>549.35531220869495</v>
      </c>
      <c r="J24" s="33">
        <v>435.246822053073</v>
      </c>
      <c r="K24" s="33">
        <v>426.61045776694903</v>
      </c>
      <c r="L24" s="34">
        <v>475.97727335185499</v>
      </c>
      <c r="M24" s="33">
        <v>583.87619780781699</v>
      </c>
      <c r="N24" s="33">
        <v>483.35553784318398</v>
      </c>
      <c r="O24" s="33">
        <v>503.168058552773</v>
      </c>
      <c r="P24" s="33">
        <v>522.000223562781</v>
      </c>
      <c r="Q24" s="33">
        <v>546.66849285196497</v>
      </c>
      <c r="R24" s="33">
        <v>572.316107557446</v>
      </c>
      <c r="S24" s="33">
        <v>599.75238179779001</v>
      </c>
      <c r="T24" s="33">
        <v>508.72213510905101</v>
      </c>
      <c r="U24" s="33">
        <v>619.65726254736001</v>
      </c>
      <c r="V24" s="33">
        <v>630.50335238788603</v>
      </c>
      <c r="W24" s="33">
        <v>637.91220571706106</v>
      </c>
      <c r="X24" s="33">
        <v>648.29492980144903</v>
      </c>
      <c r="Y24" s="36"/>
      <c r="Z24" s="36"/>
    </row>
    <row r="25" spans="1:26" s="2" customFormat="1" ht="18" customHeight="1">
      <c r="A25" s="19"/>
      <c r="B25" s="29" t="s">
        <v>25</v>
      </c>
      <c r="C25" s="30">
        <v>2378.7826322394799</v>
      </c>
      <c r="D25" s="30">
        <v>2903.6549530857801</v>
      </c>
      <c r="E25" s="30">
        <v>2537.1116457827802</v>
      </c>
      <c r="F25" s="30">
        <v>3186.3010915179402</v>
      </c>
      <c r="G25" s="30">
        <v>3659.3844467293402</v>
      </c>
      <c r="H25" s="30">
        <v>3810.8103022292098</v>
      </c>
      <c r="I25" s="30">
        <v>4214.7914628202197</v>
      </c>
      <c r="J25" s="30">
        <v>5190.1030132487103</v>
      </c>
      <c r="K25" s="30">
        <v>5269.14576068926</v>
      </c>
      <c r="L25" s="31">
        <v>5826.9294432961697</v>
      </c>
      <c r="M25" s="30">
        <v>6415.4493518873196</v>
      </c>
      <c r="N25" s="30">
        <v>6770.8992657041699</v>
      </c>
      <c r="O25" s="30">
        <v>7514.1262900644697</v>
      </c>
      <c r="P25" s="30">
        <v>8294.2913468159495</v>
      </c>
      <c r="Q25" s="30">
        <v>8348.7796016614393</v>
      </c>
      <c r="R25" s="30">
        <v>8682.7847869723792</v>
      </c>
      <c r="S25" s="30">
        <v>9792.6427954499195</v>
      </c>
      <c r="T25" s="30">
        <v>6178.8884359028998</v>
      </c>
      <c r="U25" s="30">
        <v>8837.1106012800501</v>
      </c>
      <c r="V25" s="30">
        <v>10391.2826665592</v>
      </c>
      <c r="W25" s="30">
        <v>12040.7569762927</v>
      </c>
      <c r="X25" s="30">
        <v>12906.4686721459</v>
      </c>
      <c r="Y25" s="18"/>
      <c r="Z25" s="18"/>
    </row>
    <row r="26" spans="1:26" s="8" customFormat="1" ht="18" customHeight="1">
      <c r="A26" s="35" t="s">
        <v>10</v>
      </c>
      <c r="B26" s="32" t="s">
        <v>39</v>
      </c>
      <c r="C26" s="33">
        <v>1208.0728323112801</v>
      </c>
      <c r="D26" s="33">
        <v>1423.6464573401699</v>
      </c>
      <c r="E26" s="33">
        <v>1242.88408384114</v>
      </c>
      <c r="F26" s="33">
        <v>1599.0642439190501</v>
      </c>
      <c r="G26" s="33">
        <v>1779.54533765877</v>
      </c>
      <c r="H26" s="33">
        <v>1815.22995094616</v>
      </c>
      <c r="I26" s="33">
        <v>2054.1316661646902</v>
      </c>
      <c r="J26" s="33">
        <v>2441.10979223394</v>
      </c>
      <c r="K26" s="33">
        <v>2441.2761640819899</v>
      </c>
      <c r="L26" s="34">
        <v>2931.0952631723098</v>
      </c>
      <c r="M26" s="33">
        <v>3264.2355668537998</v>
      </c>
      <c r="N26" s="33">
        <v>3451.6728041707502</v>
      </c>
      <c r="O26" s="33">
        <v>3709.0163930497201</v>
      </c>
      <c r="P26" s="33">
        <v>3945.3487626177998</v>
      </c>
      <c r="Q26" s="33">
        <v>3800.1231889983301</v>
      </c>
      <c r="R26" s="33">
        <v>3912.66886308532</v>
      </c>
      <c r="S26" s="33">
        <v>4536.7330327847403</v>
      </c>
      <c r="T26" s="33">
        <v>2768.0081165932002</v>
      </c>
      <c r="U26" s="33">
        <v>4068.97678341248</v>
      </c>
      <c r="V26" s="33">
        <v>4593.9356791069504</v>
      </c>
      <c r="W26" s="33">
        <v>5029.6327512099197</v>
      </c>
      <c r="X26" s="33">
        <v>5272.5189051191001</v>
      </c>
      <c r="Y26" s="36"/>
      <c r="Z26" s="36"/>
    </row>
    <row r="27" spans="1:26" s="8" customFormat="1" ht="18" customHeight="1">
      <c r="A27" s="35" t="s">
        <v>14</v>
      </c>
      <c r="B27" s="32" t="s">
        <v>40</v>
      </c>
      <c r="C27" s="33">
        <v>672.84285081524604</v>
      </c>
      <c r="D27" s="33">
        <v>751.50916139186597</v>
      </c>
      <c r="E27" s="33">
        <v>541.32566018632303</v>
      </c>
      <c r="F27" s="33">
        <v>774.41737338566998</v>
      </c>
      <c r="G27" s="33">
        <v>877.90709643448702</v>
      </c>
      <c r="H27" s="33">
        <v>881.63628285950801</v>
      </c>
      <c r="I27" s="33">
        <v>874.55587498888701</v>
      </c>
      <c r="J27" s="33">
        <v>1062.34355503403</v>
      </c>
      <c r="K27" s="33">
        <v>1189.3241828320699</v>
      </c>
      <c r="L27" s="34">
        <v>1230.00466899506</v>
      </c>
      <c r="M27" s="33">
        <v>1439.3143134478701</v>
      </c>
      <c r="N27" s="33">
        <v>1577.37030828613</v>
      </c>
      <c r="O27" s="33">
        <v>1643.66720288285</v>
      </c>
      <c r="P27" s="33">
        <v>1755.95611738197</v>
      </c>
      <c r="Q27" s="33">
        <v>1872.7960656689099</v>
      </c>
      <c r="R27" s="33">
        <v>2046.9393633760801</v>
      </c>
      <c r="S27" s="33">
        <v>2326.1259277006302</v>
      </c>
      <c r="T27" s="33">
        <v>736.34763197582902</v>
      </c>
      <c r="U27" s="33">
        <v>1650.3327175460299</v>
      </c>
      <c r="V27" s="33">
        <v>2077.6150443828001</v>
      </c>
      <c r="W27" s="33">
        <v>2603.9316159755199</v>
      </c>
      <c r="X27" s="33">
        <v>2849.6640297006802</v>
      </c>
      <c r="Y27" s="36"/>
      <c r="Z27" s="36"/>
    </row>
    <row r="28" spans="1:26" s="8" customFormat="1" ht="18" customHeight="1">
      <c r="A28" s="35" t="s">
        <v>10</v>
      </c>
      <c r="B28" s="32" t="s">
        <v>41</v>
      </c>
      <c r="C28" s="33">
        <v>497.86694911295399</v>
      </c>
      <c r="D28" s="33">
        <v>728.49933435374101</v>
      </c>
      <c r="E28" s="33">
        <v>752.901901755317</v>
      </c>
      <c r="F28" s="33">
        <v>812.81947421322195</v>
      </c>
      <c r="G28" s="33">
        <v>1001.93201263609</v>
      </c>
      <c r="H28" s="33">
        <v>1113.9440684235401</v>
      </c>
      <c r="I28" s="33">
        <v>1286.10392166664</v>
      </c>
      <c r="J28" s="33">
        <v>1686.6496659807301</v>
      </c>
      <c r="K28" s="33">
        <v>1638.5454137751999</v>
      </c>
      <c r="L28" s="34">
        <v>1665.8295111288</v>
      </c>
      <c r="M28" s="33">
        <v>1711.89947158565</v>
      </c>
      <c r="N28" s="33">
        <v>1741.85615324729</v>
      </c>
      <c r="O28" s="33">
        <v>2161.4426941319002</v>
      </c>
      <c r="P28" s="33">
        <v>2592.9864668161799</v>
      </c>
      <c r="Q28" s="33">
        <v>2675.8603469942</v>
      </c>
      <c r="R28" s="33">
        <v>2723.1765605109799</v>
      </c>
      <c r="S28" s="33">
        <v>2929.7838349645499</v>
      </c>
      <c r="T28" s="33">
        <v>2674.5326873338799</v>
      </c>
      <c r="U28" s="33">
        <v>3117.8011003215402</v>
      </c>
      <c r="V28" s="33">
        <v>3719.7319430694201</v>
      </c>
      <c r="W28" s="33">
        <v>4407.1926091072401</v>
      </c>
      <c r="X28" s="33">
        <v>4784.2857373261404</v>
      </c>
      <c r="Y28" s="36"/>
      <c r="Z28" s="36"/>
    </row>
    <row r="29" spans="1:26" s="2" customFormat="1" ht="18" customHeight="1">
      <c r="A29" s="19"/>
      <c r="B29" s="29" t="s">
        <v>31</v>
      </c>
      <c r="C29" s="30">
        <v>747.99673207505703</v>
      </c>
      <c r="D29" s="30">
        <v>962.354153431795</v>
      </c>
      <c r="E29" s="30">
        <v>1328.0991474884499</v>
      </c>
      <c r="F29" s="30">
        <v>1733.5322961162001</v>
      </c>
      <c r="G29" s="30">
        <v>2385.19331263098</v>
      </c>
      <c r="H29" s="30">
        <v>2921.96620317819</v>
      </c>
      <c r="I29" s="30">
        <v>3042.4632727543399</v>
      </c>
      <c r="J29" s="30">
        <v>3003.4250965588199</v>
      </c>
      <c r="K29" s="30">
        <v>3080.6769221162699</v>
      </c>
      <c r="L29" s="31">
        <v>2779.2025472749801</v>
      </c>
      <c r="M29" s="30">
        <v>2872.6529557024301</v>
      </c>
      <c r="N29" s="30">
        <v>3104.1247470974699</v>
      </c>
      <c r="O29" s="30">
        <v>3549.3981554583602</v>
      </c>
      <c r="P29" s="30">
        <v>3773.4889155155101</v>
      </c>
      <c r="Q29" s="30">
        <v>4263.5366520297603</v>
      </c>
      <c r="R29" s="30">
        <v>4332.9572548713904</v>
      </c>
      <c r="S29" s="30">
        <v>4441.6727051717298</v>
      </c>
      <c r="T29" s="30">
        <v>4986.3732350144501</v>
      </c>
      <c r="U29" s="30">
        <v>5854.3667080169798</v>
      </c>
      <c r="V29" s="30">
        <v>6195.4315137920903</v>
      </c>
      <c r="W29" s="30">
        <v>6380.8517998915104</v>
      </c>
      <c r="X29" s="30">
        <v>6474.1794114205404</v>
      </c>
      <c r="Y29" s="18"/>
      <c r="Z29" s="18"/>
    </row>
    <row r="30" spans="1:26" s="8" customFormat="1" ht="18" customHeight="1">
      <c r="A30" s="35" t="s">
        <v>12</v>
      </c>
      <c r="B30" s="32" t="s">
        <v>42</v>
      </c>
      <c r="C30" s="33">
        <v>730.86338464206005</v>
      </c>
      <c r="D30" s="33">
        <v>942.74880837154399</v>
      </c>
      <c r="E30" s="33">
        <v>1299.61699934239</v>
      </c>
      <c r="F30" s="33">
        <v>1688.39313590859</v>
      </c>
      <c r="G30" s="33">
        <v>2332.0028091781601</v>
      </c>
      <c r="H30" s="33">
        <v>2852.94987545101</v>
      </c>
      <c r="I30" s="33">
        <v>2963.5942718351898</v>
      </c>
      <c r="J30" s="33">
        <v>2918.8995887719998</v>
      </c>
      <c r="K30" s="33">
        <v>2995.4432978966902</v>
      </c>
      <c r="L30" s="34">
        <v>2683.4501900907098</v>
      </c>
      <c r="M30" s="33">
        <v>2779.0445962652302</v>
      </c>
      <c r="N30" s="33">
        <v>3014.57786754278</v>
      </c>
      <c r="O30" s="33">
        <v>3446.4643541605101</v>
      </c>
      <c r="P30" s="33">
        <v>3668.7384957588702</v>
      </c>
      <c r="Q30" s="33">
        <v>4150.1937415526099</v>
      </c>
      <c r="R30" s="33">
        <v>4195.3986590805898</v>
      </c>
      <c r="S30" s="33">
        <v>4267.1067130458096</v>
      </c>
      <c r="T30" s="33">
        <v>4801.2006518846802</v>
      </c>
      <c r="U30" s="33">
        <v>5620.6612639415898</v>
      </c>
      <c r="V30" s="33">
        <v>5894.8809256548402</v>
      </c>
      <c r="W30" s="33">
        <v>6019.1594732192398</v>
      </c>
      <c r="X30" s="33">
        <v>6032.4249842388099</v>
      </c>
      <c r="Y30" s="36"/>
      <c r="Z30" s="36"/>
    </row>
    <row r="31" spans="1:26" s="8" customFormat="1" ht="18" customHeight="1">
      <c r="A31" s="35" t="s">
        <v>12</v>
      </c>
      <c r="B31" s="32" t="s">
        <v>43</v>
      </c>
      <c r="C31" s="33">
        <v>17.133347432997098</v>
      </c>
      <c r="D31" s="33">
        <v>19.605345060250901</v>
      </c>
      <c r="E31" s="33">
        <v>28.482148146056101</v>
      </c>
      <c r="F31" s="33">
        <v>45.139160207611901</v>
      </c>
      <c r="G31" s="33">
        <v>53.1905034528247</v>
      </c>
      <c r="H31" s="33">
        <v>69.016327727187104</v>
      </c>
      <c r="I31" s="33">
        <v>78.869000919157003</v>
      </c>
      <c r="J31" s="33">
        <v>84.525507786822502</v>
      </c>
      <c r="K31" s="33">
        <v>85.233624219580705</v>
      </c>
      <c r="L31" s="34">
        <v>95.752357184269798</v>
      </c>
      <c r="M31" s="33">
        <v>93.608359437204001</v>
      </c>
      <c r="N31" s="33">
        <v>89.546879554690605</v>
      </c>
      <c r="O31" s="33">
        <v>102.933801297852</v>
      </c>
      <c r="P31" s="33">
        <v>104.750419756637</v>
      </c>
      <c r="Q31" s="33">
        <v>113.342910477147</v>
      </c>
      <c r="R31" s="33">
        <v>137.55859579079501</v>
      </c>
      <c r="S31" s="33">
        <v>174.565992125913</v>
      </c>
      <c r="T31" s="33">
        <v>185.172583129765</v>
      </c>
      <c r="U31" s="33">
        <v>233.705444075391</v>
      </c>
      <c r="V31" s="33">
        <v>300.550588137251</v>
      </c>
      <c r="W31" s="33">
        <v>361.69232667226697</v>
      </c>
      <c r="X31" s="33">
        <v>441.75442718172502</v>
      </c>
      <c r="Y31" s="36"/>
      <c r="Z31" s="36"/>
    </row>
    <row r="32" spans="1:26" s="2" customFormat="1" ht="18" customHeight="1">
      <c r="A32" s="19" t="s">
        <v>13</v>
      </c>
      <c r="B32" s="29" t="s">
        <v>46</v>
      </c>
      <c r="C32" s="30">
        <v>3509.6795560964301</v>
      </c>
      <c r="D32" s="30">
        <v>3685.3726412599199</v>
      </c>
      <c r="E32" s="30">
        <v>3646.4540145833498</v>
      </c>
      <c r="F32" s="30">
        <v>3828.2069577941002</v>
      </c>
      <c r="G32" s="30">
        <v>3976.9516138887798</v>
      </c>
      <c r="H32" s="30">
        <v>3933.7811614617999</v>
      </c>
      <c r="I32" s="30">
        <v>3703.2650654682502</v>
      </c>
      <c r="J32" s="30">
        <v>3921.4556520220499</v>
      </c>
      <c r="K32" s="30">
        <v>4219.6834912185104</v>
      </c>
      <c r="L32" s="31">
        <v>4484.2607605326502</v>
      </c>
      <c r="M32" s="30">
        <v>4808.9654391778704</v>
      </c>
      <c r="N32" s="30">
        <v>5183.9901107245196</v>
      </c>
      <c r="O32" s="30">
        <v>5384.30357463572</v>
      </c>
      <c r="P32" s="30">
        <v>5606.0039795224502</v>
      </c>
      <c r="Q32" s="30">
        <v>5621.7138965700497</v>
      </c>
      <c r="R32" s="30">
        <v>5976.3568128960696</v>
      </c>
      <c r="S32" s="30">
        <v>6265.629465</v>
      </c>
      <c r="T32" s="30">
        <v>6467.5694812420097</v>
      </c>
      <c r="U32" s="30">
        <v>6972.3655460579203</v>
      </c>
      <c r="V32" s="30">
        <v>7921.6782648194903</v>
      </c>
      <c r="W32" s="30">
        <v>8251.3880748960091</v>
      </c>
      <c r="X32" s="30">
        <v>8688.3974787880907</v>
      </c>
      <c r="Y32" s="18"/>
      <c r="Z32" s="18"/>
    </row>
    <row r="33" spans="1:26" s="2" customFormat="1" ht="18" customHeight="1">
      <c r="A33" s="19" t="s">
        <v>24</v>
      </c>
      <c r="B33" s="29" t="s">
        <v>32</v>
      </c>
      <c r="C33" s="30">
        <v>266.44391752408399</v>
      </c>
      <c r="D33" s="30">
        <v>338.50405044767399</v>
      </c>
      <c r="E33" s="30">
        <v>314.53617406511103</v>
      </c>
      <c r="F33" s="30">
        <v>475.61254360361198</v>
      </c>
      <c r="G33" s="30">
        <v>575.85195135115805</v>
      </c>
      <c r="H33" s="30">
        <v>650.68560370688499</v>
      </c>
      <c r="I33" s="30">
        <v>666.42780101861194</v>
      </c>
      <c r="J33" s="30">
        <v>727.42121660316502</v>
      </c>
      <c r="K33" s="30">
        <v>755.28601402371305</v>
      </c>
      <c r="L33" s="31">
        <v>760.495250775199</v>
      </c>
      <c r="M33" s="30">
        <v>816.56126700045002</v>
      </c>
      <c r="N33" s="30">
        <v>897.424281654011</v>
      </c>
      <c r="O33" s="30">
        <v>813.67903403832304</v>
      </c>
      <c r="P33" s="30">
        <v>880.98219751465399</v>
      </c>
      <c r="Q33" s="30">
        <v>866.69049715997005</v>
      </c>
      <c r="R33" s="30">
        <v>897.22950650965799</v>
      </c>
      <c r="S33" s="30">
        <v>868.98451394376696</v>
      </c>
      <c r="T33" s="30">
        <v>546.509328393641</v>
      </c>
      <c r="U33" s="30">
        <v>762.65326040581101</v>
      </c>
      <c r="V33" s="30">
        <v>895.21837836612599</v>
      </c>
      <c r="W33" s="30">
        <v>981.197807952944</v>
      </c>
      <c r="X33" s="30">
        <v>1005.72088911507</v>
      </c>
      <c r="Y33" s="18"/>
      <c r="Z33" s="18"/>
    </row>
    <row r="34" spans="1:26" s="2" customFormat="1" ht="18" customHeight="1">
      <c r="A34" s="19" t="s">
        <v>15</v>
      </c>
      <c r="B34" s="29" t="s">
        <v>47</v>
      </c>
      <c r="C34" s="30">
        <v>2443.9541626885698</v>
      </c>
      <c r="D34" s="30">
        <v>2309.1001791398999</v>
      </c>
      <c r="E34" s="30">
        <v>2441.0459418497298</v>
      </c>
      <c r="F34" s="30">
        <v>2720.7022067102598</v>
      </c>
      <c r="G34" s="30">
        <v>3095.57029890594</v>
      </c>
      <c r="H34" s="30">
        <v>3748.2240110791699</v>
      </c>
      <c r="I34" s="30">
        <v>3739.6662579608201</v>
      </c>
      <c r="J34" s="30">
        <v>3584.4095433509501</v>
      </c>
      <c r="K34" s="30">
        <v>3621.26052177478</v>
      </c>
      <c r="L34" s="31">
        <v>3937.3236058058601</v>
      </c>
      <c r="M34" s="30">
        <v>4246.8942119397998</v>
      </c>
      <c r="N34" s="30">
        <v>4743.7186357481196</v>
      </c>
      <c r="O34" s="30">
        <v>5033.1028348842501</v>
      </c>
      <c r="P34" s="30">
        <v>5374.1738121054595</v>
      </c>
      <c r="Q34" s="30">
        <v>5970.8907569678704</v>
      </c>
      <c r="R34" s="30">
        <v>6322.5840472867403</v>
      </c>
      <c r="S34" s="30">
        <v>7164.4547338499997</v>
      </c>
      <c r="T34" s="30">
        <v>6922.7023786551599</v>
      </c>
      <c r="U34" s="30">
        <v>6730.4112391978297</v>
      </c>
      <c r="V34" s="30">
        <v>7377.6888379333104</v>
      </c>
      <c r="W34" s="30">
        <v>7181.7751797035298</v>
      </c>
      <c r="X34" s="30">
        <v>7808.5682647417998</v>
      </c>
      <c r="Y34" s="18"/>
      <c r="Z34" s="18"/>
    </row>
    <row r="35" spans="1:26" s="2" customFormat="1" ht="18" customHeight="1">
      <c r="A35" s="19" t="s">
        <v>21</v>
      </c>
      <c r="B35" s="29" t="s">
        <v>17</v>
      </c>
      <c r="C35" s="30">
        <v>1164.5832108490599</v>
      </c>
      <c r="D35" s="30">
        <v>1149.4680566698501</v>
      </c>
      <c r="E35" s="30">
        <v>1180.05505182048</v>
      </c>
      <c r="F35" s="30">
        <v>1389.5715449228901</v>
      </c>
      <c r="G35" s="30">
        <v>1523.29201979595</v>
      </c>
      <c r="H35" s="30">
        <v>1816.0416763844501</v>
      </c>
      <c r="I35" s="30">
        <v>2031.5770135396201</v>
      </c>
      <c r="J35" s="30">
        <v>1884.1978285361599</v>
      </c>
      <c r="K35" s="30">
        <v>1775.6093859596599</v>
      </c>
      <c r="L35" s="31">
        <v>1918.6234841079599</v>
      </c>
      <c r="M35" s="30">
        <v>2039.3009165593601</v>
      </c>
      <c r="N35" s="30">
        <v>2126.6732263768899</v>
      </c>
      <c r="O35" s="30">
        <v>2487.1960131568298</v>
      </c>
      <c r="P35" s="30">
        <v>2491.1861377474302</v>
      </c>
      <c r="Q35" s="30">
        <v>2522.04863963752</v>
      </c>
      <c r="R35" s="30">
        <v>2712.7194076907599</v>
      </c>
      <c r="S35" s="30">
        <v>2781.20134441758</v>
      </c>
      <c r="T35" s="30">
        <v>2827.75109225406</v>
      </c>
      <c r="U35" s="30">
        <v>2941.0874817150998</v>
      </c>
      <c r="V35" s="30">
        <v>3058.8631881032202</v>
      </c>
      <c r="W35" s="30">
        <v>3458.8538974265198</v>
      </c>
      <c r="X35" s="30">
        <v>3506.9247404543198</v>
      </c>
      <c r="Y35" s="18"/>
      <c r="Z35" s="18"/>
    </row>
    <row r="36" spans="1:26" s="2" customFormat="1" ht="18" customHeight="1">
      <c r="A36" s="19" t="s">
        <v>22</v>
      </c>
      <c r="B36" s="29" t="s">
        <v>33</v>
      </c>
      <c r="C36" s="30">
        <v>411.40119349044699</v>
      </c>
      <c r="D36" s="30">
        <v>458.38882781823401</v>
      </c>
      <c r="E36" s="30">
        <v>501.89773833679402</v>
      </c>
      <c r="F36" s="30">
        <v>626.82423094166302</v>
      </c>
      <c r="G36" s="30">
        <v>783.192685908047</v>
      </c>
      <c r="H36" s="30">
        <v>1114.33164373717</v>
      </c>
      <c r="I36" s="30">
        <v>1442.11650555192</v>
      </c>
      <c r="J36" s="30">
        <v>1301.58044942167</v>
      </c>
      <c r="K36" s="30">
        <v>1244.7880671656201</v>
      </c>
      <c r="L36" s="31">
        <v>1323.52967484532</v>
      </c>
      <c r="M36" s="30">
        <v>1482.35419884111</v>
      </c>
      <c r="N36" s="30">
        <v>1619.9063115348399</v>
      </c>
      <c r="O36" s="30">
        <v>1863.9740136000901</v>
      </c>
      <c r="P36" s="30">
        <v>2022.9940790339499</v>
      </c>
      <c r="Q36" s="30">
        <v>2008.8238931108399</v>
      </c>
      <c r="R36" s="30">
        <v>2256.1753230243398</v>
      </c>
      <c r="S36" s="30">
        <v>2460.5185716493302</v>
      </c>
      <c r="T36" s="30">
        <v>2587.7270590431899</v>
      </c>
      <c r="U36" s="30">
        <v>3056.3531244538299</v>
      </c>
      <c r="V36" s="30">
        <v>3042.7251629837901</v>
      </c>
      <c r="W36" s="30">
        <v>3226.5964096585599</v>
      </c>
      <c r="X36" s="30">
        <v>3267.3442280631002</v>
      </c>
      <c r="Y36" s="18"/>
      <c r="Z36" s="18"/>
    </row>
    <row r="37" spans="1:26" s="3" customFormat="1" ht="18" customHeight="1">
      <c r="A37" s="19" t="s">
        <v>23</v>
      </c>
      <c r="B37" s="29" t="s">
        <v>48</v>
      </c>
      <c r="C37" s="30">
        <v>876.81735142744697</v>
      </c>
      <c r="D37" s="30">
        <v>946.87330000053203</v>
      </c>
      <c r="E37" s="30">
        <v>605.50321550393403</v>
      </c>
      <c r="F37" s="30">
        <v>893.31952013427895</v>
      </c>
      <c r="G37" s="30">
        <v>976.30890696020299</v>
      </c>
      <c r="H37" s="30">
        <v>1001.8876136777</v>
      </c>
      <c r="I37" s="30">
        <v>949.78447075839597</v>
      </c>
      <c r="J37" s="30">
        <v>1070.6499266020401</v>
      </c>
      <c r="K37" s="30">
        <v>1165.8382049214999</v>
      </c>
      <c r="L37" s="31">
        <v>1164.4518445546701</v>
      </c>
      <c r="M37" s="30">
        <v>1264.88156212029</v>
      </c>
      <c r="N37" s="30">
        <v>1297.6916388956499</v>
      </c>
      <c r="O37" s="30">
        <v>1263.8089099510801</v>
      </c>
      <c r="P37" s="30">
        <v>1460.8681682326301</v>
      </c>
      <c r="Q37" s="30">
        <v>1663.2532413761301</v>
      </c>
      <c r="R37" s="30">
        <v>1886.2148689661001</v>
      </c>
      <c r="S37" s="30">
        <v>2187.9284339976798</v>
      </c>
      <c r="T37" s="30">
        <v>822.08192806466195</v>
      </c>
      <c r="U37" s="30">
        <v>2092.0886225805998</v>
      </c>
      <c r="V37" s="30">
        <v>2481.2679887098102</v>
      </c>
      <c r="W37" s="30">
        <v>2519.5964651132599</v>
      </c>
      <c r="X37" s="30">
        <v>2712.7074545958399</v>
      </c>
      <c r="Y37" s="37"/>
      <c r="Z37" s="37"/>
    </row>
    <row r="38" spans="1:26" s="2" customFormat="1" ht="5.25" customHeight="1">
      <c r="A38" s="38"/>
      <c r="B38" s="39"/>
      <c r="C38" s="56"/>
      <c r="D38" s="56"/>
      <c r="E38" s="56"/>
      <c r="F38" s="56"/>
      <c r="G38" s="56"/>
      <c r="H38" s="56"/>
      <c r="I38" s="56"/>
      <c r="J38" s="56"/>
      <c r="K38" s="56"/>
      <c r="L38" s="57"/>
      <c r="M38" s="44"/>
      <c r="N38" s="44"/>
      <c r="O38" s="44"/>
      <c r="P38" s="44"/>
      <c r="Q38" s="44"/>
      <c r="R38" s="44"/>
      <c r="S38" s="44"/>
      <c r="T38" s="44"/>
      <c r="U38" s="44"/>
      <c r="V38" s="40"/>
      <c r="W38" s="40"/>
      <c r="X38" s="40"/>
      <c r="Y38" s="18"/>
      <c r="Z38" s="18"/>
    </row>
    <row r="39" spans="1:26" s="2" customFormat="1" ht="15.6" customHeight="1">
      <c r="A39" s="41"/>
      <c r="B39" s="42" t="s">
        <v>55</v>
      </c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41"/>
      <c r="Z39" s="41"/>
    </row>
    <row r="40" spans="1:26" s="2" customFormat="1" ht="15.6" customHeight="1">
      <c r="A40" s="41"/>
      <c r="B40" s="29" t="s">
        <v>56</v>
      </c>
      <c r="C40" s="30">
        <v>318831</v>
      </c>
      <c r="D40" s="30">
        <v>327893</v>
      </c>
      <c r="E40" s="30">
        <v>338591</v>
      </c>
      <c r="F40" s="30">
        <v>354367</v>
      </c>
      <c r="G40" s="30">
        <v>374944</v>
      </c>
      <c r="H40" s="30">
        <v>390414</v>
      </c>
      <c r="I40" s="30">
        <v>384801</v>
      </c>
      <c r="J40" s="30">
        <v>393578</v>
      </c>
      <c r="K40" s="30">
        <v>406359</v>
      </c>
      <c r="L40" s="30">
        <v>417305.91520427802</v>
      </c>
      <c r="M40" s="30">
        <v>428670.82631033001</v>
      </c>
      <c r="N40" s="30">
        <v>437535</v>
      </c>
      <c r="O40" s="30">
        <v>454434.03481257003</v>
      </c>
      <c r="P40" s="30">
        <v>472425.998022552</v>
      </c>
      <c r="Q40" s="30">
        <v>491588.87801226799</v>
      </c>
      <c r="R40" s="30">
        <v>512037.63178813201</v>
      </c>
      <c r="S40" s="30">
        <v>533941.44321453199</v>
      </c>
      <c r="T40" s="30">
        <v>557426.1135637</v>
      </c>
      <c r="U40" s="30">
        <v>568361.82131875504</v>
      </c>
      <c r="V40" s="30">
        <v>579329.75573012501</v>
      </c>
      <c r="W40" s="30">
        <v>590297.09826576</v>
      </c>
      <c r="X40" s="30">
        <v>601269.11123156</v>
      </c>
      <c r="Y40" s="41"/>
      <c r="Z40" s="41"/>
    </row>
    <row r="41" spans="1:26" s="2" customFormat="1" ht="15.6" customHeight="1">
      <c r="A41" s="41"/>
      <c r="B41" s="29" t="s">
        <v>57</v>
      </c>
      <c r="C41" s="43">
        <v>12.8</v>
      </c>
      <c r="D41" s="43">
        <v>12.8</v>
      </c>
      <c r="E41" s="43">
        <v>12.8</v>
      </c>
      <c r="F41" s="43">
        <v>12.8</v>
      </c>
      <c r="G41" s="43">
        <v>12.8</v>
      </c>
      <c r="H41" s="43">
        <v>12.8</v>
      </c>
      <c r="I41" s="43">
        <v>12.8</v>
      </c>
      <c r="J41" s="43">
        <v>12.8</v>
      </c>
      <c r="K41" s="43">
        <v>14.57</v>
      </c>
      <c r="L41" s="43">
        <v>15.42</v>
      </c>
      <c r="M41" s="43">
        <v>15.42</v>
      </c>
      <c r="N41" s="43">
        <v>15.42</v>
      </c>
      <c r="O41" s="43">
        <v>15.42</v>
      </c>
      <c r="P41" s="43">
        <v>15.42</v>
      </c>
      <c r="Q41" s="43">
        <v>15.42</v>
      </c>
      <c r="R41" s="43">
        <v>15.42</v>
      </c>
      <c r="S41" s="43">
        <v>15.42</v>
      </c>
      <c r="T41" s="43">
        <v>15.42</v>
      </c>
      <c r="U41" s="43">
        <v>15.42</v>
      </c>
      <c r="V41" s="43">
        <v>15.42</v>
      </c>
      <c r="W41" s="43">
        <v>15.42</v>
      </c>
      <c r="X41" s="43">
        <v>15.42</v>
      </c>
      <c r="Y41" s="41"/>
      <c r="Z41" s="41"/>
    </row>
    <row r="42" spans="1:26" ht="18" customHeight="1">
      <c r="A42" s="41"/>
      <c r="B42" s="29" t="s">
        <v>58</v>
      </c>
      <c r="C42" s="30">
        <f t="shared" ref="C42:X42" si="0">C5/C41</f>
        <v>2918.7650639873905</v>
      </c>
      <c r="D42" s="30">
        <f t="shared" si="0"/>
        <v>3088.5311448561247</v>
      </c>
      <c r="E42" s="30">
        <f t="shared" si="0"/>
        <v>2741.9001657147655</v>
      </c>
      <c r="F42" s="30">
        <f t="shared" si="0"/>
        <v>3389.1475894803043</v>
      </c>
      <c r="G42" s="30">
        <f t="shared" si="0"/>
        <v>3630.5710591299139</v>
      </c>
      <c r="H42" s="30">
        <f t="shared" si="0"/>
        <v>3956.5896970413437</v>
      </c>
      <c r="I42" s="30">
        <f t="shared" si="0"/>
        <v>3633.8204777169999</v>
      </c>
      <c r="J42" s="30">
        <f t="shared" si="0"/>
        <v>3882.2092369794686</v>
      </c>
      <c r="K42" s="30">
        <f t="shared" si="0"/>
        <v>3702.9682693374739</v>
      </c>
      <c r="L42" s="30">
        <f t="shared" si="0"/>
        <v>3581.5527005551166</v>
      </c>
      <c r="M42" s="30">
        <f t="shared" si="0"/>
        <v>3830.945044894559</v>
      </c>
      <c r="N42" s="30">
        <f t="shared" si="0"/>
        <v>4129.8006976917513</v>
      </c>
      <c r="O42" s="30">
        <f t="shared" si="0"/>
        <v>4293.8246409048052</v>
      </c>
      <c r="P42" s="30">
        <f t="shared" si="0"/>
        <v>4576.0249363280227</v>
      </c>
      <c r="Q42" s="30">
        <f t="shared" si="0"/>
        <v>4898.8423996739693</v>
      </c>
      <c r="R42" s="30">
        <f t="shared" si="0"/>
        <v>5323.4743624602343</v>
      </c>
      <c r="S42" s="30">
        <f t="shared" si="0"/>
        <v>5711.9993951891183</v>
      </c>
      <c r="T42" s="30">
        <f t="shared" si="0"/>
        <v>3832.2472972566602</v>
      </c>
      <c r="U42" s="30">
        <f t="shared" si="0"/>
        <v>5269.6416317706035</v>
      </c>
      <c r="V42" s="30">
        <f t="shared" si="0"/>
        <v>5998.2270017252658</v>
      </c>
      <c r="W42" s="30">
        <f t="shared" si="0"/>
        <v>6294.7111481675165</v>
      </c>
      <c r="X42" s="30">
        <f t="shared" si="0"/>
        <v>6514.6738022169911</v>
      </c>
      <c r="Y42" s="41"/>
      <c r="Z42" s="41"/>
    </row>
    <row r="43" spans="1:26" ht="18" customHeight="1">
      <c r="A43" s="41"/>
      <c r="B43" s="29" t="s">
        <v>59</v>
      </c>
      <c r="C43" s="30">
        <f t="shared" ref="C43:X43" si="1">C5/C40*1000000</f>
        <v>117178.67089159648</v>
      </c>
      <c r="D43" s="30">
        <f t="shared" si="1"/>
        <v>120567.37610793277</v>
      </c>
      <c r="E43" s="30">
        <f t="shared" si="1"/>
        <v>103654.03132732117</v>
      </c>
      <c r="F43" s="30">
        <f t="shared" si="1"/>
        <v>122418.53543176396</v>
      </c>
      <c r="G43" s="30">
        <f t="shared" si="1"/>
        <v>123942.00082375742</v>
      </c>
      <c r="H43" s="30">
        <f t="shared" si="1"/>
        <v>129719.60053207415</v>
      </c>
      <c r="I43" s="30">
        <f t="shared" si="1"/>
        <v>120875.21112153452</v>
      </c>
      <c r="J43" s="30">
        <f t="shared" si="1"/>
        <v>126257.76398410785</v>
      </c>
      <c r="K43" s="30">
        <f t="shared" si="1"/>
        <v>132769.90957317792</v>
      </c>
      <c r="L43" s="30">
        <f t="shared" si="1"/>
        <v>132343.06208078819</v>
      </c>
      <c r="M43" s="30">
        <f t="shared" si="1"/>
        <v>137805.44176689305</v>
      </c>
      <c r="N43" s="30">
        <f t="shared" si="1"/>
        <v>145546.13175724639</v>
      </c>
      <c r="O43" s="30">
        <f t="shared" si="1"/>
        <v>145699.42145741908</v>
      </c>
      <c r="P43" s="30">
        <f t="shared" si="1"/>
        <v>149361.60332736326</v>
      </c>
      <c r="Q43" s="30">
        <f t="shared" si="1"/>
        <v>153665.29468367557</v>
      </c>
      <c r="R43" s="30">
        <f t="shared" si="1"/>
        <v>160316.29234451015</v>
      </c>
      <c r="S43" s="30">
        <f t="shared" si="1"/>
        <v>164960.0940199485</v>
      </c>
      <c r="T43" s="30">
        <f t="shared" si="1"/>
        <v>106010.91675792976</v>
      </c>
      <c r="U43" s="30">
        <f t="shared" si="1"/>
        <v>142968.56494224432</v>
      </c>
      <c r="V43" s="30">
        <f t="shared" si="1"/>
        <v>159654.59990922749</v>
      </c>
      <c r="W43" s="30">
        <f t="shared" si="1"/>
        <v>164433.20861632176</v>
      </c>
      <c r="X43" s="30">
        <f t="shared" si="1"/>
        <v>167073.72481587267</v>
      </c>
      <c r="Y43" s="41"/>
      <c r="Z43" s="41"/>
    </row>
    <row r="44" spans="1:26" ht="18" customHeight="1">
      <c r="A44" s="41"/>
      <c r="B44" s="39" t="s">
        <v>60</v>
      </c>
      <c r="C44" s="44">
        <f t="shared" ref="C44:X44" si="2">C42/C40*1000000</f>
        <v>9154.5836634059742</v>
      </c>
      <c r="D44" s="44">
        <f t="shared" si="2"/>
        <v>9419.3262584322474</v>
      </c>
      <c r="E44" s="44">
        <f t="shared" si="2"/>
        <v>8097.9711974469656</v>
      </c>
      <c r="F44" s="44">
        <f t="shared" si="2"/>
        <v>9563.9480806065585</v>
      </c>
      <c r="G44" s="44">
        <f t="shared" si="2"/>
        <v>9682.9688143560488</v>
      </c>
      <c r="H44" s="44">
        <f t="shared" si="2"/>
        <v>10134.343791568293</v>
      </c>
      <c r="I44" s="44">
        <f t="shared" si="2"/>
        <v>9443.3758688698836</v>
      </c>
      <c r="J44" s="44">
        <f t="shared" si="2"/>
        <v>9863.8878112584243</v>
      </c>
      <c r="K44" s="44">
        <f t="shared" si="2"/>
        <v>9112.5538485365742</v>
      </c>
      <c r="L44" s="44">
        <f t="shared" si="2"/>
        <v>8582.5591492080548</v>
      </c>
      <c r="M44" s="44">
        <f t="shared" si="2"/>
        <v>8936.7990769710141</v>
      </c>
      <c r="N44" s="44">
        <f t="shared" si="2"/>
        <v>9438.7893487189631</v>
      </c>
      <c r="O44" s="44">
        <f t="shared" si="2"/>
        <v>9448.7303150077223</v>
      </c>
      <c r="P44" s="44">
        <f t="shared" si="2"/>
        <v>9686.2258967161652</v>
      </c>
      <c r="Q44" s="44">
        <f t="shared" si="2"/>
        <v>9965.3239094471846</v>
      </c>
      <c r="R44" s="44">
        <f t="shared" si="2"/>
        <v>10396.646714948778</v>
      </c>
      <c r="S44" s="44">
        <f t="shared" si="2"/>
        <v>10697.801168608854</v>
      </c>
      <c r="T44" s="44">
        <f t="shared" si="2"/>
        <v>6874.897325416975</v>
      </c>
      <c r="U44" s="44">
        <f t="shared" si="2"/>
        <v>9271.6319677201245</v>
      </c>
      <c r="V44" s="44">
        <f t="shared" si="2"/>
        <v>10353.735402673638</v>
      </c>
      <c r="W44" s="44">
        <f t="shared" si="2"/>
        <v>10663.632205987145</v>
      </c>
      <c r="X44" s="44">
        <f t="shared" si="2"/>
        <v>10834.871907644143</v>
      </c>
      <c r="Y44" s="41"/>
      <c r="Z44" s="41"/>
    </row>
    <row r="45" spans="1:26" ht="18" customHeight="1">
      <c r="A45" s="45" t="s">
        <v>45</v>
      </c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46"/>
      <c r="M45" s="29"/>
      <c r="N45" s="47"/>
      <c r="O45" s="47"/>
      <c r="P45" s="47"/>
      <c r="Q45" s="47"/>
      <c r="R45" s="47"/>
      <c r="S45" s="47"/>
      <c r="T45" s="47"/>
      <c r="U45" s="47"/>
      <c r="V45" s="47"/>
      <c r="W45" s="18"/>
      <c r="X45" s="18"/>
      <c r="Y45" s="18"/>
      <c r="Z45" s="18"/>
    </row>
    <row r="46" spans="1:26" ht="18" customHeight="1">
      <c r="A46" s="45" t="s">
        <v>61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9"/>
      <c r="M46" s="48"/>
      <c r="N46" s="50"/>
      <c r="O46" s="50"/>
      <c r="P46" s="50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spans="1:26" ht="18" customHeight="1">
      <c r="A47" s="45" t="s">
        <v>62</v>
      </c>
      <c r="B47" s="51"/>
      <c r="C47" s="18"/>
      <c r="D47" s="18"/>
      <c r="E47" s="18"/>
      <c r="F47" s="18"/>
      <c r="G47" s="18"/>
      <c r="H47" s="18"/>
      <c r="I47" s="18"/>
      <c r="J47" s="18"/>
      <c r="K47" s="18"/>
      <c r="L47" s="37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spans="1:26" ht="18" customHeight="1">
      <c r="A48" s="52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4"/>
      <c r="M48" s="53"/>
      <c r="N48" s="55"/>
      <c r="O48" s="55"/>
      <c r="P48" s="55"/>
      <c r="Q48" s="53"/>
      <c r="R48" s="53"/>
      <c r="S48" s="53"/>
      <c r="T48" s="53"/>
      <c r="U48" s="53"/>
      <c r="V48" s="53"/>
      <c r="W48" s="53"/>
      <c r="X48" s="53"/>
      <c r="Y48" s="53"/>
      <c r="Z48" s="53"/>
    </row>
  </sheetData>
  <mergeCells count="3">
    <mergeCell ref="A1:X1"/>
    <mergeCell ref="A2:X2"/>
    <mergeCell ref="C3:X3"/>
  </mergeCells>
  <pageMargins left="0.7" right="0.7" top="0.75" bottom="0.75" header="0.3" footer="0.3"/>
  <pageSetup paperSize="9" scale="4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16.1</vt:lpstr>
      <vt:lpstr>'16.1'!Print_Area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2025-09-21T07:08:49Z</cp:lastPrinted>
  <dcterms:created xsi:type="dcterms:W3CDTF">2014-05-21T04:36:27Z</dcterms:created>
  <dcterms:modified xsi:type="dcterms:W3CDTF">2025-09-21T07:08:57Z</dcterms:modified>
</cp:coreProperties>
</file>