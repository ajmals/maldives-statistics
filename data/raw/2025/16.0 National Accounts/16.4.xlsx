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B5968CD5-9D4C-4228-91F1-57A3F1BD35A5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4" sheetId="1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'16.4'!$A$1:$Y$48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4" i="19" l="1"/>
  <c r="O44" i="19"/>
  <c r="N44" i="19"/>
  <c r="I44" i="19"/>
  <c r="C44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X42" i="19"/>
  <c r="X44" i="19" s="1"/>
  <c r="W42" i="19"/>
  <c r="W44" i="19" s="1"/>
  <c r="V42" i="19"/>
  <c r="V44" i="19" s="1"/>
  <c r="U42" i="19"/>
  <c r="T42" i="19"/>
  <c r="T44" i="19" s="1"/>
  <c r="S42" i="19"/>
  <c r="S44" i="19" s="1"/>
  <c r="R42" i="19"/>
  <c r="R44" i="19" s="1"/>
  <c r="Q42" i="19"/>
  <c r="Q44" i="19" s="1"/>
  <c r="P42" i="19"/>
  <c r="P44" i="19" s="1"/>
  <c r="O42" i="19"/>
  <c r="N42" i="19"/>
  <c r="M42" i="19"/>
  <c r="M44" i="19" s="1"/>
  <c r="L42" i="19"/>
  <c r="L44" i="19" s="1"/>
  <c r="K42" i="19"/>
  <c r="K44" i="19" s="1"/>
  <c r="J42" i="19"/>
  <c r="J44" i="19" s="1"/>
  <c r="I42" i="19"/>
  <c r="H42" i="19"/>
  <c r="H44" i="19" s="1"/>
  <c r="G42" i="19"/>
  <c r="G44" i="19" s="1"/>
  <c r="F42" i="19"/>
  <c r="F44" i="19" s="1"/>
  <c r="E42" i="19"/>
  <c r="E44" i="19" s="1"/>
  <c r="D42" i="19"/>
  <c r="D44" i="19" s="1"/>
  <c r="C42" i="19"/>
</calcChain>
</file>

<file path=xl/sharedStrings.xml><?xml version="1.0" encoding="utf-8"?>
<sst xmlns="http://schemas.openxmlformats.org/spreadsheetml/2006/main" count="70" uniqueCount="63">
  <si>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</si>
  <si>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</si>
  <si>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</si>
  <si>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</si>
  <si>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</si>
  <si>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</si>
  <si>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</si>
  <si>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</si>
  <si>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</si>
  <si>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</si>
  <si>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</si>
  <si>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</si>
  <si>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</si>
  <si>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</si>
  <si>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</si>
  <si>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</si>
  <si>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</si>
  <si>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</si>
  <si>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</si>
  <si>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</si>
  <si>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</si>
  <si>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</si>
  <si>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</si>
  <si>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</si>
  <si>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</si>
  <si>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</si>
  <si>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</si>
  <si>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</si>
  <si>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</si>
  <si>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</si>
  <si>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</si>
  <si>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</si>
  <si>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</si>
  <si>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</si>
  <si>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</si>
  <si>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</si>
  <si>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</si>
  <si>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</si>
  <si>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</si>
  <si>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</si>
  <si>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</si>
  <si>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</si>
  <si>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</si>
  <si>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</si>
  <si>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</si>
  <si>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 xml:space="preserve">     Electricity</t>
  </si>
  <si>
    <t xml:space="preserve">     Water &amp; sewerage</t>
  </si>
  <si>
    <t xml:space="preserve">      fish preparation </t>
  </si>
  <si>
    <t xml:space="preserve">    Other manufacturing products</t>
  </si>
  <si>
    <t xml:space="preserve">       Resorts </t>
  </si>
  <si>
    <t xml:space="preserve">      Other accomodation services</t>
  </si>
  <si>
    <t xml:space="preserve">      Food and beverage services</t>
  </si>
  <si>
    <t>Note : na = not available</t>
  </si>
  <si>
    <t xml:space="preserve">(In Million MVR , at  current prices) </t>
  </si>
  <si>
    <t>Table 16. 4 :  GROSS DOMESTIC PRODUCT (AT CURRENT PRICES), BY KIND OF ACTIVITY ,  2003-2024</t>
  </si>
  <si>
    <t>Memorandum items:</t>
  </si>
  <si>
    <t xml:space="preserve">Resident population </t>
  </si>
  <si>
    <t>Exchange rate</t>
  </si>
  <si>
    <t>GDP at current price (US$ million)</t>
  </si>
  <si>
    <t>Nominal GDP per capita ( MVR)</t>
  </si>
  <si>
    <t>Nominal GDP per capita ( US $)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</si>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</sst>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Courier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164" fontId="1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4" fontId="7" fillId="0" borderId="0"/>
    <xf numFmtId="40" fontId="7" fillId="0" borderId="0" applyFill="0" applyBorder="0" applyAlignment="0" applyProtection="0"/>
    <xf numFmtId="9" fontId="4" fillId="0" borderId="0" applyFill="0" applyBorder="0" applyAlignment="0" applyProtection="0"/>
  </cellStyleXfs>
  <cellXfs count="43">
    <xf numFmtId="0" fontId="0" fillId="0" borderId="0" xfId="0"/>
    <xf numFmtId="164" fontId="1" fillId="2" borderId="0" xfId="1" applyFill="1" applyAlignment="1">
      <alignment vertical="center"/>
    </xf>
    <xf numFmtId="1" fontId="8" fillId="2" borderId="1" xfId="4" applyNumberFormat="1" applyFont="1" applyFill="1" applyBorder="1" applyAlignment="1">
      <alignment horizontal="right"/>
    </xf>
    <xf numFmtId="0" fontId="9" fillId="0" borderId="0" xfId="0" applyFont="1"/>
    <xf numFmtId="0" fontId="12" fillId="0" borderId="0" xfId="0" applyFont="1"/>
    <xf numFmtId="164" fontId="3" fillId="2" borderId="0" xfId="1" applyFont="1" applyFill="1" applyAlignment="1">
      <alignment vertical="center"/>
    </xf>
    <xf numFmtId="164" fontId="2" fillId="2" borderId="0" xfId="1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3" fillId="2" borderId="3" xfId="1" applyFont="1" applyFill="1" applyBorder="1" applyAlignment="1">
      <alignment horizontal="center" vertical="center"/>
    </xf>
    <xf numFmtId="164" fontId="3" fillId="2" borderId="4" xfId="1" applyFont="1" applyFill="1" applyBorder="1" applyAlignment="1">
      <alignment horizontal="left" vertical="center"/>
    </xf>
    <xf numFmtId="164" fontId="3" fillId="2" borderId="1" xfId="1" applyFont="1" applyFill="1" applyBorder="1" applyAlignment="1">
      <alignment horizontal="left" vertical="center"/>
    </xf>
    <xf numFmtId="164" fontId="11" fillId="3" borderId="2" xfId="0" applyNumberFormat="1" applyFont="1" applyFill="1" applyBorder="1" applyAlignment="1">
      <alignment horizontal="center"/>
    </xf>
    <xf numFmtId="164" fontId="11" fillId="3" borderId="2" xfId="0" applyNumberFormat="1" applyFont="1" applyFill="1" applyBorder="1" applyAlignment="1">
      <alignment horizontal="left" vertical="center"/>
    </xf>
    <xf numFmtId="165" fontId="11" fillId="3" borderId="2" xfId="0" applyNumberFormat="1" applyFont="1" applyFill="1" applyBorder="1" applyAlignment="1">
      <alignment horizontal="right" vertical="center"/>
    </xf>
    <xf numFmtId="165" fontId="11" fillId="0" borderId="2" xfId="0" applyNumberFormat="1" applyFont="1" applyBorder="1" applyAlignment="1">
      <alignment horizontal="right" vertical="center"/>
    </xf>
    <xf numFmtId="164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left"/>
    </xf>
    <xf numFmtId="165" fontId="6" fillId="3" borderId="0" xfId="0" applyNumberFormat="1" applyFont="1" applyFill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4" fontId="11" fillId="3" borderId="0" xfId="0" applyNumberFormat="1" applyFont="1" applyFill="1" applyAlignment="1">
      <alignment horizontal="center"/>
    </xf>
    <xf numFmtId="164" fontId="11" fillId="3" borderId="0" xfId="0" applyNumberFormat="1" applyFont="1" applyFill="1"/>
    <xf numFmtId="165" fontId="11" fillId="3" borderId="0" xfId="0" applyNumberFormat="1" applyFont="1" applyFill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165" fontId="11" fillId="3" borderId="0" xfId="0" applyNumberFormat="1" applyFont="1" applyFill="1" applyAlignment="1">
      <alignment horizontal="right"/>
    </xf>
    <xf numFmtId="165" fontId="11" fillId="0" borderId="0" xfId="0" applyNumberFormat="1" applyFont="1" applyAlignment="1">
      <alignment horizontal="right"/>
    </xf>
    <xf numFmtId="164" fontId="6" fillId="3" borderId="0" xfId="0" applyNumberFormat="1" applyFont="1" applyFill="1"/>
    <xf numFmtId="165" fontId="6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5" fontId="13" fillId="0" borderId="0" xfId="0" applyNumberFormat="1" applyFont="1"/>
    <xf numFmtId="164" fontId="5" fillId="3" borderId="0" xfId="0" applyNumberFormat="1" applyFont="1" applyFill="1"/>
    <xf numFmtId="165" fontId="10" fillId="3" borderId="0" xfId="0" applyNumberFormat="1" applyFont="1" applyFill="1" applyAlignment="1">
      <alignment horizontal="right"/>
    </xf>
    <xf numFmtId="165" fontId="10" fillId="0" borderId="0" xfId="0" applyNumberFormat="1" applyFont="1" applyAlignment="1">
      <alignment horizontal="right"/>
    </xf>
    <xf numFmtId="164" fontId="10" fillId="3" borderId="0" xfId="0" applyNumberFormat="1" applyFont="1" applyFill="1" applyAlignment="1">
      <alignment horizontal="center"/>
    </xf>
    <xf numFmtId="43" fontId="6" fillId="3" borderId="0" xfId="0" applyNumberFormat="1" applyFont="1" applyFill="1" applyAlignment="1">
      <alignment horizontal="right"/>
    </xf>
    <xf numFmtId="164" fontId="6" fillId="3" borderId="1" xfId="0" applyNumberFormat="1" applyFont="1" applyFill="1" applyBorder="1" applyAlignment="1">
      <alignment vertical="center"/>
    </xf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65" fontId="6" fillId="0" borderId="1" xfId="0" applyNumberFormat="1" applyFont="1" applyBorder="1"/>
    <xf numFmtId="0" fontId="13" fillId="0" borderId="0" xfId="0" applyFont="1"/>
    <xf numFmtId="164" fontId="14" fillId="3" borderId="0" xfId="0" applyNumberFormat="1" applyFont="1" applyFill="1"/>
    <xf numFmtId="165" fontId="6" fillId="3" borderId="1" xfId="0" applyNumberFormat="1" applyFont="1" applyFill="1" applyBorder="1" applyAlignment="1">
      <alignment horizontal="right"/>
    </xf>
    <xf numFmtId="164" fontId="10" fillId="3" borderId="0" xfId="0" applyNumberFormat="1" applyFont="1" applyFill="1" applyAlignment="1">
      <alignment horizontal="left"/>
    </xf>
    <xf numFmtId="164" fontId="15" fillId="3" borderId="0" xfId="0" applyNumberFormat="1" applyFont="1" applyFill="1" applyAlignment="1">
      <alignment vertical="center"/>
    </xf>
  </cellXfs>
  <cellStyles count="8">
    <cellStyle name="1" xfId="2" xr:uid="{00000000-0005-0000-0000-000000000000}"/>
    <cellStyle name="Comma 2" xfId="4" xr:uid="{00000000-0005-0000-0000-000002000000}"/>
    <cellStyle name="Comma 3" xfId="6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  <cellStyle name="Normal_XII-1 (Commerce)" xfId="1" xr:uid="{00000000-0005-0000-0000-000008000000}"/>
    <cellStyle name="Percent 2" xfId="7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X50"/>
  <sheetViews>
    <sheetView showGridLines="0" tabSelected="1" zoomScale="85" zoomScaleNormal="85" workbookViewId="0">
      <selection activeCell="O13" sqref="O13"/>
    </sheetView>
  </sheetViews>
  <sheetFormatPr defaultRowHeight="18.75" customHeight="1"/>
  <cols>
    <col min="1" max="1" width="7.5703125" customWidth="1"/>
    <col min="2" max="2" width="41" customWidth="1"/>
    <col min="3" max="13" width="8.5703125" customWidth="1"/>
    <col min="14" max="15" width="10.42578125" bestFit="1" customWidth="1"/>
    <col min="16" max="16" width="10.42578125" customWidth="1"/>
    <col min="18" max="18" width="9.85546875" bestFit="1" customWidth="1"/>
    <col min="24" max="24" width="9.5703125" customWidth="1"/>
  </cols>
  <sheetData>
    <row r="1" spans="1:24" ht="18.75" customHeight="1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4" s="3" customFormat="1" ht="18.75" customHeight="1">
      <c r="A2" s="7" t="s">
        <v>0</v>
      </c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4" ht="18.75" customHeight="1">
      <c r="B3" s="9" t="s">
        <v>2</v>
      </c>
      <c r="C3" s="8" t="s">
        <v>53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8.75" customHeight="1">
      <c r="A4" s="5" t="s">
        <v>1</v>
      </c>
      <c r="B4" s="10"/>
      <c r="C4" s="2">
        <v>2003</v>
      </c>
      <c r="D4" s="2">
        <v>2004</v>
      </c>
      <c r="E4" s="2">
        <v>2005</v>
      </c>
      <c r="F4" s="2">
        <v>2006</v>
      </c>
      <c r="G4" s="2">
        <v>2007</v>
      </c>
      <c r="H4" s="2">
        <v>2008</v>
      </c>
      <c r="I4" s="2">
        <v>2009</v>
      </c>
      <c r="J4" s="2">
        <v>2010</v>
      </c>
      <c r="K4" s="2">
        <v>2011</v>
      </c>
      <c r="L4" s="2">
        <v>2012</v>
      </c>
      <c r="M4" s="2">
        <v>2013</v>
      </c>
      <c r="N4" s="2">
        <v>2014</v>
      </c>
      <c r="O4" s="2">
        <v>2015</v>
      </c>
      <c r="P4" s="2">
        <v>2016</v>
      </c>
      <c r="Q4" s="2">
        <v>2017</v>
      </c>
      <c r="R4" s="2">
        <v>2018</v>
      </c>
      <c r="S4" s="2">
        <v>2019</v>
      </c>
      <c r="T4" s="2">
        <v>2020</v>
      </c>
      <c r="U4" s="2">
        <v>2021</v>
      </c>
      <c r="V4" s="2">
        <v>2022</v>
      </c>
      <c r="W4" s="2">
        <v>2023</v>
      </c>
      <c r="X4" s="2">
        <v>2024</v>
      </c>
    </row>
    <row r="5" spans="1:24" ht="18.75" customHeight="1">
      <c r="A5" s="11"/>
      <c r="B5" s="12" t="s">
        <v>19</v>
      </c>
      <c r="C5" s="13">
        <v>13467.1495164464</v>
      </c>
      <c r="D5" s="13">
        <v>15703.418429637701</v>
      </c>
      <c r="E5" s="13">
        <v>14891.0391593943</v>
      </c>
      <c r="F5" s="13">
        <v>20162.565003966702</v>
      </c>
      <c r="G5" s="13">
        <v>23915.308285996402</v>
      </c>
      <c r="H5" s="13">
        <v>29077.071208252699</v>
      </c>
      <c r="I5" s="13">
        <v>30019.774446951698</v>
      </c>
      <c r="J5" s="13">
        <v>33128.653547666698</v>
      </c>
      <c r="K5" s="13">
        <v>40511.084367119802</v>
      </c>
      <c r="L5" s="14">
        <v>44345.433581429301</v>
      </c>
      <c r="M5" s="13">
        <v>50633.451385486798</v>
      </c>
      <c r="N5" s="13">
        <v>56866.746459796501</v>
      </c>
      <c r="O5" s="13">
        <v>63455.345610595097</v>
      </c>
      <c r="P5" s="13">
        <v>67773.797492797807</v>
      </c>
      <c r="Q5" s="13">
        <v>74110.201545923701</v>
      </c>
      <c r="R5" s="13">
        <v>83177.380050760199</v>
      </c>
      <c r="S5" s="13">
        <v>88079.030673816203</v>
      </c>
      <c r="T5" s="13">
        <v>57104.573453151097</v>
      </c>
      <c r="U5" s="13">
        <v>80744.440880282098</v>
      </c>
      <c r="V5" s="13">
        <v>95045.080608702207</v>
      </c>
      <c r="W5" s="13">
        <v>101876.09701804401</v>
      </c>
      <c r="X5" s="13">
        <v>108672.47369112499</v>
      </c>
    </row>
    <row r="6" spans="1:24" ht="18.75" customHeight="1">
      <c r="A6" s="15"/>
      <c r="B6" s="16" t="s">
        <v>38</v>
      </c>
      <c r="C6" s="17">
        <v>1242.7448314515</v>
      </c>
      <c r="D6" s="17">
        <v>1620.77202244</v>
      </c>
      <c r="E6" s="17">
        <v>1632.8085669300001</v>
      </c>
      <c r="F6" s="17">
        <v>2214.0491459660002</v>
      </c>
      <c r="G6" s="17">
        <v>2623.4394122674998</v>
      </c>
      <c r="H6" s="17">
        <v>2756.5378992699998</v>
      </c>
      <c r="I6" s="17">
        <v>2111.5373533500001</v>
      </c>
      <c r="J6" s="17">
        <v>2398.55340652</v>
      </c>
      <c r="K6" s="17">
        <v>3839.0633070099998</v>
      </c>
      <c r="L6" s="18">
        <v>4231.2527192500002</v>
      </c>
      <c r="M6" s="17">
        <v>5545.3448476499998</v>
      </c>
      <c r="N6" s="17">
        <v>6183.5819420620001</v>
      </c>
      <c r="O6" s="17">
        <v>7212.7062395820003</v>
      </c>
      <c r="P6" s="17">
        <v>8914.5191168799902</v>
      </c>
      <c r="Q6" s="17">
        <v>10235.097083520001</v>
      </c>
      <c r="R6" s="17">
        <v>11142.146555040001</v>
      </c>
      <c r="S6" s="17">
        <v>10831.927609030001</v>
      </c>
      <c r="T6" s="17">
        <v>5183.1215844300004</v>
      </c>
      <c r="U6" s="17">
        <v>9961.5918600000005</v>
      </c>
      <c r="V6" s="17">
        <v>10884.68347236</v>
      </c>
      <c r="W6" s="17">
        <v>14786.078756049999</v>
      </c>
      <c r="X6" s="17">
        <v>16152.21510856</v>
      </c>
    </row>
    <row r="7" spans="1:24" ht="18.75" customHeight="1">
      <c r="A7" s="19"/>
      <c r="B7" s="20" t="s">
        <v>39</v>
      </c>
      <c r="C7" s="21">
        <v>12224.404684994901</v>
      </c>
      <c r="D7" s="21">
        <v>14082.646407197701</v>
      </c>
      <c r="E7" s="21">
        <v>13258.230592464301</v>
      </c>
      <c r="F7" s="21">
        <v>17948.515858000701</v>
      </c>
      <c r="G7" s="21">
        <v>21291.868873728901</v>
      </c>
      <c r="H7" s="21">
        <v>26320.5333089827</v>
      </c>
      <c r="I7" s="21">
        <v>27908.2370936017</v>
      </c>
      <c r="J7" s="21">
        <v>30730.1001411467</v>
      </c>
      <c r="K7" s="21">
        <v>36672.021060109801</v>
      </c>
      <c r="L7" s="22">
        <v>40114.180862179302</v>
      </c>
      <c r="M7" s="21">
        <v>45088.1065378368</v>
      </c>
      <c r="N7" s="21">
        <v>50683.164517734498</v>
      </c>
      <c r="O7" s="21">
        <v>56242.639371013101</v>
      </c>
      <c r="P7" s="21">
        <v>58859.278375917798</v>
      </c>
      <c r="Q7" s="21">
        <v>63875.104462403702</v>
      </c>
      <c r="R7" s="21">
        <v>72035.233495720197</v>
      </c>
      <c r="S7" s="21">
        <v>77247.103064786206</v>
      </c>
      <c r="T7" s="21">
        <v>51921.451868721102</v>
      </c>
      <c r="U7" s="21">
        <v>70782.849020282098</v>
      </c>
      <c r="V7" s="21">
        <v>84160.397136342202</v>
      </c>
      <c r="W7" s="21">
        <v>87090.018261993697</v>
      </c>
      <c r="X7" s="21">
        <v>92520.258582565002</v>
      </c>
    </row>
    <row r="8" spans="1:24" ht="18.75" customHeight="1">
      <c r="A8" s="19"/>
      <c r="B8" s="20" t="s">
        <v>3</v>
      </c>
      <c r="C8" s="23">
        <v>715.266308985828</v>
      </c>
      <c r="D8" s="23">
        <v>876.91023694389901</v>
      </c>
      <c r="E8" s="23">
        <v>1150.7841993812899</v>
      </c>
      <c r="F8" s="23">
        <v>1329.75306852833</v>
      </c>
      <c r="G8" s="23">
        <v>1474.4638020694399</v>
      </c>
      <c r="H8" s="23">
        <v>1999.2367354775199</v>
      </c>
      <c r="I8" s="23">
        <v>1626.9161620437801</v>
      </c>
      <c r="J8" s="23">
        <v>1866.50833025511</v>
      </c>
      <c r="K8" s="23">
        <v>2181.7790101728801</v>
      </c>
      <c r="L8" s="24">
        <v>2301.7962444632099</v>
      </c>
      <c r="M8" s="23">
        <v>2741.0085138108898</v>
      </c>
      <c r="N8" s="23">
        <v>3018.02423186946</v>
      </c>
      <c r="O8" s="23">
        <v>3511.3672552103599</v>
      </c>
      <c r="P8" s="23">
        <v>3814.6912106070199</v>
      </c>
      <c r="Q8" s="23">
        <v>3906.4226476346898</v>
      </c>
      <c r="R8" s="23">
        <v>4262.0136384952702</v>
      </c>
      <c r="S8" s="23">
        <v>3958.2926857203001</v>
      </c>
      <c r="T8" s="23">
        <v>4325.6401297109796</v>
      </c>
      <c r="U8" s="23">
        <v>4284.4647301042296</v>
      </c>
      <c r="V8" s="23">
        <v>4811.0154493699001</v>
      </c>
      <c r="W8" s="23">
        <v>5177.1860075704999</v>
      </c>
      <c r="X8" s="23">
        <v>4175.1517722094004</v>
      </c>
    </row>
    <row r="9" spans="1:24" ht="18.75" customHeight="1">
      <c r="A9" s="15" t="s">
        <v>20</v>
      </c>
      <c r="B9" s="25" t="s">
        <v>28</v>
      </c>
      <c r="C9" s="26">
        <v>313.69980685215802</v>
      </c>
      <c r="D9" s="26">
        <v>345.19384179522399</v>
      </c>
      <c r="E9" s="26">
        <v>333.28735419042403</v>
      </c>
      <c r="F9" s="26">
        <v>389.85957557860502</v>
      </c>
      <c r="G9" s="26">
        <v>439.55088794667603</v>
      </c>
      <c r="H9" s="26">
        <v>528.85376051683704</v>
      </c>
      <c r="I9" s="26">
        <v>529.51285567935395</v>
      </c>
      <c r="J9" s="26">
        <v>588.31666841973197</v>
      </c>
      <c r="K9" s="26">
        <v>678.70634309154798</v>
      </c>
      <c r="L9" s="27">
        <v>714.15818564012704</v>
      </c>
      <c r="M9" s="26">
        <v>776.02229546401099</v>
      </c>
      <c r="N9" s="26">
        <v>783.40788370491202</v>
      </c>
      <c r="O9" s="26">
        <v>798.08466426770894</v>
      </c>
      <c r="P9" s="26">
        <v>820.45782767845606</v>
      </c>
      <c r="Q9" s="26">
        <v>875.05239168415198</v>
      </c>
      <c r="R9" s="26">
        <v>869.04744702414405</v>
      </c>
      <c r="S9" s="26">
        <v>882.72423879999997</v>
      </c>
      <c r="T9" s="26">
        <v>880.36457190502995</v>
      </c>
      <c r="U9" s="26">
        <v>951.70816469846704</v>
      </c>
      <c r="V9" s="26">
        <v>1022.67825848271</v>
      </c>
      <c r="W9" s="26">
        <v>1104.42002798419</v>
      </c>
      <c r="X9" s="26">
        <v>1177.62833220518</v>
      </c>
    </row>
    <row r="10" spans="1:24" ht="18.75" customHeight="1">
      <c r="A10" s="15" t="s">
        <v>20</v>
      </c>
      <c r="B10" s="25" t="s">
        <v>16</v>
      </c>
      <c r="C10" s="26">
        <v>401.56650213366999</v>
      </c>
      <c r="D10" s="26">
        <v>531.716395148674</v>
      </c>
      <c r="E10" s="26">
        <v>817.49684519086395</v>
      </c>
      <c r="F10" s="26">
        <v>939.89349294972499</v>
      </c>
      <c r="G10" s="26">
        <v>1034.91291412277</v>
      </c>
      <c r="H10" s="26">
        <v>1470.38297496069</v>
      </c>
      <c r="I10" s="26">
        <v>1097.4033063644199</v>
      </c>
      <c r="J10" s="26">
        <v>1278.19166183538</v>
      </c>
      <c r="K10" s="26">
        <v>1503.0726670813301</v>
      </c>
      <c r="L10" s="27">
        <v>1587.63805882308</v>
      </c>
      <c r="M10" s="26">
        <v>1964.9862183468799</v>
      </c>
      <c r="N10" s="26">
        <v>2234.6163481645499</v>
      </c>
      <c r="O10" s="26">
        <v>2713.2825909426501</v>
      </c>
      <c r="P10" s="26">
        <v>2994.2333829285599</v>
      </c>
      <c r="Q10" s="26">
        <v>3031.37025595054</v>
      </c>
      <c r="R10" s="26">
        <v>3392.9661914711301</v>
      </c>
      <c r="S10" s="26">
        <v>3075.5684469203002</v>
      </c>
      <c r="T10" s="26">
        <v>3445.27555780595</v>
      </c>
      <c r="U10" s="26">
        <v>3332.7565654057598</v>
      </c>
      <c r="V10" s="26">
        <v>3788.3371908872</v>
      </c>
      <c r="W10" s="26">
        <v>4072.7659795863201</v>
      </c>
      <c r="X10" s="26">
        <v>2997.52344000422</v>
      </c>
    </row>
    <row r="11" spans="1:24" ht="18.75" customHeight="1">
      <c r="A11" s="19"/>
      <c r="B11" s="20" t="s">
        <v>4</v>
      </c>
      <c r="C11" s="23">
        <v>1666.62159751745</v>
      </c>
      <c r="D11" s="23">
        <v>1736.6115946007001</v>
      </c>
      <c r="E11" s="23">
        <v>1747.00622426871</v>
      </c>
      <c r="F11" s="23">
        <v>1918.99916824772</v>
      </c>
      <c r="G11" s="23">
        <v>2091.51653741467</v>
      </c>
      <c r="H11" s="23">
        <v>3329.1231950298902</v>
      </c>
      <c r="I11" s="23">
        <v>2887.97639497093</v>
      </c>
      <c r="J11" s="23">
        <v>3124.6136740945599</v>
      </c>
      <c r="K11" s="23">
        <v>4081.28193550782</v>
      </c>
      <c r="L11" s="24">
        <v>4341.7690024598896</v>
      </c>
      <c r="M11" s="23">
        <v>4080.2475689401999</v>
      </c>
      <c r="N11" s="23">
        <v>4784.7172636734704</v>
      </c>
      <c r="O11" s="23">
        <v>6804.4604556451004</v>
      </c>
      <c r="P11" s="23">
        <v>7640.91905667019</v>
      </c>
      <c r="Q11" s="23">
        <v>8467.2375870419692</v>
      </c>
      <c r="R11" s="23">
        <v>10857.683049099</v>
      </c>
      <c r="S11" s="23">
        <v>10518.876821595901</v>
      </c>
      <c r="T11" s="23">
        <v>7172.6278517236697</v>
      </c>
      <c r="U11" s="23">
        <v>7422.2692599645898</v>
      </c>
      <c r="V11" s="23">
        <v>9427.15778503818</v>
      </c>
      <c r="W11" s="23">
        <v>9821.3115417643403</v>
      </c>
      <c r="X11" s="23">
        <v>9995.1590911617004</v>
      </c>
    </row>
    <row r="12" spans="1:24" ht="18.75" customHeight="1">
      <c r="A12" s="15" t="s">
        <v>21</v>
      </c>
      <c r="B12" s="25" t="s">
        <v>27</v>
      </c>
      <c r="C12" s="28">
        <v>713.63616812994303</v>
      </c>
      <c r="D12" s="28">
        <v>766.60429244515797</v>
      </c>
      <c r="E12" s="28">
        <v>699.11504303564095</v>
      </c>
      <c r="F12" s="28">
        <v>737.70658760597303</v>
      </c>
      <c r="G12" s="28">
        <v>767.28588175134598</v>
      </c>
      <c r="H12" s="28">
        <v>945.08989711453501</v>
      </c>
      <c r="I12" s="28">
        <v>772.63862391318901</v>
      </c>
      <c r="J12" s="28">
        <v>757.88781399842196</v>
      </c>
      <c r="K12" s="28">
        <v>1045.40026985145</v>
      </c>
      <c r="L12" s="28">
        <v>1163.8580147492</v>
      </c>
      <c r="M12" s="28">
        <v>1072.6100093541299</v>
      </c>
      <c r="N12" s="28">
        <v>1128.78968584221</v>
      </c>
      <c r="O12" s="28">
        <v>1223.38320939132</v>
      </c>
      <c r="P12" s="28">
        <v>1408.56778242012</v>
      </c>
      <c r="Q12" s="28">
        <v>1618.7232112947199</v>
      </c>
      <c r="R12" s="28">
        <v>1823.86010119258</v>
      </c>
      <c r="S12" s="28">
        <v>1877.1531368398801</v>
      </c>
      <c r="T12" s="28">
        <v>1533.81067144752</v>
      </c>
      <c r="U12" s="28">
        <v>1724.65670023911</v>
      </c>
      <c r="V12" s="28">
        <v>1896.15322156515</v>
      </c>
      <c r="W12" s="28">
        <v>2002.9699327283299</v>
      </c>
      <c r="X12" s="28">
        <v>1715.1243885655699</v>
      </c>
    </row>
    <row r="13" spans="1:24" ht="18.75" customHeight="1">
      <c r="A13" s="15" t="s">
        <v>21</v>
      </c>
      <c r="B13" s="29" t="s">
        <v>47</v>
      </c>
      <c r="C13" s="26">
        <v>368.31607205292897</v>
      </c>
      <c r="D13" s="26">
        <v>413.31388195670303</v>
      </c>
      <c r="E13" s="26">
        <v>428.337438186935</v>
      </c>
      <c r="F13" s="26">
        <v>421.31803432692101</v>
      </c>
      <c r="G13" s="26">
        <v>413.56330348003303</v>
      </c>
      <c r="H13" s="26">
        <v>491.89466084614997</v>
      </c>
      <c r="I13" s="26">
        <v>321.38254512405501</v>
      </c>
      <c r="J13" s="26">
        <v>256.27499940719002</v>
      </c>
      <c r="K13" s="26">
        <v>354.04209962168397</v>
      </c>
      <c r="L13" s="27">
        <v>398.10489064909501</v>
      </c>
      <c r="M13" s="26">
        <v>326.46435536240199</v>
      </c>
      <c r="N13" s="26">
        <v>279.212974844043</v>
      </c>
      <c r="O13" s="26">
        <v>246.23694528458699</v>
      </c>
      <c r="P13" s="26">
        <v>349.06258366243799</v>
      </c>
      <c r="Q13" s="26">
        <v>484.65407211357098</v>
      </c>
      <c r="R13" s="26">
        <v>510.61351538132601</v>
      </c>
      <c r="S13" s="26">
        <v>545.23081835916503</v>
      </c>
      <c r="T13" s="26">
        <v>541.86802119250206</v>
      </c>
      <c r="U13" s="26">
        <v>559.36225498060003</v>
      </c>
      <c r="V13" s="26">
        <v>582.53455139618097</v>
      </c>
      <c r="W13" s="26">
        <v>719.81332188799604</v>
      </c>
      <c r="X13" s="26">
        <v>435.60209216465199</v>
      </c>
    </row>
    <row r="14" spans="1:24" ht="18.75" customHeight="1">
      <c r="A14" s="15" t="s">
        <v>21</v>
      </c>
      <c r="B14" s="29" t="s">
        <v>48</v>
      </c>
      <c r="C14" s="30">
        <v>345.320096077014</v>
      </c>
      <c r="D14" s="30">
        <v>353.290410488455</v>
      </c>
      <c r="E14" s="30">
        <v>270.77760484870703</v>
      </c>
      <c r="F14" s="30">
        <v>316.38855327905202</v>
      </c>
      <c r="G14" s="30">
        <v>353.72257827131301</v>
      </c>
      <c r="H14" s="30">
        <v>453.19523626838497</v>
      </c>
      <c r="I14" s="30">
        <v>451.25607878913399</v>
      </c>
      <c r="J14" s="30">
        <v>501.612814591232</v>
      </c>
      <c r="K14" s="30">
        <v>691.35817022976801</v>
      </c>
      <c r="L14" s="31">
        <v>765.75312410010304</v>
      </c>
      <c r="M14" s="30">
        <v>746.145653991725</v>
      </c>
      <c r="N14" s="30">
        <v>849.576710998164</v>
      </c>
      <c r="O14" s="30">
        <v>977.14626410673202</v>
      </c>
      <c r="P14" s="30">
        <v>1059.5051987576801</v>
      </c>
      <c r="Q14" s="30">
        <v>1134.0691391811499</v>
      </c>
      <c r="R14" s="30">
        <v>1313.24658581125</v>
      </c>
      <c r="S14" s="30">
        <v>1331.9223184807099</v>
      </c>
      <c r="T14" s="30">
        <v>991.94265025501602</v>
      </c>
      <c r="U14" s="30">
        <v>1165.29444525851</v>
      </c>
      <c r="V14" s="30">
        <v>1313.6186701689701</v>
      </c>
      <c r="W14" s="30">
        <v>1283.1566108403399</v>
      </c>
      <c r="X14" s="30">
        <v>1279.5222964009199</v>
      </c>
    </row>
    <row r="15" spans="1:24" ht="18.75" customHeight="1">
      <c r="A15" s="15"/>
      <c r="B15" s="25" t="s">
        <v>18</v>
      </c>
      <c r="C15" s="26">
        <v>253.82245320606</v>
      </c>
      <c r="D15" s="26">
        <v>267.839560112941</v>
      </c>
      <c r="E15" s="26">
        <v>304.229248832591</v>
      </c>
      <c r="F15" s="26">
        <v>336.615364320205</v>
      </c>
      <c r="G15" s="26">
        <v>366.67582365647399</v>
      </c>
      <c r="H15" s="26">
        <v>481.53205666657499</v>
      </c>
      <c r="I15" s="26">
        <v>533.14781767003706</v>
      </c>
      <c r="J15" s="26">
        <v>626.56650503231901</v>
      </c>
      <c r="K15" s="26">
        <v>701.86489930088396</v>
      </c>
      <c r="L15" s="27">
        <v>753.76281851878605</v>
      </c>
      <c r="M15" s="26">
        <v>801.80128036402903</v>
      </c>
      <c r="N15" s="26">
        <v>880.28807097377103</v>
      </c>
      <c r="O15" s="26">
        <v>1063.99380067276</v>
      </c>
      <c r="P15" s="26">
        <v>1210.16818714328</v>
      </c>
      <c r="Q15" s="26">
        <v>1371.18519452953</v>
      </c>
      <c r="R15" s="26">
        <v>1734.4044385412799</v>
      </c>
      <c r="S15" s="26">
        <v>1663.09868475605</v>
      </c>
      <c r="T15" s="26">
        <v>1868.09263381813</v>
      </c>
      <c r="U15" s="26">
        <v>1647.19235207674</v>
      </c>
      <c r="V15" s="26">
        <v>1739.7410201892301</v>
      </c>
      <c r="W15" s="26">
        <v>1884.8818589162499</v>
      </c>
      <c r="X15" s="26">
        <v>2351.03269547127</v>
      </c>
    </row>
    <row r="16" spans="1:24" s="4" customFormat="1" ht="18.75" customHeight="1">
      <c r="A16" s="32" t="s">
        <v>5</v>
      </c>
      <c r="B16" s="29" t="s">
        <v>45</v>
      </c>
      <c r="C16" s="26">
        <v>162.73486968234999</v>
      </c>
      <c r="D16" s="26">
        <v>165.92190274984699</v>
      </c>
      <c r="E16" s="26">
        <v>175.46174487961201</v>
      </c>
      <c r="F16" s="26">
        <v>184.827141336127</v>
      </c>
      <c r="G16" s="26">
        <v>204.491247472624</v>
      </c>
      <c r="H16" s="26">
        <v>315.43416710009899</v>
      </c>
      <c r="I16" s="26">
        <v>291.00962658464402</v>
      </c>
      <c r="J16" s="26">
        <v>337.35271117702598</v>
      </c>
      <c r="K16" s="26">
        <v>358.64775525249701</v>
      </c>
      <c r="L16" s="27">
        <v>391.92354081386202</v>
      </c>
      <c r="M16" s="26">
        <v>422.04840965636998</v>
      </c>
      <c r="N16" s="26">
        <v>482.16053187351901</v>
      </c>
      <c r="O16" s="26">
        <v>631.72437453371299</v>
      </c>
      <c r="P16" s="26">
        <v>603.06894023666905</v>
      </c>
      <c r="Q16" s="26">
        <v>712.97365510099496</v>
      </c>
      <c r="R16" s="26">
        <v>769.00837053152202</v>
      </c>
      <c r="S16" s="26">
        <v>916.52011100000004</v>
      </c>
      <c r="T16" s="26">
        <v>1073.18142750214</v>
      </c>
      <c r="U16" s="26">
        <v>792.881414060162</v>
      </c>
      <c r="V16" s="26">
        <v>880.06469891274503</v>
      </c>
      <c r="W16" s="26">
        <v>1049.8911328505201</v>
      </c>
      <c r="X16" s="26">
        <v>1383.6902519069299</v>
      </c>
    </row>
    <row r="17" spans="1:24" s="4" customFormat="1" ht="18.75" customHeight="1">
      <c r="A17" s="32" t="s">
        <v>6</v>
      </c>
      <c r="B17" s="29" t="s">
        <v>46</v>
      </c>
      <c r="C17" s="26">
        <v>91.087583523709895</v>
      </c>
      <c r="D17" s="26">
        <v>101.917657363095</v>
      </c>
      <c r="E17" s="26">
        <v>128.76750395297901</v>
      </c>
      <c r="F17" s="26">
        <v>151.788222984079</v>
      </c>
      <c r="G17" s="26">
        <v>162.18457618385</v>
      </c>
      <c r="H17" s="26">
        <v>166.097889566476</v>
      </c>
      <c r="I17" s="26">
        <v>242.138191085393</v>
      </c>
      <c r="J17" s="26">
        <v>289.21379385529298</v>
      </c>
      <c r="K17" s="26">
        <v>343.21714404838599</v>
      </c>
      <c r="L17" s="27">
        <v>361.83927770492397</v>
      </c>
      <c r="M17" s="26">
        <v>379.75287070765899</v>
      </c>
      <c r="N17" s="26">
        <v>398.12753910025202</v>
      </c>
      <c r="O17" s="26">
        <v>432.26942613905101</v>
      </c>
      <c r="P17" s="26">
        <v>607.09924690661001</v>
      </c>
      <c r="Q17" s="26">
        <v>658.21153942853698</v>
      </c>
      <c r="R17" s="26">
        <v>965.396068009754</v>
      </c>
      <c r="S17" s="26">
        <v>746.57857375605499</v>
      </c>
      <c r="T17" s="26">
        <v>794.91120631599097</v>
      </c>
      <c r="U17" s="26">
        <v>854.31093801657505</v>
      </c>
      <c r="V17" s="26">
        <v>859.67632127648301</v>
      </c>
      <c r="W17" s="26">
        <v>834.99072606572895</v>
      </c>
      <c r="X17" s="26">
        <v>967.34244356433896</v>
      </c>
    </row>
    <row r="18" spans="1:24" ht="18.75" customHeight="1">
      <c r="A18" s="15" t="s">
        <v>7</v>
      </c>
      <c r="B18" s="25" t="s">
        <v>29</v>
      </c>
      <c r="C18" s="26">
        <v>699.16297618144597</v>
      </c>
      <c r="D18" s="26">
        <v>702.167742042599</v>
      </c>
      <c r="E18" s="26">
        <v>743.66193240047699</v>
      </c>
      <c r="F18" s="26">
        <v>844.67721632154701</v>
      </c>
      <c r="G18" s="26">
        <v>957.55483200684898</v>
      </c>
      <c r="H18" s="26">
        <v>1902.5012412487799</v>
      </c>
      <c r="I18" s="26">
        <v>1582.1899533876999</v>
      </c>
      <c r="J18" s="26">
        <v>1740.1593550638199</v>
      </c>
      <c r="K18" s="26">
        <v>2334.0167663554898</v>
      </c>
      <c r="L18" s="27">
        <v>2424.1481691919098</v>
      </c>
      <c r="M18" s="26">
        <v>2205.83627922204</v>
      </c>
      <c r="N18" s="26">
        <v>2775.6395068574898</v>
      </c>
      <c r="O18" s="26">
        <v>4517.08344558101</v>
      </c>
      <c r="P18" s="26">
        <v>5022.1830871067996</v>
      </c>
      <c r="Q18" s="26">
        <v>5477.3291812177204</v>
      </c>
      <c r="R18" s="26">
        <v>7299.4185093651904</v>
      </c>
      <c r="S18" s="26">
        <v>6978.625</v>
      </c>
      <c r="T18" s="26">
        <v>3770.7245464580201</v>
      </c>
      <c r="U18" s="26">
        <v>4050.42020764874</v>
      </c>
      <c r="V18" s="26">
        <v>5791.2635432837997</v>
      </c>
      <c r="W18" s="26">
        <v>5933.4597501197604</v>
      </c>
      <c r="X18" s="26">
        <v>5929.00200712485</v>
      </c>
    </row>
    <row r="19" spans="1:24" ht="18.75" customHeight="1">
      <c r="A19" s="19"/>
      <c r="B19" s="20" t="s">
        <v>8</v>
      </c>
      <c r="C19" s="23">
        <v>9842.5167784916594</v>
      </c>
      <c r="D19" s="23">
        <v>11469.124575653101</v>
      </c>
      <c r="E19" s="23">
        <v>10360.440168814301</v>
      </c>
      <c r="F19" s="23">
        <v>14699.7636212246</v>
      </c>
      <c r="G19" s="23">
        <v>17725.888534244801</v>
      </c>
      <c r="H19" s="23">
        <v>20992.173378475301</v>
      </c>
      <c r="I19" s="23">
        <v>23393.344536586999</v>
      </c>
      <c r="J19" s="23">
        <v>25738.978136797101</v>
      </c>
      <c r="K19" s="23">
        <v>30408.960114429101</v>
      </c>
      <c r="L19" s="24">
        <v>33470.615615256203</v>
      </c>
      <c r="M19" s="23">
        <v>38266.850455085703</v>
      </c>
      <c r="N19" s="23">
        <v>42880.4230221916</v>
      </c>
      <c r="O19" s="23">
        <v>45926.811660157698</v>
      </c>
      <c r="P19" s="23">
        <v>47403.668108640602</v>
      </c>
      <c r="Q19" s="23">
        <v>51501.444227726999</v>
      </c>
      <c r="R19" s="23">
        <v>56915.5368081259</v>
      </c>
      <c r="S19" s="23">
        <v>62769.9335574699</v>
      </c>
      <c r="T19" s="23">
        <v>40423.183887286497</v>
      </c>
      <c r="U19" s="23">
        <v>59076.115030213201</v>
      </c>
      <c r="V19" s="23">
        <v>69922.223901934194</v>
      </c>
      <c r="W19" s="23">
        <v>72091.520712658894</v>
      </c>
      <c r="X19" s="23">
        <v>78349.947719193893</v>
      </c>
    </row>
    <row r="20" spans="1:24" ht="18.75" customHeight="1">
      <c r="A20" s="15" t="s">
        <v>9</v>
      </c>
      <c r="B20" s="25" t="s">
        <v>30</v>
      </c>
      <c r="C20" s="26">
        <v>434.16697842647</v>
      </c>
      <c r="D20" s="26">
        <v>643.95502997496999</v>
      </c>
      <c r="E20" s="26">
        <v>832.66354216849095</v>
      </c>
      <c r="F20" s="26">
        <v>1110.89217028915</v>
      </c>
      <c r="G20" s="26">
        <v>1482.1695293850601</v>
      </c>
      <c r="H20" s="26">
        <v>2075.9773015702999</v>
      </c>
      <c r="I20" s="26">
        <v>1777.0462851806799</v>
      </c>
      <c r="J20" s="26">
        <v>2172.19447288224</v>
      </c>
      <c r="K20" s="26">
        <v>2867.4660706873401</v>
      </c>
      <c r="L20" s="27">
        <v>3512.2129585861999</v>
      </c>
      <c r="M20" s="26">
        <v>4421.6007292921804</v>
      </c>
      <c r="N20" s="26">
        <v>5353.6975028520001</v>
      </c>
      <c r="O20" s="26">
        <v>5168.0809666444902</v>
      </c>
      <c r="P20" s="26">
        <v>5955.9431754489196</v>
      </c>
      <c r="Q20" s="26">
        <v>6438.7727009707396</v>
      </c>
      <c r="R20" s="26">
        <v>7621.2479411904296</v>
      </c>
      <c r="S20" s="26">
        <v>7814.3967144593698</v>
      </c>
      <c r="T20" s="26">
        <v>4783.6518490424496</v>
      </c>
      <c r="U20" s="26">
        <v>6724.37813167078</v>
      </c>
      <c r="V20" s="26">
        <v>8260.5904057943608</v>
      </c>
      <c r="W20" s="26">
        <v>9055.3905966580005</v>
      </c>
      <c r="X20" s="26">
        <v>9565.1676949506691</v>
      </c>
    </row>
    <row r="21" spans="1:24" ht="18.75" customHeight="1">
      <c r="A21" s="15"/>
      <c r="B21" s="25" t="s">
        <v>31</v>
      </c>
      <c r="C21" s="28">
        <v>3781.3759922571899</v>
      </c>
      <c r="D21" s="28">
        <v>4304.4070863593897</v>
      </c>
      <c r="E21" s="28">
        <v>2785.0961589313401</v>
      </c>
      <c r="F21" s="28">
        <v>5471.9865475182896</v>
      </c>
      <c r="G21" s="28">
        <v>7055.9650279898096</v>
      </c>
      <c r="H21" s="28">
        <v>7374.3638756793498</v>
      </c>
      <c r="I21" s="28">
        <v>7572.9071325165996</v>
      </c>
      <c r="J21" s="28">
        <v>8661.6510196851705</v>
      </c>
      <c r="K21" s="28">
        <v>10206.6970794473</v>
      </c>
      <c r="L21" s="28">
        <v>11023.146891922701</v>
      </c>
      <c r="M21" s="28">
        <v>12943.183386692999</v>
      </c>
      <c r="N21" s="28">
        <v>14343.053446269199</v>
      </c>
      <c r="O21" s="28">
        <v>14768.3439789246</v>
      </c>
      <c r="P21" s="28">
        <v>13540.775805970699</v>
      </c>
      <c r="Q21" s="28">
        <v>15002.024053966999</v>
      </c>
      <c r="R21" s="28">
        <v>16596.498781465601</v>
      </c>
      <c r="S21" s="28">
        <v>18992.5042795306</v>
      </c>
      <c r="T21" s="28">
        <v>5930.5020639527002</v>
      </c>
      <c r="U21" s="28">
        <v>15997.372749038101</v>
      </c>
      <c r="V21" s="28">
        <v>20692.914019373398</v>
      </c>
      <c r="W21" s="28">
        <v>18959.2902871812</v>
      </c>
      <c r="X21" s="28">
        <v>22062.166057476101</v>
      </c>
    </row>
    <row r="22" spans="1:24" s="4" customFormat="1" ht="18.75" customHeight="1">
      <c r="A22" s="32" t="s">
        <v>11</v>
      </c>
      <c r="B22" s="29" t="s">
        <v>49</v>
      </c>
      <c r="C22" s="26">
        <v>3496.53495424414</v>
      </c>
      <c r="D22" s="26">
        <v>3965.9246951632799</v>
      </c>
      <c r="E22" s="26">
        <v>2514.85196988402</v>
      </c>
      <c r="F22" s="26">
        <v>5072.9952016306897</v>
      </c>
      <c r="G22" s="26">
        <v>6555.9607136472196</v>
      </c>
      <c r="H22" s="26">
        <v>6843.5925108830597</v>
      </c>
      <c r="I22" s="26">
        <v>7079.06719847147</v>
      </c>
      <c r="J22" s="26">
        <v>8180.9061369430501</v>
      </c>
      <c r="K22" s="26">
        <v>9529.0384588924608</v>
      </c>
      <c r="L22" s="27">
        <v>10268.475483440499</v>
      </c>
      <c r="M22" s="26">
        <v>11918.691747912701</v>
      </c>
      <c r="N22" s="26">
        <v>13297.126675760899</v>
      </c>
      <c r="O22" s="26">
        <v>13462.2198288168</v>
      </c>
      <c r="P22" s="26">
        <v>12263.0043268182</v>
      </c>
      <c r="Q22" s="26">
        <v>13856.085670562299</v>
      </c>
      <c r="R22" s="26">
        <v>15513.850235056099</v>
      </c>
      <c r="S22" s="26">
        <v>17957.132444913299</v>
      </c>
      <c r="T22" s="26">
        <v>5272.90837155188</v>
      </c>
      <c r="U22" s="26">
        <v>15132.2480158689</v>
      </c>
      <c r="V22" s="26">
        <v>19680.771341319101</v>
      </c>
      <c r="W22" s="26">
        <v>17876.001106427098</v>
      </c>
      <c r="X22" s="26">
        <v>20898.896494236102</v>
      </c>
    </row>
    <row r="23" spans="1:24" s="4" customFormat="1" ht="18.75" customHeight="1">
      <c r="A23" s="32" t="s">
        <v>11</v>
      </c>
      <c r="B23" s="29" t="s">
        <v>50</v>
      </c>
      <c r="C23" s="26">
        <v>116.150510212927</v>
      </c>
      <c r="D23" s="26">
        <v>149.990052315273</v>
      </c>
      <c r="E23" s="26">
        <v>108.67200605387301</v>
      </c>
      <c r="F23" s="26">
        <v>150.257721102685</v>
      </c>
      <c r="G23" s="26">
        <v>189.03827072793999</v>
      </c>
      <c r="H23" s="26">
        <v>213.189286337243</v>
      </c>
      <c r="I23" s="26">
        <v>205.53023792205599</v>
      </c>
      <c r="J23" s="26">
        <v>247.23662365012601</v>
      </c>
      <c r="K23" s="26">
        <v>418.815573785504</v>
      </c>
      <c r="L23" s="27">
        <v>385.52000712768</v>
      </c>
      <c r="M23" s="26">
        <v>516.27835682751197</v>
      </c>
      <c r="N23" s="26">
        <v>605.02012718933895</v>
      </c>
      <c r="O23" s="26">
        <v>848.77246287531</v>
      </c>
      <c r="P23" s="26">
        <v>797.11853571901497</v>
      </c>
      <c r="Q23" s="26">
        <v>632.09255322898503</v>
      </c>
      <c r="R23" s="26">
        <v>533.20771021606697</v>
      </c>
      <c r="S23" s="26">
        <v>435.61945281953302</v>
      </c>
      <c r="T23" s="26">
        <v>143.45331560433399</v>
      </c>
      <c r="U23" s="26">
        <v>235.878725110364</v>
      </c>
      <c r="V23" s="26">
        <v>350.76568715707202</v>
      </c>
      <c r="W23" s="26">
        <v>369.70705233072198</v>
      </c>
      <c r="X23" s="26">
        <v>436.27206021063199</v>
      </c>
    </row>
    <row r="24" spans="1:24" s="4" customFormat="1" ht="18.75" customHeight="1">
      <c r="A24" s="32" t="s">
        <v>11</v>
      </c>
      <c r="B24" s="29" t="s">
        <v>51</v>
      </c>
      <c r="C24" s="26">
        <v>168.69052780012399</v>
      </c>
      <c r="D24" s="26">
        <v>188.49233888083799</v>
      </c>
      <c r="E24" s="26">
        <v>161.572182993452</v>
      </c>
      <c r="F24" s="26">
        <v>248.733624784917</v>
      </c>
      <c r="G24" s="26">
        <v>310.96604361465302</v>
      </c>
      <c r="H24" s="26">
        <v>317.58207845904099</v>
      </c>
      <c r="I24" s="26">
        <v>288.30969612307302</v>
      </c>
      <c r="J24" s="26">
        <v>233.50825909199</v>
      </c>
      <c r="K24" s="26">
        <v>258.84304676937398</v>
      </c>
      <c r="L24" s="27">
        <v>369.151401354467</v>
      </c>
      <c r="M24" s="26">
        <v>508.21328195274998</v>
      </c>
      <c r="N24" s="26">
        <v>440.90664331893902</v>
      </c>
      <c r="O24" s="26">
        <v>457.351687232492</v>
      </c>
      <c r="P24" s="26">
        <v>480.652943433411</v>
      </c>
      <c r="Q24" s="26">
        <v>513.84583017569196</v>
      </c>
      <c r="R24" s="26">
        <v>549.44083619349499</v>
      </c>
      <c r="S24" s="26">
        <v>599.75238179779001</v>
      </c>
      <c r="T24" s="26">
        <v>514.140376796483</v>
      </c>
      <c r="U24" s="26">
        <v>629.24600805889497</v>
      </c>
      <c r="V24" s="26">
        <v>661.37699089725095</v>
      </c>
      <c r="W24" s="26">
        <v>713.58212842336002</v>
      </c>
      <c r="X24" s="26">
        <v>726.997503029428</v>
      </c>
    </row>
    <row r="25" spans="1:24" ht="18.75" customHeight="1">
      <c r="A25" s="15"/>
      <c r="B25" s="25" t="s">
        <v>26</v>
      </c>
      <c r="C25" s="26">
        <v>1773.5411192281799</v>
      </c>
      <c r="D25" s="26">
        <v>2262.8660769380799</v>
      </c>
      <c r="E25" s="26">
        <v>1941.04589736965</v>
      </c>
      <c r="F25" s="26">
        <v>2464.3114172743399</v>
      </c>
      <c r="G25" s="26">
        <v>2784.6737988260302</v>
      </c>
      <c r="H25" s="26">
        <v>3097.07922470523</v>
      </c>
      <c r="I25" s="26">
        <v>3761.4043825766098</v>
      </c>
      <c r="J25" s="26">
        <v>4625.1974848661703</v>
      </c>
      <c r="K25" s="26">
        <v>5084.3140685189401</v>
      </c>
      <c r="L25" s="27">
        <v>5707.3338320169496</v>
      </c>
      <c r="M25" s="26">
        <v>6435.7420655939104</v>
      </c>
      <c r="N25" s="26">
        <v>7147.2527111181898</v>
      </c>
      <c r="O25" s="26">
        <v>8179.3070913142101</v>
      </c>
      <c r="P25" s="26">
        <v>8397.1135883182396</v>
      </c>
      <c r="Q25" s="26">
        <v>8638.8992187551303</v>
      </c>
      <c r="R25" s="26">
        <v>9109.2871098863106</v>
      </c>
      <c r="S25" s="26">
        <v>9792.6427954499195</v>
      </c>
      <c r="T25" s="26">
        <v>5843.7704539489296</v>
      </c>
      <c r="U25" s="26">
        <v>8174.0846034481901</v>
      </c>
      <c r="V25" s="26">
        <v>9705.4150699786696</v>
      </c>
      <c r="W25" s="26">
        <v>10852.129585831401</v>
      </c>
      <c r="X25" s="26">
        <v>11696.0615846865</v>
      </c>
    </row>
    <row r="26" spans="1:24" s="4" customFormat="1" ht="18.75" customHeight="1">
      <c r="A26" s="32" t="s">
        <v>10</v>
      </c>
      <c r="B26" s="29" t="s">
        <v>40</v>
      </c>
      <c r="C26" s="26">
        <v>784.919999634379</v>
      </c>
      <c r="D26" s="26">
        <v>961.84596114563601</v>
      </c>
      <c r="E26" s="26">
        <v>840.04905438144203</v>
      </c>
      <c r="F26" s="26">
        <v>1171.5725143881</v>
      </c>
      <c r="G26" s="26">
        <v>1233.83687077486</v>
      </c>
      <c r="H26" s="26">
        <v>1410.6205526414601</v>
      </c>
      <c r="I26" s="26">
        <v>1859.2757727676701</v>
      </c>
      <c r="J26" s="26">
        <v>2178.5222027936302</v>
      </c>
      <c r="K26" s="26">
        <v>2472.4922450650702</v>
      </c>
      <c r="L26" s="27">
        <v>2900.20059665799</v>
      </c>
      <c r="M26" s="26">
        <v>3308.0894065430398</v>
      </c>
      <c r="N26" s="26">
        <v>3722.8391944775199</v>
      </c>
      <c r="O26" s="26">
        <v>3923.0331988451098</v>
      </c>
      <c r="P26" s="26">
        <v>4052.8223810633399</v>
      </c>
      <c r="Q26" s="26">
        <v>4085.2775321833801</v>
      </c>
      <c r="R26" s="26">
        <v>4338.9085731391096</v>
      </c>
      <c r="S26" s="26">
        <v>4536.7330327847403</v>
      </c>
      <c r="T26" s="26">
        <v>2777.0829516070698</v>
      </c>
      <c r="U26" s="26">
        <v>4110.2281926989399</v>
      </c>
      <c r="V26" s="26">
        <v>4757.7051531401003</v>
      </c>
      <c r="W26" s="26">
        <v>5425.5427921885203</v>
      </c>
      <c r="X26" s="26">
        <v>5745.5022863253298</v>
      </c>
    </row>
    <row r="27" spans="1:24" s="4" customFormat="1" ht="18.75" customHeight="1">
      <c r="A27" s="32" t="s">
        <v>14</v>
      </c>
      <c r="B27" s="29" t="s">
        <v>41</v>
      </c>
      <c r="C27" s="26">
        <v>226.75249916230999</v>
      </c>
      <c r="D27" s="26">
        <v>274.17840621821301</v>
      </c>
      <c r="E27" s="26">
        <v>187.91050621960099</v>
      </c>
      <c r="F27" s="26">
        <v>398.04612137837802</v>
      </c>
      <c r="G27" s="26">
        <v>546.38745195803494</v>
      </c>
      <c r="H27" s="26">
        <v>605.87630655636599</v>
      </c>
      <c r="I27" s="26">
        <v>667.54173583935597</v>
      </c>
      <c r="J27" s="26">
        <v>824.625081267523</v>
      </c>
      <c r="K27" s="26">
        <v>1039.42105656187</v>
      </c>
      <c r="L27" s="27">
        <v>1192.97272581479</v>
      </c>
      <c r="M27" s="26">
        <v>1490.2078381208601</v>
      </c>
      <c r="N27" s="26">
        <v>1736.46600130414</v>
      </c>
      <c r="O27" s="26">
        <v>1889.0654763078401</v>
      </c>
      <c r="P27" s="26">
        <v>1751.3030559174599</v>
      </c>
      <c r="Q27" s="26">
        <v>1877.7595885318201</v>
      </c>
      <c r="R27" s="26">
        <v>2047.20020731869</v>
      </c>
      <c r="S27" s="26">
        <v>2326.1259277006302</v>
      </c>
      <c r="T27" s="26">
        <v>651.04694165719297</v>
      </c>
      <c r="U27" s="26">
        <v>1528.96094711612</v>
      </c>
      <c r="V27" s="26">
        <v>2097.0416142642898</v>
      </c>
      <c r="W27" s="26">
        <v>2394.1901164665701</v>
      </c>
      <c r="X27" s="26">
        <v>2812.0558080689898</v>
      </c>
    </row>
    <row r="28" spans="1:24" s="4" customFormat="1" ht="18.75" customHeight="1">
      <c r="A28" s="32" t="s">
        <v>10</v>
      </c>
      <c r="B28" s="29" t="s">
        <v>42</v>
      </c>
      <c r="C28" s="33">
        <v>761.86862043148801</v>
      </c>
      <c r="D28" s="26">
        <v>1026.84170957423</v>
      </c>
      <c r="E28" s="26">
        <v>913.086336768607</v>
      </c>
      <c r="F28" s="26">
        <v>894.69278150786295</v>
      </c>
      <c r="G28" s="26">
        <v>1004.44947609314</v>
      </c>
      <c r="H28" s="26">
        <v>1080.58236550741</v>
      </c>
      <c r="I28" s="26">
        <v>1234.58687396958</v>
      </c>
      <c r="J28" s="26">
        <v>1622.05020080501</v>
      </c>
      <c r="K28" s="26">
        <v>1572.4007668920001</v>
      </c>
      <c r="L28" s="27">
        <v>1614.1605095441701</v>
      </c>
      <c r="M28" s="26">
        <v>1637.4448209300101</v>
      </c>
      <c r="N28" s="26">
        <v>1687.9475153365299</v>
      </c>
      <c r="O28" s="26">
        <v>2367.2084161612602</v>
      </c>
      <c r="P28" s="26">
        <v>2592.9881513374398</v>
      </c>
      <c r="Q28" s="26">
        <v>2675.8620980399301</v>
      </c>
      <c r="R28" s="26">
        <v>2723.1783294285201</v>
      </c>
      <c r="S28" s="26">
        <v>2929.7838349645499</v>
      </c>
      <c r="T28" s="26">
        <v>2415.6405606846602</v>
      </c>
      <c r="U28" s="26">
        <v>2534.89546363312</v>
      </c>
      <c r="V28" s="26">
        <v>2850.66830257428</v>
      </c>
      <c r="W28" s="26">
        <v>3032.3966771763098</v>
      </c>
      <c r="X28" s="26">
        <v>3138.5034902921502</v>
      </c>
    </row>
    <row r="29" spans="1:24" ht="18.75" customHeight="1">
      <c r="A29" s="15"/>
      <c r="B29" s="25" t="s">
        <v>32</v>
      </c>
      <c r="C29" s="26">
        <v>382.50918699894402</v>
      </c>
      <c r="D29" s="26">
        <v>466.30672753391002</v>
      </c>
      <c r="E29" s="26">
        <v>550.87940721513201</v>
      </c>
      <c r="F29" s="26">
        <v>769.72595022160294</v>
      </c>
      <c r="G29" s="26">
        <v>856.53641325246599</v>
      </c>
      <c r="H29" s="26">
        <v>798.72846046171799</v>
      </c>
      <c r="I29" s="26">
        <v>954.68976160652801</v>
      </c>
      <c r="J29" s="26">
        <v>1081.97371527614</v>
      </c>
      <c r="K29" s="26">
        <v>1721.2049274737999</v>
      </c>
      <c r="L29" s="27">
        <v>1660.9755508309599</v>
      </c>
      <c r="M29" s="26">
        <v>2030.22288907384</v>
      </c>
      <c r="N29" s="26">
        <v>2260.4626803108499</v>
      </c>
      <c r="O29" s="26">
        <v>2666.9513365643802</v>
      </c>
      <c r="P29" s="26">
        <v>3092.38032534388</v>
      </c>
      <c r="Q29" s="26">
        <v>3882.0818539943002</v>
      </c>
      <c r="R29" s="26">
        <v>4139.6689745758604</v>
      </c>
      <c r="S29" s="26">
        <v>4441.6727051717298</v>
      </c>
      <c r="T29" s="26">
        <v>4254.1792968362097</v>
      </c>
      <c r="U29" s="26">
        <v>6105.1166800426199</v>
      </c>
      <c r="V29" s="26">
        <v>6323.6688529324101</v>
      </c>
      <c r="W29" s="26">
        <v>7456.1759970772</v>
      </c>
      <c r="X29" s="26">
        <v>7449.4037992070498</v>
      </c>
    </row>
    <row r="30" spans="1:24" s="4" customFormat="1" ht="18.75" customHeight="1">
      <c r="A30" s="32" t="s">
        <v>12</v>
      </c>
      <c r="B30" s="29" t="s">
        <v>43</v>
      </c>
      <c r="C30" s="26">
        <v>375.32049042698702</v>
      </c>
      <c r="D30" s="26">
        <v>455.835751221262</v>
      </c>
      <c r="E30" s="26">
        <v>534.89257059638805</v>
      </c>
      <c r="F30" s="26">
        <v>744.96512191074703</v>
      </c>
      <c r="G30" s="26">
        <v>831.62388069424901</v>
      </c>
      <c r="H30" s="26">
        <v>751.84274581064199</v>
      </c>
      <c r="I30" s="26">
        <v>904.30632328166996</v>
      </c>
      <c r="J30" s="26">
        <v>1026.5240236749501</v>
      </c>
      <c r="K30" s="26">
        <v>1679.8014604821401</v>
      </c>
      <c r="L30" s="27">
        <v>1601.22127049955</v>
      </c>
      <c r="M30" s="26">
        <v>1910.38965226748</v>
      </c>
      <c r="N30" s="26">
        <v>2121.73669058524</v>
      </c>
      <c r="O30" s="26">
        <v>2521.6014684202401</v>
      </c>
      <c r="P30" s="26">
        <v>2936.3621230481299</v>
      </c>
      <c r="Q30" s="26">
        <v>3708.3699026899299</v>
      </c>
      <c r="R30" s="26">
        <v>3926.8665552410698</v>
      </c>
      <c r="S30" s="26">
        <v>4267.1067130458096</v>
      </c>
      <c r="T30" s="26">
        <v>4058.82201903143</v>
      </c>
      <c r="U30" s="26">
        <v>5863.8584460708998</v>
      </c>
      <c r="V30" s="26">
        <v>5999.8742294793401</v>
      </c>
      <c r="W30" s="26">
        <v>7033.0400099255403</v>
      </c>
      <c r="X30" s="26">
        <v>7084.8976994952</v>
      </c>
    </row>
    <row r="31" spans="1:24" s="4" customFormat="1" ht="18.75" customHeight="1">
      <c r="A31" s="32" t="s">
        <v>12</v>
      </c>
      <c r="B31" s="29" t="s">
        <v>44</v>
      </c>
      <c r="C31" s="26">
        <v>7.1886965719572196</v>
      </c>
      <c r="D31" s="26">
        <v>10.470976312648199</v>
      </c>
      <c r="E31" s="26">
        <v>15.9868366187437</v>
      </c>
      <c r="F31" s="26">
        <v>24.7608283108557</v>
      </c>
      <c r="G31" s="26">
        <v>24.912532558216402</v>
      </c>
      <c r="H31" s="26">
        <v>46.885714651076597</v>
      </c>
      <c r="I31" s="26">
        <v>50.383438324857799</v>
      </c>
      <c r="J31" s="26">
        <v>55.449691601184902</v>
      </c>
      <c r="K31" s="26">
        <v>41.403466991662498</v>
      </c>
      <c r="L31" s="27">
        <v>59.754280331409298</v>
      </c>
      <c r="M31" s="26">
        <v>119.833236806358</v>
      </c>
      <c r="N31" s="26">
        <v>138.72598972560701</v>
      </c>
      <c r="O31" s="26">
        <v>145.34986814414</v>
      </c>
      <c r="P31" s="26">
        <v>156.018202295751</v>
      </c>
      <c r="Q31" s="26">
        <v>173.71195130436499</v>
      </c>
      <c r="R31" s="26">
        <v>212.80241933478899</v>
      </c>
      <c r="S31" s="26">
        <v>174.565992125913</v>
      </c>
      <c r="T31" s="26">
        <v>195.35727780478101</v>
      </c>
      <c r="U31" s="26">
        <v>241.25823397171499</v>
      </c>
      <c r="V31" s="26">
        <v>323.794623453067</v>
      </c>
      <c r="W31" s="26">
        <v>423.13598715166103</v>
      </c>
      <c r="X31" s="26">
        <v>364.50609971184502</v>
      </c>
    </row>
    <row r="32" spans="1:24" ht="18.75" customHeight="1">
      <c r="A32" s="15" t="s">
        <v>13</v>
      </c>
      <c r="B32" s="25" t="s">
        <v>33</v>
      </c>
      <c r="C32" s="26">
        <v>1614.36</v>
      </c>
      <c r="D32" s="26">
        <v>1663.06608371429</v>
      </c>
      <c r="E32" s="26">
        <v>1663.24981589092</v>
      </c>
      <c r="F32" s="26">
        <v>1832.38993833258</v>
      </c>
      <c r="G32" s="26">
        <v>1987.17794927779</v>
      </c>
      <c r="H32" s="26">
        <v>2193.8530148009199</v>
      </c>
      <c r="I32" s="26">
        <v>2363.125240806</v>
      </c>
      <c r="J32" s="26">
        <v>2671.1102734875999</v>
      </c>
      <c r="K32" s="26">
        <v>2992.3391452241899</v>
      </c>
      <c r="L32" s="27">
        <v>3336.5726712362198</v>
      </c>
      <c r="M32" s="26">
        <v>3716.7816896173699</v>
      </c>
      <c r="N32" s="26">
        <v>4166.3397722153404</v>
      </c>
      <c r="O32" s="26">
        <v>4479.6891951222597</v>
      </c>
      <c r="P32" s="26">
        <v>4839.5487292252001</v>
      </c>
      <c r="Q32" s="26">
        <v>5078.1545144796901</v>
      </c>
      <c r="R32" s="26">
        <v>5719.9250051351501</v>
      </c>
      <c r="S32" s="26">
        <v>6265.629465</v>
      </c>
      <c r="T32" s="26">
        <v>6232.4289013948101</v>
      </c>
      <c r="U32" s="26">
        <v>6601.0793675833302</v>
      </c>
      <c r="V32" s="26">
        <v>7487.7315441166702</v>
      </c>
      <c r="W32" s="26">
        <v>7726.5108686414796</v>
      </c>
      <c r="X32" s="26">
        <v>8098.0988682723601</v>
      </c>
    </row>
    <row r="33" spans="1:24" ht="18.75" customHeight="1">
      <c r="A33" s="15" t="s">
        <v>25</v>
      </c>
      <c r="B33" s="25" t="s">
        <v>34</v>
      </c>
      <c r="C33" s="26">
        <v>142.19248494320499</v>
      </c>
      <c r="D33" s="26">
        <v>177.65141778324201</v>
      </c>
      <c r="E33" s="26">
        <v>167.32810068530799</v>
      </c>
      <c r="F33" s="26">
        <v>259.89739422783202</v>
      </c>
      <c r="G33" s="26">
        <v>336.29030210039798</v>
      </c>
      <c r="H33" s="26">
        <v>426.17218441448301</v>
      </c>
      <c r="I33" s="26">
        <v>456.06093673532098</v>
      </c>
      <c r="J33" s="26">
        <v>528.22259032215595</v>
      </c>
      <c r="K33" s="26">
        <v>610.07465261211496</v>
      </c>
      <c r="L33" s="27">
        <v>681.17737147250295</v>
      </c>
      <c r="M33" s="26">
        <v>759.18730547131997</v>
      </c>
      <c r="N33" s="26">
        <v>851.49657848374397</v>
      </c>
      <c r="O33" s="26">
        <v>779.39629182824797</v>
      </c>
      <c r="P33" s="26">
        <v>848.10426571738105</v>
      </c>
      <c r="Q33" s="26">
        <v>857.85340075894203</v>
      </c>
      <c r="R33" s="26">
        <v>886.89655935846395</v>
      </c>
      <c r="S33" s="26">
        <v>868.98451394376696</v>
      </c>
      <c r="T33" s="26">
        <v>539.40352223574996</v>
      </c>
      <c r="U33" s="26">
        <v>755.87230326690303</v>
      </c>
      <c r="V33" s="26">
        <v>906.75522117309504</v>
      </c>
      <c r="W33" s="26">
        <v>1017.13239854931</v>
      </c>
      <c r="X33" s="26">
        <v>1050.66221917192</v>
      </c>
    </row>
    <row r="34" spans="1:24" ht="18.75" customHeight="1">
      <c r="A34" s="15" t="s">
        <v>15</v>
      </c>
      <c r="B34" s="25" t="s">
        <v>35</v>
      </c>
      <c r="C34" s="26">
        <v>953.63866074492603</v>
      </c>
      <c r="D34" s="26">
        <v>1099.9713103027</v>
      </c>
      <c r="E34" s="26">
        <v>1372.9260291343001</v>
      </c>
      <c r="F34" s="26">
        <v>1531.16629696773</v>
      </c>
      <c r="G34" s="26">
        <v>1745.8932621000199</v>
      </c>
      <c r="H34" s="26">
        <v>2653.19651156699</v>
      </c>
      <c r="I34" s="26">
        <v>3306.26817901609</v>
      </c>
      <c r="J34" s="26">
        <v>3026.5821712358302</v>
      </c>
      <c r="K34" s="26">
        <v>3573.7828653059701</v>
      </c>
      <c r="L34" s="27">
        <v>3851.12032104541</v>
      </c>
      <c r="M34" s="26">
        <v>4019.5932590999701</v>
      </c>
      <c r="N34" s="26">
        <v>4372.0388571849599</v>
      </c>
      <c r="O34" s="26">
        <v>4791.5273727315998</v>
      </c>
      <c r="P34" s="26">
        <v>5101.3371386178196</v>
      </c>
      <c r="Q34" s="26">
        <v>5719.4982044501803</v>
      </c>
      <c r="R34" s="26">
        <v>6185.6748886999703</v>
      </c>
      <c r="S34" s="26">
        <v>7164.4547338499997</v>
      </c>
      <c r="T34" s="26">
        <v>6799.53567195907</v>
      </c>
      <c r="U34" s="26">
        <v>6707.0074246662798</v>
      </c>
      <c r="V34" s="26">
        <v>7467.2117788119904</v>
      </c>
      <c r="W34" s="26">
        <v>7306.2988865021098</v>
      </c>
      <c r="X34" s="26">
        <v>7948.9806044425204</v>
      </c>
    </row>
    <row r="35" spans="1:24" ht="18.75" customHeight="1">
      <c r="A35" s="15" t="s">
        <v>22</v>
      </c>
      <c r="B35" s="25" t="s">
        <v>17</v>
      </c>
      <c r="C35" s="26">
        <v>395.27248494320497</v>
      </c>
      <c r="D35" s="26">
        <v>476.06951275004297</v>
      </c>
      <c r="E35" s="26">
        <v>577.09474680617404</v>
      </c>
      <c r="F35" s="26">
        <v>679.49319610018097</v>
      </c>
      <c r="G35" s="26">
        <v>745.05453003979301</v>
      </c>
      <c r="H35" s="26">
        <v>1110.8235788960001</v>
      </c>
      <c r="I35" s="26">
        <v>1518.5275646391799</v>
      </c>
      <c r="J35" s="26">
        <v>1357.7382712367901</v>
      </c>
      <c r="K35" s="26">
        <v>1498.54961215702</v>
      </c>
      <c r="L35" s="27">
        <v>1609.59217496935</v>
      </c>
      <c r="M35" s="26">
        <v>1664.6953336327499</v>
      </c>
      <c r="N35" s="26">
        <v>1703.9989293364899</v>
      </c>
      <c r="O35" s="26">
        <v>2116.4148070177898</v>
      </c>
      <c r="P35" s="26">
        <v>2239.4142625067402</v>
      </c>
      <c r="Q35" s="26">
        <v>2283.87953619161</v>
      </c>
      <c r="R35" s="26">
        <v>2561.2077514150001</v>
      </c>
      <c r="S35" s="26">
        <v>2781.20134441758</v>
      </c>
      <c r="T35" s="26">
        <v>2773.4314999451499</v>
      </c>
      <c r="U35" s="26">
        <v>2934.9251048584201</v>
      </c>
      <c r="V35" s="26">
        <v>3363.9378971442502</v>
      </c>
      <c r="W35" s="26">
        <v>3891.5078830255502</v>
      </c>
      <c r="X35" s="26">
        <v>4079.4566000948998</v>
      </c>
    </row>
    <row r="36" spans="1:24" ht="18.75" customHeight="1">
      <c r="A36" s="15" t="s">
        <v>23</v>
      </c>
      <c r="B36" s="25" t="s">
        <v>36</v>
      </c>
      <c r="C36" s="26">
        <v>175.25248494320601</v>
      </c>
      <c r="D36" s="26">
        <v>229.119352972119</v>
      </c>
      <c r="E36" s="26">
        <v>283.577387065457</v>
      </c>
      <c r="F36" s="26">
        <v>352.86965744053703</v>
      </c>
      <c r="G36" s="26">
        <v>463.94397894967301</v>
      </c>
      <c r="H36" s="26">
        <v>789.05204081031604</v>
      </c>
      <c r="I36" s="26">
        <v>1145.5074097458601</v>
      </c>
      <c r="J36" s="26">
        <v>1063.5738797757599</v>
      </c>
      <c r="K36" s="26">
        <v>1193.23892462698</v>
      </c>
      <c r="L36" s="27">
        <v>1267.2103562964401</v>
      </c>
      <c r="M36" s="26">
        <v>1398.7675128963699</v>
      </c>
      <c r="N36" s="26">
        <v>1511.7760046354999</v>
      </c>
      <c r="O36" s="26">
        <v>1787.3275190024001</v>
      </c>
      <c r="P36" s="26">
        <v>1932.2479174125599</v>
      </c>
      <c r="Q36" s="26">
        <v>1932.8980655770099</v>
      </c>
      <c r="R36" s="26">
        <v>2208.4711048733502</v>
      </c>
      <c r="S36" s="26">
        <v>2460.5185716493302</v>
      </c>
      <c r="T36" s="26">
        <v>2538.0440662276301</v>
      </c>
      <c r="U36" s="26">
        <v>3137.6674364389601</v>
      </c>
      <c r="V36" s="26">
        <v>3210.3300170355001</v>
      </c>
      <c r="W36" s="26">
        <v>3514.8983432670698</v>
      </c>
      <c r="X36" s="26">
        <v>3729.8528890760299</v>
      </c>
    </row>
    <row r="37" spans="1:24" ht="18.75" customHeight="1">
      <c r="A37" s="15" t="s">
        <v>24</v>
      </c>
      <c r="B37" s="25" t="s">
        <v>37</v>
      </c>
      <c r="C37" s="26">
        <v>190.207386006333</v>
      </c>
      <c r="D37" s="26">
        <v>145.71197732433001</v>
      </c>
      <c r="E37" s="26">
        <v>186.57908354757001</v>
      </c>
      <c r="F37" s="26">
        <v>227.031052852372</v>
      </c>
      <c r="G37" s="26">
        <v>268.18374232375697</v>
      </c>
      <c r="H37" s="26">
        <v>472.92718556998398</v>
      </c>
      <c r="I37" s="26">
        <v>537.80764376416096</v>
      </c>
      <c r="J37" s="26">
        <v>550.73425802922304</v>
      </c>
      <c r="K37" s="26">
        <v>661.29276837538202</v>
      </c>
      <c r="L37" s="27">
        <v>821.27348687952895</v>
      </c>
      <c r="M37" s="26">
        <v>877.07628371497799</v>
      </c>
      <c r="N37" s="26">
        <v>1170.3065397852999</v>
      </c>
      <c r="O37" s="26">
        <v>1189.77310100766</v>
      </c>
      <c r="P37" s="26">
        <v>1456.8029000791901</v>
      </c>
      <c r="Q37" s="26">
        <v>1667.3826785824499</v>
      </c>
      <c r="R37" s="26">
        <v>1886.6586915257301</v>
      </c>
      <c r="S37" s="26">
        <v>2187.9284339976798</v>
      </c>
      <c r="T37" s="26">
        <v>728.23656174379096</v>
      </c>
      <c r="U37" s="26">
        <v>1938.6112291996201</v>
      </c>
      <c r="V37" s="26">
        <v>2503.66909557381</v>
      </c>
      <c r="W37" s="26">
        <v>2312.1858659255099</v>
      </c>
      <c r="X37" s="26">
        <v>2670.0974018158399</v>
      </c>
    </row>
    <row r="38" spans="1:24" ht="7.5" customHeight="1">
      <c r="A38" s="34"/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7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 spans="1:24" s="1" customFormat="1" ht="18.75" customHeight="1">
      <c r="A39" s="38"/>
      <c r="B39" s="39" t="s">
        <v>55</v>
      </c>
      <c r="C39" s="25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s="1" customFormat="1" ht="18.75" customHeight="1">
      <c r="A40" s="38"/>
      <c r="B40" s="25" t="s">
        <v>56</v>
      </c>
      <c r="C40" s="26">
        <v>318831</v>
      </c>
      <c r="D40" s="26">
        <v>327893</v>
      </c>
      <c r="E40" s="26">
        <v>338591</v>
      </c>
      <c r="F40" s="26">
        <v>354367</v>
      </c>
      <c r="G40" s="26">
        <v>374944</v>
      </c>
      <c r="H40" s="26">
        <v>390414</v>
      </c>
      <c r="I40" s="26">
        <v>384801</v>
      </c>
      <c r="J40" s="26">
        <v>393578</v>
      </c>
      <c r="K40" s="26">
        <v>406359</v>
      </c>
      <c r="L40" s="26">
        <v>417305.91520427802</v>
      </c>
      <c r="M40" s="26">
        <v>428670.82631033001</v>
      </c>
      <c r="N40" s="26">
        <v>437535</v>
      </c>
      <c r="O40" s="26">
        <v>454434.03481257003</v>
      </c>
      <c r="P40" s="26">
        <v>472425.998022552</v>
      </c>
      <c r="Q40" s="26">
        <v>491588.87801226799</v>
      </c>
      <c r="R40" s="26">
        <v>512037.63178813201</v>
      </c>
      <c r="S40" s="26">
        <v>533941.44321453199</v>
      </c>
      <c r="T40" s="26">
        <v>557426.1135637</v>
      </c>
      <c r="U40" s="26">
        <v>568361.82131875504</v>
      </c>
      <c r="V40" s="26">
        <v>579329.75573012501</v>
      </c>
      <c r="W40" s="26">
        <v>590297.09826576</v>
      </c>
      <c r="X40" s="26">
        <v>601269.11123156</v>
      </c>
    </row>
    <row r="41" spans="1:24" ht="18.75" customHeight="1">
      <c r="A41" s="38"/>
      <c r="B41" s="25" t="s">
        <v>57</v>
      </c>
      <c r="C41" s="33">
        <v>12.8</v>
      </c>
      <c r="D41" s="33">
        <v>12.8</v>
      </c>
      <c r="E41" s="33">
        <v>12.8</v>
      </c>
      <c r="F41" s="33">
        <v>12.8</v>
      </c>
      <c r="G41" s="33">
        <v>12.8</v>
      </c>
      <c r="H41" s="33">
        <v>12.8</v>
      </c>
      <c r="I41" s="33">
        <v>12.8</v>
      </c>
      <c r="J41" s="33">
        <v>12.8</v>
      </c>
      <c r="K41" s="33">
        <v>14.57</v>
      </c>
      <c r="L41" s="33">
        <v>15.42</v>
      </c>
      <c r="M41" s="33">
        <v>15.42</v>
      </c>
      <c r="N41" s="33">
        <v>15.42</v>
      </c>
      <c r="O41" s="33">
        <v>15.42</v>
      </c>
      <c r="P41" s="33">
        <v>15.42</v>
      </c>
      <c r="Q41" s="33">
        <v>15.42</v>
      </c>
      <c r="R41" s="33">
        <v>15.42</v>
      </c>
      <c r="S41" s="33">
        <v>15.42</v>
      </c>
      <c r="T41" s="33">
        <v>15.42</v>
      </c>
      <c r="U41" s="33">
        <v>15.42</v>
      </c>
      <c r="V41" s="33">
        <v>15.42</v>
      </c>
      <c r="W41" s="33">
        <v>15.42</v>
      </c>
      <c r="X41" s="33">
        <v>15.42</v>
      </c>
    </row>
    <row r="42" spans="1:24" ht="18.75" customHeight="1">
      <c r="A42" s="38"/>
      <c r="B42" s="25" t="s">
        <v>58</v>
      </c>
      <c r="C42" s="26">
        <f>C5/C41</f>
        <v>1052.121055972375</v>
      </c>
      <c r="D42" s="26">
        <f t="shared" ref="D42:X42" si="0">D5/D41</f>
        <v>1226.8295648154453</v>
      </c>
      <c r="E42" s="26">
        <f t="shared" si="0"/>
        <v>1163.3624343276797</v>
      </c>
      <c r="F42" s="26">
        <f t="shared" si="0"/>
        <v>1575.2003909348985</v>
      </c>
      <c r="G42" s="26">
        <f t="shared" si="0"/>
        <v>1868.3834598434687</v>
      </c>
      <c r="H42" s="26">
        <f t="shared" si="0"/>
        <v>2271.6461881447422</v>
      </c>
      <c r="I42" s="26">
        <f t="shared" si="0"/>
        <v>2345.2948786681013</v>
      </c>
      <c r="J42" s="26">
        <f t="shared" si="0"/>
        <v>2588.1760584114604</v>
      </c>
      <c r="K42" s="26">
        <f t="shared" si="0"/>
        <v>2780.4450492189294</v>
      </c>
      <c r="L42" s="26">
        <f t="shared" si="0"/>
        <v>2875.8387536594878</v>
      </c>
      <c r="M42" s="26">
        <f t="shared" si="0"/>
        <v>3283.6220094349414</v>
      </c>
      <c r="N42" s="26">
        <f t="shared" si="0"/>
        <v>3687.8564500516536</v>
      </c>
      <c r="O42" s="26">
        <f t="shared" si="0"/>
        <v>4115.1326595716664</v>
      </c>
      <c r="P42" s="26">
        <f t="shared" si="0"/>
        <v>4395.1879048507008</v>
      </c>
      <c r="Q42" s="26">
        <f t="shared" si="0"/>
        <v>4806.1090496707975</v>
      </c>
      <c r="R42" s="26">
        <f t="shared" si="0"/>
        <v>5394.1232198936577</v>
      </c>
      <c r="S42" s="26">
        <f t="shared" si="0"/>
        <v>5711.9993951891183</v>
      </c>
      <c r="T42" s="26">
        <f t="shared" si="0"/>
        <v>3703.2797310733527</v>
      </c>
      <c r="U42" s="26">
        <f t="shared" si="0"/>
        <v>5236.3450635721201</v>
      </c>
      <c r="V42" s="26">
        <f t="shared" si="0"/>
        <v>6163.7536062712197</v>
      </c>
      <c r="W42" s="26">
        <f t="shared" si="0"/>
        <v>6606.7507793802861</v>
      </c>
      <c r="X42" s="26">
        <f t="shared" si="0"/>
        <v>7047.501536389429</v>
      </c>
    </row>
    <row r="43" spans="1:24" ht="18.75" customHeight="1">
      <c r="A43" s="38"/>
      <c r="B43" s="25" t="s">
        <v>59</v>
      </c>
      <c r="C43" s="26">
        <f t="shared" ref="C43:X43" si="1">C5/C40*1000000</f>
        <v>42239.147123229552</v>
      </c>
      <c r="D43" s="26">
        <f t="shared" si="1"/>
        <v>47891.898972035699</v>
      </c>
      <c r="E43" s="26">
        <f t="shared" si="1"/>
        <v>43979.429929898608</v>
      </c>
      <c r="F43" s="26">
        <f t="shared" si="1"/>
        <v>56897.411451875319</v>
      </c>
      <c r="G43" s="26">
        <f t="shared" si="1"/>
        <v>63783.680458938936</v>
      </c>
      <c r="H43" s="26">
        <f t="shared" si="1"/>
        <v>74477.532076853531</v>
      </c>
      <c r="I43" s="26">
        <f t="shared" si="1"/>
        <v>78013.76411951035</v>
      </c>
      <c r="J43" s="26">
        <f t="shared" si="1"/>
        <v>84173.031896261207</v>
      </c>
      <c r="K43" s="26">
        <f t="shared" si="1"/>
        <v>99692.843931400072</v>
      </c>
      <c r="L43" s="26">
        <f t="shared" si="1"/>
        <v>106266.0076594445</v>
      </c>
      <c r="M43" s="26">
        <f t="shared" si="1"/>
        <v>118117.32517769112</v>
      </c>
      <c r="N43" s="26">
        <f t="shared" si="1"/>
        <v>129970.73710628065</v>
      </c>
      <c r="O43" s="26">
        <f t="shared" si="1"/>
        <v>139635.98839327047</v>
      </c>
      <c r="P43" s="26">
        <f t="shared" si="1"/>
        <v>143459.07671567754</v>
      </c>
      <c r="Q43" s="26">
        <f t="shared" si="1"/>
        <v>150756.46512912813</v>
      </c>
      <c r="R43" s="26">
        <f t="shared" si="1"/>
        <v>162443.88085361829</v>
      </c>
      <c r="S43" s="26">
        <f t="shared" si="1"/>
        <v>164960.0940199485</v>
      </c>
      <c r="T43" s="26">
        <f t="shared" si="1"/>
        <v>102443.30515496286</v>
      </c>
      <c r="U43" s="26">
        <f t="shared" si="1"/>
        <v>142065.20890677156</v>
      </c>
      <c r="V43" s="26">
        <f t="shared" si="1"/>
        <v>164060.41579707499</v>
      </c>
      <c r="W43" s="26">
        <f t="shared" si="1"/>
        <v>172584.44487927665</v>
      </c>
      <c r="X43" s="26">
        <f t="shared" si="1"/>
        <v>180738.49406388879</v>
      </c>
    </row>
    <row r="44" spans="1:24" ht="18.75" customHeight="1">
      <c r="A44" s="38"/>
      <c r="B44" s="35" t="s">
        <v>60</v>
      </c>
      <c r="C44" s="40">
        <f>C42/C40*1000000</f>
        <v>3299.9333690023086</v>
      </c>
      <c r="D44" s="40">
        <f t="shared" ref="D44:X44" si="2">D42/D40*1000000</f>
        <v>3741.5546071902886</v>
      </c>
      <c r="E44" s="40">
        <f t="shared" si="2"/>
        <v>3435.8929632733289</v>
      </c>
      <c r="F44" s="40">
        <f t="shared" si="2"/>
        <v>4445.1102696777589</v>
      </c>
      <c r="G44" s="40">
        <f t="shared" si="2"/>
        <v>4983.1000358546034</v>
      </c>
      <c r="H44" s="40">
        <f t="shared" si="2"/>
        <v>5818.5571935041835</v>
      </c>
      <c r="I44" s="40">
        <f t="shared" si="2"/>
        <v>6094.8253218367445</v>
      </c>
      <c r="J44" s="40">
        <f t="shared" si="2"/>
        <v>6576.0181168954068</v>
      </c>
      <c r="K44" s="40">
        <f t="shared" si="2"/>
        <v>6842.3365773095447</v>
      </c>
      <c r="L44" s="40">
        <f t="shared" si="2"/>
        <v>6891.4401854373864</v>
      </c>
      <c r="M44" s="40">
        <f t="shared" si="2"/>
        <v>7660.0081178788005</v>
      </c>
      <c r="N44" s="40">
        <f t="shared" si="2"/>
        <v>8428.7118745966691</v>
      </c>
      <c r="O44" s="40">
        <f t="shared" si="2"/>
        <v>9055.5115689539871</v>
      </c>
      <c r="P44" s="40">
        <f t="shared" si="2"/>
        <v>9303.4420697585956</v>
      </c>
      <c r="Q44" s="40">
        <f t="shared" si="2"/>
        <v>9776.6838605141456</v>
      </c>
      <c r="R44" s="40">
        <f t="shared" si="2"/>
        <v>10534.622623451252</v>
      </c>
      <c r="S44" s="40">
        <f t="shared" si="2"/>
        <v>10697.801168608854</v>
      </c>
      <c r="T44" s="40">
        <f t="shared" si="2"/>
        <v>6643.5347052505094</v>
      </c>
      <c r="U44" s="40">
        <f t="shared" si="2"/>
        <v>9213.048567235508</v>
      </c>
      <c r="V44" s="40">
        <f t="shared" si="2"/>
        <v>10639.456277371921</v>
      </c>
      <c r="W44" s="40">
        <f t="shared" si="2"/>
        <v>11192.246749628835</v>
      </c>
      <c r="X44" s="40">
        <f t="shared" si="2"/>
        <v>11721.043713611465</v>
      </c>
    </row>
    <row r="45" spans="1:24" ht="18.75" customHeight="1">
      <c r="A45" s="41" t="s">
        <v>52</v>
      </c>
      <c r="B45" s="42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8.75" customHeight="1">
      <c r="A46" s="41" t="s">
        <v>61</v>
      </c>
      <c r="B46" s="42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8.75" customHeight="1">
      <c r="A47" s="41" t="s">
        <v>62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8.75" customHeight="1">
      <c r="A48" s="38"/>
      <c r="B48" s="25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8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8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</sheetData>
  <mergeCells count="4">
    <mergeCell ref="A1:W1"/>
    <mergeCell ref="A2:W2"/>
    <mergeCell ref="B3:B4"/>
    <mergeCell ref="C3:X3"/>
  </mergeCells>
  <pageMargins left="0.25" right="0.25" top="0.75" bottom="0.75" header="0.3" footer="0.3"/>
  <pageSetup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16.4</vt:lpstr>
      <vt:lpstr>'16.4'!Print_Area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2025-09-21T07:12:39Z</cp:lastPrinted>
  <dcterms:created xsi:type="dcterms:W3CDTF">2014-05-21T04:36:27Z</dcterms:created>
  <dcterms:modified xsi:type="dcterms:W3CDTF">2025-09-21T07:12:49Z</dcterms:modified>
</cp:coreProperties>
</file>