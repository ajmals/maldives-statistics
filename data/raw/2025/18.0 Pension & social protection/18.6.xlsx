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ension\"/>
    </mc:Choice>
  </mc:AlternateContent>
  <xr:revisionPtr revIDLastSave="0" documentId="13_ncr:1_{2E9EC8E5-6870-421F-8745-0B7598EA2451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18.6" sheetId="6" r:id="rId1"/>
  </sheets>
  <definedNames>
    <definedName name="_xlnm.Print_Area" localSheetId="0">'18.6'!$A$1:$T$34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2" roundtripDataChecksum="fkOimQmwXAp2X4Idi2I5zrAWog9iQuypB84L36zwUFs="/>
    </ext>
  </extLst>
</workbook>
</file>

<file path=xl/calcChain.xml><?xml version="1.0" encoding="utf-8"?>
<calcChain xmlns="http://schemas.openxmlformats.org/spreadsheetml/2006/main">
  <c r="M18" i="6" l="1"/>
  <c r="G18" i="6"/>
  <c r="M17" i="6"/>
  <c r="G17" i="6"/>
  <c r="M16" i="6"/>
  <c r="G16" i="6"/>
  <c r="M15" i="6"/>
  <c r="G15" i="6"/>
  <c r="M14" i="6"/>
  <c r="G14" i="6"/>
  <c r="M13" i="6"/>
  <c r="G13" i="6"/>
  <c r="M12" i="6"/>
  <c r="G12" i="6"/>
  <c r="M11" i="6"/>
  <c r="G11" i="6"/>
  <c r="M10" i="6"/>
  <c r="G10" i="6"/>
  <c r="M9" i="6"/>
  <c r="G9" i="6"/>
  <c r="M8" i="6"/>
  <c r="G8" i="6"/>
  <c r="M7" i="6"/>
  <c r="G7" i="6"/>
</calcChain>
</file>

<file path=xl/sharedStrings.xml><?xml version="1.0" encoding="utf-8"?>
<sst xmlns="http://schemas.openxmlformats.org/spreadsheetml/2006/main" count="50" uniqueCount="39">
  <si>
    <t>Total</t>
  </si>
  <si>
    <t>Month</t>
  </si>
  <si>
    <t>މަސް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</si>
  <si>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</si>
  <si>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</si>
  <si>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</si>
  <si>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</si>
  <si>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</si>
  <si>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</si>
  <si>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</si>
  <si>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</si>
  <si>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</si>
  <si>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</si>
  <si>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</si>
  <si>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</si>
  <si>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</si>
  <si>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</si>
  <si>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</si>
  <si>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</si>
  <si>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</si>
  <si>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</si>
  <si>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</si>
  <si>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</si>
  <si>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</si>
  <si>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</si>
  <si>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</si>
  <si>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</si>
  <si>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މަޢުލޫމާތު ދެއްވި ފަރާތް: މޯލްޑިވްސް ޕެންޝަން އެޑްމިނިސްޓްރޭޝަން</t>
  </si>
  <si>
    <t>Source: Maldives Pension Administration</t>
  </si>
  <si>
    <t>65-69</t>
  </si>
  <si>
    <t>70-74</t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</si>
  <si>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</si>
  <si>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</si>
  <si>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>&lt; 55</t>
  </si>
  <si>
    <t>55-64</t>
  </si>
  <si>
    <t>75 +</t>
  </si>
  <si>
    <t>TABLE   18.6: NUMBER OF BENEFICIARIES OF OTHER PENSION SCHEMES BY AGE, 2023 - 2024</t>
  </si>
  <si>
    <t>ތާވަލު  18.6 :އެހެނިހެން ޕެންޝަން ލިބޭ މީހުންގެ އަދަދު އަދި ޢުމުރުފުރާތައް، 2023 - 2024</t>
  </si>
  <si>
    <r>
      <t xml:space="preserve">Age Groups  </t>
    </r>
    <r>
      <rPr>
        <b/>
        <sz val="11"/>
        <color rgb="FF000000"/>
        <rFont val="Faruma"/>
      </rPr>
      <t xml:space="preserve"> ޢުމުރުފުރާ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</si>
</sst>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"/>
  </numFmts>
  <fonts count="10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4" xfId="0" applyFont="1" applyFill="1" applyBorder="1"/>
    <xf numFmtId="0" fontId="3" fillId="2" borderId="4" xfId="0" applyFont="1" applyFill="1" applyBorder="1" applyAlignment="1">
      <alignment vertical="center"/>
    </xf>
    <xf numFmtId="0" fontId="4" fillId="2" borderId="17" xfId="0" applyFont="1" applyFill="1" applyBorder="1" applyAlignment="1">
      <alignment horizontal="right" vertical="center"/>
    </xf>
    <xf numFmtId="0" fontId="4" fillId="2" borderId="18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right" vertical="center"/>
    </xf>
    <xf numFmtId="0" fontId="6" fillId="2" borderId="4" xfId="0" applyFont="1" applyFill="1" applyBorder="1"/>
    <xf numFmtId="0" fontId="7" fillId="2" borderId="4" xfId="0" applyFont="1" applyFill="1" applyBorder="1"/>
    <xf numFmtId="14" fontId="3" fillId="2" borderId="4" xfId="0" applyNumberFormat="1" applyFont="1" applyFill="1" applyBorder="1"/>
    <xf numFmtId="165" fontId="3" fillId="2" borderId="4" xfId="0" applyNumberFormat="1" applyFont="1" applyFill="1" applyBorder="1"/>
    <xf numFmtId="164" fontId="3" fillId="2" borderId="4" xfId="0" applyNumberFormat="1" applyFont="1" applyFill="1" applyBorder="1" applyAlignment="1">
      <alignment horizontal="right" vertical="center" wrapText="1"/>
    </xf>
    <xf numFmtId="164" fontId="3" fillId="2" borderId="20" xfId="0" applyNumberFormat="1" applyFont="1" applyFill="1" applyBorder="1" applyAlignment="1">
      <alignment horizontal="right" vertical="center" wrapText="1"/>
    </xf>
    <xf numFmtId="164" fontId="3" fillId="2" borderId="21" xfId="0" applyNumberFormat="1" applyFont="1" applyFill="1" applyBorder="1" applyAlignment="1">
      <alignment horizontal="right" vertical="center"/>
    </xf>
    <xf numFmtId="164" fontId="3" fillId="2" borderId="14" xfId="0" applyNumberFormat="1" applyFont="1" applyFill="1" applyBorder="1" applyAlignment="1">
      <alignment horizontal="right" vertical="center" wrapText="1"/>
    </xf>
    <xf numFmtId="164" fontId="3" fillId="2" borderId="15" xfId="0" applyNumberFormat="1" applyFont="1" applyFill="1" applyBorder="1" applyAlignment="1">
      <alignment horizontal="right" vertical="center" wrapText="1"/>
    </xf>
    <xf numFmtId="164" fontId="3" fillId="2" borderId="16" xfId="0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right"/>
    </xf>
    <xf numFmtId="0" fontId="0" fillId="3" borderId="0" xfId="0" applyFill="1"/>
    <xf numFmtId="164" fontId="3" fillId="4" borderId="4" xfId="0" applyNumberFormat="1" applyFont="1" applyFill="1" applyBorder="1" applyAlignment="1">
      <alignment horizontal="right" vertical="center" wrapText="1"/>
    </xf>
    <xf numFmtId="164" fontId="3" fillId="4" borderId="14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/>
    </xf>
    <xf numFmtId="0" fontId="2" fillId="3" borderId="9" xfId="0" applyFont="1" applyFill="1" applyBorder="1"/>
    <xf numFmtId="0" fontId="2" fillId="3" borderId="13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3" borderId="6" xfId="0" applyFont="1" applyFill="1" applyBorder="1"/>
    <xf numFmtId="0" fontId="2" fillId="3" borderId="7" xfId="0" applyFont="1" applyFill="1" applyBorder="1"/>
    <xf numFmtId="0" fontId="4" fillId="2" borderId="1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99"/>
      <color rgb="FF9BC2E6"/>
      <color rgb="FF7E5400"/>
      <color rgb="FF33CCCC"/>
      <color rgb="FFAEAAAA"/>
      <color rgb="FFF7F7F7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9868772590221998"/>
          <c:y val="0.14821673468164573"/>
          <c:w val="0.44931851478093066"/>
          <c:h val="0.817318648052429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5A56-48ED-ADEB-F51B55BA84D0}"/>
              </c:ext>
            </c:extLst>
          </c:dPt>
          <c:dPt>
            <c:idx val="1"/>
            <c:bubble3D val="0"/>
            <c:spPr>
              <a:solidFill>
                <a:srgbClr val="9BC2E6"/>
              </a:solidFill>
            </c:spPr>
            <c:extLst>
              <c:ext xmlns:c16="http://schemas.microsoft.com/office/drawing/2014/chart" uri="{C3380CC4-5D6E-409C-BE32-E72D297353CC}">
                <c16:uniqueId val="{00000002-5A56-48ED-ADEB-F51B55BA84D0}"/>
              </c:ext>
            </c:extLst>
          </c:dPt>
          <c:dPt>
            <c:idx val="3"/>
            <c:bubble3D val="0"/>
            <c:spPr>
              <a:solidFill>
                <a:srgbClr val="7E5400"/>
              </a:solidFill>
            </c:spPr>
            <c:extLst>
              <c:ext xmlns:c16="http://schemas.microsoft.com/office/drawing/2014/chart" uri="{C3380CC4-5D6E-409C-BE32-E72D297353CC}">
                <c16:uniqueId val="{00000006-5A56-48ED-ADEB-F51B55BA84D0}"/>
              </c:ext>
            </c:extLst>
          </c:dPt>
          <c:dPt>
            <c:idx val="4"/>
            <c:bubble3D val="0"/>
            <c:spPr>
              <a:solidFill>
                <a:srgbClr val="003399"/>
              </a:solidFill>
            </c:spPr>
            <c:extLst>
              <c:ext xmlns:c16="http://schemas.microsoft.com/office/drawing/2014/chart" uri="{C3380CC4-5D6E-409C-BE32-E72D297353CC}">
                <c16:uniqueId val="{00000004-5A56-48ED-ADEB-F51B55BA84D0}"/>
              </c:ext>
            </c:extLst>
          </c:dPt>
          <c:dLbls>
            <c:dLbl>
              <c:idx val="1"/>
              <c:spPr/>
              <c:txPr>
                <a:bodyPr/>
                <a:lstStyle/>
                <a:p>
                  <a:pPr lvl="0">
                    <a:defRPr b="1" i="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5A56-48ED-ADEB-F51B55BA84D0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b="1" i="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A56-48ED-ADEB-F51B55BA84D0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 lvl="0">
                    <a:defRPr b="1" i="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5A56-48ED-ADEB-F51B55BA84D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'18.6'!$H$6:$L$6</c:f>
              <c:strCache>
                <c:ptCount val="5"/>
                <c:pt idx="0">
                  <c:v>&lt; 55</c:v>
                </c:pt>
                <c:pt idx="1">
                  <c:v>55-64</c:v>
                </c:pt>
                <c:pt idx="2">
                  <c:v>65-69</c:v>
                </c:pt>
                <c:pt idx="3">
                  <c:v>70-74</c:v>
                </c:pt>
                <c:pt idx="4">
                  <c:v>75 +</c:v>
                </c:pt>
              </c:strCache>
            </c:strRef>
          </c:cat>
          <c:val>
            <c:numRef>
              <c:f>'18.6'!$N$18:$R$18</c:f>
              <c:numCache>
                <c:formatCode>_(* #,##0_);_(* \(#,##0\);_(* "-"??_);_(@_)</c:formatCode>
                <c:ptCount val="5"/>
                <c:pt idx="0">
                  <c:v>604</c:v>
                </c:pt>
                <c:pt idx="1">
                  <c:v>2591</c:v>
                </c:pt>
                <c:pt idx="2">
                  <c:v>1418</c:v>
                </c:pt>
                <c:pt idx="3">
                  <c:v>965</c:v>
                </c:pt>
                <c:pt idx="4">
                  <c:v>1693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56-48ED-ADEB-F51B55BA8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438150</xdr:colOff>
      <xdr:row>19</xdr:row>
      <xdr:rowOff>76200</xdr:rowOff>
    </xdr:from>
    <xdr:ext cx="7229475" cy="3038475"/>
    <xdr:graphicFrame macro="">
      <xdr:nvGraphicFramePr>
        <xdr:cNvPr id="14976199" name="Chart 8">
          <a:extLst>
            <a:ext uri="{FF2B5EF4-FFF2-40B4-BE49-F238E27FC236}">
              <a16:creationId xmlns:a16="http://schemas.microsoft.com/office/drawing/2014/main" id="{00000000-0008-0000-0500-0000C784E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438150</xdr:colOff>
      <xdr:row>19</xdr:row>
      <xdr:rowOff>180975</xdr:rowOff>
    </xdr:from>
    <xdr:ext cx="5562600" cy="3810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2295525" y="4714875"/>
          <a:ext cx="55626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18.8: Percentage share of beneficiaries of Other pension scheme by age group, 202</a:t>
          </a:r>
          <a:r>
            <a:rPr lang="dv-MV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D1000"/>
  <sheetViews>
    <sheetView tabSelected="1" zoomScaleNormal="100" workbookViewId="0">
      <selection activeCell="G9" sqref="G9"/>
    </sheetView>
  </sheetViews>
  <sheetFormatPr defaultColWidth="14.42578125" defaultRowHeight="15" customHeight="1" x14ac:dyDescent="0.25"/>
  <cols>
    <col min="1" max="1" width="9" style="21" customWidth="1"/>
    <col min="2" max="18" width="9.42578125" style="21" customWidth="1"/>
    <col min="19" max="19" width="12.7109375" style="21" customWidth="1"/>
    <col min="20" max="20" width="1.7109375" style="21" customWidth="1"/>
    <col min="21" max="23" width="8" style="21" customWidth="1"/>
    <col min="24" max="24" width="26.140625" style="21" customWidth="1"/>
    <col min="25" max="28" width="8" style="21" customWidth="1"/>
    <col min="29" max="16384" width="14.42578125" style="21"/>
  </cols>
  <sheetData>
    <row r="1" spans="1:28" ht="21" customHeight="1" x14ac:dyDescent="0.55000000000000004">
      <c r="A1" s="29" t="s">
        <v>37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36" t="s">
        <v>36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  <c r="U2" s="1"/>
      <c r="V2" s="1"/>
      <c r="W2" s="1"/>
      <c r="X2" s="1"/>
      <c r="Y2" s="1"/>
      <c r="Z2" s="1"/>
      <c r="AA2" s="1"/>
      <c r="AB2" s="1"/>
    </row>
    <row r="3" spans="1:28" ht="5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32" t="s">
        <v>1</v>
      </c>
      <c r="B4" s="38">
        <v>2022</v>
      </c>
      <c r="C4" s="38"/>
      <c r="D4" s="38"/>
      <c r="E4" s="38"/>
      <c r="F4" s="39"/>
      <c r="G4" s="37">
        <v>2023</v>
      </c>
      <c r="H4" s="33"/>
      <c r="I4" s="33"/>
      <c r="J4" s="33"/>
      <c r="K4" s="33"/>
      <c r="L4" s="34"/>
      <c r="M4" s="37">
        <v>2024</v>
      </c>
      <c r="N4" s="33"/>
      <c r="O4" s="33"/>
      <c r="P4" s="33"/>
      <c r="Q4" s="33"/>
      <c r="R4" s="34"/>
      <c r="S4" s="24" t="s">
        <v>2</v>
      </c>
      <c r="T4" s="1"/>
      <c r="U4" s="1"/>
      <c r="V4" s="1"/>
      <c r="W4" s="1"/>
      <c r="X4" s="1"/>
      <c r="Y4" s="1"/>
      <c r="Z4" s="1"/>
      <c r="AA4" s="1"/>
      <c r="AB4" s="1"/>
    </row>
    <row r="5" spans="1:28" ht="21" customHeight="1" x14ac:dyDescent="0.55000000000000004">
      <c r="A5" s="25"/>
      <c r="B5" s="35" t="s">
        <v>38</v>
      </c>
      <c r="C5" s="27"/>
      <c r="D5" s="27"/>
      <c r="E5" s="27"/>
      <c r="F5" s="27"/>
      <c r="G5" s="35" t="s">
        <v>31</v>
      </c>
      <c r="H5" s="27"/>
      <c r="I5" s="27"/>
      <c r="J5" s="27"/>
      <c r="K5" s="27"/>
      <c r="L5" s="28"/>
      <c r="M5" s="35" t="s">
        <v>32</v>
      </c>
      <c r="N5" s="27"/>
      <c r="O5" s="27"/>
      <c r="P5" s="27"/>
      <c r="Q5" s="27"/>
      <c r="R5" s="28"/>
      <c r="S5" s="25"/>
      <c r="T5" s="1"/>
      <c r="U5" s="12"/>
      <c r="V5" s="12"/>
      <c r="W5" s="12"/>
      <c r="X5" s="12"/>
      <c r="Y5" s="12"/>
      <c r="Z5" s="12"/>
      <c r="AA5" s="12"/>
      <c r="AB5" s="1"/>
    </row>
    <row r="6" spans="1:28" ht="14.25" customHeight="1" x14ac:dyDescent="0.25">
      <c r="A6" s="26"/>
      <c r="B6" s="3" t="s">
        <v>33</v>
      </c>
      <c r="C6" s="3" t="s">
        <v>34</v>
      </c>
      <c r="D6" s="3" t="s">
        <v>29</v>
      </c>
      <c r="E6" s="3" t="s">
        <v>30</v>
      </c>
      <c r="F6" s="4" t="s">
        <v>35</v>
      </c>
      <c r="G6" s="5" t="s">
        <v>0</v>
      </c>
      <c r="H6" s="3" t="s">
        <v>33</v>
      </c>
      <c r="I6" s="3" t="s">
        <v>34</v>
      </c>
      <c r="J6" s="3" t="s">
        <v>29</v>
      </c>
      <c r="K6" s="3" t="s">
        <v>30</v>
      </c>
      <c r="L6" s="3" t="s">
        <v>35</v>
      </c>
      <c r="M6" s="5" t="s">
        <v>0</v>
      </c>
      <c r="N6" s="3" t="s">
        <v>33</v>
      </c>
      <c r="O6" s="3" t="s">
        <v>34</v>
      </c>
      <c r="P6" s="3" t="s">
        <v>29</v>
      </c>
      <c r="Q6" s="3" t="s">
        <v>30</v>
      </c>
      <c r="R6" s="3" t="s">
        <v>35</v>
      </c>
      <c r="S6" s="26"/>
      <c r="T6" s="1"/>
      <c r="U6" s="12"/>
      <c r="V6" s="12"/>
      <c r="W6" s="12"/>
      <c r="X6" s="12"/>
      <c r="Y6" s="12"/>
      <c r="Z6" s="12"/>
      <c r="AA6" s="12"/>
      <c r="AB6" s="1"/>
    </row>
    <row r="7" spans="1:28" ht="15" customHeight="1" x14ac:dyDescent="0.25">
      <c r="A7" s="6" t="s">
        <v>3</v>
      </c>
      <c r="B7" s="14">
        <v>1244</v>
      </c>
      <c r="C7" s="14">
        <v>2230</v>
      </c>
      <c r="D7" s="14">
        <v>1154</v>
      </c>
      <c r="E7" s="14">
        <v>919</v>
      </c>
      <c r="F7" s="15">
        <v>1627</v>
      </c>
      <c r="G7" s="16">
        <f t="shared" ref="G7:G18" si="0">SUM(H7:L7)</f>
        <v>7244</v>
      </c>
      <c r="H7" s="14">
        <v>993</v>
      </c>
      <c r="I7" s="14">
        <v>2438</v>
      </c>
      <c r="J7" s="14">
        <v>1248</v>
      </c>
      <c r="K7" s="14">
        <v>945</v>
      </c>
      <c r="L7" s="14">
        <v>1620</v>
      </c>
      <c r="M7" s="16">
        <f t="shared" ref="M7:M18" si="1">SUM(N7:R7)</f>
        <v>7271</v>
      </c>
      <c r="N7" s="22">
        <v>787</v>
      </c>
      <c r="O7" s="22">
        <v>2502</v>
      </c>
      <c r="P7" s="22">
        <v>1379</v>
      </c>
      <c r="Q7" s="22">
        <v>930</v>
      </c>
      <c r="R7" s="22">
        <v>1673</v>
      </c>
      <c r="S7" s="7" t="s">
        <v>4</v>
      </c>
      <c r="T7" s="1"/>
      <c r="U7" s="12"/>
      <c r="V7" s="12"/>
      <c r="W7" s="12"/>
      <c r="X7" s="12"/>
      <c r="Y7" s="12"/>
      <c r="Z7" s="12"/>
      <c r="AA7" s="12"/>
      <c r="AB7" s="1"/>
    </row>
    <row r="8" spans="1:28" ht="21" customHeight="1" x14ac:dyDescent="0.25">
      <c r="A8" s="6" t="s">
        <v>5</v>
      </c>
      <c r="B8" s="14">
        <v>1224</v>
      </c>
      <c r="C8" s="14">
        <v>2250</v>
      </c>
      <c r="D8" s="14">
        <v>1169</v>
      </c>
      <c r="E8" s="14">
        <v>921</v>
      </c>
      <c r="F8" s="15">
        <v>1605</v>
      </c>
      <c r="G8" s="16">
        <f t="shared" si="0"/>
        <v>7227</v>
      </c>
      <c r="H8" s="14">
        <v>978</v>
      </c>
      <c r="I8" s="14">
        <v>2444</v>
      </c>
      <c r="J8" s="14">
        <v>1261</v>
      </c>
      <c r="K8" s="14">
        <v>929</v>
      </c>
      <c r="L8" s="14">
        <v>1615</v>
      </c>
      <c r="M8" s="16">
        <f t="shared" si="1"/>
        <v>7252</v>
      </c>
      <c r="N8" s="22">
        <v>761</v>
      </c>
      <c r="O8" s="22">
        <v>2527</v>
      </c>
      <c r="P8" s="22">
        <v>1394</v>
      </c>
      <c r="Q8" s="22">
        <v>905</v>
      </c>
      <c r="R8" s="22">
        <v>1665</v>
      </c>
      <c r="S8" s="7" t="s">
        <v>6</v>
      </c>
      <c r="T8" s="1"/>
      <c r="U8" s="12"/>
      <c r="V8" s="12"/>
      <c r="W8" s="12"/>
      <c r="X8" s="12"/>
      <c r="Y8" s="12"/>
      <c r="Z8" s="12"/>
      <c r="AA8" s="12"/>
      <c r="AB8" s="1"/>
    </row>
    <row r="9" spans="1:28" ht="21" customHeight="1" x14ac:dyDescent="0.25">
      <c r="A9" s="6" t="s">
        <v>7</v>
      </c>
      <c r="B9" s="14">
        <v>1224</v>
      </c>
      <c r="C9" s="14">
        <v>2258</v>
      </c>
      <c r="D9" s="14">
        <v>1177</v>
      </c>
      <c r="E9" s="14">
        <v>916</v>
      </c>
      <c r="F9" s="15">
        <v>1583</v>
      </c>
      <c r="G9" s="16">
        <f t="shared" si="0"/>
        <v>7237</v>
      </c>
      <c r="H9" s="14">
        <v>978</v>
      </c>
      <c r="I9" s="14">
        <v>2448</v>
      </c>
      <c r="J9" s="14">
        <v>1280</v>
      </c>
      <c r="K9" s="14">
        <v>927</v>
      </c>
      <c r="L9" s="14">
        <v>1604</v>
      </c>
      <c r="M9" s="16">
        <f t="shared" si="1"/>
        <v>7252</v>
      </c>
      <c r="N9" s="22">
        <v>762</v>
      </c>
      <c r="O9" s="22">
        <v>2521</v>
      </c>
      <c r="P9" s="22">
        <v>1397</v>
      </c>
      <c r="Q9" s="22">
        <v>915</v>
      </c>
      <c r="R9" s="22">
        <v>1657</v>
      </c>
      <c r="S9" s="7" t="s">
        <v>8</v>
      </c>
      <c r="T9" s="1"/>
      <c r="U9" s="12"/>
      <c r="V9" s="12"/>
      <c r="W9" s="12"/>
      <c r="X9" s="12"/>
      <c r="Y9" s="12"/>
      <c r="Z9" s="12"/>
      <c r="AA9" s="12"/>
      <c r="AB9" s="1"/>
    </row>
    <row r="10" spans="1:28" ht="21" customHeight="1" x14ac:dyDescent="0.25">
      <c r="A10" s="6" t="s">
        <v>9</v>
      </c>
      <c r="B10" s="14">
        <v>1181</v>
      </c>
      <c r="C10" s="14">
        <v>2293</v>
      </c>
      <c r="D10" s="14">
        <v>1183</v>
      </c>
      <c r="E10" s="14">
        <v>936</v>
      </c>
      <c r="F10" s="15">
        <v>1592</v>
      </c>
      <c r="G10" s="16">
        <f t="shared" si="0"/>
        <v>7262</v>
      </c>
      <c r="H10" s="14">
        <v>967</v>
      </c>
      <c r="I10" s="14">
        <v>2441</v>
      </c>
      <c r="J10" s="14">
        <v>1302</v>
      </c>
      <c r="K10" s="14">
        <v>941</v>
      </c>
      <c r="L10" s="14">
        <v>1611</v>
      </c>
      <c r="M10" s="16">
        <f t="shared" si="1"/>
        <v>7274</v>
      </c>
      <c r="N10" s="22">
        <v>724</v>
      </c>
      <c r="O10" s="22">
        <v>2550</v>
      </c>
      <c r="P10" s="22">
        <v>1413</v>
      </c>
      <c r="Q10" s="22">
        <v>915</v>
      </c>
      <c r="R10" s="22">
        <v>1672</v>
      </c>
      <c r="S10" s="7" t="s">
        <v>10</v>
      </c>
      <c r="T10" s="1"/>
      <c r="U10" s="12"/>
      <c r="V10" s="12"/>
      <c r="W10" s="12"/>
      <c r="X10" s="12"/>
      <c r="Y10" s="12"/>
      <c r="Z10" s="12"/>
      <c r="AA10" s="12"/>
      <c r="AB10" s="1"/>
    </row>
    <row r="11" spans="1:28" ht="21" customHeight="1" x14ac:dyDescent="0.25">
      <c r="A11" s="6" t="s">
        <v>11</v>
      </c>
      <c r="B11" s="14">
        <v>1181</v>
      </c>
      <c r="C11" s="14">
        <v>2303</v>
      </c>
      <c r="D11" s="14">
        <v>1188</v>
      </c>
      <c r="E11" s="14">
        <v>921</v>
      </c>
      <c r="F11" s="15">
        <v>1571</v>
      </c>
      <c r="G11" s="16">
        <f t="shared" si="0"/>
        <v>7225</v>
      </c>
      <c r="H11" s="14">
        <v>951</v>
      </c>
      <c r="I11" s="14">
        <v>2458</v>
      </c>
      <c r="J11" s="14">
        <v>1300</v>
      </c>
      <c r="K11" s="14">
        <v>918</v>
      </c>
      <c r="L11" s="14">
        <v>1598</v>
      </c>
      <c r="M11" s="16">
        <f t="shared" si="1"/>
        <v>7248</v>
      </c>
      <c r="N11" s="22">
        <v>725</v>
      </c>
      <c r="O11" s="22">
        <v>2541</v>
      </c>
      <c r="P11" s="22">
        <v>1419</v>
      </c>
      <c r="Q11" s="22">
        <v>917</v>
      </c>
      <c r="R11" s="22">
        <v>1646</v>
      </c>
      <c r="S11" s="7" t="s">
        <v>12</v>
      </c>
      <c r="T11" s="1"/>
      <c r="U11" s="12"/>
      <c r="V11" s="12"/>
      <c r="W11" s="12"/>
      <c r="X11" s="12"/>
      <c r="Y11" s="12"/>
      <c r="Z11" s="12"/>
      <c r="AA11" s="12"/>
      <c r="AB11" s="1"/>
    </row>
    <row r="12" spans="1:28" ht="21" customHeight="1" x14ac:dyDescent="0.25">
      <c r="A12" s="6" t="s">
        <v>13</v>
      </c>
      <c r="B12" s="14">
        <v>1133</v>
      </c>
      <c r="C12" s="14">
        <v>2340</v>
      </c>
      <c r="D12" s="14">
        <v>1190</v>
      </c>
      <c r="E12" s="14">
        <v>925</v>
      </c>
      <c r="F12" s="15">
        <v>1577</v>
      </c>
      <c r="G12" s="16">
        <f t="shared" si="0"/>
        <v>7229</v>
      </c>
      <c r="H12" s="14">
        <v>933</v>
      </c>
      <c r="I12" s="14">
        <v>2462</v>
      </c>
      <c r="J12" s="14">
        <v>1314</v>
      </c>
      <c r="K12" s="14">
        <v>920</v>
      </c>
      <c r="L12" s="14">
        <v>1600</v>
      </c>
      <c r="M12" s="16">
        <f t="shared" si="1"/>
        <v>7258</v>
      </c>
      <c r="N12" s="22">
        <v>689</v>
      </c>
      <c r="O12" s="22">
        <v>2572</v>
      </c>
      <c r="P12" s="22">
        <v>1438</v>
      </c>
      <c r="Q12" s="22">
        <v>911</v>
      </c>
      <c r="R12" s="22">
        <v>1648</v>
      </c>
      <c r="S12" s="7" t="s">
        <v>14</v>
      </c>
      <c r="T12" s="1"/>
      <c r="U12" s="12"/>
      <c r="V12" s="12"/>
      <c r="W12" s="12"/>
      <c r="X12" s="12"/>
      <c r="Y12" s="12"/>
      <c r="Z12" s="12"/>
      <c r="AA12" s="12"/>
      <c r="AB12" s="1"/>
    </row>
    <row r="13" spans="1:28" ht="21" customHeight="1" x14ac:dyDescent="0.25">
      <c r="A13" s="6" t="s">
        <v>15</v>
      </c>
      <c r="B13" s="14">
        <v>1136</v>
      </c>
      <c r="C13" s="14">
        <v>2347</v>
      </c>
      <c r="D13" s="14">
        <v>1204</v>
      </c>
      <c r="E13" s="14">
        <v>937</v>
      </c>
      <c r="F13" s="15">
        <v>1576</v>
      </c>
      <c r="G13" s="16">
        <f t="shared" si="0"/>
        <v>7251</v>
      </c>
      <c r="H13" s="14">
        <v>909</v>
      </c>
      <c r="I13" s="14">
        <v>2494</v>
      </c>
      <c r="J13" s="14">
        <v>1327</v>
      </c>
      <c r="K13" s="14">
        <v>922</v>
      </c>
      <c r="L13" s="14">
        <v>1599</v>
      </c>
      <c r="M13" s="16">
        <f t="shared" si="1"/>
        <v>7292</v>
      </c>
      <c r="N13" s="22">
        <v>697</v>
      </c>
      <c r="O13" s="22">
        <v>2563</v>
      </c>
      <c r="P13" s="22">
        <v>1452</v>
      </c>
      <c r="Q13" s="22">
        <v>929</v>
      </c>
      <c r="R13" s="22">
        <v>1651</v>
      </c>
      <c r="S13" s="7" t="s">
        <v>16</v>
      </c>
      <c r="T13" s="1"/>
      <c r="U13" s="12"/>
      <c r="V13" s="12"/>
      <c r="W13" s="12"/>
      <c r="X13" s="12"/>
      <c r="Y13" s="12"/>
      <c r="Z13" s="12"/>
      <c r="AA13" s="12"/>
      <c r="AB13" s="1"/>
    </row>
    <row r="14" spans="1:28" ht="21" customHeight="1" x14ac:dyDescent="0.25">
      <c r="A14" s="6" t="s">
        <v>17</v>
      </c>
      <c r="B14" s="14">
        <v>1118</v>
      </c>
      <c r="C14" s="14">
        <v>2357</v>
      </c>
      <c r="D14" s="14">
        <v>1213</v>
      </c>
      <c r="E14" s="14">
        <v>927</v>
      </c>
      <c r="F14" s="15">
        <v>1561</v>
      </c>
      <c r="G14" s="16">
        <f t="shared" si="0"/>
        <v>7232</v>
      </c>
      <c r="H14" s="14">
        <v>891</v>
      </c>
      <c r="I14" s="14">
        <v>2506</v>
      </c>
      <c r="J14" s="14">
        <v>1336</v>
      </c>
      <c r="K14" s="14">
        <v>908</v>
      </c>
      <c r="L14" s="14">
        <v>1591</v>
      </c>
      <c r="M14" s="16">
        <f t="shared" si="1"/>
        <v>7280</v>
      </c>
      <c r="N14" s="22">
        <v>685</v>
      </c>
      <c r="O14" s="22">
        <v>2543</v>
      </c>
      <c r="P14" s="22">
        <v>1406</v>
      </c>
      <c r="Q14" s="22">
        <v>1009</v>
      </c>
      <c r="R14" s="22">
        <v>1637</v>
      </c>
      <c r="S14" s="7" t="s">
        <v>18</v>
      </c>
      <c r="T14" s="1"/>
      <c r="U14" s="12"/>
      <c r="V14" s="12"/>
      <c r="W14" s="12"/>
      <c r="X14" s="12"/>
      <c r="Y14" s="12"/>
      <c r="Z14" s="12"/>
      <c r="AA14" s="12"/>
      <c r="AB14" s="1"/>
    </row>
    <row r="15" spans="1:28" ht="21" customHeight="1" x14ac:dyDescent="0.25">
      <c r="A15" s="6" t="s">
        <v>19</v>
      </c>
      <c r="B15" s="14">
        <v>1071</v>
      </c>
      <c r="C15" s="14">
        <v>2364</v>
      </c>
      <c r="D15" s="14">
        <v>1186</v>
      </c>
      <c r="E15" s="14">
        <v>929</v>
      </c>
      <c r="F15" s="15">
        <v>1615</v>
      </c>
      <c r="G15" s="16">
        <f t="shared" si="0"/>
        <v>7225</v>
      </c>
      <c r="H15" s="14">
        <v>851</v>
      </c>
      <c r="I15" s="14">
        <v>2485</v>
      </c>
      <c r="J15" s="14">
        <v>1309</v>
      </c>
      <c r="K15" s="14">
        <v>915</v>
      </c>
      <c r="L15" s="14">
        <v>1665</v>
      </c>
      <c r="M15" s="16">
        <f t="shared" si="1"/>
        <v>7285</v>
      </c>
      <c r="N15" s="22">
        <v>649</v>
      </c>
      <c r="O15" s="22">
        <v>2571</v>
      </c>
      <c r="P15" s="22">
        <v>1414</v>
      </c>
      <c r="Q15" s="22">
        <v>943</v>
      </c>
      <c r="R15" s="22">
        <v>1708</v>
      </c>
      <c r="S15" s="7" t="s">
        <v>20</v>
      </c>
      <c r="T15" s="1"/>
      <c r="U15" s="12"/>
      <c r="V15" s="12"/>
      <c r="W15" s="12"/>
      <c r="X15" s="12"/>
      <c r="Y15" s="12"/>
      <c r="Z15" s="12"/>
      <c r="AA15" s="12"/>
      <c r="AB15" s="1"/>
    </row>
    <row r="16" spans="1:28" ht="21" customHeight="1" x14ac:dyDescent="0.25">
      <c r="A16" s="6" t="s">
        <v>21</v>
      </c>
      <c r="B16" s="14">
        <v>1054</v>
      </c>
      <c r="C16" s="14">
        <v>2355</v>
      </c>
      <c r="D16" s="14">
        <v>1205</v>
      </c>
      <c r="E16" s="14">
        <v>935</v>
      </c>
      <c r="F16" s="15">
        <v>1594</v>
      </c>
      <c r="G16" s="16">
        <f t="shared" si="0"/>
        <v>7257</v>
      </c>
      <c r="H16" s="14">
        <v>829</v>
      </c>
      <c r="I16" s="14">
        <v>2498</v>
      </c>
      <c r="J16" s="14">
        <v>1327</v>
      </c>
      <c r="K16" s="14">
        <v>932</v>
      </c>
      <c r="L16" s="14">
        <v>1671</v>
      </c>
      <c r="M16" s="16">
        <f t="shared" si="1"/>
        <v>7304</v>
      </c>
      <c r="N16" s="22">
        <v>638</v>
      </c>
      <c r="O16" s="22">
        <v>2579</v>
      </c>
      <c r="P16" s="22">
        <v>1400</v>
      </c>
      <c r="Q16" s="22">
        <v>961</v>
      </c>
      <c r="R16" s="22">
        <v>1726</v>
      </c>
      <c r="S16" s="7" t="s">
        <v>22</v>
      </c>
      <c r="T16" s="1"/>
      <c r="U16" s="12"/>
      <c r="V16" s="12"/>
      <c r="W16" s="12"/>
      <c r="X16" s="12"/>
      <c r="Y16" s="12"/>
      <c r="Z16" s="12"/>
      <c r="AA16" s="12"/>
      <c r="AB16" s="1"/>
    </row>
    <row r="17" spans="1:28" ht="21" customHeight="1" x14ac:dyDescent="0.25">
      <c r="A17" s="6" t="s">
        <v>23</v>
      </c>
      <c r="B17" s="14">
        <v>1035</v>
      </c>
      <c r="C17" s="14">
        <v>2392</v>
      </c>
      <c r="D17" s="14">
        <v>1213</v>
      </c>
      <c r="E17" s="14">
        <v>928</v>
      </c>
      <c r="F17" s="15">
        <v>1614</v>
      </c>
      <c r="G17" s="16">
        <f t="shared" si="0"/>
        <v>7235</v>
      </c>
      <c r="H17" s="14">
        <v>811</v>
      </c>
      <c r="I17" s="14">
        <v>2502</v>
      </c>
      <c r="J17" s="14">
        <v>1335</v>
      </c>
      <c r="K17" s="14">
        <v>923</v>
      </c>
      <c r="L17" s="14">
        <v>1664</v>
      </c>
      <c r="M17" s="16">
        <f t="shared" si="1"/>
        <v>7281</v>
      </c>
      <c r="N17" s="22">
        <v>625</v>
      </c>
      <c r="O17" s="22">
        <v>2584</v>
      </c>
      <c r="P17" s="22">
        <v>1412</v>
      </c>
      <c r="Q17" s="22">
        <v>962</v>
      </c>
      <c r="R17" s="22">
        <v>1698</v>
      </c>
      <c r="S17" s="7" t="s">
        <v>24</v>
      </c>
      <c r="T17" s="1"/>
      <c r="U17" s="12"/>
      <c r="V17" s="12"/>
      <c r="W17" s="12"/>
      <c r="X17" s="12"/>
      <c r="Y17" s="12"/>
      <c r="Z17" s="12"/>
      <c r="AA17" s="12"/>
      <c r="AB17" s="1"/>
    </row>
    <row r="18" spans="1:28" ht="21" customHeight="1" x14ac:dyDescent="0.25">
      <c r="A18" s="8" t="s">
        <v>25</v>
      </c>
      <c r="B18" s="17">
        <v>1012</v>
      </c>
      <c r="C18" s="17">
        <v>2421</v>
      </c>
      <c r="D18" s="17">
        <v>1220</v>
      </c>
      <c r="E18" s="17">
        <v>926</v>
      </c>
      <c r="F18" s="18">
        <v>1610</v>
      </c>
      <c r="G18" s="19">
        <f t="shared" si="0"/>
        <v>7241</v>
      </c>
      <c r="H18" s="17">
        <v>799</v>
      </c>
      <c r="I18" s="17">
        <v>2505</v>
      </c>
      <c r="J18" s="17">
        <v>1357</v>
      </c>
      <c r="K18" s="17">
        <v>922</v>
      </c>
      <c r="L18" s="17">
        <v>1658</v>
      </c>
      <c r="M18" s="19">
        <f t="shared" si="1"/>
        <v>7271</v>
      </c>
      <c r="N18" s="23">
        <v>604</v>
      </c>
      <c r="O18" s="23">
        <v>2591</v>
      </c>
      <c r="P18" s="23">
        <v>1418</v>
      </c>
      <c r="Q18" s="23">
        <v>965</v>
      </c>
      <c r="R18" s="23">
        <v>1693</v>
      </c>
      <c r="S18" s="9" t="s">
        <v>26</v>
      </c>
      <c r="T18" s="1"/>
      <c r="U18" s="12"/>
      <c r="V18" s="12"/>
      <c r="W18" s="12"/>
      <c r="X18" s="12"/>
      <c r="Y18" s="12"/>
      <c r="Z18" s="12"/>
      <c r="AA18" s="12"/>
      <c r="AB18" s="1"/>
    </row>
    <row r="19" spans="1:28" ht="19.5" customHeight="1" x14ac:dyDescent="0.45">
      <c r="A19" s="10" t="s">
        <v>28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1" t="s">
        <v>27</v>
      </c>
      <c r="T19" s="1"/>
      <c r="U19" s="12"/>
      <c r="V19" s="12"/>
      <c r="W19" s="12"/>
      <c r="X19" s="12"/>
      <c r="Y19" s="12"/>
      <c r="Z19" s="12"/>
      <c r="AA19" s="12"/>
      <c r="AB19" s="1"/>
    </row>
    <row r="20" spans="1:2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2"/>
      <c r="V20" s="12"/>
      <c r="W20" s="12"/>
      <c r="X20" s="12"/>
      <c r="Y20" s="12"/>
      <c r="Z20" s="12"/>
      <c r="AA20" s="12"/>
      <c r="AB20" s="1"/>
    </row>
    <row r="21" spans="1:28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25">
      <c r="A23" s="1"/>
      <c r="B23" s="13"/>
      <c r="C23" s="13"/>
      <c r="D23" s="13"/>
      <c r="E23" s="13"/>
      <c r="F23" s="13"/>
      <c r="G23" s="1"/>
      <c r="H23" s="13"/>
      <c r="I23" s="13"/>
      <c r="J23" s="13"/>
      <c r="K23" s="13"/>
      <c r="L23" s="13"/>
      <c r="M23" s="1"/>
      <c r="N23" s="13"/>
      <c r="O23" s="13"/>
      <c r="P23" s="13"/>
      <c r="Q23" s="13"/>
      <c r="R23" s="13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3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25">
      <c r="A31" s="1"/>
      <c r="B31" s="20"/>
      <c r="C31" s="1"/>
      <c r="D31" s="1"/>
      <c r="E31" s="1"/>
      <c r="F31" s="1"/>
      <c r="G31" s="1"/>
      <c r="H31" s="20"/>
      <c r="I31" s="1"/>
      <c r="J31" s="1"/>
      <c r="K31" s="1"/>
      <c r="L31" s="1"/>
      <c r="M31" s="1"/>
      <c r="N31" s="2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5.5" customHeight="1" x14ac:dyDescent="0.25">
      <c r="A32" s="2"/>
      <c r="B32" s="2"/>
      <c r="C32" s="2"/>
      <c r="D32" s="2"/>
      <c r="E32" s="1"/>
      <c r="F32" s="1"/>
      <c r="G32" s="2"/>
      <c r="H32" s="2"/>
      <c r="I32" s="2"/>
      <c r="J32" s="2"/>
      <c r="K32" s="1"/>
      <c r="L32" s="1"/>
      <c r="M32" s="2"/>
      <c r="N32" s="2"/>
      <c r="O32" s="2"/>
      <c r="P32" s="2"/>
      <c r="Q32" s="1"/>
      <c r="R32" s="1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25.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25.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0">
    <mergeCell ref="A1:S1"/>
    <mergeCell ref="A2:S2"/>
    <mergeCell ref="A4:A6"/>
    <mergeCell ref="B4:F4"/>
    <mergeCell ref="G4:L4"/>
    <mergeCell ref="M4:R4"/>
    <mergeCell ref="S4:S6"/>
    <mergeCell ref="M5:R5"/>
    <mergeCell ref="B5:F5"/>
    <mergeCell ref="G5:L5"/>
  </mergeCells>
  <pageMargins left="0.7" right="0.7" top="0.75" bottom="0.75" header="0" footer="0"/>
  <pageSetup paperSize="9" scale="71" orientation="landscape" r:id="rId1"/>
  <rowBreaks count="1" manualBreakCount="1">
    <brk id="34" max="16383" man="1"/>
  </rowBreaks>
  <colBreaks count="1" manualBreakCount="1">
    <brk id="2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18.6</vt:lpstr>
      <vt:lpstr>'18.6'!Print_Area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2025-06-16T03:44:13Z</cp:lastPrinted>
  <dcterms:created xsi:type="dcterms:W3CDTF">2025-05-19T08:29:05Z</dcterms:created>
  <dcterms:modified xsi:type="dcterms:W3CDTF">2025-06-16T03:44:22Z</dcterms:modified>
</cp:coreProperties>
</file>