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CD998C46-6BFE-4A27-8A8D-213EDD528F06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4" sheetId="14" r:id="rId1"/>
  </sheets>
  <definedNames>
    <definedName name="_xlnm.Print_Area" localSheetId="0">'18.14'!$A$1:$J$35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G32" i="14" l="1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F6" i="14"/>
  <c r="E6" i="14"/>
  <c r="D6" i="14"/>
  <c r="C6" i="14"/>
  <c r="B6" i="14"/>
  <c r="G6" i="14" l="1"/>
  <c r="H17" i="14" s="1"/>
  <c r="H19" i="14" l="1"/>
  <c r="H18" i="14"/>
  <c r="H10" i="14"/>
  <c r="H16" i="14"/>
  <c r="H15" i="14"/>
  <c r="H28" i="14"/>
  <c r="H29" i="14"/>
  <c r="H24" i="14"/>
  <c r="H20" i="14"/>
  <c r="H30" i="14"/>
  <c r="H31" i="14"/>
  <c r="H25" i="14"/>
  <c r="H12" i="14"/>
  <c r="H13" i="14"/>
  <c r="H26" i="14"/>
  <c r="H32" i="14"/>
  <c r="H22" i="14"/>
  <c r="H6" i="14"/>
  <c r="H8" i="14"/>
  <c r="H27" i="14"/>
  <c r="H11" i="14"/>
  <c r="H23" i="14"/>
  <c r="H14" i="14"/>
  <c r="H9" i="14"/>
  <c r="H7" i="14"/>
</calcChain>
</file>

<file path=xl/sharedStrings.xml><?xml version="1.0" encoding="utf-8"?>
<sst xmlns="http://schemas.openxmlformats.org/spreadsheetml/2006/main" count="69" uniqueCount="68">
  <si>
    <t>% share</t>
  </si>
  <si>
    <t>ޖުމްލަ</t>
  </si>
  <si>
    <t>Total</t>
  </si>
  <si>
    <t>މަޢުލޫމާތު ދެއްވި ފަރާތް: މޯލްޑިވްސް ޕެންޝަން އެޑްމިނިސްޓްރޭޝަން</t>
  </si>
  <si>
    <t>Source: Maldives Pension Administration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</si>
  <si>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</si>
  <si>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</si>
  <si>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</si>
  <si>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</si>
  <si>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</si>
  <si>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</si>
  <si>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</si>
  <si>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</si>
  <si>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</si>
  <si>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</si>
  <si>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</si>
  <si>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</si>
  <si>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</si>
  <si>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</si>
  <si>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</si>
  <si>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</si>
  <si>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</si>
  <si>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</si>
  <si>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</si>
  <si>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</si>
  <si>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</si>
  <si>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</si>
  <si>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</si>
  <si>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</si>
  <si>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</si>
  <si>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</si>
  <si>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</si>
  <si>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</si>
  <si>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</si>
  <si>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</si>
  <si>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</si>
  <si>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</si>
  <si>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</si>
  <si>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</si>
  <si>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</si>
  <si>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</si>
  <si>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</si>
  <si>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</si>
  <si>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</si>
  <si>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</si>
  <si>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</si>
  <si>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</si>
  <si>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</si>
  <si>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</si>
  <si>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</si>
  <si>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</si>
  <si>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</si>
  <si>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</si>
  <si>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</si>
  <si>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</si>
  <si>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</si>
  <si>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</si>
  <si>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</si>
  <si>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</si>
  <si>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</si>
  <si>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</si>
  <si>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</si>
  <si>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</si>
  <si>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</si>
  <si>
    <t>ތާވަލު  18.14 : އެކި ދާއިރާތަކުން ރިޓާޔަމަންޓް ޕެންޝަން ސްކީމްގައި ރެޖިސްޓަރކޮށްފައިވާ މުވައްޒަފުންގެ ޢަދަދު، ތަނުގެމުވައްޒަފުންގެ ގިންތިން، 2024</t>
  </si>
  <si>
    <t>TABLE   18.14: EMPLOYEES  REGISTERED IN THE RETIREMENT PENSION SCHEME, BY EMPLOYMENT SIZE, END  2024</t>
  </si>
  <si>
    <t>Employment size</t>
  </si>
  <si>
    <t xml:space="preserve">Note: The Difference between values in this table  is due to  some members having multiple contracts with more than one employer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</si>
</sst>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0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Faruma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5" fillId="2" borderId="4" xfId="0" applyFont="1" applyFill="1" applyBorder="1"/>
    <xf numFmtId="0" fontId="5" fillId="2" borderId="11" xfId="0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8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3" fontId="3" fillId="2" borderId="12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165" fontId="3" fillId="2" borderId="1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165" fontId="3" fillId="2" borderId="13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right" vertical="center"/>
    </xf>
    <xf numFmtId="165" fontId="4" fillId="2" borderId="16" xfId="0" applyNumberFormat="1" applyFont="1" applyFill="1" applyBorder="1" applyAlignment="1">
      <alignment horizontal="center" vertical="center"/>
    </xf>
    <xf numFmtId="0" fontId="9" fillId="2" borderId="4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0" fillId="3" borderId="0" xfId="0" applyFill="1"/>
    <xf numFmtId="3" fontId="3" fillId="4" borderId="4" xfId="0" applyNumberFormat="1" applyFont="1" applyFill="1" applyBorder="1" applyAlignment="1">
      <alignment horizontal="right" vertical="center"/>
    </xf>
    <xf numFmtId="3" fontId="3" fillId="4" borderId="11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/>
    </xf>
    <xf numFmtId="0" fontId="2" fillId="3" borderId="10" xfId="0" applyFont="1" applyFill="1" applyBorder="1"/>
    <xf numFmtId="0" fontId="2" fillId="3" borderId="18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3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C777"/>
  <sheetViews>
    <sheetView tabSelected="1" zoomScaleNormal="100" workbookViewId="0">
      <selection activeCell="H9" sqref="H9"/>
    </sheetView>
  </sheetViews>
  <sheetFormatPr defaultColWidth="14.42578125" defaultRowHeight="15" customHeight="1" x14ac:dyDescent="0.25"/>
  <cols>
    <col min="1" max="1" width="51.5703125" style="27" customWidth="1"/>
    <col min="2" max="2" width="10" style="27" customWidth="1"/>
    <col min="3" max="7" width="11.42578125" style="27" customWidth="1"/>
    <col min="8" max="8" width="12.140625" style="27" customWidth="1"/>
    <col min="9" max="9" width="41.42578125" style="27" customWidth="1"/>
    <col min="10" max="10" width="5.85546875" style="27" customWidth="1"/>
    <col min="11" max="29" width="12.7109375" style="27" customWidth="1"/>
    <col min="30" max="16384" width="14.42578125" style="27"/>
  </cols>
  <sheetData>
    <row r="1" spans="1:29" ht="21" customHeight="1" x14ac:dyDescent="0.55000000000000004">
      <c r="A1" s="37" t="s">
        <v>64</v>
      </c>
      <c r="B1" s="38"/>
      <c r="C1" s="38"/>
      <c r="D1" s="38"/>
      <c r="E1" s="38"/>
      <c r="F1" s="38"/>
      <c r="G1" s="38"/>
      <c r="H1" s="38"/>
      <c r="I1" s="3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1" t="s">
        <v>65</v>
      </c>
      <c r="B2" s="38"/>
      <c r="C2" s="38"/>
      <c r="D2" s="38"/>
      <c r="E2" s="38"/>
      <c r="F2" s="38"/>
      <c r="G2" s="38"/>
      <c r="H2" s="38"/>
      <c r="I2" s="3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1"/>
      <c r="C3" s="11"/>
      <c r="D3" s="11"/>
      <c r="E3" s="11"/>
      <c r="F3" s="11"/>
      <c r="G3" s="11"/>
      <c r="H3" s="1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40" t="s">
        <v>5</v>
      </c>
      <c r="B4" s="34" t="s">
        <v>66</v>
      </c>
      <c r="C4" s="35"/>
      <c r="D4" s="35"/>
      <c r="E4" s="35"/>
      <c r="F4" s="35"/>
      <c r="G4" s="36"/>
      <c r="H4" s="42" t="s">
        <v>0</v>
      </c>
      <c r="I4" s="31" t="s">
        <v>57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</row>
    <row r="5" spans="1:29" ht="15" customHeight="1" x14ac:dyDescent="0.25">
      <c r="A5" s="33"/>
      <c r="B5" s="17" t="s">
        <v>58</v>
      </c>
      <c r="C5" s="17" t="s">
        <v>59</v>
      </c>
      <c r="D5" s="17" t="s">
        <v>60</v>
      </c>
      <c r="E5" s="17" t="s">
        <v>61</v>
      </c>
      <c r="F5" s="22" t="s">
        <v>62</v>
      </c>
      <c r="G5" s="22" t="s">
        <v>2</v>
      </c>
      <c r="H5" s="43"/>
      <c r="I5" s="3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</row>
    <row r="6" spans="1:29" ht="21" customHeight="1" x14ac:dyDescent="0.55000000000000004">
      <c r="A6" s="18" t="s">
        <v>2</v>
      </c>
      <c r="B6" s="14">
        <f t="shared" ref="B6:G6" si="0">SUM(B7:B32)</f>
        <v>4725</v>
      </c>
      <c r="C6" s="14">
        <f t="shared" si="0"/>
        <v>14256</v>
      </c>
      <c r="D6" s="14">
        <f t="shared" si="0"/>
        <v>13387</v>
      </c>
      <c r="E6" s="14">
        <f t="shared" si="0"/>
        <v>27633</v>
      </c>
      <c r="F6" s="14">
        <f t="shared" si="0"/>
        <v>58444</v>
      </c>
      <c r="G6" s="14">
        <f t="shared" si="0"/>
        <v>118445</v>
      </c>
      <c r="H6" s="23">
        <f>G6/G6*100</f>
        <v>100</v>
      </c>
      <c r="I6" s="4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  <c r="AB6" s="1"/>
      <c r="AC6" s="1"/>
    </row>
    <row r="7" spans="1:29" ht="21" customHeight="1" x14ac:dyDescent="0.55000000000000004">
      <c r="A7" s="7" t="s">
        <v>6</v>
      </c>
      <c r="B7" s="28">
        <v>18</v>
      </c>
      <c r="C7" s="28">
        <v>48</v>
      </c>
      <c r="D7" s="28">
        <v>62</v>
      </c>
      <c r="E7" s="28">
        <v>110</v>
      </c>
      <c r="F7" s="28">
        <v>0</v>
      </c>
      <c r="G7" s="8">
        <f t="shared" ref="G7:G32" si="1">SUM(B7:F7)</f>
        <v>238</v>
      </c>
      <c r="H7" s="19">
        <f t="shared" ref="H7:H20" si="2">G7/$G$6*100</f>
        <v>0.2009371438220271</v>
      </c>
      <c r="I7" s="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7" t="s">
        <v>8</v>
      </c>
      <c r="B8" s="28">
        <v>18</v>
      </c>
      <c r="C8" s="28">
        <v>128</v>
      </c>
      <c r="D8" s="28">
        <v>59</v>
      </c>
      <c r="E8" s="28">
        <v>526</v>
      </c>
      <c r="F8" s="28">
        <v>6369</v>
      </c>
      <c r="G8" s="8">
        <f t="shared" si="1"/>
        <v>7100</v>
      </c>
      <c r="H8" s="19">
        <f t="shared" si="2"/>
        <v>5.9943433661192955</v>
      </c>
      <c r="I8" s="5" t="s">
        <v>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7" t="s">
        <v>10</v>
      </c>
      <c r="B9" s="28">
        <v>17</v>
      </c>
      <c r="C9" s="28">
        <v>0</v>
      </c>
      <c r="D9" s="28">
        <v>0</v>
      </c>
      <c r="E9" s="28">
        <v>0</v>
      </c>
      <c r="F9" s="28">
        <v>0</v>
      </c>
      <c r="G9" s="8">
        <f t="shared" si="1"/>
        <v>17</v>
      </c>
      <c r="H9" s="19">
        <f t="shared" si="2"/>
        <v>1.4352653130144792E-2</v>
      </c>
      <c r="I9" s="5" t="s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7" t="s">
        <v>12</v>
      </c>
      <c r="B10" s="28">
        <v>30</v>
      </c>
      <c r="C10" s="28">
        <v>12</v>
      </c>
      <c r="D10" s="28">
        <v>0</v>
      </c>
      <c r="E10" s="28">
        <v>0</v>
      </c>
      <c r="F10" s="28">
        <v>0</v>
      </c>
      <c r="G10" s="8">
        <f t="shared" si="1"/>
        <v>42</v>
      </c>
      <c r="H10" s="19">
        <f t="shared" si="2"/>
        <v>3.5459495968593019E-2</v>
      </c>
      <c r="I10" s="5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7" t="s">
        <v>14</v>
      </c>
      <c r="B11" s="28">
        <v>340</v>
      </c>
      <c r="C11" s="28">
        <v>486</v>
      </c>
      <c r="D11" s="28">
        <v>265</v>
      </c>
      <c r="E11" s="28">
        <v>450</v>
      </c>
      <c r="F11" s="28">
        <v>1744</v>
      </c>
      <c r="G11" s="8">
        <f t="shared" si="1"/>
        <v>3285</v>
      </c>
      <c r="H11" s="19">
        <f t="shared" si="2"/>
        <v>2.7734391489720971</v>
      </c>
      <c r="I11" s="5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7" t="s">
        <v>16</v>
      </c>
      <c r="B12" s="28">
        <v>44</v>
      </c>
      <c r="C12" s="28">
        <v>0</v>
      </c>
      <c r="D12" s="28">
        <v>92</v>
      </c>
      <c r="E12" s="28">
        <v>0</v>
      </c>
      <c r="F12" s="28">
        <v>0</v>
      </c>
      <c r="G12" s="8">
        <f t="shared" si="1"/>
        <v>136</v>
      </c>
      <c r="H12" s="19">
        <f t="shared" si="2"/>
        <v>0.11482122504115834</v>
      </c>
      <c r="I12" s="5" t="s">
        <v>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20" t="s">
        <v>18</v>
      </c>
      <c r="B13" s="30">
        <v>122</v>
      </c>
      <c r="C13" s="30">
        <v>713</v>
      </c>
      <c r="D13" s="30">
        <v>283</v>
      </c>
      <c r="E13" s="30">
        <v>619</v>
      </c>
      <c r="F13" s="30">
        <v>4744</v>
      </c>
      <c r="G13" s="8">
        <f t="shared" si="1"/>
        <v>6481</v>
      </c>
      <c r="H13" s="19">
        <f t="shared" si="2"/>
        <v>5.4717379374393182</v>
      </c>
      <c r="I13" s="16" t="s">
        <v>19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7" t="s">
        <v>20</v>
      </c>
      <c r="B14" s="28">
        <v>45</v>
      </c>
      <c r="C14" s="28">
        <v>37</v>
      </c>
      <c r="D14" s="28">
        <v>0</v>
      </c>
      <c r="E14" s="28">
        <v>143</v>
      </c>
      <c r="F14" s="28">
        <v>907</v>
      </c>
      <c r="G14" s="8">
        <f t="shared" si="1"/>
        <v>1132</v>
      </c>
      <c r="H14" s="19">
        <f t="shared" si="2"/>
        <v>0.95571784372493562</v>
      </c>
      <c r="I14" s="5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7" t="s">
        <v>22</v>
      </c>
      <c r="B15" s="28">
        <v>36</v>
      </c>
      <c r="C15" s="28">
        <v>85</v>
      </c>
      <c r="D15" s="28">
        <v>88</v>
      </c>
      <c r="E15" s="28">
        <v>0</v>
      </c>
      <c r="F15" s="28">
        <v>0</v>
      </c>
      <c r="G15" s="8">
        <f t="shared" si="1"/>
        <v>209</v>
      </c>
      <c r="H15" s="19">
        <f t="shared" si="2"/>
        <v>0.17645320612942716</v>
      </c>
      <c r="I15" s="5" t="s">
        <v>23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7" t="s">
        <v>24</v>
      </c>
      <c r="B16" s="28">
        <v>149</v>
      </c>
      <c r="C16" s="28">
        <v>5910</v>
      </c>
      <c r="D16" s="28">
        <v>5652</v>
      </c>
      <c r="E16" s="28">
        <v>10456</v>
      </c>
      <c r="F16" s="28">
        <v>24216</v>
      </c>
      <c r="G16" s="8">
        <f t="shared" si="1"/>
        <v>46383</v>
      </c>
      <c r="H16" s="19">
        <f t="shared" si="2"/>
        <v>39.159947655029761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7" t="s">
        <v>26</v>
      </c>
      <c r="B17" s="28">
        <v>60</v>
      </c>
      <c r="C17" s="28">
        <v>388</v>
      </c>
      <c r="D17" s="28">
        <v>158</v>
      </c>
      <c r="E17" s="28">
        <v>232</v>
      </c>
      <c r="F17" s="28">
        <v>761</v>
      </c>
      <c r="G17" s="8">
        <f t="shared" si="1"/>
        <v>1599</v>
      </c>
      <c r="H17" s="19">
        <f t="shared" si="2"/>
        <v>1.3499936679471485</v>
      </c>
      <c r="I17" s="5" t="s">
        <v>27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7" t="s">
        <v>28</v>
      </c>
      <c r="B18" s="28">
        <v>608</v>
      </c>
      <c r="C18" s="28">
        <v>1499</v>
      </c>
      <c r="D18" s="28">
        <v>4139</v>
      </c>
      <c r="E18" s="28">
        <v>9553</v>
      </c>
      <c r="F18" s="28">
        <v>3322</v>
      </c>
      <c r="G18" s="8">
        <f t="shared" si="1"/>
        <v>19121</v>
      </c>
      <c r="H18" s="19">
        <f t="shared" si="2"/>
        <v>16.14335767655874</v>
      </c>
      <c r="I18" s="5" t="s">
        <v>29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7" t="s">
        <v>63</v>
      </c>
      <c r="B19" s="28">
        <v>16</v>
      </c>
      <c r="C19" s="28">
        <v>49</v>
      </c>
      <c r="D19" s="28">
        <v>0</v>
      </c>
      <c r="E19" s="28">
        <v>106</v>
      </c>
      <c r="F19" s="28">
        <v>0</v>
      </c>
      <c r="G19" s="8">
        <f t="shared" si="1"/>
        <v>171</v>
      </c>
      <c r="H19" s="19">
        <f t="shared" si="2"/>
        <v>0.14437080501498586</v>
      </c>
      <c r="I19" s="5" t="s">
        <v>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7" t="s">
        <v>31</v>
      </c>
      <c r="B20" s="28">
        <v>8</v>
      </c>
      <c r="C20" s="28">
        <v>39</v>
      </c>
      <c r="D20" s="28">
        <v>0</v>
      </c>
      <c r="E20" s="28">
        <v>0</v>
      </c>
      <c r="F20" s="28">
        <v>733</v>
      </c>
      <c r="G20" s="8">
        <f t="shared" si="1"/>
        <v>780</v>
      </c>
      <c r="H20" s="19">
        <f t="shared" si="2"/>
        <v>0.6585334965595846</v>
      </c>
      <c r="I20" s="5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7" t="s">
        <v>33</v>
      </c>
      <c r="B21" s="28">
        <v>5</v>
      </c>
      <c r="C21" s="28">
        <v>0</v>
      </c>
      <c r="D21" s="28">
        <v>0</v>
      </c>
      <c r="E21" s="28">
        <v>0</v>
      </c>
      <c r="F21" s="28">
        <v>0</v>
      </c>
      <c r="G21" s="8">
        <f t="shared" si="1"/>
        <v>5</v>
      </c>
      <c r="H21" s="19"/>
      <c r="I21" s="5" t="s">
        <v>34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25">
      <c r="A22" s="7" t="s">
        <v>37</v>
      </c>
      <c r="B22" s="28">
        <v>2</v>
      </c>
      <c r="C22" s="28">
        <v>0</v>
      </c>
      <c r="D22" s="28">
        <v>0</v>
      </c>
      <c r="E22" s="28">
        <v>0</v>
      </c>
      <c r="F22" s="28">
        <v>0</v>
      </c>
      <c r="G22" s="8">
        <f t="shared" si="1"/>
        <v>2</v>
      </c>
      <c r="H22" s="19">
        <f t="shared" ref="H22:H32" si="3">G22/$G$6*100</f>
        <v>1.6885474270758578E-3</v>
      </c>
      <c r="I22" s="24" t="s">
        <v>38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7" t="s">
        <v>39</v>
      </c>
      <c r="B23" s="28">
        <v>41</v>
      </c>
      <c r="C23" s="28">
        <v>106</v>
      </c>
      <c r="D23" s="28">
        <v>0</v>
      </c>
      <c r="E23" s="28">
        <v>0</v>
      </c>
      <c r="F23" s="28">
        <v>0</v>
      </c>
      <c r="G23" s="8">
        <f t="shared" si="1"/>
        <v>147</v>
      </c>
      <c r="H23" s="19">
        <f t="shared" si="3"/>
        <v>0.12410823589007555</v>
      </c>
      <c r="I23" s="5" t="s">
        <v>40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7" t="s">
        <v>41</v>
      </c>
      <c r="B24" s="28">
        <v>73</v>
      </c>
      <c r="C24" s="28">
        <v>78</v>
      </c>
      <c r="D24" s="28">
        <v>0</v>
      </c>
      <c r="E24" s="28">
        <v>0</v>
      </c>
      <c r="F24" s="28">
        <v>0</v>
      </c>
      <c r="G24" s="8">
        <f t="shared" si="1"/>
        <v>151</v>
      </c>
      <c r="H24" s="19">
        <f t="shared" si="3"/>
        <v>0.1274853307442273</v>
      </c>
      <c r="I24" s="5" t="s">
        <v>42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7" t="s">
        <v>43</v>
      </c>
      <c r="B25" s="28">
        <v>1</v>
      </c>
      <c r="C25" s="28">
        <v>23</v>
      </c>
      <c r="D25" s="28">
        <v>63</v>
      </c>
      <c r="E25" s="28">
        <v>0</v>
      </c>
      <c r="F25" s="28">
        <v>0</v>
      </c>
      <c r="G25" s="8">
        <f t="shared" si="1"/>
        <v>87</v>
      </c>
      <c r="H25" s="19">
        <f t="shared" si="3"/>
        <v>7.3451813077799827E-2</v>
      </c>
      <c r="I25" s="5" t="s">
        <v>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7" t="s">
        <v>45</v>
      </c>
      <c r="B26" s="28">
        <v>151</v>
      </c>
      <c r="C26" s="28">
        <v>588</v>
      </c>
      <c r="D26" s="28">
        <v>838</v>
      </c>
      <c r="E26" s="28">
        <v>1318</v>
      </c>
      <c r="F26" s="28">
        <v>677</v>
      </c>
      <c r="G26" s="8">
        <f t="shared" si="1"/>
        <v>3572</v>
      </c>
      <c r="H26" s="19">
        <f t="shared" si="3"/>
        <v>3.0157457047574825</v>
      </c>
      <c r="I26" s="5" t="s">
        <v>46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7" t="s">
        <v>47</v>
      </c>
      <c r="B27" s="28">
        <v>119</v>
      </c>
      <c r="C27" s="28">
        <v>242</v>
      </c>
      <c r="D27" s="28">
        <v>179</v>
      </c>
      <c r="E27" s="28">
        <v>714</v>
      </c>
      <c r="F27" s="28">
        <v>4716</v>
      </c>
      <c r="G27" s="8">
        <f t="shared" si="1"/>
        <v>5970</v>
      </c>
      <c r="H27" s="19">
        <f t="shared" si="3"/>
        <v>5.0403140698214361</v>
      </c>
      <c r="I27" s="5" t="s">
        <v>48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7" t="s">
        <v>49</v>
      </c>
      <c r="B28" s="28">
        <v>721</v>
      </c>
      <c r="C28" s="28">
        <v>1247</v>
      </c>
      <c r="D28" s="28">
        <v>187</v>
      </c>
      <c r="E28" s="28">
        <v>1035</v>
      </c>
      <c r="F28" s="28">
        <v>0</v>
      </c>
      <c r="G28" s="8">
        <f t="shared" si="1"/>
        <v>3190</v>
      </c>
      <c r="H28" s="19">
        <f t="shared" si="3"/>
        <v>2.6932331461859937</v>
      </c>
      <c r="I28" s="5" t="s">
        <v>50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7" t="s">
        <v>51</v>
      </c>
      <c r="B29" s="28">
        <v>39</v>
      </c>
      <c r="C29" s="28">
        <v>163</v>
      </c>
      <c r="D29" s="28">
        <v>100</v>
      </c>
      <c r="E29" s="28">
        <v>124</v>
      </c>
      <c r="F29" s="28">
        <v>1126</v>
      </c>
      <c r="G29" s="8">
        <f t="shared" si="1"/>
        <v>1552</v>
      </c>
      <c r="H29" s="19">
        <f t="shared" si="3"/>
        <v>1.3103128034108658</v>
      </c>
      <c r="I29" s="5" t="s">
        <v>52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7" t="s">
        <v>53</v>
      </c>
      <c r="B30" s="28">
        <v>3</v>
      </c>
      <c r="C30" s="28">
        <v>35</v>
      </c>
      <c r="D30" s="28">
        <v>0</v>
      </c>
      <c r="E30" s="28">
        <v>0</v>
      </c>
      <c r="F30" s="28">
        <v>0</v>
      </c>
      <c r="G30" s="8">
        <f t="shared" si="1"/>
        <v>38</v>
      </c>
      <c r="H30" s="19">
        <f t="shared" si="3"/>
        <v>3.20824011144413E-2</v>
      </c>
      <c r="I30" s="5" t="s">
        <v>54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7" t="s">
        <v>55</v>
      </c>
      <c r="B31" s="28">
        <v>487</v>
      </c>
      <c r="C31" s="28">
        <v>650</v>
      </c>
      <c r="D31" s="28">
        <v>345</v>
      </c>
      <c r="E31" s="28">
        <v>208</v>
      </c>
      <c r="F31" s="28">
        <v>2438</v>
      </c>
      <c r="G31" s="8">
        <f t="shared" si="1"/>
        <v>4128</v>
      </c>
      <c r="H31" s="19">
        <f t="shared" si="3"/>
        <v>3.4851618894845711</v>
      </c>
      <c r="I31" s="5" t="s">
        <v>56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75" customHeight="1" x14ac:dyDescent="0.55000000000000004">
      <c r="A32" s="9" t="s">
        <v>35</v>
      </c>
      <c r="B32" s="29">
        <v>1572</v>
      </c>
      <c r="C32" s="29">
        <v>1730</v>
      </c>
      <c r="D32" s="29">
        <v>877</v>
      </c>
      <c r="E32" s="29">
        <v>2039</v>
      </c>
      <c r="F32" s="29">
        <v>6691</v>
      </c>
      <c r="G32" s="12">
        <f t="shared" si="1"/>
        <v>12909</v>
      </c>
      <c r="H32" s="21">
        <f t="shared" si="3"/>
        <v>10.898729368061126</v>
      </c>
      <c r="I32" s="6" t="s">
        <v>36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25" t="s">
        <v>67</v>
      </c>
      <c r="B33" s="8"/>
      <c r="C33" s="8"/>
      <c r="D33" s="8"/>
      <c r="E33" s="8"/>
      <c r="F33" s="8"/>
      <c r="G33" s="11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13" t="s">
        <v>4</v>
      </c>
      <c r="B34" s="11"/>
      <c r="C34" s="11"/>
      <c r="D34" s="11"/>
      <c r="E34" s="11"/>
      <c r="F34" s="11"/>
      <c r="G34" s="11"/>
      <c r="H34" s="15"/>
      <c r="I34" s="10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11"/>
      <c r="C35" s="11"/>
      <c r="D35" s="11"/>
      <c r="E35" s="11"/>
      <c r="F35" s="11"/>
      <c r="G35" s="11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1"/>
      <c r="C36" s="11"/>
      <c r="D36" s="11"/>
      <c r="E36" s="11"/>
      <c r="F36" s="11"/>
      <c r="G36" s="1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11"/>
      <c r="C37" s="11"/>
      <c r="D37" s="11"/>
      <c r="E37" s="11"/>
      <c r="F37" s="11"/>
      <c r="G37" s="11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11"/>
      <c r="C38" s="11"/>
      <c r="D38" s="11"/>
      <c r="E38" s="11"/>
      <c r="F38" s="11"/>
      <c r="G38" s="11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11"/>
      <c r="C39" s="11"/>
      <c r="D39" s="11"/>
      <c r="E39" s="11"/>
      <c r="F39" s="11"/>
      <c r="G39" s="11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11"/>
      <c r="C40" s="11"/>
      <c r="D40" s="11"/>
      <c r="E40" s="11"/>
      <c r="F40" s="11"/>
      <c r="G40" s="1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11"/>
      <c r="C41" s="11"/>
      <c r="D41" s="11"/>
      <c r="E41" s="11"/>
      <c r="F41" s="11"/>
      <c r="G41" s="11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11"/>
      <c r="C42" s="11"/>
      <c r="D42" s="11"/>
      <c r="E42" s="11"/>
      <c r="F42" s="11"/>
      <c r="G42" s="11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11"/>
      <c r="C43" s="11"/>
      <c r="D43" s="11"/>
      <c r="E43" s="11"/>
      <c r="F43" s="11"/>
      <c r="G43" s="11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11"/>
      <c r="C44" s="11"/>
      <c r="D44" s="11"/>
      <c r="E44" s="11"/>
      <c r="F44" s="11"/>
      <c r="G44" s="11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11"/>
      <c r="C45" s="11"/>
      <c r="D45" s="11"/>
      <c r="E45" s="11"/>
      <c r="F45" s="11"/>
      <c r="G45" s="11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11"/>
      <c r="C46" s="11"/>
      <c r="D46" s="11"/>
      <c r="E46" s="11"/>
      <c r="F46" s="11"/>
      <c r="G46" s="11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11"/>
      <c r="C47" s="11"/>
      <c r="D47" s="11"/>
      <c r="E47" s="11"/>
      <c r="F47" s="11"/>
      <c r="G47" s="1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11"/>
      <c r="C48" s="11"/>
      <c r="D48" s="11"/>
      <c r="E48" s="11"/>
      <c r="F48" s="11"/>
      <c r="G48" s="11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11"/>
      <c r="C49" s="11"/>
      <c r="D49" s="11"/>
      <c r="E49" s="11"/>
      <c r="F49" s="11"/>
      <c r="G49" s="11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11"/>
      <c r="C50" s="11"/>
      <c r="D50" s="11"/>
      <c r="E50" s="11"/>
      <c r="F50" s="11"/>
      <c r="G50" s="11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11"/>
      <c r="C51" s="11"/>
      <c r="D51" s="11"/>
      <c r="E51" s="11"/>
      <c r="F51" s="11"/>
      <c r="G51" s="11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11"/>
      <c r="C52" s="11"/>
      <c r="D52" s="11"/>
      <c r="E52" s="11"/>
      <c r="F52" s="11"/>
      <c r="G52" s="11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1"/>
      <c r="B53" s="11"/>
      <c r="C53" s="11"/>
      <c r="D53" s="11"/>
      <c r="E53" s="11"/>
      <c r="F53" s="11"/>
      <c r="G53" s="1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11"/>
      <c r="C54" s="11"/>
      <c r="D54" s="11"/>
      <c r="E54" s="11"/>
      <c r="F54" s="11"/>
      <c r="G54" s="11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1"/>
      <c r="B55" s="11"/>
      <c r="C55" s="11"/>
      <c r="D55" s="11"/>
      <c r="E55" s="11"/>
      <c r="F55" s="11"/>
      <c r="G55" s="11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1"/>
      <c r="B56" s="11"/>
      <c r="C56" s="11"/>
      <c r="D56" s="11"/>
      <c r="E56" s="11"/>
      <c r="F56" s="11"/>
      <c r="G56" s="11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1"/>
      <c r="B57" s="11"/>
      <c r="C57" s="11"/>
      <c r="D57" s="11"/>
      <c r="E57" s="11"/>
      <c r="F57" s="11"/>
      <c r="G57" s="11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1"/>
      <c r="B58" s="11"/>
      <c r="C58" s="11"/>
      <c r="D58" s="11"/>
      <c r="E58" s="11"/>
      <c r="F58" s="11"/>
      <c r="G58" s="11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1"/>
      <c r="B59" s="11"/>
      <c r="C59" s="11"/>
      <c r="D59" s="11"/>
      <c r="E59" s="11"/>
      <c r="F59" s="11"/>
      <c r="G59" s="11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5">
      <c r="A60" s="1"/>
      <c r="B60" s="11"/>
      <c r="C60" s="11"/>
      <c r="D60" s="11"/>
      <c r="E60" s="11"/>
      <c r="F60" s="11"/>
      <c r="G60" s="11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</sheetData>
  <mergeCells count="6">
    <mergeCell ref="A1:I1"/>
    <mergeCell ref="A2:I2"/>
    <mergeCell ref="A4:A5"/>
    <mergeCell ref="B4:G4"/>
    <mergeCell ref="H4:H5"/>
    <mergeCell ref="I4:I5"/>
  </mergeCells>
  <pageMargins left="0.7" right="0.7" top="0.75" bottom="0.75" header="0" footer="0"/>
  <pageSetup paperSize="9" scale="70" orientation="landscape" r:id="rId1"/>
  <rowBreaks count="1" manualBreakCount="1">
    <brk id="35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2025-06-16T04:09:30Z</cp:lastPrinted>
  <dcterms:created xsi:type="dcterms:W3CDTF">2025-05-19T08:29:05Z</dcterms:created>
  <dcterms:modified xsi:type="dcterms:W3CDTF">2025-06-16T04:09:51Z</dcterms:modified>
</cp:coreProperties>
</file>