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34C8D671-71F9-4E26-AA7A-B4E353FBFB52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15" sheetId="15" r:id="rId1"/>
  </sheets>
  <definedNames>
    <definedName name="_xlnm.Print_Area" localSheetId="0">'18.15'!$A$1:$G$61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D7" i="15" l="1"/>
  <c r="E28" i="15" s="1"/>
  <c r="C7" i="15"/>
  <c r="B7" i="15"/>
  <c r="E11" i="15" l="1"/>
  <c r="E13" i="15"/>
  <c r="E17" i="15"/>
  <c r="E23" i="15"/>
  <c r="E25" i="15"/>
  <c r="E29" i="15"/>
  <c r="E18" i="15"/>
  <c r="E30" i="15"/>
  <c r="E7" i="15"/>
  <c r="E19" i="15"/>
  <c r="E31" i="15"/>
  <c r="E8" i="15"/>
  <c r="E20" i="15"/>
  <c r="E32" i="15"/>
  <c r="E9" i="15"/>
  <c r="E21" i="15"/>
  <c r="E33" i="15"/>
  <c r="E10" i="15"/>
  <c r="E22" i="15"/>
  <c r="E12" i="15"/>
  <c r="E24" i="15"/>
  <c r="E14" i="15"/>
  <c r="E26" i="15"/>
  <c r="E15" i="15"/>
  <c r="E27" i="15"/>
  <c r="E16" i="15"/>
</calcChain>
</file>

<file path=xl/sharedStrings.xml><?xml version="1.0" encoding="utf-8"?>
<sst xmlns="http://schemas.openxmlformats.org/spreadsheetml/2006/main" count="81" uniqueCount="68">
  <si>
    <t>އިންސައްތަ</t>
  </si>
  <si>
    <t>% share</t>
  </si>
  <si>
    <t>ޖުމްލަ</t>
  </si>
  <si>
    <t>Total</t>
  </si>
  <si>
    <t>މަޢުލޫމާތު ދެއްވި ފަރާތް: މޯލްޑިވްސް ޕެންޝަން އެޑްމިނިސްޓްރޭޝަން</t>
  </si>
  <si>
    <t>Source: Maldives Pension Administration</t>
  </si>
  <si>
    <t>މުވައްޒަފުންގެ އަދަދު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</si>
  <si>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</si>
  <si>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</si>
  <si>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</si>
  <si>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</si>
  <si>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</si>
  <si>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</si>
  <si>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</si>
  <si>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</si>
  <si>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</si>
  <si>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</si>
  <si>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</si>
  <si>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</si>
  <si>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</si>
  <si>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</si>
  <si>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</si>
  <si>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</si>
  <si>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</si>
  <si>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</si>
  <si>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</si>
  <si>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</si>
  <si>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</si>
  <si>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</si>
  <si>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</si>
  <si>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</si>
  <si>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</si>
  <si>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Others</t>
  </si>
  <si>
    <t>އެހެނިހެން</t>
  </si>
  <si>
    <t>Passenger Ferries</t>
  </si>
  <si>
    <t>ފެރީގެ ޙިދުމަތް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</si>
  <si>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</si>
  <si>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</si>
  <si>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</si>
  <si>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</si>
  <si>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</si>
  <si>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</si>
  <si>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</si>
  <si>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</si>
  <si>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</si>
  <si>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</si>
  <si>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</si>
  <si>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</si>
  <si>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</si>
  <si>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</si>
  <si>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</si>
  <si>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</si>
  <si>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</si>
  <si>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</si>
  <si>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 xml:space="preserve">މަސައްކަތްކުރާ ތަނުގެ ދާއިރާ </t>
  </si>
  <si>
    <t xml:space="preserve">Housing Development </t>
  </si>
  <si>
    <t xml:space="preserve">ތާވަލު  18.15 : އެކި ދާއިރާތަކުން ރިޓާޔަމަންޓް ޕެންޝަން ސްކީމްގައި ރެޖިސްޓްރީކޮށްފައިވާ ތަންތަނުގެ ޢަދަދާއި މުވައްޒަފުންގެ އަދަދު، 2024 </t>
  </si>
  <si>
    <t>TABLE   18.15: EMPLOYEES AND ESTABLISHMENTS REGISTERED IN THE RETIREMENT PENSION SCHEME, END OF 2024</t>
  </si>
  <si>
    <t>Industry</t>
  </si>
  <si>
    <t>Establishments</t>
  </si>
  <si>
    <t>Employment</t>
  </si>
  <si>
    <t xml:space="preserve">މަސައްކަތްކުރާ ތަންތަނުގެ </t>
  </si>
  <si>
    <t xml:space="preserve">މުވައްޒަފުންގެ </t>
  </si>
  <si>
    <t>ޢަދަދު</t>
  </si>
  <si>
    <t>Govt. agencies, public institutions</t>
  </si>
  <si>
    <t xml:space="preserve">Financial sector, Banks, Investment Funds, Insurance </t>
  </si>
  <si>
    <t xml:space="preserve">ފައިސާގެ ޚިދުމަތް، ބެންކް، އިންވެސްޓްމަންޓް ފަންޑް، އިންޝުއަރެންސް </t>
  </si>
  <si>
    <t>މައިނިން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</si>
</sst>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"/>
  </numFmts>
  <fonts count="13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6" fillId="2" borderId="4" xfId="0" applyFont="1" applyFill="1" applyBorder="1"/>
    <xf numFmtId="0" fontId="6" fillId="2" borderId="10" xfId="0" applyFont="1" applyFill="1" applyBorder="1"/>
    <xf numFmtId="0" fontId="4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8" fillId="2" borderId="4" xfId="0" applyFont="1" applyFill="1" applyBorder="1"/>
    <xf numFmtId="0" fontId="7" fillId="2" borderId="4" xfId="0" applyFont="1" applyFill="1" applyBorder="1"/>
    <xf numFmtId="0" fontId="9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/>
    </xf>
    <xf numFmtId="0" fontId="10" fillId="2" borderId="4" xfId="0" applyFont="1" applyFill="1" applyBorder="1"/>
    <xf numFmtId="0" fontId="1" fillId="2" borderId="8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vertical="center"/>
    </xf>
    <xf numFmtId="0" fontId="0" fillId="3" borderId="0" xfId="0" applyFill="1"/>
    <xf numFmtId="0" fontId="3" fillId="2" borderId="11" xfId="0" applyFont="1" applyFill="1" applyBorder="1"/>
    <xf numFmtId="0" fontId="3" fillId="2" borderId="11" xfId="0" applyFont="1" applyFill="1" applyBorder="1" applyAlignment="1">
      <alignment vertical="center"/>
    </xf>
    <xf numFmtId="3" fontId="3" fillId="4" borderId="4" xfId="0" applyNumberFormat="1" applyFont="1" applyFill="1" applyBorder="1" applyAlignment="1">
      <alignment horizontal="right" vertical="center"/>
    </xf>
    <xf numFmtId="3" fontId="3" fillId="4" borderId="10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 wrapText="1"/>
    </xf>
    <xf numFmtId="167" fontId="12" fillId="4" borderId="4" xfId="0" applyNumberFormat="1" applyFont="1" applyFill="1" applyBorder="1" applyAlignment="1">
      <alignment horizontal="right" vertical="center" wrapText="1"/>
    </xf>
    <xf numFmtId="167" fontId="12" fillId="4" borderId="10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0" fontId="2" fillId="3" borderId="6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3543307086614176E-2"/>
          <c:y val="9.1300715615676251E-2"/>
          <c:w val="0.92271315142210997"/>
          <c:h val="0.4116327253965049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3399"/>
            </a:solidFill>
            <a:ln cmpd="sng">
              <a:noFill/>
            </a:ln>
          </c:spPr>
          <c:invertIfNegative val="1"/>
          <c:cat>
            <c:strRef>
              <c:f>'18.15'!$AA$7:$AA$19</c:f>
              <c:strCache>
                <c:ptCount val="13"/>
                <c:pt idx="0">
                  <c:v>Govt. agencies, public institutions</c:v>
                </c:pt>
                <c:pt idx="1">
                  <c:v>Hotels, Tourist resorts, travel agencies</c:v>
                </c:pt>
                <c:pt idx="2">
                  <c:v>Others</c:v>
                </c:pt>
                <c:pt idx="3">
                  <c:v>Air Transportation</c:v>
                </c:pt>
                <c:pt idx="4">
                  <c:v>Financial sector, Banks, Investment Funds, Insurance </c:v>
                </c:pt>
                <c:pt idx="5">
                  <c:v>Sea Transportation, shipping</c:v>
                </c:pt>
                <c:pt idx="6">
                  <c:v>Wholesale retailers</c:v>
                </c:pt>
                <c:pt idx="7">
                  <c:v>Schools and educational centers</c:v>
                </c:pt>
                <c:pt idx="8">
                  <c:v>Construction</c:v>
                </c:pt>
                <c:pt idx="9">
                  <c:v>Shops, small and medium commercial retail</c:v>
                </c:pt>
                <c:pt idx="10">
                  <c:v>Health Sector, hospitals, clinics</c:v>
                </c:pt>
                <c:pt idx="11">
                  <c:v>Telecommunications</c:v>
                </c:pt>
                <c:pt idx="12">
                  <c:v>Fishing Industry</c:v>
                </c:pt>
              </c:strCache>
            </c:strRef>
          </c:cat>
          <c:val>
            <c:numRef>
              <c:f>'18.15'!$AB$7:$AB$19</c:f>
              <c:numCache>
                <c:formatCode>General</c:formatCode>
                <c:ptCount val="13"/>
                <c:pt idx="0">
                  <c:v>39.200000000000003</c:v>
                </c:pt>
                <c:pt idx="1">
                  <c:v>16.100000000000001</c:v>
                </c:pt>
                <c:pt idx="2">
                  <c:v>12.5</c:v>
                </c:pt>
                <c:pt idx="3">
                  <c:v>6</c:v>
                </c:pt>
                <c:pt idx="4">
                  <c:v>5.5</c:v>
                </c:pt>
                <c:pt idx="5">
                  <c:v>5</c:v>
                </c:pt>
                <c:pt idx="6">
                  <c:v>3.5</c:v>
                </c:pt>
                <c:pt idx="7">
                  <c:v>3</c:v>
                </c:pt>
                <c:pt idx="8">
                  <c:v>2.8</c:v>
                </c:pt>
                <c:pt idx="9">
                  <c:v>2.7</c:v>
                </c:pt>
                <c:pt idx="10">
                  <c:v>1.3</c:v>
                </c:pt>
                <c:pt idx="11">
                  <c:v>1.3</c:v>
                </c:pt>
                <c:pt idx="1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09-4B2B-A73B-B057CBEAF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9595988"/>
        <c:axId val="865115151"/>
      </c:barChart>
      <c:catAx>
        <c:axId val="1739595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5115151"/>
        <c:crosses val="autoZero"/>
        <c:auto val="1"/>
        <c:lblAlgn val="ctr"/>
        <c:lblOffset val="100"/>
        <c:noMultiLvlLbl val="1"/>
      </c:catAx>
      <c:valAx>
        <c:axId val="86511515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9595988"/>
        <c:crosses val="autoZero"/>
        <c:crossBetween val="between"/>
      </c:valAx>
      <c:spPr>
        <a:solidFill>
          <a:srgbClr val="F7F7F7"/>
        </a:solidFill>
        <a:ln>
          <a:solidFill>
            <a:schemeClr val="bg2">
              <a:lumMod val="8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34</xdr:row>
      <xdr:rowOff>114300</xdr:rowOff>
    </xdr:from>
    <xdr:ext cx="9086850" cy="5572125"/>
    <xdr:graphicFrame macro="">
      <xdr:nvGraphicFramePr>
        <xdr:cNvPr id="650172165" name="Chart 15">
          <a:extLst>
            <a:ext uri="{FF2B5EF4-FFF2-40B4-BE49-F238E27FC236}">
              <a16:creationId xmlns:a16="http://schemas.microsoft.com/office/drawing/2014/main" id="{00000000-0008-0000-0E00-000005D7C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1895475</xdr:colOff>
      <xdr:row>35</xdr:row>
      <xdr:rowOff>9525</xdr:rowOff>
    </xdr:from>
    <xdr:ext cx="6724650" cy="3619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895475" y="9144000"/>
          <a:ext cx="6724650" cy="3619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18.14: Percentage distribution of employees registered  in the retirement pension scheme by sector, 202</a:t>
          </a:r>
          <a:r>
            <a:rPr lang="dv-MV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428625</xdr:colOff>
      <xdr:row>37</xdr:row>
      <xdr:rowOff>104775</xdr:rowOff>
    </xdr:from>
    <xdr:ext cx="228600" cy="9620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 rot="-5400000">
          <a:off x="4869750" y="3670463"/>
          <a:ext cx="952500" cy="2190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Percentage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E63"/>
  <sheetViews>
    <sheetView tabSelected="1" zoomScaleNormal="100" workbookViewId="0">
      <selection activeCell="L16" sqref="L16"/>
    </sheetView>
  </sheetViews>
  <sheetFormatPr defaultColWidth="14.42578125" defaultRowHeight="15" customHeight="1" x14ac:dyDescent="0.25"/>
  <cols>
    <col min="1" max="1" width="50.140625" style="24" customWidth="1"/>
    <col min="2" max="2" width="20.42578125" style="24" customWidth="1"/>
    <col min="3" max="3" width="1.85546875" style="24" customWidth="1"/>
    <col min="4" max="5" width="16" style="24" customWidth="1"/>
    <col min="6" max="6" width="52.85546875" style="24" customWidth="1"/>
    <col min="7" max="7" width="2.7109375" style="24" customWidth="1"/>
    <col min="8" max="10" width="8" style="24" customWidth="1"/>
    <col min="11" max="12" width="14.42578125" style="24" customWidth="1"/>
    <col min="13" max="13" width="8" style="24" customWidth="1"/>
    <col min="14" max="14" width="38.28515625" style="24" customWidth="1"/>
    <col min="15" max="18" width="8" style="24" customWidth="1"/>
    <col min="19" max="19" width="23.42578125" style="24" customWidth="1"/>
    <col min="20" max="25" width="8" style="24" customWidth="1"/>
    <col min="26" max="26" width="17" style="24" customWidth="1"/>
    <col min="27" max="31" width="14.42578125" style="24" customWidth="1"/>
    <col min="32" max="16384" width="14.42578125" style="24"/>
  </cols>
  <sheetData>
    <row r="1" spans="1:31" ht="21" customHeight="1" x14ac:dyDescent="0.25">
      <c r="A1" s="41" t="s">
        <v>56</v>
      </c>
      <c r="B1" s="38"/>
      <c r="C1" s="38"/>
      <c r="D1" s="38"/>
      <c r="E1" s="38"/>
      <c r="F1" s="39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x14ac:dyDescent="0.25">
      <c r="A2" s="42" t="s">
        <v>57</v>
      </c>
      <c r="B2" s="38"/>
      <c r="C2" s="38"/>
      <c r="D2" s="38"/>
      <c r="E2" s="38"/>
      <c r="F2" s="3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.75" customHeight="1" x14ac:dyDescent="0.25">
      <c r="A4" s="40" t="s">
        <v>58</v>
      </c>
      <c r="B4" s="16" t="s">
        <v>59</v>
      </c>
      <c r="C4" s="16"/>
      <c r="D4" s="16" t="s">
        <v>60</v>
      </c>
      <c r="E4" s="16" t="s">
        <v>1</v>
      </c>
      <c r="F4" s="35" t="s">
        <v>54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8.5" customHeight="1" x14ac:dyDescent="0.25">
      <c r="A5" s="36"/>
      <c r="B5" s="18" t="s">
        <v>61</v>
      </c>
      <c r="C5" s="18"/>
      <c r="D5" s="43" t="s">
        <v>6</v>
      </c>
      <c r="E5" s="19" t="s">
        <v>62</v>
      </c>
      <c r="F5" s="3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24" customHeight="1" x14ac:dyDescent="0.25">
      <c r="A6" s="37"/>
      <c r="B6" s="20" t="s">
        <v>63</v>
      </c>
      <c r="C6" s="20"/>
      <c r="D6" s="37"/>
      <c r="E6" s="21" t="s">
        <v>0</v>
      </c>
      <c r="F6" s="3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21" customHeight="1" x14ac:dyDescent="0.25">
      <c r="A7" s="7" t="s">
        <v>3</v>
      </c>
      <c r="B7" s="29">
        <f t="shared" ref="B7:D7" si="0">SUM(B8:B33)</f>
        <v>2445</v>
      </c>
      <c r="C7" s="29">
        <f t="shared" si="0"/>
        <v>0</v>
      </c>
      <c r="D7" s="29">
        <f t="shared" si="0"/>
        <v>118445</v>
      </c>
      <c r="E7" s="29">
        <f>ROUND((D7/$D$7)*100,2)</f>
        <v>100</v>
      </c>
      <c r="F7" s="3" t="s">
        <v>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9" t="s">
        <v>64</v>
      </c>
      <c r="AB7" s="4">
        <v>39.200000000000003</v>
      </c>
      <c r="AC7" s="2"/>
      <c r="AD7" s="2"/>
      <c r="AE7" s="2"/>
    </row>
    <row r="8" spans="1:31" ht="21" customHeight="1" x14ac:dyDescent="0.55000000000000004">
      <c r="A8" s="9" t="s">
        <v>7</v>
      </c>
      <c r="B8" s="27">
        <v>13</v>
      </c>
      <c r="C8" s="27"/>
      <c r="D8" s="27">
        <v>238</v>
      </c>
      <c r="E8" s="30">
        <f t="shared" ref="E8:E33" si="1">ROUND((D8/$D$7)*100,1)</f>
        <v>0.2</v>
      </c>
      <c r="F8" s="5" t="s">
        <v>8</v>
      </c>
      <c r="G8" s="4"/>
      <c r="H8" s="4"/>
      <c r="I8" s="4"/>
      <c r="J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9" t="s">
        <v>26</v>
      </c>
      <c r="AB8" s="4">
        <v>16.100000000000001</v>
      </c>
      <c r="AC8" s="4"/>
      <c r="AD8" s="4"/>
      <c r="AE8" s="4"/>
    </row>
    <row r="9" spans="1:31" ht="25.5" customHeight="1" x14ac:dyDescent="0.55000000000000004">
      <c r="A9" s="9" t="s">
        <v>9</v>
      </c>
      <c r="B9" s="27">
        <v>19</v>
      </c>
      <c r="C9" s="27"/>
      <c r="D9" s="27">
        <v>7100</v>
      </c>
      <c r="E9" s="30">
        <f t="shared" si="1"/>
        <v>6</v>
      </c>
      <c r="F9" s="5" t="s">
        <v>10</v>
      </c>
      <c r="G9" s="4"/>
      <c r="H9" s="4"/>
      <c r="I9" s="4"/>
      <c r="J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24" t="s">
        <v>32</v>
      </c>
      <c r="AB9" s="24">
        <v>12.5</v>
      </c>
      <c r="AC9" s="4"/>
      <c r="AD9" s="4"/>
      <c r="AE9" s="4"/>
    </row>
    <row r="10" spans="1:31" ht="27.75" customHeight="1" x14ac:dyDescent="0.55000000000000004">
      <c r="A10" s="9" t="s">
        <v>11</v>
      </c>
      <c r="B10" s="27">
        <v>4</v>
      </c>
      <c r="C10" s="27"/>
      <c r="D10" s="27">
        <v>17</v>
      </c>
      <c r="E10" s="30">
        <f t="shared" si="1"/>
        <v>0</v>
      </c>
      <c r="F10" s="5" t="s">
        <v>12</v>
      </c>
      <c r="G10" s="4"/>
      <c r="H10" s="4"/>
      <c r="I10" s="4"/>
      <c r="J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9" t="s">
        <v>9</v>
      </c>
      <c r="AB10" s="4">
        <v>6</v>
      </c>
      <c r="AC10" s="4"/>
      <c r="AD10" s="4"/>
      <c r="AE10" s="4"/>
    </row>
    <row r="11" spans="1:31" ht="18.75" customHeight="1" x14ac:dyDescent="0.55000000000000004">
      <c r="A11" s="9" t="s">
        <v>13</v>
      </c>
      <c r="B11" s="27">
        <v>13</v>
      </c>
      <c r="C11" s="27"/>
      <c r="D11" s="27">
        <v>42</v>
      </c>
      <c r="E11" s="30">
        <f t="shared" si="1"/>
        <v>0</v>
      </c>
      <c r="F11" s="5" t="s">
        <v>14</v>
      </c>
      <c r="G11" s="4"/>
      <c r="H11" s="4"/>
      <c r="I11" s="4"/>
      <c r="J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22" t="s">
        <v>65</v>
      </c>
      <c r="AB11" s="4">
        <v>5.5</v>
      </c>
      <c r="AC11" s="4"/>
      <c r="AD11" s="4"/>
      <c r="AE11" s="4"/>
    </row>
    <row r="12" spans="1:31" ht="21" customHeight="1" x14ac:dyDescent="0.55000000000000004">
      <c r="A12" s="9" t="s">
        <v>15</v>
      </c>
      <c r="B12" s="27">
        <v>136</v>
      </c>
      <c r="C12" s="27"/>
      <c r="D12" s="27">
        <v>3285</v>
      </c>
      <c r="E12" s="30">
        <f t="shared" si="1"/>
        <v>2.8</v>
      </c>
      <c r="F12" s="5" t="s">
        <v>16</v>
      </c>
      <c r="G12" s="4"/>
      <c r="H12" s="4"/>
      <c r="I12" s="4"/>
      <c r="J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9" t="s">
        <v>44</v>
      </c>
      <c r="AB12" s="4">
        <v>5</v>
      </c>
      <c r="AC12" s="4"/>
      <c r="AD12" s="4"/>
      <c r="AE12" s="4"/>
    </row>
    <row r="13" spans="1:31" ht="21" customHeight="1" x14ac:dyDescent="0.55000000000000004">
      <c r="A13" s="9" t="s">
        <v>17</v>
      </c>
      <c r="B13" s="27">
        <v>13</v>
      </c>
      <c r="C13" s="27"/>
      <c r="D13" s="27">
        <v>136</v>
      </c>
      <c r="E13" s="30">
        <f t="shared" si="1"/>
        <v>0.1</v>
      </c>
      <c r="F13" s="5" t="s">
        <v>18</v>
      </c>
      <c r="G13" s="4"/>
      <c r="H13" s="4"/>
      <c r="I13" s="4"/>
      <c r="J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9" t="s">
        <v>52</v>
      </c>
      <c r="AB13" s="1">
        <v>3.5</v>
      </c>
      <c r="AC13" s="4"/>
      <c r="AD13" s="4"/>
      <c r="AE13" s="4"/>
    </row>
    <row r="14" spans="1:31" ht="25.5" customHeight="1" x14ac:dyDescent="0.25">
      <c r="A14" s="22" t="s">
        <v>65</v>
      </c>
      <c r="B14" s="27">
        <v>72</v>
      </c>
      <c r="C14" s="27"/>
      <c r="D14" s="27">
        <v>6481</v>
      </c>
      <c r="E14" s="30">
        <f t="shared" si="1"/>
        <v>5.5</v>
      </c>
      <c r="F14" s="15" t="s">
        <v>66</v>
      </c>
      <c r="G14" s="4"/>
      <c r="H14" s="4"/>
      <c r="I14" s="4"/>
      <c r="J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9" t="s">
        <v>42</v>
      </c>
      <c r="AB14" s="4">
        <v>3</v>
      </c>
      <c r="AC14" s="4"/>
      <c r="AD14" s="4"/>
      <c r="AE14" s="4"/>
    </row>
    <row r="15" spans="1:31" ht="21" customHeight="1" x14ac:dyDescent="0.55000000000000004">
      <c r="A15" s="9" t="s">
        <v>19</v>
      </c>
      <c r="B15" s="27">
        <v>18</v>
      </c>
      <c r="C15" s="27"/>
      <c r="D15" s="27">
        <v>1132</v>
      </c>
      <c r="E15" s="30">
        <f t="shared" si="1"/>
        <v>1</v>
      </c>
      <c r="F15" s="5" t="s">
        <v>20</v>
      </c>
      <c r="G15" s="4"/>
      <c r="H15" s="4"/>
      <c r="I15" s="4"/>
      <c r="J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9" t="s">
        <v>15</v>
      </c>
      <c r="AB15" s="4">
        <v>2.8</v>
      </c>
      <c r="AC15" s="4"/>
      <c r="AD15" s="4"/>
      <c r="AE15" s="4"/>
    </row>
    <row r="16" spans="1:31" ht="21" customHeight="1" x14ac:dyDescent="0.55000000000000004">
      <c r="A16" s="9" t="s">
        <v>21</v>
      </c>
      <c r="B16" s="27">
        <v>16</v>
      </c>
      <c r="C16" s="27"/>
      <c r="D16" s="27">
        <v>209</v>
      </c>
      <c r="E16" s="30">
        <f t="shared" si="1"/>
        <v>0.2</v>
      </c>
      <c r="F16" s="5" t="s">
        <v>22</v>
      </c>
      <c r="G16" s="4"/>
      <c r="H16" s="4"/>
      <c r="I16" s="4"/>
      <c r="J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9" t="s">
        <v>46</v>
      </c>
      <c r="AB16" s="4">
        <v>2.7</v>
      </c>
      <c r="AC16" s="4"/>
      <c r="AD16" s="4"/>
      <c r="AE16" s="4"/>
    </row>
    <row r="17" spans="1:31" ht="21" customHeight="1" x14ac:dyDescent="0.55000000000000004">
      <c r="A17" s="9" t="s">
        <v>64</v>
      </c>
      <c r="B17" s="27">
        <v>421</v>
      </c>
      <c r="C17" s="27"/>
      <c r="D17" s="27">
        <v>46383</v>
      </c>
      <c r="E17" s="30">
        <f t="shared" si="1"/>
        <v>39.200000000000003</v>
      </c>
      <c r="F17" s="5" t="s">
        <v>23</v>
      </c>
      <c r="G17" s="4"/>
      <c r="H17" s="4"/>
      <c r="I17" s="4"/>
      <c r="J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9" t="s">
        <v>24</v>
      </c>
      <c r="AB17" s="4">
        <v>1.3</v>
      </c>
      <c r="AC17" s="4"/>
      <c r="AD17" s="4"/>
      <c r="AE17" s="4"/>
    </row>
    <row r="18" spans="1:31" ht="21" customHeight="1" x14ac:dyDescent="0.55000000000000004">
      <c r="A18" s="9" t="s">
        <v>24</v>
      </c>
      <c r="B18" s="27">
        <v>47</v>
      </c>
      <c r="C18" s="27"/>
      <c r="D18" s="27">
        <v>1599</v>
      </c>
      <c r="E18" s="30">
        <f t="shared" si="1"/>
        <v>1.3</v>
      </c>
      <c r="F18" s="5" t="s">
        <v>25</v>
      </c>
      <c r="G18" s="4"/>
      <c r="H18" s="4"/>
      <c r="I18" s="4"/>
      <c r="J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9" t="s">
        <v>48</v>
      </c>
      <c r="AB18" s="4">
        <v>1.3</v>
      </c>
      <c r="AC18" s="4"/>
      <c r="AD18" s="4"/>
      <c r="AE18" s="4"/>
    </row>
    <row r="19" spans="1:31" ht="21" customHeight="1" x14ac:dyDescent="0.55000000000000004">
      <c r="A19" s="9" t="s">
        <v>26</v>
      </c>
      <c r="B19" s="27">
        <v>372</v>
      </c>
      <c r="C19" s="27"/>
      <c r="D19" s="27">
        <v>19121</v>
      </c>
      <c r="E19" s="30">
        <f t="shared" si="1"/>
        <v>16.100000000000001</v>
      </c>
      <c r="F19" s="5" t="s">
        <v>27</v>
      </c>
      <c r="G19" s="4"/>
      <c r="H19" s="4"/>
      <c r="I19" s="4"/>
      <c r="J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9" t="s">
        <v>19</v>
      </c>
      <c r="AB19" s="4">
        <v>1</v>
      </c>
      <c r="AC19" s="4"/>
      <c r="AD19" s="4"/>
      <c r="AE19" s="4"/>
    </row>
    <row r="20" spans="1:31" ht="21" customHeight="1" x14ac:dyDescent="0.55000000000000004">
      <c r="A20" s="9" t="s">
        <v>55</v>
      </c>
      <c r="B20" s="27">
        <v>9</v>
      </c>
      <c r="C20" s="27"/>
      <c r="D20" s="27">
        <v>171</v>
      </c>
      <c r="E20" s="30">
        <f t="shared" si="1"/>
        <v>0.1</v>
      </c>
      <c r="F20" s="5" t="s">
        <v>28</v>
      </c>
      <c r="G20" s="4"/>
      <c r="H20" s="4"/>
      <c r="I20" s="4"/>
      <c r="J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21" customHeight="1" x14ac:dyDescent="0.55000000000000004">
      <c r="A21" s="9" t="s">
        <v>29</v>
      </c>
      <c r="B21" s="27">
        <v>4</v>
      </c>
      <c r="C21" s="27"/>
      <c r="D21" s="27">
        <v>780</v>
      </c>
      <c r="E21" s="30">
        <f t="shared" si="1"/>
        <v>0.7</v>
      </c>
      <c r="F21" s="5" t="s">
        <v>30</v>
      </c>
      <c r="G21" s="4"/>
      <c r="H21" s="4"/>
      <c r="I21" s="4"/>
      <c r="J21" s="4"/>
      <c r="K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21" customHeight="1" x14ac:dyDescent="0.25">
      <c r="A22" s="14" t="s">
        <v>31</v>
      </c>
      <c r="B22" s="27">
        <v>1</v>
      </c>
      <c r="C22" s="27"/>
      <c r="D22" s="27">
        <v>5</v>
      </c>
      <c r="E22" s="30">
        <f t="shared" si="1"/>
        <v>0</v>
      </c>
      <c r="F22" s="17" t="s">
        <v>67</v>
      </c>
      <c r="G22" s="4"/>
      <c r="H22" s="4"/>
      <c r="I22" s="4"/>
      <c r="J22" s="4"/>
      <c r="K22" s="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21" customHeight="1" x14ac:dyDescent="0.55000000000000004">
      <c r="A23" s="9" t="s">
        <v>32</v>
      </c>
      <c r="B23" s="27">
        <v>615</v>
      </c>
      <c r="C23" s="27"/>
      <c r="D23" s="27">
        <v>12909</v>
      </c>
      <c r="E23" s="30">
        <f t="shared" si="1"/>
        <v>10.9</v>
      </c>
      <c r="F23" s="5" t="s">
        <v>33</v>
      </c>
      <c r="G23" s="4"/>
      <c r="H23" s="4"/>
      <c r="I23" s="4"/>
      <c r="J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21" customHeight="1" x14ac:dyDescent="0.25">
      <c r="A24" s="9" t="s">
        <v>34</v>
      </c>
      <c r="B24" s="27">
        <v>1</v>
      </c>
      <c r="C24" s="27"/>
      <c r="D24" s="27">
        <v>2</v>
      </c>
      <c r="E24" s="30">
        <f t="shared" si="1"/>
        <v>0</v>
      </c>
      <c r="F24" s="23" t="s">
        <v>35</v>
      </c>
      <c r="G24" s="4"/>
      <c r="H24" s="4"/>
      <c r="I24" s="4"/>
      <c r="J24" s="4"/>
      <c r="K24" s="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21" customHeight="1" x14ac:dyDescent="0.55000000000000004">
      <c r="A25" s="9" t="s">
        <v>36</v>
      </c>
      <c r="B25" s="27">
        <v>15</v>
      </c>
      <c r="C25" s="27"/>
      <c r="D25" s="27">
        <v>147</v>
      </c>
      <c r="E25" s="30">
        <f t="shared" si="1"/>
        <v>0.1</v>
      </c>
      <c r="F25" s="5" t="s">
        <v>37</v>
      </c>
      <c r="G25" s="4"/>
      <c r="H25" s="4"/>
      <c r="I25" s="4"/>
      <c r="J25" s="4"/>
      <c r="K25" s="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21" customHeight="1" x14ac:dyDescent="0.55000000000000004">
      <c r="A26" s="9" t="s">
        <v>38</v>
      </c>
      <c r="B26" s="27">
        <v>29</v>
      </c>
      <c r="C26" s="27"/>
      <c r="D26" s="27">
        <v>151</v>
      </c>
      <c r="E26" s="30">
        <f t="shared" si="1"/>
        <v>0.1</v>
      </c>
      <c r="F26" s="5" t="s">
        <v>39</v>
      </c>
      <c r="G26" s="4"/>
      <c r="H26" s="4"/>
      <c r="I26" s="4"/>
      <c r="J26" s="4"/>
      <c r="K26" s="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21" customHeight="1" x14ac:dyDescent="0.55000000000000004">
      <c r="A27" s="9" t="s">
        <v>40</v>
      </c>
      <c r="B27" s="27">
        <v>3</v>
      </c>
      <c r="C27" s="27"/>
      <c r="D27" s="27">
        <v>87</v>
      </c>
      <c r="E27" s="30">
        <f t="shared" si="1"/>
        <v>0.1</v>
      </c>
      <c r="F27" s="5" t="s">
        <v>41</v>
      </c>
      <c r="G27" s="4"/>
      <c r="H27" s="4"/>
      <c r="I27" s="4"/>
      <c r="J27" s="4"/>
      <c r="K27" s="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21" customHeight="1" x14ac:dyDescent="0.55000000000000004">
      <c r="A28" s="9" t="s">
        <v>42</v>
      </c>
      <c r="B28" s="27">
        <v>84</v>
      </c>
      <c r="C28" s="27"/>
      <c r="D28" s="27">
        <v>3572</v>
      </c>
      <c r="E28" s="30">
        <f t="shared" si="1"/>
        <v>3</v>
      </c>
      <c r="F28" s="5" t="s">
        <v>43</v>
      </c>
      <c r="G28" s="4"/>
      <c r="H28" s="4"/>
      <c r="I28" s="4"/>
      <c r="J28" s="4"/>
      <c r="K28" s="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21" customHeight="1" x14ac:dyDescent="0.55000000000000004">
      <c r="A29" s="9" t="s">
        <v>44</v>
      </c>
      <c r="B29" s="27">
        <v>59</v>
      </c>
      <c r="C29" s="27"/>
      <c r="D29" s="27">
        <v>5970</v>
      </c>
      <c r="E29" s="30">
        <f t="shared" si="1"/>
        <v>5</v>
      </c>
      <c r="F29" s="5" t="s">
        <v>45</v>
      </c>
      <c r="G29" s="4"/>
      <c r="H29" s="4"/>
      <c r="I29" s="4"/>
      <c r="J29" s="4"/>
      <c r="K29" s="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21" customHeight="1" x14ac:dyDescent="0.55000000000000004">
      <c r="A30" s="9" t="s">
        <v>46</v>
      </c>
      <c r="B30" s="27">
        <v>273</v>
      </c>
      <c r="C30" s="27"/>
      <c r="D30" s="27">
        <v>3190</v>
      </c>
      <c r="E30" s="30">
        <f t="shared" si="1"/>
        <v>2.7</v>
      </c>
      <c r="F30" s="5" t="s">
        <v>47</v>
      </c>
      <c r="G30" s="4"/>
      <c r="H30" s="4"/>
      <c r="I30" s="4"/>
      <c r="J30" s="4"/>
      <c r="K30" s="32"/>
      <c r="L30" s="26"/>
      <c r="M30" s="2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21" customHeight="1" x14ac:dyDescent="0.55000000000000004">
      <c r="A31" s="9" t="s">
        <v>48</v>
      </c>
      <c r="B31" s="27">
        <v>24</v>
      </c>
      <c r="C31" s="27"/>
      <c r="D31" s="27">
        <v>1552</v>
      </c>
      <c r="E31" s="30">
        <f t="shared" si="1"/>
        <v>1.3</v>
      </c>
      <c r="F31" s="5" t="s">
        <v>49</v>
      </c>
      <c r="G31" s="4"/>
      <c r="H31" s="4"/>
      <c r="I31" s="4"/>
      <c r="J31" s="4"/>
      <c r="K31" s="32"/>
      <c r="L31" s="26"/>
      <c r="M31" s="2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21" customHeight="1" x14ac:dyDescent="0.55000000000000004">
      <c r="A32" s="9" t="s">
        <v>50</v>
      </c>
      <c r="B32" s="27">
        <v>3</v>
      </c>
      <c r="C32" s="27"/>
      <c r="D32" s="27">
        <v>38</v>
      </c>
      <c r="E32" s="30">
        <f t="shared" si="1"/>
        <v>0</v>
      </c>
      <c r="F32" s="5" t="s">
        <v>51</v>
      </c>
      <c r="G32" s="13"/>
      <c r="H32" s="13"/>
      <c r="I32" s="13"/>
      <c r="J32" s="13"/>
      <c r="K32" s="32"/>
      <c r="L32" s="26"/>
      <c r="M32" s="3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spans="1:31" ht="18.75" customHeight="1" x14ac:dyDescent="0.55000000000000004">
      <c r="A33" s="10" t="s">
        <v>52</v>
      </c>
      <c r="B33" s="28">
        <v>181</v>
      </c>
      <c r="C33" s="28"/>
      <c r="D33" s="28">
        <v>4128</v>
      </c>
      <c r="E33" s="31">
        <f t="shared" si="1"/>
        <v>3.5</v>
      </c>
      <c r="F33" s="6" t="s">
        <v>53</v>
      </c>
      <c r="G33" s="1"/>
      <c r="H33" s="1"/>
      <c r="I33" s="1"/>
      <c r="J33" s="1"/>
      <c r="K33" s="32"/>
      <c r="L33" s="26"/>
      <c r="M33" s="2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 x14ac:dyDescent="0.5">
      <c r="A34" s="12" t="s">
        <v>5</v>
      </c>
      <c r="B34" s="1"/>
      <c r="C34" s="1"/>
      <c r="D34" s="1"/>
      <c r="E34" s="1"/>
      <c r="F34" s="11" t="s">
        <v>4</v>
      </c>
      <c r="G34" s="1"/>
      <c r="H34" s="1"/>
      <c r="I34" s="1"/>
      <c r="J34" s="1"/>
      <c r="K34" s="34"/>
      <c r="L34" s="26"/>
      <c r="M34" s="2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32"/>
      <c r="L35" s="26"/>
      <c r="M35" s="2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36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32"/>
      <c r="L36" s="33"/>
      <c r="M36" s="2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25"/>
      <c r="L37" s="25"/>
      <c r="M37" s="2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25"/>
      <c r="L38" s="25"/>
      <c r="M38" s="25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25"/>
      <c r="L39" s="25"/>
      <c r="M39" s="2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25"/>
      <c r="L40" s="25"/>
      <c r="M40" s="25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25"/>
      <c r="L41" s="25"/>
      <c r="M41" s="2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25"/>
      <c r="L42" s="25"/>
      <c r="M42" s="25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25"/>
      <c r="L43" s="25"/>
      <c r="M43" s="2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25"/>
      <c r="L44" s="25"/>
      <c r="M44" s="25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9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</sheetData>
  <sortState xmlns:xlrd2="http://schemas.microsoft.com/office/spreadsheetml/2017/richdata2" ref="K8:L33">
    <sortCondition descending="1" ref="L8:L33"/>
  </sortState>
  <mergeCells count="5">
    <mergeCell ref="A1:F1"/>
    <mergeCell ref="A2:F2"/>
    <mergeCell ref="A4:A6"/>
    <mergeCell ref="F4:F6"/>
    <mergeCell ref="D5:D6"/>
  </mergeCells>
  <pageMargins left="0.7" right="0.7" top="0.75" bottom="0.75" header="0" footer="0"/>
  <pageSetup paperSize="9" scale="71" orientation="landscape" r:id="rId1"/>
  <rowBreaks count="2" manualBreakCount="2">
    <brk id="34" max="6" man="1"/>
    <brk id="61" max="6" man="1"/>
  </rowBreaks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18.15</vt:lpstr>
      <vt:lpstr>'18.15'!Print_Area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2025-06-16T04:11:18Z</cp:lastPrinted>
  <dcterms:created xsi:type="dcterms:W3CDTF">2025-05-19T08:29:05Z</dcterms:created>
  <dcterms:modified xsi:type="dcterms:W3CDTF">2025-06-16T04:11:24Z</dcterms:modified>
</cp:coreProperties>
</file>