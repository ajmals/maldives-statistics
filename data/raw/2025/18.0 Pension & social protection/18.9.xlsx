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ension\"/>
    </mc:Choice>
  </mc:AlternateContent>
  <xr:revisionPtr revIDLastSave="0" documentId="13_ncr:1_{4E719999-4804-4515-A143-58660B9B271F}" xr6:coauthVersionLast="47" xr6:coauthVersionMax="47" xr10:uidLastSave="{00000000-0000-0000-0000-000000000000}"/>
  <bookViews>
    <workbookView xWindow="-120" yWindow="-120" windowWidth="29040" windowHeight="15720" tabRatio="752" xr2:uid="{00000000-000D-0000-FFFF-FFFF00000000}"/>
  </bookViews>
  <sheets>
    <sheet name="18.9" sheetId="9" r:id="rId1"/>
  </sheets>
  <definedNames>
    <definedName name="_xlnm.Print_Area" localSheetId="0">'18.9'!$A$1:$N$31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2" roundtripDataChecksum="fkOimQmwXAp2X4Idi2I5zrAWog9iQuypB84L36zwUFs="/>
    </ext>
  </extLst>
</workbook>
</file>

<file path=xl/calcChain.xml><?xml version="1.0" encoding="utf-8"?>
<calcChain xmlns="http://schemas.openxmlformats.org/spreadsheetml/2006/main">
  <c r="L8" i="9" l="1"/>
</calcChain>
</file>

<file path=xl/sharedStrings.xml><?xml version="1.0" encoding="utf-8"?>
<sst xmlns="http://schemas.openxmlformats.org/spreadsheetml/2006/main" count="16" uniqueCount="16">
  <si>
    <t>ފިރިހެން</t>
  </si>
  <si>
    <t>އަންހެން</t>
  </si>
  <si>
    <t>Male</t>
  </si>
  <si>
    <t>Female</t>
  </si>
  <si>
    <t>މަޢުލޫމާތު ދެއްވި ފަރާތް: މޯލްޑިވްސް ޕެންޝަން އެޑްމިނިސްޓްރޭޝަން</t>
  </si>
  <si>
    <t>Source: Maldives Pension Administration</t>
  </si>
  <si>
    <t xml:space="preserve">ތާވަލު  18.9 : ރިޓަރޔަމަންޓް ޕެންޝަން ސްކީމްއަށް ފައިސާ ދައްކާ މީހުންގެ އަދަދު އަދި ދެއްކި ފައިސާގެ ޖުމްލަ، 2014 - 2024 </t>
  </si>
  <si>
    <t>TABLE   18.9:  PERSONS CONTRIBUTING  TO THE RETIREMENT PENSION SCHEME AND CONTRIBUTIONS , 2014 - 2024</t>
  </si>
  <si>
    <t>Detail</t>
  </si>
  <si>
    <t>ތަފްސީލު</t>
  </si>
  <si>
    <t>Contributions (MVR)</t>
  </si>
  <si>
    <t>ކޮންޓްރިބިއުޝަންސް (ރުފިޔާ)</t>
  </si>
  <si>
    <t>Employers (end year)</t>
  </si>
  <si>
    <t>ވަޒީފާ ދޭ ފަރާތް</t>
  </si>
  <si>
    <t>Employees (end year)</t>
  </si>
  <si>
    <t>މުވައްޒަފުންގެ އަދަދު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</si>
</sst>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0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i/>
      <sz val="11"/>
      <color rgb="FF000000"/>
      <name val="Calibri"/>
      <family val="2"/>
    </font>
    <font>
      <sz val="9"/>
      <color rgb="FF000000"/>
      <name val="Arial"/>
      <family val="2"/>
    </font>
    <font>
      <sz val="12"/>
      <color rgb="FF59595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4" xfId="0" applyFont="1" applyFill="1" applyBorder="1"/>
    <xf numFmtId="0" fontId="4" fillId="2" borderId="4" xfId="0" applyFont="1" applyFill="1" applyBorder="1"/>
    <xf numFmtId="0" fontId="3" fillId="2" borderId="4" xfId="0" applyFont="1" applyFill="1" applyBorder="1" applyAlignment="1">
      <alignment vertical="center"/>
    </xf>
    <xf numFmtId="0" fontId="1" fillId="2" borderId="4" xfId="0" applyFont="1" applyFill="1" applyBorder="1"/>
    <xf numFmtId="164" fontId="3" fillId="2" borderId="4" xfId="0" applyNumberFormat="1" applyFont="1" applyFill="1" applyBorder="1"/>
    <xf numFmtId="0" fontId="5" fillId="2" borderId="4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6" fillId="2" borderId="4" xfId="0" applyFont="1" applyFill="1" applyBorder="1"/>
    <xf numFmtId="164" fontId="3" fillId="2" borderId="4" xfId="0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>
      <alignment vertical="center"/>
    </xf>
    <xf numFmtId="164" fontId="3" fillId="2" borderId="6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8" fillId="2" borderId="4" xfId="0" applyFont="1" applyFill="1" applyBorder="1"/>
    <xf numFmtId="4" fontId="9" fillId="2" borderId="4" xfId="0" applyNumberFormat="1" applyFont="1" applyFill="1" applyBorder="1"/>
    <xf numFmtId="0" fontId="0" fillId="3" borderId="0" xfId="0" applyFill="1"/>
    <xf numFmtId="0" fontId="4" fillId="4" borderId="5" xfId="0" applyFont="1" applyFill="1" applyBorder="1" applyAlignment="1">
      <alignment horizontal="right" vertical="center"/>
    </xf>
    <xf numFmtId="164" fontId="3" fillId="4" borderId="4" xfId="0" applyNumberFormat="1" applyFont="1" applyFill="1" applyBorder="1" applyAlignment="1">
      <alignment horizontal="right" vertical="center"/>
    </xf>
    <xf numFmtId="164" fontId="3" fillId="4" borderId="6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2" borderId="7" xfId="0" applyFont="1" applyFill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7" fillId="2" borderId="4" xfId="0" applyFont="1" applyFill="1" applyBorder="1" applyAlignment="1">
      <alignment horizontal="left" vertical="center" indent="1"/>
    </xf>
    <xf numFmtId="0" fontId="7" fillId="2" borderId="6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99"/>
      <color rgb="FF9BC2E6"/>
      <color rgb="FF7E5400"/>
      <color rgb="FF33CCCC"/>
      <color rgb="FFAEAAAA"/>
      <color rgb="FFF7F7F7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alcChain" Target="calcChain.xml"/><Relationship Id="rId2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22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1434737423577097E-2"/>
          <c:y val="0.20435102391862034"/>
          <c:w val="0.89960633042153926"/>
          <c:h val="0.6868294852973885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'18.9'!$A$9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3399"/>
            </a:solidFill>
            <a:ln cmpd="sng">
              <a:noFill/>
            </a:ln>
          </c:spPr>
          <c:invertIfNegative val="1"/>
          <c:cat>
            <c:numRef>
              <c:f>'18.9'!$B$5:$L$5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'18.9'!$B$9:$L$9</c:f>
              <c:numCache>
                <c:formatCode>_(* #,##0_);_(* \(#,##0\);_(* "-"??_);_(@_)</c:formatCode>
                <c:ptCount val="11"/>
                <c:pt idx="0">
                  <c:v>52562</c:v>
                </c:pt>
                <c:pt idx="1">
                  <c:v>56251</c:v>
                </c:pt>
                <c:pt idx="2">
                  <c:v>54979</c:v>
                </c:pt>
                <c:pt idx="3">
                  <c:v>60340</c:v>
                </c:pt>
                <c:pt idx="4">
                  <c:v>63354</c:v>
                </c:pt>
                <c:pt idx="5">
                  <c:v>65713</c:v>
                </c:pt>
                <c:pt idx="6">
                  <c:v>61044</c:v>
                </c:pt>
                <c:pt idx="7">
                  <c:v>66828</c:v>
                </c:pt>
                <c:pt idx="8">
                  <c:v>71673</c:v>
                </c:pt>
                <c:pt idx="9">
                  <c:v>74461</c:v>
                </c:pt>
                <c:pt idx="10">
                  <c:v>73874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562-4E31-8D58-A9CB30D2F00D}"/>
            </c:ext>
          </c:extLst>
        </c:ser>
        <c:ser>
          <c:idx val="1"/>
          <c:order val="1"/>
          <c:tx>
            <c:strRef>
              <c:f>'18.9'!$A$10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9BC2E6"/>
            </a:solidFill>
            <a:ln cmpd="sng">
              <a:noFill/>
            </a:ln>
          </c:spPr>
          <c:invertIfNegative val="1"/>
          <c:cat>
            <c:numRef>
              <c:f>'18.9'!$B$5:$L$5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'18.9'!$B$10:$L$10</c:f>
              <c:numCache>
                <c:formatCode>_(* #,##0_);_(* \(#,##0\);_(* "-"??_);_(@_)</c:formatCode>
                <c:ptCount val="11"/>
                <c:pt idx="0">
                  <c:v>22287</c:v>
                </c:pt>
                <c:pt idx="1">
                  <c:v>25671</c:v>
                </c:pt>
                <c:pt idx="2">
                  <c:v>24750</c:v>
                </c:pt>
                <c:pt idx="3">
                  <c:v>28376</c:v>
                </c:pt>
                <c:pt idx="4">
                  <c:v>31733</c:v>
                </c:pt>
                <c:pt idx="5">
                  <c:v>34512</c:v>
                </c:pt>
                <c:pt idx="6">
                  <c:v>33414</c:v>
                </c:pt>
                <c:pt idx="7">
                  <c:v>36315</c:v>
                </c:pt>
                <c:pt idx="8">
                  <c:v>38911</c:v>
                </c:pt>
                <c:pt idx="9">
                  <c:v>42412</c:v>
                </c:pt>
                <c:pt idx="10">
                  <c:v>43789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562-4E31-8D58-A9CB30D2F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5733275"/>
        <c:axId val="1614818654"/>
      </c:barChart>
      <c:catAx>
        <c:axId val="16057332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4818654"/>
        <c:crosses val="autoZero"/>
        <c:auto val="1"/>
        <c:lblAlgn val="ctr"/>
        <c:lblOffset val="100"/>
        <c:noMultiLvlLbl val="1"/>
      </c:catAx>
      <c:valAx>
        <c:axId val="16148186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05733275"/>
        <c:crosses val="autoZero"/>
        <c:crossBetween val="between"/>
      </c:valAx>
      <c:spPr>
        <a:solidFill>
          <a:srgbClr val="F7F7F7"/>
        </a:solidFill>
        <a:ln>
          <a:solidFill>
            <a:schemeClr val="bg2">
              <a:lumMod val="8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0619166658864432"/>
          <c:y val="0.21663775078962588"/>
          <c:w val="0.15791461857993078"/>
          <c:h val="6.4654714770823143E-2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320675</xdr:colOff>
      <xdr:row>11</xdr:row>
      <xdr:rowOff>63500</xdr:rowOff>
    </xdr:from>
    <xdr:ext cx="8010525" cy="3371850"/>
    <xdr:graphicFrame macro="">
      <xdr:nvGraphicFramePr>
        <xdr:cNvPr id="477531728" name="Chart 10">
          <a:extLst>
            <a:ext uri="{FF2B5EF4-FFF2-40B4-BE49-F238E27FC236}">
              <a16:creationId xmlns:a16="http://schemas.microsoft.com/office/drawing/2014/main" id="{00000000-0008-0000-0800-0000508E7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997438</xdr:colOff>
      <xdr:row>12</xdr:row>
      <xdr:rowOff>100379</xdr:rowOff>
    </xdr:from>
    <xdr:ext cx="7120792" cy="4000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3752361" y="2899264"/>
          <a:ext cx="7120792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050"/>
            <a:buFont typeface="Consolas"/>
            <a:buNone/>
          </a:pPr>
          <a:r>
            <a:rPr lang="en-US" sz="1050" b="1" i="0">
              <a:latin typeface="Consolas"/>
              <a:ea typeface="Consolas"/>
              <a:cs typeface="Consolas"/>
              <a:sym typeface="Consolas"/>
            </a:rPr>
            <a:t>Figure: 18.10 Number of persons contributing to retirement pension scheme by sex, 201</a:t>
          </a:r>
          <a:r>
            <a:rPr lang="dv-MV" sz="1050" b="1" i="0">
              <a:latin typeface="Consolas"/>
              <a:ea typeface="Consolas"/>
              <a:cs typeface="Consolas"/>
              <a:sym typeface="Consolas"/>
            </a:rPr>
            <a:t>8</a:t>
          </a:r>
          <a:r>
            <a:rPr lang="en-US" sz="1050" b="1" i="0">
              <a:latin typeface="Consolas"/>
              <a:ea typeface="Consolas"/>
              <a:cs typeface="Consolas"/>
              <a:sym typeface="Consolas"/>
            </a:rPr>
            <a:t> - 202</a:t>
          </a:r>
          <a:r>
            <a:rPr lang="dv-MV" sz="1050" b="1" i="0">
              <a:latin typeface="Consolas"/>
              <a:ea typeface="Consolas"/>
              <a:cs typeface="Consolas"/>
              <a:sym typeface="Consolas"/>
            </a:rPr>
            <a:t>4</a:t>
          </a:r>
          <a:endParaRPr sz="1050">
            <a:latin typeface="Consolas"/>
            <a:ea typeface="Consolas"/>
            <a:cs typeface="Consolas"/>
            <a:sym typeface="Consolas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E1000"/>
  <sheetViews>
    <sheetView tabSelected="1" zoomScaleNormal="100" zoomScaleSheetLayoutView="65" workbookViewId="0"/>
  </sheetViews>
  <sheetFormatPr defaultColWidth="14.42578125" defaultRowHeight="15" customHeight="1" x14ac:dyDescent="0.25"/>
  <cols>
    <col min="1" max="1" width="22.140625" customWidth="1"/>
    <col min="2" max="11" width="15.42578125" customWidth="1"/>
    <col min="12" max="12" width="15.42578125" style="17" customWidth="1"/>
    <col min="13" max="13" width="25.42578125" customWidth="1"/>
    <col min="14" max="14" width="1.42578125" customWidth="1"/>
    <col min="15" max="15" width="11" customWidth="1"/>
    <col min="16" max="16" width="13.85546875" customWidth="1"/>
    <col min="17" max="22" width="8" customWidth="1"/>
    <col min="23" max="23" width="13.5703125" customWidth="1"/>
    <col min="24" max="31" width="8" customWidth="1"/>
  </cols>
  <sheetData>
    <row r="1" spans="1:3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1" customHeight="1" x14ac:dyDescent="0.55000000000000004">
      <c r="A2" s="21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25">
      <c r="A3" s="22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4"/>
      <c r="N3" s="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6.75" customHeight="1" x14ac:dyDescent="0.25">
      <c r="A4" s="25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9.5" customHeight="1" x14ac:dyDescent="0.25">
      <c r="A5" s="12" t="s">
        <v>8</v>
      </c>
      <c r="B5" s="13">
        <v>2014</v>
      </c>
      <c r="C5" s="13">
        <v>2015</v>
      </c>
      <c r="D5" s="13">
        <v>2016</v>
      </c>
      <c r="E5" s="13">
        <v>2017</v>
      </c>
      <c r="F5" s="13">
        <v>2018</v>
      </c>
      <c r="G5" s="13">
        <v>2019</v>
      </c>
      <c r="H5" s="13">
        <v>2020</v>
      </c>
      <c r="I5" s="13">
        <v>2021</v>
      </c>
      <c r="J5" s="13">
        <v>2022</v>
      </c>
      <c r="K5" s="13">
        <v>2023</v>
      </c>
      <c r="L5" s="18">
        <v>2024</v>
      </c>
      <c r="M5" s="14" t="s">
        <v>9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23.25" customHeight="1" x14ac:dyDescent="0.25">
      <c r="A6" s="3" t="s">
        <v>10</v>
      </c>
      <c r="B6" s="9">
        <v>798040402.63999999</v>
      </c>
      <c r="C6" s="9">
        <v>891863798.66999996</v>
      </c>
      <c r="D6" s="9">
        <v>937239589.24000001</v>
      </c>
      <c r="E6" s="9">
        <v>1023249073.6900001</v>
      </c>
      <c r="F6" s="9">
        <v>1100830519.8399999</v>
      </c>
      <c r="G6" s="9">
        <v>1183825816.3599999</v>
      </c>
      <c r="H6" s="9">
        <v>1121582718.1600001</v>
      </c>
      <c r="I6" s="9">
        <v>1121582718.1600001</v>
      </c>
      <c r="J6" s="9">
        <v>1254860646.1500001</v>
      </c>
      <c r="K6" s="9">
        <v>1660144022.77</v>
      </c>
      <c r="L6" s="19">
        <v>1826869363.0899999</v>
      </c>
      <c r="M6" s="10" t="s">
        <v>11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23.25" customHeight="1" x14ac:dyDescent="0.25">
      <c r="A7" s="3" t="s">
        <v>12</v>
      </c>
      <c r="B7" s="9">
        <v>1543</v>
      </c>
      <c r="C7" s="9">
        <v>1762</v>
      </c>
      <c r="D7" s="9">
        <v>1709</v>
      </c>
      <c r="E7" s="9">
        <v>1892</v>
      </c>
      <c r="F7" s="9">
        <v>2055</v>
      </c>
      <c r="G7" s="9">
        <v>2164</v>
      </c>
      <c r="H7" s="9">
        <v>2012</v>
      </c>
      <c r="I7" s="9">
        <v>2104</v>
      </c>
      <c r="J7" s="9">
        <v>2234</v>
      </c>
      <c r="K7" s="9">
        <v>2406</v>
      </c>
      <c r="L7" s="19">
        <v>2445</v>
      </c>
      <c r="M7" s="10" t="s">
        <v>13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3.25" customHeight="1" x14ac:dyDescent="0.25">
      <c r="A8" s="3" t="s">
        <v>14</v>
      </c>
      <c r="B8" s="9">
        <v>74849</v>
      </c>
      <c r="C8" s="9">
        <v>81922</v>
      </c>
      <c r="D8" s="9">
        <v>79729</v>
      </c>
      <c r="E8" s="9">
        <v>88716</v>
      </c>
      <c r="F8" s="9">
        <v>95087</v>
      </c>
      <c r="G8" s="9">
        <v>100225</v>
      </c>
      <c r="H8" s="9">
        <v>94458</v>
      </c>
      <c r="I8" s="9">
        <v>103143</v>
      </c>
      <c r="J8" s="9">
        <v>110584</v>
      </c>
      <c r="K8" s="9">
        <v>116873</v>
      </c>
      <c r="L8" s="19">
        <f>SUM(L9:L10)</f>
        <v>117663</v>
      </c>
      <c r="M8" s="10" t="s">
        <v>15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20.25" customHeight="1" x14ac:dyDescent="0.25">
      <c r="A9" s="28" t="s">
        <v>2</v>
      </c>
      <c r="B9" s="9">
        <v>52562</v>
      </c>
      <c r="C9" s="9">
        <v>56251</v>
      </c>
      <c r="D9" s="9">
        <v>54979</v>
      </c>
      <c r="E9" s="9">
        <v>60340</v>
      </c>
      <c r="F9" s="9">
        <v>63354</v>
      </c>
      <c r="G9" s="9">
        <v>65713</v>
      </c>
      <c r="H9" s="9">
        <v>61044</v>
      </c>
      <c r="I9" s="9">
        <v>66828</v>
      </c>
      <c r="J9" s="9">
        <v>71673</v>
      </c>
      <c r="K9" s="9">
        <v>74461</v>
      </c>
      <c r="L9" s="19">
        <v>73874</v>
      </c>
      <c r="M9" s="6" t="s">
        <v>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20.25" customHeight="1" x14ac:dyDescent="0.25">
      <c r="A10" s="29" t="s">
        <v>3</v>
      </c>
      <c r="B10" s="11">
        <v>22287</v>
      </c>
      <c r="C10" s="11">
        <v>25671</v>
      </c>
      <c r="D10" s="11">
        <v>24750</v>
      </c>
      <c r="E10" s="11">
        <v>28376</v>
      </c>
      <c r="F10" s="11">
        <v>31733</v>
      </c>
      <c r="G10" s="11">
        <v>34512</v>
      </c>
      <c r="H10" s="11">
        <v>33414</v>
      </c>
      <c r="I10" s="11">
        <v>36315</v>
      </c>
      <c r="J10" s="11">
        <v>38911</v>
      </c>
      <c r="K10" s="11">
        <v>42412</v>
      </c>
      <c r="L10" s="20">
        <v>43789</v>
      </c>
      <c r="M10" s="7" t="s">
        <v>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17.25" customHeight="1" x14ac:dyDescent="0.25">
      <c r="A11" s="8" t="s">
        <v>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5" t="s">
        <v>4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6"/>
      <c r="X14" s="1"/>
      <c r="Y14" s="1"/>
      <c r="Z14" s="1"/>
      <c r="AA14" s="1"/>
      <c r="AB14" s="1"/>
      <c r="AC14" s="1"/>
      <c r="AD14" s="1"/>
      <c r="AE14" s="1"/>
    </row>
    <row r="15" spans="1:3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 x14ac:dyDescent="0.25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3">
    <mergeCell ref="A2:M2"/>
    <mergeCell ref="A3:M3"/>
    <mergeCell ref="A4:M4"/>
  </mergeCells>
  <pageMargins left="0.7" right="0.7" top="0.75" bottom="0.75" header="0" footer="0"/>
  <pageSetup paperSize="9" scale="5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18.9</vt:lpstr>
      <vt:lpstr>'18.9'!Print_Area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2025-06-16T03:54:13Z</cp:lastPrinted>
  <dcterms:created xsi:type="dcterms:W3CDTF">2025-05-19T08:29:05Z</dcterms:created>
  <dcterms:modified xsi:type="dcterms:W3CDTF">2025-06-16T03:54:19Z</dcterms:modified>
</cp:coreProperties>
</file>