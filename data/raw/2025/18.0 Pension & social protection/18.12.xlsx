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ension\"/>
    </mc:Choice>
  </mc:AlternateContent>
  <xr:revisionPtr revIDLastSave="0" documentId="13_ncr:1_{03C0D4F2-A9E6-45FF-B3EA-100E364D8B57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18.12" sheetId="12" r:id="rId1"/>
  </sheets>
  <definedNames>
    <definedName name="_xlnm.Print_Area" localSheetId="0">'18.12'!$A$1:$K$61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2" roundtripDataChecksum="fkOimQmwXAp2X4Idi2I5zrAWog9iQuypB84L36zwUFs="/>
    </ext>
  </extLst>
</workbook>
</file>

<file path=xl/calcChain.xml><?xml version="1.0" encoding="utf-8"?>
<calcChain xmlns="http://schemas.openxmlformats.org/spreadsheetml/2006/main">
  <c r="AQ30" i="12" l="1"/>
  <c r="AP31" i="12"/>
  <c r="AP41" i="12" s="1"/>
  <c r="AP30" i="12"/>
  <c r="AQ41" i="12"/>
  <c r="AP36" i="12"/>
  <c r="AP35" i="12"/>
  <c r="AT32" i="12"/>
  <c r="AR32" i="12"/>
  <c r="AP32" i="12"/>
  <c r="AP34" i="12" s="1"/>
  <c r="AT31" i="12"/>
  <c r="AR31" i="12"/>
  <c r="AT30" i="12"/>
  <c r="AS30" i="12"/>
  <c r="AR30" i="12"/>
  <c r="AO30" i="12"/>
  <c r="J21" i="12"/>
  <c r="I21" i="12"/>
  <c r="H21" i="12" s="1"/>
  <c r="E21" i="12"/>
  <c r="B21" i="12"/>
</calcChain>
</file>

<file path=xl/sharedStrings.xml><?xml version="1.0" encoding="utf-8"?>
<sst xmlns="http://schemas.openxmlformats.org/spreadsheetml/2006/main" count="45" uniqueCount="19">
  <si>
    <t>ޖުމްލަ</t>
  </si>
  <si>
    <t>ފިރިހެން</t>
  </si>
  <si>
    <t>Total</t>
  </si>
  <si>
    <t>Male</t>
  </si>
  <si>
    <t>Female</t>
  </si>
  <si>
    <t>މަޢުލޫމާތު ދެއްވި ފަރާތް: މޯލްޑިވްސް ޕެންޝަން އެޑްމިނިސްޓްރޭޝަން</t>
  </si>
  <si>
    <t>Source: Maldives Pension Administration</t>
  </si>
  <si>
    <t xml:space="preserve">Total </t>
  </si>
  <si>
    <t>Year</t>
  </si>
  <si>
    <t>Public sector</t>
  </si>
  <si>
    <t>ތާވަލު  18.12 :ރިޓާޔަމަންޓް ޕެންޝަން ސްކީމްއަށް ޕަބްލިކް އަދި ޕްރައިވެޓް ސެކްޓަރއިން ފައިސާދެއްކި މީހުންގެ ޢަދަދު ، 2010 - 2024</t>
  </si>
  <si>
    <t>TABLE   18.12:  NUMBER OF MEMBERS CONTRIBUTING TO RETIREMENT PENSION SCHEME BY SECTOR AND SEX, 2010 - 2024</t>
  </si>
  <si>
    <t>Private sector</t>
  </si>
  <si>
    <t xml:space="preserve">އަންހެން  </t>
  </si>
  <si>
    <t xml:space="preserve">Male     </t>
  </si>
  <si>
    <t xml:space="preserve">Female        </t>
  </si>
  <si>
    <t>total</t>
  </si>
  <si>
    <t>% sahre of females</t>
  </si>
  <si>
    <t xml:space="preserve">% share of females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</si>
</sst>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0.0"/>
    <numFmt numFmtId="166" formatCode="_(* #,##0.0_);_(* \(#,##0.0\);_(* &quot;-&quot;??_);_(@_)"/>
  </numFmts>
  <fonts count="7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4" xfId="0" applyFont="1" applyFill="1" applyBorder="1"/>
    <xf numFmtId="0" fontId="1" fillId="2" borderId="14" xfId="0" applyFont="1" applyFill="1" applyBorder="1" applyAlignment="1">
      <alignment horizontal="right" vertical="center"/>
    </xf>
    <xf numFmtId="0" fontId="1" fillId="2" borderId="4" xfId="0" applyFont="1" applyFill="1" applyBorder="1"/>
    <xf numFmtId="164" fontId="3" fillId="2" borderId="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/>
    <xf numFmtId="0" fontId="5" fillId="2" borderId="4" xfId="0" applyFont="1" applyFill="1" applyBorder="1"/>
    <xf numFmtId="0" fontId="6" fillId="2" borderId="4" xfId="0" applyFont="1" applyFill="1" applyBorder="1"/>
    <xf numFmtId="165" fontId="3" fillId="2" borderId="4" xfId="0" applyNumberFormat="1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2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1" fillId="2" borderId="17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64" fontId="3" fillId="2" borderId="15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right"/>
    </xf>
    <xf numFmtId="0" fontId="4" fillId="2" borderId="12" xfId="0" applyFont="1" applyFill="1" applyBorder="1" applyAlignment="1">
      <alignment horizontal="right"/>
    </xf>
    <xf numFmtId="166" fontId="3" fillId="2" borderId="4" xfId="0" applyNumberFormat="1" applyFont="1" applyFill="1" applyBorder="1"/>
    <xf numFmtId="0" fontId="0" fillId="3" borderId="0" xfId="0" applyFill="1"/>
    <xf numFmtId="164" fontId="3" fillId="4" borderId="14" xfId="0" applyNumberFormat="1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64" fontId="3" fillId="4" borderId="17" xfId="0" applyNumberFormat="1" applyFont="1" applyFill="1" applyBorder="1" applyAlignment="1">
      <alignment horizontal="center" vertical="center"/>
    </xf>
    <xf numFmtId="0" fontId="2" fillId="3" borderId="11" xfId="0" applyFont="1" applyFill="1" applyBorder="1"/>
    <xf numFmtId="0" fontId="2" fillId="3" borderId="13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2" fillId="3" borderId="2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99"/>
      <color rgb="FF9BC2E6"/>
      <color rgb="FF7E5400"/>
      <color rgb="FF33CCCC"/>
      <color rgb="FFAEAAAA"/>
      <color rgb="FFF7F7F7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alcChain" Target="calcChain.xml"/><Relationship Id="rId2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customschemas.google.com/relationships/workbookmetadata" Target="metadata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200" b="1" i="0">
                <a:solidFill>
                  <a:srgbClr val="000000"/>
                </a:solidFill>
                <a:latin typeface="Calibri"/>
              </a:defRPr>
            </a:pPr>
            <a:r>
              <a:rPr lang="en-US" sz="1200" b="1" i="0">
                <a:solidFill>
                  <a:srgbClr val="000000"/>
                </a:solidFill>
                <a:latin typeface="Calibri"/>
              </a:rPr>
              <a:t>Figure 18.11: Percentage share of females contributing to retirement pension scheme by sector, 202</a:t>
            </a:r>
            <a:r>
              <a:rPr lang="dv-MV" sz="1200" b="1" i="0">
                <a:solidFill>
                  <a:srgbClr val="000000"/>
                </a:solidFill>
                <a:latin typeface="Calibri"/>
              </a:rPr>
              <a:t>4</a:t>
            </a:r>
            <a:r>
              <a:rPr lang="en-US" sz="1200" b="1" i="0">
                <a:solidFill>
                  <a:srgbClr val="000000"/>
                </a:solidFill>
                <a:latin typeface="Calibri"/>
              </a:rPr>
              <a:t>
 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35086743225298778"/>
          <c:y val="0.25184952764367169"/>
          <c:w val="0.32363952687748981"/>
          <c:h val="0.703649199908041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1-BC1B-4228-87D7-65ECB6056BB1}"/>
              </c:ext>
            </c:extLst>
          </c:dPt>
          <c:dPt>
            <c:idx val="1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3-BC1B-4228-87D7-65ECB6056BB1}"/>
              </c:ext>
            </c:extLst>
          </c:dPt>
          <c:dLbls>
            <c:dLbl>
              <c:idx val="0"/>
              <c:layout>
                <c:manualLayout>
                  <c:x val="8.7847730600292828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1B-4228-87D7-65ECB6056BB1}"/>
                </c:ext>
              </c:extLst>
            </c:dLbl>
            <c:dLbl>
              <c:idx val="1"/>
              <c:layout>
                <c:manualLayout>
                  <c:x val="-2.4402224246127396E-2"/>
                  <c:y val="-0.12578616352201258"/>
                </c:manualLayout>
              </c:layout>
              <c:spPr/>
              <c:txPr>
                <a:bodyPr/>
                <a:lstStyle/>
                <a:p>
                  <a:pPr lvl="0">
                    <a:defRPr b="1" i="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06783796974132"/>
                      <c:h val="0.114926624737945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C1B-4228-87D7-65ECB6056BB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'18.12'!$AO$34:$AO$35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'18.12'!$AP$34:$AP$35</c:f>
              <c:numCache>
                <c:formatCode>0.0</c:formatCode>
                <c:ptCount val="2"/>
                <c:pt idx="0">
                  <c:v>53.555569073544618</c:v>
                </c:pt>
                <c:pt idx="1">
                  <c:v>25.425043162730809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1B-4228-87D7-65ECB6056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35770898137874213"/>
          <c:y val="0.22187743354839856"/>
          <c:w val="0.3003225883415192"/>
          <c:h val="0.7174737287809385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3399"/>
              </a:solidFill>
            </c:spPr>
            <c:extLst>
              <c:ext xmlns:c16="http://schemas.microsoft.com/office/drawing/2014/chart" uri="{C3380CC4-5D6E-409C-BE32-E72D297353CC}">
                <c16:uniqueId val="{00000001-F7C7-4B6C-B92E-B8BB9739741C}"/>
              </c:ext>
            </c:extLst>
          </c:dPt>
          <c:dPt>
            <c:idx val="1"/>
            <c:bubble3D val="0"/>
            <c:spPr>
              <a:solidFill>
                <a:srgbClr val="9BC2E6"/>
              </a:solidFill>
            </c:spPr>
            <c:extLst>
              <c:ext xmlns:c16="http://schemas.microsoft.com/office/drawing/2014/chart" uri="{C3380CC4-5D6E-409C-BE32-E72D297353CC}">
                <c16:uniqueId val="{00000002-D475-409F-9385-C8F8269E68D7}"/>
              </c:ext>
            </c:extLst>
          </c:dPt>
          <c:dLbls>
            <c:dLbl>
              <c:idx val="0"/>
              <c:layout>
                <c:manualLayout>
                  <c:x val="4.3010757711047586E-2"/>
                  <c:y val="-0.124567474048442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C7-4B6C-B92E-B8BB9739741C}"/>
                </c:ext>
              </c:extLst>
            </c:dLbl>
            <c:dLbl>
              <c:idx val="1"/>
              <c:layout>
                <c:manualLayout>
                  <c:x val="5.9325183049720863E-2"/>
                  <c:y val="-7.843137254901960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75-409F-9385-C8F8269E68D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'18.12'!$AP$40:$AQ$40</c:f>
              <c:strCache>
                <c:ptCount val="2"/>
                <c:pt idx="0">
                  <c:v>Public sector</c:v>
                </c:pt>
                <c:pt idx="1">
                  <c:v>Private sector</c:v>
                </c:pt>
              </c:strCache>
            </c:strRef>
          </c:cat>
          <c:val>
            <c:numRef>
              <c:f>'18.12'!$AP$41:$AQ$41</c:f>
              <c:numCache>
                <c:formatCode>_(* #,##0_);_(* \(#,##0\);_(* "-"??_);_(@_)</c:formatCode>
                <c:ptCount val="2"/>
                <c:pt idx="0">
                  <c:v>49317</c:v>
                </c:pt>
                <c:pt idx="1">
                  <c:v>68346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C7-4B6C-B92E-B8BB97397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plotVisOnly val="1"/>
    <c:dispBlanksAs val="zero"/>
    <c:showDLblsOverMax val="1"/>
  </c:chart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740568</xdr:colOff>
      <xdr:row>23</xdr:row>
      <xdr:rowOff>114300</xdr:rowOff>
    </xdr:from>
    <xdr:ext cx="8753475" cy="3028950"/>
    <xdr:graphicFrame macro="">
      <xdr:nvGraphicFramePr>
        <xdr:cNvPr id="1868811857" name="Chart 11">
          <a:extLst>
            <a:ext uri="{FF2B5EF4-FFF2-40B4-BE49-F238E27FC236}">
              <a16:creationId xmlns:a16="http://schemas.microsoft.com/office/drawing/2014/main" id="{00000000-0008-0000-0B00-000051CE6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831057</xdr:colOff>
      <xdr:row>41</xdr:row>
      <xdr:rowOff>21431</xdr:rowOff>
    </xdr:from>
    <xdr:ext cx="8562974" cy="3217069"/>
    <xdr:graphicFrame macro="">
      <xdr:nvGraphicFramePr>
        <xdr:cNvPr id="1983949567" name="Chart 12">
          <a:extLst>
            <a:ext uri="{FF2B5EF4-FFF2-40B4-BE49-F238E27FC236}">
              <a16:creationId xmlns:a16="http://schemas.microsoft.com/office/drawing/2014/main" id="{00000000-0008-0000-0B00-0000FFAA4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0.15323</cdr:x>
      <cdr:y>0.06574</cdr:y>
    </cdr:from>
    <cdr:to>
      <cdr:x>0.86096</cdr:x>
      <cdr:y>0.16955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89AE733-4568-A770-4C74-F9AAD674C624}"/>
            </a:ext>
          </a:extLst>
        </cdr:cNvPr>
        <cdr:cNvSpPr txBox="1"/>
      </cdr:nvSpPr>
      <cdr:spPr>
        <a:xfrm xmlns:a="http://schemas.openxmlformats.org/drawingml/2006/main">
          <a:off x="1312068" y="180975"/>
          <a:ext cx="6060281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/>
            <a:t>Figure 18.12: Percentage of members contributing to retirement pension scheme by</a:t>
          </a:r>
          <a:r>
            <a:rPr lang="en-US" sz="1100" b="1" kern="1200" baseline="0"/>
            <a:t> sector, 2024</a:t>
          </a:r>
          <a:endParaRPr lang="en-US" sz="1100" b="1" kern="12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T1000"/>
  <sheetViews>
    <sheetView tabSelected="1" topLeftCell="Y1" zoomScale="80" zoomScaleNormal="80" workbookViewId="0">
      <selection activeCell="AU21" sqref="AU21"/>
    </sheetView>
  </sheetViews>
  <sheetFormatPr defaultColWidth="14.42578125" defaultRowHeight="15" customHeight="1" x14ac:dyDescent="0.25"/>
  <cols>
    <col min="1" max="46" width="14.42578125" style="27" customWidth="1"/>
    <col min="47" max="16384" width="14.42578125" style="27"/>
  </cols>
  <sheetData>
    <row r="1" spans="1:46" ht="15" customHeight="1" x14ac:dyDescent="0.55000000000000004">
      <c r="A1" s="37" t="s">
        <v>10</v>
      </c>
      <c r="B1" s="33"/>
      <c r="C1" s="33"/>
      <c r="D1" s="33"/>
      <c r="E1" s="33"/>
      <c r="F1" s="33"/>
      <c r="G1" s="33"/>
      <c r="H1" s="33"/>
      <c r="I1" s="33"/>
      <c r="J1" s="34"/>
      <c r="K1" s="1"/>
      <c r="L1" s="1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15" customHeight="1" x14ac:dyDescent="0.25">
      <c r="A2" s="38" t="s">
        <v>11</v>
      </c>
      <c r="B2" s="33"/>
      <c r="C2" s="33"/>
      <c r="D2" s="33"/>
      <c r="E2" s="33"/>
      <c r="F2" s="33"/>
      <c r="G2" s="33"/>
      <c r="H2" s="33"/>
      <c r="I2" s="33"/>
      <c r="J2" s="3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ht="15" customHeight="1" x14ac:dyDescent="0.25">
      <c r="A4" s="39" t="s">
        <v>8</v>
      </c>
      <c r="B4" s="9"/>
      <c r="C4" s="10" t="s">
        <v>9</v>
      </c>
      <c r="D4" s="13"/>
      <c r="E4" s="42" t="s">
        <v>12</v>
      </c>
      <c r="F4" s="35"/>
      <c r="G4" s="43"/>
      <c r="H4" s="14"/>
      <c r="I4" s="15" t="s">
        <v>2</v>
      </c>
      <c r="J4" s="1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15" customHeight="1" x14ac:dyDescent="0.25">
      <c r="A5" s="31"/>
      <c r="B5" s="16" t="s">
        <v>7</v>
      </c>
      <c r="C5" s="16" t="s">
        <v>3</v>
      </c>
      <c r="D5" s="17" t="s">
        <v>4</v>
      </c>
      <c r="E5" s="16" t="s">
        <v>7</v>
      </c>
      <c r="F5" s="16" t="s">
        <v>3</v>
      </c>
      <c r="G5" s="17" t="s">
        <v>4</v>
      </c>
      <c r="H5" s="16" t="s">
        <v>7</v>
      </c>
      <c r="I5" s="16" t="s">
        <v>3</v>
      </c>
      <c r="J5" s="16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ht="15" customHeight="1" x14ac:dyDescent="0.55000000000000004">
      <c r="A6" s="32"/>
      <c r="B6" s="2" t="s">
        <v>0</v>
      </c>
      <c r="C6" s="2" t="s">
        <v>1</v>
      </c>
      <c r="D6" s="18" t="s">
        <v>13</v>
      </c>
      <c r="E6" s="2" t="s">
        <v>0</v>
      </c>
      <c r="F6" s="2" t="s">
        <v>1</v>
      </c>
      <c r="G6" s="18" t="s">
        <v>13</v>
      </c>
      <c r="H6" s="2" t="s">
        <v>0</v>
      </c>
      <c r="I6" s="2" t="s">
        <v>1</v>
      </c>
      <c r="J6" s="19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ht="15" customHeight="1" x14ac:dyDescent="0.25">
      <c r="A7" s="11">
        <v>2010</v>
      </c>
      <c r="B7" s="4">
        <v>30269</v>
      </c>
      <c r="C7" s="4">
        <v>19298</v>
      </c>
      <c r="D7" s="20">
        <v>10971</v>
      </c>
      <c r="E7" s="21">
        <v>252</v>
      </c>
      <c r="F7" s="4">
        <v>119</v>
      </c>
      <c r="G7" s="20">
        <v>133</v>
      </c>
      <c r="H7" s="21">
        <v>30521</v>
      </c>
      <c r="I7" s="4">
        <v>19417</v>
      </c>
      <c r="J7" s="22">
        <v>11104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15" customHeight="1" x14ac:dyDescent="0.25">
      <c r="A8" s="11">
        <v>2011</v>
      </c>
      <c r="B8" s="4">
        <v>21053</v>
      </c>
      <c r="C8" s="4">
        <v>13667</v>
      </c>
      <c r="D8" s="20">
        <v>7386</v>
      </c>
      <c r="E8" s="23">
        <v>37950</v>
      </c>
      <c r="F8" s="4">
        <v>29781</v>
      </c>
      <c r="G8" s="20">
        <v>8169</v>
      </c>
      <c r="H8" s="23">
        <v>59003</v>
      </c>
      <c r="I8" s="4">
        <v>43448</v>
      </c>
      <c r="J8" s="4">
        <v>15555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ht="15" customHeight="1" x14ac:dyDescent="0.25">
      <c r="A9" s="11">
        <v>2012</v>
      </c>
      <c r="B9" s="4">
        <v>31653</v>
      </c>
      <c r="C9" s="4">
        <v>18242</v>
      </c>
      <c r="D9" s="20">
        <v>13411</v>
      </c>
      <c r="E9" s="23">
        <v>37152</v>
      </c>
      <c r="F9" s="4">
        <v>30036</v>
      </c>
      <c r="G9" s="20">
        <v>7116</v>
      </c>
      <c r="H9" s="23">
        <v>68805</v>
      </c>
      <c r="I9" s="4">
        <v>48278</v>
      </c>
      <c r="J9" s="4">
        <v>20527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5" customHeight="1" x14ac:dyDescent="0.25">
      <c r="A10" s="11">
        <v>2013</v>
      </c>
      <c r="B10" s="4">
        <v>30162</v>
      </c>
      <c r="C10" s="4">
        <v>17816</v>
      </c>
      <c r="D10" s="20">
        <v>12346</v>
      </c>
      <c r="E10" s="23">
        <v>39299</v>
      </c>
      <c r="F10" s="4">
        <v>31644</v>
      </c>
      <c r="G10" s="20">
        <v>7655</v>
      </c>
      <c r="H10" s="23">
        <v>69461</v>
      </c>
      <c r="I10" s="4">
        <v>49460</v>
      </c>
      <c r="J10" s="4">
        <v>20001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5" customHeight="1" x14ac:dyDescent="0.25">
      <c r="A11" s="11">
        <v>2014</v>
      </c>
      <c r="B11" s="4">
        <v>32279</v>
      </c>
      <c r="C11" s="4">
        <v>18475</v>
      </c>
      <c r="D11" s="20">
        <v>13804</v>
      </c>
      <c r="E11" s="23">
        <v>42570</v>
      </c>
      <c r="F11" s="4">
        <v>34087</v>
      </c>
      <c r="G11" s="20">
        <v>8483</v>
      </c>
      <c r="H11" s="23">
        <v>74849</v>
      </c>
      <c r="I11" s="4">
        <v>52562</v>
      </c>
      <c r="J11" s="4">
        <v>22287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5" customHeight="1" x14ac:dyDescent="0.25">
      <c r="A12" s="11">
        <v>2015</v>
      </c>
      <c r="B12" s="4">
        <v>35813</v>
      </c>
      <c r="C12" s="4">
        <v>19810</v>
      </c>
      <c r="D12" s="20">
        <v>16003</v>
      </c>
      <c r="E12" s="23">
        <v>46109</v>
      </c>
      <c r="F12" s="4">
        <v>36441</v>
      </c>
      <c r="G12" s="20">
        <v>9668</v>
      </c>
      <c r="H12" s="23">
        <v>81922</v>
      </c>
      <c r="I12" s="4">
        <v>56251</v>
      </c>
      <c r="J12" s="4">
        <v>25671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5" customHeight="1" x14ac:dyDescent="0.25">
      <c r="A13" s="11">
        <v>2016</v>
      </c>
      <c r="B13" s="4">
        <v>31447</v>
      </c>
      <c r="C13" s="4">
        <v>16984</v>
      </c>
      <c r="D13" s="20">
        <v>14463</v>
      </c>
      <c r="E13" s="23">
        <v>48282</v>
      </c>
      <c r="F13" s="4">
        <v>37995</v>
      </c>
      <c r="G13" s="20">
        <v>10287</v>
      </c>
      <c r="H13" s="23">
        <v>79729</v>
      </c>
      <c r="I13" s="4">
        <v>54979</v>
      </c>
      <c r="J13" s="4">
        <v>24750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15" customHeight="1" x14ac:dyDescent="0.25">
      <c r="A14" s="11">
        <v>2017</v>
      </c>
      <c r="B14" s="4">
        <v>36625</v>
      </c>
      <c r="C14" s="4">
        <v>19661</v>
      </c>
      <c r="D14" s="20">
        <v>16964</v>
      </c>
      <c r="E14" s="23">
        <v>52091</v>
      </c>
      <c r="F14" s="4">
        <v>40679</v>
      </c>
      <c r="G14" s="20">
        <v>11412</v>
      </c>
      <c r="H14" s="23">
        <v>88716</v>
      </c>
      <c r="I14" s="4">
        <v>60340</v>
      </c>
      <c r="J14" s="4">
        <v>28376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15" customHeight="1" x14ac:dyDescent="0.25">
      <c r="A15" s="11">
        <v>2018</v>
      </c>
      <c r="B15" s="4">
        <v>40066</v>
      </c>
      <c r="C15" s="4">
        <v>20879</v>
      </c>
      <c r="D15" s="20">
        <v>19187</v>
      </c>
      <c r="E15" s="23">
        <v>55021</v>
      </c>
      <c r="F15" s="4">
        <v>42475</v>
      </c>
      <c r="G15" s="20">
        <v>12546</v>
      </c>
      <c r="H15" s="23">
        <v>95087</v>
      </c>
      <c r="I15" s="4">
        <v>63354</v>
      </c>
      <c r="J15" s="4">
        <v>31733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5" customHeight="1" x14ac:dyDescent="0.25">
      <c r="A16" s="11">
        <v>2019</v>
      </c>
      <c r="B16" s="4">
        <v>42650</v>
      </c>
      <c r="C16" s="4">
        <v>21530</v>
      </c>
      <c r="D16" s="20">
        <v>21120</v>
      </c>
      <c r="E16" s="23">
        <v>57575</v>
      </c>
      <c r="F16" s="4">
        <v>44183</v>
      </c>
      <c r="G16" s="20">
        <v>13392</v>
      </c>
      <c r="H16" s="23">
        <v>100225</v>
      </c>
      <c r="I16" s="4">
        <v>65713</v>
      </c>
      <c r="J16" s="4">
        <v>34512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5" customHeight="1" x14ac:dyDescent="0.25">
      <c r="A17" s="11">
        <v>2020</v>
      </c>
      <c r="B17" s="4">
        <v>41460</v>
      </c>
      <c r="C17" s="4">
        <v>20520</v>
      </c>
      <c r="D17" s="20">
        <v>20940</v>
      </c>
      <c r="E17" s="23">
        <v>52998</v>
      </c>
      <c r="F17" s="4">
        <v>40524</v>
      </c>
      <c r="G17" s="20">
        <v>12474</v>
      </c>
      <c r="H17" s="23">
        <v>94458</v>
      </c>
      <c r="I17" s="4">
        <v>61044</v>
      </c>
      <c r="J17" s="4">
        <v>33414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5" customHeight="1" x14ac:dyDescent="0.25">
      <c r="A18" s="11">
        <v>2021</v>
      </c>
      <c r="B18" s="4">
        <v>43075</v>
      </c>
      <c r="C18" s="4">
        <v>20839</v>
      </c>
      <c r="D18" s="20">
        <v>22236</v>
      </c>
      <c r="E18" s="23">
        <v>60065</v>
      </c>
      <c r="F18" s="4">
        <v>45986</v>
      </c>
      <c r="G18" s="20">
        <v>14079</v>
      </c>
      <c r="H18" s="23">
        <v>103140</v>
      </c>
      <c r="I18" s="4">
        <v>66825</v>
      </c>
      <c r="J18" s="4">
        <v>36315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5" customHeight="1" x14ac:dyDescent="0.25">
      <c r="A19" s="11">
        <v>2022</v>
      </c>
      <c r="B19" s="4">
        <v>44201</v>
      </c>
      <c r="C19" s="4">
        <v>21202</v>
      </c>
      <c r="D19" s="20">
        <v>22999</v>
      </c>
      <c r="E19" s="23">
        <v>66383</v>
      </c>
      <c r="F19" s="4">
        <v>50471</v>
      </c>
      <c r="G19" s="20">
        <v>15912</v>
      </c>
      <c r="H19" s="23">
        <v>110584</v>
      </c>
      <c r="I19" s="4">
        <v>71673</v>
      </c>
      <c r="J19" s="4">
        <v>38911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5" customHeight="1" x14ac:dyDescent="0.25">
      <c r="A20" s="11">
        <v>2023</v>
      </c>
      <c r="B20" s="4">
        <v>45752</v>
      </c>
      <c r="C20" s="4">
        <v>21050</v>
      </c>
      <c r="D20" s="20">
        <v>24702</v>
      </c>
      <c r="E20" s="23">
        <v>71121</v>
      </c>
      <c r="F20" s="4">
        <v>53411</v>
      </c>
      <c r="G20" s="20">
        <v>17710</v>
      </c>
      <c r="H20" s="23">
        <v>116873</v>
      </c>
      <c r="I20" s="4">
        <v>74461</v>
      </c>
      <c r="J20" s="4">
        <v>42412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ht="15" customHeight="1" x14ac:dyDescent="0.25">
      <c r="A21" s="12">
        <v>2024</v>
      </c>
      <c r="B21" s="28">
        <f>SUM(C21:D21)</f>
        <v>49317</v>
      </c>
      <c r="C21" s="28">
        <v>22905</v>
      </c>
      <c r="D21" s="28">
        <v>26412</v>
      </c>
      <c r="E21" s="29">
        <f>SUM(F21:G21)</f>
        <v>68346</v>
      </c>
      <c r="F21" s="28">
        <v>50969</v>
      </c>
      <c r="G21" s="30">
        <v>17377</v>
      </c>
      <c r="H21" s="29">
        <f>SUM(I21:J21)</f>
        <v>117663</v>
      </c>
      <c r="I21" s="28">
        <f t="shared" ref="I21:J21" si="0">SUM(F21,C21)</f>
        <v>73874</v>
      </c>
      <c r="J21" s="28">
        <f t="shared" si="0"/>
        <v>43789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ht="15" customHeight="1" x14ac:dyDescent="0.45">
      <c r="A22" s="6" t="s">
        <v>6</v>
      </c>
      <c r="B22" s="6"/>
      <c r="C22" s="1"/>
      <c r="D22" s="1"/>
      <c r="E22" s="1"/>
      <c r="F22" s="1"/>
      <c r="G22" s="1"/>
      <c r="H22" s="1"/>
      <c r="I22" s="1"/>
      <c r="J22" s="7" t="s">
        <v>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5" customHeight="1" x14ac:dyDescent="0.25">
      <c r="A23" s="1"/>
      <c r="B23" s="1"/>
      <c r="C23" s="1"/>
      <c r="D23" s="5"/>
      <c r="E23" s="5"/>
      <c r="F23" s="1"/>
      <c r="G23" s="5"/>
      <c r="H23" s="5"/>
      <c r="I23" s="1"/>
      <c r="J23" s="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 t="s">
        <v>3</v>
      </c>
      <c r="AQ23" s="1" t="s">
        <v>4</v>
      </c>
      <c r="AR23" s="1"/>
      <c r="AS23" s="1"/>
      <c r="AT23" s="1"/>
    </row>
    <row r="24" spans="1:46" ht="15" customHeight="1" x14ac:dyDescent="0.25">
      <c r="A24" s="1"/>
      <c r="B24" s="1"/>
      <c r="C24" s="1"/>
      <c r="D24" s="8"/>
      <c r="E24" s="8"/>
      <c r="F24" s="1"/>
      <c r="G24" s="8"/>
      <c r="H24" s="8"/>
      <c r="I24" s="1"/>
      <c r="J24" s="8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8">
        <v>63.711036766404561</v>
      </c>
      <c r="AQ24" s="8">
        <v>36.288963233595439</v>
      </c>
      <c r="AR24" s="1"/>
      <c r="AS24" s="1"/>
      <c r="AT24" s="1"/>
    </row>
    <row r="25" spans="1:46" ht="1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ht="1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8"/>
      <c r="AJ27" s="1"/>
      <c r="AK27" s="1"/>
      <c r="AL27" s="1"/>
      <c r="AM27" s="1"/>
      <c r="AN27" s="1"/>
      <c r="AO27" s="1">
        <v>2024</v>
      </c>
      <c r="AP27" s="1"/>
      <c r="AQ27" s="1"/>
      <c r="AR27" s="1"/>
      <c r="AS27" s="1"/>
      <c r="AT27" s="1"/>
    </row>
    <row r="28" spans="1:46" ht="1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40" t="s">
        <v>9</v>
      </c>
      <c r="AP28" s="43"/>
      <c r="AQ28" s="42" t="s">
        <v>12</v>
      </c>
      <c r="AR28" s="43"/>
      <c r="AS28" s="41" t="s">
        <v>2</v>
      </c>
      <c r="AT28" s="36"/>
    </row>
    <row r="29" spans="1:46" ht="1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6" t="s">
        <v>14</v>
      </c>
      <c r="AP29" s="24" t="s">
        <v>15</v>
      </c>
      <c r="AQ29" s="16" t="s">
        <v>14</v>
      </c>
      <c r="AR29" s="24" t="s">
        <v>15</v>
      </c>
      <c r="AS29" s="16" t="s">
        <v>14</v>
      </c>
      <c r="AT29" s="25" t="s">
        <v>15</v>
      </c>
    </row>
    <row r="30" spans="1:4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5">
        <f>C21</f>
        <v>22905</v>
      </c>
      <c r="AP30" s="5">
        <f>D21</f>
        <v>26412</v>
      </c>
      <c r="AQ30" s="5">
        <f>F21</f>
        <v>50969</v>
      </c>
      <c r="AR30" s="5">
        <f>G21</f>
        <v>17377</v>
      </c>
      <c r="AS30" s="5">
        <f>I21</f>
        <v>73874</v>
      </c>
      <c r="AT30" s="5">
        <f>J21</f>
        <v>43789</v>
      </c>
    </row>
    <row r="31" spans="1:46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 t="s">
        <v>16</v>
      </c>
      <c r="AP31" s="5">
        <f>SUM(AO30:AP30)</f>
        <v>49317</v>
      </c>
      <c r="AQ31" s="1"/>
      <c r="AR31" s="5">
        <f>SUM(AQ30:AR30)</f>
        <v>68346</v>
      </c>
      <c r="AS31" s="1"/>
      <c r="AT31" s="5">
        <f>SUM(AS30:AT30)</f>
        <v>117663</v>
      </c>
    </row>
    <row r="32" spans="1:46" ht="1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 t="s">
        <v>17</v>
      </c>
      <c r="AP32" s="26">
        <f>AP30/AP31*100</f>
        <v>53.555569073544618</v>
      </c>
      <c r="AQ32" s="26"/>
      <c r="AR32" s="26">
        <f>AR30/AR31*100</f>
        <v>25.425043162730809</v>
      </c>
      <c r="AS32" s="26"/>
      <c r="AT32" s="26">
        <f>AT30/AT31*100</f>
        <v>37.215607285212855</v>
      </c>
    </row>
    <row r="33" spans="1:4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 t="s">
        <v>18</v>
      </c>
      <c r="AQ33" s="1"/>
      <c r="AR33" s="1"/>
      <c r="AS33" s="1"/>
      <c r="AT33" s="1"/>
    </row>
    <row r="34" spans="1:46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 t="s">
        <v>9</v>
      </c>
      <c r="AP34" s="8">
        <f>AP32</f>
        <v>53.555569073544618</v>
      </c>
      <c r="AQ34" s="1"/>
      <c r="AR34" s="1"/>
      <c r="AS34" s="1"/>
      <c r="AT34" s="1"/>
    </row>
    <row r="35" spans="1:46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 t="s">
        <v>12</v>
      </c>
      <c r="AP35" s="8">
        <f>AR32</f>
        <v>25.425043162730809</v>
      </c>
      <c r="AQ35" s="1"/>
      <c r="AR35" s="1"/>
      <c r="AS35" s="1"/>
      <c r="AT35" s="1"/>
    </row>
    <row r="36" spans="1:46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 t="s">
        <v>2</v>
      </c>
      <c r="AP36" s="26">
        <f>AT32</f>
        <v>37.215607285212855</v>
      </c>
      <c r="AQ36" s="1"/>
      <c r="AR36" s="1"/>
      <c r="AS36" s="1"/>
      <c r="AT36" s="1"/>
    </row>
    <row r="37" spans="1:4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 t="s">
        <v>9</v>
      </c>
      <c r="AQ40" s="1" t="s">
        <v>12</v>
      </c>
      <c r="AR40" s="1"/>
      <c r="AS40" s="1"/>
      <c r="AT40" s="1"/>
    </row>
    <row r="41" spans="1:46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5">
        <f>AP31</f>
        <v>49317</v>
      </c>
      <c r="AQ41" s="5">
        <f>AR31</f>
        <v>68346</v>
      </c>
      <c r="AR41" s="1"/>
      <c r="AS41" s="1"/>
      <c r="AT41" s="1"/>
    </row>
    <row r="42" spans="1:46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1:4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1:4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1:4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1:4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1:4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1:4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1:4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1:4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1:4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1:4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1:4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1:4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1:4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1:4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1:4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1:4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1:4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1:4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1:4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1:4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1:4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1:4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1:4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1:4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1:4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1:4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1:4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1:4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1:4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1:4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1:4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1:4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1:4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1:4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1:4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1:4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1:4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1:4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1:4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1:4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1:4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1:4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1:4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1:4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1:4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1:4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1:4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1:4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1:4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1:4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1:4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1:4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1:4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1:4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1:4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1:4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1:4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1:4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1:4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1:4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1:4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1:4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1:4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1:4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1:4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1:4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1:4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1:4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1:4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1:4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1:4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1:4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1:4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1:4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1:4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1:4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1:4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1:4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1:4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1:4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1:4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1:4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1:4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1:4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1:4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1:4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1:4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1:4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1:4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1:4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1:4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1:4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1:4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1:4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1:4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1:4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1:4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1:4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1:4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1:4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1:4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1:4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1:4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1:4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1:4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spans="1:4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</row>
    <row r="607" spans="1:4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</row>
    <row r="608" spans="1:4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</row>
    <row r="609" spans="1:4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</row>
    <row r="610" spans="1:4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</row>
    <row r="611" spans="1:4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</row>
    <row r="612" spans="1:4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</row>
    <row r="613" spans="1:4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</row>
    <row r="614" spans="1:4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</row>
    <row r="615" spans="1:4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</row>
    <row r="616" spans="1:4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</row>
    <row r="617" spans="1:4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</row>
    <row r="618" spans="1:4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</row>
    <row r="619" spans="1:4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</row>
    <row r="620" spans="1:4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</row>
    <row r="621" spans="1:4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</row>
    <row r="622" spans="1:4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</row>
    <row r="623" spans="1:4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</row>
    <row r="624" spans="1:4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</row>
    <row r="625" spans="1:4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</row>
    <row r="626" spans="1:4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</row>
    <row r="627" spans="1:4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</row>
    <row r="628" spans="1:4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</row>
    <row r="629" spans="1:4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</row>
    <row r="630" spans="1:4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</row>
    <row r="631" spans="1:4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</row>
    <row r="632" spans="1:4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</row>
    <row r="633" spans="1:4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</row>
    <row r="634" spans="1:4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</row>
    <row r="635" spans="1:4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</row>
    <row r="636" spans="1:4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</row>
    <row r="637" spans="1:4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</row>
    <row r="638" spans="1:4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</row>
    <row r="639" spans="1:4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</row>
    <row r="640" spans="1:4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</row>
    <row r="641" spans="1:4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</row>
    <row r="642" spans="1:4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</row>
    <row r="643" spans="1:4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</row>
    <row r="644" spans="1:4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</row>
    <row r="645" spans="1:4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</row>
    <row r="646" spans="1:4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</row>
    <row r="647" spans="1:4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</row>
    <row r="648" spans="1:4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</row>
    <row r="649" spans="1:4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</row>
    <row r="650" spans="1:4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</row>
    <row r="651" spans="1:4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</row>
    <row r="652" spans="1:4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</row>
    <row r="653" spans="1:4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</row>
    <row r="654" spans="1:4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</row>
    <row r="655" spans="1:4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</row>
    <row r="656" spans="1:4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</row>
    <row r="657" spans="1:4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</row>
    <row r="658" spans="1:4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</row>
    <row r="659" spans="1:4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</row>
    <row r="660" spans="1:4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</row>
    <row r="661" spans="1:4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</row>
    <row r="662" spans="1:4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</row>
    <row r="663" spans="1:4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</row>
    <row r="664" spans="1:4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</row>
    <row r="665" spans="1:4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</row>
    <row r="666" spans="1:4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</row>
    <row r="667" spans="1:4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</row>
    <row r="668" spans="1:4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</row>
    <row r="669" spans="1:4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</row>
    <row r="670" spans="1:4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</row>
    <row r="671" spans="1:4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</row>
    <row r="672" spans="1:4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</row>
    <row r="673" spans="1:4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</row>
    <row r="674" spans="1:4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</row>
    <row r="675" spans="1:4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</row>
    <row r="676" spans="1:4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</row>
    <row r="677" spans="1:4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</row>
    <row r="678" spans="1:4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</row>
    <row r="679" spans="1:4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</row>
    <row r="680" spans="1:4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</row>
    <row r="681" spans="1:4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</row>
    <row r="682" spans="1:4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</row>
    <row r="683" spans="1:4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</row>
    <row r="684" spans="1:4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</row>
    <row r="685" spans="1:4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</row>
    <row r="686" spans="1:4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</row>
    <row r="687" spans="1:4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</row>
    <row r="688" spans="1:4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</row>
    <row r="689" spans="1:4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</row>
    <row r="690" spans="1:4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</row>
    <row r="691" spans="1:4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</row>
    <row r="692" spans="1:4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</row>
    <row r="693" spans="1:4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</row>
    <row r="694" spans="1:4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</row>
    <row r="695" spans="1:4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</row>
    <row r="696" spans="1:4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</row>
    <row r="697" spans="1:4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</row>
    <row r="698" spans="1:4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</row>
    <row r="699" spans="1:4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</row>
    <row r="700" spans="1:4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</row>
    <row r="701" spans="1:4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</row>
    <row r="702" spans="1:4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</row>
    <row r="703" spans="1:4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</row>
    <row r="704" spans="1:4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</row>
    <row r="705" spans="1:4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</row>
    <row r="706" spans="1:4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</row>
    <row r="707" spans="1:4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</row>
    <row r="708" spans="1:4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</row>
    <row r="709" spans="1:4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</row>
    <row r="710" spans="1:4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</row>
    <row r="711" spans="1:4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</row>
    <row r="712" spans="1:4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</row>
    <row r="713" spans="1:4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</row>
    <row r="714" spans="1:4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</row>
    <row r="715" spans="1:4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</row>
    <row r="716" spans="1:4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</row>
    <row r="717" spans="1:4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</row>
    <row r="718" spans="1:4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</row>
    <row r="719" spans="1:4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</row>
    <row r="720" spans="1:4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</row>
    <row r="721" spans="1:4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</row>
    <row r="722" spans="1:4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</row>
    <row r="723" spans="1:4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</row>
    <row r="724" spans="1:4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</row>
    <row r="725" spans="1:4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</row>
    <row r="726" spans="1:4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</row>
    <row r="727" spans="1:4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</row>
    <row r="728" spans="1:4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</row>
    <row r="729" spans="1:4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</row>
    <row r="730" spans="1:4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</row>
    <row r="731" spans="1:4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</row>
    <row r="732" spans="1:4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</row>
    <row r="733" spans="1:4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</row>
    <row r="734" spans="1:4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</row>
    <row r="735" spans="1:4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</row>
    <row r="736" spans="1:4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</row>
    <row r="737" spans="1:4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</row>
    <row r="738" spans="1:4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</row>
    <row r="739" spans="1:4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</row>
    <row r="740" spans="1:4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</row>
    <row r="741" spans="1:4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</row>
    <row r="742" spans="1:4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</row>
    <row r="743" spans="1:4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</row>
    <row r="744" spans="1:4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</row>
    <row r="745" spans="1:4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</row>
    <row r="746" spans="1:4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</row>
    <row r="747" spans="1:4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</row>
    <row r="748" spans="1:4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</row>
    <row r="749" spans="1:4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</row>
    <row r="750" spans="1:4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</row>
    <row r="751" spans="1:4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</row>
    <row r="752" spans="1:4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</row>
    <row r="753" spans="1:4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</row>
    <row r="754" spans="1:4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</row>
    <row r="755" spans="1:4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</row>
    <row r="756" spans="1:4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</row>
    <row r="757" spans="1:4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</row>
    <row r="758" spans="1:4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</row>
    <row r="759" spans="1:4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</row>
    <row r="760" spans="1:4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</row>
    <row r="761" spans="1:4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</row>
    <row r="762" spans="1:4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</row>
    <row r="763" spans="1:4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</row>
    <row r="764" spans="1:4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</row>
    <row r="765" spans="1:4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</row>
    <row r="766" spans="1:4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</row>
    <row r="767" spans="1:4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</row>
    <row r="768" spans="1:4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</row>
    <row r="769" spans="1:4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</row>
    <row r="770" spans="1:4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</row>
    <row r="771" spans="1:4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</row>
    <row r="772" spans="1:4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</row>
    <row r="773" spans="1:4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</row>
    <row r="774" spans="1:4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</row>
    <row r="775" spans="1:4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</row>
    <row r="776" spans="1:4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</row>
    <row r="777" spans="1:4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</row>
    <row r="778" spans="1:4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</row>
    <row r="779" spans="1:4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</row>
    <row r="780" spans="1:4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</row>
    <row r="781" spans="1:4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</row>
    <row r="782" spans="1:4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</row>
    <row r="783" spans="1:4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</row>
    <row r="784" spans="1:4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</row>
    <row r="785" spans="1:4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</row>
    <row r="786" spans="1:4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</row>
    <row r="787" spans="1:4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</row>
    <row r="788" spans="1:4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</row>
    <row r="789" spans="1:4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</row>
    <row r="790" spans="1:4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</row>
    <row r="791" spans="1:4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</row>
    <row r="792" spans="1:4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</row>
    <row r="793" spans="1:4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</row>
    <row r="794" spans="1:4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</row>
    <row r="795" spans="1:4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</row>
    <row r="796" spans="1:4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</row>
    <row r="797" spans="1:4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</row>
    <row r="798" spans="1:4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</row>
    <row r="799" spans="1:4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</row>
    <row r="800" spans="1:4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</row>
    <row r="801" spans="1:4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</row>
    <row r="802" spans="1:4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</row>
    <row r="803" spans="1:4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</row>
    <row r="804" spans="1:4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</row>
    <row r="805" spans="1:4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</row>
    <row r="806" spans="1:4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</row>
    <row r="807" spans="1:4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</row>
    <row r="808" spans="1:4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</row>
    <row r="809" spans="1:4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</row>
    <row r="810" spans="1:4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</row>
    <row r="811" spans="1:4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</row>
    <row r="812" spans="1:4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</row>
    <row r="813" spans="1:4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</row>
    <row r="814" spans="1:4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</row>
    <row r="815" spans="1:4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</row>
    <row r="816" spans="1:4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</row>
    <row r="817" spans="1:4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</row>
    <row r="818" spans="1:4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</row>
    <row r="819" spans="1:4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</row>
    <row r="820" spans="1:4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</row>
    <row r="821" spans="1:4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</row>
    <row r="822" spans="1:4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</row>
    <row r="823" spans="1:4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</row>
    <row r="824" spans="1:4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</row>
    <row r="825" spans="1:4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</row>
    <row r="826" spans="1:4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</row>
    <row r="827" spans="1:4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</row>
    <row r="828" spans="1:4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</row>
    <row r="829" spans="1:4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</row>
    <row r="830" spans="1:4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</row>
    <row r="831" spans="1:4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</row>
    <row r="832" spans="1:4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</row>
    <row r="833" spans="1:4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</row>
    <row r="834" spans="1:4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</row>
    <row r="835" spans="1:4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</row>
    <row r="836" spans="1:4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</row>
    <row r="837" spans="1:4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</row>
    <row r="838" spans="1:4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</row>
    <row r="839" spans="1:4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</row>
    <row r="840" spans="1:4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</row>
    <row r="841" spans="1:4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</row>
    <row r="842" spans="1:4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</row>
    <row r="843" spans="1:4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</row>
    <row r="844" spans="1:4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</row>
    <row r="845" spans="1:4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</row>
    <row r="846" spans="1:4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</row>
    <row r="847" spans="1:4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</row>
    <row r="848" spans="1:4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</row>
    <row r="849" spans="1:4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</row>
    <row r="850" spans="1:4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</row>
    <row r="851" spans="1:4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</row>
    <row r="852" spans="1:4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</row>
    <row r="853" spans="1:4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</row>
    <row r="854" spans="1:4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</row>
    <row r="855" spans="1:4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</row>
    <row r="856" spans="1:4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</row>
    <row r="857" spans="1:4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</row>
    <row r="858" spans="1:4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</row>
    <row r="859" spans="1:4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</row>
    <row r="860" spans="1:4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</row>
    <row r="861" spans="1:4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</row>
    <row r="862" spans="1:4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</row>
    <row r="863" spans="1:4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</row>
    <row r="864" spans="1:4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</row>
    <row r="865" spans="1:4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</row>
    <row r="866" spans="1:4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</row>
    <row r="867" spans="1:4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</row>
    <row r="868" spans="1:4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</row>
    <row r="869" spans="1:4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</row>
    <row r="870" spans="1:4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</row>
    <row r="871" spans="1:4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</row>
    <row r="872" spans="1:4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</row>
    <row r="873" spans="1:4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</row>
    <row r="874" spans="1:4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</row>
    <row r="875" spans="1:4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</row>
    <row r="876" spans="1:4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</row>
    <row r="877" spans="1:4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</row>
    <row r="878" spans="1:4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</row>
    <row r="879" spans="1:4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</row>
    <row r="880" spans="1:4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</row>
    <row r="881" spans="1:4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</row>
    <row r="882" spans="1:4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</row>
    <row r="883" spans="1:4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</row>
    <row r="884" spans="1:4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</row>
    <row r="885" spans="1:4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</row>
    <row r="886" spans="1:4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</row>
    <row r="887" spans="1:4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</row>
    <row r="888" spans="1:4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</row>
    <row r="889" spans="1:4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</row>
    <row r="890" spans="1:4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</row>
    <row r="891" spans="1:4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</row>
    <row r="892" spans="1:4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</row>
    <row r="893" spans="1:4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</row>
    <row r="894" spans="1:4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</row>
    <row r="895" spans="1:4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</row>
    <row r="896" spans="1:4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</row>
    <row r="897" spans="1:4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</row>
    <row r="898" spans="1:4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</row>
    <row r="899" spans="1:4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</row>
    <row r="900" spans="1:4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</row>
    <row r="901" spans="1:4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</row>
    <row r="902" spans="1:4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</row>
    <row r="903" spans="1:4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</row>
    <row r="904" spans="1:4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</row>
    <row r="905" spans="1:4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</row>
    <row r="906" spans="1:4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</row>
    <row r="907" spans="1:4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</row>
    <row r="908" spans="1:4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</row>
    <row r="909" spans="1:4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</row>
    <row r="910" spans="1:4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</row>
    <row r="911" spans="1:4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</row>
    <row r="912" spans="1:4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</row>
    <row r="913" spans="1:4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</row>
    <row r="914" spans="1:4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</row>
    <row r="915" spans="1:4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</row>
    <row r="916" spans="1:4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</row>
    <row r="917" spans="1:4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</row>
    <row r="918" spans="1:4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</row>
    <row r="919" spans="1:4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</row>
    <row r="920" spans="1:4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</row>
    <row r="921" spans="1:4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</row>
    <row r="922" spans="1:4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</row>
    <row r="923" spans="1:4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</row>
    <row r="924" spans="1:4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</row>
    <row r="925" spans="1:4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</row>
    <row r="926" spans="1:4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</row>
    <row r="927" spans="1:4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</row>
    <row r="928" spans="1:4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</row>
    <row r="929" spans="1:4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</row>
    <row r="930" spans="1:4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</row>
    <row r="931" spans="1:4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</row>
    <row r="932" spans="1:4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</row>
    <row r="933" spans="1:4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</row>
    <row r="934" spans="1:4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</row>
    <row r="935" spans="1:4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</row>
    <row r="936" spans="1:4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</row>
    <row r="937" spans="1:4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</row>
    <row r="938" spans="1:4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</row>
    <row r="939" spans="1:4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</row>
    <row r="940" spans="1:4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</row>
    <row r="941" spans="1:4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</row>
    <row r="942" spans="1:4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</row>
    <row r="943" spans="1:4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</row>
    <row r="944" spans="1:4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</row>
    <row r="945" spans="1:4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</row>
    <row r="946" spans="1:4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</row>
    <row r="947" spans="1:4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</row>
    <row r="948" spans="1:4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</row>
    <row r="949" spans="1:4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</row>
    <row r="950" spans="1:4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</row>
    <row r="951" spans="1:4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</row>
    <row r="952" spans="1:4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</row>
    <row r="953" spans="1:4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</row>
    <row r="954" spans="1:4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</row>
    <row r="955" spans="1:4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</row>
    <row r="956" spans="1:4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</row>
    <row r="957" spans="1:4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</row>
    <row r="958" spans="1:4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</row>
    <row r="959" spans="1:4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</row>
    <row r="960" spans="1:4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</row>
    <row r="961" spans="1:4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</row>
    <row r="962" spans="1:4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</row>
    <row r="963" spans="1:4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</row>
    <row r="964" spans="1:4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</row>
    <row r="965" spans="1:4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</row>
    <row r="966" spans="1:4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</row>
    <row r="967" spans="1:4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</row>
    <row r="968" spans="1:4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</row>
    <row r="969" spans="1:4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</row>
    <row r="970" spans="1:4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</row>
    <row r="971" spans="1:4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</row>
    <row r="972" spans="1:4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</row>
    <row r="973" spans="1:4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</row>
    <row r="974" spans="1:4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</row>
    <row r="975" spans="1:4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</row>
    <row r="976" spans="1:4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</row>
    <row r="977" spans="1:4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</row>
    <row r="978" spans="1:4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</row>
    <row r="979" spans="1:4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</row>
    <row r="980" spans="1:4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</row>
    <row r="981" spans="1:4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</row>
    <row r="982" spans="1:4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</row>
    <row r="983" spans="1:4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</row>
    <row r="984" spans="1:4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</row>
    <row r="985" spans="1:4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</row>
    <row r="986" spans="1:4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</row>
    <row r="987" spans="1:4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</row>
    <row r="988" spans="1:4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</row>
    <row r="989" spans="1:4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</row>
    <row r="990" spans="1:4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</row>
    <row r="991" spans="1:4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</row>
    <row r="992" spans="1:4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</row>
    <row r="993" spans="1:4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</row>
    <row r="994" spans="1:4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</row>
    <row r="995" spans="1:4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</row>
    <row r="996" spans="1:4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</row>
    <row r="997" spans="1:4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</row>
    <row r="998" spans="1:4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</row>
    <row r="999" spans="1:4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</row>
    <row r="1000" spans="1:4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</row>
  </sheetData>
  <mergeCells count="7">
    <mergeCell ref="AQ28:AR28"/>
    <mergeCell ref="AS28:AT28"/>
    <mergeCell ref="A1:J1"/>
    <mergeCell ref="A2:J2"/>
    <mergeCell ref="A4:A6"/>
    <mergeCell ref="E4:G4"/>
    <mergeCell ref="AO28:AP28"/>
  </mergeCells>
  <pageMargins left="0.7" right="0.7" top="0.75" bottom="0.75" header="0" footer="0"/>
  <pageSetup paperSize="9" scale="54" orientation="landscape" r:id="rId1"/>
  <rowBreaks count="1" manualBreakCount="1">
    <brk id="61" max="16383" man="1"/>
  </rowBreaks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18.12</vt:lpstr>
      <vt:lpstr>'18.12'!Print_Area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2025-06-16T04:04:03Z</cp:lastPrinted>
  <dcterms:created xsi:type="dcterms:W3CDTF">2025-05-19T08:29:05Z</dcterms:created>
  <dcterms:modified xsi:type="dcterms:W3CDTF">2025-06-16T04:04:12Z</dcterms:modified>
</cp:coreProperties>
</file>