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fileserver\ST4\Dissemination\Publications\Statistical Year Book\YEARBOOK 2025\Final\Pension\"/>
    </mc:Choice>
  </mc:AlternateContent>
  <xr:revisionPtr revIDLastSave="0" documentId="13_ncr:1_{CC0D7575-324B-4E72-BC7F-159D237138D4}" xr6:coauthVersionLast="47" xr6:coauthVersionMax="47" xr10:uidLastSave="{00000000-0000-0000-0000-000000000000}"/>
  <bookViews>
    <workbookView xWindow="-120" yWindow="-120" windowWidth="29040" windowHeight="15720" tabRatio="752" xr2:uid="{00000000-000D-0000-FFFF-FFFF00000000}"/>
  </bookViews>
  <sheets>
    <sheet name="18.1" sheetId="1" r:id="rId1"/>
  </sheets>
  <definedNames>
    <definedName name="_xlnm.Print_Area" localSheetId="0">'18.1'!$A$1:$U$57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2" roundtripDataChecksum="fkOimQmwXAp2X4Idi2I5zrAWog9iQuypB84L36zwUFs="/>
    </ext>
  </extLst>
</workbook>
</file>

<file path=xl/calcChain.xml><?xml version="1.0" encoding="utf-8"?>
<calcChain xmlns="http://schemas.openxmlformats.org/spreadsheetml/2006/main">
  <c r="Q11" i="1" l="1"/>
  <c r="Q10" i="1"/>
  <c r="Q9" i="1"/>
  <c r="Q8" i="1"/>
  <c r="C8" i="1"/>
  <c r="L8" i="1" s="1"/>
  <c r="D8" i="1"/>
  <c r="B9" i="1"/>
  <c r="N9" i="1" s="1"/>
  <c r="B10" i="1"/>
  <c r="N10" i="1" s="1"/>
  <c r="B11" i="1"/>
  <c r="B12" i="1"/>
  <c r="AL25" i="1"/>
  <c r="AJ25" i="1" s="1"/>
  <c r="AM25" i="1"/>
  <c r="AK25" i="1" s="1"/>
  <c r="AL26" i="1"/>
  <c r="AJ26" i="1" s="1"/>
  <c r="AM26" i="1"/>
  <c r="AK26" i="1" s="1"/>
  <c r="AM24" i="1"/>
  <c r="AK24" i="1" s="1"/>
  <c r="AL24" i="1"/>
  <c r="AJ24" i="1" s="1"/>
  <c r="AM27" i="1"/>
  <c r="AK27" i="1" s="1"/>
  <c r="AL27" i="1"/>
  <c r="AJ27" i="1" s="1"/>
  <c r="H12" i="1"/>
  <c r="E12" i="1"/>
  <c r="H11" i="1"/>
  <c r="E11" i="1"/>
  <c r="O11" i="1" s="1"/>
  <c r="AO26" i="1" s="1"/>
  <c r="H10" i="1"/>
  <c r="E10" i="1"/>
  <c r="O10" i="1" s="1"/>
  <c r="AO25" i="1" s="1"/>
  <c r="H9" i="1"/>
  <c r="E9" i="1"/>
  <c r="O9" i="1" s="1"/>
  <c r="AO24" i="1" s="1"/>
  <c r="J8" i="1"/>
  <c r="I8" i="1"/>
  <c r="G8" i="1"/>
  <c r="F8" i="1"/>
  <c r="B8" i="1" l="1"/>
  <c r="K10" i="1" s="1"/>
  <c r="N11" i="1"/>
  <c r="P9" i="1"/>
  <c r="H8" i="1"/>
  <c r="M8" i="1" s="1"/>
  <c r="P8" i="1"/>
  <c r="M10" i="1"/>
  <c r="AN25" i="1" s="1"/>
  <c r="P10" i="1"/>
  <c r="P11" i="1"/>
  <c r="K12" i="1"/>
  <c r="E8" i="1"/>
  <c r="L9" i="1" s="1"/>
  <c r="L11" i="1" l="1"/>
  <c r="L10" i="1"/>
  <c r="M9" i="1"/>
  <c r="AN24" i="1" s="1"/>
  <c r="M11" i="1"/>
  <c r="AN26" i="1" s="1"/>
  <c r="O8" i="1"/>
  <c r="K9" i="1"/>
  <c r="K11" i="1"/>
  <c r="N8" i="1"/>
  <c r="K8" i="1"/>
</calcChain>
</file>

<file path=xl/sharedStrings.xml><?xml version="1.0" encoding="utf-8"?>
<sst xmlns="http://schemas.openxmlformats.org/spreadsheetml/2006/main" count="58" uniqueCount="36">
  <si>
    <t>Type of pension</t>
  </si>
  <si>
    <t>އިންސައްތަ</t>
  </si>
  <si>
    <t>އަންހެނުންގެ އިން ސައްތަ</t>
  </si>
  <si>
    <t>އިތުރުވި މިންވަރު</t>
  </si>
  <si>
    <t>ޕެންޝަންގެ ބާވަތް</t>
  </si>
  <si>
    <t>% share</t>
  </si>
  <si>
    <t>% share of females</t>
  </si>
  <si>
    <t>% change</t>
  </si>
  <si>
    <t>ޖުމްލަ</t>
  </si>
  <si>
    <t>ފިރިހެން</t>
  </si>
  <si>
    <t>އަންހެން</t>
  </si>
  <si>
    <t>Total</t>
  </si>
  <si>
    <t>Male</t>
  </si>
  <si>
    <t>Female</t>
  </si>
  <si>
    <t>2023-2024</t>
  </si>
  <si>
    <t>Basic Pension</t>
  </si>
  <si>
    <t>އަސާސީ ޕެންޝަން</t>
  </si>
  <si>
    <t>Retirement Pension</t>
  </si>
  <si>
    <t>ރިޓަޔަރމަންޓް ޕެންޝަން</t>
  </si>
  <si>
    <t>Other Pension</t>
  </si>
  <si>
    <t>އެހެނިހެން ޕެންޝަން</t>
  </si>
  <si>
    <r>
      <rPr>
        <sz val="11"/>
        <color rgb="FF000000"/>
        <rFont val="Calibri"/>
        <family val="2"/>
      </rP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</si>
  <si>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</si>
  <si>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</si>
  <si>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1_/ Those pensioners receiving less than 5,000 mvr is given the balance amount to reach 5,000 mvr under this scheme. Senior Citizen Allowance was introduced in February 2014 and discontinued in March 2019.</t>
  </si>
  <si>
    <t xml:space="preserve">Source: Maldives Pension Administration Office </t>
  </si>
  <si>
    <t>1_/</t>
  </si>
  <si>
    <t>މަޢުލޫމާތު ދެއްވި ފަރާތް: މޯލްޑިވްސް ޕެންޝަން އެޑްމިނިސްޓްރޭޝަން އޮފީސް</t>
  </si>
  <si>
    <t>Payout Rf (million Rf)</t>
  </si>
  <si>
    <t xml:space="preserve">Payout Rf </t>
  </si>
  <si>
    <t xml:space="preserve">% share </t>
  </si>
  <si>
    <t>Senior Citizen Allowance</t>
  </si>
  <si>
    <t>ތާވަލު 18.1:  ޕެންޝަންގެ ގޮތުގައި އެކި ސްކީމްތަކުން ދެވުނު މިންވަރު، 2023 - 2024</t>
  </si>
  <si>
    <t>TABLE:    18.1   AMOUNT OF PENSION PAID OUT UNDER DIFFERENT SCHEMES, 2023 - 2024</t>
  </si>
  <si>
    <t xml:space="preserve">ދައުލަތުން ޕެންޝަންލިބޭ ފަރާތްތަކުގެ ތެރެއިން މަހަކު 5،000ރ އަށްވުރެ މަދުން ޕެންޝަން ފައިސާ ލިބޭ ފަރާތްތަކަށް5،000ރ ހަމަކޮށްދިނުމަށްޓަކާ ހެދި ސްކީމެއް.  ސީނިއަރ ސިޓިޒަން އެލަވަންސް ސްކީމް ތަޢާރަފުކުރެވިފައިވަނީ ފެބްރުއަރީ 2014 ގައެވެ. އަދި މާރޗް 2019 ގައި  މި އެލަވަންސް ހުއްޓާލުމަށްފަހު އަސާސީ ޕެންޝަނުގެ ގޮތުގައި 5000ރ ވަނީ ހަމަޖައްސާފައެވެ. </t>
  </si>
  <si>
    <r>
      <rPr>
        <b/>
        <sz val="11"/>
        <rFont val="Faruma"/>
      </rPr>
      <t>ދެވުނު މިންވަރު (ރުފިޔާއިން)</t>
    </r>
    <r>
      <rPr>
        <b/>
        <sz val="11"/>
        <rFont val="Calibri"/>
        <family val="2"/>
      </rPr>
      <t xml:space="preserve">    Amount Paid (in MVR)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</si>
</sst>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1" x14ac:knownFonts="1">
    <font>
      <sz val="11"/>
      <color rgb="FF000000"/>
      <name val="Calibri"/>
      <scheme val="minor"/>
    </font>
    <font>
      <b/>
      <sz val="11"/>
      <color rgb="FF000000"/>
      <name val="Faruma"/>
    </font>
    <font>
      <sz val="11"/>
      <name val="Calibri"/>
      <family val="2"/>
    </font>
    <font>
      <sz val="11"/>
      <color rgb="FF000000"/>
      <name val="Calibri"/>
      <family val="2"/>
    </font>
    <font>
      <b/>
      <sz val="11"/>
      <color rgb="FF000000"/>
      <name val="Calibri"/>
      <family val="2"/>
    </font>
    <font>
      <b/>
      <sz val="10"/>
      <color rgb="FF000000"/>
      <name val="Faruma"/>
    </font>
    <font>
      <sz val="11"/>
      <color rgb="FF000000"/>
      <name val="Faruma"/>
    </font>
    <font>
      <i/>
      <sz val="10"/>
      <color rgb="FF000000"/>
      <name val="Calibri"/>
      <family val="2"/>
    </font>
    <font>
      <b/>
      <i/>
      <sz val="12"/>
      <color rgb="FFFF0000"/>
      <name val="Calibri"/>
      <family val="2"/>
    </font>
    <font>
      <sz val="10"/>
      <color rgb="FF000000"/>
      <name val="Faruma"/>
    </font>
    <font>
      <vertAlign val="superscript"/>
      <sz val="10"/>
      <color rgb="FF000000"/>
      <name val="Faruma"/>
    </font>
    <font>
      <u/>
      <sz val="9"/>
      <color rgb="FF0000FF"/>
      <name val="Calibri"/>
      <family val="2"/>
    </font>
    <font>
      <sz val="10"/>
      <color theme="1"/>
      <name val="Arial"/>
      <family val="2"/>
    </font>
    <font>
      <vertAlign val="superscript"/>
      <sz val="11"/>
      <color rgb="FF000000"/>
      <name val="Calibri"/>
      <family val="2"/>
    </font>
    <font>
      <sz val="10"/>
      <name val="Arial"/>
      <family val="2"/>
    </font>
    <font>
      <b/>
      <sz val="11"/>
      <color rgb="FF000000"/>
      <name val="Calibri"/>
      <family val="2"/>
    </font>
    <font>
      <sz val="11"/>
      <color rgb="FF000000"/>
      <name val="Calibri"/>
      <family val="2"/>
    </font>
    <font>
      <i/>
      <sz val="10"/>
      <color rgb="FF000000"/>
      <name val="Faruma"/>
    </font>
    <font>
      <sz val="11"/>
      <name val="Faruma"/>
    </font>
    <font>
      <b/>
      <sz val="11"/>
      <name val="Calibri"/>
      <family val="2"/>
    </font>
    <font>
      <b/>
      <sz val="11"/>
      <name val="Faruma"/>
    </font>
  </fonts>
  <fills count="12">
    <fill>
      <patternFill patternType="none"/>
    </fill>
    <fill>
      <patternFill patternType="gray125"/>
    </fill>
    <fill>
      <patternFill patternType="solid">
        <fgColor theme="0"/>
        <bgColor theme="0"/>
      </patternFill>
    </fill>
    <fill>
      <patternFill patternType="solid">
        <fgColor theme="0"/>
        <bgColor rgb="FF006F6C"/>
      </patternFill>
    </fill>
    <fill>
      <patternFill patternType="solid">
        <fgColor theme="0"/>
        <bgColor rgb="FF00DFDA"/>
      </patternFill>
    </fill>
    <fill>
      <patternFill patternType="solid">
        <fgColor theme="0"/>
        <bgColor rgb="FF00EEE8"/>
      </patternFill>
    </fill>
    <fill>
      <patternFill patternType="solid">
        <fgColor theme="0"/>
        <bgColor rgb="FF93FFFF"/>
      </patternFill>
    </fill>
    <fill>
      <patternFill patternType="solid">
        <fgColor theme="0"/>
        <bgColor rgb="FFD1FFFF"/>
      </patternFill>
    </fill>
    <fill>
      <patternFill patternType="solid">
        <fgColor theme="0"/>
        <bgColor rgb="FFEFFFFF"/>
      </patternFill>
    </fill>
    <fill>
      <patternFill patternType="solid">
        <fgColor theme="0"/>
        <bgColor rgb="FFFFFFFF"/>
      </patternFill>
    </fill>
    <fill>
      <patternFill patternType="solid">
        <fgColor theme="0"/>
        <bgColor indexed="64"/>
      </patternFill>
    </fill>
    <fill>
      <patternFill patternType="solid">
        <fgColor theme="0"/>
        <bgColor rgb="FFE2EFD9"/>
      </patternFill>
    </fill>
  </fills>
  <borders count="36">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diagonal/>
    </border>
    <border>
      <left/>
      <right style="hair">
        <color rgb="FF000000"/>
      </right>
      <top style="thin">
        <color rgb="FF000000"/>
      </top>
      <bottom style="thin">
        <color rgb="FF000000"/>
      </bottom>
      <diagonal/>
    </border>
    <border>
      <left/>
      <right/>
      <top/>
      <bottom/>
      <diagonal/>
    </border>
    <border>
      <left/>
      <right/>
      <top style="thin">
        <color rgb="FF000000"/>
      </top>
      <bottom style="hair">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diagonal/>
    </border>
    <border>
      <left/>
      <right/>
      <top/>
      <bottom style="hair">
        <color rgb="FF000000"/>
      </bottom>
      <diagonal/>
    </border>
    <border>
      <left/>
      <right/>
      <top/>
      <bottom style="thin">
        <color rgb="FF000000"/>
      </bottom>
      <diagonal/>
    </border>
    <border>
      <left/>
      <right/>
      <top/>
      <bottom style="thin">
        <color rgb="FF000000"/>
      </bottom>
      <diagonal/>
    </border>
    <border>
      <left/>
      <right style="hair">
        <color rgb="FF000000"/>
      </right>
      <top/>
      <bottom style="thin">
        <color rgb="FF000000"/>
      </bottom>
      <diagonal/>
    </border>
    <border>
      <left style="hair">
        <color rgb="FF000000"/>
      </left>
      <right/>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hair">
        <color rgb="FF000000"/>
      </right>
      <top/>
      <bottom/>
      <diagonal/>
    </border>
    <border>
      <left style="hair">
        <color rgb="FF000000"/>
      </left>
      <right/>
      <top/>
      <bottom/>
      <diagonal/>
    </border>
    <border>
      <left/>
      <right/>
      <top style="thin">
        <color rgb="FF000000"/>
      </top>
      <bottom/>
      <diagonal/>
    </border>
    <border>
      <left style="hair">
        <color rgb="FF000000"/>
      </left>
      <right/>
      <top style="thin">
        <color rgb="FF000000"/>
      </top>
      <bottom/>
      <diagonal/>
    </border>
    <border>
      <left style="hair">
        <color rgb="FF000000"/>
      </left>
      <right/>
      <top/>
      <bottom style="hair">
        <color rgb="FF000000"/>
      </bottom>
      <diagonal/>
    </border>
    <border>
      <left/>
      <right/>
      <top/>
      <bottom/>
      <diagonal/>
    </border>
    <border>
      <left/>
      <right/>
      <top/>
      <bottom style="thin">
        <color rgb="FF000000"/>
      </bottom>
      <diagonal/>
    </border>
    <border>
      <left/>
      <right style="hair">
        <color rgb="FF000000"/>
      </right>
      <top style="thin">
        <color rgb="FF000000"/>
      </top>
      <bottom/>
      <diagonal/>
    </border>
    <border>
      <left/>
      <right/>
      <top/>
      <bottom style="hair">
        <color rgb="FF000000"/>
      </bottom>
      <diagonal/>
    </border>
    <border>
      <left/>
      <right style="hair">
        <color rgb="FF000000"/>
      </right>
      <top/>
      <bottom style="hair">
        <color rgb="FF000000"/>
      </bottom>
      <diagonal/>
    </border>
    <border>
      <left style="hair">
        <color rgb="FF000000"/>
      </left>
      <right/>
      <top/>
      <bottom/>
      <diagonal/>
    </border>
    <border>
      <left/>
      <right style="hair">
        <color rgb="FF000000"/>
      </right>
      <top/>
      <bottom/>
      <diagonal/>
    </border>
  </borders>
  <cellStyleXfs count="1">
    <xf numFmtId="0" fontId="0" fillId="0" borderId="0"/>
  </cellStyleXfs>
  <cellXfs count="109">
    <xf numFmtId="0" fontId="0" fillId="0" borderId="0" xfId="0"/>
    <xf numFmtId="0" fontId="3" fillId="2" borderId="4" xfId="0" applyFont="1" applyFill="1" applyBorder="1"/>
    <xf numFmtId="0" fontId="1" fillId="2" borderId="7" xfId="0" applyFont="1" applyFill="1" applyBorder="1" applyAlignment="1">
      <alignment horizontal="center" vertical="center"/>
    </xf>
    <xf numFmtId="0" fontId="4" fillId="2" borderId="4" xfId="0" applyFont="1" applyFill="1" applyBorder="1"/>
    <xf numFmtId="0" fontId="4" fillId="2" borderId="4" xfId="0" applyFont="1" applyFill="1" applyBorder="1" applyAlignment="1">
      <alignment horizontal="center" vertical="center"/>
    </xf>
    <xf numFmtId="0" fontId="3" fillId="2" borderId="4" xfId="0" applyFont="1" applyFill="1" applyBorder="1" applyAlignment="1">
      <alignment vertical="center"/>
    </xf>
    <xf numFmtId="0" fontId="5" fillId="2" borderId="14" xfId="0" applyFont="1" applyFill="1" applyBorder="1" applyAlignment="1">
      <alignment horizontal="right" vertical="center"/>
    </xf>
    <xf numFmtId="0" fontId="5" fillId="2" borderId="4" xfId="0" applyFont="1" applyFill="1" applyBorder="1" applyAlignment="1">
      <alignment horizontal="right" vertical="center"/>
    </xf>
    <xf numFmtId="0" fontId="5" fillId="2" borderId="15" xfId="0" applyFont="1" applyFill="1" applyBorder="1" applyAlignment="1">
      <alignment horizontal="right" vertical="center"/>
    </xf>
    <xf numFmtId="0" fontId="5" fillId="2" borderId="16" xfId="0" applyFont="1" applyFill="1" applyBorder="1" applyAlignment="1">
      <alignment horizontal="right" vertical="center"/>
    </xf>
    <xf numFmtId="0" fontId="4" fillId="2" borderId="17" xfId="0" applyFont="1" applyFill="1" applyBorder="1" applyAlignment="1">
      <alignment horizontal="center" vertical="center"/>
    </xf>
    <xf numFmtId="0" fontId="4" fillId="2" borderId="19" xfId="0" applyFont="1" applyFill="1" applyBorder="1" applyAlignment="1">
      <alignment horizontal="right" vertical="center"/>
    </xf>
    <xf numFmtId="0" fontId="4" fillId="2" borderId="20" xfId="0" applyFont="1" applyFill="1" applyBorder="1" applyAlignment="1">
      <alignment horizontal="right" vertical="center"/>
    </xf>
    <xf numFmtId="0" fontId="4" fillId="2" borderId="21" xfId="0" applyFont="1" applyFill="1" applyBorder="1" applyAlignment="1">
      <alignment horizontal="right" vertical="center"/>
    </xf>
    <xf numFmtId="0" fontId="4" fillId="2" borderId="22" xfId="0" applyFont="1" applyFill="1" applyBorder="1" applyAlignment="1">
      <alignment horizontal="right" vertical="center"/>
    </xf>
    <xf numFmtId="0" fontId="4" fillId="2" borderId="23" xfId="0" applyFont="1" applyFill="1" applyBorder="1" applyAlignment="1">
      <alignment horizontal="right" vertical="center"/>
    </xf>
    <xf numFmtId="0" fontId="4" fillId="2" borderId="19" xfId="0" applyFont="1" applyFill="1" applyBorder="1" applyAlignment="1">
      <alignment horizontal="center" vertical="center"/>
    </xf>
    <xf numFmtId="164" fontId="4" fillId="2" borderId="4" xfId="0" applyNumberFormat="1" applyFont="1" applyFill="1" applyBorder="1" applyAlignment="1">
      <alignment horizontal="center" vertical="center"/>
    </xf>
    <xf numFmtId="164" fontId="4" fillId="2" borderId="24" xfId="0" applyNumberFormat="1" applyFont="1" applyFill="1" applyBorder="1" applyAlignment="1">
      <alignment horizontal="center" vertical="center"/>
    </xf>
    <xf numFmtId="164" fontId="4" fillId="2" borderId="25" xfId="0" applyNumberFormat="1" applyFont="1" applyFill="1" applyBorder="1" applyAlignment="1">
      <alignment horizontal="center" vertical="center"/>
    </xf>
    <xf numFmtId="164" fontId="3" fillId="2" borderId="24" xfId="0" applyNumberFormat="1" applyFont="1" applyFill="1" applyBorder="1" applyAlignment="1">
      <alignment horizontal="center" vertical="center"/>
    </xf>
    <xf numFmtId="1" fontId="4" fillId="2" borderId="4" xfId="0" applyNumberFormat="1" applyFont="1" applyFill="1" applyBorder="1" applyAlignment="1">
      <alignment horizontal="center" vertical="center"/>
    </xf>
    <xf numFmtId="0" fontId="1" fillId="2" borderId="4" xfId="0" applyFont="1" applyFill="1" applyBorder="1"/>
    <xf numFmtId="164" fontId="3" fillId="2" borderId="4" xfId="0" applyNumberFormat="1" applyFont="1" applyFill="1" applyBorder="1" applyAlignment="1">
      <alignment horizontal="center" vertical="center"/>
    </xf>
    <xf numFmtId="164" fontId="3" fillId="2" borderId="25" xfId="0" applyNumberFormat="1" applyFont="1" applyFill="1" applyBorder="1" applyAlignment="1">
      <alignment horizontal="center" vertical="center"/>
    </xf>
    <xf numFmtId="1" fontId="3" fillId="2" borderId="4" xfId="0" applyNumberFormat="1" applyFont="1" applyFill="1" applyBorder="1" applyAlignment="1">
      <alignment horizontal="center" vertical="center"/>
    </xf>
    <xf numFmtId="0" fontId="6" fillId="2" borderId="4" xfId="0" applyFont="1" applyFill="1" applyBorder="1"/>
    <xf numFmtId="0" fontId="3" fillId="2" borderId="19" xfId="0" applyFont="1" applyFill="1" applyBorder="1"/>
    <xf numFmtId="164" fontId="3" fillId="2" borderId="19" xfId="0" applyNumberFormat="1" applyFont="1" applyFill="1" applyBorder="1" applyAlignment="1">
      <alignment horizontal="center" vertical="center"/>
    </xf>
    <xf numFmtId="164" fontId="3" fillId="2" borderId="20" xfId="0" applyNumberFormat="1" applyFont="1" applyFill="1" applyBorder="1" applyAlignment="1">
      <alignment horizontal="center" vertical="center"/>
    </xf>
    <xf numFmtId="164" fontId="3" fillId="2" borderId="21" xfId="0" applyNumberFormat="1" applyFont="1" applyFill="1" applyBorder="1" applyAlignment="1">
      <alignment horizontal="center" vertical="center"/>
    </xf>
    <xf numFmtId="1" fontId="3" fillId="2" borderId="19" xfId="0" applyNumberFormat="1" applyFont="1" applyFill="1" applyBorder="1" applyAlignment="1">
      <alignment horizontal="center" vertical="center"/>
    </xf>
    <xf numFmtId="0" fontId="6" fillId="2" borderId="19" xfId="0" applyFont="1" applyFill="1" applyBorder="1"/>
    <xf numFmtId="0" fontId="7" fillId="2" borderId="4" xfId="0" applyFont="1" applyFill="1" applyBorder="1" applyAlignment="1">
      <alignment vertical="center"/>
    </xf>
    <xf numFmtId="164" fontId="7" fillId="2" borderId="4" xfId="0" applyNumberFormat="1" applyFont="1" applyFill="1" applyBorder="1" applyAlignment="1">
      <alignment horizontal="right" vertical="center"/>
    </xf>
    <xf numFmtId="164" fontId="7" fillId="2" borderId="4" xfId="0" applyNumberFormat="1" applyFont="1" applyFill="1" applyBorder="1" applyAlignment="1">
      <alignment vertical="center"/>
    </xf>
    <xf numFmtId="0" fontId="8" fillId="2" borderId="4" xfId="0" applyFont="1" applyFill="1" applyBorder="1" applyAlignment="1">
      <alignment vertical="center"/>
    </xf>
    <xf numFmtId="0" fontId="9" fillId="2" borderId="4" xfId="0" applyFont="1" applyFill="1" applyBorder="1" applyAlignment="1">
      <alignment vertical="center"/>
    </xf>
    <xf numFmtId="0" fontId="10" fillId="2" borderId="4" xfId="0" applyFont="1" applyFill="1" applyBorder="1" applyAlignment="1">
      <alignment horizontal="left" vertical="center"/>
    </xf>
    <xf numFmtId="0" fontId="4" fillId="2" borderId="7" xfId="0" applyFont="1" applyFill="1" applyBorder="1" applyAlignment="1">
      <alignment wrapText="1"/>
    </xf>
    <xf numFmtId="0" fontId="11" fillId="2" borderId="4" xfId="0" applyFont="1" applyFill="1" applyBorder="1" applyAlignment="1">
      <alignment vertical="top"/>
    </xf>
    <xf numFmtId="0" fontId="4" fillId="2" borderId="4" xfId="0" applyFont="1" applyFill="1" applyBorder="1" applyAlignment="1">
      <alignment horizontal="center"/>
    </xf>
    <xf numFmtId="43" fontId="3" fillId="2" borderId="4" xfId="0" applyNumberFormat="1" applyFont="1" applyFill="1" applyBorder="1"/>
    <xf numFmtId="164" fontId="3" fillId="2" borderId="4" xfId="0" applyNumberFormat="1" applyFont="1" applyFill="1" applyBorder="1"/>
    <xf numFmtId="0" fontId="6" fillId="2" borderId="4" xfId="0" applyFont="1" applyFill="1" applyBorder="1" applyAlignment="1">
      <alignment vertical="center"/>
    </xf>
    <xf numFmtId="0" fontId="12" fillId="3" borderId="4" xfId="0" applyFont="1" applyFill="1" applyBorder="1" applyAlignment="1">
      <alignment vertical="center"/>
    </xf>
    <xf numFmtId="0" fontId="12" fillId="4" borderId="4" xfId="0" applyFont="1" applyFill="1" applyBorder="1" applyAlignment="1">
      <alignment vertical="center"/>
    </xf>
    <xf numFmtId="0" fontId="12" fillId="5" borderId="4" xfId="0" applyFont="1" applyFill="1" applyBorder="1" applyAlignment="1">
      <alignment vertical="center"/>
    </xf>
    <xf numFmtId="0" fontId="12" fillId="6" borderId="4" xfId="0" applyFont="1" applyFill="1" applyBorder="1" applyAlignment="1">
      <alignment vertical="center"/>
    </xf>
    <xf numFmtId="0" fontId="12" fillId="7" borderId="4" xfId="0" applyFont="1" applyFill="1" applyBorder="1" applyAlignment="1">
      <alignment vertical="center"/>
    </xf>
    <xf numFmtId="0" fontId="12" fillId="8" borderId="4" xfId="0" applyFont="1" applyFill="1" applyBorder="1" applyAlignment="1">
      <alignment vertical="center"/>
    </xf>
    <xf numFmtId="0" fontId="12" fillId="9" borderId="4" xfId="0" applyFont="1" applyFill="1" applyBorder="1" applyAlignment="1">
      <alignment vertical="center"/>
    </xf>
    <xf numFmtId="0" fontId="0" fillId="10" borderId="0" xfId="0" applyFill="1"/>
    <xf numFmtId="164" fontId="3" fillId="11" borderId="4" xfId="0" applyNumberFormat="1" applyFont="1" applyFill="1" applyBorder="1" applyAlignment="1">
      <alignment horizontal="center" vertical="center"/>
    </xf>
    <xf numFmtId="164" fontId="3" fillId="11" borderId="24" xfId="0" applyNumberFormat="1" applyFont="1" applyFill="1" applyBorder="1" applyAlignment="1">
      <alignment horizontal="center" vertical="center"/>
    </xf>
    <xf numFmtId="164" fontId="3" fillId="11" borderId="19" xfId="0" applyNumberFormat="1" applyFont="1" applyFill="1" applyBorder="1" applyAlignment="1">
      <alignment horizontal="center" vertical="center"/>
    </xf>
    <xf numFmtId="164" fontId="3" fillId="11" borderId="20" xfId="0" applyNumberFormat="1" applyFont="1" applyFill="1" applyBorder="1" applyAlignment="1">
      <alignment horizontal="center" vertical="center"/>
    </xf>
    <xf numFmtId="0" fontId="14" fillId="10" borderId="29" xfId="0" applyFont="1" applyFill="1" applyBorder="1" applyAlignment="1" applyProtection="1">
      <alignment vertical="center"/>
      <protection hidden="1"/>
    </xf>
    <xf numFmtId="164" fontId="4" fillId="2" borderId="29" xfId="0" applyNumberFormat="1" applyFont="1" applyFill="1" applyBorder="1" applyAlignment="1">
      <alignment horizontal="center" vertical="center"/>
    </xf>
    <xf numFmtId="164" fontId="4" fillId="2" borderId="35" xfId="0" applyNumberFormat="1" applyFont="1" applyFill="1" applyBorder="1" applyAlignment="1">
      <alignment horizontal="center" vertical="center"/>
    </xf>
    <xf numFmtId="164" fontId="3" fillId="2" borderId="29" xfId="0" applyNumberFormat="1" applyFont="1" applyFill="1" applyBorder="1" applyAlignment="1">
      <alignment horizontal="center" vertical="center"/>
    </xf>
    <xf numFmtId="164" fontId="3" fillId="2" borderId="35" xfId="0" applyNumberFormat="1" applyFont="1" applyFill="1" applyBorder="1" applyAlignment="1">
      <alignment horizontal="center" vertical="center"/>
    </xf>
    <xf numFmtId="164" fontId="3" fillId="2" borderId="30" xfId="0" applyNumberFormat="1" applyFont="1" applyFill="1" applyBorder="1" applyAlignment="1">
      <alignment horizontal="center" vertical="center"/>
    </xf>
    <xf numFmtId="164" fontId="16" fillId="11" borderId="25" xfId="0" applyNumberFormat="1" applyFont="1" applyFill="1" applyBorder="1" applyAlignment="1">
      <alignment horizontal="center" vertical="center"/>
    </xf>
    <xf numFmtId="164" fontId="16" fillId="11" borderId="21" xfId="0" applyNumberFormat="1" applyFont="1" applyFill="1" applyBorder="1" applyAlignment="1">
      <alignment horizontal="center" vertical="center"/>
    </xf>
    <xf numFmtId="0" fontId="3" fillId="2" borderId="29" xfId="0" applyFont="1" applyFill="1" applyBorder="1"/>
    <xf numFmtId="0" fontId="1" fillId="2" borderId="29" xfId="0" applyFont="1" applyFill="1" applyBorder="1" applyAlignment="1">
      <alignment horizontal="right" vertical="center"/>
    </xf>
    <xf numFmtId="0" fontId="4" fillId="2" borderId="29" xfId="0" applyFont="1" applyFill="1" applyBorder="1"/>
    <xf numFmtId="0" fontId="3" fillId="2" borderId="29" xfId="0" applyFont="1" applyFill="1" applyBorder="1" applyAlignment="1">
      <alignment vertical="center"/>
    </xf>
    <xf numFmtId="0" fontId="1" fillId="2" borderId="29" xfId="0" applyFont="1" applyFill="1" applyBorder="1"/>
    <xf numFmtId="0" fontId="6" fillId="2" borderId="29" xfId="0" applyFont="1" applyFill="1" applyBorder="1"/>
    <xf numFmtId="0" fontId="7" fillId="2" borderId="29" xfId="0" applyFont="1" applyFill="1" applyBorder="1" applyAlignment="1">
      <alignment vertical="center"/>
    </xf>
    <xf numFmtId="0" fontId="17" fillId="2" borderId="4" xfId="0" applyFont="1" applyFill="1" applyBorder="1" applyAlignment="1">
      <alignment vertical="center"/>
    </xf>
    <xf numFmtId="0" fontId="1" fillId="2" borderId="27" xfId="0" applyFont="1" applyFill="1" applyBorder="1" applyAlignment="1">
      <alignment horizontal="center" vertical="center" wrapText="1"/>
    </xf>
    <xf numFmtId="0" fontId="1" fillId="2" borderId="5" xfId="0" applyFont="1" applyFill="1" applyBorder="1" applyAlignment="1">
      <alignment horizontal="right" vertical="center"/>
    </xf>
    <xf numFmtId="0" fontId="2" fillId="10" borderId="9" xfId="0" applyFont="1" applyFill="1" applyBorder="1"/>
    <xf numFmtId="0" fontId="2" fillId="10" borderId="18" xfId="0" applyFont="1" applyFill="1" applyBorder="1"/>
    <xf numFmtId="0" fontId="4" fillId="2" borderId="34" xfId="0" applyFont="1" applyFill="1" applyBorder="1" applyAlignment="1">
      <alignment horizontal="center" vertical="center" wrapText="1"/>
    </xf>
    <xf numFmtId="0" fontId="4" fillId="2" borderId="34" xfId="0" applyFont="1" applyFill="1" applyBorder="1" applyAlignment="1">
      <alignment horizontal="center" vertical="center"/>
    </xf>
    <xf numFmtId="0" fontId="9" fillId="2" borderId="1" xfId="0" applyFont="1" applyFill="1" applyBorder="1" applyAlignment="1">
      <alignment horizontal="right" vertical="center"/>
    </xf>
    <xf numFmtId="0" fontId="18" fillId="10" borderId="2" xfId="0" applyFont="1" applyFill="1" applyBorder="1"/>
    <xf numFmtId="0" fontId="18" fillId="10" borderId="3" xfId="0" applyFont="1" applyFill="1" applyBorder="1"/>
    <xf numFmtId="0" fontId="2" fillId="10" borderId="10" xfId="0" applyFont="1" applyFill="1" applyBorder="1"/>
    <xf numFmtId="0" fontId="2" fillId="10" borderId="11" xfId="0" applyFont="1" applyFill="1" applyBorder="1"/>
    <xf numFmtId="0" fontId="4" fillId="2" borderId="13" xfId="0" applyFont="1" applyFill="1" applyBorder="1" applyAlignment="1">
      <alignment horizontal="center" vertical="center"/>
    </xf>
    <xf numFmtId="0" fontId="1" fillId="2" borderId="1" xfId="0" applyFont="1" applyFill="1" applyBorder="1" applyAlignment="1">
      <alignment horizontal="center"/>
    </xf>
    <xf numFmtId="0" fontId="2" fillId="10" borderId="2" xfId="0" applyFont="1" applyFill="1" applyBorder="1"/>
    <xf numFmtId="0" fontId="2" fillId="10" borderId="3" xfId="0" applyFont="1" applyFill="1" applyBorder="1"/>
    <xf numFmtId="0" fontId="15" fillId="2" borderId="1" xfId="0" applyFont="1" applyFill="1" applyBorder="1" applyAlignment="1">
      <alignment horizontal="center"/>
    </xf>
    <xf numFmtId="0" fontId="4" fillId="2" borderId="5" xfId="0" applyFont="1" applyFill="1" applyBorder="1" applyAlignment="1">
      <alignment horizontal="left" vertical="center"/>
    </xf>
    <xf numFmtId="0" fontId="4" fillId="2" borderId="12" xfId="0" applyFont="1" applyFill="1" applyBorder="1" applyAlignment="1">
      <alignment horizontal="center" vertical="center"/>
    </xf>
    <xf numFmtId="0" fontId="4" fillId="2" borderId="11" xfId="0" applyFont="1" applyFill="1" applyBorder="1" applyAlignment="1">
      <alignment horizontal="center" vertical="center"/>
    </xf>
    <xf numFmtId="0" fontId="1" fillId="2" borderId="26" xfId="0" applyFont="1" applyFill="1" applyBorder="1" applyAlignment="1">
      <alignment horizontal="center" vertical="center" wrapText="1"/>
    </xf>
    <xf numFmtId="0" fontId="1" fillId="2" borderId="31"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4" fillId="2" borderId="35"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32" xfId="0" applyFont="1" applyFill="1" applyBorder="1" applyAlignment="1">
      <alignment horizontal="center" vertical="center" wrapText="1"/>
    </xf>
    <xf numFmtId="0" fontId="4" fillId="2" borderId="33" xfId="0" applyFont="1" applyFill="1" applyBorder="1" applyAlignment="1">
      <alignment horizontal="center" vertical="center" wrapText="1"/>
    </xf>
    <xf numFmtId="0" fontId="1" fillId="2" borderId="27"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31" xfId="0" applyFont="1" applyFill="1" applyBorder="1" applyAlignment="1">
      <alignment horizontal="center" vertical="center"/>
    </xf>
    <xf numFmtId="0" fontId="4" fillId="2" borderId="29" xfId="0" applyFont="1" applyFill="1" applyBorder="1" applyAlignment="1">
      <alignment horizontal="center" vertical="center"/>
    </xf>
    <xf numFmtId="0" fontId="4" fillId="2" borderId="35"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32" xfId="0" applyFont="1" applyFill="1" applyBorder="1" applyAlignment="1">
      <alignment horizontal="center" vertical="center"/>
    </xf>
    <xf numFmtId="0" fontId="4" fillId="2" borderId="33" xfId="0" applyFont="1" applyFill="1" applyBorder="1" applyAlignment="1">
      <alignment horizontal="center" vertical="center"/>
    </xf>
    <xf numFmtId="0" fontId="19" fillId="10" borderId="6" xfId="0" applyFont="1" applyFill="1" applyBorder="1" applyAlignment="1">
      <alignment horizontal="center" vertical="center"/>
    </xf>
    <xf numFmtId="0" fontId="19" fillId="10"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003399"/>
      <color rgb="FF9BC2E6"/>
      <color rgb="FF7E5400"/>
      <color rgb="FF33CCCC"/>
      <color rgb="FFAEAAAA"/>
      <color rgb="FFF7F7F7"/>
      <color rgb="FFEEEE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alcChain" Target="calcChain.xml"/><Relationship Id="rId25" Type="http://schemas.openxmlformats.org/officeDocument/2006/relationships/sharedStrings" Target="sharedStrings.xml"/><Relationship Id="rId1" Type="http://schemas.openxmlformats.org/officeDocument/2006/relationships/worksheet" Target="worksheets/sheet1.xml"/><Relationship Id="rId24" Type="http://schemas.openxmlformats.org/officeDocument/2006/relationships/styles" Target="styles.xml"/><Relationship Id="rId23" Type="http://schemas.openxmlformats.org/officeDocument/2006/relationships/theme" Target="theme/theme1.xml"/><Relationship Id="rId22" Type="http://customschemas.google.com/relationships/workbookmetadata" Target="metadata"/></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400" b="1" i="0">
                <a:solidFill>
                  <a:srgbClr val="757575"/>
                </a:solidFill>
                <a:latin typeface="Consolas"/>
              </a:defRPr>
            </a:pPr>
            <a:r>
              <a:rPr lang="en-US" sz="1400" b="1" i="0">
                <a:solidFill>
                  <a:srgbClr val="757575"/>
                </a:solidFill>
                <a:latin typeface="Consolas"/>
              </a:rPr>
              <a:t>Figure 18.3: Percentage shares of different pension schemes in the payments, 2024</a:t>
            </a:r>
          </a:p>
        </c:rich>
      </c:tx>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dPt>
            <c:idx val="0"/>
            <c:bubble3D val="0"/>
            <c:spPr>
              <a:solidFill>
                <a:srgbClr val="003399"/>
              </a:solidFill>
            </c:spPr>
            <c:extLst>
              <c:ext xmlns:c16="http://schemas.microsoft.com/office/drawing/2014/chart" uri="{C3380CC4-5D6E-409C-BE32-E72D297353CC}">
                <c16:uniqueId val="{00000001-5D51-4450-BFB3-63700FBCB0B2}"/>
              </c:ext>
            </c:extLst>
          </c:dPt>
          <c:dPt>
            <c:idx val="1"/>
            <c:bubble3D val="0"/>
            <c:spPr>
              <a:solidFill>
                <a:srgbClr val="9FFFFF"/>
              </a:solidFill>
            </c:spPr>
            <c:extLst>
              <c:ext xmlns:c16="http://schemas.microsoft.com/office/drawing/2014/chart" uri="{C3380CC4-5D6E-409C-BE32-E72D297353CC}">
                <c16:uniqueId val="{00000003-5D51-4450-BFB3-63700FBCB0B2}"/>
              </c:ext>
            </c:extLst>
          </c:dPt>
          <c:dPt>
            <c:idx val="2"/>
            <c:bubble3D val="0"/>
            <c:spPr>
              <a:solidFill>
                <a:srgbClr val="9BC2E6"/>
              </a:solidFill>
            </c:spPr>
            <c:extLst>
              <c:ext xmlns:c16="http://schemas.microsoft.com/office/drawing/2014/chart" uri="{C3380CC4-5D6E-409C-BE32-E72D297353CC}">
                <c16:uniqueId val="{00000005-5D51-4450-BFB3-63700FBCB0B2}"/>
              </c:ext>
            </c:extLst>
          </c:dPt>
          <c:dLbls>
            <c:dLbl>
              <c:idx val="0"/>
              <c:layout>
                <c:manualLayout>
                  <c:x val="-9.2592592592592587E-2"/>
                  <c:y val="8.5901027077497527E-2"/>
                </c:manualLayout>
              </c:layout>
              <c:spPr/>
              <c:txPr>
                <a:bodyPr/>
                <a:lstStyle/>
                <a:p>
                  <a:pPr lvl="0">
                    <a:defRPr b="0" i="0">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56658315437843"/>
                      <c:h val="0.10237161531279178"/>
                    </c:manualLayout>
                  </c15:layout>
                </c:ext>
                <c:ext xmlns:c16="http://schemas.microsoft.com/office/drawing/2014/chart" uri="{C3380CC4-5D6E-409C-BE32-E72D297353CC}">
                  <c16:uniqueId val="{00000001-5D51-4450-BFB3-63700FBCB0B2}"/>
                </c:ext>
              </c:extLst>
            </c:dLbl>
            <c:dLbl>
              <c:idx val="1"/>
              <c:layout>
                <c:manualLayout>
                  <c:x val="-0.11784511784511785"/>
                  <c:y val="-3.7348272642390972E-3"/>
                </c:manualLayout>
              </c:layout>
              <c:spPr/>
              <c:txPr>
                <a:bodyPr/>
                <a:lstStyle/>
                <a:p>
                  <a:pPr lvl="0">
                    <a:defRPr b="0" i="0"/>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51-4450-BFB3-63700FBCB0B2}"/>
                </c:ext>
              </c:extLst>
            </c:dLbl>
            <c:dLbl>
              <c:idx val="2"/>
              <c:layout>
                <c:manualLayout>
                  <c:x val="8.4175084175084174E-3"/>
                  <c:y val="-1.1204481792717155E-2"/>
                </c:manualLayout>
              </c:layout>
              <c:spPr/>
              <c:txPr>
                <a:bodyPr/>
                <a:lstStyle/>
                <a:p>
                  <a:pPr lvl="0">
                    <a:defRPr b="0" i="0"/>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51-4450-BFB3-63700FBCB0B2}"/>
                </c:ext>
              </c:extLst>
            </c:dLbl>
            <c:spPr>
              <a:noFill/>
              <a:ln>
                <a:noFill/>
              </a:ln>
              <a:effectLst/>
            </c:spPr>
            <c:txPr>
              <a:bodyPr wrap="square" lIns="38100" tIns="19050" rIns="38100" bIns="19050" anchor="ctr">
                <a:spAutoFit/>
              </a:bodyPr>
              <a:lstStyle/>
              <a:p>
                <a:pPr>
                  <a:defRPr b="0"/>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'18.1'!$A$9:$A$11</c:f>
              <c:strCache>
                <c:ptCount val="3"/>
                <c:pt idx="0">
                  <c:v>Basic Pension</c:v>
                </c:pt>
                <c:pt idx="1">
                  <c:v>Retirement Pension</c:v>
                </c:pt>
                <c:pt idx="2">
                  <c:v>Other Pension</c:v>
                </c:pt>
              </c:strCache>
            </c:strRef>
          </c:cat>
          <c:val>
            <c:numRef>
              <c:f>'18.1'!$M$9:$M$11</c:f>
              <c:numCache>
                <c:formatCode>_(* #,##0_);_(* \(#,##0\);_(* "-"??_);_(@_)</c:formatCode>
                <c:ptCount val="3"/>
                <c:pt idx="0">
                  <c:v>71.345330173611671</c:v>
                </c:pt>
                <c:pt idx="1">
                  <c:v>8.945455552260416</c:v>
                </c:pt>
                <c:pt idx="2">
                  <c:v>19.709214274127916</c:v>
                </c:pt>
              </c:numCache>
            </c:numRef>
          </c:val>
          <c:extLst>
            <c:ext xmlns:c16="http://schemas.microsoft.com/office/drawing/2014/chart" uri="{C3380CC4-5D6E-409C-BE32-E72D297353CC}">
              <c16:uniqueId val="{00000006-5D51-4450-BFB3-63700FBCB0B2}"/>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100" b="1" i="0">
                <a:solidFill>
                  <a:srgbClr val="757575"/>
                </a:solidFill>
                <a:latin typeface="+mn-lt"/>
              </a:defRPr>
            </a:pPr>
            <a:r>
              <a:rPr lang="en-US" sz="1100" b="1" i="0">
                <a:solidFill>
                  <a:srgbClr val="757575"/>
                </a:solidFill>
                <a:latin typeface="+mn-lt"/>
              </a:rPr>
              <a:t>Figure 18.2: Percentage share of pension payments going to females, 2024</a:t>
            </a:r>
          </a:p>
        </c:rich>
      </c:tx>
      <c:layout>
        <c:manualLayout>
          <c:xMode val="edge"/>
          <c:yMode val="edge"/>
          <c:x val="0.15703039362232188"/>
          <c:y val="6.9760812572116207E-2"/>
        </c:manualLayout>
      </c:layout>
      <c:overlay val="0"/>
    </c:title>
    <c:autoTitleDeleted val="0"/>
    <c:plotArea>
      <c:layout>
        <c:manualLayout>
          <c:layoutTarget val="inner"/>
          <c:xMode val="edge"/>
          <c:yMode val="edge"/>
          <c:x val="5.7207647250371731E-2"/>
          <c:y val="0.2029014554998807"/>
          <c:w val="0.9029428496325852"/>
          <c:h val="0.69635326932095876"/>
        </c:manualLayout>
      </c:layout>
      <c:barChart>
        <c:barDir val="col"/>
        <c:grouping val="clustered"/>
        <c:varyColors val="1"/>
        <c:ser>
          <c:idx val="0"/>
          <c:order val="0"/>
          <c:spPr>
            <a:solidFill>
              <a:srgbClr val="003399"/>
            </a:solidFill>
            <a:ln cmpd="sng">
              <a:noFill/>
            </a:ln>
          </c:spPr>
          <c:invertIfNegative val="1"/>
          <c:cat>
            <c:strRef>
              <c:f>'18.1'!$A$9:$A$11</c:f>
              <c:strCache>
                <c:ptCount val="3"/>
                <c:pt idx="0">
                  <c:v>Basic Pension</c:v>
                </c:pt>
                <c:pt idx="1">
                  <c:v>Retirement Pension</c:v>
                </c:pt>
                <c:pt idx="2">
                  <c:v>Other Pension</c:v>
                </c:pt>
              </c:strCache>
            </c:strRef>
          </c:cat>
          <c:val>
            <c:numRef>
              <c:f>'18.1'!$P$9:$P$11</c:f>
              <c:numCache>
                <c:formatCode>_(* #,##0_);_(* \(#,##0\);_(* "-"??_);_(@_)</c:formatCode>
                <c:ptCount val="3"/>
                <c:pt idx="0">
                  <c:v>51.646238588751501</c:v>
                </c:pt>
                <c:pt idx="1">
                  <c:v>23.477339469687362</c:v>
                </c:pt>
                <c:pt idx="2">
                  <c:v>23.703666584662368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4B2E-4023-9015-3C9588E65272}"/>
            </c:ext>
          </c:extLst>
        </c:ser>
        <c:dLbls>
          <c:showLegendKey val="0"/>
          <c:showVal val="0"/>
          <c:showCatName val="0"/>
          <c:showSerName val="0"/>
          <c:showPercent val="0"/>
          <c:showBubbleSize val="0"/>
        </c:dLbls>
        <c:gapWidth val="150"/>
        <c:axId val="594972671"/>
        <c:axId val="155977100"/>
      </c:barChart>
      <c:catAx>
        <c:axId val="594972671"/>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155977100"/>
        <c:crosses val="autoZero"/>
        <c:auto val="1"/>
        <c:lblAlgn val="ctr"/>
        <c:lblOffset val="100"/>
        <c:noMultiLvlLbl val="1"/>
      </c:catAx>
      <c:valAx>
        <c:axId val="155977100"/>
        <c:scaling>
          <c:orientation val="minMax"/>
        </c:scaling>
        <c:delete val="0"/>
        <c:axPos val="l"/>
        <c:majorGridlines>
          <c:spPr>
            <a:ln w="3175">
              <a:noFill/>
            </a:ln>
          </c:spPr>
        </c:majorGridlines>
        <c:title>
          <c:tx>
            <c:rich>
              <a:bodyPr/>
              <a:lstStyle/>
              <a:p>
                <a:pPr lvl="0">
                  <a:defRPr b="0">
                    <a:solidFill>
                      <a:srgbClr val="000000"/>
                    </a:solidFill>
                    <a:latin typeface="+mn-lt"/>
                  </a:defRPr>
                </a:pPr>
                <a:endParaRPr lang="en-US"/>
              </a:p>
            </c:rich>
          </c:tx>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594972671"/>
        <c:crosses val="autoZero"/>
        <c:crossBetween val="between"/>
      </c:valAx>
      <c:spPr>
        <a:solidFill>
          <a:srgbClr val="F7F7F7"/>
        </a:solidFill>
        <a:ln>
          <a:solidFill>
            <a:schemeClr val="bg2">
              <a:lumMod val="8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autoTitleDeleted val="1"/>
    <c:plotArea>
      <c:layout>
        <c:manualLayout>
          <c:layoutTarget val="inner"/>
          <c:xMode val="edge"/>
          <c:yMode val="edge"/>
          <c:x val="0.10406943812874454"/>
          <c:y val="0.18477160386497429"/>
          <c:w val="0.86173435767337592"/>
          <c:h val="0.63449133527078827"/>
        </c:manualLayout>
      </c:layout>
      <c:barChart>
        <c:barDir val="col"/>
        <c:grouping val="clustered"/>
        <c:varyColors val="1"/>
        <c:ser>
          <c:idx val="0"/>
          <c:order val="0"/>
          <c:tx>
            <c:v>Male</c:v>
          </c:tx>
          <c:spPr>
            <a:solidFill>
              <a:srgbClr val="003399"/>
            </a:solidFill>
            <a:ln cmpd="sng">
              <a:noFill/>
            </a:ln>
          </c:spPr>
          <c:invertIfNegative val="1"/>
          <c:cat>
            <c:strRef>
              <c:f>'18.1'!$AI$24:$AI$26</c:f>
              <c:strCache>
                <c:ptCount val="3"/>
                <c:pt idx="0">
                  <c:v>Basic Pension</c:v>
                </c:pt>
                <c:pt idx="1">
                  <c:v>Retirement Pension</c:v>
                </c:pt>
                <c:pt idx="2">
                  <c:v>Other Pension</c:v>
                </c:pt>
              </c:strCache>
            </c:strRef>
          </c:cat>
          <c:val>
            <c:numRef>
              <c:f>'18.1'!$AJ$24:$AJ$26</c:f>
              <c:numCache>
                <c:formatCode>_(* #,##0.00_);_(* \(#,##0.00\);_(* "-"??_);_(@_)</c:formatCode>
                <c:ptCount val="3"/>
                <c:pt idx="0">
                  <c:v>638.42401184000005</c:v>
                </c:pt>
                <c:pt idx="1">
                  <c:v>126.67937757</c:v>
                </c:pt>
                <c:pt idx="2" formatCode="_(* #,##0_);_(* \(#,##0\);_(* &quot;-&quot;??_);_(@_)">
                  <c:v>278.28280748999998</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B950-438C-8503-A731D896F82B}"/>
            </c:ext>
          </c:extLst>
        </c:ser>
        <c:ser>
          <c:idx val="1"/>
          <c:order val="1"/>
          <c:tx>
            <c:v>Female</c:v>
          </c:tx>
          <c:spPr>
            <a:solidFill>
              <a:srgbClr val="9BC2E6"/>
            </a:solidFill>
            <a:ln cmpd="sng">
              <a:noFill/>
            </a:ln>
          </c:spPr>
          <c:invertIfNegative val="1"/>
          <c:cat>
            <c:strRef>
              <c:f>'18.1'!$AI$24:$AI$26</c:f>
              <c:strCache>
                <c:ptCount val="3"/>
                <c:pt idx="0">
                  <c:v>Basic Pension</c:v>
                </c:pt>
                <c:pt idx="1">
                  <c:v>Retirement Pension</c:v>
                </c:pt>
                <c:pt idx="2">
                  <c:v>Other Pension</c:v>
                </c:pt>
              </c:strCache>
            </c:strRef>
          </c:cat>
          <c:val>
            <c:numRef>
              <c:f>'18.1'!$AK$24:$AK$26</c:f>
              <c:numCache>
                <c:formatCode>_(* #,##0_);_(* \(#,##0\);_(* "-"??_);_(@_)</c:formatCode>
                <c:ptCount val="3"/>
                <c:pt idx="0" formatCode="_(* #,##0.00_);_(* \(#,##0.00\);_(* &quot;-&quot;??_);_(@_)">
                  <c:v>681.89522125999997</c:v>
                </c:pt>
                <c:pt idx="1">
                  <c:v>38.86554297</c:v>
                </c:pt>
                <c:pt idx="2">
                  <c:v>86.456617109999996</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1-B950-438C-8503-A731D896F82B}"/>
            </c:ext>
          </c:extLst>
        </c:ser>
        <c:dLbls>
          <c:showLegendKey val="0"/>
          <c:showVal val="0"/>
          <c:showCatName val="0"/>
          <c:showSerName val="0"/>
          <c:showPercent val="0"/>
          <c:showBubbleSize val="0"/>
        </c:dLbls>
        <c:gapWidth val="150"/>
        <c:axId val="970701813"/>
        <c:axId val="278191825"/>
      </c:barChart>
      <c:catAx>
        <c:axId val="970701813"/>
        <c:scaling>
          <c:orientation val="minMax"/>
        </c:scaling>
        <c:delete val="0"/>
        <c:axPos val="b"/>
        <c:title>
          <c:tx>
            <c:rich>
              <a:bodyPr/>
              <a:lstStyle/>
              <a:p>
                <a:pPr lvl="0">
                  <a:defRPr b="0">
                    <a:solidFill>
                      <a:srgbClr val="000000"/>
                    </a:solidFill>
                    <a:latin typeface="+mn-lt"/>
                  </a:defRPr>
                </a:pPr>
                <a:endParaRPr lang="en-US"/>
              </a:p>
            </c:rich>
          </c:tx>
          <c:overlay val="0"/>
        </c:title>
        <c:numFmt formatCode="General" sourceLinked="1"/>
        <c:majorTickMark val="cross"/>
        <c:minorTickMark val="cross"/>
        <c:tickLblPos val="nextTo"/>
        <c:txPr>
          <a:bodyPr/>
          <a:lstStyle/>
          <a:p>
            <a:pPr lvl="0">
              <a:defRPr b="0" i="0">
                <a:solidFill>
                  <a:srgbClr val="000000"/>
                </a:solidFill>
                <a:latin typeface="+mn-lt"/>
              </a:defRPr>
            </a:pPr>
            <a:endParaRPr lang="en-US"/>
          </a:p>
        </c:txPr>
        <c:crossAx val="278191825"/>
        <c:crosses val="autoZero"/>
        <c:auto val="1"/>
        <c:lblAlgn val="ctr"/>
        <c:lblOffset val="100"/>
        <c:noMultiLvlLbl val="1"/>
      </c:catAx>
      <c:valAx>
        <c:axId val="278191825"/>
        <c:scaling>
          <c:orientation val="minMax"/>
        </c:scaling>
        <c:delete val="0"/>
        <c:axPos val="l"/>
        <c:majorGridlines>
          <c:spPr>
            <a:ln>
              <a:noFill/>
            </a:ln>
          </c:spPr>
        </c:majorGridlines>
        <c:title>
          <c:tx>
            <c:rich>
              <a:bodyPr/>
              <a:lstStyle/>
              <a:p>
                <a:pPr lvl="0">
                  <a:defRPr b="1" i="0">
                    <a:solidFill>
                      <a:srgbClr val="000000"/>
                    </a:solidFill>
                    <a:latin typeface="+mn-lt"/>
                  </a:defRPr>
                </a:pPr>
                <a:r>
                  <a:rPr lang="en-US" b="1" i="0">
                    <a:solidFill>
                      <a:srgbClr val="000000"/>
                    </a:solidFill>
                    <a:latin typeface="+mn-lt"/>
                  </a:rPr>
                  <a:t>Value (In million MVR)</a:t>
                </a:r>
              </a:p>
            </c:rich>
          </c:tx>
          <c:layout>
            <c:manualLayout>
              <c:xMode val="edge"/>
              <c:yMode val="edge"/>
              <c:x val="1.8098848266696659E-2"/>
              <c:y val="0.25842801195591875"/>
            </c:manualLayout>
          </c:layout>
          <c:overlay val="0"/>
        </c:title>
        <c:numFmt formatCode="#,##0" sourceLinked="0"/>
        <c:majorTickMark val="none"/>
        <c:minorTickMark val="none"/>
        <c:tickLblPos val="nextTo"/>
        <c:spPr>
          <a:ln/>
        </c:spPr>
        <c:txPr>
          <a:bodyPr/>
          <a:lstStyle/>
          <a:p>
            <a:pPr lvl="0">
              <a:defRPr b="0" i="0">
                <a:solidFill>
                  <a:srgbClr val="000000"/>
                </a:solidFill>
                <a:latin typeface="+mn-lt"/>
              </a:defRPr>
            </a:pPr>
            <a:endParaRPr lang="en-US"/>
          </a:p>
        </c:txPr>
        <c:crossAx val="970701813"/>
        <c:crosses val="autoZero"/>
        <c:crossBetween val="between"/>
      </c:valAx>
      <c:spPr>
        <a:solidFill>
          <a:srgbClr val="F7F7F7"/>
        </a:solidFill>
        <a:ln>
          <a:solidFill>
            <a:schemeClr val="bg2">
              <a:lumMod val="85000"/>
            </a:schemeClr>
          </a:solidFill>
        </a:ln>
      </c:spPr>
    </c:plotArea>
    <c:legend>
      <c:legendPos val="r"/>
      <c:layout>
        <c:manualLayout>
          <c:xMode val="edge"/>
          <c:yMode val="edge"/>
          <c:x val="0.56363880046909032"/>
          <c:y val="0.21363637116338377"/>
          <c:w val="0.23628094360545354"/>
          <c:h val="8.9025559502223101E-2"/>
        </c:manualLayout>
      </c:layout>
      <c:overlay val="0"/>
      <c:txPr>
        <a:bodyPr/>
        <a:lstStyle/>
        <a:p>
          <a:pPr lvl="0">
            <a:defRPr sz="1000" b="0" i="0">
              <a:solidFill>
                <a:srgbClr val="1A1A1A"/>
              </a:solidFill>
              <a:latin typeface="+mn-lt"/>
            </a:defRPr>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419100</xdr:colOff>
      <xdr:row>38</xdr:row>
      <xdr:rowOff>57150</xdr:rowOff>
    </xdr:from>
    <xdr:ext cx="7543800" cy="3400425"/>
    <xdr:graphicFrame macro="">
      <xdr:nvGraphicFramePr>
        <xdr:cNvPr id="2086488564" name="Chart 1">
          <a:extLst>
            <a:ext uri="{FF2B5EF4-FFF2-40B4-BE49-F238E27FC236}">
              <a16:creationId xmlns:a16="http://schemas.microsoft.com/office/drawing/2014/main" id="{00000000-0008-0000-0000-0000F4495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10</xdr:col>
      <xdr:colOff>0</xdr:colOff>
      <xdr:row>19</xdr:row>
      <xdr:rowOff>9525</xdr:rowOff>
    </xdr:from>
    <xdr:ext cx="6372225" cy="3038475"/>
    <xdr:graphicFrame macro="">
      <xdr:nvGraphicFramePr>
        <xdr:cNvPr id="1635458216" name="Chart 2">
          <a:extLst>
            <a:ext uri="{FF2B5EF4-FFF2-40B4-BE49-F238E27FC236}">
              <a16:creationId xmlns:a16="http://schemas.microsoft.com/office/drawing/2014/main" id="{00000000-0008-0000-0000-0000A81C7B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57150</xdr:colOff>
      <xdr:row>18</xdr:row>
      <xdr:rowOff>123825</xdr:rowOff>
    </xdr:from>
    <xdr:ext cx="6267450" cy="3228975"/>
    <xdr:graphicFrame macro="">
      <xdr:nvGraphicFramePr>
        <xdr:cNvPr id="1873090898" name="Chart 3">
          <a:extLst>
            <a:ext uri="{FF2B5EF4-FFF2-40B4-BE49-F238E27FC236}">
              <a16:creationId xmlns:a16="http://schemas.microsoft.com/office/drawing/2014/main" id="{00000000-0008-0000-0000-00005219A5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790575</xdr:colOff>
      <xdr:row>19</xdr:row>
      <xdr:rowOff>0</xdr:rowOff>
    </xdr:from>
    <xdr:ext cx="5238750" cy="285750"/>
    <xdr:sp macro="" textlink="">
      <xdr:nvSpPr>
        <xdr:cNvPr id="3" name="Shape 3">
          <a:extLst>
            <a:ext uri="{FF2B5EF4-FFF2-40B4-BE49-F238E27FC236}">
              <a16:creationId xmlns:a16="http://schemas.microsoft.com/office/drawing/2014/main" id="{00000000-0008-0000-0000-000003000000}"/>
            </a:ext>
          </a:extLst>
        </xdr:cNvPr>
        <xdr:cNvSpPr txBox="1"/>
      </xdr:nvSpPr>
      <xdr:spPr>
        <a:xfrm>
          <a:off x="2731388" y="3641888"/>
          <a:ext cx="5229225" cy="276225"/>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alibri"/>
              <a:ea typeface="Calibri"/>
              <a:cs typeface="Calibri"/>
              <a:sym typeface="Calibri"/>
            </a:rPr>
            <a:t>Figure 18.1: Pension payments made under different schemes, 2024</a:t>
          </a:r>
          <a:endParaRPr sz="1100" b="1" i="0">
            <a:solidFill>
              <a:schemeClr val="dk1"/>
            </a:solidFill>
            <a:latin typeface="Calibri"/>
            <a:ea typeface="Calibri"/>
            <a:cs typeface="Calibri"/>
            <a:sym typeface="Calibri"/>
          </a:endParaRPr>
        </a:p>
        <a:p>
          <a:pPr marL="0" lvl="0" indent="0" algn="l" rtl="0">
            <a:spcBef>
              <a:spcPts val="0"/>
            </a:spcBef>
            <a:spcAft>
              <a:spcPts val="0"/>
            </a:spcAft>
            <a:buSzPts val="1100"/>
            <a:buFont typeface="Arial"/>
            <a:buNone/>
          </a:pPr>
          <a:endParaRPr sz="11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O1000"/>
  <sheetViews>
    <sheetView tabSelected="1" zoomScaleNormal="100" workbookViewId="0">
      <selection activeCell="P10" sqref="P10"/>
    </sheetView>
  </sheetViews>
  <sheetFormatPr defaultColWidth="14.42578125" defaultRowHeight="15" customHeight="1" x14ac:dyDescent="0.25"/>
  <cols>
    <col min="1" max="1" width="22.140625" style="52" customWidth="1"/>
    <col min="2" max="2" width="15.7109375" style="52" hidden="1" customWidth="1"/>
    <col min="3" max="4" width="14.28515625" style="52" hidden="1" customWidth="1"/>
    <col min="5" max="5" width="16.140625" style="52" customWidth="1"/>
    <col min="6" max="7" width="14.28515625" style="52" customWidth="1"/>
    <col min="8" max="8" width="16.140625" style="52" customWidth="1"/>
    <col min="9" max="9" width="15.5703125" style="52" customWidth="1"/>
    <col min="10" max="10" width="14.28515625" style="52" customWidth="1"/>
    <col min="11" max="13" width="8.140625" style="52" customWidth="1"/>
    <col min="14" max="16" width="7.7109375" style="52" customWidth="1"/>
    <col min="17" max="18" width="13.140625" style="52" customWidth="1"/>
    <col min="19" max="19" width="14.5703125" style="52" customWidth="1"/>
    <col min="20" max="20" width="7" style="52" customWidth="1"/>
    <col min="21" max="21" width="3.7109375" style="52" customWidth="1"/>
    <col min="22" max="33" width="11.28515625" style="52" customWidth="1"/>
    <col min="34" max="34" width="36" style="52" customWidth="1"/>
    <col min="35" max="35" width="30.140625" style="52" customWidth="1"/>
    <col min="36" max="37" width="8" style="52" customWidth="1"/>
    <col min="38" max="39" width="15" style="52" customWidth="1"/>
    <col min="40" max="40" width="17.28515625" style="52" customWidth="1"/>
    <col min="41" max="41" width="14.42578125" style="52" customWidth="1"/>
    <col min="42" max="16384" width="14.42578125" style="52"/>
  </cols>
  <sheetData>
    <row r="1" spans="1:41" ht="21.75" customHeight="1" x14ac:dyDescent="0.55000000000000004">
      <c r="A1" s="85" t="s">
        <v>32</v>
      </c>
      <c r="B1" s="86"/>
      <c r="C1" s="86"/>
      <c r="D1" s="86"/>
      <c r="E1" s="86"/>
      <c r="F1" s="86"/>
      <c r="G1" s="86"/>
      <c r="H1" s="86"/>
      <c r="I1" s="86"/>
      <c r="J1" s="86"/>
      <c r="K1" s="86"/>
      <c r="L1" s="86"/>
      <c r="M1" s="86"/>
      <c r="N1" s="86"/>
      <c r="O1" s="86"/>
      <c r="P1" s="86"/>
      <c r="Q1" s="86"/>
      <c r="R1" s="86"/>
      <c r="S1" s="87"/>
      <c r="T1" s="1"/>
      <c r="U1" s="1"/>
      <c r="V1" s="1"/>
      <c r="W1" s="1"/>
      <c r="X1" s="1"/>
      <c r="Y1" s="1"/>
      <c r="Z1" s="1"/>
      <c r="AA1" s="1"/>
      <c r="AB1" s="1"/>
      <c r="AC1" s="1"/>
      <c r="AD1" s="1"/>
      <c r="AE1" s="1"/>
      <c r="AF1" s="1"/>
      <c r="AG1" s="1"/>
      <c r="AH1" s="1"/>
      <c r="AI1" s="1"/>
      <c r="AJ1" s="1"/>
      <c r="AK1" s="1"/>
      <c r="AL1" s="1"/>
      <c r="AM1" s="1"/>
      <c r="AN1" s="1"/>
      <c r="AO1" s="1"/>
    </row>
    <row r="2" spans="1:41" x14ac:dyDescent="0.25">
      <c r="A2" s="88" t="s">
        <v>33</v>
      </c>
      <c r="B2" s="86"/>
      <c r="C2" s="86"/>
      <c r="D2" s="86"/>
      <c r="E2" s="86"/>
      <c r="F2" s="86"/>
      <c r="G2" s="86"/>
      <c r="H2" s="86"/>
      <c r="I2" s="86"/>
      <c r="J2" s="86"/>
      <c r="K2" s="86"/>
      <c r="L2" s="86"/>
      <c r="M2" s="86"/>
      <c r="N2" s="86"/>
      <c r="O2" s="86"/>
      <c r="P2" s="86"/>
      <c r="Q2" s="86"/>
      <c r="R2" s="86"/>
      <c r="S2" s="87"/>
      <c r="T2" s="65"/>
      <c r="U2" s="65"/>
      <c r="V2" s="1"/>
      <c r="W2" s="1"/>
      <c r="X2" s="1"/>
      <c r="Y2" s="1"/>
      <c r="Z2" s="1"/>
      <c r="AA2" s="1"/>
      <c r="AB2" s="1"/>
      <c r="AC2" s="1"/>
      <c r="AD2" s="1"/>
      <c r="AE2" s="1"/>
      <c r="AF2" s="1"/>
      <c r="AG2" s="1"/>
      <c r="AH2" s="1"/>
      <c r="AI2" s="1"/>
      <c r="AJ2" s="1"/>
      <c r="AK2" s="1"/>
      <c r="AL2" s="1"/>
      <c r="AM2" s="1"/>
      <c r="AN2" s="1"/>
      <c r="AO2" s="1"/>
    </row>
    <row r="3" spans="1:41" ht="8.25" customHeight="1" x14ac:dyDescent="0.25">
      <c r="A3" s="1"/>
      <c r="B3" s="1"/>
      <c r="C3" s="1"/>
      <c r="D3" s="1"/>
      <c r="E3" s="1"/>
      <c r="F3" s="1"/>
      <c r="G3" s="1"/>
      <c r="H3" s="1"/>
      <c r="I3" s="1"/>
      <c r="J3" s="1"/>
      <c r="K3" s="1"/>
      <c r="L3" s="1"/>
      <c r="M3" s="1"/>
      <c r="N3" s="1"/>
      <c r="O3" s="1"/>
      <c r="P3" s="1"/>
      <c r="Q3" s="1"/>
      <c r="R3" s="1"/>
      <c r="S3" s="1"/>
      <c r="T3" s="65"/>
      <c r="U3" s="65"/>
      <c r="V3" s="1"/>
      <c r="W3" s="1"/>
      <c r="X3" s="1"/>
      <c r="Y3" s="1"/>
      <c r="Z3" s="1"/>
      <c r="AA3" s="1"/>
      <c r="AB3" s="1"/>
      <c r="AC3" s="1"/>
      <c r="AD3" s="1"/>
      <c r="AE3" s="1"/>
      <c r="AF3" s="1"/>
      <c r="AG3" s="1"/>
      <c r="AH3" s="1"/>
      <c r="AI3" s="1"/>
      <c r="AJ3" s="1"/>
      <c r="AK3" s="1"/>
      <c r="AL3" s="1"/>
      <c r="AM3" s="1"/>
      <c r="AN3" s="1"/>
      <c r="AO3" s="1"/>
    </row>
    <row r="4" spans="1:41" ht="36" customHeight="1" x14ac:dyDescent="0.25">
      <c r="A4" s="89" t="s">
        <v>0</v>
      </c>
      <c r="B4" s="107" t="s">
        <v>35</v>
      </c>
      <c r="C4" s="107"/>
      <c r="D4" s="107"/>
      <c r="E4" s="107"/>
      <c r="F4" s="107"/>
      <c r="G4" s="107"/>
      <c r="H4" s="107"/>
      <c r="I4" s="107"/>
      <c r="J4" s="108"/>
      <c r="K4" s="99" t="s">
        <v>1</v>
      </c>
      <c r="L4" s="100"/>
      <c r="M4" s="101"/>
      <c r="N4" s="73" t="s">
        <v>2</v>
      </c>
      <c r="O4" s="92"/>
      <c r="P4" s="93"/>
      <c r="Q4" s="2" t="s">
        <v>3</v>
      </c>
      <c r="R4" s="2"/>
      <c r="S4" s="74" t="s">
        <v>4</v>
      </c>
      <c r="T4" s="66"/>
      <c r="U4" s="67"/>
      <c r="V4" s="1"/>
      <c r="W4" s="1"/>
      <c r="X4" s="1"/>
      <c r="Y4" s="1"/>
      <c r="Z4" s="1"/>
      <c r="AA4" s="1"/>
      <c r="AB4" s="1"/>
      <c r="AC4" s="1"/>
      <c r="AD4" s="1"/>
      <c r="AE4" s="1"/>
      <c r="AF4" s="1"/>
      <c r="AG4" s="1"/>
      <c r="AH4" s="1"/>
      <c r="AI4" s="1"/>
      <c r="AJ4" s="1"/>
      <c r="AK4" s="1"/>
      <c r="AL4" s="1"/>
      <c r="AM4" s="1"/>
      <c r="AN4" s="1"/>
      <c r="AO4" s="1"/>
    </row>
    <row r="5" spans="1:41" ht="15" customHeight="1" x14ac:dyDescent="0.25">
      <c r="A5" s="75"/>
      <c r="B5" s="90">
        <v>2022</v>
      </c>
      <c r="C5" s="90"/>
      <c r="D5" s="91"/>
      <c r="E5" s="84">
        <v>2023</v>
      </c>
      <c r="F5" s="82"/>
      <c r="G5" s="83"/>
      <c r="H5" s="84">
        <v>2024</v>
      </c>
      <c r="I5" s="82"/>
      <c r="J5" s="83"/>
      <c r="K5" s="78" t="s">
        <v>5</v>
      </c>
      <c r="L5" s="102"/>
      <c r="M5" s="103"/>
      <c r="N5" s="77" t="s">
        <v>6</v>
      </c>
      <c r="O5" s="94"/>
      <c r="P5" s="95"/>
      <c r="Q5" s="4" t="s">
        <v>7</v>
      </c>
      <c r="R5" s="4"/>
      <c r="S5" s="75"/>
      <c r="T5" s="66"/>
      <c r="U5" s="68"/>
      <c r="V5" s="5"/>
      <c r="W5" s="5"/>
      <c r="X5" s="5"/>
      <c r="Y5" s="5"/>
      <c r="Z5" s="5"/>
      <c r="AA5" s="5"/>
      <c r="AB5" s="5"/>
      <c r="AC5" s="5"/>
      <c r="AD5" s="5"/>
      <c r="AE5" s="5"/>
      <c r="AF5" s="5"/>
      <c r="AG5" s="5"/>
      <c r="AH5" s="5"/>
      <c r="AI5" s="5"/>
      <c r="AJ5" s="5"/>
      <c r="AK5" s="5"/>
      <c r="AL5" s="5"/>
      <c r="AM5" s="5"/>
      <c r="AN5" s="5"/>
      <c r="AO5" s="1"/>
    </row>
    <row r="6" spans="1:41" ht="16.5" customHeight="1" x14ac:dyDescent="0.25">
      <c r="A6" s="75"/>
      <c r="B6" s="6" t="s">
        <v>8</v>
      </c>
      <c r="C6" s="7" t="s">
        <v>9</v>
      </c>
      <c r="D6" s="8" t="s">
        <v>10</v>
      </c>
      <c r="E6" s="9" t="s">
        <v>8</v>
      </c>
      <c r="F6" s="7" t="s">
        <v>9</v>
      </c>
      <c r="G6" s="8" t="s">
        <v>10</v>
      </c>
      <c r="H6" s="9" t="s">
        <v>8</v>
      </c>
      <c r="I6" s="7" t="s">
        <v>9</v>
      </c>
      <c r="J6" s="8" t="s">
        <v>10</v>
      </c>
      <c r="K6" s="104"/>
      <c r="L6" s="105"/>
      <c r="M6" s="106"/>
      <c r="N6" s="96"/>
      <c r="O6" s="97"/>
      <c r="P6" s="98"/>
      <c r="Q6" s="10"/>
      <c r="R6" s="4"/>
      <c r="S6" s="75"/>
      <c r="T6" s="66"/>
      <c r="U6" s="68"/>
      <c r="V6" s="5"/>
      <c r="W6" s="5"/>
      <c r="X6" s="5"/>
      <c r="Y6" s="5"/>
      <c r="Z6" s="5"/>
      <c r="AA6" s="5"/>
      <c r="AB6" s="5"/>
      <c r="AC6" s="5"/>
      <c r="AD6" s="5"/>
      <c r="AE6" s="5"/>
      <c r="AF6" s="5"/>
      <c r="AG6" s="5"/>
      <c r="AH6" s="5"/>
      <c r="AI6" s="5"/>
      <c r="AJ6" s="5"/>
      <c r="AK6" s="5"/>
      <c r="AL6" s="5"/>
      <c r="AM6" s="5"/>
      <c r="AN6" s="5"/>
      <c r="AO6" s="1"/>
    </row>
    <row r="7" spans="1:41" ht="21" customHeight="1" x14ac:dyDescent="0.25">
      <c r="A7" s="76"/>
      <c r="B7" s="11" t="s">
        <v>11</v>
      </c>
      <c r="C7" s="11" t="s">
        <v>12</v>
      </c>
      <c r="D7" s="12" t="s">
        <v>13</v>
      </c>
      <c r="E7" s="13" t="s">
        <v>11</v>
      </c>
      <c r="F7" s="11" t="s">
        <v>12</v>
      </c>
      <c r="G7" s="12" t="s">
        <v>13</v>
      </c>
      <c r="H7" s="13" t="s">
        <v>11</v>
      </c>
      <c r="I7" s="11" t="s">
        <v>12</v>
      </c>
      <c r="J7" s="12" t="s">
        <v>13</v>
      </c>
      <c r="K7" s="14">
        <v>2022</v>
      </c>
      <c r="L7" s="14">
        <v>2023</v>
      </c>
      <c r="M7" s="15">
        <v>2024</v>
      </c>
      <c r="N7" s="14">
        <v>2022</v>
      </c>
      <c r="O7" s="14">
        <v>2023</v>
      </c>
      <c r="P7" s="15">
        <v>2024</v>
      </c>
      <c r="Q7" s="16" t="s">
        <v>14</v>
      </c>
      <c r="R7" s="16"/>
      <c r="S7" s="76"/>
      <c r="T7" s="66"/>
      <c r="U7" s="65"/>
      <c r="V7" s="5"/>
      <c r="W7" s="1"/>
      <c r="X7" s="1"/>
      <c r="Y7" s="1"/>
      <c r="Z7" s="1"/>
      <c r="AA7" s="1"/>
      <c r="AB7" s="1"/>
      <c r="AC7" s="1"/>
      <c r="AD7" s="1"/>
      <c r="AE7" s="1"/>
      <c r="AF7" s="1"/>
      <c r="AG7" s="1"/>
      <c r="AH7" s="1"/>
      <c r="AI7" s="1"/>
      <c r="AJ7" s="1"/>
      <c r="AK7" s="1"/>
      <c r="AL7" s="1"/>
      <c r="AM7" s="1"/>
      <c r="AN7" s="1"/>
      <c r="AO7" s="1"/>
    </row>
    <row r="8" spans="1:41" ht="26.25" customHeight="1" x14ac:dyDescent="0.55000000000000004">
      <c r="A8" s="3" t="s">
        <v>11</v>
      </c>
      <c r="B8" s="17">
        <f t="shared" ref="B8:J8" si="0">SUM(B9:B12)</f>
        <v>1623530813.96</v>
      </c>
      <c r="C8" s="17">
        <f t="shared" si="0"/>
        <v>920805984.36000001</v>
      </c>
      <c r="D8" s="18">
        <f t="shared" si="0"/>
        <v>702724829.60000002</v>
      </c>
      <c r="E8" s="19">
        <f t="shared" si="0"/>
        <v>1734428101.1100001</v>
      </c>
      <c r="F8" s="17">
        <f t="shared" si="0"/>
        <v>989029512.00999999</v>
      </c>
      <c r="G8" s="18">
        <f t="shared" si="0"/>
        <v>745398589.10000002</v>
      </c>
      <c r="H8" s="19">
        <f t="shared" si="0"/>
        <v>1850603578.2399998</v>
      </c>
      <c r="I8" s="17">
        <f t="shared" si="0"/>
        <v>1043386196.9000001</v>
      </c>
      <c r="J8" s="18">
        <f t="shared" si="0"/>
        <v>807217381.34000003</v>
      </c>
      <c r="K8" s="58">
        <f>B8/B8*100</f>
        <v>100</v>
      </c>
      <c r="L8" s="58">
        <f>C8/C8*100</f>
        <v>100</v>
      </c>
      <c r="M8" s="59">
        <f>H8/H8*100</f>
        <v>100</v>
      </c>
      <c r="N8" s="17">
        <f>D8/B8*100</f>
        <v>43.283738353321674</v>
      </c>
      <c r="O8" s="17">
        <f>G8/E8*100</f>
        <v>42.976620859807305</v>
      </c>
      <c r="P8" s="18">
        <f>J8/H8*100</f>
        <v>43.619140848506142</v>
      </c>
      <c r="Q8" s="17">
        <f>((H8-E8)/E8)*100</f>
        <v>6.6982008107254254</v>
      </c>
      <c r="R8" s="21"/>
      <c r="S8" s="22" t="s">
        <v>8</v>
      </c>
      <c r="T8" s="69"/>
      <c r="U8" s="67"/>
      <c r="V8" s="5"/>
      <c r="W8" s="3"/>
      <c r="X8" s="3"/>
      <c r="Y8" s="3"/>
      <c r="Z8" s="3"/>
      <c r="AA8" s="3"/>
      <c r="AB8" s="3"/>
      <c r="AC8" s="3"/>
      <c r="AD8" s="3"/>
      <c r="AE8" s="3"/>
      <c r="AF8" s="3"/>
      <c r="AG8" s="3"/>
      <c r="AH8" s="3"/>
      <c r="AI8" s="3"/>
      <c r="AJ8" s="3"/>
      <c r="AK8" s="3"/>
      <c r="AL8" s="3"/>
      <c r="AM8" s="3"/>
      <c r="AN8" s="3"/>
      <c r="AO8" s="1"/>
    </row>
    <row r="9" spans="1:41" ht="26.25" customHeight="1" x14ac:dyDescent="0.55000000000000004">
      <c r="A9" s="1" t="s">
        <v>15</v>
      </c>
      <c r="B9" s="23">
        <f t="shared" ref="B9:B12" si="1">SUM(C9:D9)</f>
        <v>1157136335.3399999</v>
      </c>
      <c r="C9" s="23">
        <v>561096352.77999997</v>
      </c>
      <c r="D9" s="20">
        <v>596039982.55999994</v>
      </c>
      <c r="E9" s="24">
        <f t="shared" ref="E9:E12" si="2">SUM(F9:G9)</f>
        <v>1229378253.6300001</v>
      </c>
      <c r="F9" s="23">
        <v>593667505.12</v>
      </c>
      <c r="G9" s="20">
        <v>635710748.50999999</v>
      </c>
      <c r="H9" s="24">
        <f t="shared" ref="H9:H12" si="3">SUM(I9:J9)</f>
        <v>1320319233.0999999</v>
      </c>
      <c r="I9" s="53">
        <v>638424011.84000003</v>
      </c>
      <c r="J9" s="54">
        <v>681895221.25999999</v>
      </c>
      <c r="K9" s="60">
        <f>B9/B8*100</f>
        <v>71.272828663941141</v>
      </c>
      <c r="L9" s="60">
        <f>E9/E8*100</f>
        <v>70.880900329233711</v>
      </c>
      <c r="M9" s="61">
        <f>H9/H8*100</f>
        <v>71.345330173611671</v>
      </c>
      <c r="N9" s="23">
        <f>D9/B9*100</f>
        <v>51.509918438855898</v>
      </c>
      <c r="O9" s="23">
        <f>G9/E9*100</f>
        <v>51.709939282961045</v>
      </c>
      <c r="P9" s="54">
        <f>J9/H9*100</f>
        <v>51.646238588751501</v>
      </c>
      <c r="Q9" s="63">
        <f>((H9-E9)/E9)*100</f>
        <v>7.3973147972544044</v>
      </c>
      <c r="R9" s="25"/>
      <c r="S9" s="26" t="s">
        <v>16</v>
      </c>
      <c r="T9" s="70"/>
      <c r="U9" s="67"/>
      <c r="V9" s="5"/>
      <c r="W9" s="1"/>
      <c r="X9" s="1"/>
      <c r="Y9" s="1"/>
      <c r="Z9" s="1"/>
      <c r="AA9" s="1"/>
      <c r="AB9" s="1"/>
      <c r="AC9" s="3"/>
      <c r="AD9" s="1"/>
      <c r="AE9" s="1"/>
      <c r="AF9" s="1"/>
      <c r="AG9" s="1"/>
      <c r="AH9" s="1"/>
      <c r="AI9" s="1"/>
      <c r="AJ9" s="1"/>
      <c r="AK9" s="1"/>
      <c r="AL9" s="1"/>
      <c r="AM9" s="1"/>
      <c r="AN9" s="1"/>
      <c r="AO9" s="1"/>
    </row>
    <row r="10" spans="1:41" ht="26.25" customHeight="1" x14ac:dyDescent="0.55000000000000004">
      <c r="A10" s="1" t="s">
        <v>17</v>
      </c>
      <c r="B10" s="23">
        <f t="shared" si="1"/>
        <v>128539842.67</v>
      </c>
      <c r="C10" s="23">
        <v>102021239.84</v>
      </c>
      <c r="D10" s="20">
        <v>26518602.829999998</v>
      </c>
      <c r="E10" s="24">
        <f t="shared" si="2"/>
        <v>146264670.91</v>
      </c>
      <c r="F10" s="23">
        <v>118336823.33</v>
      </c>
      <c r="G10" s="20">
        <v>27927847.579999998</v>
      </c>
      <c r="H10" s="24">
        <f t="shared" si="3"/>
        <v>165544920.53999999</v>
      </c>
      <c r="I10" s="53">
        <v>126679377.56999999</v>
      </c>
      <c r="J10" s="54">
        <v>38865542.969999999</v>
      </c>
      <c r="K10" s="60">
        <f>B10/B8*100</f>
        <v>7.9173023120192472</v>
      </c>
      <c r="L10" s="60">
        <f>E10/E8*100</f>
        <v>8.4330201301739436</v>
      </c>
      <c r="M10" s="61">
        <f>H10/H8*100</f>
        <v>8.945455552260416</v>
      </c>
      <c r="N10" s="23">
        <f>D10/B10*100</f>
        <v>20.630648271509976</v>
      </c>
      <c r="O10" s="23">
        <f>G10/E10*100</f>
        <v>19.09404875848977</v>
      </c>
      <c r="P10" s="54">
        <f>J10/H10*100</f>
        <v>23.477339469687362</v>
      </c>
      <c r="Q10" s="63">
        <f>((H10-E10)/E10)*100</f>
        <v>13.181754356705575</v>
      </c>
      <c r="R10" s="25"/>
      <c r="S10" s="26" t="s">
        <v>18</v>
      </c>
      <c r="T10" s="70"/>
      <c r="U10" s="67"/>
      <c r="V10" s="5"/>
      <c r="W10" s="1"/>
      <c r="X10" s="1"/>
      <c r="Y10" s="1"/>
      <c r="Z10" s="1"/>
      <c r="AA10" s="1"/>
      <c r="AB10" s="1"/>
      <c r="AC10" s="3"/>
      <c r="AD10" s="1"/>
      <c r="AE10" s="1"/>
      <c r="AF10" s="1"/>
      <c r="AG10" s="1"/>
      <c r="AH10" s="1"/>
      <c r="AI10" s="1"/>
      <c r="AJ10" s="1"/>
      <c r="AK10" s="1"/>
      <c r="AL10" s="1"/>
      <c r="AM10" s="1"/>
      <c r="AN10" s="1"/>
      <c r="AO10" s="1"/>
    </row>
    <row r="11" spans="1:41" ht="26.25" customHeight="1" x14ac:dyDescent="0.55000000000000004">
      <c r="A11" s="27" t="s">
        <v>19</v>
      </c>
      <c r="B11" s="28">
        <f t="shared" si="1"/>
        <v>337854635.94999999</v>
      </c>
      <c r="C11" s="28">
        <v>257688391.74000001</v>
      </c>
      <c r="D11" s="29">
        <v>80166244.209999993</v>
      </c>
      <c r="E11" s="30">
        <f t="shared" si="2"/>
        <v>358785176.56999999</v>
      </c>
      <c r="F11" s="28">
        <v>277025183.56</v>
      </c>
      <c r="G11" s="29">
        <v>81759993.010000005</v>
      </c>
      <c r="H11" s="30">
        <f t="shared" si="3"/>
        <v>364739424.60000002</v>
      </c>
      <c r="I11" s="55">
        <v>278282807.49000001</v>
      </c>
      <c r="J11" s="56">
        <v>86456617.109999999</v>
      </c>
      <c r="K11" s="62">
        <f>B11/B8*100</f>
        <v>20.8098690240396</v>
      </c>
      <c r="L11" s="62">
        <f>E11/E8*100</f>
        <v>20.686079540592342</v>
      </c>
      <c r="M11" s="29">
        <f>H11/H8*100</f>
        <v>19.709214274127916</v>
      </c>
      <c r="N11" s="28">
        <f>D11/B11*100</f>
        <v>23.728028471352399</v>
      </c>
      <c r="O11" s="28">
        <f>G11/E11*100</f>
        <v>22.788007517932783</v>
      </c>
      <c r="P11" s="56">
        <f>J11/H11*100</f>
        <v>23.703666584662368</v>
      </c>
      <c r="Q11" s="64">
        <f>((H11-E11)/E11)*100</f>
        <v>1.659557980327635</v>
      </c>
      <c r="R11" s="31"/>
      <c r="S11" s="32" t="s">
        <v>20</v>
      </c>
      <c r="T11" s="70"/>
      <c r="U11" s="67"/>
      <c r="V11" s="5"/>
      <c r="W11" s="1"/>
      <c r="X11" s="1"/>
      <c r="Y11" s="1"/>
      <c r="Z11" s="1"/>
      <c r="AA11" s="1"/>
      <c r="AB11" s="1"/>
      <c r="AC11" s="3"/>
      <c r="AD11" s="1"/>
      <c r="AE11" s="1"/>
      <c r="AF11" s="1"/>
      <c r="AG11" s="1"/>
      <c r="AH11" s="1"/>
      <c r="AI11" s="1"/>
      <c r="AJ11" s="1"/>
      <c r="AK11" s="1"/>
      <c r="AL11" s="1"/>
      <c r="AM11" s="1"/>
      <c r="AN11" s="1"/>
      <c r="AO11" s="1"/>
    </row>
    <row r="12" spans="1:41" ht="26.25" hidden="1" customHeight="1" x14ac:dyDescent="0.55000000000000004">
      <c r="A12" s="27" t="s">
        <v>21</v>
      </c>
      <c r="B12" s="30">
        <f t="shared" si="1"/>
        <v>0</v>
      </c>
      <c r="C12" s="28">
        <v>0</v>
      </c>
      <c r="D12" s="29">
        <v>0</v>
      </c>
      <c r="E12" s="30">
        <f t="shared" si="2"/>
        <v>0</v>
      </c>
      <c r="F12" s="28">
        <v>0</v>
      </c>
      <c r="G12" s="29">
        <v>0</v>
      </c>
      <c r="H12" s="30">
        <f t="shared" si="3"/>
        <v>0</v>
      </c>
      <c r="I12" s="28">
        <v>0</v>
      </c>
      <c r="J12" s="29">
        <v>0</v>
      </c>
      <c r="K12" s="29" t="e">
        <f>#REF!/#REF!*100</f>
        <v>#REF!</v>
      </c>
      <c r="L12" s="28"/>
      <c r="M12" s="28"/>
      <c r="N12" s="28"/>
      <c r="O12" s="28"/>
      <c r="P12" s="28"/>
      <c r="Q12" s="28"/>
      <c r="R12" s="31"/>
      <c r="S12" s="32" t="s">
        <v>22</v>
      </c>
      <c r="T12" s="70"/>
      <c r="U12" s="67"/>
      <c r="V12" s="5"/>
      <c r="W12" s="1"/>
      <c r="X12" s="1"/>
      <c r="Y12" s="1"/>
      <c r="Z12" s="1"/>
      <c r="AA12" s="1"/>
      <c r="AB12" s="1"/>
      <c r="AC12" s="3"/>
      <c r="AD12" s="1"/>
      <c r="AE12" s="1"/>
      <c r="AF12" s="1"/>
      <c r="AG12" s="1"/>
      <c r="AH12" s="1"/>
      <c r="AI12" s="1"/>
      <c r="AJ12" s="1"/>
      <c r="AK12" s="1"/>
      <c r="AL12" s="1"/>
      <c r="AM12" s="1"/>
      <c r="AN12" s="1"/>
      <c r="AO12" s="1"/>
    </row>
    <row r="13" spans="1:41" ht="18.75" customHeight="1" x14ac:dyDescent="0.25">
      <c r="A13" s="33" t="s">
        <v>23</v>
      </c>
      <c r="B13" s="33"/>
      <c r="C13" s="33"/>
      <c r="D13" s="33"/>
      <c r="E13" s="33"/>
      <c r="F13" s="33"/>
      <c r="G13" s="33"/>
      <c r="H13" s="33"/>
      <c r="I13" s="33"/>
      <c r="J13" s="33"/>
      <c r="K13" s="33"/>
      <c r="L13" s="33"/>
      <c r="M13" s="33"/>
      <c r="N13" s="33"/>
      <c r="O13" s="33"/>
      <c r="P13" s="33"/>
      <c r="Q13" s="34"/>
      <c r="R13" s="34"/>
      <c r="S13" s="33"/>
      <c r="T13" s="71"/>
      <c r="U13" s="71"/>
      <c r="V13" s="5"/>
      <c r="W13" s="33"/>
      <c r="X13" s="33"/>
      <c r="Y13" s="33"/>
      <c r="Z13" s="33"/>
      <c r="AA13" s="33"/>
      <c r="AB13" s="33"/>
      <c r="AC13" s="3"/>
      <c r="AD13" s="33"/>
      <c r="AE13" s="33"/>
      <c r="AF13" s="33"/>
      <c r="AG13" s="33"/>
      <c r="AH13" s="33"/>
      <c r="AI13" s="33"/>
      <c r="AJ13" s="33"/>
      <c r="AK13" s="33"/>
      <c r="AL13" s="33"/>
      <c r="AM13" s="33"/>
      <c r="AN13" s="33"/>
      <c r="AO13" s="1"/>
    </row>
    <row r="14" spans="1:41" ht="15" customHeight="1" x14ac:dyDescent="0.25">
      <c r="A14" s="33" t="s">
        <v>24</v>
      </c>
      <c r="B14" s="33"/>
      <c r="C14" s="33"/>
      <c r="D14" s="33"/>
      <c r="E14" s="33"/>
      <c r="F14" s="33"/>
      <c r="G14" s="33"/>
      <c r="H14" s="33"/>
      <c r="I14" s="33"/>
      <c r="J14" s="33"/>
      <c r="K14" s="33"/>
      <c r="L14" s="33"/>
      <c r="M14" s="33"/>
      <c r="N14" s="33"/>
      <c r="O14" s="33"/>
      <c r="P14" s="33"/>
      <c r="Q14" s="34"/>
      <c r="R14" s="34"/>
      <c r="S14" s="33"/>
      <c r="T14" s="33"/>
      <c r="U14" s="33"/>
      <c r="V14" s="5"/>
      <c r="W14" s="33"/>
      <c r="X14" s="33"/>
      <c r="Y14" s="33"/>
      <c r="Z14" s="33"/>
      <c r="AA14" s="33"/>
      <c r="AB14" s="33"/>
      <c r="AC14" s="3"/>
      <c r="AD14" s="33"/>
      <c r="AE14" s="33"/>
      <c r="AF14" s="33"/>
      <c r="AG14" s="33"/>
      <c r="AH14" s="33"/>
      <c r="AI14" s="33"/>
      <c r="AJ14" s="33"/>
      <c r="AK14" s="33"/>
      <c r="AL14" s="33"/>
      <c r="AM14" s="33"/>
      <c r="AN14" s="33"/>
      <c r="AO14" s="1"/>
    </row>
    <row r="15" spans="1:41" ht="15" customHeight="1" x14ac:dyDescent="0.25">
      <c r="A15" s="33" t="s">
        <v>25</v>
      </c>
      <c r="B15" s="35"/>
      <c r="C15" s="33"/>
      <c r="D15" s="33"/>
      <c r="E15" s="35"/>
      <c r="F15" s="33"/>
      <c r="G15" s="33"/>
      <c r="H15" s="35"/>
      <c r="I15" s="33"/>
      <c r="J15" s="33"/>
      <c r="K15" s="33"/>
      <c r="L15" s="33"/>
      <c r="M15" s="33"/>
      <c r="N15" s="33"/>
      <c r="O15" s="33"/>
      <c r="P15" s="33"/>
      <c r="Q15" s="33"/>
      <c r="R15" s="33"/>
      <c r="S15" s="33"/>
      <c r="T15" s="33"/>
      <c r="U15" s="33"/>
      <c r="V15" s="5"/>
      <c r="W15" s="36"/>
      <c r="X15" s="36"/>
      <c r="Y15" s="36"/>
      <c r="Z15" s="36"/>
      <c r="AA15" s="36"/>
      <c r="AB15" s="36"/>
      <c r="AC15" s="3"/>
      <c r="AD15" s="36"/>
      <c r="AE15" s="36"/>
      <c r="AF15" s="36"/>
      <c r="AG15" s="36"/>
      <c r="AH15" s="36"/>
      <c r="AI15" s="33"/>
      <c r="AJ15" s="33"/>
      <c r="AK15" s="33"/>
      <c r="AL15" s="33"/>
      <c r="AM15" s="33"/>
      <c r="AN15" s="33"/>
      <c r="AO15" s="1"/>
    </row>
    <row r="16" spans="1:41" ht="15" customHeight="1" x14ac:dyDescent="0.55000000000000004">
      <c r="A16" s="72"/>
      <c r="B16" s="80"/>
      <c r="C16" s="80"/>
      <c r="D16" s="80"/>
      <c r="E16" s="80"/>
      <c r="F16" s="80"/>
      <c r="G16" s="80"/>
      <c r="H16" s="80"/>
      <c r="I16" s="80"/>
      <c r="J16" s="80"/>
      <c r="K16" s="80"/>
      <c r="L16" s="80"/>
      <c r="M16" s="80"/>
      <c r="N16" s="80"/>
      <c r="O16" s="80"/>
      <c r="P16" s="80"/>
      <c r="Q16" s="80"/>
      <c r="R16" s="80"/>
      <c r="S16" s="81"/>
      <c r="T16" s="37"/>
      <c r="U16" s="33"/>
      <c r="V16" s="5"/>
      <c r="W16" s="33"/>
      <c r="X16" s="33"/>
      <c r="Y16" s="33"/>
      <c r="Z16" s="33"/>
      <c r="AA16" s="33"/>
      <c r="AB16" s="33"/>
      <c r="AC16" s="33"/>
      <c r="AD16" s="33"/>
      <c r="AE16" s="33"/>
      <c r="AF16" s="33"/>
      <c r="AG16" s="33"/>
      <c r="AH16" s="33"/>
      <c r="AI16" s="33"/>
      <c r="AJ16" s="33"/>
      <c r="AK16" s="33"/>
      <c r="AL16" s="33"/>
      <c r="AM16" s="33"/>
      <c r="AN16" s="33"/>
      <c r="AO16" s="1"/>
    </row>
    <row r="17" spans="1:41" ht="26.25" customHeight="1" x14ac:dyDescent="0.55000000000000004">
      <c r="A17" s="79" t="s">
        <v>34</v>
      </c>
      <c r="B17" s="80"/>
      <c r="C17" s="80"/>
      <c r="D17" s="80"/>
      <c r="E17" s="80"/>
      <c r="F17" s="80"/>
      <c r="G17" s="80"/>
      <c r="H17" s="80"/>
      <c r="I17" s="80"/>
      <c r="J17" s="80"/>
      <c r="K17" s="80"/>
      <c r="L17" s="80"/>
      <c r="M17" s="80"/>
      <c r="N17" s="80"/>
      <c r="O17" s="80"/>
      <c r="P17" s="80"/>
      <c r="Q17" s="80"/>
      <c r="R17" s="80"/>
      <c r="S17" s="81"/>
      <c r="T17" s="38" t="s">
        <v>26</v>
      </c>
      <c r="U17" s="33"/>
      <c r="V17" s="33"/>
      <c r="W17" s="33"/>
      <c r="X17" s="33"/>
      <c r="Y17" s="33"/>
      <c r="Z17" s="33"/>
      <c r="AA17" s="33"/>
      <c r="AB17" s="33"/>
      <c r="AC17" s="33"/>
      <c r="AD17" s="33"/>
      <c r="AE17" s="33"/>
      <c r="AF17" s="33"/>
      <c r="AG17" s="33"/>
      <c r="AH17" s="33"/>
      <c r="AI17" s="33"/>
      <c r="AJ17" s="33"/>
      <c r="AK17" s="33"/>
      <c r="AL17" s="33"/>
      <c r="AM17" s="33"/>
      <c r="AN17" s="33"/>
      <c r="AO17" s="1"/>
    </row>
    <row r="18" spans="1:41" ht="15" customHeight="1" x14ac:dyDescent="0.25">
      <c r="A18" s="44"/>
      <c r="B18" s="44"/>
      <c r="C18" s="44"/>
      <c r="D18" s="44"/>
      <c r="E18" s="44"/>
      <c r="F18" s="44"/>
      <c r="G18" s="44"/>
      <c r="H18" s="44"/>
      <c r="I18" s="44"/>
      <c r="J18" s="44"/>
      <c r="K18" s="44"/>
      <c r="L18" s="44"/>
      <c r="M18" s="44"/>
      <c r="N18" s="44"/>
      <c r="O18" s="44"/>
      <c r="P18" s="44"/>
      <c r="Q18" s="44"/>
      <c r="R18" s="44"/>
      <c r="S18" s="37" t="s">
        <v>27</v>
      </c>
      <c r="T18" s="37"/>
      <c r="U18" s="5"/>
      <c r="V18" s="5"/>
      <c r="W18" s="5"/>
      <c r="X18" s="5"/>
      <c r="Y18" s="5"/>
      <c r="Z18" s="5"/>
      <c r="AA18" s="5"/>
      <c r="AB18" s="5"/>
      <c r="AC18" s="5"/>
      <c r="AD18" s="5"/>
      <c r="AE18" s="5"/>
      <c r="AF18" s="5"/>
      <c r="AG18" s="5"/>
      <c r="AH18" s="5"/>
      <c r="AI18" s="5"/>
      <c r="AJ18" s="5"/>
      <c r="AK18" s="5"/>
      <c r="AL18" s="5"/>
      <c r="AM18" s="5"/>
      <c r="AN18" s="5"/>
      <c r="AO18" s="1"/>
    </row>
    <row r="19" spans="1:41" ht="15" customHeight="1" x14ac:dyDescent="0.25">
      <c r="A19" s="5"/>
      <c r="B19" s="5"/>
      <c r="C19" s="5"/>
      <c r="D19" s="5"/>
      <c r="E19" s="5"/>
      <c r="F19" s="5"/>
      <c r="G19" s="5"/>
      <c r="H19" s="5"/>
      <c r="I19" s="5"/>
      <c r="J19" s="5"/>
      <c r="K19" s="5"/>
      <c r="L19" s="5"/>
      <c r="M19" s="5"/>
      <c r="N19" s="5"/>
      <c r="O19" s="5"/>
      <c r="P19" s="5"/>
      <c r="Q19" s="5"/>
      <c r="R19" s="5"/>
      <c r="S19" s="37"/>
      <c r="T19" s="37"/>
      <c r="U19" s="5"/>
      <c r="V19" s="5"/>
      <c r="W19" s="5"/>
      <c r="X19" s="5"/>
      <c r="Y19" s="5"/>
      <c r="Z19" s="5"/>
      <c r="AA19" s="5"/>
      <c r="AB19" s="5"/>
      <c r="AC19" s="5"/>
      <c r="AD19" s="5"/>
      <c r="AE19" s="5"/>
      <c r="AF19" s="5"/>
      <c r="AG19" s="5"/>
      <c r="AH19" s="5"/>
      <c r="AI19" s="5"/>
      <c r="AJ19" s="5"/>
      <c r="AK19" s="5"/>
      <c r="AL19" s="5"/>
      <c r="AM19" s="5"/>
      <c r="AN19" s="5"/>
      <c r="AO19" s="1"/>
    </row>
    <row r="20" spans="1:41" ht="15" customHeight="1" x14ac:dyDescent="0.25">
      <c r="A20" s="5"/>
      <c r="B20" s="5"/>
      <c r="C20" s="5"/>
      <c r="D20" s="5"/>
      <c r="E20" s="5"/>
      <c r="F20" s="5"/>
      <c r="G20" s="5"/>
      <c r="H20" s="5"/>
      <c r="I20" s="5"/>
      <c r="J20" s="5"/>
      <c r="K20" s="5"/>
      <c r="L20" s="5"/>
      <c r="M20" s="5"/>
      <c r="N20" s="5"/>
      <c r="O20" s="5"/>
      <c r="P20" s="5"/>
      <c r="Q20" s="5"/>
      <c r="R20" s="5"/>
      <c r="S20" s="37"/>
      <c r="T20" s="37"/>
      <c r="U20" s="5"/>
      <c r="V20" s="5"/>
      <c r="W20" s="5"/>
      <c r="X20" s="5"/>
      <c r="Y20" s="5"/>
      <c r="Z20" s="5"/>
      <c r="AA20" s="5"/>
      <c r="AB20" s="5"/>
      <c r="AC20" s="5"/>
      <c r="AD20" s="5"/>
      <c r="AE20" s="5"/>
      <c r="AF20" s="5"/>
      <c r="AG20" s="5"/>
      <c r="AH20" s="5"/>
      <c r="AI20" s="5"/>
      <c r="AJ20" s="5"/>
      <c r="AK20" s="5"/>
      <c r="AL20" s="5"/>
      <c r="AM20" s="5"/>
      <c r="AN20" s="5"/>
      <c r="AO20" s="1"/>
    </row>
    <row r="21" spans="1:41" ht="15.75" customHeight="1" x14ac:dyDescent="0.25">
      <c r="A21" s="1"/>
      <c r="B21" s="1"/>
      <c r="C21" s="1"/>
      <c r="D21" s="1"/>
      <c r="E21" s="1"/>
      <c r="F21" s="1"/>
      <c r="G21" s="1"/>
      <c r="H21" s="1"/>
      <c r="I21" s="1"/>
      <c r="J21" s="1"/>
      <c r="K21" s="1"/>
      <c r="L21" s="1"/>
      <c r="M21" s="1"/>
      <c r="N21" s="1"/>
      <c r="O21" s="1"/>
      <c r="P21" s="1"/>
      <c r="Q21" s="1"/>
      <c r="R21" s="1"/>
      <c r="S21" s="1"/>
      <c r="T21" s="1"/>
      <c r="U21" s="33"/>
      <c r="V21" s="1"/>
      <c r="W21" s="1"/>
      <c r="X21" s="1"/>
      <c r="Y21" s="1"/>
      <c r="Z21" s="1"/>
      <c r="AA21" s="1"/>
      <c r="AB21" s="1"/>
      <c r="AC21" s="1"/>
      <c r="AD21" s="1"/>
      <c r="AE21" s="1"/>
      <c r="AF21" s="1"/>
      <c r="AG21" s="1"/>
      <c r="AH21" s="1"/>
      <c r="AI21" s="1"/>
      <c r="AJ21" s="1"/>
      <c r="AK21" s="1"/>
      <c r="AL21" s="1"/>
      <c r="AM21" s="1"/>
      <c r="AN21" s="1"/>
      <c r="AO21" s="1"/>
    </row>
    <row r="22" spans="1:41" ht="21.75" customHeight="1" x14ac:dyDescent="0.25">
      <c r="A22" s="1"/>
      <c r="B22" s="1"/>
      <c r="C22" s="1"/>
      <c r="D22" s="1"/>
      <c r="E22" s="1"/>
      <c r="F22" s="1"/>
      <c r="G22" s="1"/>
      <c r="H22" s="1"/>
      <c r="I22" s="1"/>
      <c r="J22" s="1"/>
      <c r="K22" s="1"/>
      <c r="L22" s="1"/>
      <c r="M22" s="1"/>
      <c r="N22" s="1"/>
      <c r="O22" s="1"/>
      <c r="P22" s="1"/>
      <c r="Q22" s="1"/>
      <c r="R22" s="1"/>
      <c r="S22" s="1"/>
      <c r="T22" s="1"/>
      <c r="U22" s="5"/>
      <c r="V22" s="1"/>
      <c r="W22" s="1"/>
      <c r="X22" s="1"/>
      <c r="Y22" s="1"/>
      <c r="Z22" s="1"/>
      <c r="AA22" s="1"/>
      <c r="AB22" s="1"/>
      <c r="AC22" s="1"/>
      <c r="AD22" s="1"/>
      <c r="AE22" s="1"/>
      <c r="AF22" s="1"/>
      <c r="AG22" s="1"/>
      <c r="AH22" s="1"/>
      <c r="AI22" s="1">
        <v>2024</v>
      </c>
      <c r="AJ22" s="1" t="s">
        <v>28</v>
      </c>
      <c r="AK22" s="1"/>
      <c r="AL22" s="1" t="s">
        <v>29</v>
      </c>
      <c r="AM22" s="1"/>
      <c r="AN22" s="39" t="s">
        <v>30</v>
      </c>
      <c r="AO22" s="39" t="s">
        <v>6</v>
      </c>
    </row>
    <row r="23" spans="1:41" ht="15.75" customHeight="1" x14ac:dyDescent="0.25">
      <c r="A23" s="1"/>
      <c r="B23" s="1"/>
      <c r="C23" s="1"/>
      <c r="D23" s="1"/>
      <c r="E23" s="1"/>
      <c r="F23" s="1"/>
      <c r="G23" s="1"/>
      <c r="H23" s="1"/>
      <c r="I23" s="1"/>
      <c r="J23" s="1"/>
      <c r="K23" s="1"/>
      <c r="L23" s="1"/>
      <c r="M23" s="1"/>
      <c r="N23" s="1"/>
      <c r="O23" s="1"/>
      <c r="P23" s="1"/>
      <c r="Q23" s="1"/>
      <c r="R23" s="1"/>
      <c r="S23" s="1"/>
      <c r="T23" s="1"/>
      <c r="U23" s="40"/>
      <c r="V23" s="1"/>
      <c r="W23" s="1"/>
      <c r="X23" s="1"/>
      <c r="Y23" s="1"/>
      <c r="Z23" s="1"/>
      <c r="AA23" s="1"/>
      <c r="AB23" s="1"/>
      <c r="AC23" s="1"/>
      <c r="AD23" s="1"/>
      <c r="AE23" s="1"/>
      <c r="AF23" s="1"/>
      <c r="AG23" s="1"/>
      <c r="AH23" s="1"/>
      <c r="AI23" s="1"/>
      <c r="AJ23" s="1" t="s">
        <v>12</v>
      </c>
      <c r="AK23" s="1" t="s">
        <v>13</v>
      </c>
      <c r="AL23" s="1" t="s">
        <v>12</v>
      </c>
      <c r="AM23" s="1" t="s">
        <v>13</v>
      </c>
      <c r="AN23" s="41">
        <v>2024</v>
      </c>
      <c r="AO23" s="41">
        <v>2024</v>
      </c>
    </row>
    <row r="24" spans="1:41"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t="s">
        <v>15</v>
      </c>
      <c r="AJ24" s="42">
        <f t="shared" ref="AJ24" si="4">AL24/1000000</f>
        <v>638.42401184000005</v>
      </c>
      <c r="AK24" s="42">
        <f>AM24/1000000</f>
        <v>681.89522125999997</v>
      </c>
      <c r="AL24" s="43">
        <f>I9</f>
        <v>638424011.84000003</v>
      </c>
      <c r="AM24" s="43">
        <f>J9</f>
        <v>681895221.25999999</v>
      </c>
      <c r="AN24" s="23">
        <f>M9</f>
        <v>71.345330173611671</v>
      </c>
      <c r="AO24" s="43">
        <f t="shared" ref="AO24:AO26" si="5">O9</f>
        <v>51.709939282961045</v>
      </c>
    </row>
    <row r="25" spans="1:41"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t="s">
        <v>17</v>
      </c>
      <c r="AJ25" s="42">
        <f t="shared" ref="AJ25:AK25" si="6">AL25/1000000</f>
        <v>126.67937757</v>
      </c>
      <c r="AK25" s="43">
        <f t="shared" si="6"/>
        <v>38.86554297</v>
      </c>
      <c r="AL25" s="43">
        <f>I10</f>
        <v>126679377.56999999</v>
      </c>
      <c r="AM25" s="43">
        <f>J10</f>
        <v>38865542.969999999</v>
      </c>
      <c r="AN25" s="23">
        <f>M10</f>
        <v>8.945455552260416</v>
      </c>
      <c r="AO25" s="43">
        <f t="shared" si="5"/>
        <v>19.09404875848977</v>
      </c>
    </row>
    <row r="26" spans="1:41"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27" t="s">
        <v>19</v>
      </c>
      <c r="AJ26" s="43">
        <f t="shared" ref="AJ26:AK26" si="7">AL26/1000000</f>
        <v>278.28280748999998</v>
      </c>
      <c r="AK26" s="43">
        <f t="shared" si="7"/>
        <v>86.456617109999996</v>
      </c>
      <c r="AL26" s="43">
        <f>I11</f>
        <v>278282807.49000001</v>
      </c>
      <c r="AM26" s="43">
        <f>J11</f>
        <v>86456617.109999999</v>
      </c>
      <c r="AN26" s="23">
        <f>M11</f>
        <v>19.709214274127916</v>
      </c>
      <c r="AO26" s="43">
        <f t="shared" si="5"/>
        <v>22.788007517932783</v>
      </c>
    </row>
    <row r="27" spans="1:41"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t="s">
        <v>31</v>
      </c>
      <c r="AJ27" s="43" t="e">
        <f t="shared" ref="AJ27:AK27" si="8">AL27/1000000</f>
        <v>#REF!</v>
      </c>
      <c r="AK27" s="43" t="e">
        <f t="shared" si="8"/>
        <v>#REF!</v>
      </c>
      <c r="AL27" s="43" t="e">
        <f>#REF!</f>
        <v>#REF!</v>
      </c>
      <c r="AM27" s="43" t="e">
        <f>#REF!</f>
        <v>#REF!</v>
      </c>
      <c r="AN27" s="23"/>
      <c r="AO27" s="43"/>
    </row>
    <row r="28" spans="1:41"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row>
    <row r="29" spans="1:41"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row>
    <row r="30" spans="1:41"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row>
    <row r="31" spans="1:41"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row>
    <row r="32" spans="1:41"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row>
    <row r="33" spans="1:41"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row>
    <row r="34" spans="1:41"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row>
    <row r="35" spans="1:41" ht="8.2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row>
    <row r="36" spans="1:41"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row>
    <row r="37" spans="1:41"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row>
    <row r="38" spans="1:41"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row>
    <row r="39" spans="1:41"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row>
    <row r="40" spans="1:41"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row>
    <row r="41" spans="1:41"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row>
    <row r="42" spans="1:41" ht="15.75" customHeight="1" x14ac:dyDescent="0.25">
      <c r="A42" s="1"/>
      <c r="B42" s="1"/>
      <c r="C42" s="1"/>
      <c r="D42" s="1"/>
      <c r="E42" s="1"/>
      <c r="F42" s="1"/>
      <c r="G42" s="1"/>
      <c r="H42" s="1"/>
      <c r="I42" s="1"/>
      <c r="J42" s="1"/>
      <c r="K42" s="1"/>
      <c r="L42" s="1"/>
      <c r="M42" s="1"/>
      <c r="N42" s="1"/>
      <c r="O42" s="1"/>
      <c r="P42" s="1"/>
      <c r="Q42" s="51"/>
      <c r="R42" s="1"/>
      <c r="S42" s="1"/>
      <c r="T42" s="1"/>
      <c r="U42" s="1"/>
      <c r="V42" s="1"/>
      <c r="W42" s="1"/>
      <c r="X42" s="1"/>
      <c r="Y42" s="1"/>
      <c r="Z42" s="1"/>
      <c r="AA42" s="1"/>
      <c r="AB42" s="1"/>
      <c r="AC42" s="1"/>
      <c r="AD42" s="1"/>
      <c r="AE42" s="1"/>
      <c r="AF42" s="1"/>
      <c r="AG42" s="1"/>
      <c r="AH42" s="1"/>
      <c r="AI42" s="1"/>
      <c r="AJ42" s="1"/>
      <c r="AK42" s="1"/>
      <c r="AL42" s="1"/>
      <c r="AM42" s="1"/>
      <c r="AN42" s="1"/>
      <c r="AO42" s="1"/>
    </row>
    <row r="43" spans="1:41" ht="15.75" customHeight="1" x14ac:dyDescent="0.25">
      <c r="A43" s="1"/>
      <c r="B43" s="1"/>
      <c r="C43" s="1"/>
      <c r="D43" s="1"/>
      <c r="E43" s="1"/>
      <c r="F43" s="1"/>
      <c r="G43" s="1"/>
      <c r="H43" s="1"/>
      <c r="I43" s="1"/>
      <c r="J43" s="1"/>
      <c r="K43" s="1"/>
      <c r="L43" s="1"/>
      <c r="M43" s="1"/>
      <c r="N43" s="1"/>
      <c r="O43" s="1"/>
      <c r="P43" s="1"/>
      <c r="Q43" s="51"/>
      <c r="R43" s="1"/>
      <c r="S43" s="1"/>
      <c r="T43" s="1"/>
      <c r="U43" s="1"/>
      <c r="V43" s="1"/>
      <c r="W43" s="1"/>
      <c r="X43" s="1"/>
      <c r="Y43" s="1"/>
      <c r="Z43" s="1"/>
      <c r="AA43" s="1"/>
      <c r="AB43" s="1"/>
      <c r="AC43" s="1"/>
      <c r="AD43" s="1"/>
      <c r="AE43" s="1"/>
      <c r="AF43" s="1"/>
      <c r="AG43" s="1"/>
      <c r="AH43" s="1"/>
      <c r="AI43" s="1"/>
      <c r="AJ43" s="1"/>
      <c r="AK43" s="1"/>
      <c r="AL43" s="1"/>
      <c r="AM43" s="1"/>
      <c r="AN43" s="1"/>
      <c r="AO43" s="1"/>
    </row>
    <row r="44" spans="1:41" ht="15.75" customHeight="1" x14ac:dyDescent="0.25">
      <c r="A44" s="1"/>
      <c r="B44" s="1"/>
      <c r="C44" s="1"/>
      <c r="D44" s="1"/>
      <c r="E44" s="1"/>
      <c r="F44" s="1"/>
      <c r="G44" s="1"/>
      <c r="H44" s="1"/>
      <c r="I44" s="1"/>
      <c r="J44" s="1"/>
      <c r="K44" s="1"/>
      <c r="L44" s="1"/>
      <c r="M44" s="1"/>
      <c r="N44" s="1"/>
      <c r="O44" s="1"/>
      <c r="P44" s="1"/>
      <c r="Q44" s="57"/>
      <c r="R44" s="57"/>
      <c r="S44" s="57"/>
      <c r="T44" s="57"/>
      <c r="U44" s="57"/>
      <c r="V44" s="57"/>
      <c r="W44" s="1"/>
      <c r="X44" s="1"/>
      <c r="Y44" s="1"/>
      <c r="Z44" s="1"/>
      <c r="AA44" s="1"/>
      <c r="AB44" s="1"/>
      <c r="AC44" s="1"/>
      <c r="AD44" s="1"/>
      <c r="AE44" s="1"/>
      <c r="AF44" s="1"/>
      <c r="AG44" s="1"/>
      <c r="AH44" s="1"/>
      <c r="AI44" s="1"/>
      <c r="AJ44" s="1"/>
      <c r="AK44" s="1"/>
      <c r="AL44" s="1"/>
      <c r="AM44" s="1"/>
      <c r="AN44" s="1"/>
      <c r="AO44" s="1"/>
    </row>
    <row r="45" spans="1:41" ht="15.75" customHeight="1" x14ac:dyDescent="0.25">
      <c r="A45" s="1"/>
      <c r="B45" s="1"/>
      <c r="C45" s="1"/>
      <c r="D45" s="1"/>
      <c r="E45" s="1"/>
      <c r="F45" s="1"/>
      <c r="G45" s="1"/>
      <c r="H45" s="1"/>
      <c r="I45" s="1"/>
      <c r="J45" s="1"/>
      <c r="K45" s="1"/>
      <c r="L45" s="1"/>
      <c r="M45" s="1"/>
      <c r="N45" s="1"/>
      <c r="O45" s="1"/>
      <c r="P45" s="1"/>
      <c r="Q45" s="45"/>
      <c r="R45" s="1"/>
      <c r="S45" s="1"/>
      <c r="T45" s="1"/>
      <c r="U45" s="1"/>
      <c r="V45" s="1"/>
      <c r="W45" s="1"/>
      <c r="X45" s="1"/>
      <c r="Y45" s="1"/>
      <c r="Z45" s="1"/>
      <c r="AA45" s="1"/>
      <c r="AB45" s="1"/>
      <c r="AC45" s="1"/>
      <c r="AD45" s="1"/>
      <c r="AE45" s="1"/>
      <c r="AF45" s="1"/>
      <c r="AG45" s="1"/>
      <c r="AH45" s="1"/>
      <c r="AI45" s="1"/>
      <c r="AJ45" s="1"/>
      <c r="AK45" s="1"/>
      <c r="AL45" s="1"/>
      <c r="AM45" s="1"/>
      <c r="AN45" s="1"/>
      <c r="AO45" s="1"/>
    </row>
    <row r="46" spans="1:41" ht="15.75" customHeight="1" x14ac:dyDescent="0.25">
      <c r="A46" s="1"/>
      <c r="B46" s="1"/>
      <c r="C46" s="1"/>
      <c r="D46" s="1"/>
      <c r="E46" s="1"/>
      <c r="F46" s="1"/>
      <c r="G46" s="1"/>
      <c r="H46" s="1"/>
      <c r="I46" s="1"/>
      <c r="J46" s="1"/>
      <c r="K46" s="1"/>
      <c r="L46" s="1"/>
      <c r="M46" s="1"/>
      <c r="N46" s="1"/>
      <c r="O46" s="1"/>
      <c r="P46" s="1"/>
      <c r="Q46" s="46"/>
      <c r="R46" s="47"/>
      <c r="S46" s="1"/>
      <c r="T46" s="1"/>
      <c r="U46" s="1"/>
      <c r="V46" s="1"/>
      <c r="W46" s="1"/>
      <c r="X46" s="1"/>
      <c r="Y46" s="1"/>
      <c r="Z46" s="1"/>
      <c r="AA46" s="1"/>
      <c r="AB46" s="1"/>
      <c r="AC46" s="1"/>
      <c r="AD46" s="1"/>
      <c r="AE46" s="1"/>
      <c r="AF46" s="1"/>
      <c r="AG46" s="1"/>
      <c r="AH46" s="1"/>
      <c r="AI46" s="1"/>
      <c r="AJ46" s="1"/>
      <c r="AK46" s="1"/>
      <c r="AL46" s="1"/>
      <c r="AM46" s="1"/>
      <c r="AN46" s="1"/>
      <c r="AO46" s="1"/>
    </row>
    <row r="47" spans="1:41" ht="15.75" customHeight="1" x14ac:dyDescent="0.25">
      <c r="A47" s="1"/>
      <c r="B47" s="1"/>
      <c r="C47" s="1"/>
      <c r="D47" s="1"/>
      <c r="E47" s="1"/>
      <c r="F47" s="1"/>
      <c r="G47" s="1"/>
      <c r="H47" s="1"/>
      <c r="I47" s="1"/>
      <c r="J47" s="1"/>
      <c r="K47" s="1"/>
      <c r="L47" s="1"/>
      <c r="M47" s="1"/>
      <c r="N47" s="1"/>
      <c r="O47" s="1"/>
      <c r="P47" s="1"/>
      <c r="Q47" s="48"/>
      <c r="R47" s="1"/>
      <c r="S47" s="1"/>
      <c r="T47" s="1"/>
      <c r="U47" s="1"/>
      <c r="V47" s="1"/>
      <c r="W47" s="1"/>
      <c r="X47" s="1"/>
      <c r="Y47" s="1"/>
      <c r="Z47" s="1"/>
      <c r="AA47" s="1"/>
      <c r="AB47" s="1"/>
      <c r="AC47" s="1"/>
      <c r="AD47" s="1"/>
      <c r="AE47" s="1"/>
      <c r="AF47" s="1"/>
      <c r="AG47" s="1"/>
      <c r="AH47" s="1"/>
      <c r="AI47" s="1"/>
      <c r="AJ47" s="1"/>
      <c r="AK47" s="1"/>
      <c r="AL47" s="1"/>
      <c r="AM47" s="1"/>
      <c r="AN47" s="1"/>
      <c r="AO47" s="1"/>
    </row>
    <row r="48" spans="1:41" ht="15.75" customHeight="1" x14ac:dyDescent="0.25">
      <c r="A48" s="1"/>
      <c r="B48" s="1"/>
      <c r="C48" s="1"/>
      <c r="D48" s="1"/>
      <c r="E48" s="1"/>
      <c r="F48" s="1"/>
      <c r="G48" s="1"/>
      <c r="H48" s="1"/>
      <c r="I48" s="1"/>
      <c r="J48" s="1"/>
      <c r="K48" s="1"/>
      <c r="L48" s="1"/>
      <c r="M48" s="1"/>
      <c r="N48" s="1"/>
      <c r="O48" s="1"/>
      <c r="P48" s="1"/>
      <c r="Q48" s="49"/>
      <c r="R48" s="1"/>
      <c r="S48" s="1"/>
      <c r="T48" s="1"/>
      <c r="U48" s="1"/>
      <c r="V48" s="1"/>
      <c r="W48" s="1"/>
      <c r="X48" s="1"/>
      <c r="Y48" s="1"/>
      <c r="Z48" s="1"/>
      <c r="AA48" s="1"/>
      <c r="AB48" s="1"/>
      <c r="AC48" s="1"/>
      <c r="AD48" s="1"/>
      <c r="AE48" s="1"/>
      <c r="AF48" s="1"/>
      <c r="AG48" s="1"/>
      <c r="AH48" s="1"/>
      <c r="AI48" s="1"/>
      <c r="AJ48" s="1"/>
      <c r="AK48" s="1"/>
      <c r="AL48" s="1"/>
      <c r="AM48" s="1"/>
      <c r="AN48" s="1"/>
      <c r="AO48" s="1"/>
    </row>
    <row r="49" spans="1:41" ht="15.75" customHeight="1" x14ac:dyDescent="0.25">
      <c r="A49" s="1"/>
      <c r="B49" s="1"/>
      <c r="C49" s="1"/>
      <c r="D49" s="1"/>
      <c r="E49" s="1"/>
      <c r="F49" s="1"/>
      <c r="G49" s="1"/>
      <c r="H49" s="1"/>
      <c r="I49" s="1"/>
      <c r="J49" s="1"/>
      <c r="K49" s="1"/>
      <c r="L49" s="1"/>
      <c r="M49" s="1"/>
      <c r="N49" s="1"/>
      <c r="O49" s="1"/>
      <c r="P49" s="1"/>
      <c r="Q49" s="50"/>
      <c r="R49" s="1"/>
      <c r="S49" s="1"/>
      <c r="T49" s="1"/>
      <c r="U49" s="1"/>
      <c r="V49" s="1"/>
      <c r="W49" s="1"/>
      <c r="X49" s="1"/>
      <c r="Y49" s="1"/>
      <c r="Z49" s="1"/>
      <c r="AA49" s="1"/>
      <c r="AB49" s="1"/>
      <c r="AC49" s="1"/>
      <c r="AD49" s="1"/>
      <c r="AE49" s="1"/>
      <c r="AF49" s="1"/>
      <c r="AG49" s="1"/>
      <c r="AH49" s="1"/>
      <c r="AI49" s="1"/>
      <c r="AJ49" s="1"/>
      <c r="AK49" s="1"/>
      <c r="AL49" s="1"/>
      <c r="AM49" s="1"/>
      <c r="AN49" s="1"/>
      <c r="AO49" s="1"/>
    </row>
    <row r="50" spans="1:41" ht="15.75" customHeight="1" x14ac:dyDescent="0.25">
      <c r="A50" s="1"/>
      <c r="B50" s="1"/>
      <c r="C50" s="1"/>
      <c r="D50" s="1"/>
      <c r="E50" s="1"/>
      <c r="F50" s="1"/>
      <c r="G50" s="1"/>
      <c r="H50" s="1"/>
      <c r="I50" s="1"/>
      <c r="J50" s="1"/>
      <c r="K50" s="1"/>
      <c r="L50" s="1"/>
      <c r="M50" s="1"/>
      <c r="N50" s="1"/>
      <c r="O50" s="1"/>
      <c r="P50" s="1"/>
      <c r="Q50" s="51"/>
      <c r="R50" s="1"/>
      <c r="S50" s="1"/>
      <c r="T50" s="1"/>
      <c r="U50" s="1"/>
      <c r="V50" s="1"/>
      <c r="W50" s="1"/>
      <c r="X50" s="1"/>
      <c r="Y50" s="1"/>
      <c r="Z50" s="1"/>
      <c r="AA50" s="1"/>
      <c r="AB50" s="1"/>
      <c r="AC50" s="1"/>
      <c r="AD50" s="1"/>
      <c r="AE50" s="1"/>
      <c r="AF50" s="1"/>
      <c r="AG50" s="1"/>
      <c r="AH50" s="1"/>
      <c r="AI50" s="1"/>
      <c r="AJ50" s="1"/>
      <c r="AK50" s="1"/>
      <c r="AL50" s="1"/>
      <c r="AM50" s="1"/>
      <c r="AN50" s="1"/>
      <c r="AO50" s="1"/>
    </row>
    <row r="51" spans="1:41" ht="15.75" customHeight="1" x14ac:dyDescent="0.25">
      <c r="A51" s="1"/>
      <c r="B51" s="1"/>
      <c r="C51" s="1"/>
      <c r="D51" s="1"/>
      <c r="E51" s="1"/>
      <c r="F51" s="1"/>
      <c r="G51" s="1"/>
      <c r="H51" s="1"/>
      <c r="I51" s="1"/>
      <c r="J51" s="1"/>
      <c r="K51" s="1"/>
      <c r="L51" s="1"/>
      <c r="M51" s="1"/>
      <c r="N51" s="1"/>
      <c r="O51" s="1"/>
      <c r="P51" s="1"/>
      <c r="Q51" s="51"/>
      <c r="R51" s="1"/>
      <c r="S51" s="1"/>
      <c r="T51" s="1"/>
      <c r="U51" s="1"/>
      <c r="V51" s="1"/>
      <c r="W51" s="1"/>
      <c r="X51" s="1"/>
      <c r="Y51" s="1"/>
      <c r="Z51" s="1"/>
      <c r="AA51" s="1"/>
      <c r="AB51" s="1"/>
      <c r="AC51" s="1"/>
      <c r="AD51" s="1"/>
      <c r="AE51" s="1"/>
      <c r="AF51" s="1"/>
      <c r="AG51" s="1"/>
      <c r="AH51" s="1"/>
      <c r="AI51" s="1"/>
      <c r="AJ51" s="1"/>
      <c r="AK51" s="1"/>
      <c r="AL51" s="1"/>
      <c r="AM51" s="1"/>
      <c r="AN51" s="1"/>
      <c r="AO51" s="1"/>
    </row>
    <row r="52" spans="1:41"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row>
    <row r="53" spans="1:41"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row>
    <row r="54" spans="1:41"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row>
    <row r="55" spans="1:41"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row>
    <row r="56" spans="1:41"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row>
    <row r="57" spans="1:41"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row>
    <row r="58" spans="1:41"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row>
    <row r="59" spans="1:41"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row>
    <row r="60" spans="1:41"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row>
    <row r="61" spans="1:41"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row>
    <row r="62" spans="1:41"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row>
    <row r="63" spans="1:41"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row>
    <row r="64" spans="1:41"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row>
    <row r="65" spans="1:41"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row>
    <row r="66" spans="1:41"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row>
    <row r="67" spans="1:41"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row>
    <row r="68" spans="1:41"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row>
    <row r="69" spans="1:41"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row>
    <row r="70" spans="1:41"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row>
    <row r="71" spans="1:41"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row>
    <row r="72" spans="1:41"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row>
    <row r="73" spans="1:41"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row>
    <row r="74" spans="1:41"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row>
    <row r="75" spans="1:41"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row>
    <row r="76" spans="1:41"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row>
    <row r="77" spans="1:41"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row>
    <row r="78" spans="1:41"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row>
    <row r="79" spans="1:41"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row>
    <row r="80" spans="1:41"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row>
    <row r="81" spans="1:41"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row>
    <row r="82" spans="1:41"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row>
    <row r="83" spans="1:41"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row>
    <row r="84" spans="1:41"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row>
    <row r="85" spans="1:41"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row>
    <row r="86" spans="1:41"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row>
    <row r="87" spans="1:41"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row>
    <row r="88" spans="1:41"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row>
    <row r="89" spans="1:41"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row>
    <row r="90" spans="1:41"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row>
    <row r="91" spans="1:41"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row>
    <row r="92" spans="1:41"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row>
    <row r="93" spans="1:41"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row>
    <row r="94" spans="1:41"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row>
    <row r="95" spans="1:41"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row>
    <row r="96" spans="1:41"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row>
    <row r="97" spans="1:41"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row>
    <row r="98" spans="1:41"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row>
    <row r="99" spans="1:41"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row>
    <row r="100" spans="1:41"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row>
    <row r="101" spans="1:41"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row>
    <row r="102" spans="1:41"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row>
    <row r="103" spans="1:41"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row>
    <row r="104" spans="1:41"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row>
    <row r="105" spans="1:41"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row>
    <row r="106" spans="1:41"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row>
    <row r="107" spans="1:41"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row>
    <row r="108" spans="1:41"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row>
    <row r="109" spans="1:41"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row>
    <row r="110" spans="1:41"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row>
    <row r="111" spans="1:41"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row>
    <row r="112" spans="1:41"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row>
    <row r="113" spans="1:41"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row>
    <row r="114" spans="1:41"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row>
    <row r="115" spans="1:41"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row>
    <row r="116" spans="1:41"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row>
    <row r="117" spans="1:41"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row>
    <row r="118" spans="1:41"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row>
    <row r="119" spans="1:41"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row>
    <row r="120" spans="1:41"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row>
    <row r="121" spans="1:41"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row>
    <row r="122" spans="1:41"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row>
    <row r="123" spans="1:41"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row>
    <row r="124" spans="1:41"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row>
    <row r="125" spans="1:41"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row>
    <row r="126" spans="1:41"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row>
    <row r="127" spans="1:41"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row>
    <row r="128" spans="1:41"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row>
    <row r="129" spans="1:41"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row>
    <row r="130" spans="1:41"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row>
    <row r="131" spans="1:41"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row>
    <row r="132" spans="1:41"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row>
    <row r="133" spans="1:41"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row>
    <row r="134" spans="1:41"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row>
    <row r="135" spans="1:41"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row>
    <row r="136" spans="1:41"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row>
    <row r="137" spans="1:41"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row>
    <row r="138" spans="1:41"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row>
    <row r="139" spans="1:41"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row>
    <row r="140" spans="1:41"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row>
    <row r="141" spans="1:41"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row>
    <row r="142" spans="1:41"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row>
    <row r="143" spans="1:41"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row>
    <row r="144" spans="1:41"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row>
    <row r="145" spans="1:41"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row>
    <row r="146" spans="1:41"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row>
    <row r="147" spans="1:41"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row>
    <row r="148" spans="1:41"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row>
    <row r="149" spans="1:41"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row>
    <row r="150" spans="1:41"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row>
    <row r="151" spans="1:41"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row>
    <row r="152" spans="1:41"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row>
    <row r="153" spans="1:41"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row>
    <row r="154" spans="1:41"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row>
    <row r="155" spans="1:41"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row>
    <row r="156" spans="1:41"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row>
    <row r="157" spans="1:41"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row>
    <row r="158" spans="1:41"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row>
    <row r="159" spans="1:41"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row>
    <row r="160" spans="1:41"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row>
    <row r="161" spans="1:41"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row>
    <row r="162" spans="1:41"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row>
    <row r="163" spans="1:41"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row>
    <row r="164" spans="1:41"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row>
    <row r="165" spans="1:41"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row>
    <row r="166" spans="1:41"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row>
    <row r="167" spans="1:41"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row>
    <row r="168" spans="1:41"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row>
    <row r="169" spans="1:41"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row>
    <row r="170" spans="1:41"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row>
    <row r="171" spans="1:41"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row>
    <row r="172" spans="1:41"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row>
    <row r="173" spans="1:41"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row>
    <row r="174" spans="1:41"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row>
    <row r="175" spans="1:41"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row>
    <row r="176" spans="1:41"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row>
    <row r="177" spans="1:41"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row>
    <row r="178" spans="1:41"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row>
    <row r="179" spans="1:41"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row>
    <row r="180" spans="1:41"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row>
    <row r="181" spans="1:41"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row>
    <row r="182" spans="1:41"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row>
    <row r="183" spans="1:41"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row>
    <row r="184" spans="1:41"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row>
    <row r="185" spans="1:41"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row>
    <row r="186" spans="1:41"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row>
    <row r="187" spans="1:41"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row>
    <row r="188" spans="1:41"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row>
    <row r="189" spans="1:41"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row>
    <row r="190" spans="1:41"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row>
    <row r="191" spans="1:41"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row>
    <row r="192" spans="1:41"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row>
    <row r="193" spans="1:41"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row>
    <row r="194" spans="1:41"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row>
    <row r="195" spans="1:41"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row>
    <row r="196" spans="1:41"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row>
    <row r="197" spans="1:41"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row>
    <row r="198" spans="1:41"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row>
    <row r="199" spans="1:41"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row>
    <row r="200" spans="1:41"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row>
    <row r="201" spans="1:41"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row>
    <row r="202" spans="1:41"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row>
    <row r="203" spans="1:41"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row>
    <row r="204" spans="1:41"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row>
    <row r="205" spans="1:41"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row>
    <row r="206" spans="1:41"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row>
    <row r="207" spans="1:41"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row>
    <row r="208" spans="1:41"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row>
    <row r="209" spans="1:41"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row>
    <row r="210" spans="1:41"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row>
    <row r="211" spans="1:41"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row>
    <row r="212" spans="1:41"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row>
    <row r="213" spans="1:41"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row>
    <row r="214" spans="1:41"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row>
    <row r="215" spans="1:41"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row>
    <row r="216" spans="1:41"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row>
    <row r="217" spans="1:41"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row>
    <row r="218" spans="1:41"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row>
    <row r="219" spans="1:41"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row>
    <row r="220" spans="1:41"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row>
    <row r="221" spans="1:41"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row>
    <row r="222" spans="1:41"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row>
    <row r="223" spans="1:41"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row>
    <row r="224" spans="1:41"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row>
    <row r="225" spans="1:41"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row>
    <row r="226" spans="1:41"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row>
    <row r="227" spans="1:41"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row>
    <row r="228" spans="1:41"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row>
    <row r="229" spans="1:41"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row>
    <row r="230" spans="1:41"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row>
    <row r="231" spans="1:41"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row>
    <row r="232" spans="1:41"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row>
    <row r="233" spans="1:41"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row>
    <row r="234" spans="1:41"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row>
    <row r="235" spans="1:41"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row>
    <row r="236" spans="1:41"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row>
    <row r="237" spans="1:41"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row>
    <row r="238" spans="1:41"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row>
    <row r="239" spans="1:41"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row>
    <row r="240" spans="1:41"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row>
    <row r="241" spans="1:41"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row>
    <row r="242" spans="1:41"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row>
    <row r="243" spans="1:41"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row>
    <row r="244" spans="1:41"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row>
    <row r="245" spans="1:41"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row>
    <row r="246" spans="1:41"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row>
    <row r="247" spans="1:41"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row>
    <row r="248" spans="1:41"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row>
    <row r="249" spans="1:41"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row>
    <row r="250" spans="1:41"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row>
    <row r="251" spans="1:41"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row>
    <row r="252" spans="1:41"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row>
    <row r="253" spans="1:41"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row>
    <row r="254" spans="1:41"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row>
    <row r="255" spans="1:41"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row>
    <row r="256" spans="1:41"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row>
    <row r="257" spans="1:41"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row>
    <row r="258" spans="1:41"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row>
    <row r="259" spans="1:41"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row>
    <row r="260" spans="1:41"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row>
    <row r="261" spans="1:41"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row>
    <row r="262" spans="1:41"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row>
    <row r="263" spans="1:41"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row>
    <row r="264" spans="1:41"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row>
    <row r="265" spans="1:41"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row>
    <row r="266" spans="1:41"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row>
    <row r="267" spans="1:41"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row>
    <row r="268" spans="1:41"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row>
    <row r="269" spans="1:41"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row>
    <row r="270" spans="1:41"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row>
    <row r="271" spans="1:41"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row>
    <row r="272" spans="1:41"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row>
    <row r="273" spans="1:41"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row>
    <row r="274" spans="1:41"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row>
    <row r="275" spans="1:41"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row>
    <row r="276" spans="1:41"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row>
    <row r="277" spans="1:41"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row>
    <row r="278" spans="1:41"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row>
    <row r="279" spans="1:41"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row>
    <row r="280" spans="1:41"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row>
    <row r="281" spans="1:41"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row>
    <row r="282" spans="1:41"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row>
    <row r="283" spans="1:41"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row>
    <row r="284" spans="1:41"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row>
    <row r="285" spans="1:41"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row>
    <row r="286" spans="1:41"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row>
    <row r="287" spans="1:41"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row>
    <row r="288" spans="1:41"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row>
    <row r="289" spans="1:41"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row>
    <row r="290" spans="1:41"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row>
    <row r="291" spans="1:41"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row>
    <row r="292" spans="1:41"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row>
    <row r="293" spans="1:41"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row>
    <row r="294" spans="1:41"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row>
    <row r="295" spans="1:41"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row>
    <row r="296" spans="1:41"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row>
    <row r="297" spans="1:41"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row>
    <row r="298" spans="1:41"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row>
    <row r="299" spans="1:41"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row>
    <row r="300" spans="1:41"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row>
    <row r="301" spans="1:41"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row>
    <row r="302" spans="1:41"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row>
    <row r="303" spans="1:41"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row>
    <row r="304" spans="1:41"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row>
    <row r="305" spans="1:41"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row>
    <row r="306" spans="1:41"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row>
    <row r="307" spans="1:41"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row>
    <row r="308" spans="1:41"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row>
    <row r="309" spans="1:41"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row>
    <row r="310" spans="1:41"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row>
    <row r="311" spans="1:41"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row>
    <row r="312" spans="1:41"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row>
    <row r="313" spans="1:41"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row>
    <row r="314" spans="1:41"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row>
    <row r="315" spans="1:41"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row>
    <row r="316" spans="1:41"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row>
    <row r="317" spans="1:41"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row>
    <row r="318" spans="1:41"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row>
    <row r="319" spans="1:41"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row>
    <row r="320" spans="1:41"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row>
    <row r="321" spans="1:41"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row>
    <row r="322" spans="1:41"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row>
    <row r="323" spans="1:41"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row>
    <row r="324" spans="1:41"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row>
    <row r="325" spans="1:41"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row>
    <row r="326" spans="1:41"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row>
    <row r="327" spans="1:41"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row>
    <row r="328" spans="1:41"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row>
    <row r="329" spans="1:41"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row>
    <row r="330" spans="1:41"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row>
    <row r="331" spans="1:41"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row>
    <row r="332" spans="1:41"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row>
    <row r="333" spans="1:41"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row>
    <row r="334" spans="1:41"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row>
    <row r="335" spans="1:41"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row>
    <row r="336" spans="1:41"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row>
    <row r="337" spans="1:41"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row>
    <row r="338" spans="1:41"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row>
    <row r="339" spans="1:41"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row>
    <row r="340" spans="1:41"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row>
    <row r="341" spans="1:41"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row>
    <row r="342" spans="1:41"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row>
    <row r="343" spans="1:41"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row>
    <row r="344" spans="1:41"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row>
    <row r="345" spans="1:41"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row>
    <row r="346" spans="1:41"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row>
    <row r="347" spans="1:41"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row>
    <row r="348" spans="1:41"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row>
    <row r="349" spans="1:41"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row>
    <row r="350" spans="1:41"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row>
    <row r="351" spans="1:41"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row>
    <row r="352" spans="1:41"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row>
    <row r="353" spans="1:41"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row>
    <row r="354" spans="1:41"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row>
    <row r="355" spans="1:41"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row>
    <row r="356" spans="1:41"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row>
    <row r="357" spans="1:41"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row>
    <row r="358" spans="1:41"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row>
    <row r="359" spans="1:41"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row>
    <row r="360" spans="1:41"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row>
    <row r="361" spans="1:41"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row>
    <row r="362" spans="1:41"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row>
    <row r="363" spans="1:41"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row>
    <row r="364" spans="1:41"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row>
    <row r="365" spans="1:41"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row>
    <row r="366" spans="1:41"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row>
    <row r="367" spans="1:41"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row>
    <row r="368" spans="1:41"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row>
    <row r="369" spans="1:41"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row>
    <row r="370" spans="1:41"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row>
    <row r="371" spans="1:41"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row>
    <row r="372" spans="1:41"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row>
    <row r="373" spans="1:41"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row>
    <row r="374" spans="1:41"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row>
    <row r="375" spans="1:41"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row>
    <row r="376" spans="1:41"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row>
    <row r="377" spans="1:41"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row>
    <row r="378" spans="1:41"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row>
    <row r="379" spans="1:41"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row>
    <row r="380" spans="1:41"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row>
    <row r="381" spans="1:41"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row>
    <row r="382" spans="1:41"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row r="384" spans="1:41"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row>
    <row r="385" spans="1:41"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row>
    <row r="386" spans="1:41"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row>
    <row r="387" spans="1:41"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row>
    <row r="388" spans="1:41"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row>
    <row r="389" spans="1:41"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row>
    <row r="390" spans="1:41"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row>
    <row r="391" spans="1:41"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row>
    <row r="392" spans="1:41"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row>
    <row r="393" spans="1:41"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row>
    <row r="394" spans="1:41"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row>
    <row r="395" spans="1:41"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row>
    <row r="396" spans="1:41"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row>
    <row r="397" spans="1:41"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row>
    <row r="398" spans="1:41"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row>
    <row r="399" spans="1:41"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row>
    <row r="400" spans="1:41"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row>
    <row r="401" spans="1:41"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row>
    <row r="402" spans="1:41"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row>
    <row r="403" spans="1:41"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row>
    <row r="404" spans="1:41"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row>
    <row r="405" spans="1:41"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row>
    <row r="406" spans="1:41"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row>
    <row r="407" spans="1:41"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row>
    <row r="408" spans="1:41"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row>
    <row r="409" spans="1:41"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row>
    <row r="410" spans="1:41"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row>
    <row r="411" spans="1:41"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row>
    <row r="412" spans="1:41"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row>
    <row r="413" spans="1:41"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row>
    <row r="414" spans="1:41"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row>
    <row r="415" spans="1:41"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row>
    <row r="416" spans="1:41"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row>
    <row r="417" spans="1:41"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row>
    <row r="418" spans="1:41"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row>
    <row r="419" spans="1:41"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row>
    <row r="420" spans="1:41"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row>
    <row r="421" spans="1:41"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row>
    <row r="422" spans="1:41"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row>
    <row r="423" spans="1:41"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row>
    <row r="424" spans="1:41"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row>
    <row r="425" spans="1:41"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row>
    <row r="426" spans="1:41"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row>
    <row r="427" spans="1:41"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row>
    <row r="428" spans="1:41"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row>
    <row r="429" spans="1:41"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row>
    <row r="430" spans="1:41"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row>
    <row r="431" spans="1:41"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row>
    <row r="432" spans="1:41"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row>
    <row r="433" spans="1:41"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row>
    <row r="434" spans="1:41"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row>
    <row r="435" spans="1:41"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row>
    <row r="436" spans="1:41"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row>
    <row r="437" spans="1:41"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row>
    <row r="438" spans="1:41"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row>
    <row r="439" spans="1:41"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row>
    <row r="440" spans="1:41"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row>
    <row r="441" spans="1:41"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row>
    <row r="442" spans="1:41"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row>
    <row r="443" spans="1:41"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row>
    <row r="444" spans="1:41"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row>
    <row r="445" spans="1:41"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row>
    <row r="446" spans="1:41"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row>
    <row r="447" spans="1:41"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row>
    <row r="448" spans="1:41"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row>
    <row r="449" spans="1:41"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row>
    <row r="450" spans="1:41"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row>
    <row r="451" spans="1:41"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row>
    <row r="452" spans="1:41"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row>
    <row r="453" spans="1:41"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row>
    <row r="454" spans="1:41"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row>
    <row r="455" spans="1:41"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row>
    <row r="456" spans="1:41"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row>
    <row r="457" spans="1:41"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row>
    <row r="458" spans="1:41"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row>
    <row r="459" spans="1:41"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row>
    <row r="460" spans="1:41"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row>
    <row r="461" spans="1:41"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row>
    <row r="462" spans="1:41"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row>
    <row r="463" spans="1:41"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row>
    <row r="464" spans="1:41"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row>
    <row r="465" spans="1:41"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row>
    <row r="466" spans="1:41"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row>
    <row r="467" spans="1:41"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row>
    <row r="468" spans="1:41"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row>
    <row r="469" spans="1:41"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row>
    <row r="470" spans="1:41"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row>
    <row r="471" spans="1:41"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row>
    <row r="472" spans="1:41"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row>
    <row r="473" spans="1:41"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row>
    <row r="474" spans="1:41"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row>
    <row r="475" spans="1:41"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row>
    <row r="476" spans="1:41"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row>
    <row r="477" spans="1:41"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row>
    <row r="478" spans="1:41"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row>
    <row r="479" spans="1:41"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row>
    <row r="480" spans="1:41"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row>
    <row r="481" spans="1:41"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row>
    <row r="482" spans="1:41"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row>
    <row r="483" spans="1:41"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row>
    <row r="484" spans="1:41"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row>
    <row r="485" spans="1:41"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row>
    <row r="486" spans="1:41"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row>
    <row r="487" spans="1:41"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row>
    <row r="488" spans="1:41"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row>
    <row r="489" spans="1:41"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row>
    <row r="490" spans="1:41"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row>
    <row r="491" spans="1:41"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row>
    <row r="492" spans="1:41"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row>
    <row r="493" spans="1:41"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row>
    <row r="494" spans="1:41"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row>
    <row r="495" spans="1:41"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row>
    <row r="496" spans="1:41"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row>
    <row r="497" spans="1:41"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row>
    <row r="498" spans="1:41"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row>
    <row r="499" spans="1:41"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row>
    <row r="500" spans="1:41"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row>
    <row r="501" spans="1:41"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row>
    <row r="502" spans="1:41"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row>
    <row r="503" spans="1:41"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row>
    <row r="504" spans="1:41"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row>
    <row r="505" spans="1:41"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row>
    <row r="506" spans="1:41"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row>
    <row r="507" spans="1:41"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row>
    <row r="508" spans="1:41"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row>
    <row r="509" spans="1:41"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row>
    <row r="510" spans="1:41"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row>
    <row r="511" spans="1:41"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row>
    <row r="512" spans="1:41"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row>
    <row r="513" spans="1:41"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row>
    <row r="514" spans="1:41"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row>
    <row r="515" spans="1:41"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row>
    <row r="516" spans="1:41"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row>
    <row r="517" spans="1:41"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row>
    <row r="518" spans="1:41"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row>
    <row r="519" spans="1:41"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row>
    <row r="520" spans="1:41"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row>
    <row r="521" spans="1:41"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row>
    <row r="522" spans="1:41"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row>
    <row r="523" spans="1:41"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row>
    <row r="524" spans="1:41"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row>
    <row r="525" spans="1:41"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row>
    <row r="526" spans="1:41"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row>
    <row r="527" spans="1:41"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row>
    <row r="528" spans="1:41"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row>
    <row r="529" spans="1:41"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row>
    <row r="530" spans="1:41"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row>
    <row r="531" spans="1:41"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row>
    <row r="532" spans="1:41"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row>
    <row r="533" spans="1:41"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row>
    <row r="534" spans="1:41"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row>
    <row r="535" spans="1:41"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row>
    <row r="536" spans="1:41"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row>
    <row r="537" spans="1:41"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row>
    <row r="538" spans="1:41"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row>
    <row r="539" spans="1:41"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row>
    <row r="540" spans="1:41"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row>
    <row r="541" spans="1:41"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row>
    <row r="542" spans="1:41"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row>
    <row r="543" spans="1:41"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row>
    <row r="544" spans="1:41"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row>
    <row r="545" spans="1:41"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row>
    <row r="546" spans="1:41"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row>
    <row r="547" spans="1:41"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row>
    <row r="548" spans="1:41"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row>
    <row r="549" spans="1:41"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row>
    <row r="550" spans="1:41"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row>
    <row r="551" spans="1:41"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row>
    <row r="552" spans="1:41"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row>
    <row r="553" spans="1:41"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row>
    <row r="554" spans="1:41"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row>
    <row r="555" spans="1:41"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row>
    <row r="556" spans="1:41"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row>
    <row r="557" spans="1:41"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row>
    <row r="558" spans="1:41"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row>
    <row r="559" spans="1:41"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row>
    <row r="560" spans="1:41"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row>
    <row r="561" spans="1:41"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row>
    <row r="562" spans="1:41"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row>
    <row r="563" spans="1:41"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row>
    <row r="564" spans="1:41"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row>
    <row r="565" spans="1:41"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row>
    <row r="566" spans="1:41"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row>
    <row r="567" spans="1:41"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row>
    <row r="568" spans="1:41"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row>
    <row r="569" spans="1:41"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row>
    <row r="570" spans="1:41"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row>
    <row r="571" spans="1:41"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row>
    <row r="572" spans="1:41"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row>
    <row r="573" spans="1:41"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row>
    <row r="574" spans="1:41"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row>
    <row r="575" spans="1:41"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row>
    <row r="576" spans="1:41"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row>
    <row r="577" spans="1:41"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row>
    <row r="578" spans="1:41"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row>
    <row r="579" spans="1:41"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row>
    <row r="580" spans="1:41"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row>
    <row r="581" spans="1:41"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row>
    <row r="582" spans="1:41"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row>
    <row r="583" spans="1:41"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row>
    <row r="584" spans="1:41"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row>
    <row r="585" spans="1:41"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row>
    <row r="586" spans="1:41"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row>
    <row r="587" spans="1:41"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row>
    <row r="588" spans="1:41"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row>
    <row r="589" spans="1:41"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row>
    <row r="590" spans="1:41"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row>
    <row r="591" spans="1:41"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row>
    <row r="592" spans="1:41"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row>
    <row r="593" spans="1:41"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row>
    <row r="594" spans="1:41"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row>
    <row r="595" spans="1:41"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row>
    <row r="596" spans="1:41"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row>
    <row r="597" spans="1:41"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row>
    <row r="598" spans="1:41"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row>
    <row r="599" spans="1:41"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row>
    <row r="600" spans="1:41"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row>
    <row r="601" spans="1:41"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row>
    <row r="602" spans="1:41"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row>
    <row r="603" spans="1:41"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row>
    <row r="604" spans="1:41"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row>
    <row r="605" spans="1:41"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row>
    <row r="606" spans="1:41"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row>
    <row r="607" spans="1:41"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row>
    <row r="608" spans="1:41"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row>
    <row r="609" spans="1:41"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row>
    <row r="610" spans="1:41"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row>
    <row r="611" spans="1:41"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row>
    <row r="612" spans="1:41"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row>
    <row r="613" spans="1:41"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row>
    <row r="614" spans="1:41"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row>
    <row r="615" spans="1:41"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row>
    <row r="616" spans="1:41"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row>
    <row r="617" spans="1:41"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row>
    <row r="618" spans="1:41"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row>
    <row r="619" spans="1:41"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row>
    <row r="620" spans="1:41"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row>
    <row r="621" spans="1:41"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row>
    <row r="622" spans="1:41"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row>
    <row r="623" spans="1:41"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row>
    <row r="624" spans="1:41"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row>
    <row r="625" spans="1:41"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row>
    <row r="626" spans="1:41"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row>
    <row r="627" spans="1:41"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row>
    <row r="628" spans="1:41"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row>
    <row r="629" spans="1:41"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row>
    <row r="630" spans="1:41"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row>
    <row r="631" spans="1:41"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row>
    <row r="632" spans="1:41"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row>
    <row r="633" spans="1:41"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row>
    <row r="634" spans="1:41"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row>
    <row r="635" spans="1:41"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row>
    <row r="636" spans="1:41"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row>
    <row r="637" spans="1:41"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row>
    <row r="638" spans="1:41"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row>
    <row r="639" spans="1:41"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row>
    <row r="640" spans="1:41"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row>
    <row r="641" spans="1:41"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row>
    <row r="642" spans="1:41"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row>
    <row r="643" spans="1:41"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row>
    <row r="644" spans="1:41"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row>
    <row r="645" spans="1:41"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row>
    <row r="646" spans="1:41"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row>
    <row r="647" spans="1:41"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row>
    <row r="648" spans="1:41"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row>
    <row r="649" spans="1:41"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row>
    <row r="650" spans="1:41"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row>
    <row r="651" spans="1:41"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row>
    <row r="652" spans="1:41"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row>
    <row r="653" spans="1:41"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row>
    <row r="654" spans="1:41"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row>
    <row r="655" spans="1:41"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row>
    <row r="656" spans="1:41"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row>
    <row r="657" spans="1:41"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row>
    <row r="658" spans="1:41"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row>
    <row r="659" spans="1:41"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row>
    <row r="660" spans="1:41"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row>
    <row r="661" spans="1:41"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row>
    <row r="662" spans="1:41"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row>
    <row r="663" spans="1:41"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row>
    <row r="664" spans="1:41"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row>
    <row r="665" spans="1:41"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row>
    <row r="666" spans="1:41"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row>
    <row r="667" spans="1:41"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row>
    <row r="668" spans="1:41"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row>
    <row r="669" spans="1:41"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row>
    <row r="670" spans="1:41"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row>
    <row r="671" spans="1:41"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row>
    <row r="672" spans="1:41"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row>
    <row r="673" spans="1:41"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row>
    <row r="674" spans="1:41"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row>
    <row r="675" spans="1:41"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row>
    <row r="676" spans="1:41"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row>
    <row r="677" spans="1:41"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row>
    <row r="678" spans="1:41"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row>
    <row r="679" spans="1:41"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row>
    <row r="680" spans="1:41"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row>
    <row r="681" spans="1:41"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row>
    <row r="682" spans="1:41"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row>
    <row r="683" spans="1:41"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row>
    <row r="684" spans="1:41"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row>
    <row r="685" spans="1:41"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row>
    <row r="686" spans="1:41"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row>
    <row r="687" spans="1:41"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row>
    <row r="688" spans="1:41"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row>
    <row r="689" spans="1:41"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row>
    <row r="690" spans="1:41"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row>
    <row r="691" spans="1:41"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row>
    <row r="692" spans="1:41"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row>
    <row r="693" spans="1:41"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row>
    <row r="694" spans="1:41"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row>
    <row r="695" spans="1:41"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row>
    <row r="696" spans="1:41"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row>
    <row r="697" spans="1:41"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row>
    <row r="698" spans="1:41"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row>
    <row r="699" spans="1:41"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row>
    <row r="700" spans="1:41"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row>
    <row r="701" spans="1:41"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row>
    <row r="702" spans="1:41"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row>
    <row r="703" spans="1:41"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row>
    <row r="704" spans="1:41"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row>
    <row r="705" spans="1:41"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row>
    <row r="706" spans="1:41"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row>
    <row r="707" spans="1:41"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row>
    <row r="708" spans="1:41"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row>
    <row r="709" spans="1:41"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row>
    <row r="710" spans="1:41"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row>
    <row r="711" spans="1:41"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row>
    <row r="712" spans="1:41"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row>
    <row r="713" spans="1:41"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row>
    <row r="714" spans="1:41"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row>
    <row r="715" spans="1:41"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row>
    <row r="716" spans="1:41"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row>
    <row r="717" spans="1:41"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row>
    <row r="718" spans="1:41"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row>
    <row r="719" spans="1:41"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row>
    <row r="720" spans="1:41"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row>
    <row r="721" spans="1:41"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row>
    <row r="722" spans="1:41"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row>
    <row r="723" spans="1:41"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row>
    <row r="724" spans="1:41"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row>
    <row r="725" spans="1:41"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row>
    <row r="726" spans="1:41"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row>
    <row r="727" spans="1:41"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row>
    <row r="728" spans="1:41"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row>
    <row r="729" spans="1:41"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row>
    <row r="730" spans="1:41"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row>
    <row r="731" spans="1:41"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row>
    <row r="732" spans="1:41"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row>
    <row r="733" spans="1:41"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row>
    <row r="734" spans="1:41"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row>
    <row r="735" spans="1:41"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row>
    <row r="736" spans="1:41"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row>
    <row r="737" spans="1:41"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row>
    <row r="738" spans="1:41"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row>
    <row r="739" spans="1:41"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row>
    <row r="740" spans="1:41"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row>
    <row r="741" spans="1:41"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row>
    <row r="742" spans="1:41"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row>
    <row r="743" spans="1:41"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row>
    <row r="744" spans="1:41"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row>
    <row r="745" spans="1:41"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row>
    <row r="746" spans="1:41"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row>
    <row r="747" spans="1:41"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row>
    <row r="748" spans="1:41"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row>
    <row r="749" spans="1:41"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row>
    <row r="750" spans="1:41"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row>
    <row r="751" spans="1:41"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row>
    <row r="752" spans="1:41"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row>
    <row r="753" spans="1:41"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row>
    <row r="754" spans="1:41"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row>
    <row r="755" spans="1:41"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row>
    <row r="756" spans="1:41"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row>
    <row r="757" spans="1:41"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row>
    <row r="758" spans="1:41"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row>
    <row r="759" spans="1:41"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row>
    <row r="760" spans="1:41"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row>
    <row r="761" spans="1:41"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row>
    <row r="762" spans="1:41"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row>
    <row r="763" spans="1:41"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row>
    <row r="764" spans="1:41"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row>
    <row r="765" spans="1:41"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row>
    <row r="766" spans="1:41"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row>
    <row r="767" spans="1:41"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row>
    <row r="768" spans="1:41"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row>
    <row r="769" spans="1:41"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row>
    <row r="770" spans="1:41"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row>
    <row r="771" spans="1:41"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row>
    <row r="772" spans="1:41"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row>
    <row r="773" spans="1:41"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row>
    <row r="774" spans="1:41"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row>
    <row r="775" spans="1:41"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row>
    <row r="776" spans="1:41"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row>
    <row r="777" spans="1:41"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row>
    <row r="778" spans="1:41"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row>
    <row r="779" spans="1:41"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row>
    <row r="780" spans="1:41"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row>
    <row r="781" spans="1:41"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row>
    <row r="782" spans="1:41"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row>
    <row r="783" spans="1:41"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row>
    <row r="784" spans="1:41"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row>
    <row r="785" spans="1:41"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row>
    <row r="786" spans="1:41"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row>
    <row r="787" spans="1:41"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row>
    <row r="788" spans="1:41"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row>
    <row r="789" spans="1:41"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row>
    <row r="790" spans="1:41"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row>
    <row r="791" spans="1:41"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row>
    <row r="792" spans="1:41"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row>
    <row r="793" spans="1:41"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row>
    <row r="794" spans="1:41"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row>
    <row r="795" spans="1:41"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row>
    <row r="796" spans="1:41"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row>
    <row r="797" spans="1:41"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row>
    <row r="798" spans="1:41"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row>
    <row r="799" spans="1:41"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row>
    <row r="800" spans="1:41"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row>
    <row r="801" spans="1:41"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row>
    <row r="802" spans="1:41"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row>
    <row r="803" spans="1:41"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row>
    <row r="804" spans="1:41"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row>
    <row r="805" spans="1:41"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row>
    <row r="806" spans="1:41"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row>
    <row r="807" spans="1:41"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row>
    <row r="808" spans="1:41"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row>
    <row r="809" spans="1:41"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row>
    <row r="810" spans="1:41"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row>
    <row r="811" spans="1:41"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row>
    <row r="812" spans="1:41"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row>
    <row r="813" spans="1:41"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row>
    <row r="814" spans="1:41"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row>
    <row r="815" spans="1:41"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row>
    <row r="816" spans="1:41"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row>
    <row r="817" spans="1:41"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row>
    <row r="818" spans="1:41"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row>
    <row r="819" spans="1:41"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row>
    <row r="820" spans="1:41"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row>
    <row r="821" spans="1:41"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row>
    <row r="822" spans="1:41"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row>
    <row r="823" spans="1:41"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row>
    <row r="824" spans="1:41"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row>
    <row r="825" spans="1:41"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row>
    <row r="826" spans="1:41"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row>
    <row r="827" spans="1:41"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row>
    <row r="828" spans="1:41"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row>
    <row r="829" spans="1:41"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row>
    <row r="830" spans="1:41"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row>
    <row r="831" spans="1:41"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row>
    <row r="832" spans="1:41"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row>
    <row r="833" spans="1:41"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row>
    <row r="834" spans="1:41"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row>
    <row r="835" spans="1:41"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row>
    <row r="836" spans="1:41"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row>
    <row r="837" spans="1:41"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row>
    <row r="838" spans="1:41"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row>
    <row r="839" spans="1:41"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row>
    <row r="840" spans="1:41"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row>
    <row r="841" spans="1:41"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row>
    <row r="842" spans="1:41"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row>
    <row r="843" spans="1:41"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row>
    <row r="844" spans="1:41"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row>
    <row r="845" spans="1:41"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row>
    <row r="846" spans="1:41"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row>
    <row r="847" spans="1:41"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row>
    <row r="848" spans="1:41"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row>
    <row r="849" spans="1:41"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row>
    <row r="850" spans="1:41"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row>
    <row r="851" spans="1:41"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row>
    <row r="852" spans="1:41"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row>
    <row r="853" spans="1:41"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row>
    <row r="854" spans="1:41"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row>
    <row r="855" spans="1:41"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row>
    <row r="856" spans="1:41"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row>
    <row r="857" spans="1:41"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row>
    <row r="858" spans="1:41"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row>
    <row r="859" spans="1:41"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row>
    <row r="860" spans="1:41"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row>
    <row r="861" spans="1:41"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row>
    <row r="862" spans="1:41"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row>
    <row r="863" spans="1:41"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row>
    <row r="864" spans="1:41"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row>
    <row r="865" spans="1:41"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row>
    <row r="866" spans="1:41"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row>
    <row r="867" spans="1:41"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row>
    <row r="868" spans="1:41"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row>
    <row r="869" spans="1:41"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row>
    <row r="870" spans="1:41"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row>
    <row r="871" spans="1:41"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row>
    <row r="872" spans="1:41"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row>
    <row r="873" spans="1:41"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row>
    <row r="874" spans="1:41"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row>
    <row r="875" spans="1:41"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row>
    <row r="876" spans="1:41"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row>
    <row r="877" spans="1:41"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row>
    <row r="878" spans="1:41"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row>
    <row r="879" spans="1:41"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row>
    <row r="880" spans="1:41"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row>
    <row r="881" spans="1:41"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row>
    <row r="882" spans="1:41"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row>
    <row r="883" spans="1:41"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row>
    <row r="884" spans="1:41"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row>
    <row r="885" spans="1:41"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row>
    <row r="886" spans="1:41"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row>
    <row r="887" spans="1:41"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row>
    <row r="888" spans="1:41"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row>
    <row r="889" spans="1:41"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row>
    <row r="890" spans="1:41"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row>
    <row r="891" spans="1:41"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row>
    <row r="892" spans="1:41"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row>
    <row r="893" spans="1:41"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row>
    <row r="894" spans="1:41"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row>
    <row r="895" spans="1:41"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row>
    <row r="896" spans="1:41"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row>
    <row r="897" spans="1:41"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row>
    <row r="898" spans="1:41"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row>
    <row r="899" spans="1:41"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row>
    <row r="900" spans="1:41"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row>
    <row r="901" spans="1:41"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row>
    <row r="902" spans="1:41"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row>
    <row r="903" spans="1:41"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row>
    <row r="904" spans="1:41"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row>
    <row r="905" spans="1:41"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row>
    <row r="906" spans="1:41"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row>
    <row r="907" spans="1:41"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row>
    <row r="908" spans="1:41"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row>
    <row r="909" spans="1:41"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row>
    <row r="910" spans="1:41"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row>
    <row r="911" spans="1:41"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row>
    <row r="912" spans="1:41"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row>
    <row r="913" spans="1:41"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row>
    <row r="914" spans="1:41"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row>
    <row r="915" spans="1:41"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row>
    <row r="916" spans="1:41"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row>
    <row r="917" spans="1:41"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row>
    <row r="918" spans="1:41"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row>
    <row r="919" spans="1:41"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row>
    <row r="920" spans="1:41"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row>
    <row r="921" spans="1:41"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row>
    <row r="922" spans="1:41"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row>
    <row r="923" spans="1:41"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row>
    <row r="924" spans="1:41"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row>
    <row r="925" spans="1:41"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row>
    <row r="926" spans="1:41"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row>
    <row r="927" spans="1:41"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row>
    <row r="928" spans="1:41"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row>
    <row r="929" spans="1:41"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row>
    <row r="930" spans="1:41"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row>
    <row r="931" spans="1:41"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row>
    <row r="932" spans="1:41"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row>
    <row r="933" spans="1:41"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row>
    <row r="934" spans="1:41"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row>
    <row r="935" spans="1:41"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row>
    <row r="936" spans="1:41"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row>
    <row r="937" spans="1:41"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row>
    <row r="938" spans="1:41"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row>
    <row r="939" spans="1:41"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row>
    <row r="940" spans="1:41"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row>
    <row r="941" spans="1:41"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row>
    <row r="942" spans="1:41"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row>
    <row r="943" spans="1:41"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row>
    <row r="944" spans="1:41"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row>
    <row r="945" spans="1:41"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row>
    <row r="946" spans="1:41"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row>
    <row r="947" spans="1:41"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row>
    <row r="948" spans="1:41"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row>
    <row r="949" spans="1:41"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row>
    <row r="950" spans="1:41"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row>
    <row r="951" spans="1:41"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row>
    <row r="952" spans="1:41"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row>
    <row r="953" spans="1:41"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row>
    <row r="954" spans="1:41"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row>
    <row r="955" spans="1:41"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row>
    <row r="956" spans="1:41"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row>
    <row r="957" spans="1:41"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row>
    <row r="958" spans="1:41"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row>
    <row r="959" spans="1:41"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row>
    <row r="960" spans="1:41"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row>
    <row r="961" spans="1:41"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row>
    <row r="962" spans="1:41"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row>
    <row r="963" spans="1:41"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row>
    <row r="964" spans="1:41"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row>
    <row r="965" spans="1:41"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row>
    <row r="966" spans="1:41"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row>
    <row r="967" spans="1:41"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row>
    <row r="968" spans="1:41"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row>
    <row r="969" spans="1:41"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row>
    <row r="970" spans="1:41"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row>
    <row r="971" spans="1:41"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row>
    <row r="972" spans="1:41"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row>
    <row r="973" spans="1:41"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row>
    <row r="974" spans="1:41"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row>
    <row r="975" spans="1:41"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row>
    <row r="976" spans="1:41"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row>
    <row r="977" spans="1:41"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row>
    <row r="978" spans="1:41"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row>
    <row r="979" spans="1:41"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row>
    <row r="980" spans="1:41"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row>
    <row r="981" spans="1:41"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row>
    <row r="982" spans="1:41"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row>
    <row r="983" spans="1:41"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row>
    <row r="984" spans="1:41"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row>
    <row r="985" spans="1:41"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row>
    <row r="986" spans="1:41"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row>
    <row r="987" spans="1:41"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row>
    <row r="988" spans="1:41"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row>
    <row r="989" spans="1:41"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row>
    <row r="990" spans="1:41"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row>
    <row r="991" spans="1:41"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row>
    <row r="992" spans="1:41"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row>
    <row r="993" spans="1:41"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row>
    <row r="994" spans="1:41"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row>
    <row r="995" spans="1:41"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row>
    <row r="996" spans="1:41"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row>
    <row r="997" spans="1:41"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row>
    <row r="998" spans="1:41"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row>
    <row r="999" spans="1:41"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row>
    <row r="1000" spans="1:41"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row>
  </sheetData>
  <mergeCells count="14">
    <mergeCell ref="A17:S17"/>
    <mergeCell ref="A1:S1"/>
    <mergeCell ref="A2:S2"/>
    <mergeCell ref="A4:A7"/>
    <mergeCell ref="B4:J4"/>
    <mergeCell ref="B5:D5"/>
    <mergeCell ref="S4:S7"/>
    <mergeCell ref="B16:S16"/>
    <mergeCell ref="E5:G5"/>
    <mergeCell ref="H5:J5"/>
    <mergeCell ref="N4:P4"/>
    <mergeCell ref="N5:P6"/>
    <mergeCell ref="K4:M4"/>
    <mergeCell ref="K5:M6"/>
  </mergeCells>
  <pageMargins left="0.7" right="0.7" top="0.75" bottom="0.75" header="0" footer="0"/>
  <pageSetup paperSize="9" scale="61" fitToHeight="0" orientation="landscape" r:id="rId1"/>
  <rowBreaks count="2" manualBreakCount="2">
    <brk id="37" max="58" man="1"/>
    <brk id="57" max="5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18.1</vt:lpstr>
      <vt:lpstr>'18.1'!Print_Area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2025-06-15T04:34:43Z</cp:lastPrinted>
  <dcterms:created xsi:type="dcterms:W3CDTF">2025-05-19T08:29:05Z</dcterms:created>
  <dcterms:modified xsi:type="dcterms:W3CDTF">2025-06-15T04:52:40Z</dcterms:modified>
</cp:coreProperties>
</file>