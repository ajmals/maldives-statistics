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CF1497D0-C4DB-4628-8C8B-7774366096B7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5" sheetId="5" r:id="rId1"/>
  </sheets>
  <definedNames>
    <definedName name="_xlnm.Print_Area" localSheetId="0">'18.5'!$A$1:$R$39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L19" i="5" l="1"/>
  <c r="G19" i="5"/>
  <c r="B19" i="5"/>
  <c r="L18" i="5"/>
  <c r="G18" i="5"/>
  <c r="B18" i="5"/>
  <c r="L17" i="5"/>
  <c r="G17" i="5"/>
  <c r="B17" i="5"/>
  <c r="L16" i="5"/>
  <c r="G16" i="5"/>
  <c r="B16" i="5"/>
  <c r="L15" i="5"/>
  <c r="G15" i="5"/>
  <c r="B15" i="5"/>
  <c r="L14" i="5"/>
  <c r="G14" i="5"/>
  <c r="B14" i="5"/>
  <c r="L13" i="5"/>
  <c r="G13" i="5"/>
  <c r="B13" i="5"/>
  <c r="L12" i="5"/>
  <c r="G12" i="5"/>
  <c r="B12" i="5"/>
  <c r="L11" i="5"/>
  <c r="G11" i="5"/>
  <c r="B11" i="5"/>
  <c r="L10" i="5"/>
  <c r="G10" i="5"/>
  <c r="B10" i="5"/>
  <c r="L9" i="5"/>
  <c r="G9" i="5"/>
  <c r="B9" i="5"/>
  <c r="L8" i="5"/>
  <c r="G8" i="5"/>
  <c r="B8" i="5"/>
</calcChain>
</file>

<file path=xl/sharedStrings.xml><?xml version="1.0" encoding="utf-8"?>
<sst xmlns="http://schemas.openxmlformats.org/spreadsheetml/2006/main" count="45" uniqueCount="35">
  <si>
    <t>Total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</si>
  <si>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</si>
  <si>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</si>
  <si>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</si>
  <si>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</si>
  <si>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</si>
  <si>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</si>
  <si>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</si>
  <si>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</si>
  <si>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</si>
  <si>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</si>
  <si>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</si>
  <si>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</si>
  <si>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</si>
  <si>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</si>
  <si>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</si>
  <si>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</si>
  <si>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</si>
  <si>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</si>
  <si>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</si>
  <si>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</si>
  <si>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</si>
  <si>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</si>
  <si>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</si>
  <si>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</si>
  <si>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</si>
  <si>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</si>
  <si>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</si>
  <si>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</si>
  <si>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</si>
  <si>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</si>
  <si>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t>ތާވަލު  18.5 :ރިޓާޔަމަންޓް ޕެންޝަން ލިބޭ މީހުންގެ އަދަދު އަދި ޢުމުރުފުރާތައް، 2022 - 2024</t>
  </si>
  <si>
    <t>TABLE   18.5: NUMBER OF BENEFICIARIES OF RETIREMENT PENSION SCHEME BY AGE, 2022 - 2024</t>
  </si>
  <si>
    <t>&lt; 65</t>
  </si>
  <si>
    <t>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</si>
</sst>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1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right" vertical="center"/>
    </xf>
    <xf numFmtId="0" fontId="7" fillId="2" borderId="4" xfId="0" applyFont="1" applyFill="1" applyBorder="1"/>
    <xf numFmtId="0" fontId="8" fillId="2" borderId="4" xfId="0" applyFont="1" applyFill="1" applyBorder="1"/>
    <xf numFmtId="0" fontId="9" fillId="2" borderId="4" xfId="0" applyFont="1" applyFill="1" applyBorder="1"/>
    <xf numFmtId="14" fontId="3" fillId="2" borderId="4" xfId="0" applyNumberFormat="1" applyFont="1" applyFill="1" applyBorder="1"/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right" vertical="center" wrapText="1"/>
    </xf>
    <xf numFmtId="0" fontId="4" fillId="2" borderId="17" xfId="0" applyFont="1" applyFill="1" applyBorder="1" applyAlignment="1">
      <alignment horizontal="right" vertical="center" wrapText="1"/>
    </xf>
    <xf numFmtId="0" fontId="4" fillId="2" borderId="18" xfId="0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vertical="center" wrapText="1"/>
    </xf>
    <xf numFmtId="164" fontId="3" fillId="2" borderId="4" xfId="0" applyNumberFormat="1" applyFont="1" applyFill="1" applyBorder="1" applyAlignment="1">
      <alignment vertical="center" wrapText="1"/>
    </xf>
    <xf numFmtId="164" fontId="3" fillId="2" borderId="19" xfId="0" applyNumberFormat="1" applyFont="1" applyFill="1" applyBorder="1" applyAlignment="1">
      <alignment vertical="center" wrapText="1"/>
    </xf>
    <xf numFmtId="3" fontId="3" fillId="2" borderId="20" xfId="0" applyNumberFormat="1" applyFont="1" applyFill="1" applyBorder="1" applyAlignment="1">
      <alignment vertical="center" wrapText="1"/>
    </xf>
    <xf numFmtId="3" fontId="3" fillId="2" borderId="16" xfId="0" applyNumberFormat="1" applyFont="1" applyFill="1" applyBorder="1" applyAlignment="1">
      <alignment vertical="center" wrapText="1"/>
    </xf>
    <xf numFmtId="164" fontId="3" fillId="2" borderId="16" xfId="0" applyNumberFormat="1" applyFont="1" applyFill="1" applyBorder="1" applyAlignment="1">
      <alignment vertical="center" wrapText="1"/>
    </xf>
    <xf numFmtId="164" fontId="3" fillId="2" borderId="17" xfId="0" applyNumberFormat="1" applyFont="1" applyFill="1" applyBorder="1" applyAlignment="1">
      <alignment vertical="center" wrapText="1"/>
    </xf>
    <xf numFmtId="3" fontId="3" fillId="2" borderId="18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wrapText="1"/>
    </xf>
    <xf numFmtId="2" fontId="3" fillId="2" borderId="4" xfId="0" applyNumberFormat="1" applyFont="1" applyFill="1" applyBorder="1" applyAlignment="1">
      <alignment wrapText="1"/>
    </xf>
    <xf numFmtId="0" fontId="0" fillId="3" borderId="0" xfId="0" applyFill="1"/>
    <xf numFmtId="164" fontId="3" fillId="4" borderId="4" xfId="0" applyNumberFormat="1" applyFont="1" applyFill="1" applyBorder="1" applyAlignment="1">
      <alignment vertical="center" wrapText="1"/>
    </xf>
    <xf numFmtId="164" fontId="3" fillId="4" borderId="16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right" vertical="center"/>
    </xf>
    <xf numFmtId="0" fontId="2" fillId="3" borderId="9" xfId="0" applyFont="1" applyFill="1" applyBorder="1"/>
    <xf numFmtId="0" fontId="2" fillId="3" borderId="15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4" fillId="2" borderId="14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8170167886122355"/>
          <c:y val="0.19600135466937602"/>
          <c:w val="0.37867997808685128"/>
          <c:h val="0.7842340191347048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E5400"/>
              </a:solidFill>
            </c:spPr>
            <c:extLst>
              <c:ext xmlns:c16="http://schemas.microsoft.com/office/drawing/2014/chart" uri="{C3380CC4-5D6E-409C-BE32-E72D297353CC}">
                <c16:uniqueId val="{00000001-6713-4C69-B5A9-593B09ED606A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2-6713-4C69-B5A9-593B09ED606A}"/>
              </c:ext>
            </c:extLst>
          </c:dPt>
          <c:dPt>
            <c:idx val="2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3-6713-4C69-B5A9-593B09ED606A}"/>
              </c:ext>
            </c:extLst>
          </c:dPt>
          <c:dPt>
            <c:idx val="3"/>
            <c:bubble3D val="0"/>
            <c:spPr>
              <a:solidFill>
                <a:srgbClr val="AEAAAA"/>
              </a:solidFill>
            </c:spPr>
            <c:extLst>
              <c:ext xmlns:c16="http://schemas.microsoft.com/office/drawing/2014/chart" uri="{C3380CC4-5D6E-409C-BE32-E72D297353CC}">
                <c16:uniqueId val="{00000004-6713-4C69-B5A9-593B09ED606A}"/>
              </c:ext>
            </c:extLst>
          </c:dPt>
          <c:dLbls>
            <c:dLbl>
              <c:idx val="0"/>
              <c:layout>
                <c:manualLayout>
                  <c:x val="3.5226772346983706E-3"/>
                  <c:y val="-0.13975448536355053"/>
                </c:manualLayout>
              </c:layout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13-4C69-B5A9-593B09ED606A}"/>
                </c:ext>
              </c:extLst>
            </c:dLbl>
            <c:dLbl>
              <c:idx val="1"/>
              <c:layout>
                <c:manualLayout>
                  <c:x val="-6.8692206076618231E-2"/>
                  <c:y val="3.7771482530689328E-2"/>
                </c:manualLayout>
              </c:layout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65389696169088"/>
                      <c:h val="0.103531633616619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713-4C69-B5A9-593B09ED606A}"/>
                </c:ext>
              </c:extLst>
            </c:dLbl>
            <c:dLbl>
              <c:idx val="2"/>
              <c:layout>
                <c:manualLayout>
                  <c:x val="-5.2840158520475562E-3"/>
                  <c:y val="2.2662889518413599E-2"/>
                </c:manualLayout>
              </c:layout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13-4C69-B5A9-593B09ED606A}"/>
                </c:ext>
              </c:extLst>
            </c:dLbl>
            <c:dLbl>
              <c:idx val="3"/>
              <c:layout>
                <c:manualLayout>
                  <c:x val="-5.2840158520475562E-3"/>
                  <c:y val="-2.2662889518413633E-2"/>
                </c:manualLayout>
              </c:layout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13-4C69-B5A9-593B09ED60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'18.5'!$M$7:$P$7</c:f>
              <c:strCache>
                <c:ptCount val="4"/>
                <c:pt idx="0">
                  <c:v>&lt; 65</c:v>
                </c:pt>
                <c:pt idx="1">
                  <c:v>65-69</c:v>
                </c:pt>
                <c:pt idx="2">
                  <c:v>70-74</c:v>
                </c:pt>
                <c:pt idx="3">
                  <c:v>75+</c:v>
                </c:pt>
              </c:strCache>
            </c:strRef>
          </c:cat>
          <c:val>
            <c:numRef>
              <c:f>'18.5'!$M$19:$P$19</c:f>
              <c:numCache>
                <c:formatCode>_(* #,##0_);_(* \(#,##0\);_(* "-"??_);_(@_)</c:formatCode>
                <c:ptCount val="4"/>
                <c:pt idx="0">
                  <c:v>14</c:v>
                </c:pt>
                <c:pt idx="1">
                  <c:v>1768</c:v>
                </c:pt>
                <c:pt idx="2">
                  <c:v>272</c:v>
                </c:pt>
                <c:pt idx="3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13-4C69-B5A9-593B09ED6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21</xdr:row>
      <xdr:rowOff>19050</xdr:rowOff>
    </xdr:from>
    <xdr:ext cx="7210425" cy="3362325"/>
    <xdr:graphicFrame macro="">
      <xdr:nvGraphicFramePr>
        <xdr:cNvPr id="1813304321" name="Chart 7">
          <a:extLst>
            <a:ext uri="{FF2B5EF4-FFF2-40B4-BE49-F238E27FC236}">
              <a16:creationId xmlns:a16="http://schemas.microsoft.com/office/drawing/2014/main" id="{00000000-0008-0000-0400-000001D41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0.11493</cdr:x>
      <cdr:y>0.04816</cdr:y>
    </cdr:from>
    <cdr:to>
      <cdr:x>0.91942</cdr:x>
      <cdr:y>0.11615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7B7D30C-425C-4782-2C83-85F12161787E}"/>
            </a:ext>
          </a:extLst>
        </cdr:cNvPr>
        <cdr:cNvSpPr txBox="1"/>
      </cdr:nvSpPr>
      <cdr:spPr>
        <a:xfrm xmlns:a="http://schemas.openxmlformats.org/drawingml/2006/main">
          <a:off x="828675" y="161926"/>
          <a:ext cx="580072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effectLst/>
              <a:latin typeface="+mn-lt"/>
              <a:ea typeface="+mn-ea"/>
              <a:cs typeface="+mn-cs"/>
            </a:rPr>
            <a:t>Figure 18.7: Percentage share of beneficiaries of retirement pension scheme by age group, </a:t>
          </a:r>
          <a:r>
            <a:rPr lang="dv-MV" sz="1100" b="1" i="0">
              <a:effectLst/>
              <a:latin typeface="+mn-lt"/>
              <a:ea typeface="+mn-ea"/>
              <a:cs typeface="+mn-cs"/>
            </a:rPr>
            <a:t>2024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K1000"/>
  <sheetViews>
    <sheetView tabSelected="1" zoomScale="75" zoomScaleNormal="75" workbookViewId="0">
      <selection activeCell="R32" sqref="R32"/>
    </sheetView>
  </sheetViews>
  <sheetFormatPr defaultColWidth="14.42578125" defaultRowHeight="15" customHeight="1" x14ac:dyDescent="0.25"/>
  <cols>
    <col min="1" max="16" width="9.85546875" style="27" customWidth="1"/>
    <col min="17" max="17" width="13.42578125" style="27" customWidth="1"/>
    <col min="18" max="18" width="3.7109375" style="27" customWidth="1"/>
    <col min="19" max="31" width="8" style="27" customWidth="1"/>
    <col min="32" max="32" width="11.85546875" style="27" customWidth="1"/>
    <col min="33" max="37" width="8" style="27" customWidth="1"/>
    <col min="38" max="16384" width="14.42578125" style="27"/>
  </cols>
  <sheetData>
    <row r="1" spans="1:37" ht="4.5" customHeight="1" x14ac:dyDescent="0.25">
      <c r="A1" s="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21" customHeight="1" x14ac:dyDescent="0.25">
      <c r="A2" s="42" t="s">
        <v>31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37" ht="15.75" customHeight="1" x14ac:dyDescent="0.25">
      <c r="A3" s="43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9" customHeight="1" x14ac:dyDescent="0.25">
      <c r="A4" s="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8" customHeight="1" x14ac:dyDescent="0.25">
      <c r="A5" s="38" t="s">
        <v>1</v>
      </c>
      <c r="B5" s="39"/>
      <c r="C5" s="39"/>
      <c r="D5" s="39"/>
      <c r="E5" s="39"/>
      <c r="F5" s="39"/>
      <c r="G5" s="39"/>
      <c r="H5" s="39"/>
      <c r="I5" s="39"/>
      <c r="J5" s="39"/>
      <c r="K5" s="40"/>
      <c r="L5" s="13"/>
      <c r="M5" s="13"/>
      <c r="N5" s="13"/>
      <c r="O5" s="13"/>
      <c r="P5" s="13"/>
      <c r="Q5" s="30" t="s">
        <v>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" customHeight="1" x14ac:dyDescent="0.25">
      <c r="A6" s="31"/>
      <c r="B6" s="44">
        <v>2022</v>
      </c>
      <c r="C6" s="33"/>
      <c r="D6" s="33"/>
      <c r="E6" s="33"/>
      <c r="F6" s="35"/>
      <c r="G6" s="41">
        <v>2023</v>
      </c>
      <c r="H6" s="33"/>
      <c r="I6" s="33"/>
      <c r="J6" s="33"/>
      <c r="K6" s="34"/>
      <c r="L6" s="41">
        <v>2024</v>
      </c>
      <c r="M6" s="33"/>
      <c r="N6" s="33"/>
      <c r="O6" s="33"/>
      <c r="P6" s="34"/>
      <c r="Q6" s="3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" customHeight="1" x14ac:dyDescent="0.25">
      <c r="A7" s="32"/>
      <c r="B7" s="14" t="s">
        <v>0</v>
      </c>
      <c r="C7" s="14" t="s">
        <v>33</v>
      </c>
      <c r="D7" s="14" t="s">
        <v>29</v>
      </c>
      <c r="E7" s="14" t="s">
        <v>30</v>
      </c>
      <c r="F7" s="15" t="s">
        <v>34</v>
      </c>
      <c r="G7" s="16" t="s">
        <v>0</v>
      </c>
      <c r="H7" s="14" t="s">
        <v>33</v>
      </c>
      <c r="I7" s="14" t="s">
        <v>29</v>
      </c>
      <c r="J7" s="14" t="s">
        <v>30</v>
      </c>
      <c r="K7" s="14" t="s">
        <v>34</v>
      </c>
      <c r="L7" s="16" t="s">
        <v>0</v>
      </c>
      <c r="M7" s="14" t="s">
        <v>33</v>
      </c>
      <c r="N7" s="14" t="s">
        <v>29</v>
      </c>
      <c r="O7" s="14" t="s">
        <v>30</v>
      </c>
      <c r="P7" s="14" t="s">
        <v>34</v>
      </c>
      <c r="Q7" s="32"/>
      <c r="R7" s="1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"/>
      <c r="AE7" s="1"/>
      <c r="AF7" s="1"/>
      <c r="AG7" s="1"/>
      <c r="AH7" s="1"/>
      <c r="AI7" s="1"/>
      <c r="AJ7" s="1"/>
      <c r="AK7" s="1"/>
    </row>
    <row r="8" spans="1:37" ht="21" customHeight="1" x14ac:dyDescent="0.25">
      <c r="A8" s="2" t="s">
        <v>3</v>
      </c>
      <c r="B8" s="17">
        <f t="shared" ref="B8:B19" si="0">SUM(C8:F8)</f>
        <v>1651</v>
      </c>
      <c r="C8" s="18">
        <v>15</v>
      </c>
      <c r="D8" s="18">
        <v>1276</v>
      </c>
      <c r="E8" s="18">
        <v>261</v>
      </c>
      <c r="F8" s="19">
        <v>99</v>
      </c>
      <c r="G8" s="20">
        <f t="shared" ref="G8:G19" si="1">SUM(H8:K8)</f>
        <v>1818</v>
      </c>
      <c r="H8" s="18">
        <v>20</v>
      </c>
      <c r="I8" s="18">
        <v>1441</v>
      </c>
      <c r="J8" s="18">
        <v>253</v>
      </c>
      <c r="K8" s="18">
        <v>104</v>
      </c>
      <c r="L8" s="20">
        <f t="shared" ref="L8:L19" si="2">SUM(M8:P8)</f>
        <v>2032</v>
      </c>
      <c r="M8" s="28">
        <v>10</v>
      </c>
      <c r="N8" s="28">
        <v>1667</v>
      </c>
      <c r="O8" s="28">
        <v>248</v>
      </c>
      <c r="P8" s="28">
        <v>107</v>
      </c>
      <c r="Q8" s="3" t="s">
        <v>4</v>
      </c>
      <c r="R8" s="1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"/>
      <c r="AE8" s="1"/>
      <c r="AF8" s="1"/>
      <c r="AG8" s="1"/>
      <c r="AH8" s="1"/>
      <c r="AI8" s="1"/>
      <c r="AJ8" s="1"/>
      <c r="AK8" s="1"/>
    </row>
    <row r="9" spans="1:37" ht="21" customHeight="1" x14ac:dyDescent="0.25">
      <c r="A9" s="2" t="s">
        <v>5</v>
      </c>
      <c r="B9" s="17">
        <f t="shared" si="0"/>
        <v>1684</v>
      </c>
      <c r="C9" s="18">
        <v>5</v>
      </c>
      <c r="D9" s="18">
        <v>1311</v>
      </c>
      <c r="E9" s="18">
        <v>267</v>
      </c>
      <c r="F9" s="19">
        <v>101</v>
      </c>
      <c r="G9" s="20">
        <f t="shared" si="1"/>
        <v>1852</v>
      </c>
      <c r="H9" s="18">
        <v>9</v>
      </c>
      <c r="I9" s="18">
        <v>1476</v>
      </c>
      <c r="J9" s="18">
        <v>260</v>
      </c>
      <c r="K9" s="18">
        <v>107</v>
      </c>
      <c r="L9" s="20">
        <f t="shared" si="2"/>
        <v>2115</v>
      </c>
      <c r="M9" s="28">
        <v>15</v>
      </c>
      <c r="N9" s="28">
        <v>1740</v>
      </c>
      <c r="O9" s="28">
        <v>252</v>
      </c>
      <c r="P9" s="28">
        <v>108</v>
      </c>
      <c r="Q9" s="3" t="s">
        <v>6</v>
      </c>
      <c r="R9" s="1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"/>
      <c r="AE9" s="1"/>
      <c r="AF9" s="1"/>
      <c r="AG9" s="1"/>
      <c r="AH9" s="1"/>
      <c r="AI9" s="1"/>
      <c r="AJ9" s="1"/>
      <c r="AK9" s="1"/>
    </row>
    <row r="10" spans="1:37" ht="21" customHeight="1" x14ac:dyDescent="0.25">
      <c r="A10" s="2" t="s">
        <v>7</v>
      </c>
      <c r="B10" s="17">
        <f t="shared" si="0"/>
        <v>1646</v>
      </c>
      <c r="C10" s="18">
        <v>12</v>
      </c>
      <c r="D10" s="18">
        <v>1276</v>
      </c>
      <c r="E10" s="18">
        <v>259</v>
      </c>
      <c r="F10" s="19">
        <v>99</v>
      </c>
      <c r="G10" s="20">
        <f t="shared" si="1"/>
        <v>1849</v>
      </c>
      <c r="H10" s="18">
        <v>27</v>
      </c>
      <c r="I10" s="18">
        <v>1471</v>
      </c>
      <c r="J10" s="18">
        <v>245</v>
      </c>
      <c r="K10" s="18">
        <v>106</v>
      </c>
      <c r="L10" s="20">
        <f t="shared" si="2"/>
        <v>2096</v>
      </c>
      <c r="M10" s="28">
        <v>12</v>
      </c>
      <c r="N10" s="28">
        <v>1735</v>
      </c>
      <c r="O10" s="28">
        <v>246</v>
      </c>
      <c r="P10" s="28">
        <v>103</v>
      </c>
      <c r="Q10" s="3" t="s">
        <v>8</v>
      </c>
      <c r="R10" s="1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"/>
      <c r="AE10" s="1"/>
      <c r="AF10" s="1"/>
      <c r="AG10" s="1"/>
      <c r="AH10" s="1"/>
      <c r="AI10" s="1"/>
      <c r="AJ10" s="1"/>
      <c r="AK10" s="1"/>
    </row>
    <row r="11" spans="1:37" ht="21" customHeight="1" x14ac:dyDescent="0.25">
      <c r="A11" s="2" t="s">
        <v>9</v>
      </c>
      <c r="B11" s="17">
        <f t="shared" si="0"/>
        <v>1665</v>
      </c>
      <c r="C11" s="18">
        <v>20</v>
      </c>
      <c r="D11" s="18">
        <v>1284</v>
      </c>
      <c r="E11" s="18">
        <v>264</v>
      </c>
      <c r="F11" s="19">
        <v>97</v>
      </c>
      <c r="G11" s="20">
        <f t="shared" si="1"/>
        <v>1851</v>
      </c>
      <c r="H11" s="18">
        <v>22</v>
      </c>
      <c r="I11" s="18">
        <v>1481</v>
      </c>
      <c r="J11" s="18">
        <v>244</v>
      </c>
      <c r="K11" s="18">
        <v>104</v>
      </c>
      <c r="L11" s="20">
        <f t="shared" si="2"/>
        <v>2094</v>
      </c>
      <c r="M11" s="28">
        <v>10</v>
      </c>
      <c r="N11" s="28">
        <v>1739</v>
      </c>
      <c r="O11" s="28">
        <v>234</v>
      </c>
      <c r="P11" s="28">
        <v>111</v>
      </c>
      <c r="Q11" s="3" t="s">
        <v>10</v>
      </c>
      <c r="R11" s="1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"/>
      <c r="AE11" s="1"/>
      <c r="AF11" s="1"/>
      <c r="AG11" s="1"/>
      <c r="AH11" s="1"/>
      <c r="AI11" s="1"/>
      <c r="AJ11" s="1"/>
      <c r="AK11" s="1"/>
    </row>
    <row r="12" spans="1:37" ht="21" customHeight="1" x14ac:dyDescent="0.25">
      <c r="A12" s="2" t="s">
        <v>11</v>
      </c>
      <c r="B12" s="17">
        <f t="shared" si="0"/>
        <v>1669</v>
      </c>
      <c r="C12" s="18">
        <v>20</v>
      </c>
      <c r="D12" s="18">
        <v>1297</v>
      </c>
      <c r="E12" s="18">
        <v>256</v>
      </c>
      <c r="F12" s="19">
        <v>96</v>
      </c>
      <c r="G12" s="20">
        <f t="shared" si="1"/>
        <v>1838</v>
      </c>
      <c r="H12" s="18">
        <v>23</v>
      </c>
      <c r="I12" s="18">
        <v>1473</v>
      </c>
      <c r="J12" s="18">
        <v>236</v>
      </c>
      <c r="K12" s="18">
        <v>106</v>
      </c>
      <c r="L12" s="20">
        <f t="shared" si="2"/>
        <v>2120</v>
      </c>
      <c r="M12" s="28">
        <v>21</v>
      </c>
      <c r="N12" s="28">
        <v>1752</v>
      </c>
      <c r="O12" s="28">
        <v>237</v>
      </c>
      <c r="P12" s="28">
        <v>110</v>
      </c>
      <c r="Q12" s="3" t="s">
        <v>12</v>
      </c>
      <c r="R12" s="1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"/>
      <c r="AE12" s="1"/>
      <c r="AF12" s="1"/>
      <c r="AG12" s="1"/>
      <c r="AH12" s="1"/>
      <c r="AI12" s="1"/>
      <c r="AJ12" s="1"/>
      <c r="AK12" s="1"/>
    </row>
    <row r="13" spans="1:37" ht="21" customHeight="1" x14ac:dyDescent="0.25">
      <c r="A13" s="2" t="s">
        <v>13</v>
      </c>
      <c r="B13" s="17">
        <f t="shared" si="0"/>
        <v>1689</v>
      </c>
      <c r="C13" s="18">
        <v>7</v>
      </c>
      <c r="D13" s="18">
        <v>1329</v>
      </c>
      <c r="E13" s="18">
        <v>257</v>
      </c>
      <c r="F13" s="19">
        <v>96</v>
      </c>
      <c r="G13" s="20">
        <f t="shared" si="1"/>
        <v>1839</v>
      </c>
      <c r="H13" s="18">
        <v>14</v>
      </c>
      <c r="I13" s="18">
        <v>1482</v>
      </c>
      <c r="J13" s="18">
        <v>236</v>
      </c>
      <c r="K13" s="18">
        <v>107</v>
      </c>
      <c r="L13" s="20">
        <f t="shared" si="2"/>
        <v>2147</v>
      </c>
      <c r="M13" s="28">
        <v>9</v>
      </c>
      <c r="N13" s="28">
        <v>1790</v>
      </c>
      <c r="O13" s="28">
        <v>237</v>
      </c>
      <c r="P13" s="28">
        <v>111</v>
      </c>
      <c r="Q13" s="3" t="s">
        <v>14</v>
      </c>
      <c r="R13" s="1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"/>
      <c r="AE13" s="1"/>
      <c r="AF13" s="1"/>
      <c r="AG13" s="1"/>
      <c r="AH13" s="1"/>
      <c r="AI13" s="1"/>
      <c r="AJ13" s="1"/>
      <c r="AK13" s="1"/>
    </row>
    <row r="14" spans="1:37" ht="21" customHeight="1" x14ac:dyDescent="0.25">
      <c r="A14" s="2" t="s">
        <v>15</v>
      </c>
      <c r="B14" s="17">
        <f t="shared" si="0"/>
        <v>1691</v>
      </c>
      <c r="C14" s="18">
        <v>9</v>
      </c>
      <c r="D14" s="18">
        <v>1343</v>
      </c>
      <c r="E14" s="18">
        <v>246</v>
      </c>
      <c r="F14" s="19">
        <v>93</v>
      </c>
      <c r="G14" s="20">
        <f t="shared" si="1"/>
        <v>1841</v>
      </c>
      <c r="H14" s="18">
        <v>12</v>
      </c>
      <c r="I14" s="18">
        <v>1496</v>
      </c>
      <c r="J14" s="18">
        <v>226</v>
      </c>
      <c r="K14" s="18">
        <v>107</v>
      </c>
      <c r="L14" s="20">
        <f t="shared" si="2"/>
        <v>2173</v>
      </c>
      <c r="M14" s="28">
        <v>25</v>
      </c>
      <c r="N14" s="28">
        <v>1803</v>
      </c>
      <c r="O14" s="28">
        <v>236</v>
      </c>
      <c r="P14" s="28">
        <v>109</v>
      </c>
      <c r="Q14" s="3" t="s">
        <v>16</v>
      </c>
      <c r="R14" s="1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"/>
      <c r="AE14" s="1"/>
      <c r="AF14" s="1"/>
      <c r="AG14" s="1"/>
      <c r="AH14" s="1"/>
      <c r="AI14" s="1"/>
      <c r="AJ14" s="1"/>
      <c r="AK14" s="1"/>
    </row>
    <row r="15" spans="1:37" ht="21" customHeight="1" x14ac:dyDescent="0.25">
      <c r="A15" s="2" t="s">
        <v>17</v>
      </c>
      <c r="B15" s="17">
        <f t="shared" si="0"/>
        <v>1693</v>
      </c>
      <c r="C15" s="18">
        <v>12</v>
      </c>
      <c r="D15" s="18">
        <v>1335</v>
      </c>
      <c r="E15" s="18">
        <v>250</v>
      </c>
      <c r="F15" s="19">
        <v>96</v>
      </c>
      <c r="G15" s="20">
        <f t="shared" si="1"/>
        <v>1857</v>
      </c>
      <c r="H15" s="18">
        <v>12</v>
      </c>
      <c r="I15" s="18">
        <v>1518</v>
      </c>
      <c r="J15" s="18">
        <v>219</v>
      </c>
      <c r="K15" s="18">
        <v>108</v>
      </c>
      <c r="L15" s="20">
        <f t="shared" si="2"/>
        <v>2173</v>
      </c>
      <c r="M15" s="28">
        <v>12</v>
      </c>
      <c r="N15" s="28">
        <v>1791</v>
      </c>
      <c r="O15" s="28">
        <v>263</v>
      </c>
      <c r="P15" s="28">
        <v>107</v>
      </c>
      <c r="Q15" s="3" t="s">
        <v>18</v>
      </c>
      <c r="R15" s="1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"/>
      <c r="AE15" s="1"/>
      <c r="AF15" s="1"/>
      <c r="AG15" s="1"/>
      <c r="AH15" s="1"/>
      <c r="AI15" s="1"/>
      <c r="AJ15" s="1"/>
      <c r="AK15" s="1"/>
    </row>
    <row r="16" spans="1:37" ht="21" customHeight="1" x14ac:dyDescent="0.25">
      <c r="A16" s="2" t="s">
        <v>19</v>
      </c>
      <c r="B16" s="17">
        <f t="shared" si="0"/>
        <v>1697</v>
      </c>
      <c r="C16" s="18">
        <v>20</v>
      </c>
      <c r="D16" s="18">
        <v>1306</v>
      </c>
      <c r="E16" s="18">
        <v>266</v>
      </c>
      <c r="F16" s="19">
        <v>105</v>
      </c>
      <c r="G16" s="20">
        <f t="shared" si="1"/>
        <v>1874</v>
      </c>
      <c r="H16" s="18">
        <v>24</v>
      </c>
      <c r="I16" s="18">
        <v>1491</v>
      </c>
      <c r="J16" s="18">
        <v>251</v>
      </c>
      <c r="K16" s="18">
        <v>108</v>
      </c>
      <c r="L16" s="20">
        <f t="shared" si="2"/>
        <v>2182</v>
      </c>
      <c r="M16" s="28">
        <v>12</v>
      </c>
      <c r="N16" s="28">
        <v>1794</v>
      </c>
      <c r="O16" s="28">
        <v>262</v>
      </c>
      <c r="P16" s="28">
        <v>114</v>
      </c>
      <c r="Q16" s="3" t="s">
        <v>20</v>
      </c>
      <c r="R16" s="1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"/>
      <c r="AE16" s="1"/>
      <c r="AF16" s="1"/>
      <c r="AG16" s="1"/>
      <c r="AH16" s="1"/>
      <c r="AI16" s="1"/>
      <c r="AJ16" s="1"/>
      <c r="AK16" s="1"/>
    </row>
    <row r="17" spans="1:37" ht="21" customHeight="1" x14ac:dyDescent="0.25">
      <c r="A17" s="2" t="s">
        <v>21</v>
      </c>
      <c r="B17" s="17">
        <f t="shared" si="0"/>
        <v>1681</v>
      </c>
      <c r="C17" s="18">
        <v>14</v>
      </c>
      <c r="D17" s="18">
        <v>1300</v>
      </c>
      <c r="E17" s="18">
        <v>264</v>
      </c>
      <c r="F17" s="19">
        <v>103</v>
      </c>
      <c r="G17" s="20">
        <f t="shared" si="1"/>
        <v>1875</v>
      </c>
      <c r="H17" s="18">
        <v>15</v>
      </c>
      <c r="I17" s="18">
        <v>1504</v>
      </c>
      <c r="J17" s="18">
        <v>245</v>
      </c>
      <c r="K17" s="18">
        <v>111</v>
      </c>
      <c r="L17" s="20">
        <f t="shared" si="2"/>
        <v>2182</v>
      </c>
      <c r="M17" s="28">
        <v>12</v>
      </c>
      <c r="N17" s="28">
        <v>1783</v>
      </c>
      <c r="O17" s="28">
        <v>274</v>
      </c>
      <c r="P17" s="28">
        <v>113</v>
      </c>
      <c r="Q17" s="3" t="s">
        <v>22</v>
      </c>
      <c r="R17" s="1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"/>
      <c r="AE17" s="1"/>
      <c r="AF17" s="1"/>
      <c r="AG17" s="1"/>
      <c r="AH17" s="1"/>
      <c r="AI17" s="1"/>
      <c r="AJ17" s="1"/>
      <c r="AK17" s="1"/>
    </row>
    <row r="18" spans="1:37" ht="21" customHeight="1" x14ac:dyDescent="0.55000000000000004">
      <c r="A18" s="2" t="s">
        <v>23</v>
      </c>
      <c r="B18" s="17">
        <f t="shared" si="0"/>
        <v>1663</v>
      </c>
      <c r="C18" s="18">
        <v>15</v>
      </c>
      <c r="D18" s="18">
        <v>1282</v>
      </c>
      <c r="E18" s="18">
        <v>261</v>
      </c>
      <c r="F18" s="19">
        <v>105</v>
      </c>
      <c r="G18" s="20">
        <f t="shared" si="1"/>
        <v>1878</v>
      </c>
      <c r="H18" s="18">
        <v>16</v>
      </c>
      <c r="I18" s="18">
        <v>1510</v>
      </c>
      <c r="J18" s="18">
        <v>245</v>
      </c>
      <c r="K18" s="18">
        <v>107</v>
      </c>
      <c r="L18" s="20">
        <f t="shared" si="2"/>
        <v>2184</v>
      </c>
      <c r="M18" s="28">
        <v>13</v>
      </c>
      <c r="N18" s="28">
        <v>1780</v>
      </c>
      <c r="O18" s="28">
        <v>280</v>
      </c>
      <c r="P18" s="28">
        <v>111</v>
      </c>
      <c r="Q18" s="4" t="s">
        <v>24</v>
      </c>
      <c r="R18" s="1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"/>
      <c r="AE18" s="1"/>
      <c r="AF18" s="1"/>
      <c r="AG18" s="1"/>
      <c r="AH18" s="1"/>
      <c r="AI18" s="1"/>
      <c r="AJ18" s="1"/>
      <c r="AK18" s="1"/>
    </row>
    <row r="19" spans="1:37" ht="21" customHeight="1" x14ac:dyDescent="0.25">
      <c r="A19" s="5" t="s">
        <v>25</v>
      </c>
      <c r="B19" s="21">
        <f t="shared" si="0"/>
        <v>1666</v>
      </c>
      <c r="C19" s="22">
        <v>18</v>
      </c>
      <c r="D19" s="22">
        <v>1283</v>
      </c>
      <c r="E19" s="22">
        <v>259</v>
      </c>
      <c r="F19" s="23">
        <v>106</v>
      </c>
      <c r="G19" s="24">
        <f t="shared" si="1"/>
        <v>1869</v>
      </c>
      <c r="H19" s="22">
        <v>16</v>
      </c>
      <c r="I19" s="22">
        <v>1500</v>
      </c>
      <c r="J19" s="22">
        <v>246</v>
      </c>
      <c r="K19" s="22">
        <v>107</v>
      </c>
      <c r="L19" s="24">
        <f t="shared" si="2"/>
        <v>2166</v>
      </c>
      <c r="M19" s="29">
        <v>14</v>
      </c>
      <c r="N19" s="29">
        <v>1768</v>
      </c>
      <c r="O19" s="29">
        <v>272</v>
      </c>
      <c r="P19" s="29">
        <v>112</v>
      </c>
      <c r="Q19" s="6" t="s">
        <v>26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5.75" customHeight="1" x14ac:dyDescent="0.45">
      <c r="A20" s="8" t="s">
        <v>28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9" t="s">
        <v>27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5.75" customHeight="1" x14ac:dyDescent="0.25">
      <c r="A22" s="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5.75" customHeight="1" x14ac:dyDescent="0.25">
      <c r="A23" s="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.75" customHeight="1" x14ac:dyDescent="0.25">
      <c r="A24" s="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5.75" customHeight="1" x14ac:dyDescent="0.25">
      <c r="A25" s="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5.75" customHeight="1" x14ac:dyDescent="0.25">
      <c r="A26" s="1"/>
      <c r="B26" s="11"/>
      <c r="C26" s="26"/>
      <c r="D26" s="11"/>
      <c r="E26" s="11"/>
      <c r="F26" s="11"/>
      <c r="G26" s="11"/>
      <c r="H26" s="26"/>
      <c r="I26" s="11"/>
      <c r="J26" s="11"/>
      <c r="K26" s="11"/>
      <c r="L26" s="11"/>
      <c r="M26" s="26"/>
      <c r="N26" s="11"/>
      <c r="O26" s="11"/>
      <c r="P26" s="1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5.75" customHeight="1" x14ac:dyDescent="0.25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7"/>
      <c r="AK27" s="1"/>
    </row>
    <row r="28" spans="1:37" ht="15.75" customHeight="1" x14ac:dyDescent="0.25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.75" customHeight="1" x14ac:dyDescent="0.25">
      <c r="A29" s="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.75" customHeight="1" x14ac:dyDescent="0.25">
      <c r="A30" s="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5.75" customHeight="1" x14ac:dyDescent="0.25">
      <c r="A31" s="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5.75" customHeight="1" x14ac:dyDescent="0.25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5.75" customHeight="1" x14ac:dyDescent="0.25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5.75" customHeight="1" x14ac:dyDescent="0.25">
      <c r="A34" s="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5.75" customHeight="1" x14ac:dyDescent="0.25">
      <c r="A35" s="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5.75" customHeight="1" x14ac:dyDescent="0.25">
      <c r="A36" s="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.75" customHeight="1" x14ac:dyDescent="0.25">
      <c r="A37" s="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.75" customHeight="1" x14ac:dyDescent="0.25">
      <c r="A38" s="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.75" customHeight="1" x14ac:dyDescent="0.25">
      <c r="A39" s="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8">
    <mergeCell ref="G6:K6"/>
    <mergeCell ref="A2:Q2"/>
    <mergeCell ref="A3:Q3"/>
    <mergeCell ref="A5:A7"/>
    <mergeCell ref="B5:K5"/>
    <mergeCell ref="Q5:Q7"/>
    <mergeCell ref="L6:P6"/>
    <mergeCell ref="B6:F6"/>
  </mergeCells>
  <pageMargins left="0.7" right="0.7" top="0.75" bottom="0.75" header="0" footer="0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2025-06-16T03:38:17Z</cp:lastPrinted>
  <dcterms:created xsi:type="dcterms:W3CDTF">2025-05-19T08:29:05Z</dcterms:created>
  <dcterms:modified xsi:type="dcterms:W3CDTF">2025-06-16T03:38:54Z</dcterms:modified>
</cp:coreProperties>
</file>