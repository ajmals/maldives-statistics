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0A1261F0-37C2-4478-975D-424E1DAEFF8A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18.25" sheetId="25" r:id="rId1"/>
  </sheets>
  <definedNames>
    <definedName name="_xlnm.Print_Area" localSheetId="0">'18.25'!$A$1:$N$50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" roundtripDataChecksum="fkOimQmwXAp2X4Idi2I5zrAWog9iQuypB84L36zwUFs="/>
    </ext>
  </extLst>
</workbook>
</file>

<file path=xl/calcChain.xml><?xml version="1.0" encoding="utf-8"?>
<calcChain xmlns="http://schemas.openxmlformats.org/spreadsheetml/2006/main">
  <c r="AK38" i="25" l="1"/>
  <c r="AL38" i="25"/>
  <c r="AL39" i="25"/>
  <c r="AL40" i="25"/>
  <c r="AL41" i="25"/>
  <c r="AL42" i="25"/>
  <c r="AL43" i="25"/>
  <c r="AL44" i="25"/>
  <c r="AL45" i="25"/>
  <c r="AL46" i="25"/>
  <c r="AL47" i="25"/>
  <c r="AL48" i="25"/>
  <c r="AL49" i="25"/>
  <c r="AL50" i="25"/>
  <c r="AL51" i="25"/>
  <c r="AL52" i="25"/>
  <c r="AL53" i="25"/>
  <c r="AL54" i="25"/>
  <c r="AL55" i="25"/>
  <c r="AL56" i="25"/>
  <c r="AL57" i="25"/>
  <c r="AK57" i="25" l="1"/>
  <c r="AJ57" i="25"/>
  <c r="AI57" i="25"/>
  <c r="AH57" i="25"/>
  <c r="AG57" i="25"/>
  <c r="AF57" i="25"/>
  <c r="AE57" i="25"/>
  <c r="AD57" i="25"/>
  <c r="AK56" i="25"/>
  <c r="AJ56" i="25"/>
  <c r="AI56" i="25"/>
  <c r="AH56" i="25"/>
  <c r="AG56" i="25"/>
  <c r="AF56" i="25"/>
  <c r="AE56" i="25"/>
  <c r="AD56" i="25"/>
  <c r="AK55" i="25"/>
  <c r="AJ55" i="25"/>
  <c r="AI55" i="25"/>
  <c r="AH55" i="25"/>
  <c r="AG55" i="25"/>
  <c r="AF55" i="25"/>
  <c r="AE55" i="25"/>
  <c r="AD55" i="25"/>
  <c r="AK54" i="25"/>
  <c r="AJ54" i="25"/>
  <c r="AI54" i="25"/>
  <c r="AH54" i="25"/>
  <c r="AG54" i="25"/>
  <c r="AF54" i="25"/>
  <c r="AE54" i="25"/>
  <c r="AD54" i="25"/>
  <c r="AK53" i="25"/>
  <c r="AJ53" i="25"/>
  <c r="AI53" i="25"/>
  <c r="AH53" i="25"/>
  <c r="AG53" i="25"/>
  <c r="AF53" i="25"/>
  <c r="AE53" i="25"/>
  <c r="AD53" i="25"/>
  <c r="AK52" i="25"/>
  <c r="AJ52" i="25"/>
  <c r="AI52" i="25"/>
  <c r="AH52" i="25"/>
  <c r="AG52" i="25"/>
  <c r="AF52" i="25"/>
  <c r="AE52" i="25"/>
  <c r="AD52" i="25"/>
  <c r="AK51" i="25"/>
  <c r="AJ51" i="25"/>
  <c r="AI51" i="25"/>
  <c r="AH51" i="25"/>
  <c r="AG51" i="25"/>
  <c r="AF51" i="25"/>
  <c r="AE51" i="25"/>
  <c r="AD51" i="25"/>
  <c r="AK50" i="25"/>
  <c r="AJ50" i="25"/>
  <c r="AI50" i="25"/>
  <c r="AH50" i="25"/>
  <c r="AG50" i="25"/>
  <c r="AF50" i="25"/>
  <c r="AE50" i="25"/>
  <c r="AD50" i="25"/>
  <c r="AK49" i="25"/>
  <c r="AJ49" i="25"/>
  <c r="AI49" i="25"/>
  <c r="AH49" i="25"/>
  <c r="AG49" i="25"/>
  <c r="AF49" i="25"/>
  <c r="AE49" i="25"/>
  <c r="AD49" i="25"/>
  <c r="AK48" i="25"/>
  <c r="AJ48" i="25"/>
  <c r="AI48" i="25"/>
  <c r="AH48" i="25"/>
  <c r="AG48" i="25"/>
  <c r="AF48" i="25"/>
  <c r="AE48" i="25"/>
  <c r="AD48" i="25"/>
  <c r="AK47" i="25"/>
  <c r="AJ47" i="25"/>
  <c r="AI47" i="25"/>
  <c r="AH47" i="25"/>
  <c r="AG47" i="25"/>
  <c r="AF47" i="25"/>
  <c r="AE47" i="25"/>
  <c r="AD47" i="25"/>
  <c r="AK46" i="25"/>
  <c r="AJ46" i="25"/>
  <c r="AI46" i="25"/>
  <c r="AH46" i="25"/>
  <c r="AG46" i="25"/>
  <c r="AF46" i="25"/>
  <c r="AE46" i="25"/>
  <c r="AD46" i="25"/>
  <c r="AK45" i="25"/>
  <c r="AJ45" i="25"/>
  <c r="AI45" i="25"/>
  <c r="AH45" i="25"/>
  <c r="AG45" i="25"/>
  <c r="AF45" i="25"/>
  <c r="AE45" i="25"/>
  <c r="AD45" i="25"/>
  <c r="AK44" i="25"/>
  <c r="AJ44" i="25"/>
  <c r="AI44" i="25"/>
  <c r="AH44" i="25"/>
  <c r="AG44" i="25"/>
  <c r="AF44" i="25"/>
  <c r="AE44" i="25"/>
  <c r="AD44" i="25"/>
  <c r="AK43" i="25"/>
  <c r="AJ43" i="25"/>
  <c r="AI43" i="25"/>
  <c r="AH43" i="25"/>
  <c r="AG43" i="25"/>
  <c r="AF43" i="25"/>
  <c r="AE43" i="25"/>
  <c r="AD43" i="25"/>
  <c r="AK42" i="25"/>
  <c r="AJ42" i="25"/>
  <c r="AI42" i="25"/>
  <c r="AH42" i="25"/>
  <c r="AG42" i="25"/>
  <c r="AF42" i="25"/>
  <c r="AE42" i="25"/>
  <c r="AD42" i="25"/>
  <c r="AK41" i="25"/>
  <c r="AJ41" i="25"/>
  <c r="AI41" i="25"/>
  <c r="AH41" i="25"/>
  <c r="AG41" i="25"/>
  <c r="AF41" i="25"/>
  <c r="AE41" i="25"/>
  <c r="AD41" i="25"/>
  <c r="AK40" i="25"/>
  <c r="AJ40" i="25"/>
  <c r="AI40" i="25"/>
  <c r="AH40" i="25"/>
  <c r="AG40" i="25"/>
  <c r="AF40" i="25"/>
  <c r="AE40" i="25"/>
  <c r="AD40" i="25"/>
  <c r="AK39" i="25"/>
  <c r="AJ39" i="25"/>
  <c r="AI39" i="25"/>
  <c r="AH39" i="25"/>
  <c r="AG39" i="25"/>
  <c r="AF39" i="25"/>
  <c r="AE39" i="25"/>
  <c r="AD39" i="25"/>
  <c r="AJ38" i="25"/>
  <c r="AI38" i="25"/>
  <c r="AH38" i="25"/>
  <c r="AG38" i="25"/>
  <c r="AF38" i="25"/>
  <c r="AE38" i="25"/>
  <c r="AD38" i="25"/>
  <c r="L8" i="25"/>
  <c r="L6" i="25" s="1"/>
  <c r="K8" i="25"/>
  <c r="K6" i="25" s="1"/>
  <c r="J8" i="25"/>
  <c r="J6" i="25" s="1"/>
  <c r="I8" i="25"/>
  <c r="I6" i="25" s="1"/>
  <c r="H8" i="25"/>
  <c r="H6" i="25" s="1"/>
  <c r="G8" i="25"/>
  <c r="G6" i="25" s="1"/>
  <c r="F8" i="25"/>
  <c r="F6" i="25" s="1"/>
  <c r="E8" i="25"/>
  <c r="E6" i="25" s="1"/>
  <c r="D8" i="25"/>
  <c r="D6" i="25" s="1"/>
  <c r="C8" i="25"/>
  <c r="C6" i="25" s="1"/>
  <c r="B8" i="25"/>
  <c r="B6" i="25" s="1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<sst xmlns="http://schemas.openxmlformats.org/spreadsheetml/2006/main" count="77" uniqueCount="77">
  <si>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</si>
  <si>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</si>
  <si>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</si>
  <si>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</si>
  <si>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</si>
  <si>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</si>
  <si>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</si>
  <si>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</si>
  <si>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</si>
  <si>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</si>
  <si>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</si>
  <si>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</si>
  <si>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</si>
  <si>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</si>
  <si>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</si>
  <si>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</si>
  <si>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</si>
  <si>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 xml:space="preserve"> HA</t>
  </si>
  <si>
    <t>South Maalhosmadulu (B)</t>
  </si>
  <si>
    <t>(b) irubunukeduluDwcsoLWm</t>
  </si>
  <si>
    <t>HDh</t>
  </si>
  <si>
    <t>Faadhippolhu (Lh)</t>
  </si>
  <si>
    <t>(L) uLopcaidWf</t>
  </si>
  <si>
    <t>Sh</t>
  </si>
  <si>
    <t>Male' Atoll (K)</t>
  </si>
  <si>
    <t>(k) uLotwa elWm</t>
  </si>
  <si>
    <t>N</t>
  </si>
  <si>
    <t>North Ari Atoll (AA)</t>
  </si>
  <si>
    <t>(aa) iruburutuauLotwairwa</t>
  </si>
  <si>
    <t>R</t>
  </si>
  <si>
    <t>South Ari Atoll (ADh)</t>
  </si>
  <si>
    <t>(da) iruburutuauLotwairwa</t>
  </si>
  <si>
    <t>B</t>
  </si>
  <si>
    <t>Felidhu Atoll (V)</t>
  </si>
  <si>
    <t>(v) uLotwa udilef</t>
  </si>
  <si>
    <t xml:space="preserve"> Lh</t>
  </si>
  <si>
    <t>Mulakatholhu (M)</t>
  </si>
  <si>
    <t>(m) uLotwkwlum</t>
  </si>
  <si>
    <t>K</t>
  </si>
  <si>
    <t>North Nilandhe Atoll (F)</t>
  </si>
  <si>
    <t>(f) iruburutua uLotwaedcnwlin</t>
  </si>
  <si>
    <t>AA</t>
  </si>
  <si>
    <t>South Nilandhe Atoll (Dh)</t>
  </si>
  <si>
    <t>(d) irubunuked uLotwaedcnwlin</t>
  </si>
  <si>
    <t>Kolhumadulu (Th)</t>
  </si>
  <si>
    <t>(t) uluDwmuLok</t>
  </si>
  <si>
    <t>V</t>
  </si>
  <si>
    <t>Hadhdhunmathi (L)</t>
  </si>
  <si>
    <t>(l) itwmcnudcawh</t>
  </si>
  <si>
    <t>M</t>
  </si>
  <si>
    <t>North Huvadhu Atoll (GA)</t>
  </si>
  <si>
    <t>(ag) iruburutua uLotwaudwvuh</t>
  </si>
  <si>
    <t>F</t>
  </si>
  <si>
    <t>South Huvadhu Atoll (GDh)</t>
  </si>
  <si>
    <t xml:space="preserve"> (dg) irubunuked uLotwaudwvuh</t>
  </si>
  <si>
    <t>Dh</t>
  </si>
  <si>
    <t>Fuvahmulah (Gn)</t>
  </si>
  <si>
    <t>(N)cawlumcawvuf</t>
  </si>
  <si>
    <t>Th</t>
  </si>
  <si>
    <t>Addu Atoll (S)</t>
  </si>
  <si>
    <t>(s) uLotwauDcawa</t>
  </si>
  <si>
    <t>L</t>
  </si>
  <si>
    <t>GA</t>
  </si>
  <si>
    <t>GDh</t>
  </si>
  <si>
    <t>Gn</t>
  </si>
  <si>
    <t>S</t>
  </si>
  <si>
    <t>Note: These expenditures are based on the blocked amount in MVR</t>
  </si>
  <si>
    <t>Source:  Aasandha Pvt Ltd</t>
  </si>
  <si>
    <t xml:space="preserve">ނޯޓް: ޚަރަދު ބަޔާންކުރެވިފައިވަނީ ބްލޮކްކުރެވިފައިވާ ޖުމްލަ ޚަރަދުގެ މަށްޗަށެވެ.  </t>
  </si>
  <si>
    <t xml:space="preserve">މަޢުލޫމާތު ދެއްވީ:  އާސަންދަ ޕްރައިވެޓް ލިމިޓެޑް </t>
  </si>
  <si>
    <t xml:space="preserve">ތާވަލް 18.25: އާސަންދައިގެ ދަށުން އަތޮޅުތަކުން ހިނގި ޚަރަދު، 2014 - 2024  </t>
  </si>
  <si>
    <t>Table 18.25:  EXPENDITURE UNDER HEALTH INSURANCE SCHEMES BY ATOLLS,  2014  - 2024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</si>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</sst>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8" formatCode="_-* #,##0_-;\-* #,##0_-;_-* &quot;-&quot;??_-;_-@_-"/>
    <numFmt numFmtId="169" formatCode="0_);\(0\)"/>
  </numFmts>
  <fonts count="3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9"/>
      <color theme="1" tint="0.14999847407452621"/>
      <name val="A_Randhoo"/>
    </font>
    <font>
      <b/>
      <sz val="11"/>
      <color rgb="FF000000"/>
      <name val="Calibri"/>
      <family val="2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2" fillId="0" borderId="1"/>
    <xf numFmtId="164" fontId="10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0" fillId="0" borderId="1"/>
    <xf numFmtId="0" fontId="3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1" fillId="0" borderId="1"/>
    <xf numFmtId="0" fontId="1" fillId="0" borderId="1"/>
  </cellStyleXfs>
  <cellXfs count="46">
    <xf numFmtId="0" fontId="0" fillId="0" borderId="0" xfId="0"/>
    <xf numFmtId="3" fontId="5" fillId="2" borderId="1" xfId="1" applyNumberFormat="1" applyFont="1" applyFill="1"/>
    <xf numFmtId="3" fontId="6" fillId="2" borderId="1" xfId="1" applyNumberFormat="1" applyFont="1" applyFill="1"/>
    <xf numFmtId="3" fontId="13" fillId="2" borderId="1" xfId="1" applyNumberFormat="1" applyFont="1" applyFill="1"/>
    <xf numFmtId="166" fontId="15" fillId="2" borderId="1" xfId="2" applyNumberFormat="1" applyFont="1" applyFill="1" applyAlignment="1">
      <alignment horizontal="left" vertical="center"/>
    </xf>
    <xf numFmtId="166" fontId="16" fillId="2" borderId="1" xfId="5" applyNumberFormat="1" applyFont="1" applyFill="1" applyAlignment="1">
      <alignment horizontal="right" vertical="center"/>
    </xf>
    <xf numFmtId="166" fontId="9" fillId="2" borderId="1" xfId="5" applyNumberFormat="1" applyFont="1" applyFill="1" applyAlignment="1">
      <alignment horizontal="right" vertical="center"/>
    </xf>
    <xf numFmtId="166" fontId="11" fillId="2" borderId="1" xfId="10" applyNumberFormat="1" applyFont="1" applyFill="1"/>
    <xf numFmtId="3" fontId="18" fillId="2" borderId="1" xfId="3" applyNumberFormat="1" applyFont="1" applyFill="1" applyAlignment="1">
      <alignment horizontal="right" vertical="center"/>
    </xf>
    <xf numFmtId="0" fontId="19" fillId="2" borderId="1" xfId="10" applyFont="1" applyFill="1"/>
    <xf numFmtId="166" fontId="20" fillId="2" borderId="1" xfId="2" applyNumberFormat="1" applyFont="1" applyFill="1" applyAlignment="1">
      <alignment horizontal="left" vertical="center"/>
    </xf>
    <xf numFmtId="164" fontId="20" fillId="2" borderId="1" xfId="4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Alignment="1">
      <alignment horizontal="right" vertical="center" indent="2"/>
    </xf>
    <xf numFmtId="166" fontId="22" fillId="2" borderId="1" xfId="10" applyNumberFormat="1" applyFont="1" applyFill="1"/>
    <xf numFmtId="166" fontId="23" fillId="2" borderId="1" xfId="10" applyNumberFormat="1" applyFont="1" applyFill="1"/>
    <xf numFmtId="0" fontId="23" fillId="2" borderId="1" xfId="10" applyFont="1" applyFill="1"/>
    <xf numFmtId="43" fontId="23" fillId="2" borderId="1" xfId="4" applyFont="1" applyFill="1" applyBorder="1"/>
    <xf numFmtId="4" fontId="23" fillId="2" borderId="1" xfId="4" applyNumberFormat="1" applyFont="1" applyFill="1" applyBorder="1" applyAlignment="1">
      <alignment horizontal="center" vertical="center"/>
    </xf>
    <xf numFmtId="3" fontId="24" fillId="2" borderId="1" xfId="1" applyNumberFormat="1" applyFont="1" applyFill="1"/>
    <xf numFmtId="164" fontId="25" fillId="2" borderId="1" xfId="4" applyNumberFormat="1" applyFont="1" applyFill="1" applyBorder="1" applyAlignment="1">
      <alignment horizontal="right" vertical="center"/>
    </xf>
    <xf numFmtId="168" fontId="26" fillId="2" borderId="1" xfId="4" applyNumberFormat="1" applyFont="1" applyFill="1"/>
    <xf numFmtId="168" fontId="26" fillId="2" borderId="1" xfId="4" applyNumberFormat="1" applyFont="1" applyFill="1" applyBorder="1"/>
    <xf numFmtId="3" fontId="27" fillId="2" borderId="1" xfId="1" applyNumberFormat="1" applyFont="1" applyFill="1" applyAlignment="1">
      <alignment horizontal="right" vertical="center" indent="2"/>
    </xf>
    <xf numFmtId="4" fontId="28" fillId="2" borderId="1" xfId="4" applyNumberFormat="1" applyFont="1" applyFill="1" applyBorder="1" applyAlignment="1">
      <alignment horizontal="center" vertical="center"/>
    </xf>
    <xf numFmtId="43" fontId="28" fillId="2" borderId="1" xfId="4" applyFont="1" applyFill="1" applyBorder="1"/>
    <xf numFmtId="166" fontId="28" fillId="2" borderId="1" xfId="10" applyNumberFormat="1" applyFont="1" applyFill="1"/>
    <xf numFmtId="0" fontId="28" fillId="2" borderId="1" xfId="10" applyFont="1" applyFill="1"/>
    <xf numFmtId="3" fontId="24" fillId="2" borderId="2" xfId="1" applyNumberFormat="1" applyFont="1" applyFill="1" applyBorder="1"/>
    <xf numFmtId="164" fontId="26" fillId="2" borderId="2" xfId="4" applyNumberFormat="1" applyFont="1" applyFill="1" applyBorder="1" applyAlignment="1">
      <alignment horizontal="right" vertical="center"/>
    </xf>
    <xf numFmtId="3" fontId="29" fillId="2" borderId="2" xfId="1" applyNumberFormat="1" applyFont="1" applyFill="1" applyBorder="1" applyAlignment="1">
      <alignment horizontal="right" vertical="center" indent="2"/>
    </xf>
    <xf numFmtId="3" fontId="14" fillId="2" borderId="1" xfId="1" applyNumberFormat="1" applyFont="1" applyFill="1" applyAlignment="1">
      <alignment vertical="center"/>
    </xf>
    <xf numFmtId="166" fontId="3" fillId="2" borderId="1" xfId="10" applyNumberFormat="1" applyFill="1" applyAlignment="1">
      <alignment horizontal="right"/>
    </xf>
    <xf numFmtId="43" fontId="0" fillId="2" borderId="1" xfId="4" applyFont="1" applyFill="1"/>
    <xf numFmtId="166" fontId="3" fillId="2" borderId="1" xfId="10" applyNumberFormat="1" applyFill="1"/>
    <xf numFmtId="166" fontId="11" fillId="2" borderId="1" xfId="2" applyNumberFormat="1" applyFont="1" applyFill="1"/>
    <xf numFmtId="169" fontId="0" fillId="2" borderId="1" xfId="4" applyNumberFormat="1" applyFont="1" applyFill="1"/>
    <xf numFmtId="3" fontId="13" fillId="2" borderId="2" xfId="1" applyNumberFormat="1" applyFont="1" applyFill="1" applyBorder="1"/>
    <xf numFmtId="3" fontId="4" fillId="2" borderId="1" xfId="1" applyNumberFormat="1" applyFont="1" applyFill="1" applyAlignment="1">
      <alignment horizontal="center" vertical="center" readingOrder="2"/>
    </xf>
    <xf numFmtId="3" fontId="7" fillId="2" borderId="1" xfId="1" applyNumberFormat="1" applyFont="1" applyFill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166" fontId="12" fillId="2" borderId="1" xfId="2" applyNumberFormat="1" applyFont="1" applyFill="1" applyAlignment="1">
      <alignment horizontal="right" vertical="center" wrapText="1"/>
    </xf>
    <xf numFmtId="166" fontId="12" fillId="2" borderId="2" xfId="2" applyNumberFormat="1" applyFont="1" applyFill="1" applyBorder="1" applyAlignment="1">
      <alignment horizontal="right" vertical="center" wrapText="1"/>
    </xf>
    <xf numFmtId="3" fontId="6" fillId="2" borderId="2" xfId="1" applyNumberFormat="1" applyFont="1" applyFill="1" applyBorder="1" applyAlignment="1">
      <alignment horizontal="center" vertical="center"/>
    </xf>
    <xf numFmtId="0" fontId="8" fillId="2" borderId="3" xfId="10" applyFont="1" applyFill="1" applyBorder="1" applyAlignment="1">
      <alignment horizontal="center" vertical="center" wrapText="1"/>
    </xf>
    <xf numFmtId="3" fontId="17" fillId="2" borderId="1" xfId="1" applyNumberFormat="1" applyFont="1" applyFill="1" applyAlignment="1">
      <alignment horizontal="right" vertical="center" wrapText="1" indent="2"/>
    </xf>
    <xf numFmtId="3" fontId="17" fillId="2" borderId="2" xfId="1" applyNumberFormat="1" applyFont="1" applyFill="1" applyBorder="1" applyAlignment="1">
      <alignment horizontal="right" vertical="center" wrapText="1" indent="2"/>
    </xf>
  </cellXfs>
  <cellStyles count="14">
    <cellStyle name="Comma 23" xfId="3" xr:uid="{94027C67-5182-4251-874E-333D39869C41}"/>
    <cellStyle name="Comma 3" xfId="4" xr:uid="{32D59405-9255-4528-A182-E2FB87AEA447}"/>
    <cellStyle name="Normal" xfId="0" builtinId="0"/>
    <cellStyle name="Normal 10" xfId="8" xr:uid="{EBA83A1A-0725-4264-B217-6FB255D01D9A}"/>
    <cellStyle name="Normal 11" xfId="10" xr:uid="{141512A6-9575-4B9F-B0CD-71B08DB8B8DD}"/>
    <cellStyle name="Normal 2" xfId="2" xr:uid="{5582CC97-B3B3-49F0-A32C-77365FA866E7}"/>
    <cellStyle name="Normal 30 2" xfId="7" xr:uid="{319A01A9-484D-401C-B51C-AFA22C8C147A}"/>
    <cellStyle name="Normal 39" xfId="9" xr:uid="{358DB4F3-2572-40C1-8528-73DD19838977}"/>
    <cellStyle name="Normal 58" xfId="13" xr:uid="{5FADB181-8394-4B9F-BF6B-8B2AABC26B0E}"/>
    <cellStyle name="Normal 59" xfId="12" xr:uid="{BC46D8EB-1784-4261-8D55-F234E5AA2CF7}"/>
    <cellStyle name="Normal 9" xfId="6" xr:uid="{625F25BA-A41A-4C28-BF91-33331014C8BC}"/>
    <cellStyle name="Normal 9 2" xfId="11" xr:uid="{9FC5A332-BEB2-4834-8023-4E42B3DA4A83}"/>
    <cellStyle name="Normal_3 Population." xfId="5" xr:uid="{2C47DE0C-AB61-418E-AD2A-DC7DD7EA2C49}"/>
    <cellStyle name="Normal_II-15(Population) 2" xfId="1" xr:uid="{5D0B2EFE-2D76-4772-A3A8-4ED76F8D707D}"/>
  </cellStyles>
  <dxfs count="0"/>
  <tableStyles count="0" defaultTableStyle="TableStyleMedium2" defaultPivotStyle="PivotStyleLight16"/>
  <colors>
    <mruColors>
      <color rgb="FF9BC2E6"/>
      <color rgb="FF33CCCC"/>
      <color rgb="FF003399"/>
      <color rgb="FF7E5400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calcChain" Target="calcChain.xml"/><Relationship Id="rId3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</a:t>
            </a:r>
            <a:r>
              <a:rPr lang="dv-MV" sz="1050" b="1" i="0" baseline="0">
                <a:latin typeface="+mn-lt"/>
              </a:rPr>
              <a:t>2</a:t>
            </a:r>
            <a:r>
              <a:rPr lang="en-US" sz="1050" b="1" i="0" baseline="0">
                <a:latin typeface="+mn-lt"/>
              </a:rPr>
              <a:t>2 - 2024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'18.25'!$AJ$37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'18.25'!$AA$38:$AA$57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'18.25'!$AJ$38:$AJ$57</c:f>
              <c:numCache>
                <c:formatCode>General_)</c:formatCode>
                <c:ptCount val="20"/>
                <c:pt idx="0">
                  <c:v>42951407.969999999</c:v>
                </c:pt>
                <c:pt idx="1">
                  <c:v>121253541.48999999</c:v>
                </c:pt>
                <c:pt idx="2">
                  <c:v>34656334.549999997</c:v>
                </c:pt>
                <c:pt idx="3">
                  <c:v>26306259.119999997</c:v>
                </c:pt>
                <c:pt idx="4">
                  <c:v>67478231.180000007</c:v>
                </c:pt>
                <c:pt idx="5">
                  <c:v>29304323.180000007</c:v>
                </c:pt>
                <c:pt idx="6">
                  <c:v>30959571.039999999</c:v>
                </c:pt>
                <c:pt idx="7">
                  <c:v>21165979.760000002</c:v>
                </c:pt>
                <c:pt idx="8">
                  <c:v>13048614.539999999</c:v>
                </c:pt>
                <c:pt idx="9">
                  <c:v>33097189.898000006</c:v>
                </c:pt>
                <c:pt idx="10">
                  <c:v>3690326.27</c:v>
                </c:pt>
                <c:pt idx="11">
                  <c:v>12502296.09</c:v>
                </c:pt>
                <c:pt idx="12">
                  <c:v>16978604.119999997</c:v>
                </c:pt>
                <c:pt idx="13">
                  <c:v>16488463.48</c:v>
                </c:pt>
                <c:pt idx="14">
                  <c:v>28197213.939999998</c:v>
                </c:pt>
                <c:pt idx="15">
                  <c:v>58600261.460000008</c:v>
                </c:pt>
                <c:pt idx="16">
                  <c:v>37493968.349999994</c:v>
                </c:pt>
                <c:pt idx="17">
                  <c:v>57037692.870000005</c:v>
                </c:pt>
                <c:pt idx="18">
                  <c:v>36794336.82</c:v>
                </c:pt>
                <c:pt idx="19">
                  <c:v>182544223.68999997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D-4905-8C60-C03C5A64BBF7}"/>
            </c:ext>
          </c:extLst>
        </c:ser>
        <c:ser>
          <c:idx val="2"/>
          <c:order val="1"/>
          <c:tx>
            <c:strRef>
              <c:f>'18.25'!$AK$37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'18.25'!$AA$38:$AA$57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'18.25'!$AK$38:$AK$57</c:f>
              <c:numCache>
                <c:formatCode>General_)</c:formatCode>
                <c:ptCount val="20"/>
                <c:pt idx="0">
                  <c:v>52807094</c:v>
                </c:pt>
                <c:pt idx="1">
                  <c:v>135518677</c:v>
                </c:pt>
                <c:pt idx="2">
                  <c:v>37015411</c:v>
                </c:pt>
                <c:pt idx="3">
                  <c:v>30654991</c:v>
                </c:pt>
                <c:pt idx="4">
                  <c:v>74023708</c:v>
                </c:pt>
                <c:pt idx="5">
                  <c:v>34806121</c:v>
                </c:pt>
                <c:pt idx="6">
                  <c:v>34780623</c:v>
                </c:pt>
                <c:pt idx="7">
                  <c:v>26425053</c:v>
                </c:pt>
                <c:pt idx="8">
                  <c:v>14643615</c:v>
                </c:pt>
                <c:pt idx="9">
                  <c:v>35660575</c:v>
                </c:pt>
                <c:pt idx="10">
                  <c:v>3899750</c:v>
                </c:pt>
                <c:pt idx="11">
                  <c:v>13554997</c:v>
                </c:pt>
                <c:pt idx="12">
                  <c:v>17662545</c:v>
                </c:pt>
                <c:pt idx="13">
                  <c:v>21439218</c:v>
                </c:pt>
                <c:pt idx="14">
                  <c:v>32795764</c:v>
                </c:pt>
                <c:pt idx="15">
                  <c:v>67136712</c:v>
                </c:pt>
                <c:pt idx="16">
                  <c:v>43465566</c:v>
                </c:pt>
                <c:pt idx="17">
                  <c:v>70699432</c:v>
                </c:pt>
                <c:pt idx="18">
                  <c:v>43185139</c:v>
                </c:pt>
                <c:pt idx="19">
                  <c:v>191276933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D-4905-8C60-C03C5A64BBF7}"/>
            </c:ext>
          </c:extLst>
        </c:ser>
        <c:ser>
          <c:idx val="3"/>
          <c:order val="2"/>
          <c:tx>
            <c:strRef>
              <c:f>'18.25'!$AL$37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'18.25'!$AA$38:$AA$57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'18.25'!$AL$38:$AL$57</c:f>
              <c:numCache>
                <c:formatCode>General_)</c:formatCode>
                <c:ptCount val="20"/>
                <c:pt idx="0">
                  <c:v>54287011.130000003</c:v>
                </c:pt>
                <c:pt idx="1">
                  <c:v>137322175.109999</c:v>
                </c:pt>
                <c:pt idx="2">
                  <c:v>35381858.329999998</c:v>
                </c:pt>
                <c:pt idx="3">
                  <c:v>30213259.129999999</c:v>
                </c:pt>
                <c:pt idx="4">
                  <c:v>79936479.409999996</c:v>
                </c:pt>
                <c:pt idx="5">
                  <c:v>36842321.280000001</c:v>
                </c:pt>
                <c:pt idx="6">
                  <c:v>34214869.019999899</c:v>
                </c:pt>
                <c:pt idx="7">
                  <c:v>27744202.329999998</c:v>
                </c:pt>
                <c:pt idx="8">
                  <c:v>15544643.890000001</c:v>
                </c:pt>
                <c:pt idx="9">
                  <c:v>32476057.359999999</c:v>
                </c:pt>
                <c:pt idx="10">
                  <c:v>3741727.49</c:v>
                </c:pt>
                <c:pt idx="11">
                  <c:v>12266333.220000001</c:v>
                </c:pt>
                <c:pt idx="12">
                  <c:v>16938669.609999999</c:v>
                </c:pt>
                <c:pt idx="13">
                  <c:v>22002015.379999999</c:v>
                </c:pt>
                <c:pt idx="14">
                  <c:v>32527426.309999999</c:v>
                </c:pt>
                <c:pt idx="15">
                  <c:v>69535063</c:v>
                </c:pt>
                <c:pt idx="16">
                  <c:v>43056023.359999999</c:v>
                </c:pt>
                <c:pt idx="17">
                  <c:v>68069331.739999995</c:v>
                </c:pt>
                <c:pt idx="18">
                  <c:v>43566784.93</c:v>
                </c:pt>
                <c:pt idx="19">
                  <c:v>191477929.24000001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D-4905-8C60-C03C5A64B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210000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31</xdr:row>
      <xdr:rowOff>42546</xdr:rowOff>
    </xdr:from>
    <xdr:to>
      <xdr:col>10</xdr:col>
      <xdr:colOff>581025</xdr:colOff>
      <xdr:row>48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32D0B-E9D6-41CA-BB5A-CCC05662D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4D1-071A-4705-A8DE-A820FF1EA48C}">
  <sheetPr>
    <tabColor rgb="FF92D050"/>
  </sheetPr>
  <dimension ref="A1:AL57"/>
  <sheetViews>
    <sheetView tabSelected="1" zoomScaleNormal="100" workbookViewId="0">
      <selection activeCell="S35" sqref="S35"/>
    </sheetView>
  </sheetViews>
  <sheetFormatPr defaultColWidth="9.140625" defaultRowHeight="15" x14ac:dyDescent="0.25"/>
  <cols>
    <col min="1" max="1" width="25" style="33" customWidth="1"/>
    <col min="2" max="12" width="14.85546875" style="31" customWidth="1"/>
    <col min="13" max="13" width="30.5703125" style="33" customWidth="1"/>
    <col min="14" max="25" width="7" style="32" customWidth="1"/>
    <col min="26" max="26" width="27.140625" style="32" customWidth="1"/>
    <col min="27" max="27" width="11.28515625" style="33" customWidth="1"/>
    <col min="28" max="34" width="14.42578125" style="33" customWidth="1"/>
    <col min="35" max="36" width="13.5703125" style="33" customWidth="1"/>
    <col min="37" max="37" width="13" style="33" customWidth="1"/>
    <col min="38" max="38" width="14.5703125" style="33" customWidth="1"/>
    <col min="39" max="16384" width="9.140625" style="33"/>
  </cols>
  <sheetData>
    <row r="1" spans="1:26" s="1" customFormat="1" ht="21" x14ac:dyDescent="0.2">
      <c r="A1" s="37" t="s">
        <v>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26" s="1" customFormat="1" x14ac:dyDescent="0.2">
      <c r="A2" s="42" t="s">
        <v>71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26" s="9" customFormat="1" ht="21" customHeight="1" x14ac:dyDescent="0.55000000000000004">
      <c r="A3" s="38" t="s">
        <v>1</v>
      </c>
      <c r="B3" s="43" t="s">
        <v>72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 t="s">
        <v>0</v>
      </c>
    </row>
    <row r="4" spans="1:26" s="7" customFormat="1" ht="12" customHeight="1" x14ac:dyDescent="0.15">
      <c r="A4" s="38"/>
      <c r="B4" s="40">
        <v>2014</v>
      </c>
      <c r="C4" s="40">
        <v>2015</v>
      </c>
      <c r="D4" s="40">
        <v>2016</v>
      </c>
      <c r="E4" s="40">
        <v>2017</v>
      </c>
      <c r="F4" s="40">
        <v>2018</v>
      </c>
      <c r="G4" s="40">
        <v>2019</v>
      </c>
      <c r="H4" s="40">
        <v>2020</v>
      </c>
      <c r="I4" s="40">
        <v>2021</v>
      </c>
      <c r="J4" s="40">
        <v>2022</v>
      </c>
      <c r="K4" s="40">
        <v>2023</v>
      </c>
      <c r="L4" s="40">
        <v>2024</v>
      </c>
      <c r="M4" s="44"/>
    </row>
    <row r="5" spans="1:26" s="7" customFormat="1" ht="12" customHeight="1" x14ac:dyDescent="0.15">
      <c r="A5" s="39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5"/>
    </row>
    <row r="6" spans="1:26" s="14" customFormat="1" ht="19.5" x14ac:dyDescent="0.25">
      <c r="A6" s="10" t="s">
        <v>2</v>
      </c>
      <c r="B6" s="11">
        <f t="shared" ref="B6:J6" si="0">B7+B8+B29</f>
        <v>1063054680.1289002</v>
      </c>
      <c r="C6" s="11">
        <f t="shared" si="0"/>
        <v>1400609841.9116001</v>
      </c>
      <c r="D6" s="11">
        <f t="shared" si="0"/>
        <v>1675199186.7772999</v>
      </c>
      <c r="E6" s="11">
        <f t="shared" si="0"/>
        <v>1797290685.4303999</v>
      </c>
      <c r="F6" s="11">
        <f t="shared" si="0"/>
        <v>2164672440.9014001</v>
      </c>
      <c r="G6" s="11">
        <f t="shared" si="0"/>
        <v>2433716952.1485</v>
      </c>
      <c r="H6" s="11">
        <f t="shared" si="0"/>
        <v>2014669790.0486999</v>
      </c>
      <c r="I6" s="11">
        <f t="shared" si="0"/>
        <v>2282636912.9889998</v>
      </c>
      <c r="J6" s="11">
        <f t="shared" si="0"/>
        <v>2823096048.0652008</v>
      </c>
      <c r="K6" s="11">
        <f>K7+K8+K29</f>
        <v>3265956454</v>
      </c>
      <c r="L6" s="8">
        <f>L7+L8+L29</f>
        <v>3324220578.9115872</v>
      </c>
      <c r="M6" s="12" t="s">
        <v>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6" s="14" customFormat="1" ht="19.5" x14ac:dyDescent="0.25">
      <c r="A7" s="10" t="s">
        <v>73</v>
      </c>
      <c r="B7" s="11">
        <v>529844339.34140003</v>
      </c>
      <c r="C7" s="11">
        <v>694778647.79130006</v>
      </c>
      <c r="D7" s="11">
        <v>899761456.66649997</v>
      </c>
      <c r="E7" s="11">
        <v>1040187042.5204</v>
      </c>
      <c r="F7" s="11">
        <v>1255240833.7985001</v>
      </c>
      <c r="G7" s="11">
        <v>1480247823.2519999</v>
      </c>
      <c r="H7" s="11">
        <v>1164428500.4761</v>
      </c>
      <c r="I7" s="11">
        <v>1327177554.8576999</v>
      </c>
      <c r="J7" s="11">
        <v>1630627599.4918005</v>
      </c>
      <c r="K7" s="11">
        <v>1836429198</v>
      </c>
      <c r="L7" s="8">
        <v>1918822128.9799898</v>
      </c>
      <c r="M7" s="12" t="s">
        <v>4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</row>
    <row r="8" spans="1:26" s="14" customFormat="1" ht="19.5" x14ac:dyDescent="0.25">
      <c r="A8" s="10" t="s">
        <v>5</v>
      </c>
      <c r="B8" s="11">
        <f>SUM(B9:B28)</f>
        <v>364203693.46630007</v>
      </c>
      <c r="C8" s="11">
        <f t="shared" ref="C8:K8" si="1">SUM(C9:C28)</f>
        <v>483525096.47309995</v>
      </c>
      <c r="D8" s="11">
        <f t="shared" si="1"/>
        <v>552084045.86000001</v>
      </c>
      <c r="E8" s="11">
        <f t="shared" si="1"/>
        <v>582040521.90999997</v>
      </c>
      <c r="F8" s="11">
        <f t="shared" si="1"/>
        <v>642497891.10289991</v>
      </c>
      <c r="G8" s="11">
        <f t="shared" si="1"/>
        <v>673897012.7277</v>
      </c>
      <c r="H8" s="11">
        <f t="shared" si="1"/>
        <v>725519558.4749999</v>
      </c>
      <c r="I8" s="11">
        <f t="shared" si="1"/>
        <v>739300669.88089991</v>
      </c>
      <c r="J8" s="11">
        <f t="shared" si="1"/>
        <v>870548839.81800008</v>
      </c>
      <c r="K8" s="11">
        <f t="shared" si="1"/>
        <v>981451924</v>
      </c>
      <c r="L8" s="8">
        <f>SUM(L9:L28)</f>
        <v>987144181.26999879</v>
      </c>
      <c r="M8" s="12" t="s">
        <v>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7"/>
    </row>
    <row r="9" spans="1:26" s="25" customFormat="1" ht="17.25" x14ac:dyDescent="0.25">
      <c r="A9" s="18" t="s">
        <v>7</v>
      </c>
      <c r="B9" s="20">
        <v>21476572.449999999</v>
      </c>
      <c r="C9" s="20">
        <v>28247167.650000002</v>
      </c>
      <c r="D9" s="20">
        <v>30277717.990000002</v>
      </c>
      <c r="E9" s="20">
        <v>34032071.780000001</v>
      </c>
      <c r="F9" s="20">
        <v>37849375.519999996</v>
      </c>
      <c r="G9" s="20">
        <v>40448262.304399997</v>
      </c>
      <c r="H9" s="20">
        <v>42511028.648000002</v>
      </c>
      <c r="I9" s="21">
        <v>41229421.620000005</v>
      </c>
      <c r="J9" s="21">
        <v>42951407.969999999</v>
      </c>
      <c r="K9" s="21">
        <v>52807094</v>
      </c>
      <c r="L9" s="21">
        <v>54287011.130000003</v>
      </c>
      <c r="M9" s="22" t="s">
        <v>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spans="1:26" s="25" customFormat="1" ht="17.25" x14ac:dyDescent="0.25">
      <c r="A10" s="18" t="s">
        <v>9</v>
      </c>
      <c r="B10" s="20">
        <v>47757008.690000005</v>
      </c>
      <c r="C10" s="20">
        <v>55532820.670000002</v>
      </c>
      <c r="D10" s="20">
        <v>60034554.979999997</v>
      </c>
      <c r="E10" s="20">
        <v>69991758.379999995</v>
      </c>
      <c r="F10" s="20">
        <v>73741273.559999987</v>
      </c>
      <c r="G10" s="20">
        <v>78971036.104199991</v>
      </c>
      <c r="H10" s="20">
        <v>87106108.945999995</v>
      </c>
      <c r="I10" s="21">
        <v>105958272.70000002</v>
      </c>
      <c r="J10" s="21">
        <v>121253541.48999999</v>
      </c>
      <c r="K10" s="21">
        <v>135518677</v>
      </c>
      <c r="L10" s="21">
        <v>137322175.109999</v>
      </c>
      <c r="M10" s="22" t="s">
        <v>10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25" customFormat="1" ht="17.25" x14ac:dyDescent="0.25">
      <c r="A11" s="18" t="s">
        <v>11</v>
      </c>
      <c r="B11" s="20">
        <v>18573633.770000003</v>
      </c>
      <c r="C11" s="20">
        <v>22929493.010000002</v>
      </c>
      <c r="D11" s="20">
        <v>21043099.035</v>
      </c>
      <c r="E11" s="20">
        <v>22385644.167000003</v>
      </c>
      <c r="F11" s="20">
        <v>24133600.373999998</v>
      </c>
      <c r="G11" s="20">
        <v>25952832.935399998</v>
      </c>
      <c r="H11" s="20">
        <v>27517456.108000003</v>
      </c>
      <c r="I11" s="21">
        <v>29752743.100000001</v>
      </c>
      <c r="J11" s="21">
        <v>34656334.549999997</v>
      </c>
      <c r="K11" s="21">
        <v>37015411</v>
      </c>
      <c r="L11" s="21">
        <v>35381858.329999998</v>
      </c>
      <c r="M11" s="22" t="s">
        <v>12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4"/>
    </row>
    <row r="12" spans="1:26" s="25" customFormat="1" ht="17.25" x14ac:dyDescent="0.25">
      <c r="A12" s="18" t="s">
        <v>13</v>
      </c>
      <c r="B12" s="20">
        <v>11788026.339999998</v>
      </c>
      <c r="C12" s="20">
        <v>16282824.6</v>
      </c>
      <c r="D12" s="20">
        <v>16255000.77</v>
      </c>
      <c r="E12" s="20">
        <v>17119918.760000002</v>
      </c>
      <c r="F12" s="20">
        <v>18665154.07</v>
      </c>
      <c r="G12" s="20">
        <v>21571553.8116</v>
      </c>
      <c r="H12" s="20">
        <v>23643840.842</v>
      </c>
      <c r="I12" s="21">
        <v>23414246.520000003</v>
      </c>
      <c r="J12" s="21">
        <v>26306259.119999997</v>
      </c>
      <c r="K12" s="21">
        <v>30654991</v>
      </c>
      <c r="L12" s="21">
        <v>30213259.129999999</v>
      </c>
      <c r="M12" s="22" t="s">
        <v>14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4"/>
    </row>
    <row r="13" spans="1:26" s="25" customFormat="1" ht="17.25" x14ac:dyDescent="0.25">
      <c r="A13" s="18" t="s">
        <v>15</v>
      </c>
      <c r="B13" s="20">
        <v>29304498.352999996</v>
      </c>
      <c r="C13" s="20">
        <v>40394300.450999998</v>
      </c>
      <c r="D13" s="20">
        <v>43959957.414999999</v>
      </c>
      <c r="E13" s="20">
        <v>47021244.049999997</v>
      </c>
      <c r="F13" s="20">
        <v>49456949.840000004</v>
      </c>
      <c r="G13" s="20">
        <v>53008180.737800002</v>
      </c>
      <c r="H13" s="20">
        <v>59567614.17400001</v>
      </c>
      <c r="I13" s="21">
        <v>55780460.480000004</v>
      </c>
      <c r="J13" s="21">
        <v>67478231.180000007</v>
      </c>
      <c r="K13" s="21">
        <v>74023708</v>
      </c>
      <c r="L13" s="21">
        <v>79936479.409999996</v>
      </c>
      <c r="M13" s="22" t="s">
        <v>16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4"/>
    </row>
    <row r="14" spans="1:26" s="25" customFormat="1" ht="17.25" x14ac:dyDescent="0.25">
      <c r="A14" s="18" t="s">
        <v>18</v>
      </c>
      <c r="B14" s="20">
        <v>15482386.66</v>
      </c>
      <c r="C14" s="20">
        <v>21675172.101000004</v>
      </c>
      <c r="D14" s="20">
        <v>26651220.369999997</v>
      </c>
      <c r="E14" s="20">
        <v>30149104.175999999</v>
      </c>
      <c r="F14" s="20">
        <v>33634879.120000005</v>
      </c>
      <c r="G14" s="20">
        <v>27044367.550599996</v>
      </c>
      <c r="H14" s="20">
        <v>25655929.811999999</v>
      </c>
      <c r="I14" s="21">
        <v>25608416.110000003</v>
      </c>
      <c r="J14" s="21">
        <v>29304323.180000007</v>
      </c>
      <c r="K14" s="21">
        <v>34806121</v>
      </c>
      <c r="L14" s="21">
        <v>36842321.280000001</v>
      </c>
      <c r="M14" s="22" t="s">
        <v>19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4"/>
    </row>
    <row r="15" spans="1:26" s="25" customFormat="1" ht="17.25" x14ac:dyDescent="0.25">
      <c r="A15" s="18" t="s">
        <v>21</v>
      </c>
      <c r="B15" s="20">
        <v>23688972.940000001</v>
      </c>
      <c r="C15" s="20">
        <v>27147750.810000002</v>
      </c>
      <c r="D15" s="20">
        <v>31816789.559999999</v>
      </c>
      <c r="E15" s="20">
        <v>38642931.219999999</v>
      </c>
      <c r="F15" s="20">
        <v>35692529.049999997</v>
      </c>
      <c r="G15" s="20">
        <v>32568445.948899999</v>
      </c>
      <c r="H15" s="20">
        <v>27942400.420000002</v>
      </c>
      <c r="I15" s="21">
        <v>26327557.609999999</v>
      </c>
      <c r="J15" s="21">
        <v>30959571.039999999</v>
      </c>
      <c r="K15" s="21">
        <v>34780623</v>
      </c>
      <c r="L15" s="21">
        <v>34214869.019999899</v>
      </c>
      <c r="M15" s="22" t="s">
        <v>22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25" customFormat="1" ht="17.25" x14ac:dyDescent="0.25">
      <c r="A16" s="18" t="s">
        <v>24</v>
      </c>
      <c r="B16" s="20">
        <v>7724957.6299999999</v>
      </c>
      <c r="C16" s="20">
        <v>12281541.290000001</v>
      </c>
      <c r="D16" s="20">
        <v>14543865.745000001</v>
      </c>
      <c r="E16" s="20">
        <v>15450866.840299999</v>
      </c>
      <c r="F16" s="20">
        <v>15019880.84</v>
      </c>
      <c r="G16" s="20">
        <v>17197161.118400004</v>
      </c>
      <c r="H16" s="20">
        <v>20342689.015000001</v>
      </c>
      <c r="I16" s="21">
        <v>20229516.299999997</v>
      </c>
      <c r="J16" s="21">
        <v>21165979.760000002</v>
      </c>
      <c r="K16" s="21">
        <v>26425053</v>
      </c>
      <c r="L16" s="21">
        <v>27744202.329999998</v>
      </c>
      <c r="M16" s="22" t="s">
        <v>25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4"/>
    </row>
    <row r="17" spans="1:27" s="25" customFormat="1" ht="17.25" x14ac:dyDescent="0.25">
      <c r="A17" s="18" t="s">
        <v>27</v>
      </c>
      <c r="B17" s="20">
        <v>3540685.44</v>
      </c>
      <c r="C17" s="20">
        <v>7471919.1500000004</v>
      </c>
      <c r="D17" s="20">
        <v>8698613.1500000004</v>
      </c>
      <c r="E17" s="20">
        <v>5947100.96</v>
      </c>
      <c r="F17" s="20">
        <v>10990868.449999999</v>
      </c>
      <c r="G17" s="20">
        <v>11972620.461000001</v>
      </c>
      <c r="H17" s="20">
        <v>12008159.68</v>
      </c>
      <c r="I17" s="21">
        <v>12415359.02</v>
      </c>
      <c r="J17" s="21">
        <v>13048614.539999999</v>
      </c>
      <c r="K17" s="21">
        <v>14643615</v>
      </c>
      <c r="L17" s="21">
        <v>15544643.890000001</v>
      </c>
      <c r="M17" s="22" t="s">
        <v>28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4"/>
    </row>
    <row r="18" spans="1:27" s="25" customFormat="1" ht="17.25" x14ac:dyDescent="0.25">
      <c r="A18" s="18" t="s">
        <v>30</v>
      </c>
      <c r="B18" s="20">
        <v>13156080.83</v>
      </c>
      <c r="C18" s="20">
        <v>17498120.029999997</v>
      </c>
      <c r="D18" s="20">
        <v>21983644.324999999</v>
      </c>
      <c r="E18" s="20">
        <v>9181590.7400000021</v>
      </c>
      <c r="F18" s="20">
        <v>25909086.93</v>
      </c>
      <c r="G18" s="20">
        <v>27622860.336999997</v>
      </c>
      <c r="H18" s="20">
        <v>29868861.675999999</v>
      </c>
      <c r="I18" s="21">
        <v>30407880.360000003</v>
      </c>
      <c r="J18" s="21">
        <v>33097189.898000006</v>
      </c>
      <c r="K18" s="21">
        <v>35660575</v>
      </c>
      <c r="L18" s="21">
        <v>32476057.359999999</v>
      </c>
      <c r="M18" s="22" t="s">
        <v>31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7" s="25" customFormat="1" ht="17.25" x14ac:dyDescent="0.25">
      <c r="A19" s="18" t="s">
        <v>33</v>
      </c>
      <c r="B19" s="20">
        <v>563786.18999999994</v>
      </c>
      <c r="C19" s="20">
        <v>1773766.73</v>
      </c>
      <c r="D19" s="20">
        <v>2451686.34</v>
      </c>
      <c r="E19" s="20">
        <v>2580520.0900000003</v>
      </c>
      <c r="F19" s="20">
        <v>2433263.37</v>
      </c>
      <c r="G19" s="20">
        <v>2757929.4720000001</v>
      </c>
      <c r="H19" s="20">
        <v>3448993.7300000004</v>
      </c>
      <c r="I19" s="21">
        <v>3630063.0300000003</v>
      </c>
      <c r="J19" s="21">
        <v>3690326.27</v>
      </c>
      <c r="K19" s="21">
        <v>3899750</v>
      </c>
      <c r="L19" s="21">
        <v>3741727.49</v>
      </c>
      <c r="M19" s="22" t="s">
        <v>34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s="25" customFormat="1" ht="17.25" x14ac:dyDescent="0.25">
      <c r="A20" s="18" t="s">
        <v>36</v>
      </c>
      <c r="B20" s="20">
        <v>9125266.5999999996</v>
      </c>
      <c r="C20" s="20">
        <v>12610137.149999999</v>
      </c>
      <c r="D20" s="20">
        <v>11946502.880000001</v>
      </c>
      <c r="E20" s="20">
        <v>7909169.9100000001</v>
      </c>
      <c r="F20" s="20">
        <v>11312990.07</v>
      </c>
      <c r="G20" s="20">
        <v>10031071.428399999</v>
      </c>
      <c r="H20" s="20">
        <v>10855208.769999998</v>
      </c>
      <c r="I20" s="21">
        <v>9990856.0899999999</v>
      </c>
      <c r="J20" s="21">
        <v>12502296.09</v>
      </c>
      <c r="K20" s="21">
        <v>13554997</v>
      </c>
      <c r="L20" s="21">
        <v>12266333.220000001</v>
      </c>
      <c r="M20" s="22" t="s">
        <v>37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7" s="25" customFormat="1" ht="17.25" x14ac:dyDescent="0.25">
      <c r="A21" s="18" t="s">
        <v>39</v>
      </c>
      <c r="B21" s="20">
        <v>6589192.25</v>
      </c>
      <c r="C21" s="20">
        <v>9723321.2799999993</v>
      </c>
      <c r="D21" s="20">
        <v>10153645.829999998</v>
      </c>
      <c r="E21" s="20">
        <v>6358160.0700000003</v>
      </c>
      <c r="F21" s="20">
        <v>13465688.68</v>
      </c>
      <c r="G21" s="20">
        <v>13925732.6666</v>
      </c>
      <c r="H21" s="20">
        <v>14387088.829999998</v>
      </c>
      <c r="I21" s="21">
        <v>13273690.779999999</v>
      </c>
      <c r="J21" s="21">
        <v>16978604.119999997</v>
      </c>
      <c r="K21" s="21">
        <v>17662545</v>
      </c>
      <c r="L21" s="21">
        <v>16938669.609999999</v>
      </c>
      <c r="M21" s="22" t="s">
        <v>40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7" s="25" customFormat="1" ht="17.25" x14ac:dyDescent="0.25">
      <c r="A22" s="18" t="s">
        <v>42</v>
      </c>
      <c r="B22" s="20">
        <v>9874084.1600000001</v>
      </c>
      <c r="C22" s="20">
        <v>12434694.649999999</v>
      </c>
      <c r="D22" s="20">
        <v>11807838.66</v>
      </c>
      <c r="E22" s="20">
        <v>13061458.859999999</v>
      </c>
      <c r="F22" s="20">
        <v>15100490.25</v>
      </c>
      <c r="G22" s="20">
        <v>17043507.483999997</v>
      </c>
      <c r="H22" s="20">
        <v>16428599.425000001</v>
      </c>
      <c r="I22" s="21">
        <v>15311144.699999999</v>
      </c>
      <c r="J22" s="21">
        <v>16488463.48</v>
      </c>
      <c r="K22" s="21">
        <v>21439218</v>
      </c>
      <c r="L22" s="21">
        <v>22002015.379999999</v>
      </c>
      <c r="M22" s="22" t="s">
        <v>43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4"/>
    </row>
    <row r="23" spans="1:27" s="25" customFormat="1" ht="17.25" x14ac:dyDescent="0.25">
      <c r="A23" s="18" t="s">
        <v>44</v>
      </c>
      <c r="B23" s="20">
        <v>15424283.250000004</v>
      </c>
      <c r="C23" s="20">
        <v>20505081.599999994</v>
      </c>
      <c r="D23" s="20">
        <v>22462983.789999999</v>
      </c>
      <c r="E23" s="20">
        <v>23683245.52</v>
      </c>
      <c r="F23" s="20">
        <v>21574058.689999998</v>
      </c>
      <c r="G23" s="20">
        <v>23421048.300000004</v>
      </c>
      <c r="H23" s="20">
        <v>23808645.879999999</v>
      </c>
      <c r="I23" s="21">
        <v>24058552.030000001</v>
      </c>
      <c r="J23" s="21">
        <v>28197213.939999998</v>
      </c>
      <c r="K23" s="21">
        <v>32795764</v>
      </c>
      <c r="L23" s="21">
        <v>32527426.309999999</v>
      </c>
      <c r="M23" s="22" t="s">
        <v>45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7" s="25" customFormat="1" ht="17.25" x14ac:dyDescent="0.25">
      <c r="A24" s="18" t="s">
        <v>47</v>
      </c>
      <c r="B24" s="20">
        <v>19121149.300000001</v>
      </c>
      <c r="C24" s="20">
        <v>27347316.960000001</v>
      </c>
      <c r="D24" s="20">
        <v>30750547.939999998</v>
      </c>
      <c r="E24" s="20">
        <v>32945144.069999997</v>
      </c>
      <c r="F24" s="20">
        <v>34810489.399999999</v>
      </c>
      <c r="G24" s="20">
        <v>42832104.030000001</v>
      </c>
      <c r="H24" s="20">
        <v>50794534.460000008</v>
      </c>
      <c r="I24" s="21">
        <v>47038499.760000005</v>
      </c>
      <c r="J24" s="21">
        <v>58600261.460000008</v>
      </c>
      <c r="K24" s="21">
        <v>67136712</v>
      </c>
      <c r="L24" s="21">
        <v>69535063</v>
      </c>
      <c r="M24" s="22" t="s">
        <v>48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4"/>
    </row>
    <row r="25" spans="1:27" s="25" customFormat="1" ht="17.25" x14ac:dyDescent="0.25">
      <c r="A25" s="18" t="s">
        <v>50</v>
      </c>
      <c r="B25" s="20">
        <v>14483951.450000001</v>
      </c>
      <c r="C25" s="20">
        <v>21910210.289999999</v>
      </c>
      <c r="D25" s="20">
        <v>25050862.829999998</v>
      </c>
      <c r="E25" s="20">
        <v>28968304</v>
      </c>
      <c r="F25" s="20">
        <v>27993704.789999999</v>
      </c>
      <c r="G25" s="20">
        <v>31369978.870000001</v>
      </c>
      <c r="H25" s="20">
        <v>29440804.519999996</v>
      </c>
      <c r="I25" s="21">
        <v>30808424.960000001</v>
      </c>
      <c r="J25" s="21">
        <v>37493968.349999994</v>
      </c>
      <c r="K25" s="21">
        <v>43465566</v>
      </c>
      <c r="L25" s="21">
        <v>43056023.359999999</v>
      </c>
      <c r="M25" s="22" t="s">
        <v>51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4"/>
    </row>
    <row r="26" spans="1:27" s="25" customFormat="1" ht="17.25" x14ac:dyDescent="0.25">
      <c r="A26" s="18" t="s">
        <v>53</v>
      </c>
      <c r="B26" s="20">
        <v>27642128.069999993</v>
      </c>
      <c r="C26" s="20">
        <v>34260241.729999997</v>
      </c>
      <c r="D26" s="20">
        <v>39536598.640000008</v>
      </c>
      <c r="E26" s="20">
        <v>44492550.350000001</v>
      </c>
      <c r="F26" s="20">
        <v>46107004.269999996</v>
      </c>
      <c r="G26" s="20">
        <v>52074088.550000012</v>
      </c>
      <c r="H26" s="20">
        <v>52286749.170000002</v>
      </c>
      <c r="I26" s="21">
        <v>43636279.200900003</v>
      </c>
      <c r="J26" s="21">
        <v>57037692.870000005</v>
      </c>
      <c r="K26" s="21">
        <v>70699432</v>
      </c>
      <c r="L26" s="21">
        <v>68069331.739999995</v>
      </c>
      <c r="M26" s="22" t="s">
        <v>54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4"/>
    </row>
    <row r="27" spans="1:27" s="25" customFormat="1" ht="17.25" x14ac:dyDescent="0.25">
      <c r="A27" s="18" t="s">
        <v>56</v>
      </c>
      <c r="B27" s="20">
        <v>12905259.859999999</v>
      </c>
      <c r="C27" s="20">
        <v>19379941.390000001</v>
      </c>
      <c r="D27" s="20">
        <v>20312685.899999999</v>
      </c>
      <c r="E27" s="20">
        <v>15456736.35</v>
      </c>
      <c r="F27" s="20">
        <v>23428238.91</v>
      </c>
      <c r="G27" s="20">
        <v>26813330.047800001</v>
      </c>
      <c r="H27" s="20">
        <v>30205366.392999999</v>
      </c>
      <c r="I27" s="21">
        <v>30315608.859999999</v>
      </c>
      <c r="J27" s="21">
        <v>36794336.82</v>
      </c>
      <c r="K27" s="21">
        <v>43185139</v>
      </c>
      <c r="L27" s="21">
        <v>43566784.93</v>
      </c>
      <c r="M27" s="22" t="s">
        <v>57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7" s="25" customFormat="1" ht="17.25" x14ac:dyDescent="0.25">
      <c r="A28" s="18" t="s">
        <v>59</v>
      </c>
      <c r="B28" s="20">
        <v>55981769.233300008</v>
      </c>
      <c r="C28" s="20">
        <v>74119274.931099996</v>
      </c>
      <c r="D28" s="20">
        <v>102346229.71000001</v>
      </c>
      <c r="E28" s="20">
        <v>116663001.61669999</v>
      </c>
      <c r="F28" s="20">
        <v>121178364.9189</v>
      </c>
      <c r="G28" s="20">
        <v>117270900.5696</v>
      </c>
      <c r="H28" s="20">
        <v>137699477.97600001</v>
      </c>
      <c r="I28" s="21">
        <v>150113676.64999998</v>
      </c>
      <c r="J28" s="21">
        <v>182544223.68999997</v>
      </c>
      <c r="K28" s="21">
        <v>191276933</v>
      </c>
      <c r="L28" s="21">
        <v>191477929.24000001</v>
      </c>
      <c r="M28" s="22" t="s">
        <v>60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7" s="25" customFormat="1" ht="19.5" x14ac:dyDescent="0.25">
      <c r="A29" s="27" t="s">
        <v>74</v>
      </c>
      <c r="B29" s="28">
        <v>169006647.32120001</v>
      </c>
      <c r="C29" s="28">
        <v>222306097.64719999</v>
      </c>
      <c r="D29" s="28">
        <v>223353684.25080001</v>
      </c>
      <c r="E29" s="28">
        <v>175063121</v>
      </c>
      <c r="F29" s="28">
        <v>266933716</v>
      </c>
      <c r="G29" s="28">
        <v>279572116.1688</v>
      </c>
      <c r="H29" s="28">
        <v>124721731.0976</v>
      </c>
      <c r="I29" s="28">
        <v>216158688.25040001</v>
      </c>
      <c r="J29" s="28">
        <v>321919608.7554</v>
      </c>
      <c r="K29" s="28">
        <v>448075332</v>
      </c>
      <c r="L29" s="28">
        <v>418254268.66159886</v>
      </c>
      <c r="M29" s="29" t="s">
        <v>75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7" ht="17.25" x14ac:dyDescent="0.25">
      <c r="A30" s="30" t="s">
        <v>66</v>
      </c>
      <c r="M30" s="6" t="s">
        <v>68</v>
      </c>
    </row>
    <row r="31" spans="1:27" ht="17.25" x14ac:dyDescent="0.25">
      <c r="A31" s="4" t="s">
        <v>67</v>
      </c>
      <c r="M31" s="5" t="s">
        <v>69</v>
      </c>
    </row>
    <row r="32" spans="1:27" ht="17.25" x14ac:dyDescent="0.25">
      <c r="A32" s="4"/>
      <c r="M32" s="5"/>
    </row>
    <row r="33" spans="1:38" ht="17.25" x14ac:dyDescent="0.25">
      <c r="A33" s="34"/>
      <c r="M33" s="5"/>
    </row>
    <row r="35" spans="1:38" x14ac:dyDescent="0.2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B35" s="35"/>
    </row>
    <row r="36" spans="1:38" x14ac:dyDescent="0.25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2"/>
      <c r="AB36" s="11"/>
    </row>
    <row r="37" spans="1:38" x14ac:dyDescent="0.25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B37" s="33">
        <v>2014</v>
      </c>
      <c r="AC37" s="33">
        <v>2015</v>
      </c>
      <c r="AD37" s="33">
        <v>2016</v>
      </c>
      <c r="AE37" s="33">
        <v>2017</v>
      </c>
      <c r="AF37" s="33">
        <v>2018</v>
      </c>
      <c r="AG37" s="33">
        <v>2019</v>
      </c>
      <c r="AH37" s="33">
        <v>2020</v>
      </c>
      <c r="AI37" s="33">
        <v>2021</v>
      </c>
      <c r="AJ37" s="33">
        <v>2022</v>
      </c>
      <c r="AK37" s="33">
        <v>2023</v>
      </c>
      <c r="AL37" s="33">
        <v>2024</v>
      </c>
    </row>
    <row r="38" spans="1:38" x14ac:dyDescent="0.25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" t="s">
        <v>17</v>
      </c>
      <c r="AB38" s="33">
        <v>21476572.449999999</v>
      </c>
      <c r="AC38" s="19">
        <v>28247167.650000002</v>
      </c>
      <c r="AD38" s="33">
        <f>D9</f>
        <v>30277717.990000002</v>
      </c>
      <c r="AE38" s="33">
        <f>E9</f>
        <v>34032071.780000001</v>
      </c>
      <c r="AF38" s="33">
        <f>F9</f>
        <v>37849375.519999996</v>
      </c>
      <c r="AG38" s="33">
        <f>G9</f>
        <v>40448262.304399997</v>
      </c>
      <c r="AH38" s="33">
        <f>H9</f>
        <v>42511028.648000002</v>
      </c>
      <c r="AI38" s="33">
        <f t="shared" ref="AI38:AL53" si="2">I9</f>
        <v>41229421.620000005</v>
      </c>
      <c r="AJ38" s="33">
        <f t="shared" si="2"/>
        <v>42951407.969999999</v>
      </c>
      <c r="AK38" s="33">
        <f>K9</f>
        <v>52807094</v>
      </c>
      <c r="AL38" s="33">
        <f>L9</f>
        <v>54287011.130000003</v>
      </c>
    </row>
    <row r="39" spans="1:38" x14ac:dyDescent="0.25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" t="s">
        <v>20</v>
      </c>
      <c r="AB39" s="33">
        <v>47757008.690000005</v>
      </c>
      <c r="AC39" s="19">
        <v>55532820.670000002</v>
      </c>
      <c r="AD39" s="33">
        <f t="shared" ref="AD39:AL57" si="3">D10</f>
        <v>60034554.979999997</v>
      </c>
      <c r="AE39" s="33">
        <f t="shared" si="3"/>
        <v>69991758.379999995</v>
      </c>
      <c r="AF39" s="33">
        <f t="shared" si="3"/>
        <v>73741273.559999987</v>
      </c>
      <c r="AG39" s="33">
        <f t="shared" si="3"/>
        <v>78971036.104199991</v>
      </c>
      <c r="AH39" s="33">
        <f t="shared" si="3"/>
        <v>87106108.945999995</v>
      </c>
      <c r="AI39" s="33">
        <f t="shared" si="2"/>
        <v>105958272.70000002</v>
      </c>
      <c r="AJ39" s="33">
        <f t="shared" si="2"/>
        <v>121253541.48999999</v>
      </c>
      <c r="AK39" s="33">
        <f t="shared" si="2"/>
        <v>135518677</v>
      </c>
      <c r="AL39" s="33">
        <f t="shared" si="2"/>
        <v>137322175.109999</v>
      </c>
    </row>
    <row r="40" spans="1:38" x14ac:dyDescent="0.2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" t="s">
        <v>23</v>
      </c>
      <c r="AB40" s="33">
        <v>18573633.770000003</v>
      </c>
      <c r="AC40" s="19">
        <v>22929493.010000002</v>
      </c>
      <c r="AD40" s="33">
        <f t="shared" si="3"/>
        <v>21043099.035</v>
      </c>
      <c r="AE40" s="33">
        <f t="shared" si="3"/>
        <v>22385644.167000003</v>
      </c>
      <c r="AF40" s="33">
        <f t="shared" si="3"/>
        <v>24133600.373999998</v>
      </c>
      <c r="AG40" s="33">
        <f t="shared" si="3"/>
        <v>25952832.935399998</v>
      </c>
      <c r="AH40" s="33">
        <f t="shared" si="3"/>
        <v>27517456.108000003</v>
      </c>
      <c r="AI40" s="33">
        <f t="shared" si="2"/>
        <v>29752743.100000001</v>
      </c>
      <c r="AJ40" s="33">
        <f t="shared" si="2"/>
        <v>34656334.549999997</v>
      </c>
      <c r="AK40" s="33">
        <f t="shared" si="2"/>
        <v>37015411</v>
      </c>
      <c r="AL40" s="33">
        <f t="shared" si="2"/>
        <v>35381858.329999998</v>
      </c>
    </row>
    <row r="41" spans="1:38" x14ac:dyDescent="0.25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" t="s">
        <v>26</v>
      </c>
      <c r="AB41" s="33">
        <v>11788026.339999998</v>
      </c>
      <c r="AC41" s="19">
        <v>16282824.6</v>
      </c>
      <c r="AD41" s="33">
        <f t="shared" si="3"/>
        <v>16255000.77</v>
      </c>
      <c r="AE41" s="33">
        <f t="shared" si="3"/>
        <v>17119918.760000002</v>
      </c>
      <c r="AF41" s="33">
        <f t="shared" si="3"/>
        <v>18665154.07</v>
      </c>
      <c r="AG41" s="33">
        <f t="shared" si="3"/>
        <v>21571553.8116</v>
      </c>
      <c r="AH41" s="33">
        <f t="shared" si="3"/>
        <v>23643840.842</v>
      </c>
      <c r="AI41" s="33">
        <f t="shared" si="2"/>
        <v>23414246.520000003</v>
      </c>
      <c r="AJ41" s="33">
        <f t="shared" si="2"/>
        <v>26306259.119999997</v>
      </c>
      <c r="AK41" s="33">
        <f t="shared" si="2"/>
        <v>30654991</v>
      </c>
      <c r="AL41" s="33">
        <f t="shared" si="2"/>
        <v>30213259.129999999</v>
      </c>
    </row>
    <row r="42" spans="1:38" x14ac:dyDescent="0.25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" t="s">
        <v>29</v>
      </c>
      <c r="AB42" s="33">
        <v>29304498.352999996</v>
      </c>
      <c r="AC42" s="19">
        <v>40394300.450999998</v>
      </c>
      <c r="AD42" s="33">
        <f t="shared" si="3"/>
        <v>43959957.414999999</v>
      </c>
      <c r="AE42" s="33">
        <f t="shared" si="3"/>
        <v>47021244.049999997</v>
      </c>
      <c r="AF42" s="33">
        <f t="shared" si="3"/>
        <v>49456949.840000004</v>
      </c>
      <c r="AG42" s="33">
        <f t="shared" si="3"/>
        <v>53008180.737800002</v>
      </c>
      <c r="AH42" s="33">
        <f t="shared" si="3"/>
        <v>59567614.17400001</v>
      </c>
      <c r="AI42" s="33">
        <f t="shared" si="2"/>
        <v>55780460.480000004</v>
      </c>
      <c r="AJ42" s="33">
        <f t="shared" si="2"/>
        <v>67478231.180000007</v>
      </c>
      <c r="AK42" s="33">
        <f t="shared" si="2"/>
        <v>74023708</v>
      </c>
      <c r="AL42" s="33">
        <f t="shared" si="2"/>
        <v>79936479.409999996</v>
      </c>
    </row>
    <row r="43" spans="1:38" x14ac:dyDescent="0.25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" t="s">
        <v>32</v>
      </c>
      <c r="AB43" s="33">
        <v>15482386.66</v>
      </c>
      <c r="AC43" s="19">
        <v>21675172.101000004</v>
      </c>
      <c r="AD43" s="33">
        <f t="shared" si="3"/>
        <v>26651220.369999997</v>
      </c>
      <c r="AE43" s="33">
        <f t="shared" si="3"/>
        <v>30149104.175999999</v>
      </c>
      <c r="AF43" s="33">
        <f t="shared" si="3"/>
        <v>33634879.120000005</v>
      </c>
      <c r="AG43" s="33">
        <f t="shared" si="3"/>
        <v>27044367.550599996</v>
      </c>
      <c r="AH43" s="33">
        <f t="shared" si="3"/>
        <v>25655929.811999999</v>
      </c>
      <c r="AI43" s="33">
        <f t="shared" si="2"/>
        <v>25608416.110000003</v>
      </c>
      <c r="AJ43" s="33">
        <f t="shared" si="2"/>
        <v>29304323.180000007</v>
      </c>
      <c r="AK43" s="33">
        <f t="shared" si="2"/>
        <v>34806121</v>
      </c>
      <c r="AL43" s="33">
        <f t="shared" si="2"/>
        <v>36842321.280000001</v>
      </c>
    </row>
    <row r="44" spans="1:38" x14ac:dyDescent="0.25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" t="s">
        <v>35</v>
      </c>
      <c r="AB44" s="33">
        <v>23688972.940000001</v>
      </c>
      <c r="AC44" s="19">
        <v>27147750.810000002</v>
      </c>
      <c r="AD44" s="33">
        <f t="shared" si="3"/>
        <v>31816789.559999999</v>
      </c>
      <c r="AE44" s="33">
        <f t="shared" si="3"/>
        <v>38642931.219999999</v>
      </c>
      <c r="AF44" s="33">
        <f t="shared" si="3"/>
        <v>35692529.049999997</v>
      </c>
      <c r="AG44" s="33">
        <f t="shared" si="3"/>
        <v>32568445.948899999</v>
      </c>
      <c r="AH44" s="33">
        <f t="shared" si="3"/>
        <v>27942400.420000002</v>
      </c>
      <c r="AI44" s="33">
        <f t="shared" si="2"/>
        <v>26327557.609999999</v>
      </c>
      <c r="AJ44" s="33">
        <f t="shared" si="2"/>
        <v>30959571.039999999</v>
      </c>
      <c r="AK44" s="33">
        <f t="shared" si="2"/>
        <v>34780623</v>
      </c>
      <c r="AL44" s="33">
        <f t="shared" si="2"/>
        <v>34214869.019999899</v>
      </c>
    </row>
    <row r="45" spans="1:38" x14ac:dyDescent="0.25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" t="s">
        <v>38</v>
      </c>
      <c r="AB45" s="33">
        <v>7724957.6299999999</v>
      </c>
      <c r="AC45" s="19">
        <v>12281541.290000001</v>
      </c>
      <c r="AD45" s="33">
        <f t="shared" si="3"/>
        <v>14543865.745000001</v>
      </c>
      <c r="AE45" s="33">
        <f t="shared" si="3"/>
        <v>15450866.840299999</v>
      </c>
      <c r="AF45" s="33">
        <f t="shared" si="3"/>
        <v>15019880.84</v>
      </c>
      <c r="AG45" s="33">
        <f t="shared" si="3"/>
        <v>17197161.118400004</v>
      </c>
      <c r="AH45" s="33">
        <f t="shared" si="3"/>
        <v>20342689.015000001</v>
      </c>
      <c r="AI45" s="33">
        <f t="shared" si="2"/>
        <v>20229516.299999997</v>
      </c>
      <c r="AJ45" s="33">
        <f t="shared" si="2"/>
        <v>21165979.760000002</v>
      </c>
      <c r="AK45" s="33">
        <f t="shared" si="2"/>
        <v>26425053</v>
      </c>
      <c r="AL45" s="33">
        <f t="shared" si="2"/>
        <v>27744202.329999998</v>
      </c>
    </row>
    <row r="46" spans="1:38" x14ac:dyDescent="0.25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" t="s">
        <v>41</v>
      </c>
      <c r="AB46" s="33">
        <v>3540685.44</v>
      </c>
      <c r="AC46" s="19">
        <v>7471919.1500000004</v>
      </c>
      <c r="AD46" s="33">
        <f t="shared" si="3"/>
        <v>8698613.1500000004</v>
      </c>
      <c r="AE46" s="33">
        <f t="shared" si="3"/>
        <v>5947100.96</v>
      </c>
      <c r="AF46" s="33">
        <f t="shared" si="3"/>
        <v>10990868.449999999</v>
      </c>
      <c r="AG46" s="33">
        <f t="shared" si="3"/>
        <v>11972620.461000001</v>
      </c>
      <c r="AH46" s="33">
        <f t="shared" si="3"/>
        <v>12008159.68</v>
      </c>
      <c r="AI46" s="33">
        <f t="shared" si="2"/>
        <v>12415359.02</v>
      </c>
      <c r="AJ46" s="33">
        <f t="shared" si="2"/>
        <v>13048614.539999999</v>
      </c>
      <c r="AK46" s="33">
        <f t="shared" si="2"/>
        <v>14643615</v>
      </c>
      <c r="AL46" s="33">
        <f t="shared" si="2"/>
        <v>15544643.890000001</v>
      </c>
    </row>
    <row r="47" spans="1:38" x14ac:dyDescent="0.25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" t="s">
        <v>76</v>
      </c>
      <c r="AB47" s="33">
        <v>13156080.83</v>
      </c>
      <c r="AC47" s="19">
        <v>17498120.029999997</v>
      </c>
      <c r="AD47" s="33">
        <f t="shared" si="3"/>
        <v>21983644.324999999</v>
      </c>
      <c r="AE47" s="33">
        <f t="shared" si="3"/>
        <v>9181590.7400000021</v>
      </c>
      <c r="AF47" s="33">
        <f t="shared" si="3"/>
        <v>25909086.93</v>
      </c>
      <c r="AG47" s="33">
        <f t="shared" si="3"/>
        <v>27622860.336999997</v>
      </c>
      <c r="AH47" s="33">
        <f t="shared" si="3"/>
        <v>29868861.675999999</v>
      </c>
      <c r="AI47" s="33">
        <f t="shared" si="2"/>
        <v>30407880.360000003</v>
      </c>
      <c r="AJ47" s="33">
        <f t="shared" si="2"/>
        <v>33097189.898000006</v>
      </c>
      <c r="AK47" s="33">
        <f t="shared" si="2"/>
        <v>35660575</v>
      </c>
      <c r="AL47" s="33">
        <f t="shared" si="2"/>
        <v>32476057.359999999</v>
      </c>
    </row>
    <row r="48" spans="1:38" x14ac:dyDescent="0.25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" t="s">
        <v>46</v>
      </c>
      <c r="AB48" s="33">
        <v>563786.18999999994</v>
      </c>
      <c r="AC48" s="19">
        <v>1773766.73</v>
      </c>
      <c r="AD48" s="33">
        <f t="shared" si="3"/>
        <v>2451686.34</v>
      </c>
      <c r="AE48" s="33">
        <f t="shared" si="3"/>
        <v>2580520.0900000003</v>
      </c>
      <c r="AF48" s="33">
        <f t="shared" si="3"/>
        <v>2433263.37</v>
      </c>
      <c r="AG48" s="33">
        <f t="shared" si="3"/>
        <v>2757929.4720000001</v>
      </c>
      <c r="AH48" s="33">
        <f t="shared" si="3"/>
        <v>3448993.7300000004</v>
      </c>
      <c r="AI48" s="33">
        <f t="shared" si="2"/>
        <v>3630063.0300000003</v>
      </c>
      <c r="AJ48" s="33">
        <f t="shared" si="2"/>
        <v>3690326.27</v>
      </c>
      <c r="AK48" s="33">
        <f t="shared" si="2"/>
        <v>3899750</v>
      </c>
      <c r="AL48" s="33">
        <f t="shared" si="2"/>
        <v>3741727.49</v>
      </c>
    </row>
    <row r="49" spans="2:38" x14ac:dyDescent="0.25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" t="s">
        <v>49</v>
      </c>
      <c r="AB49" s="33">
        <v>9125266.5999999996</v>
      </c>
      <c r="AC49" s="19">
        <v>12610137.149999999</v>
      </c>
      <c r="AD49" s="33">
        <f t="shared" si="3"/>
        <v>11946502.880000001</v>
      </c>
      <c r="AE49" s="33">
        <f t="shared" si="3"/>
        <v>7909169.9100000001</v>
      </c>
      <c r="AF49" s="33">
        <f t="shared" si="3"/>
        <v>11312990.07</v>
      </c>
      <c r="AG49" s="33">
        <f t="shared" si="3"/>
        <v>10031071.428399999</v>
      </c>
      <c r="AH49" s="33">
        <f t="shared" si="3"/>
        <v>10855208.769999998</v>
      </c>
      <c r="AI49" s="33">
        <f t="shared" si="2"/>
        <v>9990856.0899999999</v>
      </c>
      <c r="AJ49" s="33">
        <f t="shared" si="2"/>
        <v>12502296.09</v>
      </c>
      <c r="AK49" s="33">
        <f t="shared" si="2"/>
        <v>13554997</v>
      </c>
      <c r="AL49" s="33">
        <f t="shared" si="2"/>
        <v>12266333.220000001</v>
      </c>
    </row>
    <row r="50" spans="2:38" x14ac:dyDescent="0.25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" t="s">
        <v>52</v>
      </c>
      <c r="AB50" s="33">
        <v>6589192.25</v>
      </c>
      <c r="AC50" s="19">
        <v>9723321.2799999993</v>
      </c>
      <c r="AD50" s="33">
        <f t="shared" si="3"/>
        <v>10153645.829999998</v>
      </c>
      <c r="AE50" s="33">
        <f t="shared" si="3"/>
        <v>6358160.0700000003</v>
      </c>
      <c r="AF50" s="33">
        <f t="shared" si="3"/>
        <v>13465688.68</v>
      </c>
      <c r="AG50" s="33">
        <f t="shared" si="3"/>
        <v>13925732.6666</v>
      </c>
      <c r="AH50" s="33">
        <f t="shared" si="3"/>
        <v>14387088.829999998</v>
      </c>
      <c r="AI50" s="33">
        <f t="shared" si="2"/>
        <v>13273690.779999999</v>
      </c>
      <c r="AJ50" s="33">
        <f t="shared" si="2"/>
        <v>16978604.119999997</v>
      </c>
      <c r="AK50" s="33">
        <f t="shared" si="2"/>
        <v>17662545</v>
      </c>
      <c r="AL50" s="33">
        <f t="shared" si="2"/>
        <v>16938669.609999999</v>
      </c>
    </row>
    <row r="51" spans="2:38" x14ac:dyDescent="0.25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" t="s">
        <v>55</v>
      </c>
      <c r="AB51" s="33">
        <v>9874084.1600000001</v>
      </c>
      <c r="AC51" s="19">
        <v>12434694.649999999</v>
      </c>
      <c r="AD51" s="33">
        <f t="shared" si="3"/>
        <v>11807838.66</v>
      </c>
      <c r="AE51" s="33">
        <f t="shared" si="3"/>
        <v>13061458.859999999</v>
      </c>
      <c r="AF51" s="33">
        <f t="shared" si="3"/>
        <v>15100490.25</v>
      </c>
      <c r="AG51" s="33">
        <f t="shared" si="3"/>
        <v>17043507.483999997</v>
      </c>
      <c r="AH51" s="33">
        <f t="shared" si="3"/>
        <v>16428599.425000001</v>
      </c>
      <c r="AI51" s="33">
        <f t="shared" si="2"/>
        <v>15311144.699999999</v>
      </c>
      <c r="AJ51" s="33">
        <f t="shared" si="2"/>
        <v>16488463.48</v>
      </c>
      <c r="AK51" s="33">
        <f t="shared" si="2"/>
        <v>21439218</v>
      </c>
      <c r="AL51" s="33">
        <f t="shared" si="2"/>
        <v>22002015.379999999</v>
      </c>
    </row>
    <row r="52" spans="2:38" x14ac:dyDescent="0.25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" t="s">
        <v>58</v>
      </c>
      <c r="AB52" s="33">
        <v>15424283.250000004</v>
      </c>
      <c r="AC52" s="19">
        <v>20505081.599999994</v>
      </c>
      <c r="AD52" s="33">
        <f t="shared" si="3"/>
        <v>22462983.789999999</v>
      </c>
      <c r="AE52" s="33">
        <f t="shared" si="3"/>
        <v>23683245.52</v>
      </c>
      <c r="AF52" s="33">
        <f t="shared" si="3"/>
        <v>21574058.689999998</v>
      </c>
      <c r="AG52" s="33">
        <f t="shared" si="3"/>
        <v>23421048.300000004</v>
      </c>
      <c r="AH52" s="33">
        <f t="shared" si="3"/>
        <v>23808645.879999999</v>
      </c>
      <c r="AI52" s="33">
        <f t="shared" si="2"/>
        <v>24058552.030000001</v>
      </c>
      <c r="AJ52" s="33">
        <f t="shared" si="2"/>
        <v>28197213.939999998</v>
      </c>
      <c r="AK52" s="33">
        <f t="shared" si="2"/>
        <v>32795764</v>
      </c>
      <c r="AL52" s="33">
        <f t="shared" si="2"/>
        <v>32527426.309999999</v>
      </c>
    </row>
    <row r="53" spans="2:38" x14ac:dyDescent="0.25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" t="s">
        <v>61</v>
      </c>
      <c r="AB53" s="33">
        <v>19121149.300000001</v>
      </c>
      <c r="AC53" s="19">
        <v>27347316.960000001</v>
      </c>
      <c r="AD53" s="33">
        <f t="shared" si="3"/>
        <v>30750547.939999998</v>
      </c>
      <c r="AE53" s="33">
        <f t="shared" si="3"/>
        <v>32945144.069999997</v>
      </c>
      <c r="AF53" s="33">
        <f t="shared" si="3"/>
        <v>34810489.399999999</v>
      </c>
      <c r="AG53" s="33">
        <f t="shared" si="3"/>
        <v>42832104.030000001</v>
      </c>
      <c r="AH53" s="33">
        <f t="shared" si="3"/>
        <v>50794534.460000008</v>
      </c>
      <c r="AI53" s="33">
        <f t="shared" si="2"/>
        <v>47038499.760000005</v>
      </c>
      <c r="AJ53" s="33">
        <f t="shared" si="2"/>
        <v>58600261.460000008</v>
      </c>
      <c r="AK53" s="33">
        <f t="shared" si="2"/>
        <v>67136712</v>
      </c>
      <c r="AL53" s="33">
        <f t="shared" si="2"/>
        <v>69535063</v>
      </c>
    </row>
    <row r="54" spans="2:38" x14ac:dyDescent="0.25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" t="s">
        <v>62</v>
      </c>
      <c r="AB54" s="33">
        <v>14483951.450000001</v>
      </c>
      <c r="AC54" s="19">
        <v>21910210.289999999</v>
      </c>
      <c r="AD54" s="33">
        <f t="shared" si="3"/>
        <v>25050862.829999998</v>
      </c>
      <c r="AE54" s="33">
        <f t="shared" si="3"/>
        <v>28968304</v>
      </c>
      <c r="AF54" s="33">
        <f t="shared" si="3"/>
        <v>27993704.789999999</v>
      </c>
      <c r="AG54" s="33">
        <f t="shared" si="3"/>
        <v>31369978.870000001</v>
      </c>
      <c r="AH54" s="33">
        <f t="shared" si="3"/>
        <v>29440804.519999996</v>
      </c>
      <c r="AI54" s="33">
        <f t="shared" si="3"/>
        <v>30808424.960000001</v>
      </c>
      <c r="AJ54" s="33">
        <f t="shared" si="3"/>
        <v>37493968.349999994</v>
      </c>
      <c r="AK54" s="33">
        <f t="shared" si="3"/>
        <v>43465566</v>
      </c>
      <c r="AL54" s="33">
        <f t="shared" si="3"/>
        <v>43056023.359999999</v>
      </c>
    </row>
    <row r="55" spans="2:38" x14ac:dyDescent="0.25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" t="s">
        <v>63</v>
      </c>
      <c r="AB55" s="33">
        <v>27642128.069999993</v>
      </c>
      <c r="AC55" s="19">
        <v>34260241.729999997</v>
      </c>
      <c r="AD55" s="33">
        <f t="shared" si="3"/>
        <v>39536598.640000008</v>
      </c>
      <c r="AE55" s="33">
        <f t="shared" si="3"/>
        <v>44492550.350000001</v>
      </c>
      <c r="AF55" s="33">
        <f t="shared" si="3"/>
        <v>46107004.269999996</v>
      </c>
      <c r="AG55" s="33">
        <f t="shared" si="3"/>
        <v>52074088.550000012</v>
      </c>
      <c r="AH55" s="33">
        <f t="shared" si="3"/>
        <v>52286749.170000002</v>
      </c>
      <c r="AI55" s="33">
        <f t="shared" si="3"/>
        <v>43636279.200900003</v>
      </c>
      <c r="AJ55" s="33">
        <f t="shared" si="3"/>
        <v>57037692.870000005</v>
      </c>
      <c r="AK55" s="33">
        <f t="shared" si="3"/>
        <v>70699432</v>
      </c>
      <c r="AL55" s="33">
        <f t="shared" si="3"/>
        <v>68069331.739999995</v>
      </c>
    </row>
    <row r="56" spans="2:38" x14ac:dyDescent="0.2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" t="s">
        <v>64</v>
      </c>
      <c r="AB56" s="33">
        <v>12905259.859999999</v>
      </c>
      <c r="AC56" s="19">
        <v>19379941.390000001</v>
      </c>
      <c r="AD56" s="33">
        <f t="shared" si="3"/>
        <v>20312685.899999999</v>
      </c>
      <c r="AE56" s="33">
        <f t="shared" si="3"/>
        <v>15456736.35</v>
      </c>
      <c r="AF56" s="33">
        <f t="shared" si="3"/>
        <v>23428238.91</v>
      </c>
      <c r="AG56" s="33">
        <f t="shared" si="3"/>
        <v>26813330.047800001</v>
      </c>
      <c r="AH56" s="33">
        <f t="shared" si="3"/>
        <v>30205366.392999999</v>
      </c>
      <c r="AI56" s="33">
        <f t="shared" si="3"/>
        <v>30315608.859999999</v>
      </c>
      <c r="AJ56" s="33">
        <f t="shared" si="3"/>
        <v>36794336.82</v>
      </c>
      <c r="AK56" s="33">
        <f t="shared" si="3"/>
        <v>43185139</v>
      </c>
      <c r="AL56" s="33">
        <f t="shared" si="3"/>
        <v>43566784.93</v>
      </c>
    </row>
    <row r="57" spans="2:38" x14ac:dyDescent="0.2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6" t="s">
        <v>65</v>
      </c>
      <c r="AB57" s="33">
        <v>55981769.233300008</v>
      </c>
      <c r="AC57" s="19">
        <v>74119274.931099996</v>
      </c>
      <c r="AD57" s="33">
        <f t="shared" si="3"/>
        <v>102346229.71000001</v>
      </c>
      <c r="AE57" s="33">
        <f t="shared" si="3"/>
        <v>116663001.61669999</v>
      </c>
      <c r="AF57" s="33">
        <f t="shared" si="3"/>
        <v>121178364.9189</v>
      </c>
      <c r="AG57" s="33">
        <f t="shared" si="3"/>
        <v>117270900.5696</v>
      </c>
      <c r="AH57" s="33">
        <f t="shared" si="3"/>
        <v>137699477.97600001</v>
      </c>
      <c r="AI57" s="33">
        <f t="shared" si="3"/>
        <v>150113676.64999998</v>
      </c>
      <c r="AJ57" s="33">
        <f t="shared" si="3"/>
        <v>182544223.68999997</v>
      </c>
      <c r="AK57" s="33">
        <f t="shared" si="3"/>
        <v>191276933</v>
      </c>
      <c r="AL57" s="33">
        <f t="shared" si="3"/>
        <v>191477929.24000001</v>
      </c>
    </row>
  </sheetData>
  <mergeCells count="16">
    <mergeCell ref="G4:G5"/>
    <mergeCell ref="H4:H5"/>
    <mergeCell ref="B3:L3"/>
    <mergeCell ref="I4:I5"/>
    <mergeCell ref="J4:J5"/>
    <mergeCell ref="A1:M1"/>
    <mergeCell ref="A2:M2"/>
    <mergeCell ref="A3:A5"/>
    <mergeCell ref="M3:M5"/>
    <mergeCell ref="B4:B5"/>
    <mergeCell ref="C4:C5"/>
    <mergeCell ref="D4:D5"/>
    <mergeCell ref="K4:K5"/>
    <mergeCell ref="L4:L5"/>
    <mergeCell ref="E4:E5"/>
    <mergeCell ref="F4:F5"/>
  </mergeCells>
  <pageMargins left="0.7" right="0.7" top="0.75" bottom="0.75" header="0.3" footer="0.3"/>
  <pageSetup scale="36" orientation="portrait" r:id="rId1"/>
  <colBreaks count="1" manualBreakCount="1">
    <brk id="25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18.25</vt:lpstr>
      <vt:lpstr>'18.25'!Print_Area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2025-07-22T05:40:16Z</cp:lastPrinted>
  <dcterms:created xsi:type="dcterms:W3CDTF">2025-05-19T08:29:05Z</dcterms:created>
  <dcterms:modified xsi:type="dcterms:W3CDTF">2025-07-22T05:40:22Z</dcterms:modified>
</cp:coreProperties>
</file>