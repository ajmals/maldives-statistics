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F9478C3E-B04A-4F02-BDD8-CC3654B0C07E}" xr6:coauthVersionLast="47" xr6:coauthVersionMax="47" xr10:uidLastSave="{00000000-0000-0000-0000-000000000000}"/>
  <bookViews>
    <workbookView xWindow="-120" yWindow="-120" windowWidth="29040" windowHeight="15720" tabRatio="760" xr2:uid="{00000000-000D-0000-FFFF-FFFF00000000}"/>
  </bookViews>
  <sheets>
    <sheet name="18.19" sheetId="19" r:id="rId1"/>
  </sheets>
  <definedNames>
    <definedName name="_xlnm.Print_Area" localSheetId="0">'18.19'!$A$1:$K$52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5" i="19" l="1"/>
  <c r="I11" i="19"/>
  <c r="I9" i="19" s="1"/>
  <c r="H11" i="19"/>
  <c r="H9" i="19" s="1"/>
  <c r="G11" i="19"/>
  <c r="G9" i="19" s="1"/>
  <c r="F11" i="19"/>
  <c r="F9" i="19" s="1"/>
  <c r="E11" i="19"/>
  <c r="E9" i="19" s="1"/>
  <c r="D11" i="19"/>
  <c r="D9" i="19" s="1"/>
  <c r="C11" i="19"/>
  <c r="C9" i="19" s="1"/>
  <c r="B11" i="19"/>
  <c r="B9" i="19" s="1"/>
</calcChain>
</file>

<file path=xl/sharedStrings.xml><?xml version="1.0" encoding="utf-8"?>
<sst xmlns="http://schemas.openxmlformats.org/spreadsheetml/2006/main" count="97" uniqueCount="94">
  <si>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</si>
  <si>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</si>
  <si>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</si>
  <si>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</si>
  <si>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</si>
  <si>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</si>
  <si>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</si>
  <si>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</si>
  <si>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</si>
  <si>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</si>
  <si>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 xml:space="preserve">FOSTER PARENT ALLOWANCE </t>
  </si>
  <si>
    <t>EMERGENCY MEDICAL WELFARE</t>
  </si>
  <si>
    <t>DISABILITY ALLOWANCE</t>
  </si>
  <si>
    <t>FOOD SUBSIDY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</si>
  <si>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</si>
  <si>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</si>
  <si>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</si>
  <si>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</si>
  <si>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</si>
  <si>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</si>
  <si>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</si>
  <si>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</si>
  <si>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</si>
  <si>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</si>
  <si>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</si>
  <si>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</si>
  <si>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</si>
  <si>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</si>
  <si>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</si>
  <si>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</si>
  <si>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</si>
  <si>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</si>
  <si>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</si>
  <si>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</si>
  <si>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</si>
  <si>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</si>
  <si>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</si>
  <si>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</si>
  <si>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</si>
  <si>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</si>
  <si>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</si>
  <si>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</si>
  <si>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</si>
  <si>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</si>
  <si>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</si>
  <si>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</si>
  <si>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</si>
  <si>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</si>
  <si>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</si>
  <si>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</si>
  <si>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</si>
  <si>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</si>
  <si>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</si>
  <si>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</si>
  <si>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</si>
  <si>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</si>
  <si>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</si>
  <si>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</si>
  <si>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</si>
  <si>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</si>
  <si>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</si>
  <si>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</si>
  <si>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</si>
  <si>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</si>
  <si>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</si>
  <si>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</si>
  <si>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</si>
  <si>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</si>
  <si>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</si>
  <si>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</si>
  <si>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</si>
  <si>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</si>
  <si>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</si>
  <si>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</si>
  <si>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</si>
  <si>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</si>
  <si>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</si>
  <si>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</si>
  <si>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</si>
  <si>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</si>
  <si>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</si>
  <si>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</si>
  <si>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</si>
  <si>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</si>
  <si>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</si>
  <si>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</si>
  <si>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</si>
  <si>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</si>
  <si>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</si>
  <si>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</si>
  <si>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</si>
  <si>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Table 18.19 :  NUMBER OF PERSONS COVERED UNDER DIFFERENT SOCIAL PROTECTION SCHEMES BY LOCALITY,  2023</t>
  </si>
  <si>
    <t>ތާވަލް 18.19: އިޖްތިމާއީ ރައްކާތެރިކަމުގެ ދަށުން އަތޮޅުތަކުން ޚިދުމަތްދެވިފައިވާ މީހުންގެ އަދަދު، 2023</t>
  </si>
  <si>
    <t>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</si>
</sst>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38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Faseyha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sz val="9"/>
      <name val="Courier"/>
      <family val="3"/>
    </font>
    <font>
      <b/>
      <sz val="13.5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A_Faseyha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9"/>
      <color theme="1" tint="0.14999847407452621"/>
      <name val="A_Randhoo"/>
    </font>
    <font>
      <b/>
      <sz val="8"/>
      <name val="Calibri"/>
      <family val="2"/>
      <scheme val="minor"/>
    </font>
    <font>
      <sz val="10"/>
      <color theme="1" tint="0.14999847407452621"/>
      <name val="A_Randho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24">
    <xf numFmtId="0" fontId="0" fillId="0" borderId="0"/>
    <xf numFmtId="43" fontId="3" fillId="0" borderId="0" applyFont="0" applyFill="0" applyBorder="0" applyAlignment="0" applyProtection="0"/>
    <xf numFmtId="0" fontId="4" fillId="0" borderId="1"/>
    <xf numFmtId="164" fontId="13" fillId="0" borderId="1"/>
    <xf numFmtId="43" fontId="1" fillId="0" borderId="1" applyFont="0" applyFill="0" applyBorder="0" applyAlignment="0" applyProtection="0"/>
    <xf numFmtId="0" fontId="13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" fillId="0" borderId="1"/>
    <xf numFmtId="0" fontId="36" fillId="0" borderId="1"/>
    <xf numFmtId="43" fontId="36" fillId="0" borderId="1" applyFont="0" applyFill="0" applyBorder="0" applyAlignment="0" applyProtection="0"/>
    <xf numFmtId="0" fontId="37" fillId="0" borderId="1"/>
  </cellStyleXfs>
  <cellXfs count="125">
    <xf numFmtId="0" fontId="0" fillId="0" borderId="0" xfId="0"/>
    <xf numFmtId="0" fontId="0" fillId="2" borderId="0" xfId="0" applyFill="1"/>
    <xf numFmtId="0" fontId="12" fillId="2" borderId="0" xfId="0" applyFont="1" applyFill="1"/>
    <xf numFmtId="0" fontId="12" fillId="2" borderId="1" xfId="0" applyFont="1" applyFill="1" applyBorder="1"/>
    <xf numFmtId="167" fontId="15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167" fontId="15" fillId="2" borderId="1" xfId="0" applyNumberFormat="1" applyFont="1" applyFill="1" applyBorder="1" applyAlignment="1">
      <alignment vertical="center"/>
    </xf>
    <xf numFmtId="167" fontId="15" fillId="2" borderId="1" xfId="0" applyNumberFormat="1" applyFont="1" applyFill="1" applyBorder="1"/>
    <xf numFmtId="167" fontId="2" fillId="2" borderId="10" xfId="0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7" fontId="0" fillId="2" borderId="1" xfId="0" applyNumberFormat="1" applyFill="1" applyBorder="1"/>
    <xf numFmtId="167" fontId="17" fillId="2" borderId="1" xfId="3" applyNumberFormat="1" applyFont="1" applyFill="1" applyAlignment="1">
      <alignment horizontal="left" vertical="center"/>
    </xf>
    <xf numFmtId="37" fontId="17" fillId="2" borderId="14" xfId="1" applyNumberFormat="1" applyFont="1" applyFill="1" applyBorder="1" applyAlignment="1" applyProtection="1">
      <alignment vertical="center"/>
    </xf>
    <xf numFmtId="37" fontId="17" fillId="2" borderId="15" xfId="1" applyNumberFormat="1" applyFont="1" applyFill="1" applyBorder="1" applyAlignment="1" applyProtection="1">
      <alignment horizontal="center" vertical="center"/>
    </xf>
    <xf numFmtId="37" fontId="17" fillId="2" borderId="5" xfId="1" applyNumberFormat="1" applyFont="1" applyFill="1" applyBorder="1" applyAlignment="1" applyProtection="1">
      <alignment horizontal="center" vertical="center"/>
    </xf>
    <xf numFmtId="37" fontId="17" fillId="2" borderId="4" xfId="1" applyNumberFormat="1" applyFont="1" applyFill="1" applyBorder="1" applyAlignment="1" applyProtection="1">
      <alignment horizontal="right" vertical="center"/>
    </xf>
    <xf numFmtId="37" fontId="17" fillId="2" borderId="1" xfId="1" applyNumberFormat="1" applyFont="1" applyFill="1" applyBorder="1" applyAlignment="1" applyProtection="1">
      <alignment horizontal="right" vertical="center"/>
    </xf>
    <xf numFmtId="37" fontId="17" fillId="2" borderId="15" xfId="1" applyNumberFormat="1" applyFont="1" applyFill="1" applyBorder="1" applyAlignment="1" applyProtection="1">
      <alignment horizontal="right" vertical="center"/>
    </xf>
    <xf numFmtId="37" fontId="17" fillId="2" borderId="14" xfId="1" applyNumberFormat="1" applyFont="1" applyFill="1" applyBorder="1" applyAlignment="1" applyProtection="1">
      <alignment horizontal="center" vertical="center"/>
    </xf>
    <xf numFmtId="167" fontId="21" fillId="2" borderId="0" xfId="0" applyNumberFormat="1" applyFont="1" applyFill="1"/>
    <xf numFmtId="167" fontId="21" fillId="2" borderId="1" xfId="0" applyNumberFormat="1" applyFont="1" applyFill="1" applyBorder="1"/>
    <xf numFmtId="167" fontId="23" fillId="2" borderId="0" xfId="0" applyNumberFormat="1" applyFont="1" applyFill="1"/>
    <xf numFmtId="167" fontId="23" fillId="2" borderId="1" xfId="0" applyNumberFormat="1" applyFont="1" applyFill="1" applyBorder="1"/>
    <xf numFmtId="37" fontId="19" fillId="2" borderId="14" xfId="1" applyNumberFormat="1" applyFont="1" applyFill="1" applyBorder="1" applyAlignment="1">
      <alignment vertical="center"/>
    </xf>
    <xf numFmtId="37" fontId="19" fillId="2" borderId="16" xfId="1" applyNumberFormat="1" applyFont="1" applyFill="1" applyBorder="1" applyAlignment="1">
      <alignment vertical="center"/>
    </xf>
    <xf numFmtId="37" fontId="19" fillId="2" borderId="1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/>
    <xf numFmtId="37" fontId="17" fillId="2" borderId="1" xfId="1" applyNumberFormat="1" applyFont="1" applyFill="1" applyBorder="1" applyAlignment="1" applyProtection="1">
      <alignment vertical="center"/>
    </xf>
    <xf numFmtId="37" fontId="26" fillId="2" borderId="1" xfId="1" applyNumberFormat="1" applyFont="1" applyFill="1" applyBorder="1" applyAlignment="1" applyProtection="1">
      <alignment vertical="center"/>
    </xf>
    <xf numFmtId="0" fontId="21" fillId="2" borderId="0" xfId="0" applyFont="1" applyFill="1"/>
    <xf numFmtId="0" fontId="21" fillId="2" borderId="1" xfId="0" applyFont="1" applyFill="1" applyBorder="1"/>
    <xf numFmtId="0" fontId="29" fillId="2" borderId="0" xfId="0" applyFont="1" applyFill="1"/>
    <xf numFmtId="0" fontId="25" fillId="2" borderId="0" xfId="0" applyFont="1" applyFill="1"/>
    <xf numFmtId="0" fontId="19" fillId="2" borderId="0" xfId="0" applyFont="1" applyFill="1" applyAlignment="1">
      <alignment horizontal="center" vertical="center"/>
    </xf>
    <xf numFmtId="0" fontId="25" fillId="2" borderId="1" xfId="0" applyFont="1" applyFill="1" applyBorder="1"/>
    <xf numFmtId="167" fontId="30" fillId="2" borderId="1" xfId="3" applyNumberFormat="1" applyFont="1" applyFill="1" applyAlignment="1">
      <alignment horizontal="left" vertical="center"/>
    </xf>
    <xf numFmtId="167" fontId="31" fillId="2" borderId="1" xfId="5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37" fontId="12" fillId="2" borderId="1" xfId="0" applyNumberFormat="1" applyFont="1" applyFill="1" applyBorder="1"/>
    <xf numFmtId="167" fontId="18" fillId="2" borderId="1" xfId="3" applyNumberFormat="1" applyFont="1" applyFill="1" applyAlignment="1">
      <alignment horizontal="right" vertical="center" wrapText="1"/>
    </xf>
    <xf numFmtId="167" fontId="2" fillId="2" borderId="1" xfId="0" applyNumberFormat="1" applyFont="1" applyFill="1" applyBorder="1" applyAlignment="1">
      <alignment horizontal="center" vertical="center"/>
    </xf>
    <xf numFmtId="37" fontId="19" fillId="2" borderId="1" xfId="1" applyNumberFormat="1" applyFont="1" applyFill="1" applyBorder="1" applyAlignment="1">
      <alignment horizontal="right" vertical="center" indent="3"/>
    </xf>
    <xf numFmtId="37" fontId="26" fillId="2" borderId="1" xfId="1" applyNumberFormat="1" applyFont="1" applyFill="1" applyBorder="1" applyAlignment="1" applyProtection="1">
      <alignment horizontal="right" vertical="center"/>
    </xf>
    <xf numFmtId="37" fontId="25" fillId="2" borderId="1" xfId="1" applyNumberFormat="1" applyFont="1" applyFill="1" applyBorder="1" applyAlignment="1">
      <alignment horizontal="right" vertical="center"/>
    </xf>
    <xf numFmtId="37" fontId="25" fillId="2" borderId="1" xfId="1" applyNumberFormat="1" applyFont="1" applyFill="1" applyBorder="1" applyAlignment="1">
      <alignment horizontal="right" vertical="center" indent="3"/>
    </xf>
    <xf numFmtId="0" fontId="1" fillId="2" borderId="1" xfId="0" applyFont="1" applyFill="1" applyBorder="1"/>
    <xf numFmtId="37" fontId="17" fillId="2" borderId="4" xfId="1" applyNumberFormat="1" applyFont="1" applyFill="1" applyBorder="1" applyAlignment="1" applyProtection="1">
      <alignment horizontal="center" vertical="center"/>
    </xf>
    <xf numFmtId="37" fontId="19" fillId="2" borderId="14" xfId="1" applyNumberFormat="1" applyFont="1" applyFill="1" applyBorder="1" applyAlignment="1">
      <alignment horizontal="center" vertical="center"/>
    </xf>
    <xf numFmtId="3" fontId="7" fillId="2" borderId="1" xfId="2" applyNumberFormat="1" applyFont="1" applyFill="1" applyAlignment="1">
      <alignment horizontal="center" vertical="center"/>
    </xf>
    <xf numFmtId="167" fontId="14" fillId="2" borderId="1" xfId="3" applyNumberFormat="1" applyFont="1" applyFill="1" applyAlignment="1">
      <alignment horizontal="center" vertical="center" wrapText="1"/>
    </xf>
    <xf numFmtId="3" fontId="6" fillId="2" borderId="1" xfId="2" applyNumberFormat="1" applyFont="1" applyFill="1"/>
    <xf numFmtId="167" fontId="14" fillId="2" borderId="10" xfId="3" applyNumberFormat="1" applyFont="1" applyFill="1" applyBorder="1" applyAlignment="1">
      <alignment horizontal="right" vertical="center" wrapText="1" indent="1"/>
    </xf>
    <xf numFmtId="167" fontId="17" fillId="2" borderId="14" xfId="3" applyNumberFormat="1" applyFont="1" applyFill="1" applyBorder="1" applyAlignment="1">
      <alignment horizontal="right" vertical="center" wrapText="1" indent="1"/>
    </xf>
    <xf numFmtId="167" fontId="17" fillId="2" borderId="15" xfId="3" applyNumberFormat="1" applyFont="1" applyFill="1" applyBorder="1" applyAlignment="1">
      <alignment horizontal="right" vertical="center" wrapText="1"/>
    </xf>
    <xf numFmtId="167" fontId="17" fillId="2" borderId="16" xfId="3" applyNumberFormat="1" applyFont="1" applyFill="1" applyBorder="1" applyAlignment="1">
      <alignment horizontal="right" vertical="center" wrapText="1"/>
    </xf>
    <xf numFmtId="167" fontId="18" fillId="2" borderId="10" xfId="3" applyNumberFormat="1" applyFont="1" applyFill="1" applyBorder="1" applyAlignment="1">
      <alignment horizontal="right" vertical="center" wrapText="1" indent="1"/>
    </xf>
    <xf numFmtId="167" fontId="18" fillId="2" borderId="11" xfId="3" applyNumberFormat="1" applyFont="1" applyFill="1" applyBorder="1" applyAlignment="1">
      <alignment horizontal="right" vertical="center" wrapText="1"/>
    </xf>
    <xf numFmtId="167" fontId="18" fillId="2" borderId="12" xfId="3" applyNumberFormat="1" applyFont="1" applyFill="1" applyBorder="1" applyAlignment="1">
      <alignment horizontal="right" vertical="center" wrapText="1"/>
    </xf>
    <xf numFmtId="37" fontId="19" fillId="2" borderId="14" xfId="4" applyNumberFormat="1" applyFont="1" applyFill="1" applyBorder="1" applyAlignment="1">
      <alignment horizontal="center" vertical="center"/>
    </xf>
    <xf numFmtId="3" fontId="20" fillId="2" borderId="1" xfId="2" applyNumberFormat="1" applyFont="1" applyFill="1" applyAlignment="1">
      <alignment horizontal="right" vertical="center"/>
    </xf>
    <xf numFmtId="3" fontId="22" fillId="2" borderId="1" xfId="2" applyNumberFormat="1" applyFont="1" applyFill="1"/>
    <xf numFmtId="3" fontId="24" fillId="2" borderId="1" xfId="2" applyNumberFormat="1" applyFont="1" applyFill="1" applyAlignment="1">
      <alignment horizontal="left" vertical="center" indent="1"/>
    </xf>
    <xf numFmtId="3" fontId="27" fillId="2" borderId="1" xfId="2" applyNumberFormat="1" applyFont="1" applyFill="1" applyAlignment="1">
      <alignment horizontal="right" vertical="center" indent="1"/>
    </xf>
    <xf numFmtId="3" fontId="7" fillId="2" borderId="1" xfId="2" applyNumberFormat="1" applyFont="1" applyFill="1"/>
    <xf numFmtId="3" fontId="24" fillId="2" borderId="1" xfId="2" applyNumberFormat="1" applyFont="1" applyFill="1"/>
    <xf numFmtId="3" fontId="24" fillId="2" borderId="2" xfId="2" applyNumberFormat="1" applyFont="1" applyFill="1" applyBorder="1" applyAlignment="1">
      <alignment horizontal="left" vertical="center" indent="1"/>
    </xf>
    <xf numFmtId="3" fontId="27" fillId="2" borderId="2" xfId="2" applyNumberFormat="1" applyFont="1" applyFill="1" applyBorder="1" applyAlignment="1">
      <alignment horizontal="right" vertical="center" indent="1"/>
    </xf>
    <xf numFmtId="3" fontId="32" fillId="2" borderId="1" xfId="2" applyNumberFormat="1" applyFont="1" applyFill="1"/>
    <xf numFmtId="1" fontId="28" fillId="2" borderId="1" xfId="4" applyNumberFormat="1" applyFont="1" applyFill="1" applyBorder="1" applyAlignment="1" applyProtection="1">
      <alignment horizontal="right" vertical="center"/>
    </xf>
    <xf numFmtId="37" fontId="17" fillId="2" borderId="1" xfId="4" applyNumberFormat="1" applyFont="1" applyFill="1" applyBorder="1" applyAlignment="1" applyProtection="1">
      <alignment vertical="center"/>
    </xf>
    <xf numFmtId="37" fontId="26" fillId="2" borderId="1" xfId="4" applyNumberFormat="1" applyFont="1" applyFill="1" applyBorder="1" applyAlignment="1" applyProtection="1">
      <alignment vertical="center"/>
    </xf>
    <xf numFmtId="37" fontId="26" fillId="2" borderId="1" xfId="6" applyNumberFormat="1" applyFont="1" applyFill="1" applyBorder="1" applyAlignment="1">
      <alignment vertical="center"/>
    </xf>
    <xf numFmtId="167" fontId="17" fillId="2" borderId="1" xfId="3" applyNumberFormat="1" applyFont="1" applyFill="1" applyAlignment="1">
      <alignment horizontal="right" vertical="center" wrapText="1"/>
    </xf>
    <xf numFmtId="3" fontId="35" fillId="2" borderId="1" xfId="2" applyNumberFormat="1" applyFont="1" applyFill="1" applyAlignment="1">
      <alignment horizontal="right" vertical="center"/>
    </xf>
    <xf numFmtId="37" fontId="19" fillId="2" borderId="14" xfId="4" applyNumberFormat="1" applyFont="1" applyFill="1" applyBorder="1" applyAlignment="1">
      <alignment horizontal="right" vertical="center"/>
    </xf>
    <xf numFmtId="37" fontId="19" fillId="2" borderId="16" xfId="4" applyNumberFormat="1" applyFont="1" applyFill="1" applyBorder="1" applyAlignment="1">
      <alignment horizontal="right" vertical="center"/>
    </xf>
    <xf numFmtId="37" fontId="17" fillId="2" borderId="14" xfId="4" applyNumberFormat="1" applyFont="1" applyFill="1" applyBorder="1" applyAlignment="1">
      <alignment horizontal="right" vertical="center"/>
    </xf>
    <xf numFmtId="37" fontId="25" fillId="2" borderId="14" xfId="4" applyNumberFormat="1" applyFont="1" applyFill="1" applyBorder="1" applyAlignment="1">
      <alignment horizontal="right" vertical="center"/>
    </xf>
    <xf numFmtId="37" fontId="26" fillId="2" borderId="16" xfId="4" applyNumberFormat="1" applyFont="1" applyFill="1" applyBorder="1" applyAlignment="1" applyProtection="1">
      <alignment horizontal="right" vertical="center" indent="1"/>
    </xf>
    <xf numFmtId="37" fontId="25" fillId="2" borderId="14" xfId="4" applyNumberFormat="1" applyFont="1" applyFill="1" applyBorder="1" applyAlignment="1">
      <alignment horizontal="center" vertical="center"/>
    </xf>
    <xf numFmtId="37" fontId="26" fillId="2" borderId="16" xfId="4" applyNumberFormat="1" applyFont="1" applyFill="1" applyBorder="1" applyAlignment="1" applyProtection="1">
      <alignment vertical="center"/>
    </xf>
    <xf numFmtId="37" fontId="25" fillId="2" borderId="10" xfId="4" applyNumberFormat="1" applyFont="1" applyFill="1" applyBorder="1" applyAlignment="1">
      <alignment vertical="center"/>
    </xf>
    <xf numFmtId="37" fontId="26" fillId="2" borderId="10" xfId="4" applyNumberFormat="1" applyFont="1" applyFill="1" applyBorder="1" applyAlignment="1" applyProtection="1">
      <alignment horizontal="right" vertical="center" indent="1"/>
    </xf>
    <xf numFmtId="37" fontId="25" fillId="2" borderId="10" xfId="4" applyNumberFormat="1" applyFont="1" applyFill="1" applyBorder="1" applyAlignment="1">
      <alignment horizontal="center" vertical="center"/>
    </xf>
    <xf numFmtId="37" fontId="26" fillId="2" borderId="14" xfId="6" applyNumberFormat="1" applyFont="1" applyFill="1" applyBorder="1" applyAlignment="1">
      <alignment horizontal="right" vertical="center"/>
    </xf>
    <xf numFmtId="37" fontId="26" fillId="2" borderId="10" xfId="6" applyNumberFormat="1" applyFont="1" applyFill="1" applyBorder="1" applyAlignment="1">
      <alignment horizontal="right" vertical="center"/>
    </xf>
    <xf numFmtId="37" fontId="26" fillId="2" borderId="16" xfId="4" applyNumberFormat="1" applyFont="1" applyFill="1" applyBorder="1" applyAlignment="1" applyProtection="1">
      <alignment horizontal="center" vertical="center"/>
    </xf>
    <xf numFmtId="3" fontId="5" fillId="2" borderId="1" xfId="2" applyNumberFormat="1" applyFont="1" applyFill="1" applyAlignment="1">
      <alignment horizontal="center" vertical="center" readingOrder="2"/>
    </xf>
    <xf numFmtId="3" fontId="7" fillId="2" borderId="1" xfId="2" applyNumberFormat="1" applyFont="1" applyFill="1" applyAlignment="1">
      <alignment horizontal="center" vertical="center"/>
    </xf>
    <xf numFmtId="3" fontId="8" fillId="2" borderId="1" xfId="2" applyNumberFormat="1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33" fillId="2" borderId="1" xfId="2" applyNumberFormat="1" applyFont="1" applyFill="1" applyAlignment="1">
      <alignment horizontal="right" vertical="center" wrapText="1"/>
    </xf>
    <xf numFmtId="167" fontId="14" fillId="2" borderId="1" xfId="3" applyNumberFormat="1" applyFont="1" applyFill="1" applyAlignment="1">
      <alignment horizontal="center" vertical="center" wrapText="1"/>
    </xf>
    <xf numFmtId="167" fontId="34" fillId="2" borderId="1" xfId="3" applyNumberFormat="1" applyFont="1" applyFill="1" applyAlignment="1">
      <alignment horizontal="right" vertical="center" wrapText="1"/>
    </xf>
    <xf numFmtId="3" fontId="8" fillId="2" borderId="3" xfId="2" applyNumberFormat="1" applyFont="1" applyFill="1" applyBorder="1" applyAlignment="1">
      <alignment horizontal="left" vertical="center"/>
    </xf>
    <xf numFmtId="3" fontId="8" fillId="2" borderId="2" xfId="2" applyNumberFormat="1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 wrapText="1" indent="1"/>
    </xf>
    <xf numFmtId="0" fontId="9" fillId="2" borderId="7" xfId="0" applyFont="1" applyFill="1" applyBorder="1" applyAlignment="1">
      <alignment horizontal="right" vertical="center" wrapText="1" inden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3" fontId="11" fillId="2" borderId="3" xfId="2" applyNumberFormat="1" applyFont="1" applyFill="1" applyBorder="1" applyAlignment="1">
      <alignment horizontal="right" vertical="center" wrapText="1"/>
    </xf>
    <xf numFmtId="3" fontId="11" fillId="2" borderId="1" xfId="2" applyNumberFormat="1" applyFont="1" applyFill="1" applyAlignment="1">
      <alignment horizontal="right" vertical="center" wrapText="1"/>
    </xf>
    <xf numFmtId="3" fontId="11" fillId="2" borderId="2" xfId="2" applyNumberFormat="1" applyFont="1" applyFill="1" applyBorder="1" applyAlignment="1">
      <alignment horizontal="right" vertical="center" wrapText="1"/>
    </xf>
    <xf numFmtId="167" fontId="14" fillId="2" borderId="11" xfId="3" applyNumberFormat="1" applyFont="1" applyFill="1" applyBorder="1" applyAlignment="1">
      <alignment horizontal="center" vertical="center" wrapText="1"/>
    </xf>
    <xf numFmtId="167" fontId="14" fillId="2" borderId="12" xfId="3" applyNumberFormat="1" applyFont="1" applyFill="1" applyBorder="1" applyAlignment="1">
      <alignment horizontal="center" vertical="center" wrapText="1"/>
    </xf>
    <xf numFmtId="167" fontId="14" fillId="2" borderId="13" xfId="3" applyNumberFormat="1" applyFont="1" applyFill="1" applyBorder="1" applyAlignment="1">
      <alignment horizontal="right" vertical="center" wrapText="1"/>
    </xf>
    <xf numFmtId="167" fontId="14" fillId="2" borderId="14" xfId="3" applyNumberFormat="1" applyFont="1" applyFill="1" applyBorder="1" applyAlignment="1">
      <alignment horizontal="right" vertical="center" wrapText="1"/>
    </xf>
    <xf numFmtId="167" fontId="14" fillId="2" borderId="10" xfId="3" applyNumberFormat="1" applyFont="1" applyFill="1" applyBorder="1" applyAlignment="1">
      <alignment horizontal="right" vertical="center" wrapText="1"/>
    </xf>
    <xf numFmtId="167" fontId="14" fillId="2" borderId="14" xfId="3" applyNumberFormat="1" applyFont="1" applyFill="1" applyBorder="1" applyAlignment="1">
      <alignment horizontal="center" vertical="center" wrapText="1"/>
    </xf>
  </cellXfs>
  <cellStyles count="24">
    <cellStyle name="Comma" xfId="1" builtinId="3"/>
    <cellStyle name="Comma 2" xfId="22" xr:uid="{7F072996-EFB5-4BD5-80F0-4011ADE95ED7}"/>
    <cellStyle name="Comma 23" xfId="4" xr:uid="{3E5BAF3C-F617-4E2D-A85B-C690E04E58B3}"/>
    <cellStyle name="Comma 3" xfId="6" xr:uid="{6D4A6997-1191-41C6-BFD1-905BCFA15FB4}"/>
    <cellStyle name="Normal" xfId="0" builtinId="0"/>
    <cellStyle name="Normal 10" xfId="8" xr:uid="{06DA859A-5D9A-4216-AE3D-7F80C4883077}"/>
    <cellStyle name="Normal 2" xfId="3" xr:uid="{F2AF85D4-6C8D-4AD8-963A-A6E1AB9E7E54}"/>
    <cellStyle name="Normal 3" xfId="15" xr:uid="{D43E14DE-E126-4A32-87BE-BF04B90DA0D9}"/>
    <cellStyle name="Normal 3 2" xfId="23" xr:uid="{02AA93B4-549B-4A9B-99AC-3AE1DDD448B1}"/>
    <cellStyle name="Normal 30 2" xfId="7" xr:uid="{C71C314A-D15E-4E30-8A14-8D449AD00B59}"/>
    <cellStyle name="Normal 39" xfId="9" xr:uid="{4F4E8F7A-67E6-4096-8E34-05E38D8ED152}"/>
    <cellStyle name="Normal 4" xfId="16" xr:uid="{87674BD1-2A4B-4DEB-85E4-24C8F4E5A9E4}"/>
    <cellStyle name="Normal 40" xfId="10" xr:uid="{033E8D92-629F-4AC2-AC89-1CD1CA9F4E8C}"/>
    <cellStyle name="Normal 41" xfId="11" xr:uid="{5187C0CE-C1F8-4630-ADBD-B30A1ED7A0DC}"/>
    <cellStyle name="Normal 44" xfId="12" xr:uid="{E4C0E057-F35D-4158-B0F8-9AA77ED2402B}"/>
    <cellStyle name="Normal 5" xfId="17" xr:uid="{0D9ED178-59B5-4CAF-B8D4-8144B790E077}"/>
    <cellStyle name="Normal 58" xfId="14" xr:uid="{49593C51-6AD9-47F1-9876-4E87D3F435A6}"/>
    <cellStyle name="Normal 59" xfId="13" xr:uid="{35463A83-6A14-47E2-8F60-A12790F7E977}"/>
    <cellStyle name="Normal 6" xfId="18" xr:uid="{BE25628A-CB3C-4B02-A4E6-776C00D24871}"/>
    <cellStyle name="Normal 7" xfId="19" xr:uid="{5D3F39AD-5E5C-4B1B-B21D-F67CE4DA4FEF}"/>
    <cellStyle name="Normal 8" xfId="20" xr:uid="{8722E07A-6AD4-4BF6-BD40-785D7B94039E}"/>
    <cellStyle name="Normal 9" xfId="21" xr:uid="{36E17173-69D0-47EB-9185-CAE2A9A43288}"/>
    <cellStyle name="Normal_3 Population." xfId="5" xr:uid="{60B37FA7-ED51-43F8-8472-47540F99DBE1}"/>
    <cellStyle name="Normal_II-15(Population) 2" xfId="2" xr:uid="{95EBC99F-8B2B-487D-886D-8D6969A801CA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2022-2023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7733921868626715"/>
          <c:y val="7.1315295079720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'18.19'!$AA$14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61FFFF"/>
            </a:solidFill>
            <a:ln>
              <a:noFill/>
            </a:ln>
          </c:spPr>
          <c:invertIfNegative val="0"/>
          <c:cat>
            <c:strRef>
              <c:f>'18.19'!$Z$15:$Z$35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'18.19'!$AA$15:$AA$35</c:f>
              <c:numCache>
                <c:formatCode>General_)</c:formatCode>
                <c:ptCount val="21"/>
                <c:pt idx="0">
                  <c:v>66472</c:v>
                </c:pt>
                <c:pt idx="1">
                  <c:v>21924</c:v>
                </c:pt>
                <c:pt idx="2">
                  <c:v>26021</c:v>
                </c:pt>
                <c:pt idx="3">
                  <c:v>17490</c:v>
                </c:pt>
                <c:pt idx="4">
                  <c:v>15811</c:v>
                </c:pt>
                <c:pt idx="5">
                  <c:v>22876</c:v>
                </c:pt>
                <c:pt idx="6">
                  <c:v>14145</c:v>
                </c:pt>
                <c:pt idx="7">
                  <c:v>12609</c:v>
                </c:pt>
                <c:pt idx="8" formatCode="General">
                  <c:v>13563</c:v>
                </c:pt>
                <c:pt idx="9" formatCode="General">
                  <c:v>8198</c:v>
                </c:pt>
                <c:pt idx="10" formatCode="General">
                  <c:v>11338</c:v>
                </c:pt>
                <c:pt idx="11" formatCode="General">
                  <c:v>2411</c:v>
                </c:pt>
                <c:pt idx="12" formatCode="General">
                  <c:v>7110</c:v>
                </c:pt>
                <c:pt idx="13" formatCode="General">
                  <c:v>6276</c:v>
                </c:pt>
                <c:pt idx="14" formatCode="General">
                  <c:v>7729</c:v>
                </c:pt>
                <c:pt idx="15" formatCode="General">
                  <c:v>15697</c:v>
                </c:pt>
                <c:pt idx="16" formatCode="General">
                  <c:v>17720</c:v>
                </c:pt>
                <c:pt idx="17" formatCode="General">
                  <c:v>14229</c:v>
                </c:pt>
                <c:pt idx="18" formatCode="General">
                  <c:v>20346</c:v>
                </c:pt>
                <c:pt idx="19" formatCode="General">
                  <c:v>12036</c:v>
                </c:pt>
                <c:pt idx="20" formatCode="General">
                  <c:v>31305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4-4D70-B73C-FA1AA3A7D9A1}"/>
            </c:ext>
          </c:extLst>
        </c:ser>
        <c:ser>
          <c:idx val="3"/>
          <c:order val="1"/>
          <c:tx>
            <c:strRef>
              <c:f>'18.19'!$AB$14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cat>
            <c:strRef>
              <c:f>'18.19'!$Z$15:$Z$35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'18.19'!$AB$15:$AB$35</c:f>
              <c:numCache>
                <c:formatCode>General_)</c:formatCode>
                <c:ptCount val="21"/>
                <c:pt idx="0">
                  <c:v>69065</c:v>
                </c:pt>
                <c:pt idx="1">
                  <c:v>22808</c:v>
                </c:pt>
                <c:pt idx="2">
                  <c:v>27027</c:v>
                </c:pt>
                <c:pt idx="3">
                  <c:v>18092</c:v>
                </c:pt>
                <c:pt idx="4">
                  <c:v>16430</c:v>
                </c:pt>
                <c:pt idx="5">
                  <c:v>24170</c:v>
                </c:pt>
                <c:pt idx="6">
                  <c:v>14658</c:v>
                </c:pt>
                <c:pt idx="7">
                  <c:v>13017</c:v>
                </c:pt>
                <c:pt idx="8">
                  <c:v>14199</c:v>
                </c:pt>
                <c:pt idx="9">
                  <c:v>8588</c:v>
                </c:pt>
                <c:pt idx="10">
                  <c:v>11697</c:v>
                </c:pt>
                <c:pt idx="11">
                  <c:v>2451</c:v>
                </c:pt>
                <c:pt idx="12">
                  <c:v>7341</c:v>
                </c:pt>
                <c:pt idx="13">
                  <c:v>6534</c:v>
                </c:pt>
                <c:pt idx="14" formatCode="General">
                  <c:v>8114</c:v>
                </c:pt>
                <c:pt idx="15" formatCode="General">
                  <c:v>16149</c:v>
                </c:pt>
                <c:pt idx="16" formatCode="General">
                  <c:v>18532</c:v>
                </c:pt>
                <c:pt idx="17" formatCode="General">
                  <c:v>14662</c:v>
                </c:pt>
                <c:pt idx="18" formatCode="General">
                  <c:v>21127</c:v>
                </c:pt>
                <c:pt idx="19" formatCode="General">
                  <c:v>12403</c:v>
                </c:pt>
                <c:pt idx="20" formatCode="General">
                  <c:v>32113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4-4D70-B73C-FA1AA3A7D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1219856"/>
        <c:axId val="401221032"/>
      </c:barChart>
      <c:catAx>
        <c:axId val="40121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01221032"/>
        <c:crosses val="autoZero"/>
        <c:auto val="1"/>
        <c:lblAlgn val="ctr"/>
        <c:lblOffset val="100"/>
        <c:noMultiLvlLbl val="0"/>
      </c:catAx>
      <c:valAx>
        <c:axId val="401221032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9FFFFF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4012198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8119053422356088"/>
          <c:y val="0.32069193978305049"/>
          <c:w val="0.13110391984470349"/>
          <c:h val="6.756065003954300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942780</xdr:colOff>
      <xdr:row>33</xdr:row>
      <xdr:rowOff>27991</xdr:rowOff>
    </xdr:from>
    <xdr:to>
      <xdr:col>9</xdr:col>
      <xdr:colOff>442710</xdr:colOff>
      <xdr:row>49</xdr:row>
      <xdr:rowOff>113717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4253F-419D-4B48-965F-D0525C070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FA1B-7591-42DC-A506-BAD221AB9E8E}">
  <sheetPr>
    <tabColor rgb="FF92D050"/>
  </sheetPr>
  <dimension ref="A1:IU62"/>
  <sheetViews>
    <sheetView tabSelected="1" zoomScaleNormal="100" workbookViewId="0">
      <selection activeCell="AC5" sqref="AC5"/>
    </sheetView>
  </sheetViews>
  <sheetFormatPr defaultColWidth="9.140625" defaultRowHeight="15" x14ac:dyDescent="0.25"/>
  <cols>
    <col min="1" max="1" width="26.28515625" style="1" customWidth="1"/>
    <col min="2" max="2" width="14.42578125" style="1" customWidth="1"/>
    <col min="3" max="4" width="14.140625" style="1" customWidth="1"/>
    <col min="5" max="5" width="13.42578125" style="1" customWidth="1"/>
    <col min="6" max="6" width="12.7109375" style="1" customWidth="1"/>
    <col min="7" max="7" width="13" style="1" customWidth="1"/>
    <col min="8" max="8" width="19.28515625" style="38" customWidth="1"/>
    <col min="9" max="9" width="18.140625" style="38" customWidth="1"/>
    <col min="10" max="10" width="25.28515625" style="1" customWidth="1"/>
    <col min="11" max="11" width="2.7109375" style="1" customWidth="1"/>
    <col min="12" max="12" width="32.85546875" style="1" customWidth="1"/>
    <col min="13" max="13" width="35.28515625" style="1" customWidth="1"/>
    <col min="14" max="18" width="9.140625" style="1"/>
    <col min="19" max="23" width="9.140625" style="27"/>
    <col min="24" max="24" width="12.5703125" style="27" customWidth="1"/>
    <col min="25" max="29" width="9.140625" style="27"/>
    <col min="30" max="16384" width="9.140625" style="1"/>
  </cols>
  <sheetData>
    <row r="1" spans="1:29" s="53" customFormat="1" ht="21" x14ac:dyDescent="0.2">
      <c r="A1" s="90" t="s">
        <v>92</v>
      </c>
      <c r="B1" s="90"/>
      <c r="C1" s="90"/>
      <c r="D1" s="90"/>
      <c r="E1" s="90"/>
      <c r="F1" s="90"/>
      <c r="G1" s="90"/>
      <c r="H1" s="90"/>
      <c r="I1" s="90"/>
      <c r="J1" s="90"/>
    </row>
    <row r="2" spans="1:29" s="53" customFormat="1" x14ac:dyDescent="0.2">
      <c r="A2" s="91" t="s">
        <v>91</v>
      </c>
      <c r="B2" s="91"/>
      <c r="C2" s="91"/>
      <c r="D2" s="91"/>
      <c r="E2" s="91"/>
      <c r="F2" s="91"/>
      <c r="G2" s="91"/>
      <c r="H2" s="91"/>
      <c r="I2" s="91"/>
      <c r="J2" s="91"/>
    </row>
    <row r="3" spans="1:29" s="53" customFormat="1" x14ac:dyDescent="0.2">
      <c r="A3" s="51"/>
      <c r="B3" s="51"/>
      <c r="C3" s="51"/>
      <c r="D3" s="51"/>
      <c r="E3" s="51"/>
      <c r="F3" s="51"/>
      <c r="G3" s="51"/>
      <c r="H3" s="51"/>
      <c r="I3" s="51"/>
      <c r="J3" s="51"/>
    </row>
    <row r="4" spans="1:29" s="2" customFormat="1" ht="25.5" customHeight="1" x14ac:dyDescent="0.45">
      <c r="A4" s="100" t="s">
        <v>0</v>
      </c>
      <c r="B4" s="102" t="s">
        <v>1</v>
      </c>
      <c r="C4" s="104" t="s">
        <v>2</v>
      </c>
      <c r="D4" s="105"/>
      <c r="E4" s="108" t="s">
        <v>3</v>
      </c>
      <c r="F4" s="109"/>
      <c r="G4" s="112" t="s">
        <v>4</v>
      </c>
      <c r="H4" s="114" t="s">
        <v>5</v>
      </c>
      <c r="I4" s="114" t="s">
        <v>6</v>
      </c>
      <c r="J4" s="116" t="s">
        <v>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s="2" customFormat="1" ht="31.5" customHeight="1" x14ac:dyDescent="0.45">
      <c r="A5" s="92"/>
      <c r="B5" s="103"/>
      <c r="C5" s="106"/>
      <c r="D5" s="107"/>
      <c r="E5" s="110"/>
      <c r="F5" s="111"/>
      <c r="G5" s="113"/>
      <c r="H5" s="115"/>
      <c r="I5" s="115"/>
      <c r="J5" s="11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s="4" customFormat="1" ht="36" x14ac:dyDescent="0.25">
      <c r="A6" s="92"/>
      <c r="B6" s="54" t="s">
        <v>8</v>
      </c>
      <c r="C6" s="119" t="s">
        <v>9</v>
      </c>
      <c r="D6" s="120"/>
      <c r="E6" s="119" t="s">
        <v>10</v>
      </c>
      <c r="F6" s="120"/>
      <c r="G6" s="121" t="s">
        <v>11</v>
      </c>
      <c r="H6" s="124" t="s">
        <v>12</v>
      </c>
      <c r="I6" s="124" t="s">
        <v>13</v>
      </c>
      <c r="J6" s="117"/>
      <c r="L6" s="5"/>
      <c r="M6" s="1"/>
      <c r="N6" s="98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s="7" customFormat="1" ht="18" x14ac:dyDescent="0.25">
      <c r="A7" s="92"/>
      <c r="B7" s="55" t="s">
        <v>14</v>
      </c>
      <c r="C7" s="56" t="s">
        <v>15</v>
      </c>
      <c r="D7" s="57" t="s">
        <v>16</v>
      </c>
      <c r="E7" s="56" t="s">
        <v>15</v>
      </c>
      <c r="F7" s="57" t="s">
        <v>17</v>
      </c>
      <c r="G7" s="122"/>
      <c r="H7" s="124"/>
      <c r="I7" s="124"/>
      <c r="J7" s="117"/>
      <c r="L7" s="5"/>
      <c r="M7" s="1"/>
      <c r="N7" s="98"/>
    </row>
    <row r="8" spans="1:29" s="9" customFormat="1" ht="18.75" x14ac:dyDescent="0.25">
      <c r="A8" s="101"/>
      <c r="B8" s="58" t="s">
        <v>18</v>
      </c>
      <c r="C8" s="59" t="s">
        <v>19</v>
      </c>
      <c r="D8" s="60" t="s">
        <v>20</v>
      </c>
      <c r="E8" s="59" t="s">
        <v>21</v>
      </c>
      <c r="F8" s="60" t="s">
        <v>20</v>
      </c>
      <c r="G8" s="123"/>
      <c r="H8" s="8"/>
      <c r="I8" s="8"/>
      <c r="J8" s="118"/>
      <c r="L8" s="5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9" customFormat="1" ht="18.75" x14ac:dyDescent="0.25">
      <c r="A9" s="11" t="s">
        <v>22</v>
      </c>
      <c r="B9" s="12">
        <f>SUM(B10:B11)</f>
        <v>379177</v>
      </c>
      <c r="C9" s="13">
        <f>SUM(C10:C11)</f>
        <v>3245</v>
      </c>
      <c r="D9" s="14">
        <f t="shared" ref="D9:I9" si="0">SUM(D10:D11)</f>
        <v>5563</v>
      </c>
      <c r="E9" s="15">
        <f t="shared" si="0"/>
        <v>121</v>
      </c>
      <c r="F9" s="16">
        <f t="shared" si="0"/>
        <v>159</v>
      </c>
      <c r="G9" s="17">
        <f t="shared" si="0"/>
        <v>29899</v>
      </c>
      <c r="H9" s="61">
        <f>SUM(H10:H11)</f>
        <v>12374</v>
      </c>
      <c r="I9" s="49">
        <f t="shared" si="0"/>
        <v>664</v>
      </c>
      <c r="J9" s="62" t="s">
        <v>23</v>
      </c>
      <c r="L9" s="1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s="21" customFormat="1" ht="18.75" x14ac:dyDescent="0.25">
      <c r="A10" s="63" t="s">
        <v>24</v>
      </c>
      <c r="B10" s="77">
        <v>69065</v>
      </c>
      <c r="C10" s="61">
        <v>909</v>
      </c>
      <c r="D10" s="61">
        <v>1432</v>
      </c>
      <c r="E10" s="77">
        <v>16</v>
      </c>
      <c r="F10" s="78">
        <v>18</v>
      </c>
      <c r="G10" s="79">
        <v>7321</v>
      </c>
      <c r="H10" s="61">
        <v>4310</v>
      </c>
      <c r="I10" s="61">
        <v>261</v>
      </c>
      <c r="J10" s="62" t="s">
        <v>25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s="19" customFormat="1" ht="18.75" x14ac:dyDescent="0.25">
      <c r="A11" s="11" t="s">
        <v>26</v>
      </c>
      <c r="B11" s="23">
        <f>SUM(B12:B31)</f>
        <v>310112</v>
      </c>
      <c r="C11" s="13">
        <f t="shared" ref="C11:I11" si="1">SUM(C12:C31)</f>
        <v>2336</v>
      </c>
      <c r="D11" s="18">
        <f t="shared" si="1"/>
        <v>4131</v>
      </c>
      <c r="E11" s="23">
        <f t="shared" si="1"/>
        <v>105</v>
      </c>
      <c r="F11" s="24">
        <f t="shared" si="1"/>
        <v>141</v>
      </c>
      <c r="G11" s="25">
        <f t="shared" si="1"/>
        <v>22578</v>
      </c>
      <c r="H11" s="61">
        <f t="shared" si="1"/>
        <v>8064</v>
      </c>
      <c r="I11" s="50">
        <f t="shared" si="1"/>
        <v>403</v>
      </c>
      <c r="J11" s="62" t="s">
        <v>27</v>
      </c>
      <c r="M11" s="26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s="19" customFormat="1" ht="15.75" x14ac:dyDescent="0.25">
      <c r="A12" s="64" t="s">
        <v>28</v>
      </c>
      <c r="B12" s="87">
        <v>22808</v>
      </c>
      <c r="C12" s="89">
        <v>119</v>
      </c>
      <c r="D12" s="89">
        <v>192</v>
      </c>
      <c r="E12" s="80">
        <v>5</v>
      </c>
      <c r="F12" s="80">
        <v>6</v>
      </c>
      <c r="G12" s="81">
        <v>2419</v>
      </c>
      <c r="H12" s="89">
        <v>578</v>
      </c>
      <c r="I12" s="82">
        <v>39</v>
      </c>
      <c r="J12" s="65" t="s">
        <v>29</v>
      </c>
      <c r="M12" s="26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s="19" customFormat="1" ht="15.75" x14ac:dyDescent="0.25">
      <c r="A13" s="64" t="s">
        <v>30</v>
      </c>
      <c r="B13" s="87">
        <v>27027</v>
      </c>
      <c r="C13" s="89">
        <v>242</v>
      </c>
      <c r="D13" s="89">
        <v>443</v>
      </c>
      <c r="E13" s="80">
        <v>6</v>
      </c>
      <c r="F13" s="80">
        <v>10</v>
      </c>
      <c r="G13" s="81">
        <v>1256</v>
      </c>
      <c r="H13" s="89">
        <v>853</v>
      </c>
      <c r="I13" s="82">
        <v>58</v>
      </c>
      <c r="J13" s="65" t="s">
        <v>31</v>
      </c>
      <c r="M13" s="26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s="19" customFormat="1" ht="15.75" x14ac:dyDescent="0.25">
      <c r="A14" s="64" t="s">
        <v>32</v>
      </c>
      <c r="B14" s="87">
        <v>18092</v>
      </c>
      <c r="C14" s="89">
        <v>115</v>
      </c>
      <c r="D14" s="89">
        <v>204</v>
      </c>
      <c r="E14" s="80">
        <v>4</v>
      </c>
      <c r="F14" s="80">
        <v>5</v>
      </c>
      <c r="G14" s="81">
        <v>1084</v>
      </c>
      <c r="H14" s="89">
        <v>515</v>
      </c>
      <c r="I14" s="82">
        <v>9</v>
      </c>
      <c r="J14" s="65" t="s">
        <v>33</v>
      </c>
      <c r="M14" s="26"/>
      <c r="S14" s="20"/>
      <c r="T14" s="20"/>
      <c r="U14" s="20"/>
      <c r="V14" s="20"/>
      <c r="W14" s="20"/>
      <c r="X14" s="20"/>
      <c r="Y14" s="20"/>
      <c r="Z14" s="7"/>
      <c r="AA14" s="7">
        <v>2022</v>
      </c>
      <c r="AB14" s="7">
        <v>2023</v>
      </c>
      <c r="AC14" s="20"/>
    </row>
    <row r="15" spans="1:29" s="19" customFormat="1" ht="15.75" x14ac:dyDescent="0.25">
      <c r="A15" s="64" t="s">
        <v>34</v>
      </c>
      <c r="B15" s="87">
        <v>16430</v>
      </c>
      <c r="C15" s="89">
        <v>141</v>
      </c>
      <c r="D15" s="89">
        <v>242</v>
      </c>
      <c r="E15" s="80">
        <v>5</v>
      </c>
      <c r="F15" s="80">
        <v>6</v>
      </c>
      <c r="G15" s="81">
        <v>928</v>
      </c>
      <c r="H15" s="89">
        <v>313</v>
      </c>
      <c r="I15" s="82">
        <v>5</v>
      </c>
      <c r="J15" s="65" t="s">
        <v>35</v>
      </c>
      <c r="M15" s="26"/>
      <c r="S15" s="20"/>
      <c r="T15" s="20"/>
      <c r="U15" s="20"/>
      <c r="V15" s="20"/>
      <c r="W15" s="20"/>
      <c r="X15" s="20"/>
      <c r="Y15" s="20"/>
      <c r="Z15" s="66" t="s">
        <v>24</v>
      </c>
      <c r="AA15" s="9">
        <v>66472</v>
      </c>
      <c r="AB15" s="20">
        <f>B10</f>
        <v>69065</v>
      </c>
      <c r="AC15" s="20"/>
    </row>
    <row r="16" spans="1:29" s="19" customFormat="1" ht="15.75" x14ac:dyDescent="0.25">
      <c r="A16" s="64" t="s">
        <v>36</v>
      </c>
      <c r="B16" s="87">
        <v>24170</v>
      </c>
      <c r="C16" s="89">
        <v>177</v>
      </c>
      <c r="D16" s="89">
        <v>310</v>
      </c>
      <c r="E16" s="80">
        <v>4</v>
      </c>
      <c r="F16" s="80">
        <v>6</v>
      </c>
      <c r="G16" s="81">
        <v>1519</v>
      </c>
      <c r="H16" s="89">
        <v>512</v>
      </c>
      <c r="I16" s="82">
        <v>10</v>
      </c>
      <c r="J16" s="65" t="s">
        <v>37</v>
      </c>
      <c r="M16" s="26"/>
      <c r="S16" s="20"/>
      <c r="T16" s="20"/>
      <c r="U16" s="20"/>
      <c r="V16" s="20"/>
      <c r="W16" s="20"/>
      <c r="X16" s="20"/>
      <c r="Y16" s="20"/>
      <c r="Z16" s="67" t="s">
        <v>72</v>
      </c>
      <c r="AA16" s="19">
        <v>21924</v>
      </c>
      <c r="AB16" s="20">
        <v>22808</v>
      </c>
      <c r="AC16" s="20"/>
    </row>
    <row r="17" spans="1:255" s="19" customFormat="1" ht="15.75" x14ac:dyDescent="0.25">
      <c r="A17" s="64" t="s">
        <v>38</v>
      </c>
      <c r="B17" s="87">
        <v>14658</v>
      </c>
      <c r="C17" s="89">
        <v>71</v>
      </c>
      <c r="D17" s="89">
        <v>122</v>
      </c>
      <c r="E17" s="80">
        <v>1</v>
      </c>
      <c r="F17" s="80">
        <v>1</v>
      </c>
      <c r="G17" s="81">
        <v>1102</v>
      </c>
      <c r="H17" s="89">
        <v>284</v>
      </c>
      <c r="I17" s="82">
        <v>14</v>
      </c>
      <c r="J17" s="65" t="s">
        <v>39</v>
      </c>
      <c r="M17" s="26"/>
      <c r="S17" s="20"/>
      <c r="T17" s="20"/>
      <c r="U17" s="20"/>
      <c r="V17" s="20"/>
      <c r="W17" s="20"/>
      <c r="X17" s="20"/>
      <c r="Y17" s="20"/>
      <c r="Z17" s="67" t="s">
        <v>73</v>
      </c>
      <c r="AA17" s="21">
        <v>26021</v>
      </c>
      <c r="AB17" s="20">
        <v>27027</v>
      </c>
      <c r="AC17" s="20"/>
    </row>
    <row r="18" spans="1:255" s="19" customFormat="1" ht="18.75" customHeight="1" x14ac:dyDescent="0.25">
      <c r="A18" s="64" t="s">
        <v>40</v>
      </c>
      <c r="B18" s="87">
        <v>13017</v>
      </c>
      <c r="C18" s="89">
        <v>115</v>
      </c>
      <c r="D18" s="89">
        <v>185</v>
      </c>
      <c r="E18" s="80">
        <v>10</v>
      </c>
      <c r="F18" s="80">
        <v>10</v>
      </c>
      <c r="G18" s="81">
        <v>1063</v>
      </c>
      <c r="H18" s="89">
        <v>371</v>
      </c>
      <c r="I18" s="82">
        <v>16</v>
      </c>
      <c r="J18" s="65" t="s">
        <v>41</v>
      </c>
      <c r="S18" s="20"/>
      <c r="T18" s="20"/>
      <c r="U18" s="20"/>
      <c r="V18" s="20"/>
      <c r="W18" s="20"/>
      <c r="X18" s="20"/>
      <c r="Y18" s="20"/>
      <c r="Z18" s="67" t="s">
        <v>74</v>
      </c>
      <c r="AA18" s="19">
        <v>17490</v>
      </c>
      <c r="AB18" s="20">
        <v>18092</v>
      </c>
      <c r="AC18" s="20"/>
    </row>
    <row r="19" spans="1:255" s="19" customFormat="1" ht="18.75" customHeight="1" x14ac:dyDescent="0.25">
      <c r="A19" s="64" t="s">
        <v>42</v>
      </c>
      <c r="B19" s="87">
        <v>14199</v>
      </c>
      <c r="C19" s="89">
        <v>113</v>
      </c>
      <c r="D19" s="89">
        <v>208</v>
      </c>
      <c r="E19" s="80">
        <v>2</v>
      </c>
      <c r="F19" s="80">
        <v>2</v>
      </c>
      <c r="G19" s="81">
        <v>1276</v>
      </c>
      <c r="H19" s="89">
        <v>364</v>
      </c>
      <c r="I19" s="82">
        <v>0</v>
      </c>
      <c r="J19" s="65" t="s">
        <v>43</v>
      </c>
      <c r="S19" s="20"/>
      <c r="T19" s="20"/>
      <c r="U19" s="20"/>
      <c r="V19" s="20"/>
      <c r="W19" s="20"/>
      <c r="X19" s="20"/>
      <c r="Y19" s="20"/>
      <c r="Z19" s="67" t="s">
        <v>75</v>
      </c>
      <c r="AA19" s="19">
        <v>15811</v>
      </c>
      <c r="AB19" s="20">
        <v>16430</v>
      </c>
      <c r="AC19" s="20"/>
    </row>
    <row r="20" spans="1:255" s="19" customFormat="1" ht="18.75" customHeight="1" x14ac:dyDescent="0.25">
      <c r="A20" s="64" t="s">
        <v>44</v>
      </c>
      <c r="B20" s="87">
        <v>8588</v>
      </c>
      <c r="C20" s="89">
        <v>59</v>
      </c>
      <c r="D20" s="89">
        <v>107</v>
      </c>
      <c r="E20" s="80">
        <v>0</v>
      </c>
      <c r="F20" s="80">
        <v>0</v>
      </c>
      <c r="G20" s="81">
        <v>982</v>
      </c>
      <c r="H20" s="89">
        <v>220</v>
      </c>
      <c r="I20" s="82">
        <v>26</v>
      </c>
      <c r="J20" s="65" t="s">
        <v>45</v>
      </c>
      <c r="S20" s="20"/>
      <c r="T20" s="20"/>
      <c r="U20" s="20"/>
      <c r="V20" s="20"/>
      <c r="W20" s="20"/>
      <c r="X20" s="20"/>
      <c r="Y20" s="27"/>
      <c r="Z20" s="67" t="s">
        <v>76</v>
      </c>
      <c r="AA20" s="19">
        <v>22876</v>
      </c>
      <c r="AB20" s="20">
        <v>24170</v>
      </c>
      <c r="AC20" s="20"/>
    </row>
    <row r="21" spans="1:255" s="19" customFormat="1" ht="15.75" x14ac:dyDescent="0.25">
      <c r="A21" s="64" t="s">
        <v>46</v>
      </c>
      <c r="B21" s="87">
        <v>11697</v>
      </c>
      <c r="C21" s="89">
        <v>56</v>
      </c>
      <c r="D21" s="89">
        <v>114</v>
      </c>
      <c r="E21" s="80">
        <v>2</v>
      </c>
      <c r="F21" s="80">
        <v>2</v>
      </c>
      <c r="G21" s="81">
        <v>1310</v>
      </c>
      <c r="H21" s="89">
        <v>314</v>
      </c>
      <c r="I21" s="82">
        <v>0</v>
      </c>
      <c r="J21" s="65" t="s">
        <v>47</v>
      </c>
      <c r="S21" s="20"/>
      <c r="T21" s="20"/>
      <c r="U21" s="20"/>
      <c r="V21" s="20"/>
      <c r="W21" s="20"/>
      <c r="X21" s="20"/>
      <c r="Y21" s="27"/>
      <c r="Z21" s="67" t="s">
        <v>77</v>
      </c>
      <c r="AA21" s="19">
        <v>14145</v>
      </c>
      <c r="AB21" s="20">
        <v>14658</v>
      </c>
      <c r="AC21" s="20"/>
    </row>
    <row r="22" spans="1:255" s="19" customFormat="1" ht="18.75" customHeight="1" x14ac:dyDescent="0.25">
      <c r="A22" s="64" t="s">
        <v>48</v>
      </c>
      <c r="B22" s="87">
        <v>2451</v>
      </c>
      <c r="C22" s="89">
        <v>11</v>
      </c>
      <c r="D22" s="89">
        <v>22</v>
      </c>
      <c r="E22" s="80">
        <v>1</v>
      </c>
      <c r="F22" s="80">
        <v>2</v>
      </c>
      <c r="G22" s="81">
        <v>307</v>
      </c>
      <c r="H22" s="89">
        <v>37</v>
      </c>
      <c r="I22" s="82">
        <v>0</v>
      </c>
      <c r="J22" s="65" t="s">
        <v>49</v>
      </c>
      <c r="S22" s="20"/>
      <c r="T22" s="20"/>
      <c r="U22" s="20"/>
      <c r="V22" s="20"/>
      <c r="W22" s="20"/>
      <c r="X22" s="20"/>
      <c r="Y22" s="66"/>
      <c r="Z22" s="67" t="s">
        <v>78</v>
      </c>
      <c r="AA22" s="19">
        <v>12609</v>
      </c>
      <c r="AB22" s="20">
        <v>13017</v>
      </c>
      <c r="AC22" s="20"/>
    </row>
    <row r="23" spans="1:255" s="19" customFormat="1" ht="13.15" customHeight="1" x14ac:dyDescent="0.25">
      <c r="A23" s="64" t="s">
        <v>50</v>
      </c>
      <c r="B23" s="87">
        <v>7341</v>
      </c>
      <c r="C23" s="89">
        <v>47</v>
      </c>
      <c r="D23" s="89">
        <v>71</v>
      </c>
      <c r="E23" s="80">
        <v>3</v>
      </c>
      <c r="F23" s="80">
        <v>3</v>
      </c>
      <c r="G23" s="81">
        <v>390</v>
      </c>
      <c r="H23" s="89">
        <v>135</v>
      </c>
      <c r="I23" s="82">
        <v>5</v>
      </c>
      <c r="J23" s="65" t="s">
        <v>51</v>
      </c>
      <c r="S23" s="20"/>
      <c r="T23" s="20"/>
      <c r="U23" s="20"/>
      <c r="V23" s="20"/>
      <c r="W23" s="20"/>
      <c r="X23" s="20"/>
      <c r="Y23" s="67"/>
      <c r="Z23" s="19" t="s">
        <v>79</v>
      </c>
      <c r="AA23" s="1">
        <v>13563</v>
      </c>
      <c r="AB23" s="20">
        <v>14199</v>
      </c>
      <c r="AC23" s="20"/>
    </row>
    <row r="24" spans="1:255" s="19" customFormat="1" ht="18.75" customHeight="1" x14ac:dyDescent="0.25">
      <c r="A24" s="64" t="s">
        <v>52</v>
      </c>
      <c r="B24" s="87">
        <v>6534</v>
      </c>
      <c r="C24" s="89">
        <v>27</v>
      </c>
      <c r="D24" s="89">
        <v>42</v>
      </c>
      <c r="E24" s="80">
        <v>3</v>
      </c>
      <c r="F24" s="80">
        <v>5</v>
      </c>
      <c r="G24" s="81">
        <v>515</v>
      </c>
      <c r="H24" s="89">
        <v>162</v>
      </c>
      <c r="I24" s="82">
        <v>7</v>
      </c>
      <c r="J24" s="65" t="s">
        <v>53</v>
      </c>
      <c r="S24" s="20"/>
      <c r="T24" s="20"/>
      <c r="U24" s="20"/>
      <c r="V24" s="20"/>
      <c r="W24" s="20"/>
      <c r="X24" s="20"/>
      <c r="Y24" s="67"/>
      <c r="Z24" s="19" t="s">
        <v>80</v>
      </c>
      <c r="AA24" s="1">
        <v>8198</v>
      </c>
      <c r="AB24" s="20">
        <v>8588</v>
      </c>
      <c r="AC24" s="20"/>
    </row>
    <row r="25" spans="1:255" s="19" customFormat="1" ht="18.75" customHeight="1" x14ac:dyDescent="0.25">
      <c r="A25" s="64" t="s">
        <v>54</v>
      </c>
      <c r="B25" s="87">
        <v>8114</v>
      </c>
      <c r="C25" s="89">
        <v>39</v>
      </c>
      <c r="D25" s="89">
        <v>71</v>
      </c>
      <c r="E25" s="80">
        <v>0</v>
      </c>
      <c r="F25" s="80">
        <v>0</v>
      </c>
      <c r="G25" s="81">
        <v>498</v>
      </c>
      <c r="H25" s="89">
        <v>158</v>
      </c>
      <c r="I25" s="82">
        <v>7</v>
      </c>
      <c r="J25" s="65" t="s">
        <v>55</v>
      </c>
      <c r="S25" s="20"/>
      <c r="T25" s="20"/>
      <c r="U25" s="20"/>
      <c r="V25" s="20"/>
      <c r="W25" s="20"/>
      <c r="X25" s="20"/>
      <c r="Y25" s="67"/>
      <c r="Z25" s="19" t="s">
        <v>93</v>
      </c>
      <c r="AA25" s="1">
        <v>11338</v>
      </c>
      <c r="AB25" s="20">
        <v>11697</v>
      </c>
      <c r="AC25" s="20"/>
    </row>
    <row r="26" spans="1:255" s="19" customFormat="1" ht="18.75" customHeight="1" x14ac:dyDescent="0.25">
      <c r="A26" s="64" t="s">
        <v>56</v>
      </c>
      <c r="B26" s="87">
        <v>16149</v>
      </c>
      <c r="C26" s="89">
        <v>122</v>
      </c>
      <c r="D26" s="89">
        <v>226</v>
      </c>
      <c r="E26" s="80">
        <v>4</v>
      </c>
      <c r="F26" s="80">
        <v>6</v>
      </c>
      <c r="G26" s="81">
        <v>1150</v>
      </c>
      <c r="H26" s="89">
        <v>334</v>
      </c>
      <c r="I26" s="82">
        <v>17</v>
      </c>
      <c r="J26" s="65" t="s">
        <v>57</v>
      </c>
      <c r="S26" s="20"/>
      <c r="T26" s="20"/>
      <c r="U26" s="20"/>
      <c r="V26" s="20"/>
      <c r="W26" s="20"/>
      <c r="X26" s="20"/>
      <c r="Y26" s="67"/>
      <c r="Z26" s="19" t="s">
        <v>81</v>
      </c>
      <c r="AA26" s="1">
        <v>2411</v>
      </c>
      <c r="AB26" s="20">
        <v>2451</v>
      </c>
      <c r="AC26" s="20"/>
    </row>
    <row r="27" spans="1:255" s="20" customFormat="1" ht="18.75" customHeight="1" x14ac:dyDescent="0.25">
      <c r="A27" s="64" t="s">
        <v>58</v>
      </c>
      <c r="B27" s="87">
        <v>18532</v>
      </c>
      <c r="C27" s="89">
        <v>195</v>
      </c>
      <c r="D27" s="89">
        <v>331</v>
      </c>
      <c r="E27" s="83">
        <v>9</v>
      </c>
      <c r="F27" s="80">
        <v>13</v>
      </c>
      <c r="G27" s="81">
        <v>1464</v>
      </c>
      <c r="H27" s="89">
        <v>453</v>
      </c>
      <c r="I27" s="89">
        <v>8</v>
      </c>
      <c r="J27" s="65" t="s">
        <v>59</v>
      </c>
      <c r="Y27" s="67"/>
      <c r="Z27" s="20" t="s">
        <v>82</v>
      </c>
      <c r="AA27" s="1">
        <v>7110</v>
      </c>
      <c r="AB27" s="20">
        <v>7341</v>
      </c>
    </row>
    <row r="28" spans="1:255" s="30" customFormat="1" ht="18.75" customHeight="1" x14ac:dyDescent="0.25">
      <c r="A28" s="64" t="s">
        <v>60</v>
      </c>
      <c r="B28" s="87">
        <v>14662</v>
      </c>
      <c r="C28" s="89">
        <v>103</v>
      </c>
      <c r="D28" s="89">
        <v>218</v>
      </c>
      <c r="E28" s="83">
        <v>8</v>
      </c>
      <c r="F28" s="80">
        <v>10</v>
      </c>
      <c r="G28" s="81">
        <v>1223</v>
      </c>
      <c r="H28" s="89">
        <v>462</v>
      </c>
      <c r="I28" s="89">
        <v>113</v>
      </c>
      <c r="J28" s="65" t="s">
        <v>61</v>
      </c>
      <c r="L28" s="19"/>
      <c r="M28" s="19"/>
      <c r="N28" s="19"/>
      <c r="O28" s="19"/>
      <c r="P28" s="19"/>
      <c r="Q28" s="19"/>
      <c r="R28" s="19"/>
      <c r="S28" s="20"/>
      <c r="T28" s="20"/>
      <c r="U28" s="20"/>
      <c r="V28" s="20"/>
      <c r="W28" s="20"/>
      <c r="X28" s="20"/>
      <c r="Y28" s="67"/>
      <c r="Z28" s="30" t="s">
        <v>83</v>
      </c>
      <c r="AA28" s="1">
        <v>6276</v>
      </c>
      <c r="AB28" s="20">
        <v>6534</v>
      </c>
      <c r="AC28" s="20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</row>
    <row r="29" spans="1:255" s="31" customFormat="1" ht="18.75" customHeight="1" x14ac:dyDescent="0.25">
      <c r="A29" s="64" t="s">
        <v>62</v>
      </c>
      <c r="B29" s="87">
        <v>21127</v>
      </c>
      <c r="C29" s="89">
        <v>191</v>
      </c>
      <c r="D29" s="89">
        <v>333</v>
      </c>
      <c r="E29" s="83">
        <v>15</v>
      </c>
      <c r="F29" s="80">
        <v>25</v>
      </c>
      <c r="G29" s="81">
        <v>1376</v>
      </c>
      <c r="H29" s="89">
        <v>581</v>
      </c>
      <c r="I29" s="89">
        <v>25</v>
      </c>
      <c r="J29" s="65" t="s">
        <v>63</v>
      </c>
      <c r="Y29" s="67"/>
      <c r="Z29" s="31" t="s">
        <v>84</v>
      </c>
      <c r="AA29" s="27">
        <v>7729</v>
      </c>
      <c r="AB29" s="27">
        <v>8114</v>
      </c>
    </row>
    <row r="30" spans="1:255" s="30" customFormat="1" ht="18.75" customHeight="1" x14ac:dyDescent="0.25">
      <c r="A30" s="64" t="s">
        <v>64</v>
      </c>
      <c r="B30" s="87">
        <v>12403</v>
      </c>
      <c r="C30" s="89">
        <v>146</v>
      </c>
      <c r="D30" s="89">
        <v>262</v>
      </c>
      <c r="E30" s="83">
        <v>14</v>
      </c>
      <c r="F30" s="80">
        <v>17</v>
      </c>
      <c r="G30" s="81">
        <v>799</v>
      </c>
      <c r="H30" s="89">
        <v>477</v>
      </c>
      <c r="I30" s="89">
        <v>29</v>
      </c>
      <c r="J30" s="65" t="s">
        <v>65</v>
      </c>
      <c r="S30" s="31"/>
      <c r="T30" s="31"/>
      <c r="U30" s="31"/>
      <c r="V30" s="31"/>
      <c r="W30" s="31"/>
      <c r="X30" s="31"/>
      <c r="Y30" s="67"/>
      <c r="Z30" s="67" t="s">
        <v>85</v>
      </c>
      <c r="AA30" s="27">
        <v>15697</v>
      </c>
      <c r="AB30" s="27">
        <v>16149</v>
      </c>
      <c r="AC30" s="31"/>
    </row>
    <row r="31" spans="1:255" s="30" customFormat="1" ht="18.75" customHeight="1" x14ac:dyDescent="0.25">
      <c r="A31" s="68" t="s">
        <v>66</v>
      </c>
      <c r="B31" s="88">
        <v>32113</v>
      </c>
      <c r="C31" s="86">
        <v>247</v>
      </c>
      <c r="D31" s="86">
        <v>428</v>
      </c>
      <c r="E31" s="84">
        <v>9</v>
      </c>
      <c r="F31" s="84">
        <v>12</v>
      </c>
      <c r="G31" s="85">
        <v>1917</v>
      </c>
      <c r="H31" s="86">
        <v>941</v>
      </c>
      <c r="I31" s="86">
        <v>15</v>
      </c>
      <c r="J31" s="69" t="s">
        <v>67</v>
      </c>
      <c r="S31" s="31"/>
      <c r="T31" s="31"/>
      <c r="U31" s="31"/>
      <c r="V31" s="31"/>
      <c r="W31" s="31"/>
      <c r="X31" s="31"/>
      <c r="Y31" s="67"/>
      <c r="Z31" s="67" t="s">
        <v>86</v>
      </c>
      <c r="AA31" s="27">
        <v>17720</v>
      </c>
      <c r="AB31" s="27">
        <v>18532</v>
      </c>
      <c r="AC31" s="31"/>
    </row>
    <row r="32" spans="1:255" s="33" customFormat="1" ht="17.25" customHeight="1" x14ac:dyDescent="0.25">
      <c r="A32" s="32" t="s">
        <v>68</v>
      </c>
      <c r="H32" s="34"/>
      <c r="I32" s="34"/>
      <c r="S32" s="35"/>
      <c r="T32" s="35"/>
      <c r="U32" s="35"/>
      <c r="V32" s="35"/>
      <c r="W32" s="35"/>
      <c r="X32" s="35"/>
      <c r="Y32" s="67"/>
      <c r="Z32" s="67" t="s">
        <v>87</v>
      </c>
      <c r="AA32" s="27">
        <v>14229</v>
      </c>
      <c r="AB32" s="27">
        <v>14662</v>
      </c>
      <c r="AC32" s="35"/>
    </row>
    <row r="33" spans="1:29" s="33" customFormat="1" ht="17.25" x14ac:dyDescent="0.25">
      <c r="A33" s="36" t="s">
        <v>69</v>
      </c>
      <c r="F33" s="33" t="s">
        <v>70</v>
      </c>
      <c r="H33" s="34"/>
      <c r="I33" s="34"/>
      <c r="J33" s="37" t="s">
        <v>71</v>
      </c>
      <c r="S33" s="35"/>
      <c r="T33" s="35"/>
      <c r="U33" s="35"/>
      <c r="V33" s="35"/>
      <c r="W33" s="35"/>
      <c r="X33" s="35"/>
      <c r="Y33" s="67"/>
      <c r="Z33" s="48" t="s">
        <v>88</v>
      </c>
      <c r="AA33" s="27">
        <v>20346</v>
      </c>
      <c r="AB33" s="27">
        <v>21127</v>
      </c>
      <c r="AC33" s="35"/>
    </row>
    <row r="34" spans="1:29" x14ac:dyDescent="0.25">
      <c r="Y34" s="67"/>
      <c r="Z34" s="48" t="s">
        <v>89</v>
      </c>
      <c r="AA34" s="27">
        <v>12036</v>
      </c>
      <c r="AB34" s="27">
        <v>12403</v>
      </c>
    </row>
    <row r="35" spans="1:29" x14ac:dyDescent="0.25">
      <c r="A35" s="27"/>
      <c r="B35" s="27"/>
      <c r="C35" s="27"/>
      <c r="D35" s="27"/>
      <c r="E35" s="27"/>
      <c r="F35" s="27"/>
      <c r="G35" s="27"/>
      <c r="H35" s="39"/>
      <c r="I35" s="39"/>
      <c r="J35" s="27"/>
      <c r="Y35" s="67"/>
      <c r="Z35" s="48" t="s">
        <v>90</v>
      </c>
      <c r="AA35" s="27">
        <v>31305</v>
      </c>
      <c r="AB35" s="27">
        <v>32113</v>
      </c>
    </row>
    <row r="36" spans="1:29" ht="17.25" x14ac:dyDescent="0.25">
      <c r="A36" s="36"/>
      <c r="B36" s="27"/>
      <c r="C36" s="27"/>
      <c r="D36" s="27"/>
      <c r="E36" s="27"/>
      <c r="F36" s="27"/>
      <c r="G36" s="27"/>
      <c r="H36" s="39"/>
      <c r="I36" s="39"/>
      <c r="J36" s="37"/>
      <c r="Y36" s="67"/>
      <c r="Z36" s="29"/>
    </row>
    <row r="37" spans="1:29" s="70" customFormat="1" ht="21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</row>
    <row r="38" spans="1:29" s="70" customFormat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spans="1:29" s="53" customFormat="1" x14ac:dyDescent="0.2">
      <c r="A39" s="51"/>
      <c r="B39" s="51"/>
      <c r="C39" s="51"/>
      <c r="D39" s="51"/>
      <c r="E39" s="51"/>
      <c r="F39" s="51"/>
      <c r="G39" s="51"/>
      <c r="H39" s="51"/>
      <c r="I39" s="51"/>
      <c r="J39" s="51"/>
      <c r="V39" s="70"/>
      <c r="W39" s="70"/>
      <c r="X39" s="70"/>
      <c r="Y39" s="70"/>
      <c r="Z39" s="70"/>
      <c r="AA39" s="70"/>
      <c r="AB39" s="70"/>
    </row>
    <row r="40" spans="1:29" s="2" customFormat="1" ht="18" x14ac:dyDescent="0.45">
      <c r="A40" s="92"/>
      <c r="B40" s="93"/>
      <c r="C40" s="93"/>
      <c r="D40" s="93"/>
      <c r="E40" s="94"/>
      <c r="F40" s="94"/>
      <c r="G40" s="95"/>
      <c r="H40" s="96"/>
      <c r="I40" s="40"/>
      <c r="J40" s="97"/>
      <c r="S40" s="3"/>
      <c r="T40" s="3"/>
      <c r="U40" s="3"/>
      <c r="V40" s="27"/>
      <c r="W40" s="71"/>
      <c r="X40" s="20"/>
      <c r="Y40" s="71"/>
      <c r="Z40" s="20"/>
      <c r="AA40" s="71"/>
      <c r="AB40" s="20"/>
      <c r="AC40" s="3"/>
    </row>
    <row r="41" spans="1:29" s="2" customFormat="1" ht="18" x14ac:dyDescent="0.45">
      <c r="A41" s="92"/>
      <c r="B41" s="93"/>
      <c r="C41" s="93"/>
      <c r="D41" s="93"/>
      <c r="E41" s="94"/>
      <c r="F41" s="94"/>
      <c r="G41" s="95"/>
      <c r="H41" s="96"/>
      <c r="I41" s="40"/>
      <c r="J41" s="97"/>
      <c r="S41" s="3"/>
      <c r="T41" s="3"/>
      <c r="U41" s="3"/>
      <c r="V41" s="66"/>
      <c r="W41" s="72"/>
      <c r="X41" s="20"/>
      <c r="Y41" s="20"/>
      <c r="Z41" s="20"/>
      <c r="AA41" s="3"/>
      <c r="AB41" s="41"/>
      <c r="AC41" s="3"/>
    </row>
    <row r="42" spans="1:29" s="4" customFormat="1" x14ac:dyDescent="0.25">
      <c r="A42" s="92"/>
      <c r="B42" s="52"/>
      <c r="C42" s="98"/>
      <c r="D42" s="98"/>
      <c r="E42" s="98"/>
      <c r="F42" s="98"/>
      <c r="G42" s="99"/>
      <c r="H42" s="98"/>
      <c r="I42" s="52"/>
      <c r="J42" s="97"/>
      <c r="S42" s="6"/>
      <c r="T42" s="6"/>
      <c r="U42" s="6"/>
      <c r="V42" s="67"/>
      <c r="W42" s="73"/>
      <c r="X42" s="28"/>
      <c r="Y42" s="20"/>
      <c r="Z42" s="20"/>
      <c r="AA42" s="6"/>
      <c r="AB42" s="74"/>
      <c r="AC42" s="6"/>
    </row>
    <row r="43" spans="1:29" s="7" customFormat="1" x14ac:dyDescent="0.25">
      <c r="A43" s="92"/>
      <c r="B43" s="75"/>
      <c r="C43" s="75"/>
      <c r="D43" s="75"/>
      <c r="E43" s="75"/>
      <c r="F43" s="75"/>
      <c r="G43" s="99"/>
      <c r="H43" s="98"/>
      <c r="I43" s="52"/>
      <c r="J43" s="97"/>
      <c r="Z43" s="20"/>
      <c r="AB43" s="74"/>
    </row>
    <row r="44" spans="1:29" s="9" customFormat="1" ht="18.75" x14ac:dyDescent="0.25">
      <c r="A44" s="92"/>
      <c r="B44" s="42"/>
      <c r="C44" s="42"/>
      <c r="D44" s="42"/>
      <c r="E44" s="42"/>
      <c r="F44" s="42"/>
      <c r="G44" s="22"/>
      <c r="H44" s="43"/>
      <c r="I44" s="43"/>
      <c r="J44" s="97"/>
      <c r="S44" s="10"/>
      <c r="T44" s="10"/>
      <c r="U44" s="10"/>
      <c r="Z44" s="20"/>
      <c r="AA44" s="10"/>
      <c r="AB44" s="74"/>
      <c r="AC44" s="10"/>
    </row>
    <row r="45" spans="1:29" s="19" customFormat="1" ht="18.75" x14ac:dyDescent="0.25">
      <c r="A45" s="11"/>
      <c r="B45" s="28"/>
      <c r="C45" s="16"/>
      <c r="D45" s="16"/>
      <c r="E45" s="16"/>
      <c r="F45" s="16"/>
      <c r="G45" s="16"/>
      <c r="H45" s="44"/>
      <c r="I45" s="44"/>
      <c r="J45" s="62"/>
      <c r="S45" s="20"/>
      <c r="T45" s="20"/>
      <c r="U45" s="20"/>
      <c r="Z45" s="20"/>
      <c r="AA45" s="20"/>
      <c r="AB45" s="74"/>
      <c r="AC45" s="20"/>
    </row>
    <row r="46" spans="1:29" s="21" customFormat="1" ht="18.75" x14ac:dyDescent="0.25">
      <c r="A46" s="63"/>
      <c r="B46" s="28"/>
      <c r="C46" s="25"/>
      <c r="D46" s="25"/>
      <c r="E46" s="25"/>
      <c r="F46" s="25"/>
      <c r="G46" s="25"/>
      <c r="H46" s="44"/>
      <c r="I46" s="44"/>
      <c r="J46" s="62"/>
      <c r="S46" s="22"/>
      <c r="T46" s="22"/>
      <c r="U46" s="22"/>
      <c r="Z46" s="20"/>
      <c r="AA46" s="22"/>
      <c r="AB46" s="74"/>
      <c r="AC46" s="22"/>
    </row>
    <row r="47" spans="1:29" s="19" customFormat="1" ht="18.75" x14ac:dyDescent="0.25">
      <c r="A47" s="11"/>
      <c r="B47" s="16"/>
      <c r="C47" s="16"/>
      <c r="D47" s="16"/>
      <c r="E47" s="16"/>
      <c r="F47" s="16"/>
      <c r="G47" s="25"/>
      <c r="H47" s="44"/>
      <c r="I47" s="44"/>
      <c r="J47" s="62"/>
      <c r="S47" s="20"/>
      <c r="T47" s="20"/>
      <c r="U47" s="20"/>
      <c r="Z47" s="20"/>
      <c r="AA47" s="20"/>
      <c r="AB47" s="74"/>
      <c r="AC47" s="20"/>
    </row>
    <row r="48" spans="1:29" s="19" customFormat="1" ht="15.75" x14ac:dyDescent="0.25">
      <c r="A48" s="67"/>
      <c r="B48" s="29"/>
      <c r="C48" s="45"/>
      <c r="D48" s="45"/>
      <c r="E48" s="45"/>
      <c r="F48" s="45"/>
      <c r="G48" s="46"/>
      <c r="H48" s="47"/>
      <c r="I48" s="47"/>
      <c r="J48" s="76"/>
      <c r="S48" s="20"/>
      <c r="T48" s="20"/>
      <c r="U48" s="20"/>
      <c r="Z48" s="20"/>
      <c r="AA48" s="20"/>
      <c r="AB48" s="74"/>
      <c r="AC48" s="20"/>
    </row>
    <row r="49" spans="1:29" s="19" customFormat="1" ht="15.75" x14ac:dyDescent="0.25">
      <c r="A49" s="67"/>
      <c r="B49" s="29"/>
      <c r="C49" s="46"/>
      <c r="D49" s="46"/>
      <c r="E49" s="46"/>
      <c r="F49" s="46"/>
      <c r="G49" s="46"/>
      <c r="H49" s="47"/>
      <c r="I49" s="47"/>
      <c r="J49" s="76"/>
      <c r="S49" s="20"/>
      <c r="T49" s="20"/>
      <c r="U49" s="20"/>
      <c r="Z49" s="20"/>
      <c r="AA49" s="20"/>
      <c r="AB49" s="74"/>
      <c r="AC49" s="20"/>
    </row>
    <row r="50" spans="1:29" s="19" customFormat="1" ht="15.75" x14ac:dyDescent="0.25">
      <c r="A50" s="67"/>
      <c r="B50" s="29"/>
      <c r="C50" s="46"/>
      <c r="D50" s="46"/>
      <c r="E50" s="46"/>
      <c r="F50" s="46"/>
      <c r="G50" s="46"/>
      <c r="H50" s="47"/>
      <c r="I50" s="47"/>
      <c r="J50" s="76"/>
      <c r="S50" s="20"/>
      <c r="T50" s="20"/>
      <c r="U50" s="20"/>
      <c r="Z50" s="20"/>
      <c r="AA50" s="20"/>
      <c r="AB50" s="74"/>
      <c r="AC50" s="20"/>
    </row>
    <row r="51" spans="1:29" s="19" customFormat="1" ht="15.75" x14ac:dyDescent="0.25">
      <c r="A51" s="67"/>
      <c r="B51" s="29"/>
      <c r="C51" s="46"/>
      <c r="D51" s="46"/>
      <c r="E51" s="46"/>
      <c r="F51" s="46"/>
      <c r="G51" s="46"/>
      <c r="H51" s="47"/>
      <c r="I51" s="47"/>
      <c r="J51" s="76"/>
      <c r="S51" s="20"/>
      <c r="T51" s="20"/>
      <c r="U51" s="20"/>
      <c r="Z51" s="20"/>
      <c r="AA51" s="20"/>
      <c r="AB51" s="74"/>
      <c r="AC51" s="20"/>
    </row>
    <row r="52" spans="1:29" x14ac:dyDescent="0.25">
      <c r="V52" s="1"/>
      <c r="W52" s="1"/>
      <c r="X52" s="1"/>
      <c r="AB52" s="74"/>
    </row>
    <row r="53" spans="1:29" x14ac:dyDescent="0.25">
      <c r="V53" s="1"/>
      <c r="W53" s="1"/>
      <c r="X53" s="1"/>
      <c r="AB53" s="74"/>
    </row>
    <row r="54" spans="1:29" x14ac:dyDescent="0.25">
      <c r="A54" s="27"/>
      <c r="B54" s="27"/>
      <c r="C54" s="27"/>
      <c r="D54" s="27"/>
      <c r="E54" s="27"/>
      <c r="F54" s="27"/>
      <c r="G54" s="27"/>
      <c r="H54" s="39"/>
      <c r="I54" s="39"/>
      <c r="J54" s="27"/>
      <c r="V54" s="1"/>
      <c r="W54" s="1"/>
      <c r="X54" s="1"/>
      <c r="AB54" s="74"/>
    </row>
    <row r="55" spans="1:29" x14ac:dyDescent="0.25">
      <c r="A55" s="27"/>
      <c r="B55" s="27"/>
      <c r="C55" s="27"/>
      <c r="D55" s="27"/>
      <c r="E55" s="27"/>
      <c r="F55" s="27"/>
      <c r="G55" s="27"/>
      <c r="H55" s="39"/>
      <c r="I55" s="39"/>
      <c r="J55" s="27"/>
    </row>
    <row r="56" spans="1:29" x14ac:dyDescent="0.25">
      <c r="A56" s="27"/>
      <c r="B56" s="27"/>
      <c r="C56" s="27"/>
      <c r="D56" s="27"/>
      <c r="E56" s="27"/>
      <c r="F56" s="27"/>
      <c r="G56" s="27"/>
      <c r="H56" s="39"/>
      <c r="I56" s="39"/>
      <c r="J56" s="27"/>
    </row>
    <row r="57" spans="1:29" x14ac:dyDescent="0.25">
      <c r="A57" s="27"/>
      <c r="B57" s="27"/>
      <c r="C57" s="27"/>
      <c r="D57" s="27"/>
      <c r="E57" s="27"/>
      <c r="F57" s="27"/>
      <c r="G57" s="27"/>
      <c r="H57" s="39"/>
      <c r="I57" s="39"/>
      <c r="J57" s="27"/>
    </row>
    <row r="58" spans="1:29" x14ac:dyDescent="0.25">
      <c r="A58" s="27"/>
      <c r="B58" s="27"/>
      <c r="C58" s="27"/>
      <c r="D58" s="27"/>
      <c r="E58" s="27"/>
      <c r="F58" s="27"/>
      <c r="G58" s="27"/>
      <c r="H58" s="39"/>
      <c r="I58" s="39"/>
      <c r="J58" s="27"/>
    </row>
    <row r="59" spans="1:29" x14ac:dyDescent="0.25">
      <c r="A59" s="27"/>
      <c r="B59" s="27"/>
      <c r="C59" s="27"/>
      <c r="D59" s="27"/>
      <c r="E59" s="27"/>
      <c r="F59" s="27"/>
      <c r="G59" s="27"/>
      <c r="H59" s="39"/>
      <c r="I59" s="39"/>
      <c r="J59" s="27"/>
    </row>
    <row r="60" spans="1:29" x14ac:dyDescent="0.25">
      <c r="A60" s="27"/>
      <c r="B60" s="27"/>
      <c r="C60" s="27"/>
      <c r="D60" s="27"/>
      <c r="E60" s="27"/>
      <c r="F60" s="27"/>
      <c r="G60" s="27"/>
      <c r="H60" s="39"/>
      <c r="I60" s="39"/>
      <c r="J60" s="27"/>
    </row>
    <row r="61" spans="1:29" x14ac:dyDescent="0.25">
      <c r="A61" s="27"/>
      <c r="B61" s="27"/>
      <c r="C61" s="27"/>
      <c r="D61" s="27"/>
      <c r="E61" s="27"/>
      <c r="F61" s="27"/>
      <c r="G61" s="27"/>
      <c r="H61" s="39"/>
      <c r="I61" s="39"/>
      <c r="J61" s="27"/>
    </row>
    <row r="62" spans="1:29" x14ac:dyDescent="0.25">
      <c r="A62" s="27"/>
      <c r="B62" s="27"/>
      <c r="C62" s="27"/>
      <c r="D62" s="27"/>
      <c r="E62" s="27"/>
      <c r="F62" s="27"/>
      <c r="G62" s="27"/>
      <c r="H62" s="39"/>
      <c r="I62" s="39"/>
      <c r="J62" s="27"/>
    </row>
  </sheetData>
  <mergeCells count="29">
    <mergeCell ref="N6:N7"/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G6:G8"/>
    <mergeCell ref="H6:H7"/>
    <mergeCell ref="I6:I7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C42:D42"/>
    <mergeCell ref="E42:F42"/>
    <mergeCell ref="G42:G43"/>
    <mergeCell ref="H42:H43"/>
  </mergeCells>
  <pageMargins left="0.7" right="0.7" top="0.75" bottom="0.75" header="0.3" footer="0.3"/>
  <pageSetup scale="43" orientation="portrait" r:id="rId1"/>
  <colBreaks count="2" manualBreakCount="2">
    <brk id="11" max="1048575" man="1"/>
    <brk id="28" max="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2024-08-18T02:50:15Z</cp:lastPrinted>
  <dcterms:created xsi:type="dcterms:W3CDTF">2024-08-18T02:39:07Z</dcterms:created>
  <dcterms:modified xsi:type="dcterms:W3CDTF">2024-08-18T02:50:20Z</dcterms:modified>
</cp:coreProperties>
</file>