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1D6E1A29-1919-47F9-994E-1B6FC172EA4A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1 " sheetId="11" r:id="rId1"/>
  </sheets>
  <definedNames>
    <definedName name="_xlnm.Print_Area" localSheetId="0">'18.11 '!$A$1:$P$35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B32" i="11" l="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<sst xmlns="http://schemas.openxmlformats.org/spreadsheetml/2006/main" count="72" uniqueCount="71">
  <si>
    <t>ޖުމްލަ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</si>
  <si>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</si>
  <si>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</si>
  <si>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</si>
  <si>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</si>
  <si>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</si>
  <si>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</si>
  <si>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</si>
  <si>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</si>
  <si>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</si>
  <si>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</si>
  <si>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</si>
  <si>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</si>
  <si>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މަޢުލޫމާތު ދެއްވި ފަރާތް: މޯލްޑިވްސް ޕެންޝަން އެޑްމިނިސްޓްރޭޝަން</t>
  </si>
  <si>
    <t>Source: Maldives Pension Administration</t>
  </si>
  <si>
    <t xml:space="preserve">Total </t>
  </si>
  <si>
    <t>ތާވަލު 18.11 :މަސްމަހުގެ ގޮތުން ރިޓާޔަމަންޓް ޕެންޝަން ސްކީމްއަށް ޕަބްލިކް އަދި ޕްރައިވެޓް ސެކްޓަރއިން ފައިސާދެއްކި މިންވަރު، 2024</t>
  </si>
  <si>
    <t>TABLE   18.11:   AMOUNT OF CONTRIBUTION TO RETIREMENT PENSION SCHEME BY SECTOR BY MONTH,  2024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</si>
  <si>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</si>
  <si>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</si>
  <si>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</si>
  <si>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</si>
  <si>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</si>
  <si>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</si>
  <si>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</si>
  <si>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</si>
  <si>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</si>
  <si>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</si>
  <si>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</si>
  <si>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</si>
  <si>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</si>
  <si>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</si>
  <si>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</si>
  <si>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</si>
  <si>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</si>
  <si>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</si>
  <si>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</si>
  <si>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</si>
  <si>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</si>
  <si>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</si>
  <si>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</si>
  <si>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</si>
  <si>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</si>
  <si>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Housing Development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</si>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</sst>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6" fillId="2" borderId="4" xfId="0" applyFont="1" applyFill="1" applyBorder="1"/>
    <xf numFmtId="0" fontId="3" fillId="2" borderId="7" xfId="0" applyFont="1" applyFill="1" applyBorder="1"/>
    <xf numFmtId="0" fontId="6" fillId="2" borderId="7" xfId="0" applyFont="1" applyFill="1" applyBorder="1"/>
    <xf numFmtId="0" fontId="7" fillId="2" borderId="4" xfId="0" applyFont="1" applyFill="1" applyBorder="1"/>
    <xf numFmtId="3" fontId="4" fillId="2" borderId="7" xfId="0" applyNumberFormat="1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/>
    </xf>
    <xf numFmtId="0" fontId="8" fillId="2" borderId="8" xfId="0" applyFont="1" applyFill="1" applyBorder="1"/>
    <xf numFmtId="0" fontId="0" fillId="3" borderId="0" xfId="0" applyFill="1"/>
    <xf numFmtId="0" fontId="12" fillId="3" borderId="0" xfId="0" applyFont="1" applyFill="1"/>
    <xf numFmtId="3" fontId="9" fillId="2" borderId="4" xfId="0" applyNumberFormat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3" fontId="5" fillId="4" borderId="8" xfId="0" applyNumberFormat="1" applyFont="1" applyFill="1" applyBorder="1" applyAlignment="1">
      <alignment vertical="center"/>
    </xf>
    <xf numFmtId="3" fontId="5" fillId="4" borderId="4" xfId="0" applyNumberFormat="1" applyFont="1" applyFill="1" applyBorder="1" applyAlignment="1">
      <alignment vertical="center"/>
    </xf>
    <xf numFmtId="3" fontId="11" fillId="4" borderId="4" xfId="0" applyNumberFormat="1" applyFont="1" applyFill="1" applyBorder="1" applyAlignment="1">
      <alignment vertical="center"/>
    </xf>
    <xf numFmtId="3" fontId="5" fillId="2" borderId="7" xfId="0" applyNumberFormat="1" applyFont="1" applyFill="1" applyBorder="1" applyAlignment="1">
      <alignment vertical="center"/>
    </xf>
    <xf numFmtId="3" fontId="5" fillId="4" borderId="9" xfId="0" applyNumberFormat="1" applyFont="1" applyFill="1" applyBorder="1" applyAlignment="1">
      <alignment vertical="center"/>
    </xf>
    <xf numFmtId="3" fontId="5" fillId="4" borderId="7" xfId="0" applyNumberFormat="1" applyFont="1" applyFill="1" applyBorder="1" applyAlignment="1">
      <alignment vertical="center"/>
    </xf>
    <xf numFmtId="3" fontId="11" fillId="4" borderId="7" xfId="0" applyNumberFormat="1" applyFont="1" applyFill="1" applyBorder="1" applyAlignment="1">
      <alignment vertical="center"/>
    </xf>
    <xf numFmtId="0" fontId="2" fillId="3" borderId="6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3" borderId="12" xfId="0" applyFont="1" applyFill="1" applyBorder="1"/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Z753"/>
  <sheetViews>
    <sheetView tabSelected="1" zoomScaleNormal="100" workbookViewId="0">
      <selection activeCell="D10" sqref="D10"/>
    </sheetView>
  </sheetViews>
  <sheetFormatPr defaultColWidth="14.42578125" defaultRowHeight="15" customHeight="1" x14ac:dyDescent="0.25"/>
  <cols>
    <col min="1" max="1" width="43.7109375" style="15" customWidth="1"/>
    <col min="2" max="2" width="14.28515625" style="15" customWidth="1"/>
    <col min="3" max="14" width="12" style="15" customWidth="1"/>
    <col min="15" max="15" width="39.140625" style="15" customWidth="1"/>
    <col min="16" max="16" width="3.7109375" style="15" customWidth="1"/>
    <col min="17" max="26" width="8.7109375" style="15" customWidth="1"/>
    <col min="27" max="16384" width="14.42578125" style="15"/>
  </cols>
  <sheetData>
    <row r="1" spans="1:26" ht="18" customHeight="1" x14ac:dyDescent="0.55000000000000004">
      <c r="A1" s="27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s="30" t="s">
        <v>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.25" customHeight="1" x14ac:dyDescent="0.25">
      <c r="A3" s="1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31" t="s">
        <v>18</v>
      </c>
      <c r="B4" s="32">
        <v>2024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  <c r="O4" s="3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6"/>
      <c r="B5" s="8" t="s">
        <v>15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2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x14ac:dyDescent="0.55000000000000004">
      <c r="A6" s="9" t="s">
        <v>15</v>
      </c>
      <c r="B6" s="17">
        <f t="shared" ref="B6:N6" si="0">SUM(B7:B32)</f>
        <v>1826869363.0900002</v>
      </c>
      <c r="C6" s="17">
        <f t="shared" si="0"/>
        <v>139228081.45000002</v>
      </c>
      <c r="D6" s="17">
        <f t="shared" si="0"/>
        <v>148665946.68000004</v>
      </c>
      <c r="E6" s="17">
        <f t="shared" si="0"/>
        <v>145944148.38000003</v>
      </c>
      <c r="F6" s="17">
        <f t="shared" si="0"/>
        <v>145927938.25999996</v>
      </c>
      <c r="G6" s="17">
        <f t="shared" si="0"/>
        <v>156267451.64999998</v>
      </c>
      <c r="H6" s="17">
        <f t="shared" si="0"/>
        <v>154057592</v>
      </c>
      <c r="I6" s="17">
        <f t="shared" si="0"/>
        <v>151937317.99999997</v>
      </c>
      <c r="J6" s="17">
        <f t="shared" si="0"/>
        <v>156816254.46000001</v>
      </c>
      <c r="K6" s="17">
        <f t="shared" si="0"/>
        <v>153126298.01999998</v>
      </c>
      <c r="L6" s="17">
        <f t="shared" si="0"/>
        <v>160379584.82000002</v>
      </c>
      <c r="M6" s="17">
        <f t="shared" si="0"/>
        <v>149486066.95000002</v>
      </c>
      <c r="N6" s="17">
        <f t="shared" si="0"/>
        <v>165032682.41999999</v>
      </c>
      <c r="O6" s="2" t="s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 x14ac:dyDescent="0.55000000000000004">
      <c r="A7" s="10" t="s">
        <v>19</v>
      </c>
      <c r="B7" s="18">
        <f t="shared" ref="B7:B32" si="1">SUM(C7:N7)</f>
        <v>4781343.3800000008</v>
      </c>
      <c r="C7" s="19">
        <v>316863.96000000002</v>
      </c>
      <c r="D7" s="20">
        <v>338844.52</v>
      </c>
      <c r="E7" s="20">
        <v>340000.24</v>
      </c>
      <c r="F7" s="21">
        <v>233275.84</v>
      </c>
      <c r="G7" s="20">
        <v>560907.1</v>
      </c>
      <c r="H7" s="20">
        <v>451930.48</v>
      </c>
      <c r="I7" s="20">
        <v>286760.96000000002</v>
      </c>
      <c r="J7" s="20">
        <v>481372.38</v>
      </c>
      <c r="K7" s="20">
        <v>484709.68</v>
      </c>
      <c r="L7" s="20">
        <v>480677.24</v>
      </c>
      <c r="M7" s="20">
        <v>488001.9</v>
      </c>
      <c r="N7" s="20">
        <v>317999.08</v>
      </c>
      <c r="O7" s="3" t="s">
        <v>20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55000000000000004">
      <c r="A8" s="10" t="s">
        <v>21</v>
      </c>
      <c r="B8" s="18">
        <f t="shared" si="1"/>
        <v>111510790.06</v>
      </c>
      <c r="C8" s="19">
        <v>8906940.6799999997</v>
      </c>
      <c r="D8" s="20">
        <v>9538334.0800000001</v>
      </c>
      <c r="E8" s="20">
        <v>8550471.6999999993</v>
      </c>
      <c r="F8" s="21">
        <v>10047001.359999999</v>
      </c>
      <c r="G8" s="20">
        <v>7919407.3200000003</v>
      </c>
      <c r="H8" s="20">
        <v>10218457.76</v>
      </c>
      <c r="I8" s="20">
        <v>8693019.6600000001</v>
      </c>
      <c r="J8" s="20">
        <v>9670822.4000000004</v>
      </c>
      <c r="K8" s="20">
        <v>10176930.560000001</v>
      </c>
      <c r="L8" s="20">
        <v>8605640.9199999999</v>
      </c>
      <c r="M8" s="20">
        <v>9163790.4600000009</v>
      </c>
      <c r="N8" s="20">
        <v>10019973.16</v>
      </c>
      <c r="O8" s="3" t="s"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55000000000000004">
      <c r="A9" s="10" t="s">
        <v>23</v>
      </c>
      <c r="B9" s="18">
        <f t="shared" si="1"/>
        <v>165609.91</v>
      </c>
      <c r="C9" s="19">
        <v>11341.56</v>
      </c>
      <c r="D9" s="20">
        <v>14426.84</v>
      </c>
      <c r="E9" s="20">
        <v>12740</v>
      </c>
      <c r="F9" s="21">
        <v>13300.36</v>
      </c>
      <c r="G9" s="20">
        <v>14140</v>
      </c>
      <c r="H9" s="20">
        <v>13861.86</v>
      </c>
      <c r="I9" s="20">
        <v>13441.63</v>
      </c>
      <c r="J9" s="20">
        <v>14428.08</v>
      </c>
      <c r="K9" s="20">
        <v>14141.17</v>
      </c>
      <c r="L9" s="20">
        <v>14165.25</v>
      </c>
      <c r="M9" s="20">
        <v>15124.4</v>
      </c>
      <c r="N9" s="20">
        <v>14498.76</v>
      </c>
      <c r="O9" s="3" t="s">
        <v>24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 x14ac:dyDescent="0.55000000000000004">
      <c r="A10" s="10" t="s">
        <v>25</v>
      </c>
      <c r="B10" s="18">
        <f t="shared" si="1"/>
        <v>295136.11000000004</v>
      </c>
      <c r="C10" s="19">
        <v>25634.33</v>
      </c>
      <c r="D10" s="20">
        <v>24853</v>
      </c>
      <c r="E10" s="20">
        <v>23371.08</v>
      </c>
      <c r="F10" s="21">
        <v>22470.32</v>
      </c>
      <c r="G10" s="20">
        <v>22897.58</v>
      </c>
      <c r="H10" s="20">
        <v>20524.919999999998</v>
      </c>
      <c r="I10" s="20">
        <v>32771.81</v>
      </c>
      <c r="J10" s="20">
        <v>23976.92</v>
      </c>
      <c r="K10" s="20">
        <v>22406.68</v>
      </c>
      <c r="L10" s="20">
        <v>28563.87</v>
      </c>
      <c r="M10" s="20">
        <v>25415.02</v>
      </c>
      <c r="N10" s="20">
        <v>22250.58</v>
      </c>
      <c r="O10" s="3" t="s">
        <v>26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55000000000000004">
      <c r="A11" s="10" t="s">
        <v>27</v>
      </c>
      <c r="B11" s="18">
        <f t="shared" si="1"/>
        <v>45247057.759999998</v>
      </c>
      <c r="C11" s="19">
        <v>3842879.09</v>
      </c>
      <c r="D11" s="20">
        <v>3856918</v>
      </c>
      <c r="E11" s="20">
        <v>3692116.76</v>
      </c>
      <c r="F11" s="21">
        <v>3711561.94</v>
      </c>
      <c r="G11" s="20">
        <v>3697740</v>
      </c>
      <c r="H11" s="20">
        <v>3705504.44</v>
      </c>
      <c r="I11" s="20">
        <v>3661979.03</v>
      </c>
      <c r="J11" s="20">
        <v>4005300.8</v>
      </c>
      <c r="K11" s="20">
        <v>3751852.64</v>
      </c>
      <c r="L11" s="20">
        <v>3550737.16</v>
      </c>
      <c r="M11" s="20">
        <v>4005030.72</v>
      </c>
      <c r="N11" s="20">
        <v>3765437.18</v>
      </c>
      <c r="O11" s="3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55000000000000004">
      <c r="A12" s="10" t="s">
        <v>29</v>
      </c>
      <c r="B12" s="18">
        <f t="shared" si="1"/>
        <v>2545832.2599999998</v>
      </c>
      <c r="C12" s="19">
        <v>183315.28</v>
      </c>
      <c r="D12" s="20">
        <v>220201.06</v>
      </c>
      <c r="E12" s="20">
        <v>217986.26</v>
      </c>
      <c r="F12" s="21">
        <v>226881.3</v>
      </c>
      <c r="G12" s="20">
        <v>217050.94</v>
      </c>
      <c r="H12" s="20">
        <v>243476.9</v>
      </c>
      <c r="I12" s="20">
        <v>223201.08</v>
      </c>
      <c r="J12" s="20">
        <v>215898.58</v>
      </c>
      <c r="K12" s="20">
        <v>191306.46</v>
      </c>
      <c r="L12" s="20">
        <v>231074.46</v>
      </c>
      <c r="M12" s="20">
        <v>195156.4</v>
      </c>
      <c r="N12" s="20">
        <v>180283.54</v>
      </c>
      <c r="O12" s="3" t="s">
        <v>30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 x14ac:dyDescent="0.25">
      <c r="A13" s="11" t="s">
        <v>31</v>
      </c>
      <c r="B13" s="18">
        <f t="shared" si="1"/>
        <v>123931852.97000001</v>
      </c>
      <c r="C13" s="19">
        <v>9222962.3499999996</v>
      </c>
      <c r="D13" s="20">
        <v>9609341.7100000009</v>
      </c>
      <c r="E13" s="20">
        <v>9799008.0700000003</v>
      </c>
      <c r="F13" s="21">
        <v>10056386.890000001</v>
      </c>
      <c r="G13" s="20">
        <v>10192415.789999999</v>
      </c>
      <c r="H13" s="20">
        <v>9873309.7200000007</v>
      </c>
      <c r="I13" s="20">
        <v>10374236.43</v>
      </c>
      <c r="J13" s="20">
        <v>10148516.59</v>
      </c>
      <c r="K13" s="20">
        <v>10292329.310000001</v>
      </c>
      <c r="L13" s="20">
        <v>10461503.359999999</v>
      </c>
      <c r="M13" s="20">
        <v>10251151.380000001</v>
      </c>
      <c r="N13" s="20">
        <v>13650691.369999999</v>
      </c>
      <c r="O13" s="12" t="s">
        <v>32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55000000000000004">
      <c r="A14" s="10" t="s">
        <v>33</v>
      </c>
      <c r="B14" s="18">
        <f t="shared" si="1"/>
        <v>12671505.07</v>
      </c>
      <c r="C14" s="19">
        <v>1061051.04</v>
      </c>
      <c r="D14" s="20">
        <v>1067839.3600000001</v>
      </c>
      <c r="E14" s="20">
        <v>974025.32</v>
      </c>
      <c r="F14" s="21">
        <v>1069507.24</v>
      </c>
      <c r="G14" s="20">
        <v>1053107.54</v>
      </c>
      <c r="H14" s="20">
        <v>1024725.14</v>
      </c>
      <c r="I14" s="20">
        <v>1109236.78</v>
      </c>
      <c r="J14" s="20">
        <v>1175058.6200000001</v>
      </c>
      <c r="K14" s="20">
        <v>1057586.1399999999</v>
      </c>
      <c r="L14" s="20">
        <v>1017500.6</v>
      </c>
      <c r="M14" s="20">
        <v>1040689.72</v>
      </c>
      <c r="N14" s="20">
        <v>1021177.57</v>
      </c>
      <c r="O14" s="3" t="s">
        <v>34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55000000000000004">
      <c r="A15" s="10" t="s">
        <v>35</v>
      </c>
      <c r="B15" s="18">
        <f t="shared" si="1"/>
        <v>3109602.8199999994</v>
      </c>
      <c r="C15" s="19">
        <v>255815.72</v>
      </c>
      <c r="D15" s="20">
        <v>250275.9</v>
      </c>
      <c r="E15" s="20">
        <v>257461.5</v>
      </c>
      <c r="F15" s="21">
        <v>244099.38</v>
      </c>
      <c r="G15" s="20">
        <v>252100</v>
      </c>
      <c r="H15" s="20">
        <v>234327.4</v>
      </c>
      <c r="I15" s="20">
        <v>263725.76</v>
      </c>
      <c r="J15" s="20">
        <v>259883.24</v>
      </c>
      <c r="K15" s="20">
        <v>272149.32</v>
      </c>
      <c r="L15" s="20">
        <v>268035.38</v>
      </c>
      <c r="M15" s="20">
        <v>270807.48</v>
      </c>
      <c r="N15" s="20">
        <v>280921.74</v>
      </c>
      <c r="O15" s="3" t="s">
        <v>36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55000000000000004">
      <c r="A16" s="10" t="s">
        <v>37</v>
      </c>
      <c r="B16" s="18">
        <f t="shared" si="1"/>
        <v>702320528.01999998</v>
      </c>
      <c r="C16" s="19">
        <v>48600757.210000001</v>
      </c>
      <c r="D16" s="20">
        <v>56231895.530000001</v>
      </c>
      <c r="E16" s="20">
        <v>54942982.770000003</v>
      </c>
      <c r="F16" s="21">
        <v>53362608.479999997</v>
      </c>
      <c r="G16" s="20">
        <v>61545812.439999998</v>
      </c>
      <c r="H16" s="20">
        <v>60674756.210000001</v>
      </c>
      <c r="I16" s="20">
        <v>57821039.399999999</v>
      </c>
      <c r="J16" s="20">
        <v>60360335.369999997</v>
      </c>
      <c r="K16" s="20">
        <v>59541051.759999998</v>
      </c>
      <c r="L16" s="20">
        <v>65780136.049999997</v>
      </c>
      <c r="M16" s="20">
        <v>58346631.700000003</v>
      </c>
      <c r="N16" s="20">
        <v>65112521.100000001</v>
      </c>
      <c r="O16" s="3" t="s">
        <v>38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55000000000000004">
      <c r="A17" s="10" t="s">
        <v>39</v>
      </c>
      <c r="B17" s="18">
        <f t="shared" si="1"/>
        <v>19674666.829999998</v>
      </c>
      <c r="C17" s="19">
        <v>1606002.94</v>
      </c>
      <c r="D17" s="20">
        <v>1539855.84</v>
      </c>
      <c r="E17" s="20">
        <v>1616391.08</v>
      </c>
      <c r="F17" s="21">
        <v>1634719.64</v>
      </c>
      <c r="G17" s="20">
        <v>1586373.61</v>
      </c>
      <c r="H17" s="20">
        <v>1639093.02</v>
      </c>
      <c r="I17" s="20">
        <v>1665990.69</v>
      </c>
      <c r="J17" s="20">
        <v>1530006.45</v>
      </c>
      <c r="K17" s="20">
        <v>1622437.91</v>
      </c>
      <c r="L17" s="20">
        <v>1831590.53</v>
      </c>
      <c r="M17" s="20">
        <v>1724916.65</v>
      </c>
      <c r="N17" s="20">
        <v>1677288.47</v>
      </c>
      <c r="O17" s="3" t="s">
        <v>40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55000000000000004">
      <c r="A18" s="10" t="s">
        <v>41</v>
      </c>
      <c r="B18" s="18">
        <f t="shared" si="1"/>
        <v>368124532.37000006</v>
      </c>
      <c r="C18" s="19">
        <v>31506967.969999999</v>
      </c>
      <c r="D18" s="20">
        <v>30361165.969999999</v>
      </c>
      <c r="E18" s="20">
        <v>30908271.629999999</v>
      </c>
      <c r="F18" s="21">
        <v>30170304.949999999</v>
      </c>
      <c r="G18" s="20">
        <v>32395001.41</v>
      </c>
      <c r="H18" s="20">
        <v>29480251.98</v>
      </c>
      <c r="I18" s="20">
        <v>31202396.23</v>
      </c>
      <c r="J18" s="20">
        <v>30454666.210000001</v>
      </c>
      <c r="K18" s="20">
        <v>28799905.25</v>
      </c>
      <c r="L18" s="20">
        <v>31463583.109999999</v>
      </c>
      <c r="M18" s="20">
        <v>29826925.16</v>
      </c>
      <c r="N18" s="20">
        <v>31555092.5</v>
      </c>
      <c r="O18" s="3" t="s">
        <v>42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55000000000000004">
      <c r="A19" s="10" t="s">
        <v>43</v>
      </c>
      <c r="B19" s="18">
        <f t="shared" si="1"/>
        <v>2407279.66</v>
      </c>
      <c r="C19" s="19">
        <v>171381.84</v>
      </c>
      <c r="D19" s="20">
        <v>181688.02</v>
      </c>
      <c r="E19" s="20">
        <v>183258.48</v>
      </c>
      <c r="F19" s="21">
        <v>187358.02</v>
      </c>
      <c r="G19" s="20">
        <v>196838.7</v>
      </c>
      <c r="H19" s="20">
        <v>108889.34</v>
      </c>
      <c r="I19" s="20">
        <v>304619.98</v>
      </c>
      <c r="J19" s="20">
        <v>208489.06</v>
      </c>
      <c r="K19" s="20">
        <v>204800.06</v>
      </c>
      <c r="L19" s="20">
        <v>207641.34</v>
      </c>
      <c r="M19" s="20">
        <v>221531.86</v>
      </c>
      <c r="N19" s="20">
        <v>230782.96</v>
      </c>
      <c r="O19" s="3" t="s">
        <v>44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55000000000000004">
      <c r="A20" s="10" t="s">
        <v>45</v>
      </c>
      <c r="B20" s="18">
        <f t="shared" si="1"/>
        <v>9156669.3099999987</v>
      </c>
      <c r="C20" s="19">
        <v>737261.5</v>
      </c>
      <c r="D20" s="20">
        <v>755274.26</v>
      </c>
      <c r="E20" s="20">
        <v>750351.86</v>
      </c>
      <c r="F20" s="21">
        <v>748212.32</v>
      </c>
      <c r="G20" s="20">
        <v>752930.4</v>
      </c>
      <c r="H20" s="20">
        <v>750068.04</v>
      </c>
      <c r="I20" s="20">
        <v>750097.66</v>
      </c>
      <c r="J20" s="20">
        <v>749465.68</v>
      </c>
      <c r="K20" s="20">
        <v>754161.76</v>
      </c>
      <c r="L20" s="20">
        <v>790093.88</v>
      </c>
      <c r="M20" s="20">
        <v>806908.38</v>
      </c>
      <c r="N20" s="20">
        <v>811843.57</v>
      </c>
      <c r="O20" s="3" t="s">
        <v>46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55000000000000004">
      <c r="A21" s="10" t="s">
        <v>47</v>
      </c>
      <c r="B21" s="18">
        <f t="shared" si="1"/>
        <v>32982.060000000005</v>
      </c>
      <c r="C21" s="19">
        <v>0</v>
      </c>
      <c r="D21" s="20">
        <v>2745.4</v>
      </c>
      <c r="E21" s="20">
        <v>5502.22</v>
      </c>
      <c r="F21" s="21">
        <v>0</v>
      </c>
      <c r="G21" s="20">
        <v>0</v>
      </c>
      <c r="H21" s="20">
        <v>8250.7800000000007</v>
      </c>
      <c r="I21" s="20">
        <v>2749.96</v>
      </c>
      <c r="J21" s="20">
        <v>0</v>
      </c>
      <c r="K21" s="20">
        <v>2750.4</v>
      </c>
      <c r="L21" s="20">
        <v>5488.9</v>
      </c>
      <c r="M21" s="20">
        <v>0</v>
      </c>
      <c r="N21" s="20">
        <v>5494.4</v>
      </c>
      <c r="O21" s="3" t="s">
        <v>48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25">
      <c r="A22" s="10" t="s">
        <v>49</v>
      </c>
      <c r="B22" s="18">
        <f t="shared" si="1"/>
        <v>176660275.87000003</v>
      </c>
      <c r="C22" s="19">
        <v>13188036.720000001</v>
      </c>
      <c r="D22" s="20">
        <v>14989290.6</v>
      </c>
      <c r="E22" s="20">
        <v>13930052.560000001</v>
      </c>
      <c r="F22" s="21">
        <v>14743280.029999999</v>
      </c>
      <c r="G22" s="20">
        <v>15543403.09</v>
      </c>
      <c r="H22" s="20">
        <v>15412416.460000001</v>
      </c>
      <c r="I22" s="20">
        <v>14933463.460000001</v>
      </c>
      <c r="J22" s="20">
        <v>16785194.600000001</v>
      </c>
      <c r="K22" s="20">
        <v>15858045.49</v>
      </c>
      <c r="L22" s="20">
        <v>14754836.050000001</v>
      </c>
      <c r="M22" s="20">
        <v>12389929.23</v>
      </c>
      <c r="N22" s="20">
        <v>14132327.58</v>
      </c>
      <c r="O22" s="16" t="s">
        <v>50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55000000000000004">
      <c r="A23" s="10" t="s">
        <v>51</v>
      </c>
      <c r="B23" s="18">
        <f t="shared" si="1"/>
        <v>12914.3</v>
      </c>
      <c r="C23" s="19">
        <v>941.94</v>
      </c>
      <c r="D23" s="20">
        <v>560</v>
      </c>
      <c r="E23" s="20">
        <v>1332.36</v>
      </c>
      <c r="F23" s="21">
        <v>0</v>
      </c>
      <c r="G23" s="20">
        <v>2240</v>
      </c>
      <c r="H23" s="20">
        <v>1120</v>
      </c>
      <c r="I23" s="20">
        <v>1120</v>
      </c>
      <c r="J23" s="20">
        <v>1120</v>
      </c>
      <c r="K23" s="20">
        <v>1120</v>
      </c>
      <c r="L23" s="20">
        <v>1120</v>
      </c>
      <c r="M23" s="20">
        <v>1120</v>
      </c>
      <c r="N23" s="20">
        <v>1120</v>
      </c>
      <c r="O23" s="3" t="s">
        <v>52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 x14ac:dyDescent="0.55000000000000004">
      <c r="A24" s="10" t="s">
        <v>53</v>
      </c>
      <c r="B24" s="18">
        <f t="shared" si="1"/>
        <v>1507512.4</v>
      </c>
      <c r="C24" s="19">
        <v>118615.18</v>
      </c>
      <c r="D24" s="20">
        <v>125516.84</v>
      </c>
      <c r="E24" s="20">
        <v>128771.76</v>
      </c>
      <c r="F24" s="21">
        <v>120872.04</v>
      </c>
      <c r="G24" s="20">
        <v>118895.66</v>
      </c>
      <c r="H24" s="20">
        <v>119294.54</v>
      </c>
      <c r="I24" s="20">
        <v>126305.5</v>
      </c>
      <c r="J24" s="20">
        <v>124601.84</v>
      </c>
      <c r="K24" s="20">
        <v>112750.34</v>
      </c>
      <c r="L24" s="20">
        <v>115370.58</v>
      </c>
      <c r="M24" s="20">
        <v>119413.5</v>
      </c>
      <c r="N24" s="20">
        <v>177104.62</v>
      </c>
      <c r="O24" s="3" t="s">
        <v>54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 x14ac:dyDescent="0.55000000000000004">
      <c r="A25" s="10" t="s">
        <v>55</v>
      </c>
      <c r="B25" s="18">
        <f t="shared" si="1"/>
        <v>1604146.52</v>
      </c>
      <c r="C25" s="19">
        <v>117097.9</v>
      </c>
      <c r="D25" s="20">
        <v>133867.18</v>
      </c>
      <c r="E25" s="20">
        <v>126838.96</v>
      </c>
      <c r="F25" s="21">
        <v>115542.8</v>
      </c>
      <c r="G25" s="20">
        <v>136584.24</v>
      </c>
      <c r="H25" s="20">
        <v>90618.38</v>
      </c>
      <c r="I25" s="20">
        <v>146860.46</v>
      </c>
      <c r="J25" s="20">
        <v>116592.84</v>
      </c>
      <c r="K25" s="20">
        <v>72826.7</v>
      </c>
      <c r="L25" s="20">
        <v>120261.52</v>
      </c>
      <c r="M25" s="20">
        <v>193888.06</v>
      </c>
      <c r="N25" s="20">
        <v>233167.48</v>
      </c>
      <c r="O25" s="3" t="s">
        <v>56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55000000000000004">
      <c r="A26" s="10" t="s">
        <v>57</v>
      </c>
      <c r="B26" s="18">
        <f t="shared" si="1"/>
        <v>506291.63999999996</v>
      </c>
      <c r="C26" s="19">
        <v>43130.36</v>
      </c>
      <c r="D26" s="20">
        <v>43409.599999999999</v>
      </c>
      <c r="E26" s="20">
        <v>42305.88</v>
      </c>
      <c r="F26" s="21">
        <v>42250.16</v>
      </c>
      <c r="G26" s="20">
        <v>41719</v>
      </c>
      <c r="H26" s="20">
        <v>42194.38</v>
      </c>
      <c r="I26" s="20">
        <v>42006.1</v>
      </c>
      <c r="J26" s="20">
        <v>42266.8</v>
      </c>
      <c r="K26" s="20">
        <v>41782.46</v>
      </c>
      <c r="L26" s="20">
        <v>42016.480000000003</v>
      </c>
      <c r="M26" s="20">
        <v>41903.339999999997</v>
      </c>
      <c r="N26" s="20">
        <v>41307.08</v>
      </c>
      <c r="O26" s="3" t="s">
        <v>58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55000000000000004">
      <c r="A27" s="10" t="s">
        <v>59</v>
      </c>
      <c r="B27" s="18">
        <f t="shared" si="1"/>
        <v>46776903.469999999</v>
      </c>
      <c r="C27" s="19">
        <v>3863934.68</v>
      </c>
      <c r="D27" s="20">
        <v>3760500.15</v>
      </c>
      <c r="E27" s="20">
        <v>3969575.86</v>
      </c>
      <c r="F27" s="21">
        <v>3762360.9</v>
      </c>
      <c r="G27" s="20">
        <v>3654192.62</v>
      </c>
      <c r="H27" s="20">
        <v>3757777.04</v>
      </c>
      <c r="I27" s="20">
        <v>3817224.98</v>
      </c>
      <c r="J27" s="20">
        <v>4007283.64</v>
      </c>
      <c r="K27" s="20">
        <v>3774581.87</v>
      </c>
      <c r="L27" s="20">
        <v>3983672.34</v>
      </c>
      <c r="M27" s="20">
        <v>4305407.88</v>
      </c>
      <c r="N27" s="20">
        <v>4120391.51</v>
      </c>
      <c r="O27" s="3" t="s">
        <v>60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 x14ac:dyDescent="0.55000000000000004">
      <c r="A28" s="10" t="s">
        <v>61</v>
      </c>
      <c r="B28" s="18">
        <f t="shared" si="1"/>
        <v>67367446.319999993</v>
      </c>
      <c r="C28" s="19">
        <v>5241129.3</v>
      </c>
      <c r="D28" s="20">
        <v>5159082.5</v>
      </c>
      <c r="E28" s="20">
        <v>5210167.76</v>
      </c>
      <c r="F28" s="21">
        <v>5313826.78</v>
      </c>
      <c r="G28" s="20">
        <v>5420088.1600000001</v>
      </c>
      <c r="H28" s="20">
        <v>5725846.5999999996</v>
      </c>
      <c r="I28" s="20">
        <v>5862164.5800000001</v>
      </c>
      <c r="J28" s="20">
        <v>5781269.7199999997</v>
      </c>
      <c r="K28" s="20">
        <v>5894100.4800000004</v>
      </c>
      <c r="L28" s="20">
        <v>5917934.5</v>
      </c>
      <c r="M28" s="20">
        <v>5803801.1799999997</v>
      </c>
      <c r="N28" s="20">
        <v>6038034.7599999998</v>
      </c>
      <c r="O28" s="3" t="s">
        <v>62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 x14ac:dyDescent="0.55000000000000004">
      <c r="A29" s="10" t="s">
        <v>63</v>
      </c>
      <c r="B29" s="18">
        <f t="shared" si="1"/>
        <v>43687159.109999999</v>
      </c>
      <c r="C29" s="19">
        <v>3546390.44</v>
      </c>
      <c r="D29" s="20">
        <v>3713676.02</v>
      </c>
      <c r="E29" s="20">
        <v>3567951.86</v>
      </c>
      <c r="F29" s="21">
        <v>3424872.77</v>
      </c>
      <c r="G29" s="20">
        <v>4061174.82</v>
      </c>
      <c r="H29" s="20">
        <v>3632548.14</v>
      </c>
      <c r="I29" s="20">
        <v>3817609.45</v>
      </c>
      <c r="J29" s="20">
        <v>3713365.1</v>
      </c>
      <c r="K29" s="20">
        <v>3340928.54</v>
      </c>
      <c r="L29" s="20">
        <v>3690543.42</v>
      </c>
      <c r="M29" s="20">
        <v>3461555.16</v>
      </c>
      <c r="N29" s="20">
        <v>3716543.39</v>
      </c>
      <c r="O29" s="3" t="s">
        <v>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55000000000000004">
      <c r="A30" s="10" t="s">
        <v>65</v>
      </c>
      <c r="B30" s="18">
        <f t="shared" si="1"/>
        <v>40093342.450000003</v>
      </c>
      <c r="C30" s="19">
        <v>3241551.7</v>
      </c>
      <c r="D30" s="20">
        <v>3236659.5</v>
      </c>
      <c r="E30" s="20">
        <v>3221633.86</v>
      </c>
      <c r="F30" s="21">
        <v>3294222.18</v>
      </c>
      <c r="G30" s="20">
        <v>3327054.63</v>
      </c>
      <c r="H30" s="20">
        <v>3265527.86</v>
      </c>
      <c r="I30" s="20">
        <v>3296226.01</v>
      </c>
      <c r="J30" s="20">
        <v>3327396.46</v>
      </c>
      <c r="K30" s="20">
        <v>3297916.04</v>
      </c>
      <c r="L30" s="20">
        <v>3370376.4</v>
      </c>
      <c r="M30" s="20">
        <v>3378352.15</v>
      </c>
      <c r="N30" s="20">
        <v>3836425.66</v>
      </c>
      <c r="O30" s="3" t="s">
        <v>66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55000000000000004">
      <c r="A31" s="10" t="s">
        <v>67</v>
      </c>
      <c r="B31" s="18">
        <f t="shared" si="1"/>
        <v>412828.39999999997</v>
      </c>
      <c r="C31" s="19">
        <v>14727.68</v>
      </c>
      <c r="D31" s="20">
        <v>66717.58</v>
      </c>
      <c r="E31" s="20">
        <v>26976.62</v>
      </c>
      <c r="F31" s="21">
        <v>26970.92</v>
      </c>
      <c r="G31" s="20">
        <v>10448.26</v>
      </c>
      <c r="H31" s="20">
        <v>51844.98</v>
      </c>
      <c r="I31" s="20">
        <v>10839.2</v>
      </c>
      <c r="J31" s="20">
        <v>66752</v>
      </c>
      <c r="K31" s="20">
        <v>10880.06</v>
      </c>
      <c r="L31" s="20">
        <v>57677.8</v>
      </c>
      <c r="M31" s="20">
        <v>34397.72</v>
      </c>
      <c r="N31" s="20">
        <v>34595.58</v>
      </c>
      <c r="O31" s="3" t="s">
        <v>68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55000000000000004">
      <c r="A32" s="13" t="s">
        <v>69</v>
      </c>
      <c r="B32" s="22">
        <f t="shared" si="1"/>
        <v>42265154.020000003</v>
      </c>
      <c r="C32" s="23">
        <v>3403350.08</v>
      </c>
      <c r="D32" s="24">
        <v>3443007.22</v>
      </c>
      <c r="E32" s="24">
        <v>3444601.93</v>
      </c>
      <c r="F32" s="25">
        <v>3356051.64</v>
      </c>
      <c r="G32" s="24">
        <v>3544928.34</v>
      </c>
      <c r="H32" s="24">
        <v>3510975.63</v>
      </c>
      <c r="I32" s="24">
        <v>3478231.2</v>
      </c>
      <c r="J32" s="24">
        <v>3552191.08</v>
      </c>
      <c r="K32" s="24">
        <v>3532846.94</v>
      </c>
      <c r="L32" s="24">
        <v>3589343.68</v>
      </c>
      <c r="M32" s="24">
        <v>3374217.5</v>
      </c>
      <c r="N32" s="24">
        <v>4035408.78</v>
      </c>
      <c r="O32" s="5" t="s">
        <v>70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45">
      <c r="A33" s="6" t="s">
        <v>14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4" t="s">
        <v>13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</sheetData>
  <mergeCells count="5">
    <mergeCell ref="A1:O1"/>
    <mergeCell ref="A2:O2"/>
    <mergeCell ref="A4:A5"/>
    <mergeCell ref="B4:N4"/>
    <mergeCell ref="O4:O5"/>
  </mergeCells>
  <pageMargins left="0.7" right="0.7" top="0.75" bottom="0.75" header="0" footer="0"/>
  <pageSetup paperSize="9" scale="52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 </vt:lpstr>
      <vt:lpstr>'18.11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2025-06-16T04:02:23Z</cp:lastPrinted>
  <dcterms:created xsi:type="dcterms:W3CDTF">2025-05-19T08:29:05Z</dcterms:created>
  <dcterms:modified xsi:type="dcterms:W3CDTF">2025-06-16T04:02:27Z</dcterms:modified>
</cp:coreProperties>
</file>