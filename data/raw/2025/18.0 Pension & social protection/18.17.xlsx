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A94AF506-DAE8-4141-A9FB-000E5A301B9B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17" sheetId="17" r:id="rId1"/>
  </sheets>
  <definedNames>
    <definedName name="_xlnm.Print_Area" localSheetId="0">'18.17'!$A$1:$AE$40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K19" i="17" l="1"/>
  <c r="AC19" i="17" s="1"/>
  <c r="H19" i="17"/>
  <c r="AB19" i="17" s="1"/>
  <c r="E19" i="17"/>
  <c r="AA19" i="17" s="1"/>
  <c r="D19" i="17"/>
  <c r="C19" i="17"/>
  <c r="B19" i="17" s="1"/>
  <c r="P19" i="17"/>
  <c r="O19" i="17"/>
  <c r="N19" i="17"/>
  <c r="V18" i="17"/>
  <c r="K18" i="17"/>
  <c r="AC18" i="17" s="1"/>
  <c r="H18" i="17"/>
  <c r="AB18" i="17" s="1"/>
  <c r="E18" i="17"/>
  <c r="AA18" i="17" s="1"/>
  <c r="B18" i="17"/>
  <c r="P18" i="17"/>
  <c r="O18" i="17"/>
  <c r="N18" i="17"/>
  <c r="W17" i="17"/>
  <c r="V17" i="17"/>
  <c r="K17" i="17"/>
  <c r="AC17" i="17" s="1"/>
  <c r="H17" i="17"/>
  <c r="AB17" i="17" s="1"/>
  <c r="E17" i="17"/>
  <c r="B17" i="17"/>
  <c r="P17" i="17"/>
  <c r="V16" i="17"/>
  <c r="K16" i="17"/>
  <c r="H16" i="17"/>
  <c r="AB16" i="17" s="1"/>
  <c r="E16" i="17"/>
  <c r="AA16" i="17" s="1"/>
  <c r="B16" i="17"/>
  <c r="Y16" i="17"/>
  <c r="X16" i="17"/>
  <c r="W16" i="17"/>
  <c r="V15" i="17"/>
  <c r="K15" i="17"/>
  <c r="AC15" i="17" s="1"/>
  <c r="H15" i="17"/>
  <c r="AB15" i="17" s="1"/>
  <c r="E15" i="17"/>
  <c r="AA15" i="17" s="1"/>
  <c r="B15" i="17"/>
  <c r="Z15" i="17" s="1"/>
  <c r="Y15" i="17"/>
  <c r="X15" i="17"/>
  <c r="W15" i="17"/>
  <c r="AC14" i="17"/>
  <c r="X14" i="17"/>
  <c r="W14" i="17"/>
  <c r="V14" i="17"/>
  <c r="K14" i="17"/>
  <c r="H14" i="17"/>
  <c r="AB14" i="17" s="1"/>
  <c r="E14" i="17"/>
  <c r="AA14" i="17" s="1"/>
  <c r="B14" i="17"/>
  <c r="Z14" i="17" s="1"/>
  <c r="P14" i="17"/>
  <c r="X13" i="17"/>
  <c r="W13" i="17"/>
  <c r="V13" i="17"/>
  <c r="K13" i="17"/>
  <c r="AC13" i="17" s="1"/>
  <c r="H13" i="17"/>
  <c r="AB13" i="17" s="1"/>
  <c r="E13" i="17"/>
  <c r="B13" i="17"/>
  <c r="Z13" i="17" s="1"/>
  <c r="Y13" i="17"/>
  <c r="P13" i="17"/>
  <c r="O13" i="17"/>
  <c r="X12" i="17"/>
  <c r="V12" i="17"/>
  <c r="K12" i="17"/>
  <c r="H12" i="17"/>
  <c r="AB12" i="17" s="1"/>
  <c r="E12" i="17"/>
  <c r="AA12" i="17" s="1"/>
  <c r="B12" i="17"/>
  <c r="Z12" i="17" s="1"/>
  <c r="W12" i="17"/>
  <c r="AC11" i="17"/>
  <c r="AA11" i="17"/>
  <c r="X11" i="17"/>
  <c r="W11" i="17"/>
  <c r="K11" i="17"/>
  <c r="H11" i="17"/>
  <c r="AB11" i="17" s="1"/>
  <c r="E11" i="17"/>
  <c r="B11" i="17"/>
  <c r="Z11" i="17" s="1"/>
  <c r="Y11" i="17"/>
  <c r="V11" i="17"/>
  <c r="X10" i="17"/>
  <c r="K10" i="17"/>
  <c r="AC10" i="17" s="1"/>
  <c r="H10" i="17"/>
  <c r="AB10" i="17" s="1"/>
  <c r="E10" i="17"/>
  <c r="AA10" i="17" s="1"/>
  <c r="B10" i="17"/>
  <c r="Z10" i="17" s="1"/>
  <c r="Y10" i="17"/>
  <c r="W10" i="17"/>
  <c r="V10" i="17"/>
  <c r="Z9" i="17"/>
  <c r="V9" i="17"/>
  <c r="K9" i="17"/>
  <c r="AC9" i="17" s="1"/>
  <c r="H9" i="17"/>
  <c r="AB9" i="17" s="1"/>
  <c r="E9" i="17"/>
  <c r="AA9" i="17" s="1"/>
  <c r="B9" i="17"/>
  <c r="Y9" i="17"/>
  <c r="X9" i="17"/>
  <c r="W9" i="17"/>
  <c r="V8" i="17"/>
  <c r="K8" i="17"/>
  <c r="AC8" i="17" s="1"/>
  <c r="H8" i="17"/>
  <c r="E8" i="17"/>
  <c r="B8" i="17"/>
  <c r="Z8" i="17" s="1"/>
  <c r="Y8" i="17"/>
  <c r="X8" i="17"/>
  <c r="O8" i="17"/>
  <c r="M7" i="17"/>
  <c r="L7" i="17"/>
  <c r="J7" i="17"/>
  <c r="I7" i="17"/>
  <c r="G7" i="17"/>
  <c r="F7" i="17"/>
  <c r="D7" i="17"/>
  <c r="C7" i="17"/>
  <c r="Y7" i="17"/>
  <c r="Q7" i="17"/>
  <c r="X7" i="17"/>
  <c r="P7" i="17"/>
  <c r="W7" i="17"/>
  <c r="O15" i="17"/>
  <c r="V7" i="17"/>
  <c r="N15" i="17"/>
  <c r="E7" i="17" l="1"/>
  <c r="S18" i="17" s="1"/>
  <c r="H7" i="17"/>
  <c r="T18" i="17" s="1"/>
  <c r="AB7" i="17"/>
  <c r="AA8" i="17"/>
  <c r="AA7" i="17"/>
  <c r="AB8" i="17"/>
  <c r="B7" i="17"/>
  <c r="R11" i="17" s="1"/>
  <c r="R12" i="17"/>
  <c r="Q19" i="17"/>
  <c r="Q14" i="17"/>
  <c r="S11" i="17"/>
  <c r="T11" i="17"/>
  <c r="T12" i="17"/>
  <c r="S13" i="17"/>
  <c r="Q18" i="17"/>
  <c r="K7" i="17"/>
  <c r="U18" i="17" s="1"/>
  <c r="Q12" i="17"/>
  <c r="T10" i="17"/>
  <c r="Q17" i="17"/>
  <c r="Z19" i="17"/>
  <c r="Y12" i="17"/>
  <c r="P8" i="17"/>
  <c r="N9" i="17"/>
  <c r="T13" i="17"/>
  <c r="P15" i="17"/>
  <c r="N16" i="17"/>
  <c r="Z16" i="17"/>
  <c r="X17" i="17"/>
  <c r="S7" i="17"/>
  <c r="Q8" i="17"/>
  <c r="O9" i="17"/>
  <c r="N10" i="17"/>
  <c r="S14" i="17"/>
  <c r="Q15" i="17"/>
  <c r="O16" i="17"/>
  <c r="Y17" i="17"/>
  <c r="W18" i="17"/>
  <c r="S19" i="17"/>
  <c r="T7" i="17"/>
  <c r="P9" i="17"/>
  <c r="O10" i="17"/>
  <c r="N11" i="17"/>
  <c r="P16" i="17"/>
  <c r="N17" i="17"/>
  <c r="Z17" i="17"/>
  <c r="X18" i="17"/>
  <c r="T19" i="17"/>
  <c r="S8" i="17"/>
  <c r="Q9" i="17"/>
  <c r="P10" i="17"/>
  <c r="O11" i="17"/>
  <c r="S15" i="17"/>
  <c r="Q16" i="17"/>
  <c r="AC16" i="17"/>
  <c r="O17" i="17"/>
  <c r="AA17" i="17"/>
  <c r="Y18" i="17"/>
  <c r="T8" i="17"/>
  <c r="Q10" i="17"/>
  <c r="P11" i="17"/>
  <c r="N12" i="17"/>
  <c r="T15" i="17"/>
  <c r="Z18" i="17"/>
  <c r="V19" i="17"/>
  <c r="S9" i="17"/>
  <c r="Q11" i="17"/>
  <c r="O12" i="17"/>
  <c r="S16" i="17"/>
  <c r="W19" i="17"/>
  <c r="T9" i="17"/>
  <c r="S10" i="17"/>
  <c r="P12" i="17"/>
  <c r="N13" i="17"/>
  <c r="T16" i="17"/>
  <c r="X19" i="17"/>
  <c r="W8" i="17"/>
  <c r="AC12" i="17"/>
  <c r="AA13" i="17"/>
  <c r="Y14" i="17"/>
  <c r="Y19" i="17"/>
  <c r="N7" i="17"/>
  <c r="N14" i="17"/>
  <c r="T17" i="17"/>
  <c r="O7" i="17"/>
  <c r="U11" i="17"/>
  <c r="S12" i="17"/>
  <c r="Q13" i="17"/>
  <c r="O14" i="17"/>
  <c r="N8" i="17"/>
  <c r="U10" i="17" l="1"/>
  <c r="R14" i="17"/>
  <c r="R15" i="17"/>
  <c r="R7" i="17"/>
  <c r="U8" i="17"/>
  <c r="T14" i="17"/>
  <c r="R19" i="17"/>
  <c r="S17" i="17"/>
  <c r="R13" i="17"/>
  <c r="R8" i="17"/>
  <c r="U13" i="17"/>
  <c r="R9" i="17"/>
  <c r="U17" i="17"/>
  <c r="R18" i="17"/>
  <c r="U14" i="17"/>
  <c r="U15" i="17"/>
  <c r="U19" i="17"/>
  <c r="R10" i="17"/>
  <c r="AC7" i="17"/>
  <c r="R16" i="17"/>
  <c r="R17" i="17"/>
  <c r="Z7" i="17"/>
  <c r="U7" i="17"/>
  <c r="U16" i="17"/>
  <c r="U12" i="17"/>
  <c r="U9" i="17"/>
</calcChain>
</file>

<file path=xl/sharedStrings.xml><?xml version="1.0" encoding="utf-8"?>
<sst xmlns="http://schemas.openxmlformats.org/spreadsheetml/2006/main" count="72" uniqueCount="40">
  <si>
    <t>އިންސައްތަ</t>
  </si>
  <si>
    <t>އަންހެނުންގެ އިން ސައްތަ</t>
  </si>
  <si>
    <t>% share of females</t>
  </si>
  <si>
    <t>ޖުމްލަ</t>
  </si>
  <si>
    <t>ފިރިހެން</t>
  </si>
  <si>
    <t>އަންހެން</t>
  </si>
  <si>
    <t>Total</t>
  </si>
  <si>
    <t>Male</t>
  </si>
  <si>
    <t>Female</t>
  </si>
  <si>
    <t>މަޢުލޫމާތު ދެއްވި ފަރާތް: މޯލްޑިވްސް ޕެންޝަން އެޑްމިނިސްޓްރޭޝަން</t>
  </si>
  <si>
    <t>Source: Maldives Pension Administration</t>
  </si>
  <si>
    <t>Others</t>
  </si>
  <si>
    <t>އެހެނިހެން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</si>
  <si>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</si>
  <si>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</si>
  <si>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</si>
  <si>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</si>
  <si>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</si>
  <si>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</si>
  <si>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</si>
  <si>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</si>
  <si>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</si>
  <si>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</si>
  <si>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</si>
  <si>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</si>
  <si>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</si>
  <si>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</si>
  <si>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</si>
  <si>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</si>
  <si>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</si>
  <si>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</si>
  <si>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</si>
  <si>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</si>
  <si>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</si>
  <si>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</si>
  <si>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</si>
  <si>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</si>
  <si>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</si>
  <si>
    <t>TABLE   18.17: EMPLOYEES REGISTERED IN THE RETIREMENT PENSION SCHEME, BY TYPE OF EMPLOYER, 2022 - 2024</t>
  </si>
  <si>
    <t>ތާވަލު  18.17 : ތަނުގެ ބާވަތުން، ރިޓާޔަމަންޓް ޕެންޝަން ސްކީމްގައި ރެޖިސްޓަރކޮށްފައިވާ މުވައްޒަފުންގެ ޢަދަދު ، 2022 - 2024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</si>
</sst>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sz val="11"/>
      <color rgb="FF000000"/>
      <name val="Faruma"/>
    </font>
    <font>
      <sz val="10"/>
      <color rgb="FF000000"/>
      <name val="Faruma"/>
    </font>
    <font>
      <i/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20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1" fillId="2" borderId="4" xfId="0" applyFont="1" applyFill="1" applyBorder="1"/>
    <xf numFmtId="0" fontId="6" fillId="2" borderId="4" xfId="0" applyFont="1" applyFill="1" applyBorder="1"/>
    <xf numFmtId="0" fontId="6" fillId="2" borderId="18" xfId="0" applyFont="1" applyFill="1" applyBorder="1"/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22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3" fillId="2" borderId="18" xfId="0" applyFont="1" applyFill="1" applyBorder="1" applyAlignment="1">
      <alignment horizontal="left" vertical="center"/>
    </xf>
    <xf numFmtId="3" fontId="3" fillId="2" borderId="18" xfId="0" applyNumberFormat="1" applyFont="1" applyFill="1" applyBorder="1" applyAlignment="1">
      <alignment vertical="center"/>
    </xf>
    <xf numFmtId="3" fontId="3" fillId="2" borderId="18" xfId="0" applyNumberFormat="1" applyFont="1" applyFill="1" applyBorder="1" applyAlignment="1">
      <alignment horizontal="right" vertical="center"/>
    </xf>
    <xf numFmtId="0" fontId="8" fillId="2" borderId="4" xfId="0" applyFont="1" applyFill="1" applyBorder="1"/>
    <xf numFmtId="0" fontId="7" fillId="2" borderId="4" xfId="0" applyFont="1" applyFill="1" applyBorder="1"/>
    <xf numFmtId="3" fontId="3" fillId="2" borderId="22" xfId="0" applyNumberFormat="1" applyFont="1" applyFill="1" applyBorder="1" applyAlignment="1">
      <alignment vertical="center"/>
    </xf>
    <xf numFmtId="3" fontId="3" fillId="2" borderId="19" xfId="0" applyNumberFormat="1" applyFont="1" applyFill="1" applyBorder="1" applyAlignment="1">
      <alignment vertical="center"/>
    </xf>
    <xf numFmtId="1" fontId="3" fillId="2" borderId="4" xfId="0" applyNumberFormat="1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0" fontId="3" fillId="2" borderId="22" xfId="0" applyFont="1" applyFill="1" applyBorder="1"/>
    <xf numFmtId="0" fontId="4" fillId="2" borderId="15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1" fillId="2" borderId="18" xfId="0" applyFont="1" applyFill="1" applyBorder="1"/>
    <xf numFmtId="0" fontId="1" fillId="2" borderId="19" xfId="0" applyFont="1" applyFill="1" applyBorder="1"/>
    <xf numFmtId="0" fontId="4" fillId="2" borderId="20" xfId="0" applyFont="1" applyFill="1" applyBorder="1"/>
    <xf numFmtId="0" fontId="0" fillId="3" borderId="0" xfId="0" applyFill="1"/>
    <xf numFmtId="3" fontId="3" fillId="4" borderId="22" xfId="0" applyNumberFormat="1" applyFont="1" applyFill="1" applyBorder="1" applyAlignment="1">
      <alignment vertical="center"/>
    </xf>
    <xf numFmtId="3" fontId="3" fillId="4" borderId="19" xfId="0" applyNumberFormat="1" applyFont="1" applyFill="1" applyBorder="1" applyAlignment="1">
      <alignment vertical="center"/>
    </xf>
    <xf numFmtId="3" fontId="3" fillId="4" borderId="4" xfId="0" applyNumberFormat="1" applyFont="1" applyFill="1" applyBorder="1" applyAlignment="1">
      <alignment horizontal="right" vertical="center"/>
    </xf>
    <xf numFmtId="3" fontId="3" fillId="4" borderId="18" xfId="0" applyNumberFormat="1" applyFont="1" applyFill="1" applyBorder="1" applyAlignment="1">
      <alignment horizontal="right" vertical="center"/>
    </xf>
    <xf numFmtId="3" fontId="3" fillId="4" borderId="19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vertical="center"/>
    </xf>
    <xf numFmtId="3" fontId="3" fillId="4" borderId="18" xfId="0" applyNumberFormat="1" applyFont="1" applyFill="1" applyBorder="1" applyAlignment="1">
      <alignment vertical="center"/>
    </xf>
    <xf numFmtId="0" fontId="4" fillId="4" borderId="20" xfId="0" applyFont="1" applyFill="1" applyBorder="1"/>
    <xf numFmtId="3" fontId="3" fillId="4" borderId="22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3" fontId="9" fillId="4" borderId="22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2" fillId="3" borderId="11" xfId="0" applyFont="1" applyFill="1" applyBorder="1"/>
    <xf numFmtId="0" fontId="2" fillId="3" borderId="17" xfId="0" applyFont="1" applyFill="1" applyBorder="1"/>
    <xf numFmtId="0" fontId="2" fillId="3" borderId="27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23" xfId="0" applyFont="1" applyFill="1" applyBorder="1"/>
    <xf numFmtId="0" fontId="2" fillId="3" borderId="25" xfId="0" applyFont="1" applyFill="1" applyBorder="1"/>
    <xf numFmtId="0" fontId="2" fillId="3" borderId="10" xfId="0" applyFont="1" applyFill="1" applyBorder="1"/>
    <xf numFmtId="0" fontId="4" fillId="2" borderId="1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757575"/>
                </a:solidFill>
                <a:latin typeface="Calibri"/>
              </a:defRPr>
            </a:pPr>
            <a:r>
              <a:rPr lang="en-US" sz="1100" b="1" i="0">
                <a:solidFill>
                  <a:srgbClr val="757575"/>
                </a:solidFill>
                <a:latin typeface="Calibri"/>
              </a:rPr>
              <a:t>Figure 18.16: Percentage share of female employees registered in the retirement pension scheme, by type of employer, end of  2024 </a:t>
            </a:r>
          </a:p>
        </c:rich>
      </c:tx>
      <c:layout>
        <c:manualLayout>
          <c:xMode val="edge"/>
          <c:yMode val="edge"/>
          <c:x val="0.21566851684523045"/>
          <c:y val="3.65296803652968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44416554917535"/>
          <c:y val="0.17189394406639119"/>
          <c:w val="0.73421643801075087"/>
          <c:h val="0.70838126957367931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003399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'18.17'!$AR$24:$AR$35</c:f>
              <c:strCache>
                <c:ptCount val="12"/>
                <c:pt idx="0">
                  <c:v>Schools/universitiy</c:v>
                </c:pt>
                <c:pt idx="1">
                  <c:v>Hospitals/health Care facilities</c:v>
                </c:pt>
                <c:pt idx="2">
                  <c:v>City councils</c:v>
                </c:pt>
                <c:pt idx="3">
                  <c:v>Government Offices</c:v>
                </c:pt>
                <c:pt idx="4">
                  <c:v>Independent Agencies</c:v>
                </c:pt>
                <c:pt idx="5">
                  <c:v>Others</c:v>
                </c:pt>
                <c:pt idx="6">
                  <c:v>Atoll councils</c:v>
                </c:pt>
                <c:pt idx="7">
                  <c:v>Island councils</c:v>
                </c:pt>
                <c:pt idx="8">
                  <c:v>Judiciary</c:v>
                </c:pt>
                <c:pt idx="9">
                  <c:v>State owned enterprises</c:v>
                </c:pt>
                <c:pt idx="10">
                  <c:v>Other Private Sector</c:v>
                </c:pt>
                <c:pt idx="11">
                  <c:v>Police/ NSS</c:v>
                </c:pt>
              </c:strCache>
            </c:strRef>
          </c:cat>
          <c:val>
            <c:numRef>
              <c:f>'18.17'!$AS$24:$AS$35</c:f>
              <c:numCache>
                <c:formatCode>#,##0</c:formatCode>
                <c:ptCount val="12"/>
                <c:pt idx="0">
                  <c:v>80.030880082346883</c:v>
                </c:pt>
                <c:pt idx="1">
                  <c:v>72.216699801192846</c:v>
                </c:pt>
                <c:pt idx="2">
                  <c:v>58.847457627118651</c:v>
                </c:pt>
                <c:pt idx="3">
                  <c:v>58.244330651060714</c:v>
                </c:pt>
                <c:pt idx="4">
                  <c:v>55.856299212598429</c:v>
                </c:pt>
                <c:pt idx="5">
                  <c:v>49.05797101449275</c:v>
                </c:pt>
                <c:pt idx="6">
                  <c:v>48.070175438596493</c:v>
                </c:pt>
                <c:pt idx="7">
                  <c:v>47.363300252967505</c:v>
                </c:pt>
                <c:pt idx="8">
                  <c:v>45.894861193148259</c:v>
                </c:pt>
                <c:pt idx="9">
                  <c:v>25.831751602621495</c:v>
                </c:pt>
                <c:pt idx="10">
                  <c:v>23.302613766531291</c:v>
                </c:pt>
                <c:pt idx="11">
                  <c:v>15.745827718461697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21-4537-9454-5D9902C1D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356571"/>
        <c:axId val="814718531"/>
      </c:barChart>
      <c:catAx>
        <c:axId val="5023565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718531"/>
        <c:crosses val="autoZero"/>
        <c:auto val="1"/>
        <c:lblAlgn val="ctr"/>
        <c:lblOffset val="100"/>
        <c:noMultiLvlLbl val="1"/>
      </c:catAx>
      <c:valAx>
        <c:axId val="8147185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Calibri"/>
                  </a:rPr>
                  <a:t>% share of  females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356571"/>
        <c:crosses val="max"/>
        <c:crossBetween val="between"/>
      </c:valAx>
      <c:spPr>
        <a:solidFill>
          <a:srgbClr val="F7F7F7"/>
        </a:solidFill>
        <a:ln>
          <a:solidFill>
            <a:schemeClr val="bg2">
              <a:lumMod val="85000"/>
            </a:schemeClr>
          </a:solidFill>
        </a:ln>
      </c:spPr>
    </c:plotArea>
    <c:plotVisOnly val="1"/>
    <c:dispBlanksAs val="zero"/>
    <c:showDLblsOverMax val="1"/>
  </c:chart>
  <c:spPr>
    <a:solidFill>
      <a:srgbClr val="F7F7F7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20</xdr:row>
      <xdr:rowOff>66675</xdr:rowOff>
    </xdr:from>
    <xdr:ext cx="8724900" cy="3648075"/>
    <xdr:graphicFrame macro="">
      <xdr:nvGraphicFramePr>
        <xdr:cNvPr id="512007430" name="Chart 17">
          <a:extLst>
            <a:ext uri="{FF2B5EF4-FFF2-40B4-BE49-F238E27FC236}">
              <a16:creationId xmlns:a16="http://schemas.microsoft.com/office/drawing/2014/main" id="{00000000-0008-0000-1000-0000069D8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S1000"/>
  <sheetViews>
    <sheetView tabSelected="1" zoomScaleNormal="100" workbookViewId="0">
      <selection activeCell="AJ15" sqref="AJ15"/>
    </sheetView>
  </sheetViews>
  <sheetFormatPr defaultColWidth="14.42578125" defaultRowHeight="15" customHeight="1" x14ac:dyDescent="0.25"/>
  <cols>
    <col min="1" max="1" width="25.28515625" style="31" customWidth="1"/>
    <col min="2" max="4" width="7.7109375" style="31" hidden="1" customWidth="1"/>
    <col min="5" max="13" width="9.28515625" style="31" customWidth="1"/>
    <col min="14" max="17" width="8" style="31" hidden="1" customWidth="1"/>
    <col min="18" max="21" width="8" style="31" customWidth="1"/>
    <col min="22" max="25" width="8" style="31" hidden="1" customWidth="1"/>
    <col min="26" max="29" width="8" style="31" customWidth="1"/>
    <col min="30" max="30" width="30.5703125" style="31" customWidth="1"/>
    <col min="31" max="31" width="4.140625" style="31" customWidth="1"/>
    <col min="32" max="45" width="8" style="31" customWidth="1"/>
    <col min="46" max="16384" width="14.42578125" style="31"/>
  </cols>
  <sheetData>
    <row r="1" spans="1:45" ht="19.5" customHeight="1" x14ac:dyDescent="0.55000000000000004">
      <c r="A1" s="49" t="s">
        <v>39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customHeight="1" x14ac:dyDescent="0.25">
      <c r="A2" s="59" t="s">
        <v>38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ht="2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ht="14.25" customHeight="1" x14ac:dyDescent="0.25">
      <c r="A4" s="52" t="s">
        <v>13</v>
      </c>
      <c r="B4" s="58">
        <v>2021</v>
      </c>
      <c r="C4" s="47"/>
      <c r="D4" s="48"/>
      <c r="E4" s="58">
        <v>2022</v>
      </c>
      <c r="F4" s="47"/>
      <c r="G4" s="48"/>
      <c r="H4" s="58">
        <v>2023</v>
      </c>
      <c r="I4" s="47"/>
      <c r="J4" s="48"/>
      <c r="K4" s="58">
        <v>2024</v>
      </c>
      <c r="L4" s="47"/>
      <c r="M4" s="48"/>
      <c r="N4" s="60" t="s">
        <v>14</v>
      </c>
      <c r="O4" s="53"/>
      <c r="P4" s="53"/>
      <c r="Q4" s="53"/>
      <c r="R4" s="53"/>
      <c r="S4" s="53"/>
      <c r="T4" s="53"/>
      <c r="U4" s="54"/>
      <c r="V4" s="61" t="s">
        <v>2</v>
      </c>
      <c r="W4" s="53"/>
      <c r="X4" s="53"/>
      <c r="Y4" s="53"/>
      <c r="Z4" s="53"/>
      <c r="AA4" s="53"/>
      <c r="AB4" s="53"/>
      <c r="AC4" s="57"/>
      <c r="AD4" s="43" t="s">
        <v>15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8" customHeight="1" x14ac:dyDescent="0.5">
      <c r="A5" s="44"/>
      <c r="B5" s="26" t="s">
        <v>6</v>
      </c>
      <c r="C5" s="26" t="s">
        <v>7</v>
      </c>
      <c r="D5" s="27" t="s">
        <v>8</v>
      </c>
      <c r="E5" s="26" t="s">
        <v>6</v>
      </c>
      <c r="F5" s="26" t="s">
        <v>7</v>
      </c>
      <c r="G5" s="27" t="s">
        <v>8</v>
      </c>
      <c r="H5" s="26" t="s">
        <v>6</v>
      </c>
      <c r="I5" s="26" t="s">
        <v>7</v>
      </c>
      <c r="J5" s="27" t="s">
        <v>8</v>
      </c>
      <c r="K5" s="26" t="s">
        <v>6</v>
      </c>
      <c r="L5" s="26" t="s">
        <v>7</v>
      </c>
      <c r="M5" s="27" t="s">
        <v>8</v>
      </c>
      <c r="N5" s="63" t="s">
        <v>0</v>
      </c>
      <c r="O5" s="50"/>
      <c r="P5" s="50"/>
      <c r="Q5" s="50"/>
      <c r="R5" s="50"/>
      <c r="S5" s="50"/>
      <c r="T5" s="50"/>
      <c r="U5" s="46"/>
      <c r="V5" s="62" t="s">
        <v>1</v>
      </c>
      <c r="W5" s="55"/>
      <c r="X5" s="55"/>
      <c r="Y5" s="55"/>
      <c r="Z5" s="55"/>
      <c r="AA5" s="55"/>
      <c r="AB5" s="55"/>
      <c r="AC5" s="56"/>
      <c r="AD5" s="44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21" customHeight="1" x14ac:dyDescent="0.55000000000000004">
      <c r="A6" s="45"/>
      <c r="B6" s="28" t="s">
        <v>3</v>
      </c>
      <c r="C6" s="28" t="s">
        <v>4</v>
      </c>
      <c r="D6" s="29" t="s">
        <v>5</v>
      </c>
      <c r="E6" s="28" t="s">
        <v>3</v>
      </c>
      <c r="F6" s="28" t="s">
        <v>4</v>
      </c>
      <c r="G6" s="29" t="s">
        <v>5</v>
      </c>
      <c r="H6" s="28" t="s">
        <v>3</v>
      </c>
      <c r="I6" s="28" t="s">
        <v>4</v>
      </c>
      <c r="J6" s="29" t="s">
        <v>5</v>
      </c>
      <c r="K6" s="28" t="s">
        <v>3</v>
      </c>
      <c r="L6" s="28" t="s">
        <v>4</v>
      </c>
      <c r="M6" s="29" t="s">
        <v>5</v>
      </c>
      <c r="N6" s="3">
        <v>2017</v>
      </c>
      <c r="O6" s="3">
        <v>2018</v>
      </c>
      <c r="P6" s="26">
        <v>2019</v>
      </c>
      <c r="Q6" s="26">
        <v>2020</v>
      </c>
      <c r="R6" s="3">
        <v>2021</v>
      </c>
      <c r="S6" s="3">
        <v>2022</v>
      </c>
      <c r="T6" s="3">
        <v>2023</v>
      </c>
      <c r="U6" s="4">
        <v>2024</v>
      </c>
      <c r="V6" s="30">
        <v>2017</v>
      </c>
      <c r="W6" s="30">
        <v>2018</v>
      </c>
      <c r="X6" s="30">
        <v>2019</v>
      </c>
      <c r="Y6" s="30">
        <v>2020</v>
      </c>
      <c r="Z6" s="30">
        <v>2021</v>
      </c>
      <c r="AA6" s="30">
        <v>2022</v>
      </c>
      <c r="AB6" s="30">
        <v>2023</v>
      </c>
      <c r="AC6" s="39">
        <v>2024</v>
      </c>
      <c r="AD6" s="45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ht="21" customHeight="1" x14ac:dyDescent="0.55000000000000004">
      <c r="A7" s="8" t="s">
        <v>6</v>
      </c>
      <c r="B7" s="10">
        <f t="shared" ref="B7:M7" si="0">SUM(B8:B19)</f>
        <v>103768</v>
      </c>
      <c r="C7" s="10">
        <f t="shared" si="0"/>
        <v>67194</v>
      </c>
      <c r="D7" s="11">
        <f t="shared" si="0"/>
        <v>36574</v>
      </c>
      <c r="E7" s="10">
        <f t="shared" si="0"/>
        <v>110934</v>
      </c>
      <c r="F7" s="10">
        <f t="shared" si="0"/>
        <v>71912</v>
      </c>
      <c r="G7" s="11">
        <f t="shared" si="0"/>
        <v>39022</v>
      </c>
      <c r="H7" s="10">
        <f t="shared" si="0"/>
        <v>116560</v>
      </c>
      <c r="I7" s="10">
        <f t="shared" si="0"/>
        <v>74454</v>
      </c>
      <c r="J7" s="11">
        <f t="shared" si="0"/>
        <v>42106</v>
      </c>
      <c r="K7" s="10">
        <f t="shared" si="0"/>
        <v>117761</v>
      </c>
      <c r="L7" s="10">
        <f t="shared" si="0"/>
        <v>73919</v>
      </c>
      <c r="M7" s="11">
        <f t="shared" si="0"/>
        <v>43842</v>
      </c>
      <c r="N7" s="24" t="e">
        <f>#REF!/#REF!*100</f>
        <v>#REF!</v>
      </c>
      <c r="O7" s="24" t="e">
        <f>#REF!/#REF!*100</f>
        <v>#REF!</v>
      </c>
      <c r="P7" s="24" t="e">
        <f>#REF!/#REF!*100</f>
        <v>#REF!</v>
      </c>
      <c r="Q7" s="24" t="e">
        <f>#REF!/#REF!*100</f>
        <v>#REF!</v>
      </c>
      <c r="R7" s="9">
        <f>B7/$B$7*100</f>
        <v>100</v>
      </c>
      <c r="S7" s="9">
        <f t="shared" ref="S7:S19" si="1">E7/$E$7*100</f>
        <v>100</v>
      </c>
      <c r="T7" s="24">
        <f t="shared" ref="T7:T19" si="2">H7/$H$7*100</f>
        <v>100</v>
      </c>
      <c r="U7" s="42">
        <f t="shared" ref="U7:U19" si="3">K7/$K$7*100</f>
        <v>100</v>
      </c>
      <c r="V7" s="9" t="e">
        <f>#REF!/#REF!*100</f>
        <v>#REF!</v>
      </c>
      <c r="W7" s="9" t="e">
        <f>#REF!/#REF!*100</f>
        <v>#REF!</v>
      </c>
      <c r="X7" s="9" t="e">
        <f>#REF!/#REF!*100</f>
        <v>#REF!</v>
      </c>
      <c r="Y7" s="9" t="e">
        <f>#REF!/#REF!*100</f>
        <v>#REF!</v>
      </c>
      <c r="Z7" s="9">
        <f t="shared" ref="Z7:Z19" si="4">D7/B7*100</f>
        <v>35.245933235679594</v>
      </c>
      <c r="AA7" s="9">
        <f t="shared" ref="AA7:AA19" si="5">G7/E7*100</f>
        <v>35.175870337317683</v>
      </c>
      <c r="AB7" s="24">
        <f t="shared" ref="AB7:AB19" si="6">J7/H7*100</f>
        <v>36.123884694577903</v>
      </c>
      <c r="AC7" s="41">
        <f t="shared" ref="AC7:AC19" si="7">M7/K7*100</f>
        <v>37.229643090666691</v>
      </c>
      <c r="AD7" s="5" t="s">
        <v>3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21" customHeight="1" x14ac:dyDescent="0.55000000000000004">
      <c r="A8" s="12" t="s">
        <v>16</v>
      </c>
      <c r="B8" s="13">
        <f t="shared" ref="B8:B19" si="8">SUM(C8:D8)</f>
        <v>12614</v>
      </c>
      <c r="C8" s="13">
        <v>5478</v>
      </c>
      <c r="D8" s="21">
        <v>7136</v>
      </c>
      <c r="E8" s="13">
        <f t="shared" ref="E8:E19" si="9">SUM(F8:G8)</f>
        <v>12580</v>
      </c>
      <c r="F8" s="13">
        <v>5420</v>
      </c>
      <c r="G8" s="21">
        <v>7160</v>
      </c>
      <c r="H8" s="13">
        <f t="shared" ref="H8:H19" si="10">SUM(I8:J8)</f>
        <v>12766</v>
      </c>
      <c r="I8" s="13">
        <v>5252</v>
      </c>
      <c r="J8" s="21">
        <v>7514</v>
      </c>
      <c r="K8" s="13">
        <f t="shared" ref="K8:K19" si="11">SUM(L8:M8)</f>
        <v>13670</v>
      </c>
      <c r="L8" s="37">
        <v>5708</v>
      </c>
      <c r="M8" s="32">
        <v>7962</v>
      </c>
      <c r="N8" s="14" t="e">
        <f>#REF!/#REF!*100</f>
        <v>#REF!</v>
      </c>
      <c r="O8" s="14" t="e">
        <f>#REF!/#REF!*100</f>
        <v>#REF!</v>
      </c>
      <c r="P8" s="14" t="e">
        <f>#REF!/#REF!*100</f>
        <v>#REF!</v>
      </c>
      <c r="Q8" s="14" t="e">
        <f>#REF!/#REF!*100</f>
        <v>#REF!</v>
      </c>
      <c r="R8" s="14">
        <f>B8/$B$7*100</f>
        <v>12.155963302752294</v>
      </c>
      <c r="S8" s="14">
        <f t="shared" si="1"/>
        <v>11.340076081273551</v>
      </c>
      <c r="T8" s="14">
        <f t="shared" si="2"/>
        <v>10.952299245024022</v>
      </c>
      <c r="U8" s="40">
        <f t="shared" si="3"/>
        <v>11.60825740270548</v>
      </c>
      <c r="V8" s="14" t="e">
        <f>#REF!/#REF!*100</f>
        <v>#REF!</v>
      </c>
      <c r="W8" s="14" t="e">
        <f>#REF!/#REF!*100</f>
        <v>#REF!</v>
      </c>
      <c r="X8" s="14" t="e">
        <f>#REF!/#REF!*100</f>
        <v>#REF!</v>
      </c>
      <c r="Y8" s="14" t="e">
        <f>#REF!/#REF!*100</f>
        <v>#REF!</v>
      </c>
      <c r="Z8" s="14">
        <f>D8/B8*100</f>
        <v>56.57206278737911</v>
      </c>
      <c r="AA8" s="14">
        <f t="shared" si="5"/>
        <v>56.91573926868044</v>
      </c>
      <c r="AB8" s="14">
        <f t="shared" si="6"/>
        <v>58.859470468431773</v>
      </c>
      <c r="AC8" s="34">
        <f t="shared" si="7"/>
        <v>58.244330651060714</v>
      </c>
      <c r="AD8" s="6" t="s">
        <v>17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ht="21" customHeight="1" x14ac:dyDescent="0.55000000000000004">
      <c r="A9" s="12" t="s">
        <v>18</v>
      </c>
      <c r="B9" s="13">
        <f t="shared" si="8"/>
        <v>2217</v>
      </c>
      <c r="C9" s="13">
        <v>1073</v>
      </c>
      <c r="D9" s="21">
        <v>1144</v>
      </c>
      <c r="E9" s="13">
        <f t="shared" si="9"/>
        <v>2320</v>
      </c>
      <c r="F9" s="13">
        <v>1079</v>
      </c>
      <c r="G9" s="21">
        <v>1241</v>
      </c>
      <c r="H9" s="13">
        <f t="shared" si="10"/>
        <v>2092</v>
      </c>
      <c r="I9" s="13">
        <v>904</v>
      </c>
      <c r="J9" s="21">
        <v>1188</v>
      </c>
      <c r="K9" s="13">
        <f t="shared" si="11"/>
        <v>2032</v>
      </c>
      <c r="L9" s="37">
        <v>897</v>
      </c>
      <c r="M9" s="32">
        <v>1135</v>
      </c>
      <c r="N9" s="14" t="e">
        <f>#REF!/#REF!*100</f>
        <v>#REF!</v>
      </c>
      <c r="O9" s="14" t="e">
        <f>#REF!/#REF!*100</f>
        <v>#REF!</v>
      </c>
      <c r="P9" s="14" t="e">
        <f>#REF!/#REF!*100</f>
        <v>#REF!</v>
      </c>
      <c r="Q9" s="14" t="e">
        <f>#REF!/#REF!*100</f>
        <v>#REF!</v>
      </c>
      <c r="R9" s="14">
        <f>B9/$B$7*100</f>
        <v>2.1364968005550842</v>
      </c>
      <c r="S9" s="14">
        <f t="shared" si="1"/>
        <v>2.0913335857356623</v>
      </c>
      <c r="T9" s="14">
        <f t="shared" si="2"/>
        <v>1.7947838023335623</v>
      </c>
      <c r="U9" s="40">
        <f t="shared" si="3"/>
        <v>1.7255288253326653</v>
      </c>
      <c r="V9" s="14" t="e">
        <f>#REF!/#REF!*100</f>
        <v>#REF!</v>
      </c>
      <c r="W9" s="14" t="e">
        <f>#REF!/#REF!*100</f>
        <v>#REF!</v>
      </c>
      <c r="X9" s="14" t="e">
        <f>#REF!/#REF!*100</f>
        <v>#REF!</v>
      </c>
      <c r="Y9" s="14" t="e">
        <f>#REF!/#REF!*100</f>
        <v>#REF!</v>
      </c>
      <c r="Z9" s="14">
        <f t="shared" si="4"/>
        <v>51.601262967974733</v>
      </c>
      <c r="AA9" s="14">
        <f t="shared" si="5"/>
        <v>53.491379310344826</v>
      </c>
      <c r="AB9" s="14">
        <f t="shared" si="6"/>
        <v>56.787762906309744</v>
      </c>
      <c r="AC9" s="34">
        <f t="shared" si="7"/>
        <v>55.856299212598429</v>
      </c>
      <c r="AD9" s="6" t="s">
        <v>19</v>
      </c>
      <c r="AE9" s="1"/>
      <c r="AF9" s="1"/>
      <c r="AG9" s="2"/>
      <c r="AH9" s="2"/>
      <c r="AI9" s="2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ht="21" customHeight="1" x14ac:dyDescent="0.55000000000000004">
      <c r="A10" s="12" t="s">
        <v>20</v>
      </c>
      <c r="B10" s="13">
        <f t="shared" si="8"/>
        <v>1969</v>
      </c>
      <c r="C10" s="13">
        <v>1124</v>
      </c>
      <c r="D10" s="21">
        <v>845</v>
      </c>
      <c r="E10" s="13">
        <f t="shared" si="9"/>
        <v>1862</v>
      </c>
      <c r="F10" s="13">
        <v>1042</v>
      </c>
      <c r="G10" s="21">
        <v>820</v>
      </c>
      <c r="H10" s="13">
        <f t="shared" si="10"/>
        <v>561</v>
      </c>
      <c r="I10" s="13">
        <v>219</v>
      </c>
      <c r="J10" s="21">
        <v>342</v>
      </c>
      <c r="K10" s="13">
        <f t="shared" si="11"/>
        <v>1693</v>
      </c>
      <c r="L10" s="37">
        <v>916</v>
      </c>
      <c r="M10" s="32">
        <v>777</v>
      </c>
      <c r="N10" s="14" t="e">
        <f>#REF!/#REF!*100</f>
        <v>#REF!</v>
      </c>
      <c r="O10" s="14" t="e">
        <f>#REF!/#REF!*100</f>
        <v>#REF!</v>
      </c>
      <c r="P10" s="14" t="e">
        <f>#REF!/#REF!*100</f>
        <v>#REF!</v>
      </c>
      <c r="Q10" s="14" t="e">
        <f>#REF!/#REF!*100</f>
        <v>#REF!</v>
      </c>
      <c r="R10" s="14">
        <f>B10/$B$7*100</f>
        <v>1.8975021201141009</v>
      </c>
      <c r="S10" s="14">
        <f t="shared" si="1"/>
        <v>1.6784754899309502</v>
      </c>
      <c r="T10" s="14">
        <f t="shared" si="2"/>
        <v>0.48129718599862731</v>
      </c>
      <c r="U10" s="40">
        <f t="shared" si="3"/>
        <v>1.4376576285867138</v>
      </c>
      <c r="V10" s="14" t="e">
        <f>#REF!/#REF!*100</f>
        <v>#REF!</v>
      </c>
      <c r="W10" s="14" t="e">
        <f>#REF!/#REF!*100</f>
        <v>#REF!</v>
      </c>
      <c r="X10" s="14" t="e">
        <f>#REF!/#REF!*100</f>
        <v>#REF!</v>
      </c>
      <c r="Y10" s="14" t="e">
        <f>#REF!/#REF!*100</f>
        <v>#REF!</v>
      </c>
      <c r="Z10" s="14">
        <f t="shared" si="4"/>
        <v>42.915185373285929</v>
      </c>
      <c r="AA10" s="14">
        <f t="shared" si="5"/>
        <v>44.038668098818476</v>
      </c>
      <c r="AB10" s="14">
        <f t="shared" si="6"/>
        <v>60.962566844919785</v>
      </c>
      <c r="AC10" s="34">
        <f t="shared" si="7"/>
        <v>45.894861193148259</v>
      </c>
      <c r="AD10" s="6" t="s">
        <v>21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ht="21" customHeight="1" x14ac:dyDescent="0.55000000000000004">
      <c r="A11" s="12" t="s">
        <v>22</v>
      </c>
      <c r="B11" s="13">
        <f t="shared" si="8"/>
        <v>1002</v>
      </c>
      <c r="C11" s="13">
        <v>480</v>
      </c>
      <c r="D11" s="21">
        <v>522</v>
      </c>
      <c r="E11" s="13">
        <f t="shared" si="9"/>
        <v>1038</v>
      </c>
      <c r="F11" s="13">
        <v>485</v>
      </c>
      <c r="G11" s="21">
        <v>553</v>
      </c>
      <c r="H11" s="13">
        <f t="shared" si="10"/>
        <v>1349</v>
      </c>
      <c r="I11" s="13">
        <v>588</v>
      </c>
      <c r="J11" s="21">
        <v>761</v>
      </c>
      <c r="K11" s="13">
        <f t="shared" si="11"/>
        <v>1475</v>
      </c>
      <c r="L11" s="37">
        <v>607</v>
      </c>
      <c r="M11" s="32">
        <v>868</v>
      </c>
      <c r="N11" s="14" t="e">
        <f>#REF!/#REF!*100</f>
        <v>#REF!</v>
      </c>
      <c r="O11" s="14" t="e">
        <f>#REF!/#REF!*100</f>
        <v>#REF!</v>
      </c>
      <c r="P11" s="14" t="e">
        <f>#REF!/#REF!*100</f>
        <v>#REF!</v>
      </c>
      <c r="Q11" s="14" t="e">
        <f>#REF!/#REF!*100</f>
        <v>#REF!</v>
      </c>
      <c r="R11" s="14">
        <f>B11/$B$7*100</f>
        <v>0.96561560403978108</v>
      </c>
      <c r="S11" s="14">
        <f t="shared" si="1"/>
        <v>0.93569149223862846</v>
      </c>
      <c r="T11" s="14">
        <f t="shared" si="2"/>
        <v>1.157343857240906</v>
      </c>
      <c r="U11" s="40">
        <f t="shared" si="3"/>
        <v>1.252536917994922</v>
      </c>
      <c r="V11" s="14" t="e">
        <f>#REF!/#REF!*100</f>
        <v>#REF!</v>
      </c>
      <c r="W11" s="14" t="e">
        <f>#REF!/#REF!*100</f>
        <v>#REF!</v>
      </c>
      <c r="X11" s="14" t="e">
        <f>#REF!/#REF!*100</f>
        <v>#REF!</v>
      </c>
      <c r="Y11" s="14" t="e">
        <f>#REF!/#REF!*100</f>
        <v>#REF!</v>
      </c>
      <c r="Z11" s="14">
        <f t="shared" si="4"/>
        <v>52.095808383233532</v>
      </c>
      <c r="AA11" s="14">
        <f t="shared" si="5"/>
        <v>53.275529865125236</v>
      </c>
      <c r="AB11" s="14">
        <f t="shared" si="6"/>
        <v>56.412157153446998</v>
      </c>
      <c r="AC11" s="34">
        <f t="shared" si="7"/>
        <v>58.847457627118651</v>
      </c>
      <c r="AD11" s="6" t="s">
        <v>23</v>
      </c>
      <c r="AE11" s="1"/>
      <c r="AF11" s="1"/>
      <c r="AG11" s="2"/>
      <c r="AH11" s="2"/>
      <c r="AI11" s="2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ht="21" customHeight="1" x14ac:dyDescent="0.55000000000000004">
      <c r="A12" s="12" t="s">
        <v>24</v>
      </c>
      <c r="B12" s="13">
        <f t="shared" si="8"/>
        <v>497</v>
      </c>
      <c r="C12" s="13">
        <v>290</v>
      </c>
      <c r="D12" s="21">
        <v>207</v>
      </c>
      <c r="E12" s="13">
        <f t="shared" si="9"/>
        <v>447</v>
      </c>
      <c r="F12" s="13">
        <v>258</v>
      </c>
      <c r="G12" s="21">
        <v>189</v>
      </c>
      <c r="H12" s="13">
        <f t="shared" si="10"/>
        <v>562</v>
      </c>
      <c r="I12" s="13">
        <v>308</v>
      </c>
      <c r="J12" s="21">
        <v>254</v>
      </c>
      <c r="K12" s="13">
        <f t="shared" si="11"/>
        <v>570</v>
      </c>
      <c r="L12" s="37">
        <v>296</v>
      </c>
      <c r="M12" s="32">
        <v>274</v>
      </c>
      <c r="N12" s="14" t="e">
        <f>#REF!/#REF!*100</f>
        <v>#REF!</v>
      </c>
      <c r="O12" s="14" t="e">
        <f>#REF!/#REF!*100</f>
        <v>#REF!</v>
      </c>
      <c r="P12" s="14" t="e">
        <f>#REF!/#REF!*100</f>
        <v>#REF!</v>
      </c>
      <c r="Q12" s="14" t="e">
        <f>#REF!/#REF!*100</f>
        <v>#REF!</v>
      </c>
      <c r="R12" s="14">
        <f>B12/$B$7*100</f>
        <v>0.47895304910955211</v>
      </c>
      <c r="S12" s="14">
        <f t="shared" si="1"/>
        <v>0.40294229001027637</v>
      </c>
      <c r="T12" s="14">
        <f t="shared" si="2"/>
        <v>0.4821551132463967</v>
      </c>
      <c r="U12" s="40">
        <f t="shared" si="3"/>
        <v>0.48403121576752917</v>
      </c>
      <c r="V12" s="14" t="e">
        <f>#REF!/#REF!*100</f>
        <v>#REF!</v>
      </c>
      <c r="W12" s="14" t="e">
        <f>#REF!/#REF!*100</f>
        <v>#REF!</v>
      </c>
      <c r="X12" s="14" t="e">
        <f>#REF!/#REF!*100</f>
        <v>#REF!</v>
      </c>
      <c r="Y12" s="14" t="e">
        <f>#REF!/#REF!*100</f>
        <v>#REF!</v>
      </c>
      <c r="Z12" s="14">
        <f t="shared" si="4"/>
        <v>41.649899396378274</v>
      </c>
      <c r="AA12" s="14">
        <f t="shared" si="5"/>
        <v>42.281879194630875</v>
      </c>
      <c r="AB12" s="14">
        <f t="shared" si="6"/>
        <v>45.195729537366546</v>
      </c>
      <c r="AC12" s="34">
        <f t="shared" si="7"/>
        <v>48.070175438596493</v>
      </c>
      <c r="AD12" s="6" t="s">
        <v>25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ht="21" customHeight="1" x14ac:dyDescent="0.55000000000000004">
      <c r="A13" s="12" t="s">
        <v>26</v>
      </c>
      <c r="B13" s="13">
        <f t="shared" si="8"/>
        <v>3323</v>
      </c>
      <c r="C13" s="13">
        <v>1986</v>
      </c>
      <c r="D13" s="21">
        <v>1337</v>
      </c>
      <c r="E13" s="13">
        <f t="shared" si="9"/>
        <v>3640</v>
      </c>
      <c r="F13" s="13">
        <v>2160</v>
      </c>
      <c r="G13" s="21">
        <v>1480</v>
      </c>
      <c r="H13" s="13">
        <f t="shared" si="10"/>
        <v>4244</v>
      </c>
      <c r="I13" s="13">
        <v>2316</v>
      </c>
      <c r="J13" s="21">
        <v>1928</v>
      </c>
      <c r="K13" s="13">
        <f t="shared" si="11"/>
        <v>5139</v>
      </c>
      <c r="L13" s="37">
        <v>2705</v>
      </c>
      <c r="M13" s="32">
        <v>2434</v>
      </c>
      <c r="N13" s="14" t="e">
        <f>#REF!/#REF!*100</f>
        <v>#REF!</v>
      </c>
      <c r="O13" s="14" t="e">
        <f>#REF!/#REF!*100</f>
        <v>#REF!</v>
      </c>
      <c r="P13" s="14" t="e">
        <f>#REF!/#REF!*100</f>
        <v>#REF!</v>
      </c>
      <c r="Q13" s="14" t="e">
        <f>#REF!/#REF!*100</f>
        <v>#REF!</v>
      </c>
      <c r="R13" s="14">
        <f>B13/$B$7*100</f>
        <v>3.2023359802636655</v>
      </c>
      <c r="S13" s="14">
        <f t="shared" si="1"/>
        <v>3.2812302810680225</v>
      </c>
      <c r="T13" s="14">
        <f t="shared" si="2"/>
        <v>3.6410432395332877</v>
      </c>
      <c r="U13" s="40">
        <f t="shared" si="3"/>
        <v>4.3639235400514602</v>
      </c>
      <c r="V13" s="14" t="e">
        <f>#REF!/#REF!*100</f>
        <v>#REF!</v>
      </c>
      <c r="W13" s="14" t="e">
        <f>#REF!/#REF!*100</f>
        <v>#REF!</v>
      </c>
      <c r="X13" s="14" t="e">
        <f>#REF!/#REF!*100</f>
        <v>#REF!</v>
      </c>
      <c r="Y13" s="14" t="e">
        <f>#REF!/#REF!*100</f>
        <v>#REF!</v>
      </c>
      <c r="Z13" s="14">
        <f t="shared" si="4"/>
        <v>40.234727655732769</v>
      </c>
      <c r="AA13" s="14">
        <f t="shared" si="5"/>
        <v>40.659340659340657</v>
      </c>
      <c r="AB13" s="14">
        <f t="shared" si="6"/>
        <v>45.428840716305373</v>
      </c>
      <c r="AC13" s="34">
        <f t="shared" si="7"/>
        <v>47.363300252967505</v>
      </c>
      <c r="AD13" s="6" t="s">
        <v>27</v>
      </c>
      <c r="AE13" s="1"/>
      <c r="AF13" s="1"/>
      <c r="AG13" s="2"/>
      <c r="AH13" s="2"/>
      <c r="AI13" s="2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ht="21" customHeight="1" x14ac:dyDescent="0.55000000000000004">
      <c r="A14" s="12" t="s">
        <v>28</v>
      </c>
      <c r="B14" s="13">
        <f t="shared" si="8"/>
        <v>7345</v>
      </c>
      <c r="C14" s="13">
        <v>2226</v>
      </c>
      <c r="D14" s="21">
        <v>5119</v>
      </c>
      <c r="E14" s="13">
        <f t="shared" si="9"/>
        <v>7540</v>
      </c>
      <c r="F14" s="13">
        <v>2200</v>
      </c>
      <c r="G14" s="21">
        <v>5340</v>
      </c>
      <c r="H14" s="13">
        <f t="shared" si="10"/>
        <v>7969</v>
      </c>
      <c r="I14" s="13">
        <v>2250</v>
      </c>
      <c r="J14" s="21">
        <v>5719</v>
      </c>
      <c r="K14" s="13">
        <f t="shared" si="11"/>
        <v>8048</v>
      </c>
      <c r="L14" s="37">
        <v>2236</v>
      </c>
      <c r="M14" s="32">
        <v>5812</v>
      </c>
      <c r="N14" s="14" t="e">
        <f>#REF!/#REF!*100</f>
        <v>#REF!</v>
      </c>
      <c r="O14" s="14" t="e">
        <f>#REF!/#REF!*100</f>
        <v>#REF!</v>
      </c>
      <c r="P14" s="14" t="e">
        <f>#REF!/#REF!*100</f>
        <v>#REF!</v>
      </c>
      <c r="Q14" s="14" t="e">
        <f>#REF!/#REF!*100</f>
        <v>#REF!</v>
      </c>
      <c r="R14" s="14">
        <f>B14/$B$7*100</f>
        <v>7.0782900316089732</v>
      </c>
      <c r="S14" s="14">
        <f t="shared" si="1"/>
        <v>6.7968341536409032</v>
      </c>
      <c r="T14" s="14">
        <f t="shared" si="2"/>
        <v>6.8368222374742622</v>
      </c>
      <c r="U14" s="40">
        <f t="shared" si="3"/>
        <v>6.8341810956089031</v>
      </c>
      <c r="V14" s="14" t="e">
        <f>#REF!/#REF!*100</f>
        <v>#REF!</v>
      </c>
      <c r="W14" s="14" t="e">
        <f>#REF!/#REF!*100</f>
        <v>#REF!</v>
      </c>
      <c r="X14" s="14" t="e">
        <f>#REF!/#REF!*100</f>
        <v>#REF!</v>
      </c>
      <c r="Y14" s="14" t="e">
        <f>#REF!/#REF!*100</f>
        <v>#REF!</v>
      </c>
      <c r="Z14" s="14">
        <f t="shared" si="4"/>
        <v>69.693669162695713</v>
      </c>
      <c r="AA14" s="14">
        <f t="shared" si="5"/>
        <v>70.822281167108756</v>
      </c>
      <c r="AB14" s="14">
        <f t="shared" si="6"/>
        <v>71.765591667712386</v>
      </c>
      <c r="AC14" s="34">
        <f t="shared" si="7"/>
        <v>72.216699801192846</v>
      </c>
      <c r="AD14" s="6" t="s">
        <v>29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ht="21" customHeight="1" x14ac:dyDescent="0.55000000000000004">
      <c r="A15" s="12" t="s">
        <v>30</v>
      </c>
      <c r="B15" s="13">
        <f t="shared" si="8"/>
        <v>7179</v>
      </c>
      <c r="C15" s="13">
        <v>1458</v>
      </c>
      <c r="D15" s="21">
        <v>5721</v>
      </c>
      <c r="E15" s="13">
        <f t="shared" si="9"/>
        <v>7458</v>
      </c>
      <c r="F15" s="13">
        <v>1532</v>
      </c>
      <c r="G15" s="21">
        <v>5926</v>
      </c>
      <c r="H15" s="13">
        <f t="shared" si="10"/>
        <v>7161</v>
      </c>
      <c r="I15" s="13">
        <v>1330</v>
      </c>
      <c r="J15" s="21">
        <v>5831</v>
      </c>
      <c r="K15" s="13">
        <f t="shared" si="11"/>
        <v>7772</v>
      </c>
      <c r="L15" s="37">
        <v>1552</v>
      </c>
      <c r="M15" s="32">
        <v>6220</v>
      </c>
      <c r="N15" s="14" t="e">
        <f>#REF!/#REF!*100</f>
        <v>#REF!</v>
      </c>
      <c r="O15" s="14" t="e">
        <f>#REF!/#REF!*100</f>
        <v>#REF!</v>
      </c>
      <c r="P15" s="14" t="e">
        <f>#REF!/#REF!*100</f>
        <v>#REF!</v>
      </c>
      <c r="Q15" s="14" t="e">
        <f>#REF!/#REF!*100</f>
        <v>#REF!</v>
      </c>
      <c r="R15" s="14">
        <f>B15/$B$7*100</f>
        <v>6.9183177858299274</v>
      </c>
      <c r="S15" s="14">
        <f t="shared" si="1"/>
        <v>6.7229163286278331</v>
      </c>
      <c r="T15" s="14">
        <f t="shared" si="2"/>
        <v>6.1436170212765955</v>
      </c>
      <c r="U15" s="40">
        <f t="shared" si="3"/>
        <v>6.5998080858688359</v>
      </c>
      <c r="V15" s="14" t="e">
        <f>#REF!/#REF!*100</f>
        <v>#REF!</v>
      </c>
      <c r="W15" s="14" t="e">
        <f>#REF!/#REF!*100</f>
        <v>#REF!</v>
      </c>
      <c r="X15" s="14" t="e">
        <f>#REF!/#REF!*100</f>
        <v>#REF!</v>
      </c>
      <c r="Y15" s="14" t="e">
        <f>#REF!/#REF!*100</f>
        <v>#REF!</v>
      </c>
      <c r="Z15" s="14">
        <f t="shared" si="4"/>
        <v>79.690764730463854</v>
      </c>
      <c r="AA15" s="14">
        <f t="shared" si="5"/>
        <v>79.458299812282121</v>
      </c>
      <c r="AB15" s="14">
        <f t="shared" si="6"/>
        <v>81.427174975562082</v>
      </c>
      <c r="AC15" s="34">
        <f t="shared" si="7"/>
        <v>80.030880082346883</v>
      </c>
      <c r="AD15" s="6" t="s">
        <v>31</v>
      </c>
      <c r="AE15" s="1"/>
      <c r="AF15" s="1"/>
      <c r="AG15" s="2"/>
      <c r="AH15" s="2"/>
      <c r="AI15" s="2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ht="21" customHeight="1" x14ac:dyDescent="0.55000000000000004">
      <c r="A16" s="12" t="s">
        <v>32</v>
      </c>
      <c r="B16" s="13">
        <f t="shared" si="8"/>
        <v>8046</v>
      </c>
      <c r="C16" s="13">
        <v>7144</v>
      </c>
      <c r="D16" s="21">
        <v>902</v>
      </c>
      <c r="E16" s="13">
        <f t="shared" si="9"/>
        <v>8565</v>
      </c>
      <c r="F16" s="13">
        <v>7492</v>
      </c>
      <c r="G16" s="21">
        <v>1073</v>
      </c>
      <c r="H16" s="13">
        <f t="shared" si="10"/>
        <v>9191</v>
      </c>
      <c r="I16" s="13">
        <v>7837</v>
      </c>
      <c r="J16" s="21">
        <v>1354</v>
      </c>
      <c r="K16" s="13">
        <f t="shared" si="11"/>
        <v>9647</v>
      </c>
      <c r="L16" s="37">
        <v>8128</v>
      </c>
      <c r="M16" s="32">
        <v>1519</v>
      </c>
      <c r="N16" s="14" t="e">
        <f>#REF!/#REF!*100</f>
        <v>#REF!</v>
      </c>
      <c r="O16" s="14" t="e">
        <f>#REF!/#REF!*100</f>
        <v>#REF!</v>
      </c>
      <c r="P16" s="14" t="e">
        <f>#REF!/#REF!*100</f>
        <v>#REF!</v>
      </c>
      <c r="Q16" s="14" t="e">
        <f>#REF!/#REF!*100</f>
        <v>#REF!</v>
      </c>
      <c r="R16" s="14">
        <f>B16/$B$7*100</f>
        <v>7.7538354791457857</v>
      </c>
      <c r="S16" s="14">
        <f t="shared" si="1"/>
        <v>7.7208069663042886</v>
      </c>
      <c r="T16" s="14">
        <f t="shared" si="2"/>
        <v>7.8852093342484553</v>
      </c>
      <c r="U16" s="40">
        <f t="shared" si="3"/>
        <v>8.1920160324725497</v>
      </c>
      <c r="V16" s="14" t="e">
        <f>#REF!/#REF!*100</f>
        <v>#REF!</v>
      </c>
      <c r="W16" s="14" t="e">
        <f>#REF!/#REF!*100</f>
        <v>#REF!</v>
      </c>
      <c r="X16" s="14" t="e">
        <f>#REF!/#REF!*100</f>
        <v>#REF!</v>
      </c>
      <c r="Y16" s="14" t="e">
        <f>#REF!/#REF!*100</f>
        <v>#REF!</v>
      </c>
      <c r="Z16" s="14">
        <f t="shared" si="4"/>
        <v>11.210539398458861</v>
      </c>
      <c r="AA16" s="14">
        <f t="shared" si="5"/>
        <v>12.527729130180971</v>
      </c>
      <c r="AB16" s="14">
        <f t="shared" si="6"/>
        <v>14.731802850614731</v>
      </c>
      <c r="AC16" s="34">
        <f t="shared" si="7"/>
        <v>15.745827718461697</v>
      </c>
      <c r="AD16" s="6" t="s">
        <v>33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ht="21" customHeight="1" x14ac:dyDescent="0.55000000000000004">
      <c r="A17" s="12" t="s">
        <v>34</v>
      </c>
      <c r="B17" s="13">
        <f t="shared" si="8"/>
        <v>22308</v>
      </c>
      <c r="C17" s="13">
        <v>17070</v>
      </c>
      <c r="D17" s="21">
        <v>5238</v>
      </c>
      <c r="E17" s="13">
        <f t="shared" si="9"/>
        <v>25875</v>
      </c>
      <c r="F17" s="13">
        <v>19601</v>
      </c>
      <c r="G17" s="21">
        <v>6274</v>
      </c>
      <c r="H17" s="13">
        <f t="shared" si="10"/>
        <v>30066</v>
      </c>
      <c r="I17" s="13">
        <v>22476</v>
      </c>
      <c r="J17" s="21">
        <v>7590</v>
      </c>
      <c r="K17" s="13">
        <f t="shared" si="11"/>
        <v>27923</v>
      </c>
      <c r="L17" s="37">
        <v>20710</v>
      </c>
      <c r="M17" s="32">
        <v>7213</v>
      </c>
      <c r="N17" s="14" t="e">
        <f>#REF!/#REF!*100</f>
        <v>#REF!</v>
      </c>
      <c r="O17" s="14" t="e">
        <f>#REF!/#REF!*100</f>
        <v>#REF!</v>
      </c>
      <c r="P17" s="14" t="e">
        <f>#REF!/#REF!*100</f>
        <v>#REF!</v>
      </c>
      <c r="Q17" s="14" t="e">
        <f>#REF!/#REF!*100</f>
        <v>#REF!</v>
      </c>
      <c r="R17" s="14">
        <f>B17/$B$7*100</f>
        <v>21.497956980957518</v>
      </c>
      <c r="S17" s="14">
        <f t="shared" si="1"/>
        <v>23.32467953918546</v>
      </c>
      <c r="T17" s="14">
        <f t="shared" si="2"/>
        <v>25.794440631434455</v>
      </c>
      <c r="U17" s="40">
        <f t="shared" si="3"/>
        <v>23.711585329608276</v>
      </c>
      <c r="V17" s="14" t="e">
        <f>#REF!/#REF!*100</f>
        <v>#REF!</v>
      </c>
      <c r="W17" s="14" t="e">
        <f>#REF!/#REF!*100</f>
        <v>#REF!</v>
      </c>
      <c r="X17" s="14" t="e">
        <f>#REF!/#REF!*100</f>
        <v>#REF!</v>
      </c>
      <c r="Y17" s="14" t="e">
        <f>#REF!/#REF!*100</f>
        <v>#REF!</v>
      </c>
      <c r="Z17" s="14">
        <f t="shared" si="4"/>
        <v>23.480365788058098</v>
      </c>
      <c r="AA17" s="14">
        <f t="shared" si="5"/>
        <v>24.247342995169081</v>
      </c>
      <c r="AB17" s="14">
        <f t="shared" si="6"/>
        <v>25.244462183196966</v>
      </c>
      <c r="AC17" s="34">
        <f t="shared" si="7"/>
        <v>25.831751602621495</v>
      </c>
      <c r="AD17" s="6" t="s">
        <v>35</v>
      </c>
      <c r="AE17" s="1"/>
      <c r="AF17" s="1"/>
      <c r="AG17" s="2"/>
      <c r="AH17" s="2"/>
      <c r="AI17" s="2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ht="21" customHeight="1" x14ac:dyDescent="0.55000000000000004">
      <c r="A18" s="12" t="s">
        <v>36</v>
      </c>
      <c r="B18" s="13">
        <f t="shared" si="8"/>
        <v>35130</v>
      </c>
      <c r="C18" s="13">
        <v>27780</v>
      </c>
      <c r="D18" s="21">
        <v>7350</v>
      </c>
      <c r="E18" s="13">
        <f t="shared" si="9"/>
        <v>38023</v>
      </c>
      <c r="F18" s="13">
        <v>29714</v>
      </c>
      <c r="G18" s="21">
        <v>8309</v>
      </c>
      <c r="H18" s="13">
        <f t="shared" si="10"/>
        <v>39020</v>
      </c>
      <c r="I18" s="13">
        <v>30066</v>
      </c>
      <c r="J18" s="21">
        <v>8954</v>
      </c>
      <c r="K18" s="13">
        <f t="shared" si="11"/>
        <v>38412</v>
      </c>
      <c r="L18" s="37">
        <v>29461</v>
      </c>
      <c r="M18" s="32">
        <v>8951</v>
      </c>
      <c r="N18" s="14" t="e">
        <f>#REF!/#REF!*100</f>
        <v>#REF!</v>
      </c>
      <c r="O18" s="14" t="e">
        <f>#REF!/#REF!*100</f>
        <v>#REF!</v>
      </c>
      <c r="P18" s="14" t="e">
        <f>#REF!/#REF!*100</f>
        <v>#REF!</v>
      </c>
      <c r="Q18" s="14" t="e">
        <f>#REF!/#REF!*100</f>
        <v>#REF!</v>
      </c>
      <c r="R18" s="14">
        <f>B18/$B$7*100</f>
        <v>33.854367435047408</v>
      </c>
      <c r="S18" s="14">
        <f t="shared" si="1"/>
        <v>34.275334883804788</v>
      </c>
      <c r="T18" s="14">
        <f t="shared" si="2"/>
        <v>33.476321207961561</v>
      </c>
      <c r="U18" s="40">
        <f t="shared" si="3"/>
        <v>32.618608877302336</v>
      </c>
      <c r="V18" s="14" t="e">
        <f>#REF!/#REF!*100</f>
        <v>#REF!</v>
      </c>
      <c r="W18" s="14" t="e">
        <f>#REF!/#REF!*100</f>
        <v>#REF!</v>
      </c>
      <c r="X18" s="14" t="e">
        <f>#REF!/#REF!*100</f>
        <v>#REF!</v>
      </c>
      <c r="Y18" s="14" t="e">
        <f>#REF!/#REF!*100</f>
        <v>#REF!</v>
      </c>
      <c r="Z18" s="14">
        <f t="shared" si="4"/>
        <v>20.922288642186164</v>
      </c>
      <c r="AA18" s="14">
        <f t="shared" si="5"/>
        <v>21.852562922441678</v>
      </c>
      <c r="AB18" s="14">
        <f t="shared" si="6"/>
        <v>22.947206560738085</v>
      </c>
      <c r="AC18" s="34">
        <f t="shared" si="7"/>
        <v>23.302613766531291</v>
      </c>
      <c r="AD18" s="6" t="s">
        <v>37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ht="21" customHeight="1" x14ac:dyDescent="0.55000000000000004">
      <c r="A19" s="16" t="s">
        <v>11</v>
      </c>
      <c r="B19" s="17">
        <f t="shared" si="8"/>
        <v>2138</v>
      </c>
      <c r="C19" s="17">
        <f>826+259</f>
        <v>1085</v>
      </c>
      <c r="D19" s="22">
        <f>649+404</f>
        <v>1053</v>
      </c>
      <c r="E19" s="17">
        <f t="shared" si="9"/>
        <v>1586</v>
      </c>
      <c r="F19" s="17">
        <v>929</v>
      </c>
      <c r="G19" s="22">
        <v>657</v>
      </c>
      <c r="H19" s="17">
        <f t="shared" si="10"/>
        <v>1579</v>
      </c>
      <c r="I19" s="17">
        <v>908</v>
      </c>
      <c r="J19" s="22">
        <v>671</v>
      </c>
      <c r="K19" s="17">
        <f t="shared" si="11"/>
        <v>1380</v>
      </c>
      <c r="L19" s="38">
        <v>703</v>
      </c>
      <c r="M19" s="33">
        <v>677</v>
      </c>
      <c r="N19" s="18" t="e">
        <f>#REF!/#REF!*100</f>
        <v>#REF!</v>
      </c>
      <c r="O19" s="18" t="e">
        <f>#REF!/#REF!*100</f>
        <v>#REF!</v>
      </c>
      <c r="P19" s="18" t="e">
        <f>#REF!/#REF!*100</f>
        <v>#REF!</v>
      </c>
      <c r="Q19" s="18" t="e">
        <f>#REF!/#REF!*100</f>
        <v>#REF!</v>
      </c>
      <c r="R19" s="18">
        <f>B19/$B$7*100</f>
        <v>2.0603654305759003</v>
      </c>
      <c r="S19" s="18">
        <f t="shared" si="1"/>
        <v>1.4296789081796384</v>
      </c>
      <c r="T19" s="18">
        <f t="shared" si="2"/>
        <v>1.3546671242278656</v>
      </c>
      <c r="U19" s="36">
        <f t="shared" si="3"/>
        <v>1.1718650487003337</v>
      </c>
      <c r="V19" s="18" t="e">
        <f>#REF!/#REF!*100</f>
        <v>#REF!</v>
      </c>
      <c r="W19" s="18" t="e">
        <f>#REF!/#REF!*100</f>
        <v>#REF!</v>
      </c>
      <c r="X19" s="18" t="e">
        <f>#REF!/#REF!*100</f>
        <v>#REF!</v>
      </c>
      <c r="Y19" s="18" t="e">
        <f>#REF!/#REF!*100</f>
        <v>#REF!</v>
      </c>
      <c r="Z19" s="18">
        <f t="shared" si="4"/>
        <v>49.251637043966326</v>
      </c>
      <c r="AA19" s="18">
        <f t="shared" si="5"/>
        <v>41.424968474148805</v>
      </c>
      <c r="AB19" s="18">
        <f t="shared" si="6"/>
        <v>42.495250158328055</v>
      </c>
      <c r="AC19" s="35">
        <f t="shared" si="7"/>
        <v>49.05797101449275</v>
      </c>
      <c r="AD19" s="7" t="s">
        <v>12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ht="18.75" customHeight="1" x14ac:dyDescent="0.5">
      <c r="A20" s="19" t="s">
        <v>10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0" t="s">
        <v>9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8" customHeight="1" x14ac:dyDescent="0.25">
      <c r="A21" s="1"/>
      <c r="B21" s="15"/>
      <c r="C21" s="1"/>
      <c r="D21" s="1"/>
      <c r="E21" s="15"/>
      <c r="F21" s="1"/>
      <c r="G21" s="1"/>
      <c r="H21" s="15"/>
      <c r="I21" s="1"/>
      <c r="J21" s="1"/>
      <c r="K21" s="1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 x14ac:dyDescent="0.25">
      <c r="A22" s="1"/>
      <c r="B22" s="15"/>
      <c r="C22" s="1"/>
      <c r="D22" s="1"/>
      <c r="E22" s="15"/>
      <c r="F22" s="1"/>
      <c r="G22" s="1"/>
      <c r="H22" s="15"/>
      <c r="I22" s="1"/>
      <c r="J22" s="1"/>
      <c r="K22" s="1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ht="15.75" customHeight="1" x14ac:dyDescent="0.25">
      <c r="A23" s="1"/>
      <c r="B23" s="15"/>
      <c r="C23" s="1"/>
      <c r="D23" s="1"/>
      <c r="E23" s="15"/>
      <c r="F23" s="1"/>
      <c r="G23" s="1"/>
      <c r="H23" s="15"/>
      <c r="I23" s="1"/>
      <c r="J23" s="1"/>
      <c r="K23" s="1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ht="15.75" customHeight="1" x14ac:dyDescent="0.25">
      <c r="A24" s="1"/>
      <c r="B24" s="15"/>
      <c r="C24" s="1"/>
      <c r="D24" s="1"/>
      <c r="E24" s="15"/>
      <c r="F24" s="1"/>
      <c r="G24" s="1"/>
      <c r="H24" s="15"/>
      <c r="I24" s="1"/>
      <c r="J24" s="1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2" t="s">
        <v>30</v>
      </c>
      <c r="AS24" s="34">
        <v>80.030880082346883</v>
      </c>
    </row>
    <row r="25" spans="1:4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 t="s">
        <v>28</v>
      </c>
      <c r="AS25" s="34">
        <v>72.216699801192846</v>
      </c>
    </row>
    <row r="26" spans="1:4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 t="s">
        <v>22</v>
      </c>
      <c r="AS26" s="34">
        <v>58.847457627118651</v>
      </c>
    </row>
    <row r="27" spans="1:4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 t="s">
        <v>16</v>
      </c>
      <c r="AS27" s="34">
        <v>58.244330651060714</v>
      </c>
    </row>
    <row r="28" spans="1:4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 t="s">
        <v>18</v>
      </c>
      <c r="AS28" s="34">
        <v>55.856299212598429</v>
      </c>
    </row>
    <row r="29" spans="1:4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 t="s">
        <v>11</v>
      </c>
      <c r="AS29" s="34">
        <v>49.05797101449275</v>
      </c>
    </row>
    <row r="30" spans="1:4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2" t="s">
        <v>24</v>
      </c>
      <c r="AS30" s="34">
        <v>48.070175438596493</v>
      </c>
    </row>
    <row r="31" spans="1:4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2" t="s">
        <v>26</v>
      </c>
      <c r="AS31" s="34">
        <v>47.363300252967505</v>
      </c>
    </row>
    <row r="32" spans="1:4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2" t="s">
        <v>20</v>
      </c>
      <c r="AS32" s="34">
        <v>45.894861193148259</v>
      </c>
    </row>
    <row r="33" spans="1:4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23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2" t="s">
        <v>34</v>
      </c>
      <c r="AS33" s="34">
        <v>25.831751602621495</v>
      </c>
    </row>
    <row r="34" spans="1:4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2" t="s">
        <v>36</v>
      </c>
      <c r="AS34" s="34">
        <v>23.302613766531291</v>
      </c>
    </row>
    <row r="35" spans="1:4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6" t="s">
        <v>32</v>
      </c>
      <c r="AS35" s="35">
        <v>15.745827718461697</v>
      </c>
    </row>
    <row r="36" spans="1:4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</sheetData>
  <sortState xmlns:xlrd2="http://schemas.microsoft.com/office/spreadsheetml/2017/richdata2" ref="AR24:AS35">
    <sortCondition descending="1" ref="AS24:AS35"/>
  </sortState>
  <mergeCells count="12">
    <mergeCell ref="A1:AD1"/>
    <mergeCell ref="A2:AD2"/>
    <mergeCell ref="A4:A6"/>
    <mergeCell ref="N5:U5"/>
    <mergeCell ref="B4:D4"/>
    <mergeCell ref="E4:G4"/>
    <mergeCell ref="H4:J4"/>
    <mergeCell ref="K4:M4"/>
    <mergeCell ref="N4:U4"/>
    <mergeCell ref="V4:AC4"/>
    <mergeCell ref="AD4:AD6"/>
    <mergeCell ref="V5:AC5"/>
  </mergeCells>
  <pageMargins left="0.7" right="0.7" top="0.75" bottom="0.75" header="0" footer="0"/>
  <pageSetup paperSize="9" scale="63" orientation="landscape" r:id="rId1"/>
  <rowBreaks count="1" manualBreakCount="1">
    <brk id="40" max="16383" man="1"/>
  </rowBreaks>
  <colBreaks count="1" manualBreakCount="1">
    <brk id="3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18.17</vt:lpstr>
      <vt:lpstr>'18.17'!Print_Area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2025-06-16T04:18:03Z</cp:lastPrinted>
  <dcterms:created xsi:type="dcterms:W3CDTF">2025-05-19T08:29:05Z</dcterms:created>
  <dcterms:modified xsi:type="dcterms:W3CDTF">2025-06-16T04:18:58Z</dcterms:modified>
</cp:coreProperties>
</file>