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6BD88F18-ED57-4580-AB25-9E38DE56AFBA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2" sheetId="2" r:id="rId1"/>
  </sheets>
  <definedNames>
    <definedName name="_xlnm.Print_Area" localSheetId="0">'18.2'!$A$1:$X$39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AT27" i="2" l="1"/>
  <c r="AN27" i="2" s="1"/>
  <c r="AX27" i="2"/>
  <c r="AW27" i="2"/>
  <c r="AQ27" i="2" s="1"/>
  <c r="AV27" i="2"/>
  <c r="AP27" i="2" s="1"/>
  <c r="AU27" i="2"/>
  <c r="AO27" i="2" s="1"/>
  <c r="AG27" i="2"/>
  <c r="AF27" i="2"/>
  <c r="AE27" i="2"/>
  <c r="AO26" i="2"/>
  <c r="AN26" i="2"/>
  <c r="AM26" i="2"/>
  <c r="AE26" i="2"/>
  <c r="AO25" i="2"/>
  <c r="AN25" i="2"/>
  <c r="AM25" i="2"/>
  <c r="AE25" i="2"/>
  <c r="AE24" i="2"/>
  <c r="V8" i="2"/>
  <c r="AS27" i="2" s="1"/>
  <c r="U8" i="2"/>
  <c r="T8" i="2"/>
  <c r="S8" i="2"/>
  <c r="AJ27" i="2" s="1"/>
  <c r="R8" i="2"/>
  <c r="Q8" i="2"/>
  <c r="P8" i="2"/>
  <c r="AX25" i="2" s="1"/>
  <c r="AR25" i="2" s="1"/>
  <c r="O8" i="2"/>
  <c r="AW25" i="2" s="1"/>
  <c r="AQ25" i="2" s="1"/>
  <c r="N8" i="2"/>
  <c r="AV25" i="2" s="1"/>
  <c r="AP25" i="2" s="1"/>
  <c r="M8" i="2"/>
  <c r="L8" i="2"/>
  <c r="K8" i="2"/>
  <c r="AX26" i="2" s="1"/>
  <c r="AR26" i="2" s="1"/>
  <c r="J8" i="2"/>
  <c r="AW26" i="2" s="1"/>
  <c r="I8" i="2"/>
  <c r="AV26" i="2" s="1"/>
  <c r="AP26" i="2" s="1"/>
  <c r="H8" i="2"/>
  <c r="G8" i="2"/>
  <c r="F8" i="2"/>
  <c r="AX24" i="2" s="1"/>
  <c r="E8" i="2"/>
  <c r="AW24" i="2" s="1"/>
  <c r="AQ24" i="2" s="1"/>
  <c r="D8" i="2"/>
  <c r="AV24" i="2" s="1"/>
  <c r="C8" i="2"/>
  <c r="AU24" i="2" s="1"/>
  <c r="B8" i="2"/>
  <c r="AT24" i="2" s="1"/>
  <c r="AS24" i="2"/>
  <c r="AT28" i="2" l="1"/>
  <c r="AS28" i="2"/>
  <c r="AG25" i="2"/>
  <c r="AL27" i="2"/>
  <c r="AL24" i="2"/>
  <c r="AK26" i="2"/>
  <c r="AK27" i="2"/>
  <c r="AL26" i="2"/>
  <c r="AK25" i="2"/>
  <c r="AL25" i="2"/>
  <c r="AM27" i="2"/>
  <c r="AK24" i="2"/>
  <c r="AH26" i="2"/>
  <c r="AH27" i="2"/>
  <c r="AI27" i="2"/>
  <c r="AJ26" i="2"/>
  <c r="AH25" i="2"/>
  <c r="AJ25" i="2"/>
  <c r="AI25" i="2"/>
  <c r="AG26" i="2"/>
  <c r="AJ24" i="2"/>
  <c r="AF25" i="2"/>
  <c r="AI24" i="2"/>
  <c r="AF24" i="2"/>
  <c r="AH24" i="2"/>
  <c r="AG24" i="2"/>
  <c r="AF26" i="2"/>
  <c r="AI26" i="2"/>
  <c r="AX28" i="2"/>
  <c r="AR24" i="2"/>
  <c r="AN24" i="2"/>
  <c r="AU28" i="2"/>
  <c r="AO24" i="2"/>
  <c r="AV28" i="2"/>
  <c r="AP24" i="2"/>
  <c r="AQ26" i="2"/>
  <c r="AW28" i="2"/>
  <c r="AM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2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(2025-05-22 04:26:16)
REVISED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PTlBoBGs42BGz573DnrxhCIIEA=="/>
    </ext>
  </extLst>
</comments>
</file>

<file path=xl/sharedStrings.xml><?xml version="1.0" encoding="utf-8"?>
<sst xmlns="http://schemas.openxmlformats.org/spreadsheetml/2006/main" count="45" uniqueCount="45">
  <si>
    <t>ޖުމްލަ</t>
  </si>
  <si>
    <t>Total</t>
  </si>
  <si>
    <t>އަސާސީ ޕެންޝަން</t>
  </si>
  <si>
    <t>ރިޓަޔަރމަންޓް ޕެންޝަން</t>
  </si>
  <si>
    <t>އެހެނިހެން ޕެންޝަން</t>
  </si>
  <si>
    <t>ތާވަލު 18.2: އެކި މަސްމަހު ޕެންޝަންގެ ގޮތުގައި ސްކީމްތަކުން ދެވުނު މިންވަރު، 2020 - 2024</t>
  </si>
  <si>
    <t>TABLE   18.2: MONTHLY PENSION PAYOUTS BY SCHEME, 2020- 2024</t>
  </si>
  <si>
    <t>(In MVR)</t>
  </si>
  <si>
    <t>Month</t>
  </si>
  <si>
    <t>ސީނިއަ ސިޓިޒަން އެލަވަންސް</t>
  </si>
  <si>
    <t>މަސް</t>
  </si>
  <si>
    <t>Basic pension</t>
  </si>
  <si>
    <t>Retirement  pension</t>
  </si>
  <si>
    <t>Other  pension</t>
  </si>
  <si>
    <t xml:space="preserve"> Senior Citizen Allowance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</si>
  <si>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</si>
  <si>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</si>
  <si>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</si>
  <si>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</si>
  <si>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</si>
  <si>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</si>
  <si>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</si>
  <si>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</si>
  <si>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</si>
  <si>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</si>
  <si>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</si>
  <si>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</si>
  <si>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</si>
  <si>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</si>
  <si>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</si>
  <si>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</si>
  <si>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</si>
  <si>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</si>
  <si>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</si>
  <si>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</si>
  <si>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</si>
  <si>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</si>
  <si>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</si>
  <si>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</si>
  <si>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Note: Senior Citizen Allowance was introduced in February 2014 and discontinued in March 2019.</t>
  </si>
  <si>
    <t xml:space="preserve">ސީނިއަރ ސިޓިޒަން އެލަވަންސް ސްކީމް ތަޢާރަފުކުރެވިފައިވާ ފެބްރުއަރީ 2014 ގައެވެ. އަދި މާރޗް 2019 ގައި ވަނީ ހުއްޓާލާފައެވެ.  </t>
  </si>
  <si>
    <t>Source: Maldives Pension Administration Office</t>
  </si>
  <si>
    <t>މަޢުލޫމާތު ދެއްވި ފަރާތް: މޯލްޑިވްސް ޕެންޝަން އެޑްމިނިސްޓްރޭޝަން</t>
  </si>
  <si>
    <t>In million Rf</t>
  </si>
  <si>
    <t>In 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</si>
</sst>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5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262626"/>
      <name val="Calibri"/>
      <family val="2"/>
    </font>
    <font>
      <i/>
      <sz val="9"/>
      <color rgb="FF000000"/>
      <name val="Calibri"/>
      <family val="2"/>
    </font>
    <font>
      <sz val="8"/>
      <color rgb="FF000000"/>
      <name val="Faruma"/>
    </font>
    <font>
      <sz val="9"/>
      <color rgb="FF000000"/>
      <name val="Faruma"/>
    </font>
    <font>
      <b/>
      <sz val="9"/>
      <color rgb="FFFF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4" fillId="2" borderId="11" xfId="0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164" fontId="3" fillId="2" borderId="4" xfId="0" applyNumberFormat="1" applyFont="1" applyFill="1" applyBorder="1"/>
    <xf numFmtId="0" fontId="1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vertical="center"/>
    </xf>
    <xf numFmtId="3" fontId="4" fillId="2" borderId="6" xfId="0" applyNumberFormat="1" applyFont="1" applyFill="1" applyBorder="1" applyAlignment="1">
      <alignment vertical="center"/>
    </xf>
    <xf numFmtId="3" fontId="4" fillId="2" borderId="15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3" fontId="6" fillId="2" borderId="4" xfId="0" applyNumberFormat="1" applyFont="1" applyFill="1" applyBorder="1" applyAlignment="1">
      <alignment horizontal="center"/>
    </xf>
    <xf numFmtId="0" fontId="7" fillId="2" borderId="4" xfId="0" applyFont="1" applyFill="1" applyBorder="1"/>
    <xf numFmtId="0" fontId="5" fillId="2" borderId="4" xfId="0" applyFont="1" applyFill="1" applyBorder="1" applyAlignment="1">
      <alignment horizontal="right"/>
    </xf>
    <xf numFmtId="3" fontId="3" fillId="2" borderId="11" xfId="0" applyNumberFormat="1" applyFont="1" applyFill="1" applyBorder="1" applyAlignment="1">
      <alignment vertical="center"/>
    </xf>
    <xf numFmtId="3" fontId="3" fillId="2" borderId="11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vertical="center"/>
    </xf>
    <xf numFmtId="0" fontId="6" fillId="2" borderId="4" xfId="0" applyFont="1" applyFill="1" applyBorder="1"/>
    <xf numFmtId="3" fontId="6" fillId="2" borderId="4" xfId="0" applyNumberFormat="1" applyFont="1" applyFill="1" applyBorder="1"/>
    <xf numFmtId="0" fontId="10" fillId="2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9" fillId="2" borderId="4" xfId="0" applyFont="1" applyFill="1" applyBorder="1"/>
    <xf numFmtId="0" fontId="11" fillId="2" borderId="4" xfId="0" applyFont="1" applyFill="1" applyBorder="1"/>
    <xf numFmtId="0" fontId="6" fillId="2" borderId="20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right" vertical="center"/>
    </xf>
    <xf numFmtId="164" fontId="3" fillId="2" borderId="20" xfId="0" applyNumberFormat="1" applyFont="1" applyFill="1" applyBorder="1"/>
    <xf numFmtId="0" fontId="3" fillId="2" borderId="20" xfId="0" applyFont="1" applyFill="1" applyBorder="1"/>
    <xf numFmtId="0" fontId="0" fillId="3" borderId="0" xfId="0" applyFill="1"/>
    <xf numFmtId="0" fontId="3" fillId="2" borderId="24" xfId="0" applyFont="1" applyFill="1" applyBorder="1"/>
    <xf numFmtId="3" fontId="4" fillId="4" borderId="15" xfId="0" applyNumberFormat="1" applyFont="1" applyFill="1" applyBorder="1" applyAlignment="1">
      <alignment vertical="center"/>
    </xf>
    <xf numFmtId="3" fontId="3" fillId="4" borderId="15" xfId="0" applyNumberFormat="1" applyFont="1" applyFill="1" applyBorder="1" applyAlignment="1">
      <alignment vertical="center"/>
    </xf>
    <xf numFmtId="3" fontId="3" fillId="4" borderId="12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 indent="1"/>
    </xf>
    <xf numFmtId="0" fontId="3" fillId="2" borderId="11" xfId="0" applyFont="1" applyFill="1" applyBorder="1" applyAlignment="1">
      <alignment horizontal="left" vertical="center" indent="1"/>
    </xf>
    <xf numFmtId="0" fontId="5" fillId="2" borderId="4" xfId="0" applyFont="1" applyFill="1" applyBorder="1" applyAlignment="1">
      <alignment horizontal="right" vertical="center" indent="1"/>
    </xf>
    <xf numFmtId="0" fontId="5" fillId="2" borderId="4" xfId="0" applyFont="1" applyFill="1" applyBorder="1" applyAlignment="1">
      <alignment horizontal="right" indent="1"/>
    </xf>
    <xf numFmtId="0" fontId="5" fillId="2" borderId="11" xfId="0" applyFont="1" applyFill="1" applyBorder="1" applyAlignment="1">
      <alignment horizontal="right" vertical="center" indent="1"/>
    </xf>
    <xf numFmtId="0" fontId="7" fillId="2" borderId="24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/>
    </xf>
    <xf numFmtId="164" fontId="3" fillId="2" borderId="24" xfId="0" applyNumberFormat="1" applyFont="1" applyFill="1" applyBorder="1"/>
    <xf numFmtId="0" fontId="7" fillId="2" borderId="24" xfId="0" applyFont="1" applyFill="1" applyBorder="1"/>
    <xf numFmtId="0" fontId="10" fillId="2" borderId="4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2" fillId="3" borderId="9" xfId="0" applyFont="1" applyFill="1" applyBorder="1"/>
    <xf numFmtId="0" fontId="2" fillId="3" borderId="10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12" fillId="2" borderId="2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3" borderId="7" xfId="0" applyFont="1" applyFill="1" applyBorder="1"/>
    <xf numFmtId="0" fontId="4" fillId="2" borderId="17" xfId="0" applyFont="1" applyFill="1" applyBorder="1" applyAlignment="1">
      <alignment horizontal="center" vertical="center"/>
    </xf>
    <xf numFmtId="0" fontId="2" fillId="3" borderId="18" xfId="0" applyFont="1" applyFill="1" applyBorder="1"/>
    <xf numFmtId="0" fontId="2" fillId="3" borderId="19" xfId="0" applyFont="1" applyFill="1" applyBorder="1"/>
    <xf numFmtId="0" fontId="1" fillId="2" borderId="16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12" fillId="2" borderId="1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308142401313914E-2"/>
          <c:y val="0.19454337438589406"/>
          <c:w val="0.9132163513611371"/>
          <c:h val="0.7088434618749579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'18.2'!$AP$23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3399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'18.2'!$AE$24:$AE$26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'18.2'!$AP$24:$AP$26</c:f>
              <c:numCache>
                <c:formatCode>_(* #,##0_);_(* \(#,##0\);_(* "-"??_);_(@_)</c:formatCode>
                <c:ptCount val="3"/>
                <c:pt idx="0">
                  <c:v>1157.13633534</c:v>
                </c:pt>
                <c:pt idx="1">
                  <c:v>337.85463594999999</c:v>
                </c:pt>
                <c:pt idx="2">
                  <c:v>128.53984267000001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68-46D6-B897-11AEA60B057D}"/>
            </c:ext>
          </c:extLst>
        </c:ser>
        <c:ser>
          <c:idx val="1"/>
          <c:order val="1"/>
          <c:tx>
            <c:strRef>
              <c:f>'18.2'!$AQ$23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9BC2E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'18.2'!$AE$24:$AE$26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'18.2'!$AQ$24:$AQ$26</c:f>
              <c:numCache>
                <c:formatCode>_(* #,##0_);_(* \(#,##0\);_(* "-"??_);_(@_)</c:formatCode>
                <c:ptCount val="3"/>
                <c:pt idx="0">
                  <c:v>1229.37825363</c:v>
                </c:pt>
                <c:pt idx="1">
                  <c:v>358.78517656999998</c:v>
                </c:pt>
                <c:pt idx="2">
                  <c:v>146.26467091000001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068-46D6-B897-11AEA60B057D}"/>
            </c:ext>
          </c:extLst>
        </c:ser>
        <c:ser>
          <c:idx val="2"/>
          <c:order val="2"/>
          <c:tx>
            <c:strRef>
              <c:f>'18.2'!$AR$23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61FFFF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'18.2'!$AE$24:$AE$26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'18.2'!$AR$24:$AR$26</c:f>
              <c:numCache>
                <c:formatCode>_(* #,##0_);_(* \(#,##0\);_(* "-"??_);_(@_)</c:formatCode>
                <c:ptCount val="3"/>
                <c:pt idx="0">
                  <c:v>1320.3192331000002</c:v>
                </c:pt>
                <c:pt idx="1">
                  <c:v>364.73942460000001</c:v>
                </c:pt>
                <c:pt idx="2">
                  <c:v>165.54492053999999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068-46D6-B897-11AEA60B0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6292742"/>
        <c:axId val="124687748"/>
      </c:barChart>
      <c:catAx>
        <c:axId val="1076292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687748"/>
        <c:crosses val="autoZero"/>
        <c:auto val="1"/>
        <c:lblAlgn val="ctr"/>
        <c:lblOffset val="100"/>
        <c:noMultiLvlLbl val="1"/>
      </c:catAx>
      <c:valAx>
        <c:axId val="124687748"/>
        <c:scaling>
          <c:orientation val="minMax"/>
        </c:scaling>
        <c:delete val="0"/>
        <c:axPos val="l"/>
        <c:majorGridlines>
          <c:spPr>
            <a:ln>
              <a:solidFill>
                <a:schemeClr val="bg2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800" b="1" i="0">
                    <a:solidFill>
                      <a:srgbClr val="000000"/>
                    </a:solidFill>
                    <a:latin typeface="+mn-lt"/>
                  </a:rPr>
                  <a:t>In million MVR</a:t>
                </a:r>
              </a:p>
            </c:rich>
          </c:tx>
          <c:layout>
            <c:manualLayout>
              <c:xMode val="edge"/>
              <c:yMode val="edge"/>
              <c:x val="9.5238095238095247E-3"/>
              <c:y val="0.39679067966798098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6292742"/>
        <c:crosses val="autoZero"/>
        <c:crossBetween val="between"/>
      </c:valAx>
      <c:spPr>
        <a:solidFill>
          <a:srgbClr val="F7F7F7"/>
        </a:solidFill>
        <a:ln>
          <a:solidFill>
            <a:schemeClr val="bg2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200058200177798"/>
          <c:y val="0.32377952755905509"/>
          <c:w val="0.21922891890184623"/>
          <c:h val="6.0892051955044081E-2"/>
        </c:manualLayout>
      </c:layout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809803</xdr:colOff>
      <xdr:row>23</xdr:row>
      <xdr:rowOff>2576</xdr:rowOff>
    </xdr:from>
    <xdr:ext cx="10384848" cy="2971800"/>
    <xdr:graphicFrame macro="">
      <xdr:nvGraphicFramePr>
        <xdr:cNvPr id="1079206764" name="Chart 4">
          <a:extLst>
            <a:ext uri="{FF2B5EF4-FFF2-40B4-BE49-F238E27FC236}">
              <a16:creationId xmlns:a16="http://schemas.microsoft.com/office/drawing/2014/main" id="{00000000-0008-0000-0100-00006C635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404579</xdr:colOff>
      <xdr:row>23</xdr:row>
      <xdr:rowOff>184118</xdr:rowOff>
    </xdr:from>
    <xdr:ext cx="4314825" cy="3714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634343" y="5746359"/>
          <a:ext cx="431482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18.4: Pension payments made under different schemes, 2022-2024</a:t>
          </a:r>
          <a:endParaRPr sz="1400"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X1000"/>
  <sheetViews>
    <sheetView tabSelected="1" view="pageBreakPreview" zoomScale="112" zoomScaleNormal="106" zoomScaleSheetLayoutView="112" workbookViewId="0">
      <selection activeCell="N11" sqref="N11"/>
    </sheetView>
  </sheetViews>
  <sheetFormatPr defaultColWidth="14.42578125" defaultRowHeight="15" customHeight="1" x14ac:dyDescent="0.25"/>
  <cols>
    <col min="1" max="1" width="10.140625" style="41" customWidth="1"/>
    <col min="2" max="15" width="13.7109375" style="41" customWidth="1"/>
    <col min="16" max="16" width="14" style="41" customWidth="1"/>
    <col min="17" max="18" width="12.85546875" style="41" customWidth="1"/>
    <col min="19" max="21" width="12" style="41" customWidth="1"/>
    <col min="22" max="22" width="12.28515625" style="41" customWidth="1"/>
    <col min="23" max="23" width="15" style="41" customWidth="1"/>
    <col min="24" max="29" width="15.140625" style="41" customWidth="1"/>
    <col min="30" max="30" width="24.7109375" style="41" customWidth="1"/>
    <col min="31" max="31" width="17" style="41" customWidth="1"/>
    <col min="32" max="32" width="9.7109375" style="41" hidden="1" customWidth="1"/>
    <col min="33" max="34" width="9.85546875" style="41" hidden="1" customWidth="1"/>
    <col min="35" max="35" width="10.140625" style="41" hidden="1" customWidth="1"/>
    <col min="36" max="39" width="10" style="41" hidden="1" customWidth="1"/>
    <col min="40" max="44" width="10" style="41" customWidth="1"/>
    <col min="45" max="45" width="17.7109375" style="41" customWidth="1"/>
    <col min="46" max="49" width="14.42578125" style="41" customWidth="1"/>
    <col min="50" max="16384" width="14.42578125" style="41"/>
  </cols>
  <sheetData>
    <row r="1" spans="1:49" ht="20.25" customHeight="1" x14ac:dyDescent="0.25">
      <c r="A1" s="63" t="s">
        <v>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1"/>
      <c r="X1" s="9"/>
      <c r="Y1" s="9"/>
      <c r="Z1" s="9"/>
      <c r="AA1" s="9"/>
      <c r="AB1" s="9"/>
      <c r="AC1" s="9"/>
      <c r="AD1" s="64"/>
      <c r="AE1" s="60"/>
      <c r="AF1" s="6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42"/>
      <c r="AS1" s="1"/>
      <c r="AT1" s="1"/>
      <c r="AU1" s="1"/>
      <c r="AV1" s="1"/>
      <c r="AW1" s="1"/>
    </row>
    <row r="2" spans="1:49" x14ac:dyDescent="0.25">
      <c r="A2" s="64" t="s">
        <v>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1"/>
      <c r="X2" s="2"/>
      <c r="Y2" s="2"/>
      <c r="Z2" s="2"/>
      <c r="AA2" s="2"/>
      <c r="AB2" s="2"/>
      <c r="AC2" s="2"/>
      <c r="AD2" s="1"/>
      <c r="AE2" s="10"/>
      <c r="AF2" s="10"/>
      <c r="AG2" s="10"/>
      <c r="AH2" s="10"/>
      <c r="AI2" s="10"/>
      <c r="AJ2" s="11"/>
      <c r="AK2" s="11"/>
      <c r="AL2" s="11"/>
      <c r="AM2" s="11"/>
      <c r="AN2" s="11"/>
      <c r="AO2" s="11"/>
      <c r="AP2" s="11"/>
      <c r="AQ2" s="11"/>
      <c r="AR2" s="51"/>
      <c r="AS2" s="1"/>
      <c r="AT2" s="1"/>
      <c r="AU2" s="1"/>
      <c r="AV2" s="1"/>
      <c r="AW2" s="1"/>
    </row>
    <row r="3" spans="1:49" ht="17.25" customHeight="1" x14ac:dyDescent="0.25">
      <c r="A3" s="65" t="s">
        <v>7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1"/>
      <c r="X3" s="2"/>
      <c r="Y3" s="2"/>
      <c r="Z3" s="2"/>
      <c r="AA3" s="2"/>
      <c r="AB3" s="2"/>
      <c r="AC3" s="2"/>
      <c r="AD3" s="4"/>
      <c r="AE3" s="12"/>
      <c r="AF3" s="12"/>
      <c r="AG3" s="12"/>
      <c r="AH3" s="12"/>
      <c r="AI3" s="12"/>
      <c r="AJ3" s="13"/>
      <c r="AK3" s="13"/>
      <c r="AL3" s="13"/>
      <c r="AM3" s="13"/>
      <c r="AN3" s="13"/>
      <c r="AO3" s="13"/>
      <c r="AP3" s="13"/>
      <c r="AQ3" s="13"/>
      <c r="AR3" s="52"/>
      <c r="AS3" s="1"/>
      <c r="AT3" s="1"/>
      <c r="AU3" s="1"/>
      <c r="AV3" s="1"/>
      <c r="AW3" s="1"/>
    </row>
    <row r="4" spans="1:49" ht="1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0"/>
      <c r="AF4" s="10"/>
      <c r="AG4" s="10"/>
      <c r="AH4" s="10"/>
      <c r="AI4" s="10"/>
      <c r="AJ4" s="11"/>
      <c r="AK4" s="11"/>
      <c r="AL4" s="11"/>
      <c r="AM4" s="11"/>
      <c r="AN4" s="11"/>
      <c r="AO4" s="11"/>
      <c r="AP4" s="11"/>
      <c r="AQ4" s="11"/>
      <c r="AR4" s="51"/>
      <c r="AS4" s="1"/>
      <c r="AT4" s="1"/>
      <c r="AU4" s="1"/>
      <c r="AV4" s="1"/>
      <c r="AW4" s="1"/>
    </row>
    <row r="5" spans="1:49" ht="17.25" customHeight="1" x14ac:dyDescent="0.25">
      <c r="A5" s="66" t="s">
        <v>8</v>
      </c>
      <c r="B5" s="74" t="s">
        <v>2</v>
      </c>
      <c r="C5" s="74"/>
      <c r="D5" s="74"/>
      <c r="E5" s="74"/>
      <c r="F5" s="75"/>
      <c r="G5" s="76" t="s">
        <v>3</v>
      </c>
      <c r="H5" s="74"/>
      <c r="I5" s="74"/>
      <c r="J5" s="74"/>
      <c r="K5" s="75"/>
      <c r="L5" s="76" t="s">
        <v>4</v>
      </c>
      <c r="M5" s="74"/>
      <c r="N5" s="74"/>
      <c r="O5" s="74"/>
      <c r="P5" s="75"/>
      <c r="Q5" s="71" t="s">
        <v>9</v>
      </c>
      <c r="R5" s="67"/>
      <c r="S5" s="67"/>
      <c r="T5" s="67"/>
      <c r="U5" s="67"/>
      <c r="V5" s="72"/>
      <c r="W5" s="57" t="s">
        <v>10</v>
      </c>
      <c r="X5" s="3"/>
      <c r="Y5" s="3"/>
      <c r="Z5" s="3"/>
      <c r="AA5" s="3"/>
      <c r="AB5" s="3"/>
      <c r="AC5" s="3"/>
      <c r="AD5" s="1"/>
      <c r="AE5" s="10"/>
      <c r="AF5" s="10"/>
      <c r="AG5" s="10"/>
      <c r="AH5" s="10"/>
      <c r="AI5" s="10"/>
      <c r="AJ5" s="11"/>
      <c r="AK5" s="11"/>
      <c r="AL5" s="11"/>
      <c r="AM5" s="11"/>
      <c r="AN5" s="11"/>
      <c r="AO5" s="11"/>
      <c r="AP5" s="11"/>
      <c r="AQ5" s="11"/>
      <c r="AR5" s="51"/>
      <c r="AS5" s="1"/>
      <c r="AT5" s="1"/>
      <c r="AU5" s="1"/>
      <c r="AV5" s="1"/>
      <c r="AW5" s="1"/>
    </row>
    <row r="6" spans="1:49" ht="15" customHeight="1" x14ac:dyDescent="0.25">
      <c r="A6" s="58"/>
      <c r="B6" s="81" t="s">
        <v>11</v>
      </c>
      <c r="C6" s="81"/>
      <c r="D6" s="81"/>
      <c r="E6" s="81"/>
      <c r="F6" s="82"/>
      <c r="G6" s="80" t="s">
        <v>12</v>
      </c>
      <c r="H6" s="81"/>
      <c r="I6" s="81"/>
      <c r="J6" s="81"/>
      <c r="K6" s="82"/>
      <c r="L6" s="77" t="s">
        <v>13</v>
      </c>
      <c r="M6" s="78"/>
      <c r="N6" s="78"/>
      <c r="O6" s="78"/>
      <c r="P6" s="79"/>
      <c r="Q6" s="68" t="s">
        <v>14</v>
      </c>
      <c r="R6" s="69"/>
      <c r="S6" s="69"/>
      <c r="T6" s="69"/>
      <c r="U6" s="69"/>
      <c r="V6" s="70"/>
      <c r="W6" s="58"/>
      <c r="X6" s="3"/>
      <c r="Y6" s="3"/>
      <c r="Z6" s="3"/>
      <c r="AA6" s="3"/>
      <c r="AB6" s="3"/>
      <c r="AC6" s="3"/>
      <c r="AD6" s="1"/>
      <c r="AE6" s="10"/>
      <c r="AF6" s="10"/>
      <c r="AG6" s="10"/>
      <c r="AH6" s="10"/>
      <c r="AI6" s="10"/>
      <c r="AJ6" s="11"/>
      <c r="AK6" s="11"/>
      <c r="AL6" s="11"/>
      <c r="AM6" s="11"/>
      <c r="AN6" s="11"/>
      <c r="AO6" s="11"/>
      <c r="AP6" s="11"/>
      <c r="AQ6" s="11"/>
      <c r="AR6" s="51"/>
      <c r="AS6" s="1"/>
      <c r="AT6" s="1"/>
      <c r="AU6" s="1"/>
      <c r="AV6" s="1"/>
      <c r="AW6" s="1"/>
    </row>
    <row r="7" spans="1:49" ht="18" customHeight="1" x14ac:dyDescent="0.25">
      <c r="A7" s="59"/>
      <c r="B7" s="5">
        <v>2020</v>
      </c>
      <c r="C7" s="5">
        <v>2021</v>
      </c>
      <c r="D7" s="5">
        <v>2022</v>
      </c>
      <c r="E7" s="6">
        <v>2023</v>
      </c>
      <c r="F7" s="7">
        <v>2024</v>
      </c>
      <c r="G7" s="5">
        <v>2020</v>
      </c>
      <c r="H7" s="5">
        <v>2021</v>
      </c>
      <c r="I7" s="6">
        <v>2022</v>
      </c>
      <c r="J7" s="6">
        <v>2023</v>
      </c>
      <c r="K7" s="7">
        <v>2024</v>
      </c>
      <c r="L7" s="6">
        <v>2020</v>
      </c>
      <c r="M7" s="6">
        <v>2021</v>
      </c>
      <c r="N7" s="6">
        <v>2022</v>
      </c>
      <c r="O7" s="6">
        <v>2023</v>
      </c>
      <c r="P7" s="7">
        <v>2024</v>
      </c>
      <c r="Q7" s="6">
        <v>2014</v>
      </c>
      <c r="R7" s="6">
        <v>2015</v>
      </c>
      <c r="S7" s="5">
        <v>2016</v>
      </c>
      <c r="T7" s="5">
        <v>2017</v>
      </c>
      <c r="U7" s="5">
        <v>2018</v>
      </c>
      <c r="V7" s="6">
        <v>2019</v>
      </c>
      <c r="W7" s="59"/>
      <c r="X7" s="3"/>
      <c r="Y7" s="3"/>
      <c r="Z7" s="3"/>
      <c r="AA7" s="3"/>
      <c r="AB7" s="3"/>
      <c r="AC7" s="3"/>
      <c r="AD7" s="1"/>
      <c r="AE7" s="10"/>
      <c r="AF7" s="10"/>
      <c r="AG7" s="10"/>
      <c r="AH7" s="10"/>
      <c r="AI7" s="10"/>
      <c r="AJ7" s="11"/>
      <c r="AK7" s="11"/>
      <c r="AL7" s="11"/>
      <c r="AM7" s="11"/>
      <c r="AN7" s="11"/>
      <c r="AO7" s="11"/>
      <c r="AP7" s="11"/>
      <c r="AQ7" s="11"/>
      <c r="AR7" s="51"/>
      <c r="AS7" s="1"/>
      <c r="AT7" s="1"/>
      <c r="AU7" s="1"/>
      <c r="AV7" s="1"/>
      <c r="AW7" s="1"/>
    </row>
    <row r="8" spans="1:49" ht="21.75" customHeight="1" x14ac:dyDescent="0.25">
      <c r="A8" s="14" t="s">
        <v>1</v>
      </c>
      <c r="B8" s="16">
        <f t="shared" ref="B8:V8" si="0">SUM(B9:B20)</f>
        <v>1033206966.9300001</v>
      </c>
      <c r="C8" s="16">
        <f t="shared" si="0"/>
        <v>1091327117.3300002</v>
      </c>
      <c r="D8" s="16">
        <f t="shared" si="0"/>
        <v>1157136335.3399999</v>
      </c>
      <c r="E8" s="16">
        <f t="shared" si="0"/>
        <v>1229378253.6300001</v>
      </c>
      <c r="F8" s="43">
        <f t="shared" si="0"/>
        <v>1320319233.1000001</v>
      </c>
      <c r="G8" s="16">
        <f t="shared" si="0"/>
        <v>102480521.42999998</v>
      </c>
      <c r="H8" s="17">
        <f t="shared" si="0"/>
        <v>123388416.45</v>
      </c>
      <c r="I8" s="17">
        <f t="shared" si="0"/>
        <v>128539842.67</v>
      </c>
      <c r="J8" s="17">
        <f t="shared" si="0"/>
        <v>146264670.91</v>
      </c>
      <c r="K8" s="43">
        <f t="shared" si="0"/>
        <v>165544920.53999999</v>
      </c>
      <c r="L8" s="16">
        <f t="shared" si="0"/>
        <v>292838541.17999995</v>
      </c>
      <c r="M8" s="16">
        <f t="shared" si="0"/>
        <v>315639967.15999997</v>
      </c>
      <c r="N8" s="16">
        <f t="shared" si="0"/>
        <v>337854635.94999999</v>
      </c>
      <c r="O8" s="16">
        <f t="shared" si="0"/>
        <v>358785176.56999999</v>
      </c>
      <c r="P8" s="18">
        <f t="shared" si="0"/>
        <v>364739424.60000002</v>
      </c>
      <c r="Q8" s="16">
        <f t="shared" si="0"/>
        <v>471311711.34999996</v>
      </c>
      <c r="R8" s="15">
        <f t="shared" si="0"/>
        <v>524547328.45999992</v>
      </c>
      <c r="S8" s="15">
        <f t="shared" si="0"/>
        <v>533482537.69000006</v>
      </c>
      <c r="T8" s="15">
        <f t="shared" si="0"/>
        <v>539036947.02999997</v>
      </c>
      <c r="U8" s="15">
        <f t="shared" si="0"/>
        <v>550823763.64999998</v>
      </c>
      <c r="V8" s="15">
        <f t="shared" si="0"/>
        <v>93669343.139999986</v>
      </c>
      <c r="W8" s="19" t="s">
        <v>0</v>
      </c>
      <c r="X8" s="19"/>
      <c r="Y8" s="19"/>
      <c r="Z8" s="19"/>
      <c r="AA8" s="19"/>
      <c r="AB8" s="19"/>
      <c r="AC8" s="19"/>
      <c r="AD8" s="1"/>
      <c r="AE8" s="10"/>
      <c r="AF8" s="10"/>
      <c r="AG8" s="10"/>
      <c r="AH8" s="10"/>
      <c r="AI8" s="10"/>
      <c r="AJ8" s="11"/>
      <c r="AK8" s="11"/>
      <c r="AL8" s="11"/>
      <c r="AM8" s="11"/>
      <c r="AN8" s="11"/>
      <c r="AO8" s="11"/>
      <c r="AP8" s="11"/>
      <c r="AQ8" s="11"/>
      <c r="AR8" s="51"/>
      <c r="AS8" s="1"/>
      <c r="AT8" s="1"/>
      <c r="AU8" s="1"/>
      <c r="AV8" s="1"/>
      <c r="AW8" s="1"/>
    </row>
    <row r="9" spans="1:49" ht="21.75" customHeight="1" x14ac:dyDescent="0.25">
      <c r="A9" s="46" t="s">
        <v>15</v>
      </c>
      <c r="B9" s="20">
        <v>84205179.430000007</v>
      </c>
      <c r="C9" s="20">
        <v>89024014.049999997</v>
      </c>
      <c r="D9" s="20">
        <v>94109382.299999997</v>
      </c>
      <c r="E9" s="20">
        <v>100186558.25</v>
      </c>
      <c r="F9" s="44">
        <v>106721468.25</v>
      </c>
      <c r="G9" s="20">
        <v>7908459.1699999999</v>
      </c>
      <c r="H9" s="20">
        <v>9405236.0500000007</v>
      </c>
      <c r="I9" s="20">
        <v>10618355.619999999</v>
      </c>
      <c r="J9" s="20">
        <v>10568383.58</v>
      </c>
      <c r="K9" s="44">
        <v>11793093.189999999</v>
      </c>
      <c r="L9" s="20">
        <v>24744606.129999999</v>
      </c>
      <c r="M9" s="20">
        <v>26928109.16</v>
      </c>
      <c r="N9" s="20">
        <v>26141954.390000001</v>
      </c>
      <c r="O9" s="20">
        <v>32347317.719999999</v>
      </c>
      <c r="P9" s="44">
        <v>30930639.16</v>
      </c>
      <c r="Q9" s="20">
        <v>0</v>
      </c>
      <c r="R9" s="21">
        <v>43131466.32</v>
      </c>
      <c r="S9" s="21">
        <v>44468675.030000001</v>
      </c>
      <c r="T9" s="21">
        <v>44461770.149999999</v>
      </c>
      <c r="U9" s="21">
        <v>45577506.369999997</v>
      </c>
      <c r="V9" s="21">
        <v>46596972.479999997</v>
      </c>
      <c r="W9" s="48" t="s">
        <v>16</v>
      </c>
      <c r="X9" s="22"/>
      <c r="Y9" s="22"/>
      <c r="Z9" s="23"/>
      <c r="AA9" s="22"/>
      <c r="AB9" s="22"/>
      <c r="AC9" s="22"/>
      <c r="AD9" s="24"/>
      <c r="AE9" s="25"/>
      <c r="AF9" s="10"/>
      <c r="AG9" s="10"/>
      <c r="AH9" s="10"/>
      <c r="AI9" s="1"/>
      <c r="AJ9" s="11"/>
      <c r="AK9" s="11"/>
      <c r="AL9" s="11"/>
      <c r="AM9" s="11"/>
      <c r="AN9" s="11"/>
      <c r="AO9" s="11"/>
      <c r="AP9" s="11"/>
      <c r="AQ9" s="11"/>
      <c r="AR9" s="51"/>
      <c r="AS9" s="1"/>
      <c r="AT9" s="1"/>
      <c r="AU9" s="1"/>
      <c r="AV9" s="1"/>
      <c r="AW9" s="1"/>
    </row>
    <row r="10" spans="1:49" ht="21.75" customHeight="1" x14ac:dyDescent="0.25">
      <c r="A10" s="46" t="s">
        <v>17</v>
      </c>
      <c r="B10" s="20">
        <v>85047798.390000001</v>
      </c>
      <c r="C10" s="20">
        <v>89765954.069999993</v>
      </c>
      <c r="D10" s="20">
        <v>94923581.439999998</v>
      </c>
      <c r="E10" s="20">
        <v>101065666.63</v>
      </c>
      <c r="F10" s="44">
        <v>107599554.51000001</v>
      </c>
      <c r="G10" s="20">
        <v>9223041.8300000001</v>
      </c>
      <c r="H10" s="20">
        <v>10240812.98</v>
      </c>
      <c r="I10" s="20">
        <v>8998572.8599999994</v>
      </c>
      <c r="J10" s="20">
        <v>11960731.91</v>
      </c>
      <c r="K10" s="44">
        <v>14354309.07</v>
      </c>
      <c r="L10" s="20">
        <v>24562857.760000002</v>
      </c>
      <c r="M10" s="20">
        <v>25222298.84</v>
      </c>
      <c r="N10" s="20">
        <v>29136776.829999998</v>
      </c>
      <c r="O10" s="20">
        <v>30985335.210000001</v>
      </c>
      <c r="P10" s="44">
        <v>30413475.41</v>
      </c>
      <c r="Q10" s="20">
        <v>42210402.700000003</v>
      </c>
      <c r="R10" s="21">
        <v>43254914.210000001</v>
      </c>
      <c r="S10" s="21">
        <v>44633060.780000001</v>
      </c>
      <c r="T10" s="21">
        <v>44810914.170000002</v>
      </c>
      <c r="U10" s="21">
        <v>46034387.5</v>
      </c>
      <c r="V10" s="21">
        <v>47072370.659999996</v>
      </c>
      <c r="W10" s="48" t="s">
        <v>18</v>
      </c>
      <c r="X10" s="22"/>
      <c r="Y10" s="22"/>
      <c r="Z10" s="23"/>
      <c r="AA10" s="22"/>
      <c r="AB10" s="22"/>
      <c r="AC10" s="22"/>
      <c r="AD10" s="1"/>
      <c r="AE10" s="25"/>
      <c r="AF10" s="10"/>
      <c r="AG10" s="10"/>
      <c r="AH10" s="10"/>
      <c r="AI10" s="1"/>
      <c r="AJ10" s="11"/>
      <c r="AK10" s="11"/>
      <c r="AL10" s="11"/>
      <c r="AM10" s="11"/>
      <c r="AN10" s="11"/>
      <c r="AO10" s="11"/>
      <c r="AP10" s="11"/>
      <c r="AQ10" s="11"/>
      <c r="AR10" s="51"/>
      <c r="AS10" s="1"/>
      <c r="AT10" s="1"/>
      <c r="AU10" s="1"/>
      <c r="AV10" s="1"/>
      <c r="AW10" s="1"/>
    </row>
    <row r="11" spans="1:49" ht="21.75" customHeight="1" x14ac:dyDescent="0.25">
      <c r="A11" s="46" t="s">
        <v>19</v>
      </c>
      <c r="B11" s="20">
        <v>85530868.75</v>
      </c>
      <c r="C11" s="20">
        <v>90397315.459999993</v>
      </c>
      <c r="D11" s="20">
        <v>95185539.5</v>
      </c>
      <c r="E11" s="20">
        <v>101282326.29000001</v>
      </c>
      <c r="F11" s="44">
        <v>108243385.06999999</v>
      </c>
      <c r="G11" s="20">
        <v>9275531.8399999999</v>
      </c>
      <c r="H11" s="20">
        <v>9546770.7400000002</v>
      </c>
      <c r="I11" s="20">
        <v>10249196.550000001</v>
      </c>
      <c r="J11" s="20">
        <v>13988224.960000001</v>
      </c>
      <c r="K11" s="44">
        <v>12419207.58</v>
      </c>
      <c r="L11" s="20">
        <v>27314533.890000001</v>
      </c>
      <c r="M11" s="20">
        <v>25319492</v>
      </c>
      <c r="N11" s="20">
        <v>27551049.829999998</v>
      </c>
      <c r="O11" s="20">
        <v>26543748.18</v>
      </c>
      <c r="P11" s="44">
        <v>29187638.18</v>
      </c>
      <c r="Q11" s="20">
        <v>42833238.119999997</v>
      </c>
      <c r="R11" s="21">
        <v>44149568.780000001</v>
      </c>
      <c r="S11" s="21">
        <v>44537862.530000001</v>
      </c>
      <c r="T11" s="21">
        <v>44721757.189999998</v>
      </c>
      <c r="U11" s="21">
        <v>45909139.420000002</v>
      </c>
      <c r="V11" s="21">
        <v>0</v>
      </c>
      <c r="W11" s="48" t="s">
        <v>20</v>
      </c>
      <c r="X11" s="22"/>
      <c r="Y11" s="22"/>
      <c r="Z11" s="23"/>
      <c r="AA11" s="22"/>
      <c r="AB11" s="22"/>
      <c r="AC11" s="22"/>
      <c r="AD11" s="1"/>
      <c r="AE11" s="25"/>
      <c r="AF11" s="10"/>
      <c r="AG11" s="10"/>
      <c r="AH11" s="10"/>
      <c r="AI11" s="10"/>
      <c r="AJ11" s="11"/>
      <c r="AK11" s="11"/>
      <c r="AL11" s="11"/>
      <c r="AM11" s="11"/>
      <c r="AN11" s="11"/>
      <c r="AO11" s="11"/>
      <c r="AP11" s="11"/>
      <c r="AQ11" s="11"/>
      <c r="AR11" s="51"/>
      <c r="AS11" s="1"/>
      <c r="AT11" s="1"/>
      <c r="AU11" s="1"/>
      <c r="AV11" s="1"/>
      <c r="AW11" s="1"/>
    </row>
    <row r="12" spans="1:49" ht="21.75" customHeight="1" x14ac:dyDescent="0.25">
      <c r="A12" s="46" t="s">
        <v>21</v>
      </c>
      <c r="B12" s="20">
        <v>85495145.260000005</v>
      </c>
      <c r="C12" s="20">
        <v>90459261.060000002</v>
      </c>
      <c r="D12" s="20">
        <v>96084879.540000007</v>
      </c>
      <c r="E12" s="20">
        <v>101759312.18000001</v>
      </c>
      <c r="F12" s="44">
        <v>108921735.88</v>
      </c>
      <c r="G12" s="20">
        <v>7369249.71</v>
      </c>
      <c r="H12" s="20">
        <v>9415966.2599999998</v>
      </c>
      <c r="I12" s="20">
        <v>10592280.42</v>
      </c>
      <c r="J12" s="20">
        <v>11850368.800000001</v>
      </c>
      <c r="K12" s="44">
        <v>12232034.33</v>
      </c>
      <c r="L12" s="20">
        <v>23545193.949999999</v>
      </c>
      <c r="M12" s="20">
        <v>28555799.079999998</v>
      </c>
      <c r="N12" s="20">
        <v>26874495.079999998</v>
      </c>
      <c r="O12" s="20">
        <v>27993778.789999999</v>
      </c>
      <c r="P12" s="44">
        <v>29375402.68</v>
      </c>
      <c r="Q12" s="20">
        <v>43089362.960000001</v>
      </c>
      <c r="R12" s="21">
        <v>43619940.25</v>
      </c>
      <c r="S12" s="21">
        <v>44571685.759999998</v>
      </c>
      <c r="T12" s="21">
        <v>44880317.399999999</v>
      </c>
      <c r="U12" s="21">
        <v>45996533.189999998</v>
      </c>
      <c r="V12" s="21">
        <v>0</v>
      </c>
      <c r="W12" s="48" t="s">
        <v>22</v>
      </c>
      <c r="X12" s="22"/>
      <c r="Y12" s="22"/>
      <c r="Z12" s="23"/>
      <c r="AA12" s="22"/>
      <c r="AB12" s="22"/>
      <c r="AC12" s="22"/>
      <c r="AD12" s="1"/>
      <c r="AE12" s="25"/>
      <c r="AF12" s="10"/>
      <c r="AG12" s="10"/>
      <c r="AH12" s="10"/>
      <c r="AI12" s="10"/>
      <c r="AJ12" s="11"/>
      <c r="AK12" s="11"/>
      <c r="AL12" s="11"/>
      <c r="AM12" s="11"/>
      <c r="AN12" s="11"/>
      <c r="AO12" s="11"/>
      <c r="AP12" s="11"/>
      <c r="AQ12" s="11"/>
      <c r="AR12" s="51"/>
      <c r="AS12" s="1"/>
      <c r="AT12" s="1"/>
      <c r="AU12" s="1"/>
      <c r="AV12" s="1"/>
      <c r="AW12" s="1"/>
    </row>
    <row r="13" spans="1:49" ht="21.75" customHeight="1" x14ac:dyDescent="0.25">
      <c r="A13" s="46" t="s">
        <v>23</v>
      </c>
      <c r="B13" s="20">
        <v>85433568.219999999</v>
      </c>
      <c r="C13" s="20">
        <v>90676522.090000004</v>
      </c>
      <c r="D13" s="20">
        <v>96467349.769999996</v>
      </c>
      <c r="E13" s="20">
        <v>101701098.01000001</v>
      </c>
      <c r="F13" s="44">
        <v>109376676.65000001</v>
      </c>
      <c r="G13" s="20">
        <v>7054956.5499999998</v>
      </c>
      <c r="H13" s="20">
        <v>10948229.890000001</v>
      </c>
      <c r="I13" s="20">
        <v>13325792.289999999</v>
      </c>
      <c r="J13" s="20">
        <v>12920950.859999999</v>
      </c>
      <c r="K13" s="44">
        <v>16516544.91</v>
      </c>
      <c r="L13" s="20">
        <v>24089928.109999999</v>
      </c>
      <c r="M13" s="20">
        <v>26470935.940000001</v>
      </c>
      <c r="N13" s="20">
        <v>25677596.23</v>
      </c>
      <c r="O13" s="20">
        <v>27811723.829999998</v>
      </c>
      <c r="P13" s="44">
        <v>31882995.609999999</v>
      </c>
      <c r="Q13" s="20">
        <v>42951893.25</v>
      </c>
      <c r="R13" s="21">
        <v>43724982.609999999</v>
      </c>
      <c r="S13" s="21">
        <v>44559908.899999999</v>
      </c>
      <c r="T13" s="21">
        <v>45031827.07</v>
      </c>
      <c r="U13" s="21">
        <v>45905014</v>
      </c>
      <c r="V13" s="21">
        <v>0</v>
      </c>
      <c r="W13" s="48" t="s">
        <v>24</v>
      </c>
      <c r="X13" s="22"/>
      <c r="Y13" s="22"/>
      <c r="Z13" s="22"/>
      <c r="AA13" s="22"/>
      <c r="AB13" s="22"/>
      <c r="AC13" s="22"/>
      <c r="AD13" s="1"/>
      <c r="AE13" s="25"/>
      <c r="AF13" s="10"/>
      <c r="AG13" s="10"/>
      <c r="AH13" s="10"/>
      <c r="AI13" s="10"/>
      <c r="AJ13" s="11"/>
      <c r="AK13" s="11"/>
      <c r="AL13" s="11"/>
      <c r="AM13" s="11"/>
      <c r="AN13" s="11"/>
      <c r="AO13" s="11"/>
      <c r="AP13" s="11"/>
      <c r="AQ13" s="11"/>
      <c r="AR13" s="51"/>
      <c r="AS13" s="1"/>
      <c r="AT13" s="1"/>
      <c r="AU13" s="1"/>
      <c r="AV13" s="1"/>
      <c r="AW13" s="1"/>
    </row>
    <row r="14" spans="1:49" ht="21.75" customHeight="1" x14ac:dyDescent="0.25">
      <c r="A14" s="46" t="s">
        <v>25</v>
      </c>
      <c r="B14" s="20">
        <v>85894473.629999995</v>
      </c>
      <c r="C14" s="20">
        <v>90597280.329999998</v>
      </c>
      <c r="D14" s="20">
        <v>96673697.530000001</v>
      </c>
      <c r="E14" s="20">
        <v>102145083.08</v>
      </c>
      <c r="F14" s="44">
        <v>109828119.95999999</v>
      </c>
      <c r="G14" s="20">
        <v>8321216.6799999997</v>
      </c>
      <c r="H14" s="20">
        <v>10046283.880000001</v>
      </c>
      <c r="I14" s="20">
        <v>10196624.869999999</v>
      </c>
      <c r="J14" s="20">
        <v>11099236.359999999</v>
      </c>
      <c r="K14" s="44">
        <v>11612749.300000001</v>
      </c>
      <c r="L14" s="20">
        <v>23527835.149999999</v>
      </c>
      <c r="M14" s="20">
        <v>24784633.620000001</v>
      </c>
      <c r="N14" s="20">
        <v>26777259.68</v>
      </c>
      <c r="O14" s="20">
        <v>29752356.879999999</v>
      </c>
      <c r="P14" s="44">
        <v>29443158.760000002</v>
      </c>
      <c r="Q14" s="20">
        <v>42755542.670000002</v>
      </c>
      <c r="R14" s="21">
        <v>43737662.259999998</v>
      </c>
      <c r="S14" s="21">
        <v>44460131.060000002</v>
      </c>
      <c r="T14" s="21">
        <v>44946197.149999999</v>
      </c>
      <c r="U14" s="21">
        <v>45901185.25</v>
      </c>
      <c r="V14" s="21">
        <v>0</v>
      </c>
      <c r="W14" s="48" t="s">
        <v>26</v>
      </c>
      <c r="X14" s="22"/>
      <c r="Y14" s="22"/>
      <c r="Z14" s="22"/>
      <c r="AA14" s="22"/>
      <c r="AB14" s="22"/>
      <c r="AC14" s="22"/>
      <c r="AD14" s="1"/>
      <c r="AE14" s="25"/>
      <c r="AF14" s="10"/>
      <c r="AG14" s="10"/>
      <c r="AH14" s="10"/>
      <c r="AI14" s="10"/>
      <c r="AJ14" s="11"/>
      <c r="AK14" s="11"/>
      <c r="AL14" s="11"/>
      <c r="AM14" s="11"/>
      <c r="AN14" s="11"/>
      <c r="AO14" s="11"/>
      <c r="AP14" s="11"/>
      <c r="AQ14" s="11"/>
      <c r="AR14" s="51"/>
      <c r="AS14" s="1"/>
      <c r="AT14" s="1"/>
      <c r="AU14" s="1"/>
      <c r="AV14" s="1"/>
      <c r="AW14" s="1"/>
    </row>
    <row r="15" spans="1:49" ht="21.75" customHeight="1" x14ac:dyDescent="0.25">
      <c r="A15" s="46" t="s">
        <v>27</v>
      </c>
      <c r="B15" s="20">
        <v>86286402.700000003</v>
      </c>
      <c r="C15" s="20">
        <v>90796978.950000003</v>
      </c>
      <c r="D15" s="20">
        <v>96520922.420000002</v>
      </c>
      <c r="E15" s="20">
        <v>102696962.29000001</v>
      </c>
      <c r="F15" s="44">
        <v>110631391.93000001</v>
      </c>
      <c r="G15" s="20">
        <v>8882763.3300000001</v>
      </c>
      <c r="H15" s="20">
        <v>10129299.859999999</v>
      </c>
      <c r="I15" s="20">
        <v>9864487.0999999996</v>
      </c>
      <c r="J15" s="20">
        <v>11006552.32</v>
      </c>
      <c r="K15" s="44">
        <v>17217468.550000001</v>
      </c>
      <c r="L15" s="20">
        <v>24101938.379999999</v>
      </c>
      <c r="M15" s="20">
        <v>25400549.43</v>
      </c>
      <c r="N15" s="20">
        <v>28046897.710000001</v>
      </c>
      <c r="O15" s="20">
        <v>28000449.190000001</v>
      </c>
      <c r="P15" s="44">
        <v>33052669.75</v>
      </c>
      <c r="Q15" s="20">
        <v>43020315.149999999</v>
      </c>
      <c r="R15" s="21">
        <v>43752500.329999998</v>
      </c>
      <c r="S15" s="21">
        <v>44393636.399999999</v>
      </c>
      <c r="T15" s="21">
        <v>44989173.789999999</v>
      </c>
      <c r="U15" s="21">
        <v>45986715.799999997</v>
      </c>
      <c r="V15" s="21">
        <v>0</v>
      </c>
      <c r="W15" s="48" t="s">
        <v>28</v>
      </c>
      <c r="X15" s="22"/>
      <c r="Y15" s="22"/>
      <c r="Z15" s="22"/>
      <c r="AA15" s="22"/>
      <c r="AB15" s="22"/>
      <c r="AC15" s="22"/>
      <c r="AD15" s="1"/>
      <c r="AE15" s="25"/>
      <c r="AF15" s="10"/>
      <c r="AG15" s="10"/>
      <c r="AH15" s="10"/>
      <c r="AI15" s="10"/>
      <c r="AJ15" s="11"/>
      <c r="AK15" s="11"/>
      <c r="AL15" s="11"/>
      <c r="AM15" s="11"/>
      <c r="AN15" s="11"/>
      <c r="AO15" s="11"/>
      <c r="AP15" s="11"/>
      <c r="AQ15" s="11"/>
      <c r="AR15" s="51"/>
      <c r="AS15" s="1"/>
      <c r="AT15" s="1"/>
      <c r="AU15" s="1"/>
      <c r="AV15" s="1"/>
      <c r="AW15" s="1"/>
    </row>
    <row r="16" spans="1:49" ht="21.75" customHeight="1" x14ac:dyDescent="0.25">
      <c r="A16" s="46" t="s">
        <v>29</v>
      </c>
      <c r="B16" s="20">
        <v>86468412.319999993</v>
      </c>
      <c r="C16" s="20">
        <v>91503229.530000001</v>
      </c>
      <c r="D16" s="20">
        <v>96822922.019999996</v>
      </c>
      <c r="E16" s="20">
        <v>103189534.34</v>
      </c>
      <c r="F16" s="44">
        <v>111179631.97</v>
      </c>
      <c r="G16" s="20">
        <v>8232170.2400000002</v>
      </c>
      <c r="H16" s="20">
        <v>10453579.65</v>
      </c>
      <c r="I16" s="20">
        <v>11333459.91</v>
      </c>
      <c r="J16" s="20">
        <v>12104001.779999999</v>
      </c>
      <c r="K16" s="44">
        <v>13541327.68</v>
      </c>
      <c r="L16" s="20">
        <v>23542787.829999998</v>
      </c>
      <c r="M16" s="20">
        <v>25384848.5</v>
      </c>
      <c r="N16" s="20">
        <v>29350585.350000001</v>
      </c>
      <c r="O16" s="20">
        <v>29387438.420000002</v>
      </c>
      <c r="P16" s="44">
        <v>29601700.629999999</v>
      </c>
      <c r="Q16" s="20">
        <v>42960311.329999998</v>
      </c>
      <c r="R16" s="21">
        <v>43870459</v>
      </c>
      <c r="S16" s="21">
        <v>44528204.109999999</v>
      </c>
      <c r="T16" s="21">
        <v>45041925.409999996</v>
      </c>
      <c r="U16" s="21">
        <v>46020459.649999999</v>
      </c>
      <c r="V16" s="21">
        <v>0</v>
      </c>
      <c r="W16" s="48" t="s">
        <v>30</v>
      </c>
      <c r="X16" s="22"/>
      <c r="Y16" s="22"/>
      <c r="Z16" s="22"/>
      <c r="AA16" s="22"/>
      <c r="AB16" s="22"/>
      <c r="AC16" s="22"/>
      <c r="AD16" s="1"/>
      <c r="AE16" s="25"/>
      <c r="AF16" s="10"/>
      <c r="AG16" s="10"/>
      <c r="AH16" s="10"/>
      <c r="AI16" s="10"/>
      <c r="AJ16" s="11"/>
      <c r="AK16" s="11"/>
      <c r="AL16" s="11"/>
      <c r="AM16" s="11"/>
      <c r="AN16" s="11"/>
      <c r="AO16" s="11"/>
      <c r="AP16" s="11"/>
      <c r="AQ16" s="11"/>
      <c r="AR16" s="51"/>
      <c r="AS16" s="1"/>
      <c r="AT16" s="1"/>
      <c r="AU16" s="1"/>
      <c r="AV16" s="1"/>
      <c r="AW16" s="1"/>
    </row>
    <row r="17" spans="1:50" ht="21.75" customHeight="1" x14ac:dyDescent="0.25">
      <c r="A17" s="46" t="s">
        <v>31</v>
      </c>
      <c r="B17" s="20">
        <v>87650800.219999999</v>
      </c>
      <c r="C17" s="20">
        <v>91784097.930000007</v>
      </c>
      <c r="D17" s="20">
        <v>97203262.280000001</v>
      </c>
      <c r="E17" s="20">
        <v>103353735.64</v>
      </c>
      <c r="F17" s="44">
        <v>111549096.83</v>
      </c>
      <c r="G17" s="20">
        <v>10867602.789999999</v>
      </c>
      <c r="H17" s="20">
        <v>11255233.67</v>
      </c>
      <c r="I17" s="20">
        <v>10682899.32</v>
      </c>
      <c r="J17" s="20">
        <v>12534110.99</v>
      </c>
      <c r="K17" s="44">
        <v>14158862.550000001</v>
      </c>
      <c r="L17" s="20">
        <v>24651010.469999999</v>
      </c>
      <c r="M17" s="20">
        <v>27296824.289999999</v>
      </c>
      <c r="N17" s="20">
        <v>28539708.84</v>
      </c>
      <c r="O17" s="20">
        <v>30213407.440000001</v>
      </c>
      <c r="P17" s="44">
        <v>30481766.940000001</v>
      </c>
      <c r="Q17" s="20">
        <v>42967536.020000003</v>
      </c>
      <c r="R17" s="21">
        <v>43935052.659999996</v>
      </c>
      <c r="S17" s="21">
        <v>44435147.43</v>
      </c>
      <c r="T17" s="21">
        <v>45281804.299999997</v>
      </c>
      <c r="U17" s="21">
        <v>45982647.130000003</v>
      </c>
      <c r="V17" s="21">
        <v>0</v>
      </c>
      <c r="W17" s="48" t="s">
        <v>32</v>
      </c>
      <c r="X17" s="22"/>
      <c r="Y17" s="22"/>
      <c r="Z17" s="22"/>
      <c r="AA17" s="22"/>
      <c r="AB17" s="22"/>
      <c r="AC17" s="22"/>
      <c r="AD17" s="1"/>
      <c r="AE17" s="25"/>
      <c r="AF17" s="10"/>
      <c r="AG17" s="10"/>
      <c r="AH17" s="10"/>
      <c r="AI17" s="10"/>
      <c r="AJ17" s="11"/>
      <c r="AK17" s="11"/>
      <c r="AL17" s="11"/>
      <c r="AM17" s="11"/>
      <c r="AN17" s="11"/>
      <c r="AO17" s="11"/>
      <c r="AP17" s="11"/>
      <c r="AQ17" s="11"/>
      <c r="AR17" s="51"/>
      <c r="AS17" s="1"/>
      <c r="AT17" s="1"/>
      <c r="AU17" s="1"/>
      <c r="AV17" s="1"/>
      <c r="AW17" s="1"/>
    </row>
    <row r="18" spans="1:50" ht="21.75" customHeight="1" x14ac:dyDescent="0.25">
      <c r="A18" s="46" t="s">
        <v>33</v>
      </c>
      <c r="B18" s="20">
        <v>87032361.140000001</v>
      </c>
      <c r="C18" s="20">
        <v>91984224.239999995</v>
      </c>
      <c r="D18" s="20">
        <v>98103575.209999993</v>
      </c>
      <c r="E18" s="20">
        <v>103768501.04000001</v>
      </c>
      <c r="F18" s="44">
        <v>111823074.84999999</v>
      </c>
      <c r="G18" s="20">
        <v>7840916.3700000001</v>
      </c>
      <c r="H18" s="20">
        <v>8617969.8699999992</v>
      </c>
      <c r="I18" s="20">
        <v>10585595.109999999</v>
      </c>
      <c r="J18" s="20">
        <v>12564204.869999999</v>
      </c>
      <c r="K18" s="44">
        <v>14094780.119999999</v>
      </c>
      <c r="L18" s="20">
        <v>23501154.859999999</v>
      </c>
      <c r="M18" s="20">
        <v>24199617.809999999</v>
      </c>
      <c r="N18" s="20">
        <v>29792973.670000002</v>
      </c>
      <c r="O18" s="20">
        <v>30030072.59</v>
      </c>
      <c r="P18" s="44">
        <v>29220452.859999999</v>
      </c>
      <c r="Q18" s="20">
        <v>43043959.509999998</v>
      </c>
      <c r="R18" s="21">
        <v>43913866.189999998</v>
      </c>
      <c r="S18" s="21">
        <v>44405359.340000004</v>
      </c>
      <c r="T18" s="21">
        <v>44969354.149999999</v>
      </c>
      <c r="U18" s="21">
        <v>45894130.229999997</v>
      </c>
      <c r="V18" s="21">
        <v>0</v>
      </c>
      <c r="W18" s="48" t="s">
        <v>34</v>
      </c>
      <c r="X18" s="22"/>
      <c r="Y18" s="22"/>
      <c r="Z18" s="22"/>
      <c r="AA18" s="22"/>
      <c r="AB18" s="22"/>
      <c r="AC18" s="22"/>
      <c r="AD18" s="1"/>
      <c r="AE18" s="25"/>
      <c r="AF18" s="10"/>
      <c r="AG18" s="10"/>
      <c r="AH18" s="10"/>
      <c r="AI18" s="10"/>
      <c r="AJ18" s="11"/>
      <c r="AK18" s="11"/>
      <c r="AL18" s="11"/>
      <c r="AM18" s="11"/>
      <c r="AN18" s="11"/>
      <c r="AO18" s="11"/>
      <c r="AP18" s="11"/>
      <c r="AQ18" s="11"/>
      <c r="AR18" s="51"/>
      <c r="AS18" s="1"/>
      <c r="AT18" s="1"/>
      <c r="AU18" s="1"/>
      <c r="AV18" s="1"/>
      <c r="AW18" s="1"/>
    </row>
    <row r="19" spans="1:50" ht="21.75" customHeight="1" x14ac:dyDescent="0.55000000000000004">
      <c r="A19" s="46" t="s">
        <v>35</v>
      </c>
      <c r="B19" s="20">
        <v>86878170.810000002</v>
      </c>
      <c r="C19" s="20">
        <v>91956764.840000004</v>
      </c>
      <c r="D19" s="20">
        <v>97469091.599999994</v>
      </c>
      <c r="E19" s="20">
        <v>104079649.63</v>
      </c>
      <c r="F19" s="44">
        <v>112117503.81</v>
      </c>
      <c r="G19" s="20">
        <v>8670293.7899999991</v>
      </c>
      <c r="H19" s="20">
        <v>9285648.3000000007</v>
      </c>
      <c r="I19" s="20">
        <v>10685785.789999999</v>
      </c>
      <c r="J19" s="20">
        <v>12028687.18</v>
      </c>
      <c r="K19" s="44">
        <v>14132005.02</v>
      </c>
      <c r="L19" s="20">
        <v>25078148.149999999</v>
      </c>
      <c r="M19" s="20">
        <v>28150427.670000002</v>
      </c>
      <c r="N19" s="20">
        <v>29644130.32</v>
      </c>
      <c r="O19" s="20">
        <v>29703121.390000001</v>
      </c>
      <c r="P19" s="44">
        <v>29235554.41</v>
      </c>
      <c r="Q19" s="20">
        <v>42800573.149999999</v>
      </c>
      <c r="R19" s="21">
        <v>43822391.649999999</v>
      </c>
      <c r="S19" s="21">
        <v>44228858.57</v>
      </c>
      <c r="T19" s="21">
        <v>45004333.439999998</v>
      </c>
      <c r="U19" s="21">
        <v>45831243.82</v>
      </c>
      <c r="V19" s="21">
        <v>0</v>
      </c>
      <c r="W19" s="49" t="s">
        <v>36</v>
      </c>
      <c r="X19" s="27"/>
      <c r="Y19" s="27"/>
      <c r="Z19" s="27"/>
      <c r="AA19" s="27"/>
      <c r="AB19" s="27"/>
      <c r="AC19" s="27"/>
      <c r="AD19" s="1"/>
      <c r="AE19" s="25"/>
      <c r="AF19" s="10"/>
      <c r="AG19" s="10"/>
      <c r="AH19" s="10"/>
      <c r="AI19" s="10"/>
      <c r="AJ19" s="11"/>
      <c r="AK19" s="11"/>
      <c r="AL19" s="11"/>
      <c r="AM19" s="11"/>
      <c r="AN19" s="11"/>
      <c r="AO19" s="11"/>
      <c r="AP19" s="11"/>
      <c r="AQ19" s="11"/>
      <c r="AR19" s="51"/>
      <c r="AS19" s="1"/>
      <c r="AT19" s="1"/>
      <c r="AU19" s="1"/>
      <c r="AV19" s="1"/>
      <c r="AW19" s="1"/>
    </row>
    <row r="20" spans="1:50" ht="21.75" customHeight="1" x14ac:dyDescent="0.25">
      <c r="A20" s="47" t="s">
        <v>37</v>
      </c>
      <c r="B20" s="28">
        <v>87283786.060000002</v>
      </c>
      <c r="C20" s="28">
        <v>92381474.780000001</v>
      </c>
      <c r="D20" s="28">
        <v>97572131.730000004</v>
      </c>
      <c r="E20" s="28">
        <v>104149826.25</v>
      </c>
      <c r="F20" s="45">
        <v>112327593.39</v>
      </c>
      <c r="G20" s="28">
        <v>8834319.1300000008</v>
      </c>
      <c r="H20" s="28">
        <v>14043385.300000001</v>
      </c>
      <c r="I20" s="28">
        <v>11406792.83</v>
      </c>
      <c r="J20" s="28">
        <v>13639217.300000001</v>
      </c>
      <c r="K20" s="45">
        <v>13472538.24</v>
      </c>
      <c r="L20" s="28">
        <v>24178546.5</v>
      </c>
      <c r="M20" s="28">
        <v>27926430.82</v>
      </c>
      <c r="N20" s="28">
        <v>30321208.02</v>
      </c>
      <c r="O20" s="28">
        <v>36016426.93</v>
      </c>
      <c r="P20" s="45">
        <v>31913970.210000001</v>
      </c>
      <c r="Q20" s="28">
        <v>42678576.490000002</v>
      </c>
      <c r="R20" s="29">
        <v>43634524.200000003</v>
      </c>
      <c r="S20" s="29">
        <v>44260007.780000001</v>
      </c>
      <c r="T20" s="29">
        <v>44897572.810000002</v>
      </c>
      <c r="U20" s="29">
        <v>45784801.289999999</v>
      </c>
      <c r="V20" s="29">
        <v>0</v>
      </c>
      <c r="W20" s="50" t="s">
        <v>38</v>
      </c>
      <c r="X20" s="22"/>
      <c r="Y20" s="22"/>
      <c r="Z20" s="22"/>
      <c r="AA20" s="22"/>
      <c r="AB20" s="22"/>
      <c r="AC20" s="22"/>
      <c r="AD20" s="1"/>
      <c r="AE20" s="25"/>
      <c r="AF20" s="10"/>
      <c r="AG20" s="10"/>
      <c r="AH20" s="10"/>
      <c r="AI20" s="10"/>
      <c r="AJ20" s="11"/>
      <c r="AK20" s="11"/>
      <c r="AL20" s="11"/>
      <c r="AM20" s="11"/>
      <c r="AN20" s="11"/>
      <c r="AO20" s="11"/>
      <c r="AP20" s="11"/>
      <c r="AQ20" s="11"/>
      <c r="AR20" s="51"/>
      <c r="AS20" s="1"/>
      <c r="AT20" s="1"/>
      <c r="AU20" s="1"/>
      <c r="AV20" s="1"/>
      <c r="AW20" s="1"/>
    </row>
    <row r="21" spans="1:50" ht="17.25" customHeight="1" x14ac:dyDescent="0.25">
      <c r="A21" s="30" t="s">
        <v>39</v>
      </c>
      <c r="B21" s="31"/>
      <c r="C21" s="31"/>
      <c r="D21" s="31"/>
      <c r="E21" s="31"/>
      <c r="F21" s="31"/>
      <c r="G21" s="32"/>
      <c r="H21" s="32"/>
      <c r="I21" s="32"/>
      <c r="J21" s="32"/>
      <c r="K21" s="32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3" t="s">
        <v>40</v>
      </c>
      <c r="X21" s="34"/>
      <c r="Y21" s="34"/>
      <c r="Z21" s="34"/>
      <c r="AA21" s="34"/>
      <c r="AB21" s="34"/>
      <c r="AC21" s="34"/>
      <c r="AD21" s="31"/>
      <c r="AE21" s="25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53"/>
      <c r="AS21" s="1"/>
      <c r="AT21" s="1"/>
      <c r="AU21" s="1"/>
      <c r="AV21" s="1"/>
      <c r="AW21" s="1"/>
    </row>
    <row r="22" spans="1:50" ht="17.25" customHeight="1" x14ac:dyDescent="0.45">
      <c r="A22" s="35" t="s">
        <v>41</v>
      </c>
      <c r="B22" s="31"/>
      <c r="C22" s="31"/>
      <c r="D22" s="31"/>
      <c r="E22" s="31"/>
      <c r="F22" s="31"/>
      <c r="G22" s="32"/>
      <c r="H22" s="32"/>
      <c r="I22" s="32"/>
      <c r="J22" s="32"/>
      <c r="K22" s="32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56" t="s">
        <v>42</v>
      </c>
      <c r="X22" s="36"/>
      <c r="Y22" s="36"/>
      <c r="Z22" s="36"/>
      <c r="AA22" s="36"/>
      <c r="AB22" s="36"/>
      <c r="AC22" s="36"/>
      <c r="AD22" s="31"/>
      <c r="AE22" s="25"/>
      <c r="AF22" s="73" t="s">
        <v>43</v>
      </c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62" t="s">
        <v>44</v>
      </c>
      <c r="AT22" s="62"/>
      <c r="AU22" s="62"/>
      <c r="AV22" s="62"/>
      <c r="AW22" s="62"/>
      <c r="AX22" s="62"/>
    </row>
    <row r="23" spans="1:50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25"/>
      <c r="AF23" s="10">
        <v>2012</v>
      </c>
      <c r="AG23" s="10">
        <v>2013</v>
      </c>
      <c r="AH23" s="10">
        <v>2014</v>
      </c>
      <c r="AI23" s="10">
        <v>2015</v>
      </c>
      <c r="AJ23" s="10">
        <v>2016</v>
      </c>
      <c r="AK23" s="10">
        <v>2017</v>
      </c>
      <c r="AL23" s="10">
        <v>2018</v>
      </c>
      <c r="AM23" s="10">
        <v>2019</v>
      </c>
      <c r="AN23" s="10">
        <v>2020</v>
      </c>
      <c r="AO23" s="10">
        <v>2021</v>
      </c>
      <c r="AP23" s="10">
        <v>2022</v>
      </c>
      <c r="AQ23" s="37">
        <v>2023</v>
      </c>
      <c r="AR23" s="10">
        <v>2024</v>
      </c>
      <c r="AS23" s="38">
        <v>2019</v>
      </c>
      <c r="AT23" s="1">
        <v>2020</v>
      </c>
      <c r="AU23" s="1">
        <v>2021</v>
      </c>
      <c r="AV23" s="1">
        <v>2022</v>
      </c>
      <c r="AW23" s="1">
        <v>2023</v>
      </c>
      <c r="AX23" s="1">
        <v>2024</v>
      </c>
    </row>
    <row r="24" spans="1:50" ht="15.75" customHeight="1" x14ac:dyDescent="0.2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tr">
        <f>B6</f>
        <v>Basic pension</v>
      </c>
      <c r="AF24" s="8" t="e">
        <f>#REF!/1000000</f>
        <v>#REF!</v>
      </c>
      <c r="AG24" s="8" t="e">
        <f>#REF!/1000000</f>
        <v>#REF!</v>
      </c>
      <c r="AH24" s="8" t="e">
        <f>#REF!/1000000</f>
        <v>#REF!</v>
      </c>
      <c r="AI24" s="8" t="e">
        <f>#REF!/1000000</f>
        <v>#REF!</v>
      </c>
      <c r="AJ24" s="8" t="e">
        <f>#REF!/1000000</f>
        <v>#REF!</v>
      </c>
      <c r="AK24" s="8" t="e">
        <f>#REF!/1000000</f>
        <v>#REF!</v>
      </c>
      <c r="AL24" s="8" t="e">
        <f>#REF!/1000000</f>
        <v>#REF!</v>
      </c>
      <c r="AM24" s="8" t="e">
        <f t="shared" ref="AM24:AR26" si="1">AS24/1000000</f>
        <v>#REF!</v>
      </c>
      <c r="AN24" s="8">
        <f t="shared" si="1"/>
        <v>1033.2069669300001</v>
      </c>
      <c r="AO24" s="8">
        <f t="shared" si="1"/>
        <v>1091.3271173300002</v>
      </c>
      <c r="AP24" s="8">
        <f t="shared" si="1"/>
        <v>1157.13633534</v>
      </c>
      <c r="AQ24" s="39">
        <f t="shared" si="1"/>
        <v>1229.37825363</v>
      </c>
      <c r="AR24" s="39">
        <f t="shared" si="1"/>
        <v>1320.3192331000002</v>
      </c>
      <c r="AS24" s="21" t="e">
        <f>#REF!</f>
        <v>#REF!</v>
      </c>
      <c r="AT24" s="21">
        <f>B8</f>
        <v>1033206966.9300001</v>
      </c>
      <c r="AU24" s="21">
        <f>C8</f>
        <v>1091327117.3300002</v>
      </c>
      <c r="AV24" s="21">
        <f>D8</f>
        <v>1157136335.3399999</v>
      </c>
      <c r="AW24" s="21">
        <f>E8</f>
        <v>1229378253.6300001</v>
      </c>
      <c r="AX24" s="21">
        <f>F8</f>
        <v>1320319233.1000001</v>
      </c>
    </row>
    <row r="25" spans="1:50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tr">
        <f>L6</f>
        <v>Other  pension</v>
      </c>
      <c r="AF25" s="8" t="e">
        <f>#REF!/1000000</f>
        <v>#REF!</v>
      </c>
      <c r="AG25" s="8" t="e">
        <f>#REF!/1000000</f>
        <v>#REF!</v>
      </c>
      <c r="AH25" s="8" t="e">
        <f>#REF!/1000000</f>
        <v>#REF!</v>
      </c>
      <c r="AI25" s="8" t="e">
        <f>#REF!/1000000</f>
        <v>#REF!</v>
      </c>
      <c r="AJ25" s="8" t="e">
        <f>#REF!/1000000</f>
        <v>#REF!</v>
      </c>
      <c r="AK25" s="8" t="e">
        <f>#REF!/1000000</f>
        <v>#REF!</v>
      </c>
      <c r="AL25" s="8" t="e">
        <f>#REF!/1000000</f>
        <v>#REF!</v>
      </c>
      <c r="AM25" s="8">
        <f t="shared" si="1"/>
        <v>297.50286885000003</v>
      </c>
      <c r="AN25" s="8">
        <f t="shared" si="1"/>
        <v>292.83854117999994</v>
      </c>
      <c r="AO25" s="8">
        <f t="shared" si="1"/>
        <v>315.63996715999997</v>
      </c>
      <c r="AP25" s="8">
        <f t="shared" si="1"/>
        <v>337.85463594999999</v>
      </c>
      <c r="AQ25" s="39">
        <f t="shared" si="1"/>
        <v>358.78517656999998</v>
      </c>
      <c r="AR25" s="39">
        <f t="shared" si="1"/>
        <v>364.73942460000001</v>
      </c>
      <c r="AS25" s="21">
        <v>297502868.85000002</v>
      </c>
      <c r="AT25" s="21">
        <v>292838541.17999995</v>
      </c>
      <c r="AU25" s="21">
        <v>315639967.15999997</v>
      </c>
      <c r="AV25" s="21">
        <f>N8</f>
        <v>337854635.94999999</v>
      </c>
      <c r="AW25" s="21">
        <f>O8</f>
        <v>358785176.56999999</v>
      </c>
      <c r="AX25" s="21">
        <f>P8</f>
        <v>364739424.60000002</v>
      </c>
    </row>
    <row r="26" spans="1:50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tr">
        <f>G6</f>
        <v>Retirement  pension</v>
      </c>
      <c r="AF26" s="8" t="e">
        <f>#REF!/1000000</f>
        <v>#REF!</v>
      </c>
      <c r="AG26" s="8" t="e">
        <f>#REF!/1000000</f>
        <v>#REF!</v>
      </c>
      <c r="AH26" s="8" t="e">
        <f>#REF!/1000000</f>
        <v>#REF!</v>
      </c>
      <c r="AI26" s="8" t="e">
        <f>#REF!/1000000</f>
        <v>#REF!</v>
      </c>
      <c r="AJ26" s="8" t="e">
        <f>#REF!/1000000</f>
        <v>#REF!</v>
      </c>
      <c r="AK26" s="8" t="e">
        <f>#REF!/1000000</f>
        <v>#REF!</v>
      </c>
      <c r="AL26" s="8" t="e">
        <f>#REF!/1000000</f>
        <v>#REF!</v>
      </c>
      <c r="AM26" s="8">
        <f t="shared" si="1"/>
        <v>90.949201129999992</v>
      </c>
      <c r="AN26" s="8">
        <f t="shared" si="1"/>
        <v>102.48052142999998</v>
      </c>
      <c r="AO26" s="8">
        <f t="shared" si="1"/>
        <v>123.38841645000001</v>
      </c>
      <c r="AP26" s="8">
        <f t="shared" si="1"/>
        <v>128.53984267000001</v>
      </c>
      <c r="AQ26" s="39">
        <f t="shared" si="1"/>
        <v>146.26467091000001</v>
      </c>
      <c r="AR26" s="39">
        <f t="shared" si="1"/>
        <v>165.54492053999999</v>
      </c>
      <c r="AS26" s="21">
        <v>90949201.129999995</v>
      </c>
      <c r="AT26" s="21">
        <v>102480521.42999998</v>
      </c>
      <c r="AU26" s="21">
        <v>123388416.45</v>
      </c>
      <c r="AV26" s="21">
        <f>I8</f>
        <v>128539842.67</v>
      </c>
      <c r="AW26" s="21">
        <f>J8</f>
        <v>146264670.91</v>
      </c>
      <c r="AX26" s="21">
        <f>K8</f>
        <v>165544920.53999999</v>
      </c>
    </row>
    <row r="27" spans="1:50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tr">
        <f>Q6</f>
        <v xml:space="preserve"> Senior Citizen Allowance</v>
      </c>
      <c r="AF27" s="8" t="e">
        <f>#REF!/1000000</f>
        <v>#REF!</v>
      </c>
      <c r="AG27" s="8" t="e">
        <f>#REF!/1000000</f>
        <v>#REF!</v>
      </c>
      <c r="AH27" s="8" t="e">
        <f>#REF!/1000000</f>
        <v>#REF!</v>
      </c>
      <c r="AI27" s="8" t="e">
        <f>#REF!/1000000</f>
        <v>#REF!</v>
      </c>
      <c r="AJ27" s="8" t="e">
        <f>#REF!/1000000</f>
        <v>#REF!</v>
      </c>
      <c r="AK27" s="8" t="e">
        <f>#REF!/1000000</f>
        <v>#REF!</v>
      </c>
      <c r="AL27" s="8" t="e">
        <f>#REF!/1000000</f>
        <v>#REF!</v>
      </c>
      <c r="AM27" s="8">
        <f>AS27/1000000</f>
        <v>93.669343139999981</v>
      </c>
      <c r="AN27" s="8">
        <f>AT27/1000000</f>
        <v>0</v>
      </c>
      <c r="AO27" s="8">
        <f>AU27/1000000</f>
        <v>0</v>
      </c>
      <c r="AP27" s="8">
        <f>AV27/1000000</f>
        <v>0</v>
      </c>
      <c r="AQ27" s="39">
        <f>AW27/1000000</f>
        <v>0</v>
      </c>
      <c r="AR27" s="54"/>
      <c r="AS27" s="21">
        <f>V8</f>
        <v>93669343.139999986</v>
      </c>
      <c r="AT27" s="8">
        <f t="shared" ref="AT27:AX27" si="2">BC27/1000000</f>
        <v>0</v>
      </c>
      <c r="AU27" s="8">
        <f t="shared" si="2"/>
        <v>0</v>
      </c>
      <c r="AV27" s="8">
        <f t="shared" si="2"/>
        <v>0</v>
      </c>
      <c r="AW27" s="8">
        <f t="shared" si="2"/>
        <v>0</v>
      </c>
      <c r="AX27" s="8">
        <f t="shared" si="2"/>
        <v>0</v>
      </c>
    </row>
    <row r="28" spans="1:50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0"/>
      <c r="AF28" s="10"/>
      <c r="AG28" s="11"/>
      <c r="AH28" s="11"/>
      <c r="AI28" s="1"/>
      <c r="AJ28" s="1"/>
      <c r="AK28" s="1"/>
      <c r="AL28" s="1"/>
      <c r="AM28" s="1"/>
      <c r="AN28" s="1"/>
      <c r="AO28" s="1"/>
      <c r="AP28" s="1"/>
      <c r="AQ28" s="40"/>
      <c r="AR28" s="42"/>
      <c r="AS28" s="24" t="e">
        <f t="shared" ref="AS28:AW28" si="3">SUM(AS24:AS27)</f>
        <v>#REF!</v>
      </c>
      <c r="AT28" s="24">
        <f t="shared" si="3"/>
        <v>1428526029.5400002</v>
      </c>
      <c r="AU28" s="24">
        <f t="shared" si="3"/>
        <v>1530355500.9400003</v>
      </c>
      <c r="AV28" s="24">
        <f t="shared" si="3"/>
        <v>1623530813.96</v>
      </c>
      <c r="AW28" s="24">
        <f t="shared" si="3"/>
        <v>1734428101.1100001</v>
      </c>
      <c r="AX28" s="24">
        <f t="shared" ref="AX28" si="4">SUM(AX24:AX27)</f>
        <v>1850603578.2400002</v>
      </c>
    </row>
    <row r="29" spans="1:50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0"/>
      <c r="AF29" s="10"/>
      <c r="AG29" s="11"/>
      <c r="AH29" s="11"/>
      <c r="AI29" s="11"/>
      <c r="AJ29" s="26"/>
      <c r="AK29" s="26"/>
      <c r="AL29" s="26"/>
      <c r="AM29" s="26"/>
      <c r="AN29" s="26"/>
      <c r="AO29" s="26"/>
      <c r="AP29" s="26"/>
      <c r="AQ29" s="26"/>
      <c r="AR29" s="55"/>
      <c r="AS29" s="1"/>
      <c r="AT29" s="1"/>
      <c r="AU29" s="1"/>
      <c r="AV29" s="1"/>
      <c r="AW29" s="1"/>
    </row>
    <row r="30" spans="1:50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42"/>
      <c r="AS30" s="1"/>
      <c r="AT30" s="1"/>
      <c r="AU30" s="1"/>
      <c r="AV30" s="1"/>
      <c r="AW30" s="1"/>
    </row>
    <row r="31" spans="1:50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42"/>
      <c r="AS31" s="1"/>
      <c r="AT31" s="1"/>
      <c r="AU31" s="1"/>
      <c r="AV31" s="1"/>
      <c r="AW31" s="1"/>
    </row>
    <row r="32" spans="1:50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42"/>
      <c r="AS32" s="1"/>
      <c r="AT32" s="1"/>
      <c r="AU32" s="1"/>
      <c r="AV32" s="1"/>
      <c r="AW32" s="1"/>
    </row>
    <row r="33" spans="1:49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42"/>
      <c r="AS33" s="1"/>
      <c r="AT33" s="1"/>
      <c r="AU33" s="1"/>
      <c r="AV33" s="1"/>
      <c r="AW33" s="1"/>
    </row>
    <row r="34" spans="1:49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42"/>
      <c r="AS34" s="1"/>
      <c r="AT34" s="1"/>
      <c r="AU34" s="1"/>
      <c r="AV34" s="1"/>
      <c r="AW34" s="1"/>
    </row>
    <row r="35" spans="1:4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42"/>
      <c r="AS35" s="1"/>
      <c r="AT35" s="1"/>
      <c r="AU35" s="1"/>
      <c r="AV35" s="1"/>
      <c r="AW35" s="1"/>
    </row>
    <row r="36" spans="1:4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42"/>
      <c r="AS36" s="1"/>
      <c r="AT36" s="1"/>
      <c r="AU36" s="1"/>
      <c r="AV36" s="1"/>
      <c r="AW36" s="1"/>
    </row>
    <row r="37" spans="1:4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42"/>
      <c r="AS37" s="1"/>
      <c r="AT37" s="1"/>
      <c r="AU37" s="1"/>
      <c r="AV37" s="1"/>
      <c r="AW37" s="1"/>
    </row>
    <row r="38" spans="1:4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42"/>
      <c r="AS38" s="1"/>
      <c r="AT38" s="1"/>
      <c r="AU38" s="1"/>
      <c r="AV38" s="1"/>
      <c r="AW38" s="1"/>
    </row>
    <row r="39" spans="1:4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42"/>
      <c r="AS39" s="1"/>
      <c r="AT39" s="1"/>
      <c r="AU39" s="1"/>
      <c r="AV39" s="1"/>
      <c r="AW39" s="1"/>
    </row>
    <row r="40" spans="1:4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42"/>
      <c r="AS40" s="1"/>
      <c r="AT40" s="1"/>
      <c r="AU40" s="1"/>
      <c r="AV40" s="1"/>
      <c r="AW40" s="1"/>
    </row>
    <row r="41" spans="1:4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42"/>
      <c r="AS41" s="1"/>
      <c r="AT41" s="1"/>
      <c r="AU41" s="1"/>
      <c r="AV41" s="1"/>
      <c r="AW41" s="1"/>
    </row>
    <row r="42" spans="1:4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42"/>
      <c r="AS42" s="1"/>
      <c r="AT42" s="1"/>
      <c r="AU42" s="1"/>
      <c r="AV42" s="1"/>
      <c r="AW42" s="1"/>
    </row>
    <row r="43" spans="1:4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42"/>
      <c r="AS43" s="1"/>
      <c r="AT43" s="1"/>
      <c r="AU43" s="1"/>
      <c r="AV43" s="1"/>
      <c r="AW43" s="1"/>
    </row>
    <row r="44" spans="1:4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42"/>
      <c r="AS44" s="1"/>
      <c r="AT44" s="1"/>
      <c r="AU44" s="1"/>
      <c r="AV44" s="1"/>
      <c r="AW44" s="1"/>
    </row>
    <row r="45" spans="1:4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42"/>
      <c r="AS45" s="1"/>
      <c r="AT45" s="1"/>
      <c r="AU45" s="1"/>
      <c r="AV45" s="1"/>
      <c r="AW45" s="1"/>
    </row>
    <row r="46" spans="1:4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42"/>
      <c r="AS46" s="1"/>
      <c r="AT46" s="1"/>
      <c r="AU46" s="1"/>
      <c r="AV46" s="1"/>
      <c r="AW46" s="1"/>
    </row>
    <row r="47" spans="1:4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42"/>
      <c r="AS47" s="1"/>
      <c r="AT47" s="1"/>
      <c r="AU47" s="1"/>
      <c r="AV47" s="1"/>
      <c r="AW47" s="1"/>
    </row>
    <row r="48" spans="1:4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42"/>
      <c r="AS48" s="1"/>
      <c r="AT48" s="1"/>
      <c r="AU48" s="1"/>
      <c r="AV48" s="1"/>
      <c r="AW48" s="1"/>
    </row>
    <row r="49" spans="1:4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42"/>
      <c r="AS49" s="1"/>
      <c r="AT49" s="1"/>
      <c r="AU49" s="1"/>
      <c r="AV49" s="1"/>
      <c r="AW49" s="1"/>
    </row>
    <row r="50" spans="1:4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42"/>
      <c r="AS50" s="1"/>
      <c r="AT50" s="1"/>
      <c r="AU50" s="1"/>
      <c r="AV50" s="1"/>
      <c r="AW50" s="1"/>
    </row>
    <row r="51" spans="1:4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42"/>
      <c r="AS51" s="1"/>
      <c r="AT51" s="1"/>
      <c r="AU51" s="1"/>
      <c r="AV51" s="1"/>
      <c r="AW51" s="1"/>
    </row>
    <row r="52" spans="1:4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42"/>
      <c r="AS52" s="1"/>
      <c r="AT52" s="1"/>
      <c r="AU52" s="1"/>
      <c r="AV52" s="1"/>
      <c r="AW52" s="1"/>
    </row>
    <row r="53" spans="1:4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42"/>
      <c r="AS53" s="1"/>
      <c r="AT53" s="1"/>
      <c r="AU53" s="1"/>
      <c r="AV53" s="1"/>
      <c r="AW53" s="1"/>
    </row>
    <row r="54" spans="1:4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42"/>
      <c r="AS54" s="1"/>
      <c r="AT54" s="1"/>
      <c r="AU54" s="1"/>
      <c r="AV54" s="1"/>
      <c r="AW54" s="1"/>
    </row>
    <row r="55" spans="1:4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42"/>
      <c r="AS55" s="1"/>
      <c r="AT55" s="1"/>
      <c r="AU55" s="1"/>
      <c r="AV55" s="1"/>
      <c r="AW55" s="1"/>
    </row>
    <row r="56" spans="1:4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42"/>
      <c r="AS56" s="1"/>
      <c r="AT56" s="1"/>
      <c r="AU56" s="1"/>
      <c r="AV56" s="1"/>
      <c r="AW56" s="1"/>
    </row>
    <row r="57" spans="1:4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42"/>
      <c r="AS57" s="1"/>
      <c r="AT57" s="1"/>
      <c r="AU57" s="1"/>
      <c r="AV57" s="1"/>
      <c r="AW57" s="1"/>
    </row>
    <row r="58" spans="1:4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8"/>
      <c r="W58" s="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42"/>
      <c r="AS58" s="1"/>
      <c r="AT58" s="1"/>
      <c r="AU58" s="1"/>
      <c r="AV58" s="1"/>
      <c r="AW58" s="1"/>
    </row>
    <row r="59" spans="1:4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42"/>
      <c r="AS59" s="1"/>
      <c r="AT59" s="1"/>
      <c r="AU59" s="1"/>
      <c r="AV59" s="1"/>
      <c r="AW59" s="1"/>
    </row>
    <row r="60" spans="1:4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42"/>
      <c r="AS60" s="1"/>
      <c r="AT60" s="1"/>
      <c r="AU60" s="1"/>
      <c r="AV60" s="1"/>
      <c r="AW60" s="1"/>
    </row>
    <row r="61" spans="1:4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42"/>
      <c r="AS61" s="1"/>
      <c r="AT61" s="1"/>
      <c r="AU61" s="1"/>
      <c r="AV61" s="1"/>
      <c r="AW61" s="1"/>
    </row>
    <row r="62" spans="1:4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42"/>
      <c r="AS62" s="1"/>
      <c r="AT62" s="1"/>
      <c r="AU62" s="1"/>
      <c r="AV62" s="1"/>
      <c r="AW62" s="1"/>
    </row>
    <row r="63" spans="1:4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42"/>
      <c r="AS63" s="1"/>
      <c r="AT63" s="1"/>
      <c r="AU63" s="1"/>
      <c r="AV63" s="1"/>
      <c r="AW63" s="1"/>
    </row>
    <row r="64" spans="1:4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42"/>
      <c r="AS64" s="1"/>
      <c r="AT64" s="1"/>
      <c r="AU64" s="1"/>
      <c r="AV64" s="1"/>
      <c r="AW64" s="1"/>
    </row>
    <row r="65" spans="1:4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42"/>
      <c r="AS65" s="1"/>
      <c r="AT65" s="1"/>
      <c r="AU65" s="1"/>
      <c r="AV65" s="1"/>
      <c r="AW65" s="1"/>
    </row>
    <row r="66" spans="1:4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42"/>
      <c r="AS66" s="1"/>
      <c r="AT66" s="1"/>
      <c r="AU66" s="1"/>
      <c r="AV66" s="1"/>
      <c r="AW66" s="1"/>
    </row>
    <row r="67" spans="1:4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42"/>
      <c r="AS67" s="1"/>
      <c r="AT67" s="1"/>
      <c r="AU67" s="1"/>
      <c r="AV67" s="1"/>
      <c r="AW67" s="1"/>
    </row>
    <row r="68" spans="1:4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42"/>
      <c r="AS68" s="1"/>
      <c r="AT68" s="1"/>
      <c r="AU68" s="1"/>
      <c r="AV68" s="1"/>
      <c r="AW68" s="1"/>
    </row>
    <row r="69" spans="1:4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42"/>
      <c r="AS69" s="1"/>
      <c r="AT69" s="1"/>
      <c r="AU69" s="1"/>
      <c r="AV69" s="1"/>
      <c r="AW69" s="1"/>
    </row>
    <row r="70" spans="1:4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42"/>
      <c r="AS70" s="1"/>
      <c r="AT70" s="1"/>
      <c r="AU70" s="1"/>
      <c r="AV70" s="1"/>
      <c r="AW70" s="1"/>
    </row>
    <row r="71" spans="1:4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42"/>
      <c r="AS71" s="1"/>
      <c r="AT71" s="1"/>
      <c r="AU71" s="1"/>
      <c r="AV71" s="1"/>
      <c r="AW71" s="1"/>
    </row>
    <row r="72" spans="1:4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42"/>
      <c r="AS72" s="1"/>
      <c r="AT72" s="1"/>
      <c r="AU72" s="1"/>
      <c r="AV72" s="1"/>
      <c r="AW72" s="1"/>
    </row>
    <row r="73" spans="1:4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42"/>
      <c r="AS73" s="1"/>
      <c r="AT73" s="1"/>
      <c r="AU73" s="1"/>
      <c r="AV73" s="1"/>
      <c r="AW73" s="1"/>
    </row>
    <row r="74" spans="1:4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42"/>
      <c r="AS74" s="1"/>
      <c r="AT74" s="1"/>
      <c r="AU74" s="1"/>
      <c r="AV74" s="1"/>
      <c r="AW74" s="1"/>
    </row>
    <row r="75" spans="1:4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42"/>
      <c r="AS75" s="1"/>
      <c r="AT75" s="1"/>
      <c r="AU75" s="1"/>
      <c r="AV75" s="1"/>
      <c r="AW75" s="1"/>
    </row>
    <row r="76" spans="1:4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42"/>
      <c r="AS76" s="1"/>
      <c r="AT76" s="1"/>
      <c r="AU76" s="1"/>
      <c r="AV76" s="1"/>
      <c r="AW76" s="1"/>
    </row>
    <row r="77" spans="1:4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42"/>
      <c r="AS77" s="1"/>
      <c r="AT77" s="1"/>
      <c r="AU77" s="1"/>
      <c r="AV77" s="1"/>
      <c r="AW77" s="1"/>
    </row>
    <row r="78" spans="1:4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42"/>
      <c r="AS78" s="1"/>
      <c r="AT78" s="1"/>
      <c r="AU78" s="1"/>
      <c r="AV78" s="1"/>
      <c r="AW78" s="1"/>
    </row>
    <row r="79" spans="1:4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42"/>
      <c r="AS79" s="1"/>
      <c r="AT79" s="1"/>
      <c r="AU79" s="1"/>
      <c r="AV79" s="1"/>
      <c r="AW79" s="1"/>
    </row>
    <row r="80" spans="1:4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42"/>
      <c r="AS80" s="1"/>
      <c r="AT80" s="1"/>
      <c r="AU80" s="1"/>
      <c r="AV80" s="1"/>
      <c r="AW80" s="1"/>
    </row>
    <row r="81" spans="1:4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42"/>
      <c r="AS81" s="1"/>
      <c r="AT81" s="1"/>
      <c r="AU81" s="1"/>
      <c r="AV81" s="1"/>
      <c r="AW81" s="1"/>
    </row>
    <row r="82" spans="1:4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42"/>
      <c r="AS82" s="1"/>
      <c r="AT82" s="1"/>
      <c r="AU82" s="1"/>
      <c r="AV82" s="1"/>
      <c r="AW82" s="1"/>
    </row>
    <row r="83" spans="1:4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42"/>
      <c r="AS83" s="1"/>
      <c r="AT83" s="1"/>
      <c r="AU83" s="1"/>
      <c r="AV83" s="1"/>
      <c r="AW83" s="1"/>
    </row>
    <row r="84" spans="1:4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42"/>
      <c r="AS84" s="1"/>
      <c r="AT84" s="1"/>
      <c r="AU84" s="1"/>
      <c r="AV84" s="1"/>
      <c r="AW84" s="1"/>
    </row>
    <row r="85" spans="1:4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42"/>
      <c r="AS85" s="1"/>
      <c r="AT85" s="1"/>
      <c r="AU85" s="1"/>
      <c r="AV85" s="1"/>
      <c r="AW85" s="1"/>
    </row>
    <row r="86" spans="1:4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42"/>
      <c r="AS86" s="1"/>
      <c r="AT86" s="1"/>
      <c r="AU86" s="1"/>
      <c r="AV86" s="1"/>
      <c r="AW86" s="1"/>
    </row>
    <row r="87" spans="1:4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42"/>
      <c r="AS87" s="1"/>
      <c r="AT87" s="1"/>
      <c r="AU87" s="1"/>
      <c r="AV87" s="1"/>
      <c r="AW87" s="1"/>
    </row>
    <row r="88" spans="1:4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42"/>
      <c r="AS88" s="1"/>
      <c r="AT88" s="1"/>
      <c r="AU88" s="1"/>
      <c r="AV88" s="1"/>
      <c r="AW88" s="1"/>
    </row>
    <row r="89" spans="1:4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42"/>
      <c r="AS89" s="1"/>
      <c r="AT89" s="1"/>
      <c r="AU89" s="1"/>
      <c r="AV89" s="1"/>
      <c r="AW89" s="1"/>
    </row>
    <row r="90" spans="1:4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42"/>
      <c r="AS90" s="1"/>
      <c r="AT90" s="1"/>
      <c r="AU90" s="1"/>
      <c r="AV90" s="1"/>
      <c r="AW90" s="1"/>
    </row>
    <row r="91" spans="1:4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42"/>
      <c r="AS91" s="1"/>
      <c r="AT91" s="1"/>
      <c r="AU91" s="1"/>
      <c r="AV91" s="1"/>
      <c r="AW91" s="1"/>
    </row>
    <row r="92" spans="1:4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42"/>
      <c r="AS92" s="1"/>
      <c r="AT92" s="1"/>
      <c r="AU92" s="1"/>
      <c r="AV92" s="1"/>
      <c r="AW92" s="1"/>
    </row>
    <row r="93" spans="1:4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42"/>
      <c r="AS93" s="1"/>
      <c r="AT93" s="1"/>
      <c r="AU93" s="1"/>
      <c r="AV93" s="1"/>
      <c r="AW93" s="1"/>
    </row>
    <row r="94" spans="1:4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42"/>
      <c r="AS94" s="1"/>
      <c r="AT94" s="1"/>
      <c r="AU94" s="1"/>
      <c r="AV94" s="1"/>
      <c r="AW94" s="1"/>
    </row>
    <row r="95" spans="1:49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42"/>
      <c r="AS95" s="1"/>
      <c r="AT95" s="1"/>
      <c r="AU95" s="1"/>
      <c r="AV95" s="1"/>
      <c r="AW95" s="1"/>
    </row>
    <row r="96" spans="1:49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42"/>
      <c r="AS96" s="1"/>
      <c r="AT96" s="1"/>
      <c r="AU96" s="1"/>
      <c r="AV96" s="1"/>
      <c r="AW96" s="1"/>
    </row>
    <row r="97" spans="1:49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42"/>
      <c r="AS97" s="1"/>
      <c r="AT97" s="1"/>
      <c r="AU97" s="1"/>
      <c r="AV97" s="1"/>
      <c r="AW97" s="1"/>
    </row>
    <row r="98" spans="1:49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42"/>
      <c r="AS98" s="1"/>
      <c r="AT98" s="1"/>
      <c r="AU98" s="1"/>
      <c r="AV98" s="1"/>
      <c r="AW98" s="1"/>
    </row>
    <row r="99" spans="1:49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42"/>
      <c r="AS99" s="1"/>
      <c r="AT99" s="1"/>
      <c r="AU99" s="1"/>
      <c r="AV99" s="1"/>
      <c r="AW99" s="1"/>
    </row>
    <row r="100" spans="1:49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42"/>
      <c r="AS100" s="1"/>
      <c r="AT100" s="1"/>
      <c r="AU100" s="1"/>
      <c r="AV100" s="1"/>
      <c r="AW100" s="1"/>
    </row>
    <row r="101" spans="1:49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42"/>
      <c r="AS101" s="1"/>
      <c r="AT101" s="1"/>
      <c r="AU101" s="1"/>
      <c r="AV101" s="1"/>
      <c r="AW101" s="1"/>
    </row>
    <row r="102" spans="1:49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42"/>
      <c r="AS102" s="1"/>
      <c r="AT102" s="1"/>
      <c r="AU102" s="1"/>
      <c r="AV102" s="1"/>
      <c r="AW102" s="1"/>
    </row>
    <row r="103" spans="1:49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42"/>
      <c r="AS103" s="1"/>
      <c r="AT103" s="1"/>
      <c r="AU103" s="1"/>
      <c r="AV103" s="1"/>
      <c r="AW103" s="1"/>
    </row>
    <row r="104" spans="1:49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42"/>
      <c r="AS104" s="1"/>
      <c r="AT104" s="1"/>
      <c r="AU104" s="1"/>
      <c r="AV104" s="1"/>
      <c r="AW104" s="1"/>
    </row>
    <row r="105" spans="1:49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42"/>
      <c r="AS105" s="1"/>
      <c r="AT105" s="1"/>
      <c r="AU105" s="1"/>
      <c r="AV105" s="1"/>
      <c r="AW105" s="1"/>
    </row>
    <row r="106" spans="1:49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42"/>
      <c r="AS106" s="1"/>
      <c r="AT106" s="1"/>
      <c r="AU106" s="1"/>
      <c r="AV106" s="1"/>
      <c r="AW106" s="1"/>
    </row>
    <row r="107" spans="1:49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42"/>
      <c r="AS107" s="1"/>
      <c r="AT107" s="1"/>
      <c r="AU107" s="1"/>
      <c r="AV107" s="1"/>
      <c r="AW107" s="1"/>
    </row>
    <row r="108" spans="1:49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42"/>
      <c r="AS108" s="1"/>
      <c r="AT108" s="1"/>
      <c r="AU108" s="1"/>
      <c r="AV108" s="1"/>
      <c r="AW108" s="1"/>
    </row>
    <row r="109" spans="1:49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42"/>
      <c r="AS109" s="1"/>
      <c r="AT109" s="1"/>
      <c r="AU109" s="1"/>
      <c r="AV109" s="1"/>
      <c r="AW109" s="1"/>
    </row>
    <row r="110" spans="1:49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42"/>
      <c r="AS110" s="1"/>
      <c r="AT110" s="1"/>
      <c r="AU110" s="1"/>
      <c r="AV110" s="1"/>
      <c r="AW110" s="1"/>
    </row>
    <row r="111" spans="1:49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42"/>
      <c r="AS111" s="1"/>
      <c r="AT111" s="1"/>
      <c r="AU111" s="1"/>
      <c r="AV111" s="1"/>
      <c r="AW111" s="1"/>
    </row>
    <row r="112" spans="1:49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42"/>
      <c r="AS112" s="1"/>
      <c r="AT112" s="1"/>
      <c r="AU112" s="1"/>
      <c r="AV112" s="1"/>
      <c r="AW112" s="1"/>
    </row>
    <row r="113" spans="1:49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42"/>
      <c r="AS113" s="1"/>
      <c r="AT113" s="1"/>
      <c r="AU113" s="1"/>
      <c r="AV113" s="1"/>
      <c r="AW113" s="1"/>
    </row>
    <row r="114" spans="1:49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42"/>
      <c r="AS114" s="1"/>
      <c r="AT114" s="1"/>
      <c r="AU114" s="1"/>
      <c r="AV114" s="1"/>
      <c r="AW114" s="1"/>
    </row>
    <row r="115" spans="1:49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42"/>
      <c r="AS115" s="1"/>
      <c r="AT115" s="1"/>
      <c r="AU115" s="1"/>
      <c r="AV115" s="1"/>
      <c r="AW115" s="1"/>
    </row>
    <row r="116" spans="1:49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42"/>
      <c r="AS116" s="1"/>
      <c r="AT116" s="1"/>
      <c r="AU116" s="1"/>
      <c r="AV116" s="1"/>
      <c r="AW116" s="1"/>
    </row>
    <row r="117" spans="1:49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42"/>
      <c r="AS117" s="1"/>
      <c r="AT117" s="1"/>
      <c r="AU117" s="1"/>
      <c r="AV117" s="1"/>
      <c r="AW117" s="1"/>
    </row>
    <row r="118" spans="1:49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42"/>
      <c r="AS118" s="1"/>
      <c r="AT118" s="1"/>
      <c r="AU118" s="1"/>
      <c r="AV118" s="1"/>
      <c r="AW118" s="1"/>
    </row>
    <row r="119" spans="1:49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42"/>
      <c r="AS119" s="1"/>
      <c r="AT119" s="1"/>
      <c r="AU119" s="1"/>
      <c r="AV119" s="1"/>
      <c r="AW119" s="1"/>
    </row>
    <row r="120" spans="1:49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42"/>
      <c r="AS120" s="1"/>
      <c r="AT120" s="1"/>
      <c r="AU120" s="1"/>
      <c r="AV120" s="1"/>
      <c r="AW120" s="1"/>
    </row>
    <row r="121" spans="1:49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42"/>
      <c r="AS121" s="1"/>
      <c r="AT121" s="1"/>
      <c r="AU121" s="1"/>
      <c r="AV121" s="1"/>
      <c r="AW121" s="1"/>
    </row>
    <row r="122" spans="1:49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42"/>
      <c r="AS122" s="1"/>
      <c r="AT122" s="1"/>
      <c r="AU122" s="1"/>
      <c r="AV122" s="1"/>
      <c r="AW122" s="1"/>
    </row>
    <row r="123" spans="1:49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42"/>
      <c r="AS123" s="1"/>
      <c r="AT123" s="1"/>
      <c r="AU123" s="1"/>
      <c r="AV123" s="1"/>
      <c r="AW123" s="1"/>
    </row>
    <row r="124" spans="1:49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42"/>
      <c r="AS124" s="1"/>
      <c r="AT124" s="1"/>
      <c r="AU124" s="1"/>
      <c r="AV124" s="1"/>
      <c r="AW124" s="1"/>
    </row>
    <row r="125" spans="1:49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42"/>
      <c r="AS125" s="1"/>
      <c r="AT125" s="1"/>
      <c r="AU125" s="1"/>
      <c r="AV125" s="1"/>
      <c r="AW125" s="1"/>
    </row>
    <row r="126" spans="1:49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42"/>
      <c r="AS126" s="1"/>
      <c r="AT126" s="1"/>
      <c r="AU126" s="1"/>
      <c r="AV126" s="1"/>
      <c r="AW126" s="1"/>
    </row>
    <row r="127" spans="1:49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42"/>
      <c r="AS127" s="1"/>
      <c r="AT127" s="1"/>
      <c r="AU127" s="1"/>
      <c r="AV127" s="1"/>
      <c r="AW127" s="1"/>
    </row>
    <row r="128" spans="1:49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42"/>
      <c r="AS128" s="1"/>
      <c r="AT128" s="1"/>
      <c r="AU128" s="1"/>
      <c r="AV128" s="1"/>
      <c r="AW128" s="1"/>
    </row>
    <row r="129" spans="1:49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42"/>
      <c r="AS129" s="1"/>
      <c r="AT129" s="1"/>
      <c r="AU129" s="1"/>
      <c r="AV129" s="1"/>
      <c r="AW129" s="1"/>
    </row>
    <row r="130" spans="1:49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42"/>
      <c r="AS130" s="1"/>
      <c r="AT130" s="1"/>
      <c r="AU130" s="1"/>
      <c r="AV130" s="1"/>
      <c r="AW130" s="1"/>
    </row>
    <row r="131" spans="1:49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42"/>
      <c r="AS131" s="1"/>
      <c r="AT131" s="1"/>
      <c r="AU131" s="1"/>
      <c r="AV131" s="1"/>
      <c r="AW131" s="1"/>
    </row>
    <row r="132" spans="1:49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42"/>
      <c r="AS132" s="1"/>
      <c r="AT132" s="1"/>
      <c r="AU132" s="1"/>
      <c r="AV132" s="1"/>
      <c r="AW132" s="1"/>
    </row>
    <row r="133" spans="1:49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42"/>
      <c r="AS133" s="1"/>
      <c r="AT133" s="1"/>
      <c r="AU133" s="1"/>
      <c r="AV133" s="1"/>
      <c r="AW133" s="1"/>
    </row>
    <row r="134" spans="1:49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42"/>
      <c r="AS134" s="1"/>
      <c r="AT134" s="1"/>
      <c r="AU134" s="1"/>
      <c r="AV134" s="1"/>
      <c r="AW134" s="1"/>
    </row>
    <row r="135" spans="1:49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42"/>
      <c r="AS135" s="1"/>
      <c r="AT135" s="1"/>
      <c r="AU135" s="1"/>
      <c r="AV135" s="1"/>
      <c r="AW135" s="1"/>
    </row>
    <row r="136" spans="1:49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42"/>
      <c r="AS136" s="1"/>
      <c r="AT136" s="1"/>
      <c r="AU136" s="1"/>
      <c r="AV136" s="1"/>
      <c r="AW136" s="1"/>
    </row>
    <row r="137" spans="1:49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42"/>
      <c r="AS137" s="1"/>
      <c r="AT137" s="1"/>
      <c r="AU137" s="1"/>
      <c r="AV137" s="1"/>
      <c r="AW137" s="1"/>
    </row>
    <row r="138" spans="1:49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42"/>
      <c r="AS138" s="1"/>
      <c r="AT138" s="1"/>
      <c r="AU138" s="1"/>
      <c r="AV138" s="1"/>
      <c r="AW138" s="1"/>
    </row>
    <row r="139" spans="1:49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42"/>
      <c r="AS139" s="1"/>
      <c r="AT139" s="1"/>
      <c r="AU139" s="1"/>
      <c r="AV139" s="1"/>
      <c r="AW139" s="1"/>
    </row>
    <row r="140" spans="1:49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42"/>
      <c r="AS140" s="1"/>
      <c r="AT140" s="1"/>
      <c r="AU140" s="1"/>
      <c r="AV140" s="1"/>
      <c r="AW140" s="1"/>
    </row>
    <row r="141" spans="1:49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42"/>
      <c r="AS141" s="1"/>
      <c r="AT141" s="1"/>
      <c r="AU141" s="1"/>
      <c r="AV141" s="1"/>
      <c r="AW141" s="1"/>
    </row>
    <row r="142" spans="1:49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42"/>
      <c r="AS142" s="1"/>
      <c r="AT142" s="1"/>
      <c r="AU142" s="1"/>
      <c r="AV142" s="1"/>
      <c r="AW142" s="1"/>
    </row>
    <row r="143" spans="1:49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42"/>
      <c r="AS143" s="1"/>
      <c r="AT143" s="1"/>
      <c r="AU143" s="1"/>
      <c r="AV143" s="1"/>
      <c r="AW143" s="1"/>
    </row>
    <row r="144" spans="1:49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42"/>
      <c r="AS144" s="1"/>
      <c r="AT144" s="1"/>
      <c r="AU144" s="1"/>
      <c r="AV144" s="1"/>
      <c r="AW144" s="1"/>
    </row>
    <row r="145" spans="1:49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42"/>
      <c r="AS145" s="1"/>
      <c r="AT145" s="1"/>
      <c r="AU145" s="1"/>
      <c r="AV145" s="1"/>
      <c r="AW145" s="1"/>
    </row>
    <row r="146" spans="1:49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42"/>
      <c r="AS146" s="1"/>
      <c r="AT146" s="1"/>
      <c r="AU146" s="1"/>
      <c r="AV146" s="1"/>
      <c r="AW146" s="1"/>
    </row>
    <row r="147" spans="1:49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42"/>
      <c r="AS147" s="1"/>
      <c r="AT147" s="1"/>
      <c r="AU147" s="1"/>
      <c r="AV147" s="1"/>
      <c r="AW147" s="1"/>
    </row>
    <row r="148" spans="1:49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42"/>
      <c r="AS148" s="1"/>
      <c r="AT148" s="1"/>
      <c r="AU148" s="1"/>
      <c r="AV148" s="1"/>
      <c r="AW148" s="1"/>
    </row>
    <row r="149" spans="1:49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42"/>
      <c r="AS149" s="1"/>
      <c r="AT149" s="1"/>
      <c r="AU149" s="1"/>
      <c r="AV149" s="1"/>
      <c r="AW149" s="1"/>
    </row>
    <row r="150" spans="1:49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42"/>
      <c r="AS150" s="1"/>
      <c r="AT150" s="1"/>
      <c r="AU150" s="1"/>
      <c r="AV150" s="1"/>
      <c r="AW150" s="1"/>
    </row>
    <row r="151" spans="1:49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42"/>
      <c r="AS151" s="1"/>
      <c r="AT151" s="1"/>
      <c r="AU151" s="1"/>
      <c r="AV151" s="1"/>
      <c r="AW151" s="1"/>
    </row>
    <row r="152" spans="1:49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42"/>
      <c r="AS152" s="1"/>
      <c r="AT152" s="1"/>
      <c r="AU152" s="1"/>
      <c r="AV152" s="1"/>
      <c r="AW152" s="1"/>
    </row>
    <row r="153" spans="1:49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42"/>
      <c r="AS153" s="1"/>
      <c r="AT153" s="1"/>
      <c r="AU153" s="1"/>
      <c r="AV153" s="1"/>
      <c r="AW153" s="1"/>
    </row>
    <row r="154" spans="1:49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42"/>
      <c r="AS154" s="1"/>
      <c r="AT154" s="1"/>
      <c r="AU154" s="1"/>
      <c r="AV154" s="1"/>
      <c r="AW154" s="1"/>
    </row>
    <row r="155" spans="1:49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42"/>
      <c r="AS155" s="1"/>
      <c r="AT155" s="1"/>
      <c r="AU155" s="1"/>
      <c r="AV155" s="1"/>
      <c r="AW155" s="1"/>
    </row>
    <row r="156" spans="1:49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42"/>
      <c r="AS156" s="1"/>
      <c r="AT156" s="1"/>
      <c r="AU156" s="1"/>
      <c r="AV156" s="1"/>
      <c r="AW156" s="1"/>
    </row>
    <row r="157" spans="1:49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42"/>
      <c r="AS157" s="1"/>
      <c r="AT157" s="1"/>
      <c r="AU157" s="1"/>
      <c r="AV157" s="1"/>
      <c r="AW157" s="1"/>
    </row>
    <row r="158" spans="1:49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42"/>
      <c r="AS158" s="1"/>
      <c r="AT158" s="1"/>
      <c r="AU158" s="1"/>
      <c r="AV158" s="1"/>
      <c r="AW158" s="1"/>
    </row>
    <row r="159" spans="1:49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42"/>
      <c r="AS159" s="1"/>
      <c r="AT159" s="1"/>
      <c r="AU159" s="1"/>
      <c r="AV159" s="1"/>
      <c r="AW159" s="1"/>
    </row>
    <row r="160" spans="1:49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42"/>
      <c r="AS160" s="1"/>
      <c r="AT160" s="1"/>
      <c r="AU160" s="1"/>
      <c r="AV160" s="1"/>
      <c r="AW160" s="1"/>
    </row>
    <row r="161" spans="1:49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42"/>
      <c r="AS161" s="1"/>
      <c r="AT161" s="1"/>
      <c r="AU161" s="1"/>
      <c r="AV161" s="1"/>
      <c r="AW161" s="1"/>
    </row>
    <row r="162" spans="1:49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42"/>
      <c r="AS162" s="1"/>
      <c r="AT162" s="1"/>
      <c r="AU162" s="1"/>
      <c r="AV162" s="1"/>
      <c r="AW162" s="1"/>
    </row>
    <row r="163" spans="1:49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42"/>
      <c r="AS163" s="1"/>
      <c r="AT163" s="1"/>
      <c r="AU163" s="1"/>
      <c r="AV163" s="1"/>
      <c r="AW163" s="1"/>
    </row>
    <row r="164" spans="1:49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42"/>
      <c r="AS164" s="1"/>
      <c r="AT164" s="1"/>
      <c r="AU164" s="1"/>
      <c r="AV164" s="1"/>
      <c r="AW164" s="1"/>
    </row>
    <row r="165" spans="1:49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42"/>
      <c r="AS165" s="1"/>
      <c r="AT165" s="1"/>
      <c r="AU165" s="1"/>
      <c r="AV165" s="1"/>
      <c r="AW165" s="1"/>
    </row>
    <row r="166" spans="1:49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42"/>
      <c r="AS166" s="1"/>
      <c r="AT166" s="1"/>
      <c r="AU166" s="1"/>
      <c r="AV166" s="1"/>
      <c r="AW166" s="1"/>
    </row>
    <row r="167" spans="1:49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42"/>
      <c r="AS167" s="1"/>
      <c r="AT167" s="1"/>
      <c r="AU167" s="1"/>
      <c r="AV167" s="1"/>
      <c r="AW167" s="1"/>
    </row>
    <row r="168" spans="1:49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42"/>
      <c r="AS168" s="1"/>
      <c r="AT168" s="1"/>
      <c r="AU168" s="1"/>
      <c r="AV168" s="1"/>
      <c r="AW168" s="1"/>
    </row>
    <row r="169" spans="1:49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42"/>
      <c r="AS169" s="1"/>
      <c r="AT169" s="1"/>
      <c r="AU169" s="1"/>
      <c r="AV169" s="1"/>
      <c r="AW169" s="1"/>
    </row>
    <row r="170" spans="1:49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42"/>
      <c r="AS170" s="1"/>
      <c r="AT170" s="1"/>
      <c r="AU170" s="1"/>
      <c r="AV170" s="1"/>
      <c r="AW170" s="1"/>
    </row>
    <row r="171" spans="1:49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42"/>
      <c r="AS171" s="1"/>
      <c r="AT171" s="1"/>
      <c r="AU171" s="1"/>
      <c r="AV171" s="1"/>
      <c r="AW171" s="1"/>
    </row>
    <row r="172" spans="1:49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42"/>
      <c r="AS172" s="1"/>
      <c r="AT172" s="1"/>
      <c r="AU172" s="1"/>
      <c r="AV172" s="1"/>
      <c r="AW172" s="1"/>
    </row>
    <row r="173" spans="1:49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42"/>
      <c r="AS173" s="1"/>
      <c r="AT173" s="1"/>
      <c r="AU173" s="1"/>
      <c r="AV173" s="1"/>
      <c r="AW173" s="1"/>
    </row>
    <row r="174" spans="1:49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42"/>
      <c r="AS174" s="1"/>
      <c r="AT174" s="1"/>
      <c r="AU174" s="1"/>
      <c r="AV174" s="1"/>
      <c r="AW174" s="1"/>
    </row>
    <row r="175" spans="1:49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42"/>
      <c r="AS175" s="1"/>
      <c r="AT175" s="1"/>
      <c r="AU175" s="1"/>
      <c r="AV175" s="1"/>
      <c r="AW175" s="1"/>
    </row>
    <row r="176" spans="1:49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42"/>
      <c r="AS176" s="1"/>
      <c r="AT176" s="1"/>
      <c r="AU176" s="1"/>
      <c r="AV176" s="1"/>
      <c r="AW176" s="1"/>
    </row>
    <row r="177" spans="1:49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42"/>
      <c r="AS177" s="1"/>
      <c r="AT177" s="1"/>
      <c r="AU177" s="1"/>
      <c r="AV177" s="1"/>
      <c r="AW177" s="1"/>
    </row>
    <row r="178" spans="1:49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42"/>
      <c r="AS178" s="1"/>
      <c r="AT178" s="1"/>
      <c r="AU178" s="1"/>
      <c r="AV178" s="1"/>
      <c r="AW178" s="1"/>
    </row>
    <row r="179" spans="1:49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42"/>
      <c r="AS179" s="1"/>
      <c r="AT179" s="1"/>
      <c r="AU179" s="1"/>
      <c r="AV179" s="1"/>
      <c r="AW179" s="1"/>
    </row>
    <row r="180" spans="1:49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42"/>
      <c r="AS180" s="1"/>
      <c r="AT180" s="1"/>
      <c r="AU180" s="1"/>
      <c r="AV180" s="1"/>
      <c r="AW180" s="1"/>
    </row>
    <row r="181" spans="1:49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42"/>
      <c r="AS181" s="1"/>
      <c r="AT181" s="1"/>
      <c r="AU181" s="1"/>
      <c r="AV181" s="1"/>
      <c r="AW181" s="1"/>
    </row>
    <row r="182" spans="1:49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42"/>
      <c r="AS182" s="1"/>
      <c r="AT182" s="1"/>
      <c r="AU182" s="1"/>
      <c r="AV182" s="1"/>
      <c r="AW182" s="1"/>
    </row>
    <row r="183" spans="1:49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42"/>
      <c r="AS183" s="1"/>
      <c r="AT183" s="1"/>
      <c r="AU183" s="1"/>
      <c r="AV183" s="1"/>
      <c r="AW183" s="1"/>
    </row>
    <row r="184" spans="1:49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42"/>
      <c r="AS184" s="1"/>
      <c r="AT184" s="1"/>
      <c r="AU184" s="1"/>
      <c r="AV184" s="1"/>
      <c r="AW184" s="1"/>
    </row>
    <row r="185" spans="1:49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42"/>
      <c r="AS185" s="1"/>
      <c r="AT185" s="1"/>
      <c r="AU185" s="1"/>
      <c r="AV185" s="1"/>
      <c r="AW185" s="1"/>
    </row>
    <row r="186" spans="1:49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42"/>
      <c r="AS186" s="1"/>
      <c r="AT186" s="1"/>
      <c r="AU186" s="1"/>
      <c r="AV186" s="1"/>
      <c r="AW186" s="1"/>
    </row>
    <row r="187" spans="1:49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42"/>
      <c r="AS187" s="1"/>
      <c r="AT187" s="1"/>
      <c r="AU187" s="1"/>
      <c r="AV187" s="1"/>
      <c r="AW187" s="1"/>
    </row>
    <row r="188" spans="1:49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42"/>
      <c r="AS188" s="1"/>
      <c r="AT188" s="1"/>
      <c r="AU188" s="1"/>
      <c r="AV188" s="1"/>
      <c r="AW188" s="1"/>
    </row>
    <row r="189" spans="1:49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42"/>
      <c r="AS189" s="1"/>
      <c r="AT189" s="1"/>
      <c r="AU189" s="1"/>
      <c r="AV189" s="1"/>
      <c r="AW189" s="1"/>
    </row>
    <row r="190" spans="1:49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42"/>
      <c r="AS190" s="1"/>
      <c r="AT190" s="1"/>
      <c r="AU190" s="1"/>
      <c r="AV190" s="1"/>
      <c r="AW190" s="1"/>
    </row>
    <row r="191" spans="1:49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42"/>
      <c r="AS191" s="1"/>
      <c r="AT191" s="1"/>
      <c r="AU191" s="1"/>
      <c r="AV191" s="1"/>
      <c r="AW191" s="1"/>
    </row>
    <row r="192" spans="1:49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42"/>
      <c r="AS192" s="1"/>
      <c r="AT192" s="1"/>
      <c r="AU192" s="1"/>
      <c r="AV192" s="1"/>
      <c r="AW192" s="1"/>
    </row>
    <row r="193" spans="1:49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42"/>
      <c r="AS193" s="1"/>
      <c r="AT193" s="1"/>
      <c r="AU193" s="1"/>
      <c r="AV193" s="1"/>
      <c r="AW193" s="1"/>
    </row>
    <row r="194" spans="1:49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42"/>
      <c r="AS194" s="1"/>
      <c r="AT194" s="1"/>
      <c r="AU194" s="1"/>
      <c r="AV194" s="1"/>
      <c r="AW194" s="1"/>
    </row>
    <row r="195" spans="1:49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42"/>
      <c r="AS195" s="1"/>
      <c r="AT195" s="1"/>
      <c r="AU195" s="1"/>
      <c r="AV195" s="1"/>
      <c r="AW195" s="1"/>
    </row>
    <row r="196" spans="1:49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42"/>
      <c r="AS196" s="1"/>
      <c r="AT196" s="1"/>
      <c r="AU196" s="1"/>
      <c r="AV196" s="1"/>
      <c r="AW196" s="1"/>
    </row>
    <row r="197" spans="1:49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42"/>
      <c r="AS197" s="1"/>
      <c r="AT197" s="1"/>
      <c r="AU197" s="1"/>
      <c r="AV197" s="1"/>
      <c r="AW197" s="1"/>
    </row>
    <row r="198" spans="1:49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42"/>
      <c r="AS198" s="1"/>
      <c r="AT198" s="1"/>
      <c r="AU198" s="1"/>
      <c r="AV198" s="1"/>
      <c r="AW198" s="1"/>
    </row>
    <row r="199" spans="1:49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42"/>
      <c r="AS199" s="1"/>
      <c r="AT199" s="1"/>
      <c r="AU199" s="1"/>
      <c r="AV199" s="1"/>
      <c r="AW199" s="1"/>
    </row>
    <row r="200" spans="1:49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42"/>
      <c r="AS200" s="1"/>
      <c r="AT200" s="1"/>
      <c r="AU200" s="1"/>
      <c r="AV200" s="1"/>
      <c r="AW200" s="1"/>
    </row>
    <row r="201" spans="1:49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42"/>
      <c r="AS201" s="1"/>
      <c r="AT201" s="1"/>
      <c r="AU201" s="1"/>
      <c r="AV201" s="1"/>
      <c r="AW201" s="1"/>
    </row>
    <row r="202" spans="1:49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42"/>
      <c r="AS202" s="1"/>
      <c r="AT202" s="1"/>
      <c r="AU202" s="1"/>
      <c r="AV202" s="1"/>
      <c r="AW202" s="1"/>
    </row>
    <row r="203" spans="1:49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42"/>
      <c r="AS203" s="1"/>
      <c r="AT203" s="1"/>
      <c r="AU203" s="1"/>
      <c r="AV203" s="1"/>
      <c r="AW203" s="1"/>
    </row>
    <row r="204" spans="1:49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42"/>
      <c r="AS204" s="1"/>
      <c r="AT204" s="1"/>
      <c r="AU204" s="1"/>
      <c r="AV204" s="1"/>
      <c r="AW204" s="1"/>
    </row>
    <row r="205" spans="1:49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42"/>
      <c r="AS205" s="1"/>
      <c r="AT205" s="1"/>
      <c r="AU205" s="1"/>
      <c r="AV205" s="1"/>
      <c r="AW205" s="1"/>
    </row>
    <row r="206" spans="1:49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42"/>
      <c r="AS206" s="1"/>
      <c r="AT206" s="1"/>
      <c r="AU206" s="1"/>
      <c r="AV206" s="1"/>
      <c r="AW206" s="1"/>
    </row>
    <row r="207" spans="1:49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42"/>
      <c r="AS207" s="1"/>
      <c r="AT207" s="1"/>
      <c r="AU207" s="1"/>
      <c r="AV207" s="1"/>
      <c r="AW207" s="1"/>
    </row>
    <row r="208" spans="1:49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42"/>
      <c r="AS208" s="1"/>
      <c r="AT208" s="1"/>
      <c r="AU208" s="1"/>
      <c r="AV208" s="1"/>
      <c r="AW208" s="1"/>
    </row>
    <row r="209" spans="1:49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42"/>
      <c r="AS209" s="1"/>
      <c r="AT209" s="1"/>
      <c r="AU209" s="1"/>
      <c r="AV209" s="1"/>
      <c r="AW209" s="1"/>
    </row>
    <row r="210" spans="1:49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42"/>
      <c r="AS210" s="1"/>
      <c r="AT210" s="1"/>
      <c r="AU210" s="1"/>
      <c r="AV210" s="1"/>
      <c r="AW210" s="1"/>
    </row>
    <row r="211" spans="1:49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42"/>
      <c r="AS211" s="1"/>
      <c r="AT211" s="1"/>
      <c r="AU211" s="1"/>
      <c r="AV211" s="1"/>
      <c r="AW211" s="1"/>
    </row>
    <row r="212" spans="1:49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42"/>
      <c r="AS212" s="1"/>
      <c r="AT212" s="1"/>
      <c r="AU212" s="1"/>
      <c r="AV212" s="1"/>
      <c r="AW212" s="1"/>
    </row>
    <row r="213" spans="1:49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42"/>
      <c r="AS213" s="1"/>
      <c r="AT213" s="1"/>
      <c r="AU213" s="1"/>
      <c r="AV213" s="1"/>
      <c r="AW213" s="1"/>
    </row>
    <row r="214" spans="1:49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42"/>
      <c r="AS214" s="1"/>
      <c r="AT214" s="1"/>
      <c r="AU214" s="1"/>
      <c r="AV214" s="1"/>
      <c r="AW214" s="1"/>
    </row>
    <row r="215" spans="1:49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42"/>
      <c r="AS215" s="1"/>
      <c r="AT215" s="1"/>
      <c r="AU215" s="1"/>
      <c r="AV215" s="1"/>
      <c r="AW215" s="1"/>
    </row>
    <row r="216" spans="1:49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42"/>
      <c r="AS216" s="1"/>
      <c r="AT216" s="1"/>
      <c r="AU216" s="1"/>
      <c r="AV216" s="1"/>
      <c r="AW216" s="1"/>
    </row>
    <row r="217" spans="1:49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42"/>
      <c r="AS217" s="1"/>
      <c r="AT217" s="1"/>
      <c r="AU217" s="1"/>
      <c r="AV217" s="1"/>
      <c r="AW217" s="1"/>
    </row>
    <row r="218" spans="1:49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42"/>
      <c r="AS218" s="1"/>
      <c r="AT218" s="1"/>
      <c r="AU218" s="1"/>
      <c r="AV218" s="1"/>
      <c r="AW218" s="1"/>
    </row>
    <row r="219" spans="1:49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42"/>
      <c r="AS219" s="1"/>
      <c r="AT219" s="1"/>
      <c r="AU219" s="1"/>
      <c r="AV219" s="1"/>
      <c r="AW219" s="1"/>
    </row>
    <row r="220" spans="1:49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42"/>
      <c r="AS220" s="1"/>
      <c r="AT220" s="1"/>
      <c r="AU220" s="1"/>
      <c r="AV220" s="1"/>
      <c r="AW220" s="1"/>
    </row>
    <row r="221" spans="1:49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42"/>
      <c r="AS221" s="1"/>
      <c r="AT221" s="1"/>
      <c r="AU221" s="1"/>
      <c r="AV221" s="1"/>
      <c r="AW221" s="1"/>
    </row>
    <row r="222" spans="1:49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42"/>
      <c r="AS222" s="1"/>
      <c r="AT222" s="1"/>
      <c r="AU222" s="1"/>
      <c r="AV222" s="1"/>
      <c r="AW222" s="1"/>
    </row>
    <row r="223" spans="1:49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42"/>
      <c r="AS223" s="1"/>
      <c r="AT223" s="1"/>
      <c r="AU223" s="1"/>
      <c r="AV223" s="1"/>
      <c r="AW223" s="1"/>
    </row>
    <row r="224" spans="1:49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42"/>
      <c r="AS224" s="1"/>
      <c r="AT224" s="1"/>
      <c r="AU224" s="1"/>
      <c r="AV224" s="1"/>
      <c r="AW224" s="1"/>
    </row>
    <row r="225" spans="1:49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42"/>
      <c r="AS225" s="1"/>
      <c r="AT225" s="1"/>
      <c r="AU225" s="1"/>
      <c r="AV225" s="1"/>
      <c r="AW225" s="1"/>
    </row>
    <row r="226" spans="1:49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42"/>
      <c r="AS226" s="1"/>
      <c r="AT226" s="1"/>
      <c r="AU226" s="1"/>
      <c r="AV226" s="1"/>
      <c r="AW226" s="1"/>
    </row>
    <row r="227" spans="1:4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42"/>
      <c r="AS227" s="1"/>
      <c r="AT227" s="1"/>
      <c r="AU227" s="1"/>
      <c r="AV227" s="1"/>
      <c r="AW227" s="1"/>
    </row>
    <row r="228" spans="1:4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42"/>
      <c r="AS228" s="1"/>
      <c r="AT228" s="1"/>
      <c r="AU228" s="1"/>
      <c r="AV228" s="1"/>
      <c r="AW228" s="1"/>
    </row>
    <row r="229" spans="1:4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42"/>
      <c r="AS229" s="1"/>
      <c r="AT229" s="1"/>
      <c r="AU229" s="1"/>
      <c r="AV229" s="1"/>
      <c r="AW229" s="1"/>
    </row>
    <row r="230" spans="1:4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42"/>
      <c r="AS230" s="1"/>
      <c r="AT230" s="1"/>
      <c r="AU230" s="1"/>
      <c r="AV230" s="1"/>
      <c r="AW230" s="1"/>
    </row>
    <row r="231" spans="1:4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42"/>
      <c r="AS231" s="1"/>
      <c r="AT231" s="1"/>
      <c r="AU231" s="1"/>
      <c r="AV231" s="1"/>
      <c r="AW231" s="1"/>
    </row>
    <row r="232" spans="1:4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42"/>
      <c r="AS232" s="1"/>
      <c r="AT232" s="1"/>
      <c r="AU232" s="1"/>
      <c r="AV232" s="1"/>
      <c r="AW232" s="1"/>
    </row>
    <row r="233" spans="1:4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42"/>
      <c r="AS233" s="1"/>
      <c r="AT233" s="1"/>
      <c r="AU233" s="1"/>
      <c r="AV233" s="1"/>
      <c r="AW233" s="1"/>
    </row>
    <row r="234" spans="1:4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42"/>
      <c r="AS234" s="1"/>
      <c r="AT234" s="1"/>
      <c r="AU234" s="1"/>
      <c r="AV234" s="1"/>
      <c r="AW234" s="1"/>
    </row>
    <row r="235" spans="1:4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42"/>
      <c r="AS235" s="1"/>
      <c r="AT235" s="1"/>
      <c r="AU235" s="1"/>
      <c r="AV235" s="1"/>
      <c r="AW235" s="1"/>
    </row>
    <row r="236" spans="1:4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42"/>
      <c r="AS236" s="1"/>
      <c r="AT236" s="1"/>
      <c r="AU236" s="1"/>
      <c r="AV236" s="1"/>
      <c r="AW236" s="1"/>
    </row>
    <row r="237" spans="1:4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42"/>
      <c r="AS237" s="1"/>
      <c r="AT237" s="1"/>
      <c r="AU237" s="1"/>
      <c r="AV237" s="1"/>
      <c r="AW237" s="1"/>
    </row>
    <row r="238" spans="1:4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42"/>
      <c r="AS238" s="1"/>
      <c r="AT238" s="1"/>
      <c r="AU238" s="1"/>
      <c r="AV238" s="1"/>
      <c r="AW238" s="1"/>
    </row>
    <row r="239" spans="1:4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42"/>
      <c r="AS239" s="1"/>
      <c r="AT239" s="1"/>
      <c r="AU239" s="1"/>
      <c r="AV239" s="1"/>
      <c r="AW239" s="1"/>
    </row>
    <row r="240" spans="1:4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42"/>
      <c r="AS240" s="1"/>
      <c r="AT240" s="1"/>
      <c r="AU240" s="1"/>
      <c r="AV240" s="1"/>
      <c r="AW240" s="1"/>
    </row>
    <row r="241" spans="1:4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42"/>
      <c r="AS241" s="1"/>
      <c r="AT241" s="1"/>
      <c r="AU241" s="1"/>
      <c r="AV241" s="1"/>
      <c r="AW241" s="1"/>
    </row>
    <row r="242" spans="1:4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42"/>
      <c r="AS242" s="1"/>
      <c r="AT242" s="1"/>
      <c r="AU242" s="1"/>
      <c r="AV242" s="1"/>
      <c r="AW242" s="1"/>
    </row>
    <row r="243" spans="1:4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42"/>
      <c r="AS243" s="1"/>
      <c r="AT243" s="1"/>
      <c r="AU243" s="1"/>
      <c r="AV243" s="1"/>
      <c r="AW243" s="1"/>
    </row>
    <row r="244" spans="1:4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42"/>
      <c r="AS244" s="1"/>
      <c r="AT244" s="1"/>
      <c r="AU244" s="1"/>
      <c r="AV244" s="1"/>
      <c r="AW244" s="1"/>
    </row>
    <row r="245" spans="1:4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42"/>
      <c r="AS245" s="1"/>
      <c r="AT245" s="1"/>
      <c r="AU245" s="1"/>
      <c r="AV245" s="1"/>
      <c r="AW245" s="1"/>
    </row>
    <row r="246" spans="1:4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42"/>
      <c r="AS246" s="1"/>
      <c r="AT246" s="1"/>
      <c r="AU246" s="1"/>
      <c r="AV246" s="1"/>
      <c r="AW246" s="1"/>
    </row>
    <row r="247" spans="1:4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42"/>
      <c r="AS247" s="1"/>
      <c r="AT247" s="1"/>
      <c r="AU247" s="1"/>
      <c r="AV247" s="1"/>
      <c r="AW247" s="1"/>
    </row>
    <row r="248" spans="1:4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42"/>
      <c r="AS248" s="1"/>
      <c r="AT248" s="1"/>
      <c r="AU248" s="1"/>
      <c r="AV248" s="1"/>
      <c r="AW248" s="1"/>
    </row>
    <row r="249" spans="1:4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42"/>
      <c r="AS249" s="1"/>
      <c r="AT249" s="1"/>
      <c r="AU249" s="1"/>
      <c r="AV249" s="1"/>
      <c r="AW249" s="1"/>
    </row>
    <row r="250" spans="1:4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42"/>
      <c r="AS250" s="1"/>
      <c r="AT250" s="1"/>
      <c r="AU250" s="1"/>
      <c r="AV250" s="1"/>
      <c r="AW250" s="1"/>
    </row>
    <row r="251" spans="1:4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42"/>
      <c r="AS251" s="1"/>
      <c r="AT251" s="1"/>
      <c r="AU251" s="1"/>
      <c r="AV251" s="1"/>
      <c r="AW251" s="1"/>
    </row>
    <row r="252" spans="1:4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42"/>
      <c r="AS252" s="1"/>
      <c r="AT252" s="1"/>
      <c r="AU252" s="1"/>
      <c r="AV252" s="1"/>
      <c r="AW252" s="1"/>
    </row>
    <row r="253" spans="1:4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42"/>
      <c r="AS253" s="1"/>
      <c r="AT253" s="1"/>
      <c r="AU253" s="1"/>
      <c r="AV253" s="1"/>
      <c r="AW253" s="1"/>
    </row>
    <row r="254" spans="1:4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42"/>
      <c r="AS254" s="1"/>
      <c r="AT254" s="1"/>
      <c r="AU254" s="1"/>
      <c r="AV254" s="1"/>
      <c r="AW254" s="1"/>
    </row>
    <row r="255" spans="1:4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42"/>
      <c r="AS255" s="1"/>
      <c r="AT255" s="1"/>
      <c r="AU255" s="1"/>
      <c r="AV255" s="1"/>
      <c r="AW255" s="1"/>
    </row>
    <row r="256" spans="1:4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42"/>
      <c r="AS256" s="1"/>
      <c r="AT256" s="1"/>
      <c r="AU256" s="1"/>
      <c r="AV256" s="1"/>
      <c r="AW256" s="1"/>
    </row>
    <row r="257" spans="1:4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42"/>
      <c r="AS257" s="1"/>
      <c r="AT257" s="1"/>
      <c r="AU257" s="1"/>
      <c r="AV257" s="1"/>
      <c r="AW257" s="1"/>
    </row>
    <row r="258" spans="1:4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42"/>
      <c r="AS258" s="1"/>
      <c r="AT258" s="1"/>
      <c r="AU258" s="1"/>
      <c r="AV258" s="1"/>
      <c r="AW258" s="1"/>
    </row>
    <row r="259" spans="1:4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42"/>
      <c r="AS259" s="1"/>
      <c r="AT259" s="1"/>
      <c r="AU259" s="1"/>
      <c r="AV259" s="1"/>
      <c r="AW259" s="1"/>
    </row>
    <row r="260" spans="1:4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42"/>
      <c r="AS260" s="1"/>
      <c r="AT260" s="1"/>
      <c r="AU260" s="1"/>
      <c r="AV260" s="1"/>
      <c r="AW260" s="1"/>
    </row>
    <row r="261" spans="1:4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42"/>
      <c r="AS261" s="1"/>
      <c r="AT261" s="1"/>
      <c r="AU261" s="1"/>
      <c r="AV261" s="1"/>
      <c r="AW261" s="1"/>
    </row>
    <row r="262" spans="1:4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42"/>
      <c r="AS262" s="1"/>
      <c r="AT262" s="1"/>
      <c r="AU262" s="1"/>
      <c r="AV262" s="1"/>
      <c r="AW262" s="1"/>
    </row>
    <row r="263" spans="1:4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42"/>
      <c r="AS263" s="1"/>
      <c r="AT263" s="1"/>
      <c r="AU263" s="1"/>
      <c r="AV263" s="1"/>
      <c r="AW263" s="1"/>
    </row>
    <row r="264" spans="1:4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42"/>
      <c r="AS264" s="1"/>
      <c r="AT264" s="1"/>
      <c r="AU264" s="1"/>
      <c r="AV264" s="1"/>
      <c r="AW264" s="1"/>
    </row>
    <row r="265" spans="1:4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42"/>
      <c r="AS265" s="1"/>
      <c r="AT265" s="1"/>
      <c r="AU265" s="1"/>
      <c r="AV265" s="1"/>
      <c r="AW265" s="1"/>
    </row>
    <row r="266" spans="1:4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42"/>
      <c r="AS266" s="1"/>
      <c r="AT266" s="1"/>
      <c r="AU266" s="1"/>
      <c r="AV266" s="1"/>
      <c r="AW266" s="1"/>
    </row>
    <row r="267" spans="1:4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42"/>
      <c r="AS267" s="1"/>
      <c r="AT267" s="1"/>
      <c r="AU267" s="1"/>
      <c r="AV267" s="1"/>
      <c r="AW267" s="1"/>
    </row>
    <row r="268" spans="1:4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42"/>
      <c r="AS268" s="1"/>
      <c r="AT268" s="1"/>
      <c r="AU268" s="1"/>
      <c r="AV268" s="1"/>
      <c r="AW268" s="1"/>
    </row>
    <row r="269" spans="1:4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42"/>
      <c r="AS269" s="1"/>
      <c r="AT269" s="1"/>
      <c r="AU269" s="1"/>
      <c r="AV269" s="1"/>
      <c r="AW269" s="1"/>
    </row>
    <row r="270" spans="1:4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42"/>
      <c r="AS270" s="1"/>
      <c r="AT270" s="1"/>
      <c r="AU270" s="1"/>
      <c r="AV270" s="1"/>
      <c r="AW270" s="1"/>
    </row>
    <row r="271" spans="1:4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42"/>
      <c r="AS271" s="1"/>
      <c r="AT271" s="1"/>
      <c r="AU271" s="1"/>
      <c r="AV271" s="1"/>
      <c r="AW271" s="1"/>
    </row>
    <row r="272" spans="1:4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42"/>
      <c r="AS272" s="1"/>
      <c r="AT272" s="1"/>
      <c r="AU272" s="1"/>
      <c r="AV272" s="1"/>
      <c r="AW272" s="1"/>
    </row>
    <row r="273" spans="1:4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42"/>
      <c r="AS273" s="1"/>
      <c r="AT273" s="1"/>
      <c r="AU273" s="1"/>
      <c r="AV273" s="1"/>
      <c r="AW273" s="1"/>
    </row>
    <row r="274" spans="1:4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42"/>
      <c r="AS274" s="1"/>
      <c r="AT274" s="1"/>
      <c r="AU274" s="1"/>
      <c r="AV274" s="1"/>
      <c r="AW274" s="1"/>
    </row>
    <row r="275" spans="1:4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42"/>
      <c r="AS275" s="1"/>
      <c r="AT275" s="1"/>
      <c r="AU275" s="1"/>
      <c r="AV275" s="1"/>
      <c r="AW275" s="1"/>
    </row>
    <row r="276" spans="1:4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42"/>
      <c r="AS276" s="1"/>
      <c r="AT276" s="1"/>
      <c r="AU276" s="1"/>
      <c r="AV276" s="1"/>
      <c r="AW276" s="1"/>
    </row>
    <row r="277" spans="1:4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42"/>
      <c r="AS277" s="1"/>
      <c r="AT277" s="1"/>
      <c r="AU277" s="1"/>
      <c r="AV277" s="1"/>
      <c r="AW277" s="1"/>
    </row>
    <row r="278" spans="1:4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42"/>
      <c r="AS278" s="1"/>
      <c r="AT278" s="1"/>
      <c r="AU278" s="1"/>
      <c r="AV278" s="1"/>
      <c r="AW278" s="1"/>
    </row>
    <row r="279" spans="1:4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42"/>
      <c r="AS279" s="1"/>
      <c r="AT279" s="1"/>
      <c r="AU279" s="1"/>
      <c r="AV279" s="1"/>
      <c r="AW279" s="1"/>
    </row>
    <row r="280" spans="1:4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42"/>
      <c r="AS280" s="1"/>
      <c r="AT280" s="1"/>
      <c r="AU280" s="1"/>
      <c r="AV280" s="1"/>
      <c r="AW280" s="1"/>
    </row>
    <row r="281" spans="1:4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42"/>
      <c r="AS281" s="1"/>
      <c r="AT281" s="1"/>
      <c r="AU281" s="1"/>
      <c r="AV281" s="1"/>
      <c r="AW281" s="1"/>
    </row>
    <row r="282" spans="1:4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42"/>
      <c r="AS282" s="1"/>
      <c r="AT282" s="1"/>
      <c r="AU282" s="1"/>
      <c r="AV282" s="1"/>
      <c r="AW282" s="1"/>
    </row>
    <row r="283" spans="1:4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42"/>
      <c r="AS283" s="1"/>
      <c r="AT283" s="1"/>
      <c r="AU283" s="1"/>
      <c r="AV283" s="1"/>
      <c r="AW283" s="1"/>
    </row>
    <row r="284" spans="1:4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42"/>
      <c r="AS284" s="1"/>
      <c r="AT284" s="1"/>
      <c r="AU284" s="1"/>
      <c r="AV284" s="1"/>
      <c r="AW284" s="1"/>
    </row>
    <row r="285" spans="1:4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42"/>
      <c r="AS285" s="1"/>
      <c r="AT285" s="1"/>
      <c r="AU285" s="1"/>
      <c r="AV285" s="1"/>
      <c r="AW285" s="1"/>
    </row>
    <row r="286" spans="1:4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42"/>
      <c r="AS286" s="1"/>
      <c r="AT286" s="1"/>
      <c r="AU286" s="1"/>
      <c r="AV286" s="1"/>
      <c r="AW286" s="1"/>
    </row>
    <row r="287" spans="1:4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42"/>
      <c r="AS287" s="1"/>
      <c r="AT287" s="1"/>
      <c r="AU287" s="1"/>
      <c r="AV287" s="1"/>
      <c r="AW287" s="1"/>
    </row>
    <row r="288" spans="1:4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42"/>
      <c r="AS288" s="1"/>
      <c r="AT288" s="1"/>
      <c r="AU288" s="1"/>
      <c r="AV288" s="1"/>
      <c r="AW288" s="1"/>
    </row>
    <row r="289" spans="1:4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42"/>
      <c r="AS289" s="1"/>
      <c r="AT289" s="1"/>
      <c r="AU289" s="1"/>
      <c r="AV289" s="1"/>
      <c r="AW289" s="1"/>
    </row>
    <row r="290" spans="1:4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42"/>
      <c r="AS290" s="1"/>
      <c r="AT290" s="1"/>
      <c r="AU290" s="1"/>
      <c r="AV290" s="1"/>
      <c r="AW290" s="1"/>
    </row>
    <row r="291" spans="1:4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42"/>
      <c r="AS291" s="1"/>
      <c r="AT291" s="1"/>
      <c r="AU291" s="1"/>
      <c r="AV291" s="1"/>
      <c r="AW291" s="1"/>
    </row>
    <row r="292" spans="1:4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42"/>
      <c r="AS292" s="1"/>
      <c r="AT292" s="1"/>
      <c r="AU292" s="1"/>
      <c r="AV292" s="1"/>
      <c r="AW292" s="1"/>
    </row>
    <row r="293" spans="1:4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42"/>
      <c r="AS293" s="1"/>
      <c r="AT293" s="1"/>
      <c r="AU293" s="1"/>
      <c r="AV293" s="1"/>
      <c r="AW293" s="1"/>
    </row>
    <row r="294" spans="1:4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42"/>
      <c r="AS294" s="1"/>
      <c r="AT294" s="1"/>
      <c r="AU294" s="1"/>
      <c r="AV294" s="1"/>
      <c r="AW294" s="1"/>
    </row>
    <row r="295" spans="1:4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42"/>
      <c r="AS295" s="1"/>
      <c r="AT295" s="1"/>
      <c r="AU295" s="1"/>
      <c r="AV295" s="1"/>
      <c r="AW295" s="1"/>
    </row>
    <row r="296" spans="1:4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42"/>
      <c r="AS296" s="1"/>
      <c r="AT296" s="1"/>
      <c r="AU296" s="1"/>
      <c r="AV296" s="1"/>
      <c r="AW296" s="1"/>
    </row>
    <row r="297" spans="1:4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42"/>
      <c r="AS297" s="1"/>
      <c r="AT297" s="1"/>
      <c r="AU297" s="1"/>
      <c r="AV297" s="1"/>
      <c r="AW297" s="1"/>
    </row>
    <row r="298" spans="1:4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42"/>
      <c r="AS298" s="1"/>
      <c r="AT298" s="1"/>
      <c r="AU298" s="1"/>
      <c r="AV298" s="1"/>
      <c r="AW298" s="1"/>
    </row>
    <row r="299" spans="1:4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42"/>
      <c r="AS299" s="1"/>
      <c r="AT299" s="1"/>
      <c r="AU299" s="1"/>
      <c r="AV299" s="1"/>
      <c r="AW299" s="1"/>
    </row>
    <row r="300" spans="1:4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42"/>
      <c r="AS300" s="1"/>
      <c r="AT300" s="1"/>
      <c r="AU300" s="1"/>
      <c r="AV300" s="1"/>
      <c r="AW300" s="1"/>
    </row>
    <row r="301" spans="1:4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42"/>
      <c r="AS301" s="1"/>
      <c r="AT301" s="1"/>
      <c r="AU301" s="1"/>
      <c r="AV301" s="1"/>
      <c r="AW301" s="1"/>
    </row>
    <row r="302" spans="1:4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42"/>
      <c r="AS302" s="1"/>
      <c r="AT302" s="1"/>
      <c r="AU302" s="1"/>
      <c r="AV302" s="1"/>
      <c r="AW302" s="1"/>
    </row>
    <row r="303" spans="1:4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42"/>
      <c r="AS303" s="1"/>
      <c r="AT303" s="1"/>
      <c r="AU303" s="1"/>
      <c r="AV303" s="1"/>
      <c r="AW303" s="1"/>
    </row>
    <row r="304" spans="1:4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42"/>
      <c r="AS304" s="1"/>
      <c r="AT304" s="1"/>
      <c r="AU304" s="1"/>
      <c r="AV304" s="1"/>
      <c r="AW304" s="1"/>
    </row>
    <row r="305" spans="1:4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42"/>
      <c r="AS305" s="1"/>
      <c r="AT305" s="1"/>
      <c r="AU305" s="1"/>
      <c r="AV305" s="1"/>
      <c r="AW305" s="1"/>
    </row>
    <row r="306" spans="1:4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42"/>
      <c r="AS306" s="1"/>
      <c r="AT306" s="1"/>
      <c r="AU306" s="1"/>
      <c r="AV306" s="1"/>
      <c r="AW306" s="1"/>
    </row>
    <row r="307" spans="1:4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42"/>
      <c r="AS307" s="1"/>
      <c r="AT307" s="1"/>
      <c r="AU307" s="1"/>
      <c r="AV307" s="1"/>
      <c r="AW307" s="1"/>
    </row>
    <row r="308" spans="1:4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42"/>
      <c r="AS308" s="1"/>
      <c r="AT308" s="1"/>
      <c r="AU308" s="1"/>
      <c r="AV308" s="1"/>
      <c r="AW308" s="1"/>
    </row>
    <row r="309" spans="1:4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42"/>
      <c r="AS309" s="1"/>
      <c r="AT309" s="1"/>
      <c r="AU309" s="1"/>
      <c r="AV309" s="1"/>
      <c r="AW309" s="1"/>
    </row>
    <row r="310" spans="1:4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42"/>
      <c r="AS310" s="1"/>
      <c r="AT310" s="1"/>
      <c r="AU310" s="1"/>
      <c r="AV310" s="1"/>
      <c r="AW310" s="1"/>
    </row>
    <row r="311" spans="1:4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42"/>
      <c r="AS311" s="1"/>
      <c r="AT311" s="1"/>
      <c r="AU311" s="1"/>
      <c r="AV311" s="1"/>
      <c r="AW311" s="1"/>
    </row>
    <row r="312" spans="1:4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42"/>
      <c r="AS312" s="1"/>
      <c r="AT312" s="1"/>
      <c r="AU312" s="1"/>
      <c r="AV312" s="1"/>
      <c r="AW312" s="1"/>
    </row>
    <row r="313" spans="1:4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42"/>
      <c r="AS313" s="1"/>
      <c r="AT313" s="1"/>
      <c r="AU313" s="1"/>
      <c r="AV313" s="1"/>
      <c r="AW313" s="1"/>
    </row>
    <row r="314" spans="1:4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42"/>
      <c r="AS314" s="1"/>
      <c r="AT314" s="1"/>
      <c r="AU314" s="1"/>
      <c r="AV314" s="1"/>
      <c r="AW314" s="1"/>
    </row>
    <row r="315" spans="1:4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42"/>
      <c r="AS315" s="1"/>
      <c r="AT315" s="1"/>
      <c r="AU315" s="1"/>
      <c r="AV315" s="1"/>
      <c r="AW315" s="1"/>
    </row>
    <row r="316" spans="1:4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42"/>
      <c r="AS316" s="1"/>
      <c r="AT316" s="1"/>
      <c r="AU316" s="1"/>
      <c r="AV316" s="1"/>
      <c r="AW316" s="1"/>
    </row>
    <row r="317" spans="1:4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42"/>
      <c r="AS317" s="1"/>
      <c r="AT317" s="1"/>
      <c r="AU317" s="1"/>
      <c r="AV317" s="1"/>
      <c r="AW317" s="1"/>
    </row>
    <row r="318" spans="1:4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42"/>
      <c r="AS318" s="1"/>
      <c r="AT318" s="1"/>
      <c r="AU318" s="1"/>
      <c r="AV318" s="1"/>
      <c r="AW318" s="1"/>
    </row>
    <row r="319" spans="1:4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42"/>
      <c r="AS319" s="1"/>
      <c r="AT319" s="1"/>
      <c r="AU319" s="1"/>
      <c r="AV319" s="1"/>
      <c r="AW319" s="1"/>
    </row>
    <row r="320" spans="1:4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42"/>
      <c r="AS320" s="1"/>
      <c r="AT320" s="1"/>
      <c r="AU320" s="1"/>
      <c r="AV320" s="1"/>
      <c r="AW320" s="1"/>
    </row>
    <row r="321" spans="1:4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42"/>
      <c r="AS321" s="1"/>
      <c r="AT321" s="1"/>
      <c r="AU321" s="1"/>
      <c r="AV321" s="1"/>
      <c r="AW321" s="1"/>
    </row>
    <row r="322" spans="1:4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42"/>
      <c r="AS322" s="1"/>
      <c r="AT322" s="1"/>
      <c r="AU322" s="1"/>
      <c r="AV322" s="1"/>
      <c r="AW322" s="1"/>
    </row>
    <row r="323" spans="1:4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42"/>
      <c r="AS323" s="1"/>
      <c r="AT323" s="1"/>
      <c r="AU323" s="1"/>
      <c r="AV323" s="1"/>
      <c r="AW323" s="1"/>
    </row>
    <row r="324" spans="1:4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42"/>
      <c r="AS324" s="1"/>
      <c r="AT324" s="1"/>
      <c r="AU324" s="1"/>
      <c r="AV324" s="1"/>
      <c r="AW324" s="1"/>
    </row>
    <row r="325" spans="1:4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42"/>
      <c r="AS325" s="1"/>
      <c r="AT325" s="1"/>
      <c r="AU325" s="1"/>
      <c r="AV325" s="1"/>
      <c r="AW325" s="1"/>
    </row>
    <row r="326" spans="1:4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42"/>
      <c r="AS326" s="1"/>
      <c r="AT326" s="1"/>
      <c r="AU326" s="1"/>
      <c r="AV326" s="1"/>
      <c r="AW326" s="1"/>
    </row>
    <row r="327" spans="1:4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42"/>
      <c r="AS327" s="1"/>
      <c r="AT327" s="1"/>
      <c r="AU327" s="1"/>
      <c r="AV327" s="1"/>
      <c r="AW327" s="1"/>
    </row>
    <row r="328" spans="1:4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42"/>
      <c r="AS328" s="1"/>
      <c r="AT328" s="1"/>
      <c r="AU328" s="1"/>
      <c r="AV328" s="1"/>
      <c r="AW328" s="1"/>
    </row>
    <row r="329" spans="1:4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42"/>
      <c r="AS329" s="1"/>
      <c r="AT329" s="1"/>
      <c r="AU329" s="1"/>
      <c r="AV329" s="1"/>
      <c r="AW329" s="1"/>
    </row>
    <row r="330" spans="1:4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42"/>
      <c r="AS330" s="1"/>
      <c r="AT330" s="1"/>
      <c r="AU330" s="1"/>
      <c r="AV330" s="1"/>
      <c r="AW330" s="1"/>
    </row>
    <row r="331" spans="1:4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42"/>
      <c r="AS331" s="1"/>
      <c r="AT331" s="1"/>
      <c r="AU331" s="1"/>
      <c r="AV331" s="1"/>
      <c r="AW331" s="1"/>
    </row>
    <row r="332" spans="1:4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42"/>
      <c r="AS332" s="1"/>
      <c r="AT332" s="1"/>
      <c r="AU332" s="1"/>
      <c r="AV332" s="1"/>
      <c r="AW332" s="1"/>
    </row>
    <row r="333" spans="1:4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42"/>
      <c r="AS333" s="1"/>
      <c r="AT333" s="1"/>
      <c r="AU333" s="1"/>
      <c r="AV333" s="1"/>
      <c r="AW333" s="1"/>
    </row>
    <row r="334" spans="1:4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42"/>
      <c r="AS334" s="1"/>
      <c r="AT334" s="1"/>
      <c r="AU334" s="1"/>
      <c r="AV334" s="1"/>
      <c r="AW334" s="1"/>
    </row>
    <row r="335" spans="1:4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42"/>
      <c r="AS335" s="1"/>
      <c r="AT335" s="1"/>
      <c r="AU335" s="1"/>
      <c r="AV335" s="1"/>
      <c r="AW335" s="1"/>
    </row>
    <row r="336" spans="1:4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42"/>
      <c r="AS336" s="1"/>
      <c r="AT336" s="1"/>
      <c r="AU336" s="1"/>
      <c r="AV336" s="1"/>
      <c r="AW336" s="1"/>
    </row>
    <row r="337" spans="1:4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42"/>
      <c r="AS337" s="1"/>
      <c r="AT337" s="1"/>
      <c r="AU337" s="1"/>
      <c r="AV337" s="1"/>
      <c r="AW337" s="1"/>
    </row>
    <row r="338" spans="1:4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42"/>
      <c r="AS338" s="1"/>
      <c r="AT338" s="1"/>
      <c r="AU338" s="1"/>
      <c r="AV338" s="1"/>
      <c r="AW338" s="1"/>
    </row>
    <row r="339" spans="1:4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42"/>
      <c r="AS339" s="1"/>
      <c r="AT339" s="1"/>
      <c r="AU339" s="1"/>
      <c r="AV339" s="1"/>
      <c r="AW339" s="1"/>
    </row>
    <row r="340" spans="1:4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42"/>
      <c r="AS340" s="1"/>
      <c r="AT340" s="1"/>
      <c r="AU340" s="1"/>
      <c r="AV340" s="1"/>
      <c r="AW340" s="1"/>
    </row>
    <row r="341" spans="1:4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42"/>
      <c r="AS341" s="1"/>
      <c r="AT341" s="1"/>
      <c r="AU341" s="1"/>
      <c r="AV341" s="1"/>
      <c r="AW341" s="1"/>
    </row>
    <row r="342" spans="1:4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42"/>
      <c r="AS342" s="1"/>
      <c r="AT342" s="1"/>
      <c r="AU342" s="1"/>
      <c r="AV342" s="1"/>
      <c r="AW342" s="1"/>
    </row>
    <row r="343" spans="1:4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42"/>
      <c r="AS343" s="1"/>
      <c r="AT343" s="1"/>
      <c r="AU343" s="1"/>
      <c r="AV343" s="1"/>
      <c r="AW343" s="1"/>
    </row>
    <row r="344" spans="1:4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42"/>
      <c r="AS344" s="1"/>
      <c r="AT344" s="1"/>
      <c r="AU344" s="1"/>
      <c r="AV344" s="1"/>
      <c r="AW344" s="1"/>
    </row>
    <row r="345" spans="1:4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42"/>
      <c r="AS345" s="1"/>
      <c r="AT345" s="1"/>
      <c r="AU345" s="1"/>
      <c r="AV345" s="1"/>
      <c r="AW345" s="1"/>
    </row>
    <row r="346" spans="1:4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42"/>
      <c r="AS346" s="1"/>
      <c r="AT346" s="1"/>
      <c r="AU346" s="1"/>
      <c r="AV346" s="1"/>
      <c r="AW346" s="1"/>
    </row>
    <row r="347" spans="1:4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42"/>
      <c r="AS347" s="1"/>
      <c r="AT347" s="1"/>
      <c r="AU347" s="1"/>
      <c r="AV347" s="1"/>
      <c r="AW347" s="1"/>
    </row>
    <row r="348" spans="1:4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42"/>
      <c r="AS348" s="1"/>
      <c r="AT348" s="1"/>
      <c r="AU348" s="1"/>
      <c r="AV348" s="1"/>
      <c r="AW348" s="1"/>
    </row>
    <row r="349" spans="1:4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42"/>
      <c r="AS349" s="1"/>
      <c r="AT349" s="1"/>
      <c r="AU349" s="1"/>
      <c r="AV349" s="1"/>
      <c r="AW349" s="1"/>
    </row>
    <row r="350" spans="1:4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42"/>
      <c r="AS350" s="1"/>
      <c r="AT350" s="1"/>
      <c r="AU350" s="1"/>
      <c r="AV350" s="1"/>
      <c r="AW350" s="1"/>
    </row>
    <row r="351" spans="1:4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42"/>
      <c r="AS351" s="1"/>
      <c r="AT351" s="1"/>
      <c r="AU351" s="1"/>
      <c r="AV351" s="1"/>
      <c r="AW351" s="1"/>
    </row>
    <row r="352" spans="1:4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42"/>
      <c r="AS352" s="1"/>
      <c r="AT352" s="1"/>
      <c r="AU352" s="1"/>
      <c r="AV352" s="1"/>
      <c r="AW352" s="1"/>
    </row>
    <row r="353" spans="1:4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42"/>
      <c r="AS353" s="1"/>
      <c r="AT353" s="1"/>
      <c r="AU353" s="1"/>
      <c r="AV353" s="1"/>
      <c r="AW353" s="1"/>
    </row>
    <row r="354" spans="1:4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42"/>
      <c r="AS354" s="1"/>
      <c r="AT354" s="1"/>
      <c r="AU354" s="1"/>
      <c r="AV354" s="1"/>
      <c r="AW354" s="1"/>
    </row>
    <row r="355" spans="1:4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42"/>
      <c r="AS355" s="1"/>
      <c r="AT355" s="1"/>
      <c r="AU355" s="1"/>
      <c r="AV355" s="1"/>
      <c r="AW355" s="1"/>
    </row>
    <row r="356" spans="1:4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42"/>
      <c r="AS356" s="1"/>
      <c r="AT356" s="1"/>
      <c r="AU356" s="1"/>
      <c r="AV356" s="1"/>
      <c r="AW356" s="1"/>
    </row>
    <row r="357" spans="1:4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42"/>
      <c r="AS357" s="1"/>
      <c r="AT357" s="1"/>
      <c r="AU357" s="1"/>
      <c r="AV357" s="1"/>
      <c r="AW357" s="1"/>
    </row>
    <row r="358" spans="1:4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42"/>
      <c r="AS358" s="1"/>
      <c r="AT358" s="1"/>
      <c r="AU358" s="1"/>
      <c r="AV358" s="1"/>
      <c r="AW358" s="1"/>
    </row>
    <row r="359" spans="1:4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42"/>
      <c r="AS359" s="1"/>
      <c r="AT359" s="1"/>
      <c r="AU359" s="1"/>
      <c r="AV359" s="1"/>
      <c r="AW359" s="1"/>
    </row>
    <row r="360" spans="1:4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42"/>
      <c r="AS360" s="1"/>
      <c r="AT360" s="1"/>
      <c r="AU360" s="1"/>
      <c r="AV360" s="1"/>
      <c r="AW360" s="1"/>
    </row>
    <row r="361" spans="1:4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42"/>
      <c r="AS361" s="1"/>
      <c r="AT361" s="1"/>
      <c r="AU361" s="1"/>
      <c r="AV361" s="1"/>
      <c r="AW361" s="1"/>
    </row>
    <row r="362" spans="1:4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42"/>
      <c r="AS362" s="1"/>
      <c r="AT362" s="1"/>
      <c r="AU362" s="1"/>
      <c r="AV362" s="1"/>
      <c r="AW362" s="1"/>
    </row>
    <row r="363" spans="1:4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42"/>
      <c r="AS363" s="1"/>
      <c r="AT363" s="1"/>
      <c r="AU363" s="1"/>
      <c r="AV363" s="1"/>
      <c r="AW363" s="1"/>
    </row>
    <row r="364" spans="1:4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42"/>
      <c r="AS364" s="1"/>
      <c r="AT364" s="1"/>
      <c r="AU364" s="1"/>
      <c r="AV364" s="1"/>
      <c r="AW364" s="1"/>
    </row>
    <row r="365" spans="1:4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42"/>
      <c r="AS365" s="1"/>
      <c r="AT365" s="1"/>
      <c r="AU365" s="1"/>
      <c r="AV365" s="1"/>
      <c r="AW365" s="1"/>
    </row>
    <row r="366" spans="1:4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42"/>
      <c r="AS366" s="1"/>
      <c r="AT366" s="1"/>
      <c r="AU366" s="1"/>
      <c r="AV366" s="1"/>
      <c r="AW366" s="1"/>
    </row>
    <row r="367" spans="1:4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42"/>
      <c r="AS367" s="1"/>
      <c r="AT367" s="1"/>
      <c r="AU367" s="1"/>
      <c r="AV367" s="1"/>
      <c r="AW367" s="1"/>
    </row>
    <row r="368" spans="1:4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42"/>
      <c r="AS368" s="1"/>
      <c r="AT368" s="1"/>
      <c r="AU368" s="1"/>
      <c r="AV368" s="1"/>
      <c r="AW368" s="1"/>
    </row>
    <row r="369" spans="1:4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42"/>
      <c r="AS369" s="1"/>
      <c r="AT369" s="1"/>
      <c r="AU369" s="1"/>
      <c r="AV369" s="1"/>
      <c r="AW369" s="1"/>
    </row>
    <row r="370" spans="1:4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42"/>
      <c r="AS370" s="1"/>
      <c r="AT370" s="1"/>
      <c r="AU370" s="1"/>
      <c r="AV370" s="1"/>
      <c r="AW370" s="1"/>
    </row>
    <row r="371" spans="1:4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42"/>
      <c r="AS371" s="1"/>
      <c r="AT371" s="1"/>
      <c r="AU371" s="1"/>
      <c r="AV371" s="1"/>
      <c r="AW371" s="1"/>
    </row>
    <row r="372" spans="1:4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42"/>
      <c r="AS372" s="1"/>
      <c r="AT372" s="1"/>
      <c r="AU372" s="1"/>
      <c r="AV372" s="1"/>
      <c r="AW372" s="1"/>
    </row>
    <row r="373" spans="1:4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42"/>
      <c r="AS373" s="1"/>
      <c r="AT373" s="1"/>
      <c r="AU373" s="1"/>
      <c r="AV373" s="1"/>
      <c r="AW373" s="1"/>
    </row>
    <row r="374" spans="1:4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42"/>
      <c r="AS374" s="1"/>
      <c r="AT374" s="1"/>
      <c r="AU374" s="1"/>
      <c r="AV374" s="1"/>
      <c r="AW374" s="1"/>
    </row>
    <row r="375" spans="1:4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42"/>
      <c r="AS375" s="1"/>
      <c r="AT375" s="1"/>
      <c r="AU375" s="1"/>
      <c r="AV375" s="1"/>
      <c r="AW375" s="1"/>
    </row>
    <row r="376" spans="1:4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42"/>
      <c r="AS376" s="1"/>
      <c r="AT376" s="1"/>
      <c r="AU376" s="1"/>
      <c r="AV376" s="1"/>
      <c r="AW376" s="1"/>
    </row>
    <row r="377" spans="1:4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42"/>
      <c r="AS377" s="1"/>
      <c r="AT377" s="1"/>
      <c r="AU377" s="1"/>
      <c r="AV377" s="1"/>
      <c r="AW377" s="1"/>
    </row>
    <row r="378" spans="1:4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42"/>
      <c r="AS378" s="1"/>
      <c r="AT378" s="1"/>
      <c r="AU378" s="1"/>
      <c r="AV378" s="1"/>
      <c r="AW378" s="1"/>
    </row>
    <row r="379" spans="1:4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42"/>
      <c r="AS379" s="1"/>
      <c r="AT379" s="1"/>
      <c r="AU379" s="1"/>
      <c r="AV379" s="1"/>
      <c r="AW379" s="1"/>
    </row>
    <row r="380" spans="1:4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42"/>
      <c r="AS380" s="1"/>
      <c r="AT380" s="1"/>
      <c r="AU380" s="1"/>
      <c r="AV380" s="1"/>
      <c r="AW380" s="1"/>
    </row>
    <row r="381" spans="1:4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42"/>
      <c r="AS381" s="1"/>
      <c r="AT381" s="1"/>
      <c r="AU381" s="1"/>
      <c r="AV381" s="1"/>
      <c r="AW381" s="1"/>
    </row>
    <row r="382" spans="1:4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42"/>
      <c r="AS382" s="1"/>
      <c r="AT382" s="1"/>
      <c r="AU382" s="1"/>
      <c r="AV382" s="1"/>
      <c r="AW382" s="1"/>
    </row>
    <row r="383" spans="1:4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42"/>
      <c r="AS383" s="1"/>
      <c r="AT383" s="1"/>
      <c r="AU383" s="1"/>
      <c r="AV383" s="1"/>
      <c r="AW383" s="1"/>
    </row>
    <row r="384" spans="1:4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42"/>
      <c r="AS384" s="1"/>
      <c r="AT384" s="1"/>
      <c r="AU384" s="1"/>
      <c r="AV384" s="1"/>
      <c r="AW384" s="1"/>
    </row>
    <row r="385" spans="1:4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42"/>
      <c r="AS385" s="1"/>
      <c r="AT385" s="1"/>
      <c r="AU385" s="1"/>
      <c r="AV385" s="1"/>
      <c r="AW385" s="1"/>
    </row>
    <row r="386" spans="1:4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42"/>
      <c r="AS386" s="1"/>
      <c r="AT386" s="1"/>
      <c r="AU386" s="1"/>
      <c r="AV386" s="1"/>
      <c r="AW386" s="1"/>
    </row>
    <row r="387" spans="1:4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42"/>
      <c r="AS387" s="1"/>
      <c r="AT387" s="1"/>
      <c r="AU387" s="1"/>
      <c r="AV387" s="1"/>
      <c r="AW387" s="1"/>
    </row>
    <row r="388" spans="1:4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42"/>
      <c r="AS388" s="1"/>
      <c r="AT388" s="1"/>
      <c r="AU388" s="1"/>
      <c r="AV388" s="1"/>
      <c r="AW388" s="1"/>
    </row>
    <row r="389" spans="1:4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42"/>
      <c r="AS389" s="1"/>
      <c r="AT389" s="1"/>
      <c r="AU389" s="1"/>
      <c r="AV389" s="1"/>
      <c r="AW389" s="1"/>
    </row>
    <row r="390" spans="1:4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42"/>
      <c r="AS390" s="1"/>
      <c r="AT390" s="1"/>
      <c r="AU390" s="1"/>
      <c r="AV390" s="1"/>
      <c r="AW390" s="1"/>
    </row>
    <row r="391" spans="1:4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42"/>
      <c r="AS391" s="1"/>
      <c r="AT391" s="1"/>
      <c r="AU391" s="1"/>
      <c r="AV391" s="1"/>
      <c r="AW391" s="1"/>
    </row>
    <row r="392" spans="1:4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42"/>
      <c r="AS392" s="1"/>
      <c r="AT392" s="1"/>
      <c r="AU392" s="1"/>
      <c r="AV392" s="1"/>
      <c r="AW392" s="1"/>
    </row>
    <row r="393" spans="1:4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42"/>
      <c r="AS393" s="1"/>
      <c r="AT393" s="1"/>
      <c r="AU393" s="1"/>
      <c r="AV393" s="1"/>
      <c r="AW393" s="1"/>
    </row>
    <row r="394" spans="1:4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42"/>
      <c r="AS394" s="1"/>
      <c r="AT394" s="1"/>
      <c r="AU394" s="1"/>
      <c r="AV394" s="1"/>
      <c r="AW394" s="1"/>
    </row>
    <row r="395" spans="1:4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42"/>
      <c r="AS395" s="1"/>
      <c r="AT395" s="1"/>
      <c r="AU395" s="1"/>
      <c r="AV395" s="1"/>
      <c r="AW395" s="1"/>
    </row>
    <row r="396" spans="1:4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42"/>
      <c r="AS396" s="1"/>
      <c r="AT396" s="1"/>
      <c r="AU396" s="1"/>
      <c r="AV396" s="1"/>
      <c r="AW396" s="1"/>
    </row>
    <row r="397" spans="1:4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42"/>
      <c r="AS397" s="1"/>
      <c r="AT397" s="1"/>
      <c r="AU397" s="1"/>
      <c r="AV397" s="1"/>
      <c r="AW397" s="1"/>
    </row>
    <row r="398" spans="1:4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42"/>
      <c r="AS398" s="1"/>
      <c r="AT398" s="1"/>
      <c r="AU398" s="1"/>
      <c r="AV398" s="1"/>
      <c r="AW398" s="1"/>
    </row>
    <row r="399" spans="1:4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42"/>
      <c r="AS399" s="1"/>
      <c r="AT399" s="1"/>
      <c r="AU399" s="1"/>
      <c r="AV399" s="1"/>
      <c r="AW399" s="1"/>
    </row>
    <row r="400" spans="1:4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42"/>
      <c r="AS400" s="1"/>
      <c r="AT400" s="1"/>
      <c r="AU400" s="1"/>
      <c r="AV400" s="1"/>
      <c r="AW400" s="1"/>
    </row>
    <row r="401" spans="1:4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42"/>
      <c r="AS401" s="1"/>
      <c r="AT401" s="1"/>
      <c r="AU401" s="1"/>
      <c r="AV401" s="1"/>
      <c r="AW401" s="1"/>
    </row>
    <row r="402" spans="1:4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42"/>
      <c r="AS402" s="1"/>
      <c r="AT402" s="1"/>
      <c r="AU402" s="1"/>
      <c r="AV402" s="1"/>
      <c r="AW402" s="1"/>
    </row>
    <row r="403" spans="1:4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42"/>
      <c r="AS403" s="1"/>
      <c r="AT403" s="1"/>
      <c r="AU403" s="1"/>
      <c r="AV403" s="1"/>
      <c r="AW403" s="1"/>
    </row>
    <row r="404" spans="1:4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42"/>
      <c r="AS404" s="1"/>
      <c r="AT404" s="1"/>
      <c r="AU404" s="1"/>
      <c r="AV404" s="1"/>
      <c r="AW404" s="1"/>
    </row>
    <row r="405" spans="1:4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42"/>
      <c r="AS405" s="1"/>
      <c r="AT405" s="1"/>
      <c r="AU405" s="1"/>
      <c r="AV405" s="1"/>
      <c r="AW405" s="1"/>
    </row>
    <row r="406" spans="1:4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42"/>
      <c r="AS406" s="1"/>
      <c r="AT406" s="1"/>
      <c r="AU406" s="1"/>
      <c r="AV406" s="1"/>
      <c r="AW406" s="1"/>
    </row>
    <row r="407" spans="1:4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42"/>
      <c r="AS407" s="1"/>
      <c r="AT407" s="1"/>
      <c r="AU407" s="1"/>
      <c r="AV407" s="1"/>
      <c r="AW407" s="1"/>
    </row>
    <row r="408" spans="1:4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42"/>
      <c r="AS408" s="1"/>
      <c r="AT408" s="1"/>
      <c r="AU408" s="1"/>
      <c r="AV408" s="1"/>
      <c r="AW408" s="1"/>
    </row>
    <row r="409" spans="1:4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42"/>
      <c r="AS409" s="1"/>
      <c r="AT409" s="1"/>
      <c r="AU409" s="1"/>
      <c r="AV409" s="1"/>
      <c r="AW409" s="1"/>
    </row>
    <row r="410" spans="1:4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42"/>
      <c r="AS410" s="1"/>
      <c r="AT410" s="1"/>
      <c r="AU410" s="1"/>
      <c r="AV410" s="1"/>
      <c r="AW410" s="1"/>
    </row>
    <row r="411" spans="1:4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42"/>
      <c r="AS411" s="1"/>
      <c r="AT411" s="1"/>
      <c r="AU411" s="1"/>
      <c r="AV411" s="1"/>
      <c r="AW411" s="1"/>
    </row>
    <row r="412" spans="1:4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42"/>
      <c r="AS412" s="1"/>
      <c r="AT412" s="1"/>
      <c r="AU412" s="1"/>
      <c r="AV412" s="1"/>
      <c r="AW412" s="1"/>
    </row>
    <row r="413" spans="1:4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42"/>
      <c r="AS413" s="1"/>
      <c r="AT413" s="1"/>
      <c r="AU413" s="1"/>
      <c r="AV413" s="1"/>
      <c r="AW413" s="1"/>
    </row>
    <row r="414" spans="1:4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42"/>
      <c r="AS414" s="1"/>
      <c r="AT414" s="1"/>
      <c r="AU414" s="1"/>
      <c r="AV414" s="1"/>
      <c r="AW414" s="1"/>
    </row>
    <row r="415" spans="1:4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42"/>
      <c r="AS415" s="1"/>
      <c r="AT415" s="1"/>
      <c r="AU415" s="1"/>
      <c r="AV415" s="1"/>
      <c r="AW415" s="1"/>
    </row>
    <row r="416" spans="1:4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42"/>
      <c r="AS416" s="1"/>
      <c r="AT416" s="1"/>
      <c r="AU416" s="1"/>
      <c r="AV416" s="1"/>
      <c r="AW416" s="1"/>
    </row>
    <row r="417" spans="1:4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42"/>
      <c r="AS417" s="1"/>
      <c r="AT417" s="1"/>
      <c r="AU417" s="1"/>
      <c r="AV417" s="1"/>
      <c r="AW417" s="1"/>
    </row>
    <row r="418" spans="1:4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42"/>
      <c r="AS418" s="1"/>
      <c r="AT418" s="1"/>
      <c r="AU418" s="1"/>
      <c r="AV418" s="1"/>
      <c r="AW418" s="1"/>
    </row>
    <row r="419" spans="1:4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42"/>
      <c r="AS419" s="1"/>
      <c r="AT419" s="1"/>
      <c r="AU419" s="1"/>
      <c r="AV419" s="1"/>
      <c r="AW419" s="1"/>
    </row>
    <row r="420" spans="1:4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42"/>
      <c r="AS420" s="1"/>
      <c r="AT420" s="1"/>
      <c r="AU420" s="1"/>
      <c r="AV420" s="1"/>
      <c r="AW420" s="1"/>
    </row>
    <row r="421" spans="1:4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42"/>
      <c r="AS421" s="1"/>
      <c r="AT421" s="1"/>
      <c r="AU421" s="1"/>
      <c r="AV421" s="1"/>
      <c r="AW421" s="1"/>
    </row>
    <row r="422" spans="1:4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42"/>
      <c r="AS422" s="1"/>
      <c r="AT422" s="1"/>
      <c r="AU422" s="1"/>
      <c r="AV422" s="1"/>
      <c r="AW422" s="1"/>
    </row>
    <row r="423" spans="1:4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42"/>
      <c r="AS423" s="1"/>
      <c r="AT423" s="1"/>
      <c r="AU423" s="1"/>
      <c r="AV423" s="1"/>
      <c r="AW423" s="1"/>
    </row>
    <row r="424" spans="1:4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42"/>
      <c r="AS424" s="1"/>
      <c r="AT424" s="1"/>
      <c r="AU424" s="1"/>
      <c r="AV424" s="1"/>
      <c r="AW424" s="1"/>
    </row>
    <row r="425" spans="1:4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42"/>
      <c r="AS425" s="1"/>
      <c r="AT425" s="1"/>
      <c r="AU425" s="1"/>
      <c r="AV425" s="1"/>
      <c r="AW425" s="1"/>
    </row>
    <row r="426" spans="1:4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42"/>
      <c r="AS426" s="1"/>
      <c r="AT426" s="1"/>
      <c r="AU426" s="1"/>
      <c r="AV426" s="1"/>
      <c r="AW426" s="1"/>
    </row>
    <row r="427" spans="1:4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42"/>
      <c r="AS427" s="1"/>
      <c r="AT427" s="1"/>
      <c r="AU427" s="1"/>
      <c r="AV427" s="1"/>
      <c r="AW427" s="1"/>
    </row>
    <row r="428" spans="1:4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42"/>
      <c r="AS428" s="1"/>
      <c r="AT428" s="1"/>
      <c r="AU428" s="1"/>
      <c r="AV428" s="1"/>
      <c r="AW428" s="1"/>
    </row>
    <row r="429" spans="1:4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42"/>
      <c r="AS429" s="1"/>
      <c r="AT429" s="1"/>
      <c r="AU429" s="1"/>
      <c r="AV429" s="1"/>
      <c r="AW429" s="1"/>
    </row>
    <row r="430" spans="1:4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42"/>
      <c r="AS430" s="1"/>
      <c r="AT430" s="1"/>
      <c r="AU430" s="1"/>
      <c r="AV430" s="1"/>
      <c r="AW430" s="1"/>
    </row>
    <row r="431" spans="1:4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42"/>
      <c r="AS431" s="1"/>
      <c r="AT431" s="1"/>
      <c r="AU431" s="1"/>
      <c r="AV431" s="1"/>
      <c r="AW431" s="1"/>
    </row>
    <row r="432" spans="1:4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42"/>
      <c r="AS432" s="1"/>
      <c r="AT432" s="1"/>
      <c r="AU432" s="1"/>
      <c r="AV432" s="1"/>
      <c r="AW432" s="1"/>
    </row>
    <row r="433" spans="1:4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42"/>
      <c r="AS433" s="1"/>
      <c r="AT433" s="1"/>
      <c r="AU433" s="1"/>
      <c r="AV433" s="1"/>
      <c r="AW433" s="1"/>
    </row>
    <row r="434" spans="1:4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42"/>
      <c r="AS434" s="1"/>
      <c r="AT434" s="1"/>
      <c r="AU434" s="1"/>
      <c r="AV434" s="1"/>
      <c r="AW434" s="1"/>
    </row>
    <row r="435" spans="1:4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42"/>
      <c r="AS435" s="1"/>
      <c r="AT435" s="1"/>
      <c r="AU435" s="1"/>
      <c r="AV435" s="1"/>
      <c r="AW435" s="1"/>
    </row>
    <row r="436" spans="1:4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42"/>
      <c r="AS436" s="1"/>
      <c r="AT436" s="1"/>
      <c r="AU436" s="1"/>
      <c r="AV436" s="1"/>
      <c r="AW436" s="1"/>
    </row>
    <row r="437" spans="1:4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42"/>
      <c r="AS437" s="1"/>
      <c r="AT437" s="1"/>
      <c r="AU437" s="1"/>
      <c r="AV437" s="1"/>
      <c r="AW437" s="1"/>
    </row>
    <row r="438" spans="1:4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42"/>
      <c r="AS438" s="1"/>
      <c r="AT438" s="1"/>
      <c r="AU438" s="1"/>
      <c r="AV438" s="1"/>
      <c r="AW438" s="1"/>
    </row>
    <row r="439" spans="1:4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42"/>
      <c r="AS439" s="1"/>
      <c r="AT439" s="1"/>
      <c r="AU439" s="1"/>
      <c r="AV439" s="1"/>
      <c r="AW439" s="1"/>
    </row>
    <row r="440" spans="1:4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42"/>
      <c r="AS440" s="1"/>
      <c r="AT440" s="1"/>
      <c r="AU440" s="1"/>
      <c r="AV440" s="1"/>
      <c r="AW440" s="1"/>
    </row>
    <row r="441" spans="1:4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42"/>
      <c r="AS441" s="1"/>
      <c r="AT441" s="1"/>
      <c r="AU441" s="1"/>
      <c r="AV441" s="1"/>
      <c r="AW441" s="1"/>
    </row>
    <row r="442" spans="1:4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42"/>
      <c r="AS442" s="1"/>
      <c r="AT442" s="1"/>
      <c r="AU442" s="1"/>
      <c r="AV442" s="1"/>
      <c r="AW442" s="1"/>
    </row>
    <row r="443" spans="1:4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42"/>
      <c r="AS443" s="1"/>
      <c r="AT443" s="1"/>
      <c r="AU443" s="1"/>
      <c r="AV443" s="1"/>
      <c r="AW443" s="1"/>
    </row>
    <row r="444" spans="1:4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42"/>
      <c r="AS444" s="1"/>
      <c r="AT444" s="1"/>
      <c r="AU444" s="1"/>
      <c r="AV444" s="1"/>
      <c r="AW444" s="1"/>
    </row>
    <row r="445" spans="1:4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42"/>
      <c r="AS445" s="1"/>
      <c r="AT445" s="1"/>
      <c r="AU445" s="1"/>
      <c r="AV445" s="1"/>
      <c r="AW445" s="1"/>
    </row>
    <row r="446" spans="1:4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42"/>
      <c r="AS446" s="1"/>
      <c r="AT446" s="1"/>
      <c r="AU446" s="1"/>
      <c r="AV446" s="1"/>
      <c r="AW446" s="1"/>
    </row>
    <row r="447" spans="1:4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42"/>
      <c r="AS447" s="1"/>
      <c r="AT447" s="1"/>
      <c r="AU447" s="1"/>
      <c r="AV447" s="1"/>
      <c r="AW447" s="1"/>
    </row>
    <row r="448" spans="1:4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42"/>
      <c r="AS448" s="1"/>
      <c r="AT448" s="1"/>
      <c r="AU448" s="1"/>
      <c r="AV448" s="1"/>
      <c r="AW448" s="1"/>
    </row>
    <row r="449" spans="1:4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42"/>
      <c r="AS449" s="1"/>
      <c r="AT449" s="1"/>
      <c r="AU449" s="1"/>
      <c r="AV449" s="1"/>
      <c r="AW449" s="1"/>
    </row>
    <row r="450" spans="1:4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42"/>
      <c r="AS450" s="1"/>
      <c r="AT450" s="1"/>
      <c r="AU450" s="1"/>
      <c r="AV450" s="1"/>
      <c r="AW450" s="1"/>
    </row>
    <row r="451" spans="1:4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42"/>
      <c r="AS451" s="1"/>
      <c r="AT451" s="1"/>
      <c r="AU451" s="1"/>
      <c r="AV451" s="1"/>
      <c r="AW451" s="1"/>
    </row>
    <row r="452" spans="1:4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42"/>
      <c r="AS452" s="1"/>
      <c r="AT452" s="1"/>
      <c r="AU452" s="1"/>
      <c r="AV452" s="1"/>
      <c r="AW452" s="1"/>
    </row>
    <row r="453" spans="1:4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42"/>
      <c r="AS453" s="1"/>
      <c r="AT453" s="1"/>
      <c r="AU453" s="1"/>
      <c r="AV453" s="1"/>
      <c r="AW453" s="1"/>
    </row>
    <row r="454" spans="1:4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42"/>
      <c r="AS454" s="1"/>
      <c r="AT454" s="1"/>
      <c r="AU454" s="1"/>
      <c r="AV454" s="1"/>
      <c r="AW454" s="1"/>
    </row>
    <row r="455" spans="1:4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42"/>
      <c r="AS455" s="1"/>
      <c r="AT455" s="1"/>
      <c r="AU455" s="1"/>
      <c r="AV455" s="1"/>
      <c r="AW455" s="1"/>
    </row>
    <row r="456" spans="1:4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42"/>
      <c r="AS456" s="1"/>
      <c r="AT456" s="1"/>
      <c r="AU456" s="1"/>
      <c r="AV456" s="1"/>
      <c r="AW456" s="1"/>
    </row>
    <row r="457" spans="1:4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42"/>
      <c r="AS457" s="1"/>
      <c r="AT457" s="1"/>
      <c r="AU457" s="1"/>
      <c r="AV457" s="1"/>
      <c r="AW457" s="1"/>
    </row>
    <row r="458" spans="1:4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42"/>
      <c r="AS458" s="1"/>
      <c r="AT458" s="1"/>
      <c r="AU458" s="1"/>
      <c r="AV458" s="1"/>
      <c r="AW458" s="1"/>
    </row>
    <row r="459" spans="1:4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42"/>
      <c r="AS459" s="1"/>
      <c r="AT459" s="1"/>
      <c r="AU459" s="1"/>
      <c r="AV459" s="1"/>
      <c r="AW459" s="1"/>
    </row>
    <row r="460" spans="1:4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42"/>
      <c r="AS460" s="1"/>
      <c r="AT460" s="1"/>
      <c r="AU460" s="1"/>
      <c r="AV460" s="1"/>
      <c r="AW460" s="1"/>
    </row>
    <row r="461" spans="1:4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42"/>
      <c r="AS461" s="1"/>
      <c r="AT461" s="1"/>
      <c r="AU461" s="1"/>
      <c r="AV461" s="1"/>
      <c r="AW461" s="1"/>
    </row>
    <row r="462" spans="1:4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42"/>
      <c r="AS462" s="1"/>
      <c r="AT462" s="1"/>
      <c r="AU462" s="1"/>
      <c r="AV462" s="1"/>
      <c r="AW462" s="1"/>
    </row>
    <row r="463" spans="1:4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42"/>
      <c r="AS463" s="1"/>
      <c r="AT463" s="1"/>
      <c r="AU463" s="1"/>
      <c r="AV463" s="1"/>
      <c r="AW463" s="1"/>
    </row>
    <row r="464" spans="1:4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42"/>
      <c r="AS464" s="1"/>
      <c r="AT464" s="1"/>
      <c r="AU464" s="1"/>
      <c r="AV464" s="1"/>
      <c r="AW464" s="1"/>
    </row>
    <row r="465" spans="1:4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42"/>
      <c r="AS465" s="1"/>
      <c r="AT465" s="1"/>
      <c r="AU465" s="1"/>
      <c r="AV465" s="1"/>
      <c r="AW465" s="1"/>
    </row>
    <row r="466" spans="1:4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42"/>
      <c r="AS466" s="1"/>
      <c r="AT466" s="1"/>
      <c r="AU466" s="1"/>
      <c r="AV466" s="1"/>
      <c r="AW466" s="1"/>
    </row>
    <row r="467" spans="1:4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42"/>
      <c r="AS467" s="1"/>
      <c r="AT467" s="1"/>
      <c r="AU467" s="1"/>
      <c r="AV467" s="1"/>
      <c r="AW467" s="1"/>
    </row>
    <row r="468" spans="1:4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42"/>
      <c r="AS468" s="1"/>
      <c r="AT468" s="1"/>
      <c r="AU468" s="1"/>
      <c r="AV468" s="1"/>
      <c r="AW468" s="1"/>
    </row>
    <row r="469" spans="1:4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42"/>
      <c r="AS469" s="1"/>
      <c r="AT469" s="1"/>
      <c r="AU469" s="1"/>
      <c r="AV469" s="1"/>
      <c r="AW469" s="1"/>
    </row>
    <row r="470" spans="1:4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42"/>
      <c r="AS470" s="1"/>
      <c r="AT470" s="1"/>
      <c r="AU470" s="1"/>
      <c r="AV470" s="1"/>
      <c r="AW470" s="1"/>
    </row>
    <row r="471" spans="1:4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42"/>
      <c r="AS471" s="1"/>
      <c r="AT471" s="1"/>
      <c r="AU471" s="1"/>
      <c r="AV471" s="1"/>
      <c r="AW471" s="1"/>
    </row>
    <row r="472" spans="1:4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42"/>
      <c r="AS472" s="1"/>
      <c r="AT472" s="1"/>
      <c r="AU472" s="1"/>
      <c r="AV472" s="1"/>
      <c r="AW472" s="1"/>
    </row>
    <row r="473" spans="1:4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42"/>
      <c r="AS473" s="1"/>
      <c r="AT473" s="1"/>
      <c r="AU473" s="1"/>
      <c r="AV473" s="1"/>
      <c r="AW473" s="1"/>
    </row>
    <row r="474" spans="1:4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42"/>
      <c r="AS474" s="1"/>
      <c r="AT474" s="1"/>
      <c r="AU474" s="1"/>
      <c r="AV474" s="1"/>
      <c r="AW474" s="1"/>
    </row>
    <row r="475" spans="1:4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42"/>
      <c r="AS475" s="1"/>
      <c r="AT475" s="1"/>
      <c r="AU475" s="1"/>
      <c r="AV475" s="1"/>
      <c r="AW475" s="1"/>
    </row>
    <row r="476" spans="1:4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42"/>
      <c r="AS476" s="1"/>
      <c r="AT476" s="1"/>
      <c r="AU476" s="1"/>
      <c r="AV476" s="1"/>
      <c r="AW476" s="1"/>
    </row>
    <row r="477" spans="1:4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42"/>
      <c r="AS477" s="1"/>
      <c r="AT477" s="1"/>
      <c r="AU477" s="1"/>
      <c r="AV477" s="1"/>
      <c r="AW477" s="1"/>
    </row>
    <row r="478" spans="1:4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42"/>
      <c r="AS478" s="1"/>
      <c r="AT478" s="1"/>
      <c r="AU478" s="1"/>
      <c r="AV478" s="1"/>
      <c r="AW478" s="1"/>
    </row>
    <row r="479" spans="1:4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42"/>
      <c r="AS479" s="1"/>
      <c r="AT479" s="1"/>
      <c r="AU479" s="1"/>
      <c r="AV479" s="1"/>
      <c r="AW479" s="1"/>
    </row>
    <row r="480" spans="1:4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42"/>
      <c r="AS480" s="1"/>
      <c r="AT480" s="1"/>
      <c r="AU480" s="1"/>
      <c r="AV480" s="1"/>
      <c r="AW480" s="1"/>
    </row>
    <row r="481" spans="1:4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42"/>
      <c r="AS481" s="1"/>
      <c r="AT481" s="1"/>
      <c r="AU481" s="1"/>
      <c r="AV481" s="1"/>
      <c r="AW481" s="1"/>
    </row>
    <row r="482" spans="1:4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42"/>
      <c r="AS482" s="1"/>
      <c r="AT482" s="1"/>
      <c r="AU482" s="1"/>
      <c r="AV482" s="1"/>
      <c r="AW482" s="1"/>
    </row>
    <row r="483" spans="1:4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42"/>
      <c r="AS483" s="1"/>
      <c r="AT483" s="1"/>
      <c r="AU483" s="1"/>
      <c r="AV483" s="1"/>
      <c r="AW483" s="1"/>
    </row>
    <row r="484" spans="1:4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42"/>
      <c r="AS484" s="1"/>
      <c r="AT484" s="1"/>
      <c r="AU484" s="1"/>
      <c r="AV484" s="1"/>
      <c r="AW484" s="1"/>
    </row>
    <row r="485" spans="1:4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42"/>
      <c r="AS485" s="1"/>
      <c r="AT485" s="1"/>
      <c r="AU485" s="1"/>
      <c r="AV485" s="1"/>
      <c r="AW485" s="1"/>
    </row>
    <row r="486" spans="1:4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42"/>
      <c r="AS486" s="1"/>
      <c r="AT486" s="1"/>
      <c r="AU486" s="1"/>
      <c r="AV486" s="1"/>
      <c r="AW486" s="1"/>
    </row>
    <row r="487" spans="1:4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42"/>
      <c r="AS487" s="1"/>
      <c r="AT487" s="1"/>
      <c r="AU487" s="1"/>
      <c r="AV487" s="1"/>
      <c r="AW487" s="1"/>
    </row>
    <row r="488" spans="1:4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42"/>
      <c r="AS488" s="1"/>
      <c r="AT488" s="1"/>
      <c r="AU488" s="1"/>
      <c r="AV488" s="1"/>
      <c r="AW488" s="1"/>
    </row>
    <row r="489" spans="1:4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42"/>
      <c r="AS489" s="1"/>
      <c r="AT489" s="1"/>
      <c r="AU489" s="1"/>
      <c r="AV489" s="1"/>
      <c r="AW489" s="1"/>
    </row>
    <row r="490" spans="1:4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42"/>
      <c r="AS490" s="1"/>
      <c r="AT490" s="1"/>
      <c r="AU490" s="1"/>
      <c r="AV490" s="1"/>
      <c r="AW490" s="1"/>
    </row>
    <row r="491" spans="1:4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42"/>
      <c r="AS491" s="1"/>
      <c r="AT491" s="1"/>
      <c r="AU491" s="1"/>
      <c r="AV491" s="1"/>
      <c r="AW491" s="1"/>
    </row>
    <row r="492" spans="1:4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42"/>
      <c r="AS492" s="1"/>
      <c r="AT492" s="1"/>
      <c r="AU492" s="1"/>
      <c r="AV492" s="1"/>
      <c r="AW492" s="1"/>
    </row>
    <row r="493" spans="1:4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42"/>
      <c r="AS493" s="1"/>
      <c r="AT493" s="1"/>
      <c r="AU493" s="1"/>
      <c r="AV493" s="1"/>
      <c r="AW493" s="1"/>
    </row>
    <row r="494" spans="1:4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42"/>
      <c r="AS494" s="1"/>
      <c r="AT494" s="1"/>
      <c r="AU494" s="1"/>
      <c r="AV494" s="1"/>
      <c r="AW494" s="1"/>
    </row>
    <row r="495" spans="1:4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42"/>
      <c r="AS495" s="1"/>
      <c r="AT495" s="1"/>
      <c r="AU495" s="1"/>
      <c r="AV495" s="1"/>
      <c r="AW495" s="1"/>
    </row>
    <row r="496" spans="1:4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42"/>
      <c r="AS496" s="1"/>
      <c r="AT496" s="1"/>
      <c r="AU496" s="1"/>
      <c r="AV496" s="1"/>
      <c r="AW496" s="1"/>
    </row>
    <row r="497" spans="1:4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42"/>
      <c r="AS497" s="1"/>
      <c r="AT497" s="1"/>
      <c r="AU497" s="1"/>
      <c r="AV497" s="1"/>
      <c r="AW497" s="1"/>
    </row>
    <row r="498" spans="1:4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42"/>
      <c r="AS498" s="1"/>
      <c r="AT498" s="1"/>
      <c r="AU498" s="1"/>
      <c r="AV498" s="1"/>
      <c r="AW498" s="1"/>
    </row>
    <row r="499" spans="1:4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42"/>
      <c r="AS499" s="1"/>
      <c r="AT499" s="1"/>
      <c r="AU499" s="1"/>
      <c r="AV499" s="1"/>
      <c r="AW499" s="1"/>
    </row>
    <row r="500" spans="1:4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42"/>
      <c r="AS500" s="1"/>
      <c r="AT500" s="1"/>
      <c r="AU500" s="1"/>
      <c r="AV500" s="1"/>
      <c r="AW500" s="1"/>
    </row>
    <row r="501" spans="1:4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42"/>
      <c r="AS501" s="1"/>
      <c r="AT501" s="1"/>
      <c r="AU501" s="1"/>
      <c r="AV501" s="1"/>
      <c r="AW501" s="1"/>
    </row>
    <row r="502" spans="1:4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42"/>
      <c r="AS502" s="1"/>
      <c r="AT502" s="1"/>
      <c r="AU502" s="1"/>
      <c r="AV502" s="1"/>
      <c r="AW502" s="1"/>
    </row>
    <row r="503" spans="1:4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42"/>
      <c r="AS503" s="1"/>
      <c r="AT503" s="1"/>
      <c r="AU503" s="1"/>
      <c r="AV503" s="1"/>
      <c r="AW503" s="1"/>
    </row>
    <row r="504" spans="1:4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42"/>
      <c r="AS504" s="1"/>
      <c r="AT504" s="1"/>
      <c r="AU504" s="1"/>
      <c r="AV504" s="1"/>
      <c r="AW504" s="1"/>
    </row>
    <row r="505" spans="1:4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42"/>
      <c r="AS505" s="1"/>
      <c r="AT505" s="1"/>
      <c r="AU505" s="1"/>
      <c r="AV505" s="1"/>
      <c r="AW505" s="1"/>
    </row>
    <row r="506" spans="1:4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42"/>
      <c r="AS506" s="1"/>
      <c r="AT506" s="1"/>
      <c r="AU506" s="1"/>
      <c r="AV506" s="1"/>
      <c r="AW506" s="1"/>
    </row>
    <row r="507" spans="1:4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42"/>
      <c r="AS507" s="1"/>
      <c r="AT507" s="1"/>
      <c r="AU507" s="1"/>
      <c r="AV507" s="1"/>
      <c r="AW507" s="1"/>
    </row>
    <row r="508" spans="1:4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42"/>
      <c r="AS508" s="1"/>
      <c r="AT508" s="1"/>
      <c r="AU508" s="1"/>
      <c r="AV508" s="1"/>
      <c r="AW508" s="1"/>
    </row>
    <row r="509" spans="1:4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42"/>
      <c r="AS509" s="1"/>
      <c r="AT509" s="1"/>
      <c r="AU509" s="1"/>
      <c r="AV509" s="1"/>
      <c r="AW509" s="1"/>
    </row>
    <row r="510" spans="1:4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42"/>
      <c r="AS510" s="1"/>
      <c r="AT510" s="1"/>
      <c r="AU510" s="1"/>
      <c r="AV510" s="1"/>
      <c r="AW510" s="1"/>
    </row>
    <row r="511" spans="1:4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42"/>
      <c r="AS511" s="1"/>
      <c r="AT511" s="1"/>
      <c r="AU511" s="1"/>
      <c r="AV511" s="1"/>
      <c r="AW511" s="1"/>
    </row>
    <row r="512" spans="1:4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42"/>
      <c r="AS512" s="1"/>
      <c r="AT512" s="1"/>
      <c r="AU512" s="1"/>
      <c r="AV512" s="1"/>
      <c r="AW512" s="1"/>
    </row>
    <row r="513" spans="1:4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42"/>
      <c r="AS513" s="1"/>
      <c r="AT513" s="1"/>
      <c r="AU513" s="1"/>
      <c r="AV513" s="1"/>
      <c r="AW513" s="1"/>
    </row>
    <row r="514" spans="1:4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42"/>
      <c r="AS514" s="1"/>
      <c r="AT514" s="1"/>
      <c r="AU514" s="1"/>
      <c r="AV514" s="1"/>
      <c r="AW514" s="1"/>
    </row>
    <row r="515" spans="1:4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42"/>
      <c r="AS515" s="1"/>
      <c r="AT515" s="1"/>
      <c r="AU515" s="1"/>
      <c r="AV515" s="1"/>
      <c r="AW515" s="1"/>
    </row>
    <row r="516" spans="1:4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42"/>
      <c r="AS516" s="1"/>
      <c r="AT516" s="1"/>
      <c r="AU516" s="1"/>
      <c r="AV516" s="1"/>
      <c r="AW516" s="1"/>
    </row>
    <row r="517" spans="1:4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42"/>
      <c r="AS517" s="1"/>
      <c r="AT517" s="1"/>
      <c r="AU517" s="1"/>
      <c r="AV517" s="1"/>
      <c r="AW517" s="1"/>
    </row>
    <row r="518" spans="1:4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42"/>
      <c r="AS518" s="1"/>
      <c r="AT518" s="1"/>
      <c r="AU518" s="1"/>
      <c r="AV518" s="1"/>
      <c r="AW518" s="1"/>
    </row>
    <row r="519" spans="1:4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42"/>
      <c r="AS519" s="1"/>
      <c r="AT519" s="1"/>
      <c r="AU519" s="1"/>
      <c r="AV519" s="1"/>
      <c r="AW519" s="1"/>
    </row>
    <row r="520" spans="1:4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42"/>
      <c r="AS520" s="1"/>
      <c r="AT520" s="1"/>
      <c r="AU520" s="1"/>
      <c r="AV520" s="1"/>
      <c r="AW520" s="1"/>
    </row>
    <row r="521" spans="1:4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42"/>
      <c r="AS521" s="1"/>
      <c r="AT521" s="1"/>
      <c r="AU521" s="1"/>
      <c r="AV521" s="1"/>
      <c r="AW521" s="1"/>
    </row>
    <row r="522" spans="1:4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42"/>
      <c r="AS522" s="1"/>
      <c r="AT522" s="1"/>
      <c r="AU522" s="1"/>
      <c r="AV522" s="1"/>
      <c r="AW522" s="1"/>
    </row>
    <row r="523" spans="1:4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42"/>
      <c r="AS523" s="1"/>
      <c r="AT523" s="1"/>
      <c r="AU523" s="1"/>
      <c r="AV523" s="1"/>
      <c r="AW523" s="1"/>
    </row>
    <row r="524" spans="1:4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42"/>
      <c r="AS524" s="1"/>
      <c r="AT524" s="1"/>
      <c r="AU524" s="1"/>
      <c r="AV524" s="1"/>
      <c r="AW524" s="1"/>
    </row>
    <row r="525" spans="1:4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42"/>
      <c r="AS525" s="1"/>
      <c r="AT525" s="1"/>
      <c r="AU525" s="1"/>
      <c r="AV525" s="1"/>
      <c r="AW525" s="1"/>
    </row>
    <row r="526" spans="1:4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42"/>
      <c r="AS526" s="1"/>
      <c r="AT526" s="1"/>
      <c r="AU526" s="1"/>
      <c r="AV526" s="1"/>
      <c r="AW526" s="1"/>
    </row>
    <row r="527" spans="1:4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42"/>
      <c r="AS527" s="1"/>
      <c r="AT527" s="1"/>
      <c r="AU527" s="1"/>
      <c r="AV527" s="1"/>
      <c r="AW527" s="1"/>
    </row>
    <row r="528" spans="1:4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42"/>
      <c r="AS528" s="1"/>
      <c r="AT528" s="1"/>
      <c r="AU528" s="1"/>
      <c r="AV528" s="1"/>
      <c r="AW528" s="1"/>
    </row>
    <row r="529" spans="1:4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42"/>
      <c r="AS529" s="1"/>
      <c r="AT529" s="1"/>
      <c r="AU529" s="1"/>
      <c r="AV529" s="1"/>
      <c r="AW529" s="1"/>
    </row>
    <row r="530" spans="1:4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42"/>
      <c r="AS530" s="1"/>
      <c r="AT530" s="1"/>
      <c r="AU530" s="1"/>
      <c r="AV530" s="1"/>
      <c r="AW530" s="1"/>
    </row>
    <row r="531" spans="1:4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42"/>
      <c r="AS531" s="1"/>
      <c r="AT531" s="1"/>
      <c r="AU531" s="1"/>
      <c r="AV531" s="1"/>
      <c r="AW531" s="1"/>
    </row>
    <row r="532" spans="1:4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42"/>
      <c r="AS532" s="1"/>
      <c r="AT532" s="1"/>
      <c r="AU532" s="1"/>
      <c r="AV532" s="1"/>
      <c r="AW532" s="1"/>
    </row>
    <row r="533" spans="1:4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42"/>
      <c r="AS533" s="1"/>
      <c r="AT533" s="1"/>
      <c r="AU533" s="1"/>
      <c r="AV533" s="1"/>
      <c r="AW533" s="1"/>
    </row>
    <row r="534" spans="1:4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42"/>
      <c r="AS534" s="1"/>
      <c r="AT534" s="1"/>
      <c r="AU534" s="1"/>
      <c r="AV534" s="1"/>
      <c r="AW534" s="1"/>
    </row>
    <row r="535" spans="1:4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42"/>
      <c r="AS535" s="1"/>
      <c r="AT535" s="1"/>
      <c r="AU535" s="1"/>
      <c r="AV535" s="1"/>
      <c r="AW535" s="1"/>
    </row>
    <row r="536" spans="1:4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42"/>
      <c r="AS536" s="1"/>
      <c r="AT536" s="1"/>
      <c r="AU536" s="1"/>
      <c r="AV536" s="1"/>
      <c r="AW536" s="1"/>
    </row>
    <row r="537" spans="1:4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42"/>
      <c r="AS537" s="1"/>
      <c r="AT537" s="1"/>
      <c r="AU537" s="1"/>
      <c r="AV537" s="1"/>
      <c r="AW537" s="1"/>
    </row>
    <row r="538" spans="1:4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42"/>
      <c r="AS538" s="1"/>
      <c r="AT538" s="1"/>
      <c r="AU538" s="1"/>
      <c r="AV538" s="1"/>
      <c r="AW538" s="1"/>
    </row>
    <row r="539" spans="1:4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42"/>
      <c r="AS539" s="1"/>
      <c r="AT539" s="1"/>
      <c r="AU539" s="1"/>
      <c r="AV539" s="1"/>
      <c r="AW539" s="1"/>
    </row>
    <row r="540" spans="1:4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42"/>
      <c r="AS540" s="1"/>
      <c r="AT540" s="1"/>
      <c r="AU540" s="1"/>
      <c r="AV540" s="1"/>
      <c r="AW540" s="1"/>
    </row>
    <row r="541" spans="1:4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42"/>
      <c r="AS541" s="1"/>
      <c r="AT541" s="1"/>
      <c r="AU541" s="1"/>
      <c r="AV541" s="1"/>
      <c r="AW541" s="1"/>
    </row>
    <row r="542" spans="1:4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42"/>
      <c r="AS542" s="1"/>
      <c r="AT542" s="1"/>
      <c r="AU542" s="1"/>
      <c r="AV542" s="1"/>
      <c r="AW542" s="1"/>
    </row>
    <row r="543" spans="1:4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42"/>
      <c r="AS543" s="1"/>
      <c r="AT543" s="1"/>
      <c r="AU543" s="1"/>
      <c r="AV543" s="1"/>
      <c r="AW543" s="1"/>
    </row>
    <row r="544" spans="1:4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42"/>
      <c r="AS544" s="1"/>
      <c r="AT544" s="1"/>
      <c r="AU544" s="1"/>
      <c r="AV544" s="1"/>
      <c r="AW544" s="1"/>
    </row>
    <row r="545" spans="1:4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42"/>
      <c r="AS545" s="1"/>
      <c r="AT545" s="1"/>
      <c r="AU545" s="1"/>
      <c r="AV545" s="1"/>
      <c r="AW545" s="1"/>
    </row>
    <row r="546" spans="1:4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42"/>
      <c r="AS546" s="1"/>
      <c r="AT546" s="1"/>
      <c r="AU546" s="1"/>
      <c r="AV546" s="1"/>
      <c r="AW546" s="1"/>
    </row>
    <row r="547" spans="1:4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42"/>
      <c r="AS547" s="1"/>
      <c r="AT547" s="1"/>
      <c r="AU547" s="1"/>
      <c r="AV547" s="1"/>
      <c r="AW547" s="1"/>
    </row>
    <row r="548" spans="1:4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42"/>
      <c r="AS548" s="1"/>
      <c r="AT548" s="1"/>
      <c r="AU548" s="1"/>
      <c r="AV548" s="1"/>
      <c r="AW548" s="1"/>
    </row>
    <row r="549" spans="1:4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42"/>
      <c r="AS549" s="1"/>
      <c r="AT549" s="1"/>
      <c r="AU549" s="1"/>
      <c r="AV549" s="1"/>
      <c r="AW549" s="1"/>
    </row>
    <row r="550" spans="1:4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42"/>
      <c r="AS550" s="1"/>
      <c r="AT550" s="1"/>
      <c r="AU550" s="1"/>
      <c r="AV550" s="1"/>
      <c r="AW550" s="1"/>
    </row>
    <row r="551" spans="1:4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42"/>
      <c r="AS551" s="1"/>
      <c r="AT551" s="1"/>
      <c r="AU551" s="1"/>
      <c r="AV551" s="1"/>
      <c r="AW551" s="1"/>
    </row>
    <row r="552" spans="1:4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42"/>
      <c r="AS552" s="1"/>
      <c r="AT552" s="1"/>
      <c r="AU552" s="1"/>
      <c r="AV552" s="1"/>
      <c r="AW552" s="1"/>
    </row>
    <row r="553" spans="1:4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42"/>
      <c r="AS553" s="1"/>
      <c r="AT553" s="1"/>
      <c r="AU553" s="1"/>
      <c r="AV553" s="1"/>
      <c r="AW553" s="1"/>
    </row>
    <row r="554" spans="1:4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42"/>
      <c r="AS554" s="1"/>
      <c r="AT554" s="1"/>
      <c r="AU554" s="1"/>
      <c r="AV554" s="1"/>
      <c r="AW554" s="1"/>
    </row>
    <row r="555" spans="1:4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42"/>
      <c r="AS555" s="1"/>
      <c r="AT555" s="1"/>
      <c r="AU555" s="1"/>
      <c r="AV555" s="1"/>
      <c r="AW555" s="1"/>
    </row>
    <row r="556" spans="1:4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42"/>
      <c r="AS556" s="1"/>
      <c r="AT556" s="1"/>
      <c r="AU556" s="1"/>
      <c r="AV556" s="1"/>
      <c r="AW556" s="1"/>
    </row>
    <row r="557" spans="1:4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42"/>
      <c r="AS557" s="1"/>
      <c r="AT557" s="1"/>
      <c r="AU557" s="1"/>
      <c r="AV557" s="1"/>
      <c r="AW557" s="1"/>
    </row>
    <row r="558" spans="1:4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42"/>
      <c r="AS558" s="1"/>
      <c r="AT558" s="1"/>
      <c r="AU558" s="1"/>
      <c r="AV558" s="1"/>
      <c r="AW558" s="1"/>
    </row>
    <row r="559" spans="1:4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42"/>
      <c r="AS559" s="1"/>
      <c r="AT559" s="1"/>
      <c r="AU559" s="1"/>
      <c r="AV559" s="1"/>
      <c r="AW559" s="1"/>
    </row>
    <row r="560" spans="1:4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42"/>
      <c r="AS560" s="1"/>
      <c r="AT560" s="1"/>
      <c r="AU560" s="1"/>
      <c r="AV560" s="1"/>
      <c r="AW560" s="1"/>
    </row>
    <row r="561" spans="1:4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42"/>
      <c r="AS561" s="1"/>
      <c r="AT561" s="1"/>
      <c r="AU561" s="1"/>
      <c r="AV561" s="1"/>
      <c r="AW561" s="1"/>
    </row>
    <row r="562" spans="1:4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42"/>
      <c r="AS562" s="1"/>
      <c r="AT562" s="1"/>
      <c r="AU562" s="1"/>
      <c r="AV562" s="1"/>
      <c r="AW562" s="1"/>
    </row>
    <row r="563" spans="1:4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42"/>
      <c r="AS563" s="1"/>
      <c r="AT563" s="1"/>
      <c r="AU563" s="1"/>
      <c r="AV563" s="1"/>
      <c r="AW563" s="1"/>
    </row>
    <row r="564" spans="1:4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42"/>
      <c r="AS564" s="1"/>
      <c r="AT564" s="1"/>
      <c r="AU564" s="1"/>
      <c r="AV564" s="1"/>
      <c r="AW564" s="1"/>
    </row>
    <row r="565" spans="1:4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42"/>
      <c r="AS565" s="1"/>
      <c r="AT565" s="1"/>
      <c r="AU565" s="1"/>
      <c r="AV565" s="1"/>
      <c r="AW565" s="1"/>
    </row>
    <row r="566" spans="1:4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42"/>
      <c r="AS566" s="1"/>
      <c r="AT566" s="1"/>
      <c r="AU566" s="1"/>
      <c r="AV566" s="1"/>
      <c r="AW566" s="1"/>
    </row>
    <row r="567" spans="1:4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42"/>
      <c r="AS567" s="1"/>
      <c r="AT567" s="1"/>
      <c r="AU567" s="1"/>
      <c r="AV567" s="1"/>
      <c r="AW567" s="1"/>
    </row>
    <row r="568" spans="1:4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42"/>
      <c r="AS568" s="1"/>
      <c r="AT568" s="1"/>
      <c r="AU568" s="1"/>
      <c r="AV568" s="1"/>
      <c r="AW568" s="1"/>
    </row>
    <row r="569" spans="1:4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42"/>
      <c r="AS569" s="1"/>
      <c r="AT569" s="1"/>
      <c r="AU569" s="1"/>
      <c r="AV569" s="1"/>
      <c r="AW569" s="1"/>
    </row>
    <row r="570" spans="1:4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42"/>
      <c r="AS570" s="1"/>
      <c r="AT570" s="1"/>
      <c r="AU570" s="1"/>
      <c r="AV570" s="1"/>
      <c r="AW570" s="1"/>
    </row>
    <row r="571" spans="1:4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42"/>
      <c r="AS571" s="1"/>
      <c r="AT571" s="1"/>
      <c r="AU571" s="1"/>
      <c r="AV571" s="1"/>
      <c r="AW571" s="1"/>
    </row>
    <row r="572" spans="1:4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42"/>
      <c r="AS572" s="1"/>
      <c r="AT572" s="1"/>
      <c r="AU572" s="1"/>
      <c r="AV572" s="1"/>
      <c r="AW572" s="1"/>
    </row>
    <row r="573" spans="1:4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42"/>
      <c r="AS573" s="1"/>
      <c r="AT573" s="1"/>
      <c r="AU573" s="1"/>
      <c r="AV573" s="1"/>
      <c r="AW573" s="1"/>
    </row>
    <row r="574" spans="1:4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42"/>
      <c r="AS574" s="1"/>
      <c r="AT574" s="1"/>
      <c r="AU574" s="1"/>
      <c r="AV574" s="1"/>
      <c r="AW574" s="1"/>
    </row>
    <row r="575" spans="1:4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42"/>
      <c r="AS575" s="1"/>
      <c r="AT575" s="1"/>
      <c r="AU575" s="1"/>
      <c r="AV575" s="1"/>
      <c r="AW575" s="1"/>
    </row>
    <row r="576" spans="1:4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42"/>
      <c r="AS576" s="1"/>
      <c r="AT576" s="1"/>
      <c r="AU576" s="1"/>
      <c r="AV576" s="1"/>
      <c r="AW576" s="1"/>
    </row>
    <row r="577" spans="1:4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42"/>
      <c r="AS577" s="1"/>
      <c r="AT577" s="1"/>
      <c r="AU577" s="1"/>
      <c r="AV577" s="1"/>
      <c r="AW577" s="1"/>
    </row>
    <row r="578" spans="1:4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42"/>
      <c r="AS578" s="1"/>
      <c r="AT578" s="1"/>
      <c r="AU578" s="1"/>
      <c r="AV578" s="1"/>
      <c r="AW578" s="1"/>
    </row>
    <row r="579" spans="1:4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42"/>
      <c r="AS579" s="1"/>
      <c r="AT579" s="1"/>
      <c r="AU579" s="1"/>
      <c r="AV579" s="1"/>
      <c r="AW579" s="1"/>
    </row>
    <row r="580" spans="1:4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42"/>
      <c r="AS580" s="1"/>
      <c r="AT580" s="1"/>
      <c r="AU580" s="1"/>
      <c r="AV580" s="1"/>
      <c r="AW580" s="1"/>
    </row>
    <row r="581" spans="1:4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42"/>
      <c r="AS581" s="1"/>
      <c r="AT581" s="1"/>
      <c r="AU581" s="1"/>
      <c r="AV581" s="1"/>
      <c r="AW581" s="1"/>
    </row>
    <row r="582" spans="1:4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42"/>
      <c r="AS582" s="1"/>
      <c r="AT582" s="1"/>
      <c r="AU582" s="1"/>
      <c r="AV582" s="1"/>
      <c r="AW582" s="1"/>
    </row>
    <row r="583" spans="1:4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42"/>
      <c r="AS583" s="1"/>
      <c r="AT583" s="1"/>
      <c r="AU583" s="1"/>
      <c r="AV583" s="1"/>
      <c r="AW583" s="1"/>
    </row>
    <row r="584" spans="1:4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42"/>
      <c r="AS584" s="1"/>
      <c r="AT584" s="1"/>
      <c r="AU584" s="1"/>
      <c r="AV584" s="1"/>
      <c r="AW584" s="1"/>
    </row>
    <row r="585" spans="1:4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42"/>
      <c r="AS585" s="1"/>
      <c r="AT585" s="1"/>
      <c r="AU585" s="1"/>
      <c r="AV585" s="1"/>
      <c r="AW585" s="1"/>
    </row>
    <row r="586" spans="1:4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42"/>
      <c r="AS586" s="1"/>
      <c r="AT586" s="1"/>
      <c r="AU586" s="1"/>
      <c r="AV586" s="1"/>
      <c r="AW586" s="1"/>
    </row>
    <row r="587" spans="1:4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42"/>
      <c r="AS587" s="1"/>
      <c r="AT587" s="1"/>
      <c r="AU587" s="1"/>
      <c r="AV587" s="1"/>
      <c r="AW587" s="1"/>
    </row>
    <row r="588" spans="1:4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42"/>
      <c r="AS588" s="1"/>
      <c r="AT588" s="1"/>
      <c r="AU588" s="1"/>
      <c r="AV588" s="1"/>
      <c r="AW588" s="1"/>
    </row>
    <row r="589" spans="1:4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42"/>
      <c r="AS589" s="1"/>
      <c r="AT589" s="1"/>
      <c r="AU589" s="1"/>
      <c r="AV589" s="1"/>
      <c r="AW589" s="1"/>
    </row>
    <row r="590" spans="1:4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42"/>
      <c r="AS590" s="1"/>
      <c r="AT590" s="1"/>
      <c r="AU590" s="1"/>
      <c r="AV590" s="1"/>
      <c r="AW590" s="1"/>
    </row>
    <row r="591" spans="1:4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42"/>
      <c r="AS591" s="1"/>
      <c r="AT591" s="1"/>
      <c r="AU591" s="1"/>
      <c r="AV591" s="1"/>
      <c r="AW591" s="1"/>
    </row>
    <row r="592" spans="1:4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42"/>
      <c r="AS592" s="1"/>
      <c r="AT592" s="1"/>
      <c r="AU592" s="1"/>
      <c r="AV592" s="1"/>
      <c r="AW592" s="1"/>
    </row>
    <row r="593" spans="1:4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42"/>
      <c r="AS593" s="1"/>
      <c r="AT593" s="1"/>
      <c r="AU593" s="1"/>
      <c r="AV593" s="1"/>
      <c r="AW593" s="1"/>
    </row>
    <row r="594" spans="1:4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42"/>
      <c r="AS594" s="1"/>
      <c r="AT594" s="1"/>
      <c r="AU594" s="1"/>
      <c r="AV594" s="1"/>
      <c r="AW594" s="1"/>
    </row>
    <row r="595" spans="1:4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42"/>
      <c r="AS595" s="1"/>
      <c r="AT595" s="1"/>
      <c r="AU595" s="1"/>
      <c r="AV595" s="1"/>
      <c r="AW595" s="1"/>
    </row>
    <row r="596" spans="1:4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42"/>
      <c r="AS596" s="1"/>
      <c r="AT596" s="1"/>
      <c r="AU596" s="1"/>
      <c r="AV596" s="1"/>
      <c r="AW596" s="1"/>
    </row>
    <row r="597" spans="1:4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42"/>
      <c r="AS597" s="1"/>
      <c r="AT597" s="1"/>
      <c r="AU597" s="1"/>
      <c r="AV597" s="1"/>
      <c r="AW597" s="1"/>
    </row>
    <row r="598" spans="1:4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42"/>
      <c r="AS598" s="1"/>
      <c r="AT598" s="1"/>
      <c r="AU598" s="1"/>
      <c r="AV598" s="1"/>
      <c r="AW598" s="1"/>
    </row>
    <row r="599" spans="1:4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42"/>
      <c r="AS599" s="1"/>
      <c r="AT599" s="1"/>
      <c r="AU599" s="1"/>
      <c r="AV599" s="1"/>
      <c r="AW599" s="1"/>
    </row>
    <row r="600" spans="1:4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42"/>
      <c r="AS600" s="1"/>
      <c r="AT600" s="1"/>
      <c r="AU600" s="1"/>
      <c r="AV600" s="1"/>
      <c r="AW600" s="1"/>
    </row>
    <row r="601" spans="1:4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42"/>
      <c r="AS601" s="1"/>
      <c r="AT601" s="1"/>
      <c r="AU601" s="1"/>
      <c r="AV601" s="1"/>
      <c r="AW601" s="1"/>
    </row>
    <row r="602" spans="1:4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42"/>
      <c r="AS602" s="1"/>
      <c r="AT602" s="1"/>
      <c r="AU602" s="1"/>
      <c r="AV602" s="1"/>
      <c r="AW602" s="1"/>
    </row>
    <row r="603" spans="1:4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42"/>
      <c r="AS603" s="1"/>
      <c r="AT603" s="1"/>
      <c r="AU603" s="1"/>
      <c r="AV603" s="1"/>
      <c r="AW603" s="1"/>
    </row>
    <row r="604" spans="1:4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42"/>
      <c r="AS604" s="1"/>
      <c r="AT604" s="1"/>
      <c r="AU604" s="1"/>
      <c r="AV604" s="1"/>
      <c r="AW604" s="1"/>
    </row>
    <row r="605" spans="1:4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42"/>
      <c r="AS605" s="1"/>
      <c r="AT605" s="1"/>
      <c r="AU605" s="1"/>
      <c r="AV605" s="1"/>
      <c r="AW605" s="1"/>
    </row>
    <row r="606" spans="1:4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42"/>
      <c r="AS606" s="1"/>
      <c r="AT606" s="1"/>
      <c r="AU606" s="1"/>
      <c r="AV606" s="1"/>
      <c r="AW606" s="1"/>
    </row>
    <row r="607" spans="1:4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42"/>
      <c r="AS607" s="1"/>
      <c r="AT607" s="1"/>
      <c r="AU607" s="1"/>
      <c r="AV607" s="1"/>
      <c r="AW607" s="1"/>
    </row>
    <row r="608" spans="1:4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42"/>
      <c r="AS608" s="1"/>
      <c r="AT608" s="1"/>
      <c r="AU608" s="1"/>
      <c r="AV608" s="1"/>
      <c r="AW608" s="1"/>
    </row>
    <row r="609" spans="1:4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42"/>
      <c r="AS609" s="1"/>
      <c r="AT609" s="1"/>
      <c r="AU609" s="1"/>
      <c r="AV609" s="1"/>
      <c r="AW609" s="1"/>
    </row>
    <row r="610" spans="1:4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42"/>
      <c r="AS610" s="1"/>
      <c r="AT610" s="1"/>
      <c r="AU610" s="1"/>
      <c r="AV610" s="1"/>
      <c r="AW610" s="1"/>
    </row>
    <row r="611" spans="1:4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42"/>
      <c r="AS611" s="1"/>
      <c r="AT611" s="1"/>
      <c r="AU611" s="1"/>
      <c r="AV611" s="1"/>
      <c r="AW611" s="1"/>
    </row>
    <row r="612" spans="1:4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42"/>
      <c r="AS612" s="1"/>
      <c r="AT612" s="1"/>
      <c r="AU612" s="1"/>
      <c r="AV612" s="1"/>
      <c r="AW612" s="1"/>
    </row>
    <row r="613" spans="1:4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42"/>
      <c r="AS613" s="1"/>
      <c r="AT613" s="1"/>
      <c r="AU613" s="1"/>
      <c r="AV613" s="1"/>
      <c r="AW613" s="1"/>
    </row>
    <row r="614" spans="1:4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42"/>
      <c r="AS614" s="1"/>
      <c r="AT614" s="1"/>
      <c r="AU614" s="1"/>
      <c r="AV614" s="1"/>
      <c r="AW614" s="1"/>
    </row>
    <row r="615" spans="1:4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42"/>
      <c r="AS615" s="1"/>
      <c r="AT615" s="1"/>
      <c r="AU615" s="1"/>
      <c r="AV615" s="1"/>
      <c r="AW615" s="1"/>
    </row>
    <row r="616" spans="1:4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42"/>
      <c r="AS616" s="1"/>
      <c r="AT616" s="1"/>
      <c r="AU616" s="1"/>
      <c r="AV616" s="1"/>
      <c r="AW616" s="1"/>
    </row>
    <row r="617" spans="1:4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42"/>
      <c r="AS617" s="1"/>
      <c r="AT617" s="1"/>
      <c r="AU617" s="1"/>
      <c r="AV617" s="1"/>
      <c r="AW617" s="1"/>
    </row>
    <row r="618" spans="1:4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42"/>
      <c r="AS618" s="1"/>
      <c r="AT618" s="1"/>
      <c r="AU618" s="1"/>
      <c r="AV618" s="1"/>
      <c r="AW618" s="1"/>
    </row>
    <row r="619" spans="1:4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42"/>
      <c r="AS619" s="1"/>
      <c r="AT619" s="1"/>
      <c r="AU619" s="1"/>
      <c r="AV619" s="1"/>
      <c r="AW619" s="1"/>
    </row>
    <row r="620" spans="1:4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42"/>
      <c r="AS620" s="1"/>
      <c r="AT620" s="1"/>
      <c r="AU620" s="1"/>
      <c r="AV620" s="1"/>
      <c r="AW620" s="1"/>
    </row>
    <row r="621" spans="1:4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42"/>
      <c r="AS621" s="1"/>
      <c r="AT621" s="1"/>
      <c r="AU621" s="1"/>
      <c r="AV621" s="1"/>
      <c r="AW621" s="1"/>
    </row>
    <row r="622" spans="1:4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42"/>
      <c r="AS622" s="1"/>
      <c r="AT622" s="1"/>
      <c r="AU622" s="1"/>
      <c r="AV622" s="1"/>
      <c r="AW622" s="1"/>
    </row>
    <row r="623" spans="1:4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42"/>
      <c r="AS623" s="1"/>
      <c r="AT623" s="1"/>
      <c r="AU623" s="1"/>
      <c r="AV623" s="1"/>
      <c r="AW623" s="1"/>
    </row>
    <row r="624" spans="1:4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42"/>
      <c r="AS624" s="1"/>
      <c r="AT624" s="1"/>
      <c r="AU624" s="1"/>
      <c r="AV624" s="1"/>
      <c r="AW624" s="1"/>
    </row>
    <row r="625" spans="1:4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42"/>
      <c r="AS625" s="1"/>
      <c r="AT625" s="1"/>
      <c r="AU625" s="1"/>
      <c r="AV625" s="1"/>
      <c r="AW625" s="1"/>
    </row>
    <row r="626" spans="1:4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42"/>
      <c r="AS626" s="1"/>
      <c r="AT626" s="1"/>
      <c r="AU626" s="1"/>
      <c r="AV626" s="1"/>
      <c r="AW626" s="1"/>
    </row>
    <row r="627" spans="1:4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42"/>
      <c r="AS627" s="1"/>
      <c r="AT627" s="1"/>
      <c r="AU627" s="1"/>
      <c r="AV627" s="1"/>
      <c r="AW627" s="1"/>
    </row>
    <row r="628" spans="1:4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42"/>
      <c r="AS628" s="1"/>
      <c r="AT628" s="1"/>
      <c r="AU628" s="1"/>
      <c r="AV628" s="1"/>
      <c r="AW628" s="1"/>
    </row>
    <row r="629" spans="1:4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42"/>
      <c r="AS629" s="1"/>
      <c r="AT629" s="1"/>
      <c r="AU629" s="1"/>
      <c r="AV629" s="1"/>
      <c r="AW629" s="1"/>
    </row>
    <row r="630" spans="1:4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42"/>
      <c r="AS630" s="1"/>
      <c r="AT630" s="1"/>
      <c r="AU630" s="1"/>
      <c r="AV630" s="1"/>
      <c r="AW630" s="1"/>
    </row>
    <row r="631" spans="1:4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42"/>
      <c r="AS631" s="1"/>
      <c r="AT631" s="1"/>
      <c r="AU631" s="1"/>
      <c r="AV631" s="1"/>
      <c r="AW631" s="1"/>
    </row>
    <row r="632" spans="1:4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42"/>
      <c r="AS632" s="1"/>
      <c r="AT632" s="1"/>
      <c r="AU632" s="1"/>
      <c r="AV632" s="1"/>
      <c r="AW632" s="1"/>
    </row>
    <row r="633" spans="1:4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42"/>
      <c r="AS633" s="1"/>
      <c r="AT633" s="1"/>
      <c r="AU633" s="1"/>
      <c r="AV633" s="1"/>
      <c r="AW633" s="1"/>
    </row>
    <row r="634" spans="1:4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42"/>
      <c r="AS634" s="1"/>
      <c r="AT634" s="1"/>
      <c r="AU634" s="1"/>
      <c r="AV634" s="1"/>
      <c r="AW634" s="1"/>
    </row>
    <row r="635" spans="1:4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42"/>
      <c r="AS635" s="1"/>
      <c r="AT635" s="1"/>
      <c r="AU635" s="1"/>
      <c r="AV635" s="1"/>
      <c r="AW635" s="1"/>
    </row>
    <row r="636" spans="1:4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42"/>
      <c r="AS636" s="1"/>
      <c r="AT636" s="1"/>
      <c r="AU636" s="1"/>
      <c r="AV636" s="1"/>
      <c r="AW636" s="1"/>
    </row>
    <row r="637" spans="1:4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42"/>
      <c r="AS637" s="1"/>
      <c r="AT637" s="1"/>
      <c r="AU637" s="1"/>
      <c r="AV637" s="1"/>
      <c r="AW637" s="1"/>
    </row>
    <row r="638" spans="1:4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42"/>
      <c r="AS638" s="1"/>
      <c r="AT638" s="1"/>
      <c r="AU638" s="1"/>
      <c r="AV638" s="1"/>
      <c r="AW638" s="1"/>
    </row>
    <row r="639" spans="1:4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42"/>
      <c r="AS639" s="1"/>
      <c r="AT639" s="1"/>
      <c r="AU639" s="1"/>
      <c r="AV639" s="1"/>
      <c r="AW639" s="1"/>
    </row>
    <row r="640" spans="1:4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42"/>
      <c r="AS640" s="1"/>
      <c r="AT640" s="1"/>
      <c r="AU640" s="1"/>
      <c r="AV640" s="1"/>
      <c r="AW640" s="1"/>
    </row>
    <row r="641" spans="1:4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42"/>
      <c r="AS641" s="1"/>
      <c r="AT641" s="1"/>
      <c r="AU641" s="1"/>
      <c r="AV641" s="1"/>
      <c r="AW641" s="1"/>
    </row>
    <row r="642" spans="1:4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42"/>
      <c r="AS642" s="1"/>
      <c r="AT642" s="1"/>
      <c r="AU642" s="1"/>
      <c r="AV642" s="1"/>
      <c r="AW642" s="1"/>
    </row>
    <row r="643" spans="1:4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42"/>
      <c r="AS643" s="1"/>
      <c r="AT643" s="1"/>
      <c r="AU643" s="1"/>
      <c r="AV643" s="1"/>
      <c r="AW643" s="1"/>
    </row>
    <row r="644" spans="1:4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42"/>
      <c r="AS644" s="1"/>
      <c r="AT644" s="1"/>
      <c r="AU644" s="1"/>
      <c r="AV644" s="1"/>
      <c r="AW644" s="1"/>
    </row>
    <row r="645" spans="1:4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42"/>
      <c r="AS645" s="1"/>
      <c r="AT645" s="1"/>
      <c r="AU645" s="1"/>
      <c r="AV645" s="1"/>
      <c r="AW645" s="1"/>
    </row>
    <row r="646" spans="1:4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42"/>
      <c r="AS646" s="1"/>
      <c r="AT646" s="1"/>
      <c r="AU646" s="1"/>
      <c r="AV646" s="1"/>
      <c r="AW646" s="1"/>
    </row>
    <row r="647" spans="1:4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42"/>
      <c r="AS647" s="1"/>
      <c r="AT647" s="1"/>
      <c r="AU647" s="1"/>
      <c r="AV647" s="1"/>
      <c r="AW647" s="1"/>
    </row>
    <row r="648" spans="1:4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42"/>
      <c r="AS648" s="1"/>
      <c r="AT648" s="1"/>
      <c r="AU648" s="1"/>
      <c r="AV648" s="1"/>
      <c r="AW648" s="1"/>
    </row>
    <row r="649" spans="1:4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42"/>
      <c r="AS649" s="1"/>
      <c r="AT649" s="1"/>
      <c r="AU649" s="1"/>
      <c r="AV649" s="1"/>
      <c r="AW649" s="1"/>
    </row>
    <row r="650" spans="1:4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42"/>
      <c r="AS650" s="1"/>
      <c r="AT650" s="1"/>
      <c r="AU650" s="1"/>
      <c r="AV650" s="1"/>
      <c r="AW650" s="1"/>
    </row>
    <row r="651" spans="1:4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42"/>
      <c r="AS651" s="1"/>
      <c r="AT651" s="1"/>
      <c r="AU651" s="1"/>
      <c r="AV651" s="1"/>
      <c r="AW651" s="1"/>
    </row>
    <row r="652" spans="1:4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42"/>
      <c r="AS652" s="1"/>
      <c r="AT652" s="1"/>
      <c r="AU652" s="1"/>
      <c r="AV652" s="1"/>
      <c r="AW652" s="1"/>
    </row>
    <row r="653" spans="1:4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42"/>
      <c r="AS653" s="1"/>
      <c r="AT653" s="1"/>
      <c r="AU653" s="1"/>
      <c r="AV653" s="1"/>
      <c r="AW653" s="1"/>
    </row>
    <row r="654" spans="1:4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42"/>
      <c r="AS654" s="1"/>
      <c r="AT654" s="1"/>
      <c r="AU654" s="1"/>
      <c r="AV654" s="1"/>
      <c r="AW654" s="1"/>
    </row>
    <row r="655" spans="1:4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42"/>
      <c r="AS655" s="1"/>
      <c r="AT655" s="1"/>
      <c r="AU655" s="1"/>
      <c r="AV655" s="1"/>
      <c r="AW655" s="1"/>
    </row>
    <row r="656" spans="1:4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42"/>
      <c r="AS656" s="1"/>
      <c r="AT656" s="1"/>
      <c r="AU656" s="1"/>
      <c r="AV656" s="1"/>
      <c r="AW656" s="1"/>
    </row>
    <row r="657" spans="1:4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42"/>
      <c r="AS657" s="1"/>
      <c r="AT657" s="1"/>
      <c r="AU657" s="1"/>
      <c r="AV657" s="1"/>
      <c r="AW657" s="1"/>
    </row>
    <row r="658" spans="1:4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42"/>
      <c r="AS658" s="1"/>
      <c r="AT658" s="1"/>
      <c r="AU658" s="1"/>
      <c r="AV658" s="1"/>
      <c r="AW658" s="1"/>
    </row>
    <row r="659" spans="1:4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42"/>
      <c r="AS659" s="1"/>
      <c r="AT659" s="1"/>
      <c r="AU659" s="1"/>
      <c r="AV659" s="1"/>
      <c r="AW659" s="1"/>
    </row>
    <row r="660" spans="1:4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42"/>
      <c r="AS660" s="1"/>
      <c r="AT660" s="1"/>
      <c r="AU660" s="1"/>
      <c r="AV660" s="1"/>
      <c r="AW660" s="1"/>
    </row>
    <row r="661" spans="1:4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42"/>
      <c r="AS661" s="1"/>
      <c r="AT661" s="1"/>
      <c r="AU661" s="1"/>
      <c r="AV661" s="1"/>
      <c r="AW661" s="1"/>
    </row>
    <row r="662" spans="1:4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42"/>
      <c r="AS662" s="1"/>
      <c r="AT662" s="1"/>
      <c r="AU662" s="1"/>
      <c r="AV662" s="1"/>
      <c r="AW662" s="1"/>
    </row>
    <row r="663" spans="1:4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42"/>
      <c r="AS663" s="1"/>
      <c r="AT663" s="1"/>
      <c r="AU663" s="1"/>
      <c r="AV663" s="1"/>
      <c r="AW663" s="1"/>
    </row>
    <row r="664" spans="1:4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42"/>
      <c r="AS664" s="1"/>
      <c r="AT664" s="1"/>
      <c r="AU664" s="1"/>
      <c r="AV664" s="1"/>
      <c r="AW664" s="1"/>
    </row>
    <row r="665" spans="1:4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42"/>
      <c r="AS665" s="1"/>
      <c r="AT665" s="1"/>
      <c r="AU665" s="1"/>
      <c r="AV665" s="1"/>
      <c r="AW665" s="1"/>
    </row>
    <row r="666" spans="1:4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42"/>
      <c r="AS666" s="1"/>
      <c r="AT666" s="1"/>
      <c r="AU666" s="1"/>
      <c r="AV666" s="1"/>
      <c r="AW666" s="1"/>
    </row>
    <row r="667" spans="1:4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42"/>
      <c r="AS667" s="1"/>
      <c r="AT667" s="1"/>
      <c r="AU667" s="1"/>
      <c r="AV667" s="1"/>
      <c r="AW667" s="1"/>
    </row>
    <row r="668" spans="1:4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42"/>
      <c r="AS668" s="1"/>
      <c r="AT668" s="1"/>
      <c r="AU668" s="1"/>
      <c r="AV668" s="1"/>
      <c r="AW668" s="1"/>
    </row>
    <row r="669" spans="1:4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42"/>
      <c r="AS669" s="1"/>
      <c r="AT669" s="1"/>
      <c r="AU669" s="1"/>
      <c r="AV669" s="1"/>
      <c r="AW669" s="1"/>
    </row>
    <row r="670" spans="1:4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42"/>
      <c r="AS670" s="1"/>
      <c r="AT670" s="1"/>
      <c r="AU670" s="1"/>
      <c r="AV670" s="1"/>
      <c r="AW670" s="1"/>
    </row>
    <row r="671" spans="1:4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42"/>
      <c r="AS671" s="1"/>
      <c r="AT671" s="1"/>
      <c r="AU671" s="1"/>
      <c r="AV671" s="1"/>
      <c r="AW671" s="1"/>
    </row>
    <row r="672" spans="1:4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42"/>
      <c r="AS672" s="1"/>
      <c r="AT672" s="1"/>
      <c r="AU672" s="1"/>
      <c r="AV672" s="1"/>
      <c r="AW672" s="1"/>
    </row>
    <row r="673" spans="1:4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42"/>
      <c r="AS673" s="1"/>
      <c r="AT673" s="1"/>
      <c r="AU673" s="1"/>
      <c r="AV673" s="1"/>
      <c r="AW673" s="1"/>
    </row>
    <row r="674" spans="1:4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42"/>
      <c r="AS674" s="1"/>
      <c r="AT674" s="1"/>
      <c r="AU674" s="1"/>
      <c r="AV674" s="1"/>
      <c r="AW674" s="1"/>
    </row>
    <row r="675" spans="1:4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42"/>
      <c r="AS675" s="1"/>
      <c r="AT675" s="1"/>
      <c r="AU675" s="1"/>
      <c r="AV675" s="1"/>
      <c r="AW675" s="1"/>
    </row>
    <row r="676" spans="1:4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42"/>
      <c r="AS676" s="1"/>
      <c r="AT676" s="1"/>
      <c r="AU676" s="1"/>
      <c r="AV676" s="1"/>
      <c r="AW676" s="1"/>
    </row>
    <row r="677" spans="1:4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42"/>
      <c r="AS677" s="1"/>
      <c r="AT677" s="1"/>
      <c r="AU677" s="1"/>
      <c r="AV677" s="1"/>
      <c r="AW677" s="1"/>
    </row>
    <row r="678" spans="1:4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42"/>
      <c r="AS678" s="1"/>
      <c r="AT678" s="1"/>
      <c r="AU678" s="1"/>
      <c r="AV678" s="1"/>
      <c r="AW678" s="1"/>
    </row>
    <row r="679" spans="1:4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42"/>
      <c r="AS679" s="1"/>
      <c r="AT679" s="1"/>
      <c r="AU679" s="1"/>
      <c r="AV679" s="1"/>
      <c r="AW679" s="1"/>
    </row>
    <row r="680" spans="1:4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42"/>
      <c r="AS680" s="1"/>
      <c r="AT680" s="1"/>
      <c r="AU680" s="1"/>
      <c r="AV680" s="1"/>
      <c r="AW680" s="1"/>
    </row>
    <row r="681" spans="1:4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42"/>
      <c r="AS681" s="1"/>
      <c r="AT681" s="1"/>
      <c r="AU681" s="1"/>
      <c r="AV681" s="1"/>
      <c r="AW681" s="1"/>
    </row>
    <row r="682" spans="1:4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42"/>
      <c r="AS682" s="1"/>
      <c r="AT682" s="1"/>
      <c r="AU682" s="1"/>
      <c r="AV682" s="1"/>
      <c r="AW682" s="1"/>
    </row>
    <row r="683" spans="1:4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42"/>
      <c r="AS683" s="1"/>
      <c r="AT683" s="1"/>
      <c r="AU683" s="1"/>
      <c r="AV683" s="1"/>
      <c r="AW683" s="1"/>
    </row>
    <row r="684" spans="1:4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42"/>
      <c r="AS684" s="1"/>
      <c r="AT684" s="1"/>
      <c r="AU684" s="1"/>
      <c r="AV684" s="1"/>
      <c r="AW684" s="1"/>
    </row>
    <row r="685" spans="1:4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42"/>
      <c r="AS685" s="1"/>
      <c r="AT685" s="1"/>
      <c r="AU685" s="1"/>
      <c r="AV685" s="1"/>
      <c r="AW685" s="1"/>
    </row>
    <row r="686" spans="1:4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42"/>
      <c r="AS686" s="1"/>
      <c r="AT686" s="1"/>
      <c r="AU686" s="1"/>
      <c r="AV686" s="1"/>
      <c r="AW686" s="1"/>
    </row>
    <row r="687" spans="1:4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42"/>
      <c r="AS687" s="1"/>
      <c r="AT687" s="1"/>
      <c r="AU687" s="1"/>
      <c r="AV687" s="1"/>
      <c r="AW687" s="1"/>
    </row>
    <row r="688" spans="1:4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42"/>
      <c r="AS688" s="1"/>
      <c r="AT688" s="1"/>
      <c r="AU688" s="1"/>
      <c r="AV688" s="1"/>
      <c r="AW688" s="1"/>
    </row>
    <row r="689" spans="1:4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42"/>
      <c r="AS689" s="1"/>
      <c r="AT689" s="1"/>
      <c r="AU689" s="1"/>
      <c r="AV689" s="1"/>
      <c r="AW689" s="1"/>
    </row>
    <row r="690" spans="1:4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42"/>
      <c r="AS690" s="1"/>
      <c r="AT690" s="1"/>
      <c r="AU690" s="1"/>
      <c r="AV690" s="1"/>
      <c r="AW690" s="1"/>
    </row>
    <row r="691" spans="1:4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42"/>
      <c r="AS691" s="1"/>
      <c r="AT691" s="1"/>
      <c r="AU691" s="1"/>
      <c r="AV691" s="1"/>
      <c r="AW691" s="1"/>
    </row>
    <row r="692" spans="1:4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42"/>
      <c r="AS692" s="1"/>
      <c r="AT692" s="1"/>
      <c r="AU692" s="1"/>
      <c r="AV692" s="1"/>
      <c r="AW692" s="1"/>
    </row>
    <row r="693" spans="1:4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42"/>
      <c r="AS693" s="1"/>
      <c r="AT693" s="1"/>
      <c r="AU693" s="1"/>
      <c r="AV693" s="1"/>
      <c r="AW693" s="1"/>
    </row>
    <row r="694" spans="1:4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42"/>
      <c r="AS694" s="1"/>
      <c r="AT694" s="1"/>
      <c r="AU694" s="1"/>
      <c r="AV694" s="1"/>
      <c r="AW694" s="1"/>
    </row>
    <row r="695" spans="1:4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42"/>
      <c r="AS695" s="1"/>
      <c r="AT695" s="1"/>
      <c r="AU695" s="1"/>
      <c r="AV695" s="1"/>
      <c r="AW695" s="1"/>
    </row>
    <row r="696" spans="1:4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42"/>
      <c r="AS696" s="1"/>
      <c r="AT696" s="1"/>
      <c r="AU696" s="1"/>
      <c r="AV696" s="1"/>
      <c r="AW696" s="1"/>
    </row>
    <row r="697" spans="1:4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42"/>
      <c r="AS697" s="1"/>
      <c r="AT697" s="1"/>
      <c r="AU697" s="1"/>
      <c r="AV697" s="1"/>
      <c r="AW697" s="1"/>
    </row>
    <row r="698" spans="1:4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42"/>
      <c r="AS698" s="1"/>
      <c r="AT698" s="1"/>
      <c r="AU698" s="1"/>
      <c r="AV698" s="1"/>
      <c r="AW698" s="1"/>
    </row>
    <row r="699" spans="1:4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42"/>
      <c r="AS699" s="1"/>
      <c r="AT699" s="1"/>
      <c r="AU699" s="1"/>
      <c r="AV699" s="1"/>
      <c r="AW699" s="1"/>
    </row>
    <row r="700" spans="1:4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42"/>
      <c r="AS700" s="1"/>
      <c r="AT700" s="1"/>
      <c r="AU700" s="1"/>
      <c r="AV700" s="1"/>
      <c r="AW700" s="1"/>
    </row>
    <row r="701" spans="1:4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42"/>
      <c r="AS701" s="1"/>
      <c r="AT701" s="1"/>
      <c r="AU701" s="1"/>
      <c r="AV701" s="1"/>
      <c r="AW701" s="1"/>
    </row>
    <row r="702" spans="1:4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42"/>
      <c r="AS702" s="1"/>
      <c r="AT702" s="1"/>
      <c r="AU702" s="1"/>
      <c r="AV702" s="1"/>
      <c r="AW702" s="1"/>
    </row>
    <row r="703" spans="1:4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42"/>
      <c r="AS703" s="1"/>
      <c r="AT703" s="1"/>
      <c r="AU703" s="1"/>
      <c r="AV703" s="1"/>
      <c r="AW703" s="1"/>
    </row>
    <row r="704" spans="1:4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42"/>
      <c r="AS704" s="1"/>
      <c r="AT704" s="1"/>
      <c r="AU704" s="1"/>
      <c r="AV704" s="1"/>
      <c r="AW704" s="1"/>
    </row>
    <row r="705" spans="1:4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42"/>
      <c r="AS705" s="1"/>
      <c r="AT705" s="1"/>
      <c r="AU705" s="1"/>
      <c r="AV705" s="1"/>
      <c r="AW705" s="1"/>
    </row>
    <row r="706" spans="1:4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42"/>
      <c r="AS706" s="1"/>
      <c r="AT706" s="1"/>
      <c r="AU706" s="1"/>
      <c r="AV706" s="1"/>
      <c r="AW706" s="1"/>
    </row>
    <row r="707" spans="1:4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42"/>
      <c r="AS707" s="1"/>
      <c r="AT707" s="1"/>
      <c r="AU707" s="1"/>
      <c r="AV707" s="1"/>
      <c r="AW707" s="1"/>
    </row>
    <row r="708" spans="1:4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42"/>
      <c r="AS708" s="1"/>
      <c r="AT708" s="1"/>
      <c r="AU708" s="1"/>
      <c r="AV708" s="1"/>
      <c r="AW708" s="1"/>
    </row>
    <row r="709" spans="1:4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42"/>
      <c r="AS709" s="1"/>
      <c r="AT709" s="1"/>
      <c r="AU709" s="1"/>
      <c r="AV709" s="1"/>
      <c r="AW709" s="1"/>
    </row>
    <row r="710" spans="1:4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42"/>
      <c r="AS710" s="1"/>
      <c r="AT710" s="1"/>
      <c r="AU710" s="1"/>
      <c r="AV710" s="1"/>
      <c r="AW710" s="1"/>
    </row>
    <row r="711" spans="1:4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42"/>
      <c r="AS711" s="1"/>
      <c r="AT711" s="1"/>
      <c r="AU711" s="1"/>
      <c r="AV711" s="1"/>
      <c r="AW711" s="1"/>
    </row>
    <row r="712" spans="1:4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42"/>
      <c r="AS712" s="1"/>
      <c r="AT712" s="1"/>
      <c r="AU712" s="1"/>
      <c r="AV712" s="1"/>
      <c r="AW712" s="1"/>
    </row>
    <row r="713" spans="1:4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42"/>
      <c r="AS713" s="1"/>
      <c r="AT713" s="1"/>
      <c r="AU713" s="1"/>
      <c r="AV713" s="1"/>
      <c r="AW713" s="1"/>
    </row>
    <row r="714" spans="1:4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42"/>
      <c r="AS714" s="1"/>
      <c r="AT714" s="1"/>
      <c r="AU714" s="1"/>
      <c r="AV714" s="1"/>
      <c r="AW714" s="1"/>
    </row>
    <row r="715" spans="1:4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42"/>
      <c r="AS715" s="1"/>
      <c r="AT715" s="1"/>
      <c r="AU715" s="1"/>
      <c r="AV715" s="1"/>
      <c r="AW715" s="1"/>
    </row>
    <row r="716" spans="1:4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42"/>
      <c r="AS716" s="1"/>
      <c r="AT716" s="1"/>
      <c r="AU716" s="1"/>
      <c r="AV716" s="1"/>
      <c r="AW716" s="1"/>
    </row>
    <row r="717" spans="1:4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42"/>
      <c r="AS717" s="1"/>
      <c r="AT717" s="1"/>
      <c r="AU717" s="1"/>
      <c r="AV717" s="1"/>
      <c r="AW717" s="1"/>
    </row>
    <row r="718" spans="1:4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42"/>
      <c r="AS718" s="1"/>
      <c r="AT718" s="1"/>
      <c r="AU718" s="1"/>
      <c r="AV718" s="1"/>
      <c r="AW718" s="1"/>
    </row>
    <row r="719" spans="1:4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42"/>
      <c r="AS719" s="1"/>
      <c r="AT719" s="1"/>
      <c r="AU719" s="1"/>
      <c r="AV719" s="1"/>
      <c r="AW719" s="1"/>
    </row>
    <row r="720" spans="1:4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42"/>
      <c r="AS720" s="1"/>
      <c r="AT720" s="1"/>
      <c r="AU720" s="1"/>
      <c r="AV720" s="1"/>
      <c r="AW720" s="1"/>
    </row>
    <row r="721" spans="1:4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42"/>
      <c r="AS721" s="1"/>
      <c r="AT721" s="1"/>
      <c r="AU721" s="1"/>
      <c r="AV721" s="1"/>
      <c r="AW721" s="1"/>
    </row>
    <row r="722" spans="1:4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42"/>
      <c r="AS722" s="1"/>
      <c r="AT722" s="1"/>
      <c r="AU722" s="1"/>
      <c r="AV722" s="1"/>
      <c r="AW722" s="1"/>
    </row>
    <row r="723" spans="1:4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42"/>
      <c r="AS723" s="1"/>
      <c r="AT723" s="1"/>
      <c r="AU723" s="1"/>
      <c r="AV723" s="1"/>
      <c r="AW723" s="1"/>
    </row>
    <row r="724" spans="1:4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42"/>
      <c r="AS724" s="1"/>
      <c r="AT724" s="1"/>
      <c r="AU724" s="1"/>
      <c r="AV724" s="1"/>
      <c r="AW724" s="1"/>
    </row>
    <row r="725" spans="1:4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42"/>
      <c r="AS725" s="1"/>
      <c r="AT725" s="1"/>
      <c r="AU725" s="1"/>
      <c r="AV725" s="1"/>
      <c r="AW725" s="1"/>
    </row>
    <row r="726" spans="1:4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42"/>
      <c r="AS726" s="1"/>
      <c r="AT726" s="1"/>
      <c r="AU726" s="1"/>
      <c r="AV726" s="1"/>
      <c r="AW726" s="1"/>
    </row>
    <row r="727" spans="1:4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42"/>
      <c r="AS727" s="1"/>
      <c r="AT727" s="1"/>
      <c r="AU727" s="1"/>
      <c r="AV727" s="1"/>
      <c r="AW727" s="1"/>
    </row>
    <row r="728" spans="1:4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42"/>
      <c r="AS728" s="1"/>
      <c r="AT728" s="1"/>
      <c r="AU728" s="1"/>
      <c r="AV728" s="1"/>
      <c r="AW728" s="1"/>
    </row>
    <row r="729" spans="1:4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42"/>
      <c r="AS729" s="1"/>
      <c r="AT729" s="1"/>
      <c r="AU729" s="1"/>
      <c r="AV729" s="1"/>
      <c r="AW729" s="1"/>
    </row>
    <row r="730" spans="1:4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42"/>
      <c r="AS730" s="1"/>
      <c r="AT730" s="1"/>
      <c r="AU730" s="1"/>
      <c r="AV730" s="1"/>
      <c r="AW730" s="1"/>
    </row>
    <row r="731" spans="1:4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42"/>
      <c r="AS731" s="1"/>
      <c r="AT731" s="1"/>
      <c r="AU731" s="1"/>
      <c r="AV731" s="1"/>
      <c r="AW731" s="1"/>
    </row>
    <row r="732" spans="1:4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42"/>
      <c r="AS732" s="1"/>
      <c r="AT732" s="1"/>
      <c r="AU732" s="1"/>
      <c r="AV732" s="1"/>
      <c r="AW732" s="1"/>
    </row>
    <row r="733" spans="1:4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42"/>
      <c r="AS733" s="1"/>
      <c r="AT733" s="1"/>
      <c r="AU733" s="1"/>
      <c r="AV733" s="1"/>
      <c r="AW733" s="1"/>
    </row>
    <row r="734" spans="1:4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42"/>
      <c r="AS734" s="1"/>
      <c r="AT734" s="1"/>
      <c r="AU734" s="1"/>
      <c r="AV734" s="1"/>
      <c r="AW734" s="1"/>
    </row>
    <row r="735" spans="1:4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42"/>
      <c r="AS735" s="1"/>
      <c r="AT735" s="1"/>
      <c r="AU735" s="1"/>
      <c r="AV735" s="1"/>
      <c r="AW735" s="1"/>
    </row>
    <row r="736" spans="1:4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42"/>
      <c r="AS736" s="1"/>
      <c r="AT736" s="1"/>
      <c r="AU736" s="1"/>
      <c r="AV736" s="1"/>
      <c r="AW736" s="1"/>
    </row>
    <row r="737" spans="1:4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42"/>
      <c r="AS737" s="1"/>
      <c r="AT737" s="1"/>
      <c r="AU737" s="1"/>
      <c r="AV737" s="1"/>
      <c r="AW737" s="1"/>
    </row>
    <row r="738" spans="1:4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42"/>
      <c r="AS738" s="1"/>
      <c r="AT738" s="1"/>
      <c r="AU738" s="1"/>
      <c r="AV738" s="1"/>
      <c r="AW738" s="1"/>
    </row>
    <row r="739" spans="1:4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42"/>
      <c r="AS739" s="1"/>
      <c r="AT739" s="1"/>
      <c r="AU739" s="1"/>
      <c r="AV739" s="1"/>
      <c r="AW739" s="1"/>
    </row>
    <row r="740" spans="1:4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42"/>
      <c r="AS740" s="1"/>
      <c r="AT740" s="1"/>
      <c r="AU740" s="1"/>
      <c r="AV740" s="1"/>
      <c r="AW740" s="1"/>
    </row>
    <row r="741" spans="1:4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42"/>
      <c r="AS741" s="1"/>
      <c r="AT741" s="1"/>
      <c r="AU741" s="1"/>
      <c r="AV741" s="1"/>
      <c r="AW741" s="1"/>
    </row>
    <row r="742" spans="1:4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42"/>
      <c r="AS742" s="1"/>
      <c r="AT742" s="1"/>
      <c r="AU742" s="1"/>
      <c r="AV742" s="1"/>
      <c r="AW742" s="1"/>
    </row>
    <row r="743" spans="1:4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42"/>
      <c r="AS743" s="1"/>
      <c r="AT743" s="1"/>
      <c r="AU743" s="1"/>
      <c r="AV743" s="1"/>
      <c r="AW743" s="1"/>
    </row>
    <row r="744" spans="1:4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42"/>
      <c r="AS744" s="1"/>
      <c r="AT744" s="1"/>
      <c r="AU744" s="1"/>
      <c r="AV744" s="1"/>
      <c r="AW744" s="1"/>
    </row>
    <row r="745" spans="1:4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42"/>
      <c r="AS745" s="1"/>
      <c r="AT745" s="1"/>
      <c r="AU745" s="1"/>
      <c r="AV745" s="1"/>
      <c r="AW745" s="1"/>
    </row>
    <row r="746" spans="1:4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42"/>
      <c r="AS746" s="1"/>
      <c r="AT746" s="1"/>
      <c r="AU746" s="1"/>
      <c r="AV746" s="1"/>
      <c r="AW746" s="1"/>
    </row>
    <row r="747" spans="1:4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42"/>
      <c r="AS747" s="1"/>
      <c r="AT747" s="1"/>
      <c r="AU747" s="1"/>
      <c r="AV747" s="1"/>
      <c r="AW747" s="1"/>
    </row>
    <row r="748" spans="1:4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42"/>
      <c r="AS748" s="1"/>
      <c r="AT748" s="1"/>
      <c r="AU748" s="1"/>
      <c r="AV748" s="1"/>
      <c r="AW748" s="1"/>
    </row>
    <row r="749" spans="1:4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42"/>
      <c r="AS749" s="1"/>
      <c r="AT749" s="1"/>
      <c r="AU749" s="1"/>
      <c r="AV749" s="1"/>
      <c r="AW749" s="1"/>
    </row>
    <row r="750" spans="1:4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42"/>
      <c r="AS750" s="1"/>
      <c r="AT750" s="1"/>
      <c r="AU750" s="1"/>
      <c r="AV750" s="1"/>
      <c r="AW750" s="1"/>
    </row>
    <row r="751" spans="1:4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42"/>
      <c r="AS751" s="1"/>
      <c r="AT751" s="1"/>
      <c r="AU751" s="1"/>
      <c r="AV751" s="1"/>
      <c r="AW751" s="1"/>
    </row>
    <row r="752" spans="1:4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42"/>
      <c r="AS752" s="1"/>
      <c r="AT752" s="1"/>
      <c r="AU752" s="1"/>
      <c r="AV752" s="1"/>
      <c r="AW752" s="1"/>
    </row>
    <row r="753" spans="1:4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42"/>
      <c r="AS753" s="1"/>
      <c r="AT753" s="1"/>
      <c r="AU753" s="1"/>
      <c r="AV753" s="1"/>
      <c r="AW753" s="1"/>
    </row>
    <row r="754" spans="1:4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42"/>
      <c r="AS754" s="1"/>
      <c r="AT754" s="1"/>
      <c r="AU754" s="1"/>
      <c r="AV754" s="1"/>
      <c r="AW754" s="1"/>
    </row>
    <row r="755" spans="1:4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42"/>
      <c r="AS755" s="1"/>
      <c r="AT755" s="1"/>
      <c r="AU755" s="1"/>
      <c r="AV755" s="1"/>
      <c r="AW755" s="1"/>
    </row>
    <row r="756" spans="1:4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42"/>
      <c r="AS756" s="1"/>
      <c r="AT756" s="1"/>
      <c r="AU756" s="1"/>
      <c r="AV756" s="1"/>
      <c r="AW756" s="1"/>
    </row>
    <row r="757" spans="1:4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42"/>
      <c r="AS757" s="1"/>
      <c r="AT757" s="1"/>
      <c r="AU757" s="1"/>
      <c r="AV757" s="1"/>
      <c r="AW757" s="1"/>
    </row>
    <row r="758" spans="1:4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42"/>
      <c r="AS758" s="1"/>
      <c r="AT758" s="1"/>
      <c r="AU758" s="1"/>
      <c r="AV758" s="1"/>
      <c r="AW758" s="1"/>
    </row>
    <row r="759" spans="1:4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42"/>
      <c r="AS759" s="1"/>
      <c r="AT759" s="1"/>
      <c r="AU759" s="1"/>
      <c r="AV759" s="1"/>
      <c r="AW759" s="1"/>
    </row>
    <row r="760" spans="1:4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42"/>
      <c r="AS760" s="1"/>
      <c r="AT760" s="1"/>
      <c r="AU760" s="1"/>
      <c r="AV760" s="1"/>
      <c r="AW760" s="1"/>
    </row>
    <row r="761" spans="1:4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42"/>
      <c r="AS761" s="1"/>
      <c r="AT761" s="1"/>
      <c r="AU761" s="1"/>
      <c r="AV761" s="1"/>
      <c r="AW761" s="1"/>
    </row>
    <row r="762" spans="1:4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42"/>
      <c r="AS762" s="1"/>
      <c r="AT762" s="1"/>
      <c r="AU762" s="1"/>
      <c r="AV762" s="1"/>
      <c r="AW762" s="1"/>
    </row>
    <row r="763" spans="1:4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42"/>
      <c r="AS763" s="1"/>
      <c r="AT763" s="1"/>
      <c r="AU763" s="1"/>
      <c r="AV763" s="1"/>
      <c r="AW763" s="1"/>
    </row>
    <row r="764" spans="1:4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42"/>
      <c r="AS764" s="1"/>
      <c r="AT764" s="1"/>
      <c r="AU764" s="1"/>
      <c r="AV764" s="1"/>
      <c r="AW764" s="1"/>
    </row>
    <row r="765" spans="1:4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42"/>
      <c r="AS765" s="1"/>
      <c r="AT765" s="1"/>
      <c r="AU765" s="1"/>
      <c r="AV765" s="1"/>
      <c r="AW765" s="1"/>
    </row>
    <row r="766" spans="1:4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42"/>
      <c r="AS766" s="1"/>
      <c r="AT766" s="1"/>
      <c r="AU766" s="1"/>
      <c r="AV766" s="1"/>
      <c r="AW766" s="1"/>
    </row>
    <row r="767" spans="1:4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42"/>
      <c r="AS767" s="1"/>
      <c r="AT767" s="1"/>
      <c r="AU767" s="1"/>
      <c r="AV767" s="1"/>
      <c r="AW767" s="1"/>
    </row>
    <row r="768" spans="1:4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42"/>
      <c r="AS768" s="1"/>
      <c r="AT768" s="1"/>
      <c r="AU768" s="1"/>
      <c r="AV768" s="1"/>
      <c r="AW768" s="1"/>
    </row>
    <row r="769" spans="1:4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42"/>
      <c r="AS769" s="1"/>
      <c r="AT769" s="1"/>
      <c r="AU769" s="1"/>
      <c r="AV769" s="1"/>
      <c r="AW769" s="1"/>
    </row>
    <row r="770" spans="1:4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42"/>
      <c r="AS770" s="1"/>
      <c r="AT770" s="1"/>
      <c r="AU770" s="1"/>
      <c r="AV770" s="1"/>
      <c r="AW770" s="1"/>
    </row>
    <row r="771" spans="1:4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42"/>
      <c r="AS771" s="1"/>
      <c r="AT771" s="1"/>
      <c r="AU771" s="1"/>
      <c r="AV771" s="1"/>
      <c r="AW771" s="1"/>
    </row>
    <row r="772" spans="1:4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42"/>
      <c r="AS772" s="1"/>
      <c r="AT772" s="1"/>
      <c r="AU772" s="1"/>
      <c r="AV772" s="1"/>
      <c r="AW772" s="1"/>
    </row>
    <row r="773" spans="1:4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42"/>
      <c r="AS773" s="1"/>
      <c r="AT773" s="1"/>
      <c r="AU773" s="1"/>
      <c r="AV773" s="1"/>
      <c r="AW773" s="1"/>
    </row>
    <row r="774" spans="1:4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42"/>
      <c r="AS774" s="1"/>
      <c r="AT774" s="1"/>
      <c r="AU774" s="1"/>
      <c r="AV774" s="1"/>
      <c r="AW774" s="1"/>
    </row>
    <row r="775" spans="1:4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42"/>
      <c r="AS775" s="1"/>
      <c r="AT775" s="1"/>
      <c r="AU775" s="1"/>
      <c r="AV775" s="1"/>
      <c r="AW775" s="1"/>
    </row>
    <row r="776" spans="1:4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42"/>
      <c r="AS776" s="1"/>
      <c r="AT776" s="1"/>
      <c r="AU776" s="1"/>
      <c r="AV776" s="1"/>
      <c r="AW776" s="1"/>
    </row>
    <row r="777" spans="1:4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42"/>
      <c r="AS777" s="1"/>
      <c r="AT777" s="1"/>
      <c r="AU777" s="1"/>
      <c r="AV777" s="1"/>
      <c r="AW777" s="1"/>
    </row>
    <row r="778" spans="1:4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42"/>
      <c r="AS778" s="1"/>
      <c r="AT778" s="1"/>
      <c r="AU778" s="1"/>
      <c r="AV778" s="1"/>
      <c r="AW778" s="1"/>
    </row>
    <row r="779" spans="1:4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42"/>
      <c r="AS779" s="1"/>
      <c r="AT779" s="1"/>
      <c r="AU779" s="1"/>
      <c r="AV779" s="1"/>
      <c r="AW779" s="1"/>
    </row>
    <row r="780" spans="1:4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42"/>
      <c r="AS780" s="1"/>
      <c r="AT780" s="1"/>
      <c r="AU780" s="1"/>
      <c r="AV780" s="1"/>
      <c r="AW780" s="1"/>
    </row>
    <row r="781" spans="1:4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42"/>
      <c r="AS781" s="1"/>
      <c r="AT781" s="1"/>
      <c r="AU781" s="1"/>
      <c r="AV781" s="1"/>
      <c r="AW781" s="1"/>
    </row>
    <row r="782" spans="1:4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42"/>
      <c r="AS782" s="1"/>
      <c r="AT782" s="1"/>
      <c r="AU782" s="1"/>
      <c r="AV782" s="1"/>
      <c r="AW782" s="1"/>
    </row>
    <row r="783" spans="1:4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42"/>
      <c r="AS783" s="1"/>
      <c r="AT783" s="1"/>
      <c r="AU783" s="1"/>
      <c r="AV783" s="1"/>
      <c r="AW783" s="1"/>
    </row>
    <row r="784" spans="1:4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42"/>
      <c r="AS784" s="1"/>
      <c r="AT784" s="1"/>
      <c r="AU784" s="1"/>
      <c r="AV784" s="1"/>
      <c r="AW784" s="1"/>
    </row>
    <row r="785" spans="1:4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42"/>
      <c r="AS785" s="1"/>
      <c r="AT785" s="1"/>
      <c r="AU785" s="1"/>
      <c r="AV785" s="1"/>
      <c r="AW785" s="1"/>
    </row>
    <row r="786" spans="1:4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42"/>
      <c r="AS786" s="1"/>
      <c r="AT786" s="1"/>
      <c r="AU786" s="1"/>
      <c r="AV786" s="1"/>
      <c r="AW786" s="1"/>
    </row>
    <row r="787" spans="1:4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42"/>
      <c r="AS787" s="1"/>
      <c r="AT787" s="1"/>
      <c r="AU787" s="1"/>
      <c r="AV787" s="1"/>
      <c r="AW787" s="1"/>
    </row>
    <row r="788" spans="1:4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42"/>
      <c r="AS788" s="1"/>
      <c r="AT788" s="1"/>
      <c r="AU788" s="1"/>
      <c r="AV788" s="1"/>
      <c r="AW788" s="1"/>
    </row>
    <row r="789" spans="1:4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42"/>
      <c r="AS789" s="1"/>
      <c r="AT789" s="1"/>
      <c r="AU789" s="1"/>
      <c r="AV789" s="1"/>
      <c r="AW789" s="1"/>
    </row>
    <row r="790" spans="1:4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42"/>
      <c r="AS790" s="1"/>
      <c r="AT790" s="1"/>
      <c r="AU790" s="1"/>
      <c r="AV790" s="1"/>
      <c r="AW790" s="1"/>
    </row>
    <row r="791" spans="1:4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42"/>
      <c r="AS791" s="1"/>
      <c r="AT791" s="1"/>
      <c r="AU791" s="1"/>
      <c r="AV791" s="1"/>
      <c r="AW791" s="1"/>
    </row>
    <row r="792" spans="1:4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42"/>
      <c r="AS792" s="1"/>
      <c r="AT792" s="1"/>
      <c r="AU792" s="1"/>
      <c r="AV792" s="1"/>
      <c r="AW792" s="1"/>
    </row>
    <row r="793" spans="1:4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42"/>
      <c r="AS793" s="1"/>
      <c r="AT793" s="1"/>
      <c r="AU793" s="1"/>
      <c r="AV793" s="1"/>
      <c r="AW793" s="1"/>
    </row>
    <row r="794" spans="1:4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42"/>
      <c r="AS794" s="1"/>
      <c r="AT794" s="1"/>
      <c r="AU794" s="1"/>
      <c r="AV794" s="1"/>
      <c r="AW794" s="1"/>
    </row>
    <row r="795" spans="1:4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42"/>
      <c r="AS795" s="1"/>
      <c r="AT795" s="1"/>
      <c r="AU795" s="1"/>
      <c r="AV795" s="1"/>
      <c r="AW795" s="1"/>
    </row>
    <row r="796" spans="1:4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42"/>
      <c r="AS796" s="1"/>
      <c r="AT796" s="1"/>
      <c r="AU796" s="1"/>
      <c r="AV796" s="1"/>
      <c r="AW796" s="1"/>
    </row>
    <row r="797" spans="1:4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42"/>
      <c r="AS797" s="1"/>
      <c r="AT797" s="1"/>
      <c r="AU797" s="1"/>
      <c r="AV797" s="1"/>
      <c r="AW797" s="1"/>
    </row>
    <row r="798" spans="1:4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42"/>
      <c r="AS798" s="1"/>
      <c r="AT798" s="1"/>
      <c r="AU798" s="1"/>
      <c r="AV798" s="1"/>
      <c r="AW798" s="1"/>
    </row>
    <row r="799" spans="1:4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42"/>
      <c r="AS799" s="1"/>
      <c r="AT799" s="1"/>
      <c r="AU799" s="1"/>
      <c r="AV799" s="1"/>
      <c r="AW799" s="1"/>
    </row>
    <row r="800" spans="1:4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42"/>
      <c r="AS800" s="1"/>
      <c r="AT800" s="1"/>
      <c r="AU800" s="1"/>
      <c r="AV800" s="1"/>
      <c r="AW800" s="1"/>
    </row>
    <row r="801" spans="1:4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42"/>
      <c r="AS801" s="1"/>
      <c r="AT801" s="1"/>
      <c r="AU801" s="1"/>
      <c r="AV801" s="1"/>
      <c r="AW801" s="1"/>
    </row>
    <row r="802" spans="1:4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42"/>
      <c r="AS802" s="1"/>
      <c r="AT802" s="1"/>
      <c r="AU802" s="1"/>
      <c r="AV802" s="1"/>
      <c r="AW802" s="1"/>
    </row>
    <row r="803" spans="1:4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42"/>
      <c r="AS803" s="1"/>
      <c r="AT803" s="1"/>
      <c r="AU803" s="1"/>
      <c r="AV803" s="1"/>
      <c r="AW803" s="1"/>
    </row>
    <row r="804" spans="1:4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42"/>
      <c r="AS804" s="1"/>
      <c r="AT804" s="1"/>
      <c r="AU804" s="1"/>
      <c r="AV804" s="1"/>
      <c r="AW804" s="1"/>
    </row>
    <row r="805" spans="1:4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42"/>
      <c r="AS805" s="1"/>
      <c r="AT805" s="1"/>
      <c r="AU805" s="1"/>
      <c r="AV805" s="1"/>
      <c r="AW805" s="1"/>
    </row>
    <row r="806" spans="1:4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42"/>
      <c r="AS806" s="1"/>
      <c r="AT806" s="1"/>
      <c r="AU806" s="1"/>
      <c r="AV806" s="1"/>
      <c r="AW806" s="1"/>
    </row>
    <row r="807" spans="1:4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42"/>
      <c r="AS807" s="1"/>
      <c r="AT807" s="1"/>
      <c r="AU807" s="1"/>
      <c r="AV807" s="1"/>
      <c r="AW807" s="1"/>
    </row>
    <row r="808" spans="1:4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42"/>
      <c r="AS808" s="1"/>
      <c r="AT808" s="1"/>
      <c r="AU808" s="1"/>
      <c r="AV808" s="1"/>
      <c r="AW808" s="1"/>
    </row>
    <row r="809" spans="1:4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42"/>
      <c r="AS809" s="1"/>
      <c r="AT809" s="1"/>
      <c r="AU809" s="1"/>
      <c r="AV809" s="1"/>
      <c r="AW809" s="1"/>
    </row>
    <row r="810" spans="1:4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42"/>
      <c r="AS810" s="1"/>
      <c r="AT810" s="1"/>
      <c r="AU810" s="1"/>
      <c r="AV810" s="1"/>
      <c r="AW810" s="1"/>
    </row>
    <row r="811" spans="1:4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42"/>
      <c r="AS811" s="1"/>
      <c r="AT811" s="1"/>
      <c r="AU811" s="1"/>
      <c r="AV811" s="1"/>
      <c r="AW811" s="1"/>
    </row>
    <row r="812" spans="1:4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42"/>
      <c r="AS812" s="1"/>
      <c r="AT812" s="1"/>
      <c r="AU812" s="1"/>
      <c r="AV812" s="1"/>
      <c r="AW812" s="1"/>
    </row>
    <row r="813" spans="1:4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42"/>
      <c r="AS813" s="1"/>
      <c r="AT813" s="1"/>
      <c r="AU813" s="1"/>
      <c r="AV813" s="1"/>
      <c r="AW813" s="1"/>
    </row>
    <row r="814" spans="1:4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42"/>
      <c r="AS814" s="1"/>
      <c r="AT814" s="1"/>
      <c r="AU814" s="1"/>
      <c r="AV814" s="1"/>
      <c r="AW814" s="1"/>
    </row>
    <row r="815" spans="1:4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42"/>
      <c r="AS815" s="1"/>
      <c r="AT815" s="1"/>
      <c r="AU815" s="1"/>
      <c r="AV815" s="1"/>
      <c r="AW815" s="1"/>
    </row>
    <row r="816" spans="1:4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42"/>
      <c r="AS816" s="1"/>
      <c r="AT816" s="1"/>
      <c r="AU816" s="1"/>
      <c r="AV816" s="1"/>
      <c r="AW816" s="1"/>
    </row>
    <row r="817" spans="1:4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42"/>
      <c r="AS817" s="1"/>
      <c r="AT817" s="1"/>
      <c r="AU817" s="1"/>
      <c r="AV817" s="1"/>
      <c r="AW817" s="1"/>
    </row>
    <row r="818" spans="1:4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42"/>
      <c r="AS818" s="1"/>
      <c r="AT818" s="1"/>
      <c r="AU818" s="1"/>
      <c r="AV818" s="1"/>
      <c r="AW818" s="1"/>
    </row>
    <row r="819" spans="1:4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42"/>
      <c r="AS819" s="1"/>
      <c r="AT819" s="1"/>
      <c r="AU819" s="1"/>
      <c r="AV819" s="1"/>
      <c r="AW819" s="1"/>
    </row>
    <row r="820" spans="1:4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42"/>
      <c r="AS820" s="1"/>
      <c r="AT820" s="1"/>
      <c r="AU820" s="1"/>
      <c r="AV820" s="1"/>
      <c r="AW820" s="1"/>
    </row>
    <row r="821" spans="1:4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42"/>
      <c r="AS821" s="1"/>
      <c r="AT821" s="1"/>
      <c r="AU821" s="1"/>
      <c r="AV821" s="1"/>
      <c r="AW821" s="1"/>
    </row>
    <row r="822" spans="1:4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42"/>
      <c r="AS822" s="1"/>
      <c r="AT822" s="1"/>
      <c r="AU822" s="1"/>
      <c r="AV822" s="1"/>
      <c r="AW822" s="1"/>
    </row>
    <row r="823" spans="1:4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42"/>
      <c r="AS823" s="1"/>
      <c r="AT823" s="1"/>
      <c r="AU823" s="1"/>
      <c r="AV823" s="1"/>
      <c r="AW823" s="1"/>
    </row>
    <row r="824" spans="1:4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42"/>
      <c r="AS824" s="1"/>
      <c r="AT824" s="1"/>
      <c r="AU824" s="1"/>
      <c r="AV824" s="1"/>
      <c r="AW824" s="1"/>
    </row>
    <row r="825" spans="1:4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42"/>
      <c r="AS825" s="1"/>
      <c r="AT825" s="1"/>
      <c r="AU825" s="1"/>
      <c r="AV825" s="1"/>
      <c r="AW825" s="1"/>
    </row>
    <row r="826" spans="1:4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42"/>
      <c r="AS826" s="1"/>
      <c r="AT826" s="1"/>
      <c r="AU826" s="1"/>
      <c r="AV826" s="1"/>
      <c r="AW826" s="1"/>
    </row>
    <row r="827" spans="1:4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42"/>
      <c r="AS827" s="1"/>
      <c r="AT827" s="1"/>
      <c r="AU827" s="1"/>
      <c r="AV827" s="1"/>
      <c r="AW827" s="1"/>
    </row>
    <row r="828" spans="1:4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42"/>
      <c r="AS828" s="1"/>
      <c r="AT828" s="1"/>
      <c r="AU828" s="1"/>
      <c r="AV828" s="1"/>
      <c r="AW828" s="1"/>
    </row>
    <row r="829" spans="1:4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42"/>
      <c r="AS829" s="1"/>
      <c r="AT829" s="1"/>
      <c r="AU829" s="1"/>
      <c r="AV829" s="1"/>
      <c r="AW829" s="1"/>
    </row>
    <row r="830" spans="1:4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42"/>
      <c r="AS830" s="1"/>
      <c r="AT830" s="1"/>
      <c r="AU830" s="1"/>
      <c r="AV830" s="1"/>
      <c r="AW830" s="1"/>
    </row>
    <row r="831" spans="1:4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42"/>
      <c r="AS831" s="1"/>
      <c r="AT831" s="1"/>
      <c r="AU831" s="1"/>
      <c r="AV831" s="1"/>
      <c r="AW831" s="1"/>
    </row>
    <row r="832" spans="1:4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42"/>
      <c r="AS832" s="1"/>
      <c r="AT832" s="1"/>
      <c r="AU832" s="1"/>
      <c r="AV832" s="1"/>
      <c r="AW832" s="1"/>
    </row>
    <row r="833" spans="1:4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42"/>
      <c r="AS833" s="1"/>
      <c r="AT833" s="1"/>
      <c r="AU833" s="1"/>
      <c r="AV833" s="1"/>
      <c r="AW833" s="1"/>
    </row>
    <row r="834" spans="1:4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42"/>
      <c r="AS834" s="1"/>
      <c r="AT834" s="1"/>
      <c r="AU834" s="1"/>
      <c r="AV834" s="1"/>
      <c r="AW834" s="1"/>
    </row>
    <row r="835" spans="1:4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42"/>
      <c r="AS835" s="1"/>
      <c r="AT835" s="1"/>
      <c r="AU835" s="1"/>
      <c r="AV835" s="1"/>
      <c r="AW835" s="1"/>
    </row>
    <row r="836" spans="1:4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42"/>
      <c r="AS836" s="1"/>
      <c r="AT836" s="1"/>
      <c r="AU836" s="1"/>
      <c r="AV836" s="1"/>
      <c r="AW836" s="1"/>
    </row>
    <row r="837" spans="1:4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42"/>
      <c r="AS837" s="1"/>
      <c r="AT837" s="1"/>
      <c r="AU837" s="1"/>
      <c r="AV837" s="1"/>
      <c r="AW837" s="1"/>
    </row>
    <row r="838" spans="1:4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42"/>
      <c r="AS838" s="1"/>
      <c r="AT838" s="1"/>
      <c r="AU838" s="1"/>
      <c r="AV838" s="1"/>
      <c r="AW838" s="1"/>
    </row>
    <row r="839" spans="1:4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42"/>
      <c r="AS839" s="1"/>
      <c r="AT839" s="1"/>
      <c r="AU839" s="1"/>
      <c r="AV839" s="1"/>
      <c r="AW839" s="1"/>
    </row>
    <row r="840" spans="1:4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42"/>
      <c r="AS840" s="1"/>
      <c r="AT840" s="1"/>
      <c r="AU840" s="1"/>
      <c r="AV840" s="1"/>
      <c r="AW840" s="1"/>
    </row>
    <row r="841" spans="1:4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42"/>
      <c r="AS841" s="1"/>
      <c r="AT841" s="1"/>
      <c r="AU841" s="1"/>
      <c r="AV841" s="1"/>
      <c r="AW841" s="1"/>
    </row>
    <row r="842" spans="1:4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42"/>
      <c r="AS842" s="1"/>
      <c r="AT842" s="1"/>
      <c r="AU842" s="1"/>
      <c r="AV842" s="1"/>
      <c r="AW842" s="1"/>
    </row>
    <row r="843" spans="1:4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42"/>
      <c r="AS843" s="1"/>
      <c r="AT843" s="1"/>
      <c r="AU843" s="1"/>
      <c r="AV843" s="1"/>
      <c r="AW843" s="1"/>
    </row>
    <row r="844" spans="1:4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42"/>
      <c r="AS844" s="1"/>
      <c r="AT844" s="1"/>
      <c r="AU844" s="1"/>
      <c r="AV844" s="1"/>
      <c r="AW844" s="1"/>
    </row>
    <row r="845" spans="1:4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42"/>
      <c r="AS845" s="1"/>
      <c r="AT845" s="1"/>
      <c r="AU845" s="1"/>
      <c r="AV845" s="1"/>
      <c r="AW845" s="1"/>
    </row>
    <row r="846" spans="1:4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42"/>
      <c r="AS846" s="1"/>
      <c r="AT846" s="1"/>
      <c r="AU846" s="1"/>
      <c r="AV846" s="1"/>
      <c r="AW846" s="1"/>
    </row>
    <row r="847" spans="1:4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42"/>
      <c r="AS847" s="1"/>
      <c r="AT847" s="1"/>
      <c r="AU847" s="1"/>
      <c r="AV847" s="1"/>
      <c r="AW847" s="1"/>
    </row>
    <row r="848" spans="1:4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42"/>
      <c r="AS848" s="1"/>
      <c r="AT848" s="1"/>
      <c r="AU848" s="1"/>
      <c r="AV848" s="1"/>
      <c r="AW848" s="1"/>
    </row>
    <row r="849" spans="1:4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42"/>
      <c r="AS849" s="1"/>
      <c r="AT849" s="1"/>
      <c r="AU849" s="1"/>
      <c r="AV849" s="1"/>
      <c r="AW849" s="1"/>
    </row>
    <row r="850" spans="1:4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42"/>
      <c r="AS850" s="1"/>
      <c r="AT850" s="1"/>
      <c r="AU850" s="1"/>
      <c r="AV850" s="1"/>
      <c r="AW850" s="1"/>
    </row>
    <row r="851" spans="1:4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42"/>
      <c r="AS851" s="1"/>
      <c r="AT851" s="1"/>
      <c r="AU851" s="1"/>
      <c r="AV851" s="1"/>
      <c r="AW851" s="1"/>
    </row>
    <row r="852" spans="1:4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42"/>
      <c r="AS852" s="1"/>
      <c r="AT852" s="1"/>
      <c r="AU852" s="1"/>
      <c r="AV852" s="1"/>
      <c r="AW852" s="1"/>
    </row>
    <row r="853" spans="1:4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42"/>
      <c r="AS853" s="1"/>
      <c r="AT853" s="1"/>
      <c r="AU853" s="1"/>
      <c r="AV853" s="1"/>
      <c r="AW853" s="1"/>
    </row>
    <row r="854" spans="1:4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42"/>
      <c r="AS854" s="1"/>
      <c r="AT854" s="1"/>
      <c r="AU854" s="1"/>
      <c r="AV854" s="1"/>
      <c r="AW854" s="1"/>
    </row>
    <row r="855" spans="1:4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42"/>
      <c r="AS855" s="1"/>
      <c r="AT855" s="1"/>
      <c r="AU855" s="1"/>
      <c r="AV855" s="1"/>
      <c r="AW855" s="1"/>
    </row>
    <row r="856" spans="1:4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42"/>
      <c r="AS856" s="1"/>
      <c r="AT856" s="1"/>
      <c r="AU856" s="1"/>
      <c r="AV856" s="1"/>
      <c r="AW856" s="1"/>
    </row>
    <row r="857" spans="1:4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42"/>
      <c r="AS857" s="1"/>
      <c r="AT857" s="1"/>
      <c r="AU857" s="1"/>
      <c r="AV857" s="1"/>
      <c r="AW857" s="1"/>
    </row>
    <row r="858" spans="1:4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42"/>
      <c r="AS858" s="1"/>
      <c r="AT858" s="1"/>
      <c r="AU858" s="1"/>
      <c r="AV858" s="1"/>
      <c r="AW858" s="1"/>
    </row>
    <row r="859" spans="1:4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42"/>
      <c r="AS859" s="1"/>
      <c r="AT859" s="1"/>
      <c r="AU859" s="1"/>
      <c r="AV859" s="1"/>
      <c r="AW859" s="1"/>
    </row>
    <row r="860" spans="1:4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42"/>
      <c r="AS860" s="1"/>
      <c r="AT860" s="1"/>
      <c r="AU860" s="1"/>
      <c r="AV860" s="1"/>
      <c r="AW860" s="1"/>
    </row>
    <row r="861" spans="1:4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42"/>
      <c r="AS861" s="1"/>
      <c r="AT861" s="1"/>
      <c r="AU861" s="1"/>
      <c r="AV861" s="1"/>
      <c r="AW861" s="1"/>
    </row>
    <row r="862" spans="1:4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42"/>
      <c r="AS862" s="1"/>
      <c r="AT862" s="1"/>
      <c r="AU862" s="1"/>
      <c r="AV862" s="1"/>
      <c r="AW862" s="1"/>
    </row>
    <row r="863" spans="1:4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42"/>
      <c r="AS863" s="1"/>
      <c r="AT863" s="1"/>
      <c r="AU863" s="1"/>
      <c r="AV863" s="1"/>
      <c r="AW863" s="1"/>
    </row>
    <row r="864" spans="1:4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42"/>
      <c r="AS864" s="1"/>
      <c r="AT864" s="1"/>
      <c r="AU864" s="1"/>
      <c r="AV864" s="1"/>
      <c r="AW864" s="1"/>
    </row>
    <row r="865" spans="1:4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42"/>
      <c r="AS865" s="1"/>
      <c r="AT865" s="1"/>
      <c r="AU865" s="1"/>
      <c r="AV865" s="1"/>
      <c r="AW865" s="1"/>
    </row>
    <row r="866" spans="1:4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42"/>
      <c r="AS866" s="1"/>
      <c r="AT866" s="1"/>
      <c r="AU866" s="1"/>
      <c r="AV866" s="1"/>
      <c r="AW866" s="1"/>
    </row>
    <row r="867" spans="1:4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42"/>
      <c r="AS867" s="1"/>
      <c r="AT867" s="1"/>
      <c r="AU867" s="1"/>
      <c r="AV867" s="1"/>
      <c r="AW867" s="1"/>
    </row>
    <row r="868" spans="1:4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42"/>
      <c r="AS868" s="1"/>
      <c r="AT868" s="1"/>
      <c r="AU868" s="1"/>
      <c r="AV868" s="1"/>
      <c r="AW868" s="1"/>
    </row>
    <row r="869" spans="1:4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42"/>
      <c r="AS869" s="1"/>
      <c r="AT869" s="1"/>
      <c r="AU869" s="1"/>
      <c r="AV869" s="1"/>
      <c r="AW869" s="1"/>
    </row>
    <row r="870" spans="1:4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42"/>
      <c r="AS870" s="1"/>
      <c r="AT870" s="1"/>
      <c r="AU870" s="1"/>
      <c r="AV870" s="1"/>
      <c r="AW870" s="1"/>
    </row>
    <row r="871" spans="1:4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42"/>
      <c r="AS871" s="1"/>
      <c r="AT871" s="1"/>
      <c r="AU871" s="1"/>
      <c r="AV871" s="1"/>
      <c r="AW871" s="1"/>
    </row>
    <row r="872" spans="1:4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42"/>
      <c r="AS872" s="1"/>
      <c r="AT872" s="1"/>
      <c r="AU872" s="1"/>
      <c r="AV872" s="1"/>
      <c r="AW872" s="1"/>
    </row>
    <row r="873" spans="1:4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42"/>
      <c r="AS873" s="1"/>
      <c r="AT873" s="1"/>
      <c r="AU873" s="1"/>
      <c r="AV873" s="1"/>
      <c r="AW873" s="1"/>
    </row>
    <row r="874" spans="1:4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42"/>
      <c r="AS874" s="1"/>
      <c r="AT874" s="1"/>
      <c r="AU874" s="1"/>
      <c r="AV874" s="1"/>
      <c r="AW874" s="1"/>
    </row>
    <row r="875" spans="1:4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42"/>
      <c r="AS875" s="1"/>
      <c r="AT875" s="1"/>
      <c r="AU875" s="1"/>
      <c r="AV875" s="1"/>
      <c r="AW875" s="1"/>
    </row>
    <row r="876" spans="1:4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42"/>
      <c r="AS876" s="1"/>
      <c r="AT876" s="1"/>
      <c r="AU876" s="1"/>
      <c r="AV876" s="1"/>
      <c r="AW876" s="1"/>
    </row>
    <row r="877" spans="1:4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42"/>
      <c r="AS877" s="1"/>
      <c r="AT877" s="1"/>
      <c r="AU877" s="1"/>
      <c r="AV877" s="1"/>
      <c r="AW877" s="1"/>
    </row>
    <row r="878" spans="1:4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42"/>
      <c r="AS878" s="1"/>
      <c r="AT878" s="1"/>
      <c r="AU878" s="1"/>
      <c r="AV878" s="1"/>
      <c r="AW878" s="1"/>
    </row>
    <row r="879" spans="1:4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42"/>
      <c r="AS879" s="1"/>
      <c r="AT879" s="1"/>
      <c r="AU879" s="1"/>
      <c r="AV879" s="1"/>
      <c r="AW879" s="1"/>
    </row>
    <row r="880" spans="1:4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42"/>
      <c r="AS880" s="1"/>
      <c r="AT880" s="1"/>
      <c r="AU880" s="1"/>
      <c r="AV880" s="1"/>
      <c r="AW880" s="1"/>
    </row>
    <row r="881" spans="1:4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42"/>
      <c r="AS881" s="1"/>
      <c r="AT881" s="1"/>
      <c r="AU881" s="1"/>
      <c r="AV881" s="1"/>
      <c r="AW881" s="1"/>
    </row>
    <row r="882" spans="1:4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42"/>
      <c r="AS882" s="1"/>
      <c r="AT882" s="1"/>
      <c r="AU882" s="1"/>
      <c r="AV882" s="1"/>
      <c r="AW882" s="1"/>
    </row>
    <row r="883" spans="1:4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42"/>
      <c r="AS883" s="1"/>
      <c r="AT883" s="1"/>
      <c r="AU883" s="1"/>
      <c r="AV883" s="1"/>
      <c r="AW883" s="1"/>
    </row>
    <row r="884" spans="1:4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42"/>
      <c r="AS884" s="1"/>
      <c r="AT884" s="1"/>
      <c r="AU884" s="1"/>
      <c r="AV884" s="1"/>
      <c r="AW884" s="1"/>
    </row>
    <row r="885" spans="1:4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42"/>
      <c r="AS885" s="1"/>
      <c r="AT885" s="1"/>
      <c r="AU885" s="1"/>
      <c r="AV885" s="1"/>
      <c r="AW885" s="1"/>
    </row>
    <row r="886" spans="1:4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42"/>
      <c r="AS886" s="1"/>
      <c r="AT886" s="1"/>
      <c r="AU886" s="1"/>
      <c r="AV886" s="1"/>
      <c r="AW886" s="1"/>
    </row>
    <row r="887" spans="1:4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42"/>
      <c r="AS887" s="1"/>
      <c r="AT887" s="1"/>
      <c r="AU887" s="1"/>
      <c r="AV887" s="1"/>
      <c r="AW887" s="1"/>
    </row>
    <row r="888" spans="1:4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42"/>
      <c r="AS888" s="1"/>
      <c r="AT888" s="1"/>
      <c r="AU888" s="1"/>
      <c r="AV888" s="1"/>
      <c r="AW888" s="1"/>
    </row>
    <row r="889" spans="1:4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42"/>
      <c r="AS889" s="1"/>
      <c r="AT889" s="1"/>
      <c r="AU889" s="1"/>
      <c r="AV889" s="1"/>
      <c r="AW889" s="1"/>
    </row>
    <row r="890" spans="1:4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42"/>
      <c r="AS890" s="1"/>
      <c r="AT890" s="1"/>
      <c r="AU890" s="1"/>
      <c r="AV890" s="1"/>
      <c r="AW890" s="1"/>
    </row>
    <row r="891" spans="1:4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42"/>
      <c r="AS891" s="1"/>
      <c r="AT891" s="1"/>
      <c r="AU891" s="1"/>
      <c r="AV891" s="1"/>
      <c r="AW891" s="1"/>
    </row>
    <row r="892" spans="1:4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42"/>
      <c r="AS892" s="1"/>
      <c r="AT892" s="1"/>
      <c r="AU892" s="1"/>
      <c r="AV892" s="1"/>
      <c r="AW892" s="1"/>
    </row>
    <row r="893" spans="1:4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42"/>
      <c r="AS893" s="1"/>
      <c r="AT893" s="1"/>
      <c r="AU893" s="1"/>
      <c r="AV893" s="1"/>
      <c r="AW893" s="1"/>
    </row>
    <row r="894" spans="1:4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42"/>
      <c r="AS894" s="1"/>
      <c r="AT894" s="1"/>
      <c r="AU894" s="1"/>
      <c r="AV894" s="1"/>
      <c r="AW894" s="1"/>
    </row>
    <row r="895" spans="1:4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42"/>
      <c r="AS895" s="1"/>
      <c r="AT895" s="1"/>
      <c r="AU895" s="1"/>
      <c r="AV895" s="1"/>
      <c r="AW895" s="1"/>
    </row>
    <row r="896" spans="1:4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42"/>
      <c r="AS896" s="1"/>
      <c r="AT896" s="1"/>
      <c r="AU896" s="1"/>
      <c r="AV896" s="1"/>
      <c r="AW896" s="1"/>
    </row>
    <row r="897" spans="1:4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42"/>
      <c r="AS897" s="1"/>
      <c r="AT897" s="1"/>
      <c r="AU897" s="1"/>
      <c r="AV897" s="1"/>
      <c r="AW897" s="1"/>
    </row>
    <row r="898" spans="1:4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42"/>
      <c r="AS898" s="1"/>
      <c r="AT898" s="1"/>
      <c r="AU898" s="1"/>
      <c r="AV898" s="1"/>
      <c r="AW898" s="1"/>
    </row>
    <row r="899" spans="1:4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42"/>
      <c r="AS899" s="1"/>
      <c r="AT899" s="1"/>
      <c r="AU899" s="1"/>
      <c r="AV899" s="1"/>
      <c r="AW899" s="1"/>
    </row>
    <row r="900" spans="1:4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42"/>
      <c r="AS900" s="1"/>
      <c r="AT900" s="1"/>
      <c r="AU900" s="1"/>
      <c r="AV900" s="1"/>
      <c r="AW900" s="1"/>
    </row>
    <row r="901" spans="1:4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42"/>
      <c r="AS901" s="1"/>
      <c r="AT901" s="1"/>
      <c r="AU901" s="1"/>
      <c r="AV901" s="1"/>
      <c r="AW901" s="1"/>
    </row>
    <row r="902" spans="1:4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42"/>
      <c r="AS902" s="1"/>
      <c r="AT902" s="1"/>
      <c r="AU902" s="1"/>
      <c r="AV902" s="1"/>
      <c r="AW902" s="1"/>
    </row>
    <row r="903" spans="1:4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42"/>
      <c r="AS903" s="1"/>
      <c r="AT903" s="1"/>
      <c r="AU903" s="1"/>
      <c r="AV903" s="1"/>
      <c r="AW903" s="1"/>
    </row>
    <row r="904" spans="1:4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42"/>
      <c r="AS904" s="1"/>
      <c r="AT904" s="1"/>
      <c r="AU904" s="1"/>
      <c r="AV904" s="1"/>
      <c r="AW904" s="1"/>
    </row>
    <row r="905" spans="1:4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42"/>
      <c r="AS905" s="1"/>
      <c r="AT905" s="1"/>
      <c r="AU905" s="1"/>
      <c r="AV905" s="1"/>
      <c r="AW905" s="1"/>
    </row>
    <row r="906" spans="1:4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42"/>
      <c r="AS906" s="1"/>
      <c r="AT906" s="1"/>
      <c r="AU906" s="1"/>
      <c r="AV906" s="1"/>
      <c r="AW906" s="1"/>
    </row>
    <row r="907" spans="1:4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42"/>
      <c r="AS907" s="1"/>
      <c r="AT907" s="1"/>
      <c r="AU907" s="1"/>
      <c r="AV907" s="1"/>
      <c r="AW907" s="1"/>
    </row>
    <row r="908" spans="1:4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42"/>
      <c r="AS908" s="1"/>
      <c r="AT908" s="1"/>
      <c r="AU908" s="1"/>
      <c r="AV908" s="1"/>
      <c r="AW908" s="1"/>
    </row>
    <row r="909" spans="1:4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42"/>
      <c r="AS909" s="1"/>
      <c r="AT909" s="1"/>
      <c r="AU909" s="1"/>
      <c r="AV909" s="1"/>
      <c r="AW909" s="1"/>
    </row>
    <row r="910" spans="1:4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42"/>
      <c r="AS910" s="1"/>
      <c r="AT910" s="1"/>
      <c r="AU910" s="1"/>
      <c r="AV910" s="1"/>
      <c r="AW910" s="1"/>
    </row>
    <row r="911" spans="1:4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42"/>
      <c r="AS911" s="1"/>
      <c r="AT911" s="1"/>
      <c r="AU911" s="1"/>
      <c r="AV911" s="1"/>
      <c r="AW911" s="1"/>
    </row>
    <row r="912" spans="1:4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42"/>
      <c r="AS912" s="1"/>
      <c r="AT912" s="1"/>
      <c r="AU912" s="1"/>
      <c r="AV912" s="1"/>
      <c r="AW912" s="1"/>
    </row>
    <row r="913" spans="1:4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42"/>
      <c r="AS913" s="1"/>
      <c r="AT913" s="1"/>
      <c r="AU913" s="1"/>
      <c r="AV913" s="1"/>
      <c r="AW913" s="1"/>
    </row>
    <row r="914" spans="1:4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42"/>
      <c r="AS914" s="1"/>
      <c r="AT914" s="1"/>
      <c r="AU914" s="1"/>
      <c r="AV914" s="1"/>
      <c r="AW914" s="1"/>
    </row>
    <row r="915" spans="1:4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42"/>
      <c r="AS915" s="1"/>
      <c r="AT915" s="1"/>
      <c r="AU915" s="1"/>
      <c r="AV915" s="1"/>
      <c r="AW915" s="1"/>
    </row>
    <row r="916" spans="1:4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42"/>
      <c r="AS916" s="1"/>
      <c r="AT916" s="1"/>
      <c r="AU916" s="1"/>
      <c r="AV916" s="1"/>
      <c r="AW916" s="1"/>
    </row>
    <row r="917" spans="1:4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42"/>
      <c r="AS917" s="1"/>
      <c r="AT917" s="1"/>
      <c r="AU917" s="1"/>
      <c r="AV917" s="1"/>
      <c r="AW917" s="1"/>
    </row>
    <row r="918" spans="1:4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42"/>
      <c r="AS918" s="1"/>
      <c r="AT918" s="1"/>
      <c r="AU918" s="1"/>
      <c r="AV918" s="1"/>
      <c r="AW918" s="1"/>
    </row>
    <row r="919" spans="1:4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42"/>
      <c r="AS919" s="1"/>
      <c r="AT919" s="1"/>
      <c r="AU919" s="1"/>
      <c r="AV919" s="1"/>
      <c r="AW919" s="1"/>
    </row>
    <row r="920" spans="1:4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42"/>
      <c r="AS920" s="1"/>
      <c r="AT920" s="1"/>
      <c r="AU920" s="1"/>
      <c r="AV920" s="1"/>
      <c r="AW920" s="1"/>
    </row>
    <row r="921" spans="1:4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42"/>
      <c r="AS921" s="1"/>
      <c r="AT921" s="1"/>
      <c r="AU921" s="1"/>
      <c r="AV921" s="1"/>
      <c r="AW921" s="1"/>
    </row>
    <row r="922" spans="1:4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42"/>
      <c r="AS922" s="1"/>
      <c r="AT922" s="1"/>
      <c r="AU922" s="1"/>
      <c r="AV922" s="1"/>
      <c r="AW922" s="1"/>
    </row>
    <row r="923" spans="1:4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42"/>
      <c r="AS923" s="1"/>
      <c r="AT923" s="1"/>
      <c r="AU923" s="1"/>
      <c r="AV923" s="1"/>
      <c r="AW923" s="1"/>
    </row>
    <row r="924" spans="1:4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42"/>
      <c r="AS924" s="1"/>
      <c r="AT924" s="1"/>
      <c r="AU924" s="1"/>
      <c r="AV924" s="1"/>
      <c r="AW924" s="1"/>
    </row>
    <row r="925" spans="1:4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42"/>
      <c r="AS925" s="1"/>
      <c r="AT925" s="1"/>
      <c r="AU925" s="1"/>
      <c r="AV925" s="1"/>
      <c r="AW925" s="1"/>
    </row>
    <row r="926" spans="1:4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42"/>
      <c r="AS926" s="1"/>
      <c r="AT926" s="1"/>
      <c r="AU926" s="1"/>
      <c r="AV926" s="1"/>
      <c r="AW926" s="1"/>
    </row>
    <row r="927" spans="1:4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42"/>
      <c r="AS927" s="1"/>
      <c r="AT927" s="1"/>
      <c r="AU927" s="1"/>
      <c r="AV927" s="1"/>
      <c r="AW927" s="1"/>
    </row>
    <row r="928" spans="1:4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42"/>
      <c r="AS928" s="1"/>
      <c r="AT928" s="1"/>
      <c r="AU928" s="1"/>
      <c r="AV928" s="1"/>
      <c r="AW928" s="1"/>
    </row>
    <row r="929" spans="1:4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42"/>
      <c r="AS929" s="1"/>
      <c r="AT929" s="1"/>
      <c r="AU929" s="1"/>
      <c r="AV929" s="1"/>
      <c r="AW929" s="1"/>
    </row>
    <row r="930" spans="1:4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42"/>
      <c r="AS930" s="1"/>
      <c r="AT930" s="1"/>
      <c r="AU930" s="1"/>
      <c r="AV930" s="1"/>
      <c r="AW930" s="1"/>
    </row>
    <row r="931" spans="1:4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42"/>
      <c r="AS931" s="1"/>
      <c r="AT931" s="1"/>
      <c r="AU931" s="1"/>
      <c r="AV931" s="1"/>
      <c r="AW931" s="1"/>
    </row>
    <row r="932" spans="1:4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42"/>
      <c r="AS932" s="1"/>
      <c r="AT932" s="1"/>
      <c r="AU932" s="1"/>
      <c r="AV932" s="1"/>
      <c r="AW932" s="1"/>
    </row>
    <row r="933" spans="1:4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42"/>
      <c r="AS933" s="1"/>
      <c r="AT933" s="1"/>
      <c r="AU933" s="1"/>
      <c r="AV933" s="1"/>
      <c r="AW933" s="1"/>
    </row>
    <row r="934" spans="1:4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42"/>
      <c r="AS934" s="1"/>
      <c r="AT934" s="1"/>
      <c r="AU934" s="1"/>
      <c r="AV934" s="1"/>
      <c r="AW934" s="1"/>
    </row>
    <row r="935" spans="1:4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42"/>
      <c r="AS935" s="1"/>
      <c r="AT935" s="1"/>
      <c r="AU935" s="1"/>
      <c r="AV935" s="1"/>
      <c r="AW935" s="1"/>
    </row>
    <row r="936" spans="1:4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42"/>
      <c r="AS936" s="1"/>
      <c r="AT936" s="1"/>
      <c r="AU936" s="1"/>
      <c r="AV936" s="1"/>
      <c r="AW936" s="1"/>
    </row>
    <row r="937" spans="1:4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42"/>
      <c r="AS937" s="1"/>
      <c r="AT937" s="1"/>
      <c r="AU937" s="1"/>
      <c r="AV937" s="1"/>
      <c r="AW937" s="1"/>
    </row>
    <row r="938" spans="1:4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42"/>
      <c r="AS938" s="1"/>
      <c r="AT938" s="1"/>
      <c r="AU938" s="1"/>
      <c r="AV938" s="1"/>
      <c r="AW938" s="1"/>
    </row>
    <row r="939" spans="1:4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42"/>
      <c r="AS939" s="1"/>
      <c r="AT939" s="1"/>
      <c r="AU939" s="1"/>
      <c r="AV939" s="1"/>
      <c r="AW939" s="1"/>
    </row>
    <row r="940" spans="1:4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42"/>
      <c r="AS940" s="1"/>
      <c r="AT940" s="1"/>
      <c r="AU940" s="1"/>
      <c r="AV940" s="1"/>
      <c r="AW940" s="1"/>
    </row>
    <row r="941" spans="1:4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42"/>
      <c r="AS941" s="1"/>
      <c r="AT941" s="1"/>
      <c r="AU941" s="1"/>
      <c r="AV941" s="1"/>
      <c r="AW941" s="1"/>
    </row>
    <row r="942" spans="1:4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42"/>
      <c r="AS942" s="1"/>
      <c r="AT942" s="1"/>
      <c r="AU942" s="1"/>
      <c r="AV942" s="1"/>
      <c r="AW942" s="1"/>
    </row>
    <row r="943" spans="1:4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42"/>
      <c r="AS943" s="1"/>
      <c r="AT943" s="1"/>
      <c r="AU943" s="1"/>
      <c r="AV943" s="1"/>
      <c r="AW943" s="1"/>
    </row>
    <row r="944" spans="1:4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42"/>
      <c r="AS944" s="1"/>
      <c r="AT944" s="1"/>
      <c r="AU944" s="1"/>
      <c r="AV944" s="1"/>
      <c r="AW944" s="1"/>
    </row>
    <row r="945" spans="1:4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42"/>
      <c r="AS945" s="1"/>
      <c r="AT945" s="1"/>
      <c r="AU945" s="1"/>
      <c r="AV945" s="1"/>
      <c r="AW945" s="1"/>
    </row>
    <row r="946" spans="1:4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42"/>
      <c r="AS946" s="1"/>
      <c r="AT946" s="1"/>
      <c r="AU946" s="1"/>
      <c r="AV946" s="1"/>
      <c r="AW946" s="1"/>
    </row>
    <row r="947" spans="1:4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42"/>
      <c r="AS947" s="1"/>
      <c r="AT947" s="1"/>
      <c r="AU947" s="1"/>
      <c r="AV947" s="1"/>
      <c r="AW947" s="1"/>
    </row>
    <row r="948" spans="1:4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42"/>
      <c r="AS948" s="1"/>
      <c r="AT948" s="1"/>
      <c r="AU948" s="1"/>
      <c r="AV948" s="1"/>
      <c r="AW948" s="1"/>
    </row>
    <row r="949" spans="1:4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42"/>
      <c r="AS949" s="1"/>
      <c r="AT949" s="1"/>
      <c r="AU949" s="1"/>
      <c r="AV949" s="1"/>
      <c r="AW949" s="1"/>
    </row>
    <row r="950" spans="1:4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42"/>
      <c r="AS950" s="1"/>
      <c r="AT950" s="1"/>
      <c r="AU950" s="1"/>
      <c r="AV950" s="1"/>
      <c r="AW950" s="1"/>
    </row>
    <row r="951" spans="1:4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42"/>
      <c r="AS951" s="1"/>
      <c r="AT951" s="1"/>
      <c r="AU951" s="1"/>
      <c r="AV951" s="1"/>
      <c r="AW951" s="1"/>
    </row>
    <row r="952" spans="1:4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42"/>
      <c r="AS952" s="1"/>
      <c r="AT952" s="1"/>
      <c r="AU952" s="1"/>
      <c r="AV952" s="1"/>
      <c r="AW952" s="1"/>
    </row>
    <row r="953" spans="1:4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42"/>
      <c r="AS953" s="1"/>
      <c r="AT953" s="1"/>
      <c r="AU953" s="1"/>
      <c r="AV953" s="1"/>
      <c r="AW953" s="1"/>
    </row>
    <row r="954" spans="1:4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42"/>
      <c r="AS954" s="1"/>
      <c r="AT954" s="1"/>
      <c r="AU954" s="1"/>
      <c r="AV954" s="1"/>
      <c r="AW954" s="1"/>
    </row>
    <row r="955" spans="1:4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42"/>
      <c r="AS955" s="1"/>
      <c r="AT955" s="1"/>
      <c r="AU955" s="1"/>
      <c r="AV955" s="1"/>
      <c r="AW955" s="1"/>
    </row>
    <row r="956" spans="1:4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42"/>
      <c r="AS956" s="1"/>
      <c r="AT956" s="1"/>
      <c r="AU956" s="1"/>
      <c r="AV956" s="1"/>
      <c r="AW956" s="1"/>
    </row>
    <row r="957" spans="1:4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42"/>
      <c r="AS957" s="1"/>
      <c r="AT957" s="1"/>
      <c r="AU957" s="1"/>
      <c r="AV957" s="1"/>
      <c r="AW957" s="1"/>
    </row>
    <row r="958" spans="1:4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42"/>
      <c r="AS958" s="1"/>
      <c r="AT958" s="1"/>
      <c r="AU958" s="1"/>
      <c r="AV958" s="1"/>
      <c r="AW958" s="1"/>
    </row>
    <row r="959" spans="1:4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42"/>
      <c r="AS959" s="1"/>
      <c r="AT959" s="1"/>
      <c r="AU959" s="1"/>
      <c r="AV959" s="1"/>
      <c r="AW959" s="1"/>
    </row>
    <row r="960" spans="1:4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42"/>
      <c r="AS960" s="1"/>
      <c r="AT960" s="1"/>
      <c r="AU960" s="1"/>
      <c r="AV960" s="1"/>
      <c r="AW960" s="1"/>
    </row>
    <row r="961" spans="1:4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42"/>
      <c r="AS961" s="1"/>
      <c r="AT961" s="1"/>
      <c r="AU961" s="1"/>
      <c r="AV961" s="1"/>
      <c r="AW961" s="1"/>
    </row>
    <row r="962" spans="1:4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42"/>
      <c r="AS962" s="1"/>
      <c r="AT962" s="1"/>
      <c r="AU962" s="1"/>
      <c r="AV962" s="1"/>
      <c r="AW962" s="1"/>
    </row>
    <row r="963" spans="1:4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42"/>
      <c r="AS963" s="1"/>
      <c r="AT963" s="1"/>
      <c r="AU963" s="1"/>
      <c r="AV963" s="1"/>
      <c r="AW963" s="1"/>
    </row>
    <row r="964" spans="1:4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42"/>
      <c r="AS964" s="1"/>
      <c r="AT964" s="1"/>
      <c r="AU964" s="1"/>
      <c r="AV964" s="1"/>
      <c r="AW964" s="1"/>
    </row>
    <row r="965" spans="1:4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42"/>
      <c r="AS965" s="1"/>
      <c r="AT965" s="1"/>
      <c r="AU965" s="1"/>
      <c r="AV965" s="1"/>
      <c r="AW965" s="1"/>
    </row>
    <row r="966" spans="1:4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42"/>
      <c r="AS966" s="1"/>
      <c r="AT966" s="1"/>
      <c r="AU966" s="1"/>
      <c r="AV966" s="1"/>
      <c r="AW966" s="1"/>
    </row>
    <row r="967" spans="1:4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42"/>
      <c r="AS967" s="1"/>
      <c r="AT967" s="1"/>
      <c r="AU967" s="1"/>
      <c r="AV967" s="1"/>
      <c r="AW967" s="1"/>
    </row>
    <row r="968" spans="1:4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2"/>
      <c r="AS968" s="1"/>
      <c r="AT968" s="1"/>
      <c r="AU968" s="1"/>
      <c r="AV968" s="1"/>
      <c r="AW968" s="1"/>
    </row>
    <row r="969" spans="1:4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42"/>
      <c r="AS969" s="1"/>
      <c r="AT969" s="1"/>
      <c r="AU969" s="1"/>
      <c r="AV969" s="1"/>
      <c r="AW969" s="1"/>
    </row>
    <row r="970" spans="1:4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42"/>
      <c r="AS970" s="1"/>
      <c r="AT970" s="1"/>
      <c r="AU970" s="1"/>
      <c r="AV970" s="1"/>
      <c r="AW970" s="1"/>
    </row>
    <row r="971" spans="1:4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42"/>
      <c r="AS971" s="1"/>
      <c r="AT971" s="1"/>
      <c r="AU971" s="1"/>
      <c r="AV971" s="1"/>
      <c r="AW971" s="1"/>
    </row>
    <row r="972" spans="1:4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42"/>
      <c r="AS972" s="1"/>
      <c r="AT972" s="1"/>
      <c r="AU972" s="1"/>
      <c r="AV972" s="1"/>
      <c r="AW972" s="1"/>
    </row>
    <row r="973" spans="1:4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42"/>
      <c r="AS973" s="1"/>
      <c r="AT973" s="1"/>
      <c r="AU973" s="1"/>
      <c r="AV973" s="1"/>
      <c r="AW973" s="1"/>
    </row>
    <row r="974" spans="1:4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42"/>
      <c r="AS974" s="1"/>
      <c r="AT974" s="1"/>
      <c r="AU974" s="1"/>
      <c r="AV974" s="1"/>
      <c r="AW974" s="1"/>
    </row>
    <row r="975" spans="1:4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42"/>
      <c r="AS975" s="1"/>
      <c r="AT975" s="1"/>
      <c r="AU975" s="1"/>
      <c r="AV975" s="1"/>
      <c r="AW975" s="1"/>
    </row>
    <row r="976" spans="1:4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42"/>
      <c r="AS976" s="1"/>
      <c r="AT976" s="1"/>
      <c r="AU976" s="1"/>
      <c r="AV976" s="1"/>
      <c r="AW976" s="1"/>
    </row>
    <row r="977" spans="1:4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42"/>
      <c r="AS977" s="1"/>
      <c r="AT977" s="1"/>
      <c r="AU977" s="1"/>
      <c r="AV977" s="1"/>
      <c r="AW977" s="1"/>
    </row>
    <row r="978" spans="1:4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42"/>
      <c r="AS978" s="1"/>
      <c r="AT978" s="1"/>
      <c r="AU978" s="1"/>
      <c r="AV978" s="1"/>
      <c r="AW978" s="1"/>
    </row>
    <row r="979" spans="1:4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42"/>
      <c r="AS979" s="1"/>
      <c r="AT979" s="1"/>
      <c r="AU979" s="1"/>
      <c r="AV979" s="1"/>
      <c r="AW979" s="1"/>
    </row>
    <row r="980" spans="1:4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42"/>
      <c r="AS980" s="1"/>
      <c r="AT980" s="1"/>
      <c r="AU980" s="1"/>
      <c r="AV980" s="1"/>
      <c r="AW980" s="1"/>
    </row>
    <row r="981" spans="1:4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42"/>
      <c r="AS981" s="1"/>
      <c r="AT981" s="1"/>
      <c r="AU981" s="1"/>
      <c r="AV981" s="1"/>
      <c r="AW981" s="1"/>
    </row>
    <row r="982" spans="1:4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42"/>
      <c r="AS982" s="1"/>
      <c r="AT982" s="1"/>
      <c r="AU982" s="1"/>
      <c r="AV982" s="1"/>
      <c r="AW982" s="1"/>
    </row>
    <row r="983" spans="1:4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42"/>
      <c r="AS983" s="1"/>
      <c r="AT983" s="1"/>
      <c r="AU983" s="1"/>
      <c r="AV983" s="1"/>
      <c r="AW983" s="1"/>
    </row>
    <row r="984" spans="1:4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42"/>
      <c r="AS984" s="1"/>
      <c r="AT984" s="1"/>
      <c r="AU984" s="1"/>
      <c r="AV984" s="1"/>
      <c r="AW984" s="1"/>
    </row>
    <row r="985" spans="1:4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42"/>
      <c r="AS985" s="1"/>
      <c r="AT985" s="1"/>
      <c r="AU985" s="1"/>
      <c r="AV985" s="1"/>
      <c r="AW985" s="1"/>
    </row>
    <row r="986" spans="1:4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42"/>
      <c r="AS986" s="1"/>
      <c r="AT986" s="1"/>
      <c r="AU986" s="1"/>
      <c r="AV986" s="1"/>
      <c r="AW986" s="1"/>
    </row>
    <row r="987" spans="1:4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42"/>
      <c r="AS987" s="1"/>
      <c r="AT987" s="1"/>
      <c r="AU987" s="1"/>
      <c r="AV987" s="1"/>
      <c r="AW987" s="1"/>
    </row>
    <row r="988" spans="1:4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42"/>
      <c r="AS988" s="1"/>
      <c r="AT988" s="1"/>
      <c r="AU988" s="1"/>
      <c r="AV988" s="1"/>
      <c r="AW988" s="1"/>
    </row>
    <row r="989" spans="1:4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42"/>
      <c r="AS989" s="1"/>
      <c r="AT989" s="1"/>
      <c r="AU989" s="1"/>
      <c r="AV989" s="1"/>
      <c r="AW989" s="1"/>
    </row>
    <row r="990" spans="1:4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42"/>
      <c r="AS990" s="1"/>
      <c r="AT990" s="1"/>
      <c r="AU990" s="1"/>
      <c r="AV990" s="1"/>
      <c r="AW990" s="1"/>
    </row>
    <row r="991" spans="1:4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42"/>
      <c r="AS991" s="1"/>
      <c r="AT991" s="1"/>
      <c r="AU991" s="1"/>
      <c r="AV991" s="1"/>
      <c r="AW991" s="1"/>
    </row>
    <row r="992" spans="1:4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42"/>
      <c r="AS992" s="1"/>
      <c r="AT992" s="1"/>
      <c r="AU992" s="1"/>
      <c r="AV992" s="1"/>
      <c r="AW992" s="1"/>
    </row>
    <row r="993" spans="1:4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42"/>
      <c r="AS993" s="1"/>
      <c r="AT993" s="1"/>
      <c r="AU993" s="1"/>
      <c r="AV993" s="1"/>
      <c r="AW993" s="1"/>
    </row>
    <row r="994" spans="1:4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42"/>
      <c r="AS994" s="1"/>
      <c r="AT994" s="1"/>
      <c r="AU994" s="1"/>
      <c r="AV994" s="1"/>
      <c r="AW994" s="1"/>
    </row>
    <row r="995" spans="1:4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42"/>
      <c r="AS995" s="1"/>
      <c r="AT995" s="1"/>
      <c r="AU995" s="1"/>
      <c r="AV995" s="1"/>
      <c r="AW995" s="1"/>
    </row>
    <row r="996" spans="1:4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42"/>
      <c r="AS996" s="1"/>
      <c r="AT996" s="1"/>
      <c r="AU996" s="1"/>
      <c r="AV996" s="1"/>
      <c r="AW996" s="1"/>
    </row>
    <row r="997" spans="1:49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42"/>
      <c r="AS997" s="1"/>
      <c r="AT997" s="1"/>
      <c r="AU997" s="1"/>
      <c r="AV997" s="1"/>
      <c r="AW997" s="1"/>
    </row>
    <row r="998" spans="1:49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42"/>
      <c r="AS998" s="1"/>
      <c r="AT998" s="1"/>
      <c r="AU998" s="1"/>
      <c r="AV998" s="1"/>
      <c r="AW998" s="1"/>
    </row>
    <row r="999" spans="1:49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42"/>
      <c r="AS999" s="1"/>
      <c r="AT999" s="1"/>
      <c r="AU999" s="1"/>
      <c r="AV999" s="1"/>
      <c r="AW999" s="1"/>
    </row>
    <row r="1000" spans="1:49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42"/>
      <c r="AS1000" s="1"/>
      <c r="AT1000" s="1"/>
      <c r="AU1000" s="1"/>
      <c r="AV1000" s="1"/>
      <c r="AW1000" s="1"/>
    </row>
  </sheetData>
  <mergeCells count="16">
    <mergeCell ref="B5:F5"/>
    <mergeCell ref="G5:K5"/>
    <mergeCell ref="L5:P5"/>
    <mergeCell ref="L6:P6"/>
    <mergeCell ref="G6:K6"/>
    <mergeCell ref="B6:F6"/>
    <mergeCell ref="AS22:AX22"/>
    <mergeCell ref="A1:W1"/>
    <mergeCell ref="AD1:AF1"/>
    <mergeCell ref="A2:W2"/>
    <mergeCell ref="A3:W3"/>
    <mergeCell ref="A5:A7"/>
    <mergeCell ref="W5:W7"/>
    <mergeCell ref="Q6:V6"/>
    <mergeCell ref="Q5:V5"/>
    <mergeCell ref="AF22:AR22"/>
  </mergeCells>
  <pageMargins left="0.7" right="0.7" top="0.75" bottom="0.75" header="0" footer="0"/>
  <pageSetup paperSize="9" scale="40" fitToHeight="0" orientation="landscape" r:id="rId1"/>
  <rowBreaks count="1" manualBreakCount="1">
    <brk id="39" max="47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</vt:lpstr>
      <vt:lpstr>'18.2'!Print_Area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2025-06-15T05:17:38Z</cp:lastPrinted>
  <dcterms:created xsi:type="dcterms:W3CDTF">2025-05-19T08:29:05Z</dcterms:created>
  <dcterms:modified xsi:type="dcterms:W3CDTF">2025-06-15T05:21:38Z</dcterms:modified>
</cp:coreProperties>
</file>