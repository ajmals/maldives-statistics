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ension\"/>
    </mc:Choice>
  </mc:AlternateContent>
  <xr:revisionPtr revIDLastSave="0" documentId="13_ncr:1_{D4B1B193-868D-49AE-BCDE-14C15F27AB68}" xr6:coauthVersionLast="47" xr6:coauthVersionMax="47" xr10:uidLastSave="{00000000-0000-0000-0000-000000000000}"/>
  <bookViews>
    <workbookView xWindow="-120" yWindow="-120" windowWidth="29040" windowHeight="15720" tabRatio="752" xr2:uid="{00000000-000D-0000-FFFF-FFFF00000000}"/>
  </bookViews>
  <sheets>
    <sheet name="18.8" sheetId="8" r:id="rId1"/>
  </sheets>
  <definedNames>
    <definedName name="_xlnm.Print_Area" localSheetId="0">'18.8'!$A$1:$I$25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2" roundtripDataChecksum="fkOimQmwXAp2X4Idi2I5zrAWog9iQuypB84L36zwUFs="/>
    </ext>
  </extLst>
</workbook>
</file>

<file path=xl/calcChain.xml><?xml version="1.0" encoding="utf-8"?>
<calcChain xmlns="http://schemas.openxmlformats.org/spreadsheetml/2006/main">
  <c r="B10" i="8" l="1"/>
  <c r="B9" i="8"/>
  <c r="B8" i="8"/>
  <c r="G7" i="8"/>
  <c r="F7" i="8"/>
  <c r="E7" i="8"/>
  <c r="D7" i="8"/>
  <c r="C7" i="8"/>
  <c r="B7" i="8" l="1"/>
</calcChain>
</file>

<file path=xl/sharedStrings.xml><?xml version="1.0" encoding="utf-8"?>
<sst xmlns="http://schemas.openxmlformats.org/spreadsheetml/2006/main" count="23" uniqueCount="23">
  <si>
    <t>Type of pension</t>
  </si>
  <si>
    <t>ޕެންޝަންގެ ބާވަތް</t>
  </si>
  <si>
    <t>ޖުމްލަ</t>
  </si>
  <si>
    <t>Basic Pension</t>
  </si>
  <si>
    <t>އަސާސީ ޕެންޝަން</t>
  </si>
  <si>
    <t>Retirement Pension</t>
  </si>
  <si>
    <t>ރިޓަޔަރމަންޓް ޕެންޝަން</t>
  </si>
  <si>
    <t>Other Pension</t>
  </si>
  <si>
    <t>އެހެނިހެން ޕެންޝަން</t>
  </si>
  <si>
    <t>މަޢުލޫމާތު ދެއްވި ފަރާތް: މޯލްޑިވްސް ޕެންޝަން އެޑްމިނިސްޓްރޭޝަން</t>
  </si>
  <si>
    <t>Source: Maldives Pension Administration</t>
  </si>
  <si>
    <t>65-69</t>
  </si>
  <si>
    <t>70-74</t>
  </si>
  <si>
    <t>&lt; 55</t>
  </si>
  <si>
    <t>55-64</t>
  </si>
  <si>
    <t>75 +</t>
  </si>
  <si>
    <t xml:space="preserve">ސީނިއަރ ސިޓިޒަން އެލަވަންސް ސްކީމް ތަޢާރަފުކުރެވިފައިވާ ފެބްރުއަރީ 2014 ގައެވެ. އަދި މާރޗް 2019 ގައި ވަނީ ހުއްޓާލާފައެވެ. </t>
  </si>
  <si>
    <t>ތާވަލު 18.8:  އެކި ޕެންޝަން ސްކީމްތަކުން ޕެންޝަން ލިބޭ މީހުންގެ އަދަދު އަދި އުމުރުފުރާ، 2024</t>
  </si>
  <si>
    <t>TABLE 18.8: NUMBER OF BEFEFICIARIES BY AGE GROUP FOR  DIFFERENT  PENSION SCHEMES, 2024</t>
  </si>
  <si>
    <t>Age groups, ( as of end year)</t>
  </si>
  <si>
    <t>All ages</t>
  </si>
  <si>
    <t xml:space="preserve">Total </t>
  </si>
  <si>
    <t>Senior Citizen Allowance was introduced in February 2014 and discontinued in March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</si>
</sst>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3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sz val="8"/>
      <color rgb="FF000000"/>
      <name val="Faruma"/>
    </font>
    <font>
      <sz val="9"/>
      <color rgb="FF000000"/>
      <name val="Faruma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b/>
      <sz val="12"/>
      <color rgb="FF000000"/>
      <name val="Faruma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4" xfId="0" applyFont="1" applyFill="1" applyBorder="1"/>
    <xf numFmtId="0" fontId="1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0" fontId="4" fillId="2" borderId="11" xfId="0" applyFont="1" applyFill="1" applyBorder="1" applyAlignment="1">
      <alignment horizontal="right" vertical="center"/>
    </xf>
    <xf numFmtId="0" fontId="5" fillId="2" borderId="4" xfId="0" applyFont="1" applyFill="1" applyBorder="1"/>
    <xf numFmtId="0" fontId="5" fillId="2" borderId="11" xfId="0" applyFont="1" applyFill="1" applyBorder="1"/>
    <xf numFmtId="0" fontId="4" fillId="2" borderId="4" xfId="0" applyFont="1" applyFill="1" applyBorder="1" applyAlignment="1">
      <alignment horizontal="left" vertical="center"/>
    </xf>
    <xf numFmtId="3" fontId="4" fillId="2" borderId="4" xfId="0" applyNumberFormat="1" applyFont="1" applyFill="1" applyBorder="1" applyAlignment="1">
      <alignment horizontal="right" vertical="center"/>
    </xf>
    <xf numFmtId="0" fontId="6" fillId="2" borderId="4" xfId="0" applyFont="1" applyFill="1" applyBorder="1"/>
    <xf numFmtId="0" fontId="7" fillId="2" borderId="4" xfId="0" applyFont="1" applyFill="1" applyBorder="1"/>
    <xf numFmtId="0" fontId="9" fillId="2" borderId="4" xfId="0" applyFont="1" applyFill="1" applyBorder="1"/>
    <xf numFmtId="0" fontId="3" fillId="2" borderId="4" xfId="0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horizontal="right" vertical="center"/>
    </xf>
    <xf numFmtId="37" fontId="4" fillId="2" borderId="4" xfId="0" applyNumberFormat="1" applyFont="1" applyFill="1" applyBorder="1" applyAlignment="1">
      <alignment horizontal="right" vertical="center"/>
    </xf>
    <xf numFmtId="37" fontId="3" fillId="2" borderId="4" xfId="0" applyNumberFormat="1" applyFont="1" applyFill="1" applyBorder="1" applyAlignment="1">
      <alignment horizontal="right" vertical="center"/>
    </xf>
    <xf numFmtId="0" fontId="3" fillId="2" borderId="11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right" vertical="center"/>
    </xf>
    <xf numFmtId="164" fontId="4" fillId="2" borderId="11" xfId="0" applyNumberFormat="1" applyFont="1" applyFill="1" applyBorder="1" applyAlignment="1">
      <alignment horizontal="right" vertical="center"/>
    </xf>
    <xf numFmtId="3" fontId="4" fillId="2" borderId="6" xfId="0" applyNumberFormat="1" applyFont="1" applyFill="1" applyBorder="1" applyAlignment="1">
      <alignment horizontal="right" vertical="center"/>
    </xf>
    <xf numFmtId="3" fontId="4" fillId="2" borderId="11" xfId="0" applyNumberFormat="1" applyFont="1" applyFill="1" applyBorder="1" applyAlignment="1">
      <alignment horizontal="right" vertical="center"/>
    </xf>
    <xf numFmtId="0" fontId="0" fillId="3" borderId="0" xfId="0" applyFill="1"/>
    <xf numFmtId="3" fontId="3" fillId="4" borderId="4" xfId="0" applyNumberFormat="1" applyFont="1" applyFill="1" applyBorder="1" applyAlignment="1">
      <alignment horizontal="right" vertical="center"/>
    </xf>
    <xf numFmtId="164" fontId="11" fillId="4" borderId="4" xfId="0" applyNumberFormat="1" applyFont="1" applyFill="1" applyBorder="1" applyAlignment="1">
      <alignment horizontal="right" vertical="center"/>
    </xf>
    <xf numFmtId="3" fontId="3" fillId="4" borderId="4" xfId="0" applyNumberFormat="1" applyFont="1" applyFill="1" applyBorder="1" applyAlignment="1">
      <alignment horizontal="right"/>
    </xf>
    <xf numFmtId="3" fontId="3" fillId="4" borderId="11" xfId="0" applyNumberFormat="1" applyFont="1" applyFill="1" applyBorder="1" applyAlignment="1">
      <alignment horizontal="right"/>
    </xf>
    <xf numFmtId="0" fontId="1" fillId="2" borderId="5" xfId="0" applyFont="1" applyFill="1" applyBorder="1" applyAlignment="1">
      <alignment horizontal="right" vertical="center"/>
    </xf>
    <xf numFmtId="0" fontId="2" fillId="3" borderId="10" xfId="0" applyFont="1" applyFill="1" applyBorder="1"/>
    <xf numFmtId="0" fontId="2" fillId="3" borderId="13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9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4" fillId="2" borderId="12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99"/>
      <color rgb="FF9BC2E6"/>
      <color rgb="FF7E5400"/>
      <color rgb="FF33CCCC"/>
      <color rgb="FFAEAAAA"/>
      <color rgb="FFF7F7F7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2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32095059657200709"/>
          <c:y val="0.21786356642723734"/>
          <c:w val="0.37568663948110687"/>
          <c:h val="0.7572617842832342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DC76-4327-9B35-16D996166460}"/>
              </c:ext>
            </c:extLst>
          </c:dPt>
          <c:dPt>
            <c:idx val="1"/>
            <c:bubble3D val="0"/>
            <c:spPr>
              <a:solidFill>
                <a:srgbClr val="9BC2E6"/>
              </a:solidFill>
            </c:spPr>
            <c:extLst>
              <c:ext xmlns:c16="http://schemas.microsoft.com/office/drawing/2014/chart" uri="{C3380CC4-5D6E-409C-BE32-E72D297353CC}">
                <c16:uniqueId val="{00000002-DC76-4327-9B35-16D996166460}"/>
              </c:ext>
            </c:extLst>
          </c:dPt>
          <c:dPt>
            <c:idx val="3"/>
            <c:bubble3D val="0"/>
            <c:spPr>
              <a:solidFill>
                <a:srgbClr val="7E5400"/>
              </a:solidFill>
            </c:spPr>
            <c:extLst>
              <c:ext xmlns:c16="http://schemas.microsoft.com/office/drawing/2014/chart" uri="{C3380CC4-5D6E-409C-BE32-E72D297353CC}">
                <c16:uniqueId val="{00000004-DC76-4327-9B35-16D996166460}"/>
              </c:ext>
            </c:extLst>
          </c:dPt>
          <c:dPt>
            <c:idx val="4"/>
            <c:bubble3D val="0"/>
            <c:spPr>
              <a:solidFill>
                <a:srgbClr val="003399"/>
              </a:solidFill>
            </c:spPr>
            <c:extLst>
              <c:ext xmlns:c16="http://schemas.microsoft.com/office/drawing/2014/chart" uri="{C3380CC4-5D6E-409C-BE32-E72D297353CC}">
                <c16:uniqueId val="{00000005-DC76-4327-9B35-16D996166460}"/>
              </c:ext>
            </c:extLst>
          </c:dPt>
          <c:dLbls>
            <c:dLbl>
              <c:idx val="0"/>
              <c:layout>
                <c:manualLayout>
                  <c:x val="2.0736132711249352E-3"/>
                  <c:y val="-9.613375130616513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76-4327-9B35-16D996166460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b="1" i="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DC76-4327-9B35-16D996166460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b="1" i="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DC76-4327-9B35-16D996166460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 lvl="0">
                    <a:defRPr b="1" i="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DC76-4327-9B35-16D996166460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 lvl="0">
                    <a:defRPr b="1" i="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DC76-4327-9B35-16D99616646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'18.8'!$C$6:$G$6</c:f>
              <c:strCache>
                <c:ptCount val="5"/>
                <c:pt idx="0">
                  <c:v> &lt; 55 </c:v>
                </c:pt>
                <c:pt idx="1">
                  <c:v> 55-64 </c:v>
                </c:pt>
                <c:pt idx="2">
                  <c:v> 65-69 </c:v>
                </c:pt>
                <c:pt idx="3">
                  <c:v> 70-74 </c:v>
                </c:pt>
                <c:pt idx="4">
                  <c:v> 75 + </c:v>
                </c:pt>
              </c:strCache>
            </c:strRef>
          </c:cat>
          <c:val>
            <c:numRef>
              <c:f>'18.8'!$C$7:$G$7</c:f>
              <c:numCache>
                <c:formatCode>#,##0</c:formatCode>
                <c:ptCount val="5"/>
                <c:pt idx="0">
                  <c:v>612</c:v>
                </c:pt>
                <c:pt idx="1">
                  <c:v>2597</c:v>
                </c:pt>
                <c:pt idx="2">
                  <c:v>12642</c:v>
                </c:pt>
                <c:pt idx="3">
                  <c:v>6979</c:v>
                </c:pt>
                <c:pt idx="4">
                  <c:v>10418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76-4327-9B35-16D996166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270468</xdr:colOff>
      <xdr:row>12</xdr:row>
      <xdr:rowOff>56208</xdr:rowOff>
    </xdr:from>
    <xdr:ext cx="6124575" cy="3038475"/>
    <xdr:graphicFrame macro="">
      <xdr:nvGraphicFramePr>
        <xdr:cNvPr id="807112925" name="Chart 9">
          <a:extLst>
            <a:ext uri="{FF2B5EF4-FFF2-40B4-BE49-F238E27FC236}">
              <a16:creationId xmlns:a16="http://schemas.microsoft.com/office/drawing/2014/main" id="{00000000-0008-0000-0700-0000DD901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645607</xdr:colOff>
      <xdr:row>12</xdr:row>
      <xdr:rowOff>159937</xdr:rowOff>
    </xdr:from>
    <xdr:ext cx="4953000" cy="4667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645607" y="3446585"/>
          <a:ext cx="4953000" cy="466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75"/>
            <a:buFont typeface="Consolas"/>
            <a:buNone/>
          </a:pPr>
          <a:r>
            <a:rPr lang="en-US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18.9: Percentage of beneficiaries under different pension schemes by age-groups, end 2024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Z25"/>
  <sheetViews>
    <sheetView tabSelected="1" zoomScale="91" zoomScaleNormal="91" zoomScaleSheetLayoutView="51" workbookViewId="0">
      <selection activeCell="A2" sqref="A2:H2"/>
    </sheetView>
  </sheetViews>
  <sheetFormatPr defaultColWidth="14.42578125" defaultRowHeight="15" customHeight="1" x14ac:dyDescent="0.25"/>
  <cols>
    <col min="1" max="1" width="18.7109375" style="21" customWidth="1"/>
    <col min="2" max="2" width="9.42578125" style="21" customWidth="1"/>
    <col min="3" max="7" width="10.28515625" style="21" customWidth="1"/>
    <col min="8" max="8" width="23.42578125" style="21" customWidth="1"/>
    <col min="9" max="9" width="3" style="21" customWidth="1"/>
    <col min="10" max="26" width="8" style="21" customWidth="1"/>
    <col min="27" max="16384" width="14.42578125" style="2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55000000000000004">
      <c r="A2" s="37" t="s">
        <v>17</v>
      </c>
      <c r="B2" s="32"/>
      <c r="C2" s="32"/>
      <c r="D2" s="32"/>
      <c r="E2" s="32"/>
      <c r="F2" s="32"/>
      <c r="G2" s="32"/>
      <c r="H2" s="3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25">
      <c r="A3" s="36" t="s">
        <v>18</v>
      </c>
      <c r="B3" s="32"/>
      <c r="C3" s="32"/>
      <c r="D3" s="32"/>
      <c r="E3" s="32"/>
      <c r="F3" s="32"/>
      <c r="G3" s="32"/>
      <c r="H3" s="3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 customHeight="1" x14ac:dyDescent="0.25">
      <c r="A5" s="34" t="s">
        <v>0</v>
      </c>
      <c r="B5" s="29" t="s">
        <v>19</v>
      </c>
      <c r="C5" s="30"/>
      <c r="D5" s="30"/>
      <c r="E5" s="30"/>
      <c r="F5" s="30"/>
      <c r="G5" s="31"/>
      <c r="H5" s="26" t="s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" customHeight="1" x14ac:dyDescent="0.25">
      <c r="A6" s="27"/>
      <c r="B6" s="4" t="s">
        <v>20</v>
      </c>
      <c r="C6" s="18" t="s">
        <v>13</v>
      </c>
      <c r="D6" s="18" t="s">
        <v>14</v>
      </c>
      <c r="E6" s="18" t="s">
        <v>11</v>
      </c>
      <c r="F6" s="18" t="s">
        <v>12</v>
      </c>
      <c r="G6" s="18" t="s">
        <v>15</v>
      </c>
      <c r="H6" s="2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" customHeight="1" x14ac:dyDescent="0.25">
      <c r="A7" s="7" t="s">
        <v>21</v>
      </c>
      <c r="B7" s="8">
        <f t="shared" ref="B7:B10" si="0">SUM(C7:G7)</f>
        <v>33248</v>
      </c>
      <c r="C7" s="19">
        <f t="shared" ref="C7:G7" si="1">SUM(C8:C10)</f>
        <v>612</v>
      </c>
      <c r="D7" s="19">
        <f t="shared" si="1"/>
        <v>2597</v>
      </c>
      <c r="E7" s="19">
        <f t="shared" si="1"/>
        <v>12642</v>
      </c>
      <c r="F7" s="19">
        <f t="shared" si="1"/>
        <v>6979</v>
      </c>
      <c r="G7" s="19">
        <f t="shared" si="1"/>
        <v>10418</v>
      </c>
      <c r="H7" s="2" t="s">
        <v>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 customHeight="1" x14ac:dyDescent="0.55000000000000004">
      <c r="A8" s="3" t="s">
        <v>3</v>
      </c>
      <c r="B8" s="8">
        <f t="shared" si="0"/>
        <v>23811</v>
      </c>
      <c r="C8" s="23"/>
      <c r="D8" s="23"/>
      <c r="E8" s="22">
        <v>9456</v>
      </c>
      <c r="F8" s="22">
        <v>5742</v>
      </c>
      <c r="G8" s="22">
        <v>8613</v>
      </c>
      <c r="H8" s="5" t="s">
        <v>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" customHeight="1" x14ac:dyDescent="0.55000000000000004">
      <c r="A9" s="3" t="s">
        <v>5</v>
      </c>
      <c r="B9" s="8">
        <f t="shared" si="0"/>
        <v>2166</v>
      </c>
      <c r="C9" s="24">
        <v>8</v>
      </c>
      <c r="D9" s="24">
        <v>6</v>
      </c>
      <c r="E9" s="22">
        <v>1768</v>
      </c>
      <c r="F9" s="22">
        <v>272</v>
      </c>
      <c r="G9" s="22">
        <v>112</v>
      </c>
      <c r="H9" s="5" t="s">
        <v>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" customHeight="1" x14ac:dyDescent="0.55000000000000004">
      <c r="A10" s="16" t="s">
        <v>7</v>
      </c>
      <c r="B10" s="20">
        <f t="shared" si="0"/>
        <v>7271</v>
      </c>
      <c r="C10" s="25">
        <v>604</v>
      </c>
      <c r="D10" s="25">
        <v>2591</v>
      </c>
      <c r="E10" s="25">
        <v>1418</v>
      </c>
      <c r="F10" s="25">
        <v>965</v>
      </c>
      <c r="G10" s="25">
        <v>1693</v>
      </c>
      <c r="H10" s="6" t="s">
        <v>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" customHeight="1" x14ac:dyDescent="0.25">
      <c r="A11" s="38" t="s">
        <v>22</v>
      </c>
      <c r="B11" s="32"/>
      <c r="C11" s="32"/>
      <c r="D11" s="33"/>
      <c r="E11" s="39" t="s">
        <v>16</v>
      </c>
      <c r="F11" s="32"/>
      <c r="G11" s="32"/>
      <c r="H11" s="33"/>
      <c r="I11" s="3"/>
      <c r="J11" s="3"/>
      <c r="K11" s="3"/>
      <c r="L11" s="3"/>
      <c r="M11" s="3"/>
      <c r="N11" s="3"/>
      <c r="O11" s="3"/>
      <c r="P11" s="3"/>
      <c r="Q11" s="3"/>
      <c r="R11" s="1"/>
      <c r="S11" s="9"/>
      <c r="T11" s="9"/>
      <c r="U11" s="9"/>
      <c r="V11" s="9"/>
      <c r="W11" s="9"/>
      <c r="X11" s="9"/>
      <c r="Y11" s="9"/>
      <c r="Z11" s="9"/>
    </row>
    <row r="12" spans="1:26" ht="18" x14ac:dyDescent="0.45">
      <c r="A12" s="10" t="s">
        <v>10</v>
      </c>
      <c r="B12" s="9"/>
      <c r="C12" s="9"/>
      <c r="D12" s="9"/>
      <c r="E12" s="9"/>
      <c r="F12" s="9"/>
      <c r="G12" s="9"/>
      <c r="H12" s="11" t="s">
        <v>9</v>
      </c>
      <c r="I12" s="9"/>
      <c r="J12" s="9"/>
      <c r="K12" s="9"/>
      <c r="L12" s="9"/>
      <c r="M12" s="9"/>
      <c r="N12" s="9"/>
      <c r="O12" s="9"/>
      <c r="P12" s="9"/>
      <c r="Q12" s="9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.75" customHeight="1" x14ac:dyDescent="0.55000000000000004">
      <c r="A15" s="37"/>
      <c r="B15" s="32"/>
      <c r="C15" s="32"/>
      <c r="D15" s="32"/>
      <c r="E15" s="32"/>
      <c r="F15" s="32"/>
      <c r="G15" s="32"/>
      <c r="H15" s="3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5">
      <c r="A16" s="36"/>
      <c r="B16" s="32"/>
      <c r="C16" s="32"/>
      <c r="D16" s="32"/>
      <c r="E16" s="32"/>
      <c r="F16" s="32"/>
      <c r="G16" s="32"/>
      <c r="H16" s="3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" customHeight="1" x14ac:dyDescent="0.25">
      <c r="A18" s="40"/>
      <c r="B18" s="35"/>
      <c r="C18" s="32"/>
      <c r="D18" s="32"/>
      <c r="E18" s="32"/>
      <c r="F18" s="32"/>
      <c r="G18" s="33"/>
      <c r="H18" s="4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5">
      <c r="A19" s="28"/>
      <c r="B19" s="17"/>
      <c r="C19" s="13"/>
      <c r="D19" s="13"/>
      <c r="E19" s="13"/>
      <c r="F19" s="13"/>
      <c r="G19" s="13"/>
      <c r="H19" s="2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5">
      <c r="A20" s="7"/>
      <c r="B20" s="14"/>
      <c r="C20" s="14"/>
      <c r="D20" s="14"/>
      <c r="E20" s="14"/>
      <c r="F20" s="14"/>
      <c r="G20" s="14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" customHeight="1" x14ac:dyDescent="0.55000000000000004">
      <c r="A21" s="3"/>
      <c r="B21" s="14"/>
      <c r="C21" s="12"/>
      <c r="D21" s="12"/>
      <c r="E21" s="15"/>
      <c r="F21" s="15"/>
      <c r="G21" s="15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" customHeight="1" x14ac:dyDescent="0.55000000000000004">
      <c r="A22" s="3"/>
      <c r="B22" s="14"/>
      <c r="C22" s="12"/>
      <c r="D22" s="12"/>
      <c r="E22" s="15"/>
      <c r="F22" s="15"/>
      <c r="G22" s="12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" customHeight="1" x14ac:dyDescent="0.55000000000000004">
      <c r="A23" s="3"/>
      <c r="B23" s="14"/>
      <c r="C23" s="15"/>
      <c r="D23" s="15"/>
      <c r="E23" s="15"/>
      <c r="F23" s="15"/>
      <c r="G23" s="15"/>
      <c r="H23" s="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" customHeight="1" x14ac:dyDescent="0.55000000000000004">
      <c r="A24" s="3"/>
      <c r="B24" s="14"/>
      <c r="C24" s="12"/>
      <c r="D24" s="12"/>
      <c r="E24" s="15"/>
      <c r="F24" s="15"/>
      <c r="G24" s="15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</sheetData>
  <mergeCells count="12">
    <mergeCell ref="A15:H15"/>
    <mergeCell ref="A16:H16"/>
    <mergeCell ref="A18:A19"/>
    <mergeCell ref="B18:G18"/>
    <mergeCell ref="H18:H19"/>
    <mergeCell ref="A11:D11"/>
    <mergeCell ref="E11:H11"/>
    <mergeCell ref="A2:H2"/>
    <mergeCell ref="A3:H3"/>
    <mergeCell ref="A5:A6"/>
    <mergeCell ref="B5:G5"/>
    <mergeCell ref="H5:H6"/>
  </mergeCells>
  <pageMargins left="0.7" right="0.7" top="0.75" bottom="0.75" header="0" footer="0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18.8</vt:lpstr>
      <vt:lpstr>'18.8'!Print_Area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2025-06-16T03:51:18Z</cp:lastPrinted>
  <dcterms:created xsi:type="dcterms:W3CDTF">2025-05-19T08:29:05Z</dcterms:created>
  <dcterms:modified xsi:type="dcterms:W3CDTF">2025-06-16T03:51:25Z</dcterms:modified>
</cp:coreProperties>
</file>